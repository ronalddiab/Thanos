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Override PartName="/xl/charts/chart6.xml" ContentType="application/vnd.openxmlformats-officedocument.drawingml.chart+xml"/>
  <Override PartName="/xl/charts/chart20.xml" ContentType="application/vnd.openxmlformats-officedocument.drawingml.chart+xml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4.xml" ContentType="application/vnd.openxmlformats-officedocument.drawingml.chart+xml"/>
  <Override PartName="/xl/drawings/drawing6.xml" ContentType="application/vnd.openxmlformats-officedocument.drawing+xml"/>
  <Override PartName="/xl/drawings/drawing8.xml" ContentType="application/vnd.openxmlformats-officedocument.drawing+xml"/>
  <Override PartName="/xl/worksheets/sheet7.xml" ContentType="application/vnd.openxmlformats-officedocument.spreadsheetml.worksheet+xml"/>
  <Override PartName="/xl/worksheets/sheet11.xml" ContentType="application/vnd.openxmlformats-officedocument.spreadsheetml.worksheet+xml"/>
  <Override PartName="/xl/charts/chart2.xml" ContentType="application/vnd.openxmlformats-officedocument.drawingml.chart+xml"/>
  <Override PartName="/xl/drawings/drawing4.xml" ContentType="application/vnd.openxmlformats-officedocument.drawing+xml"/>
  <Default Extension="rels" ContentType="application/vnd.openxmlformats-package.relationships+xml"/>
  <Default Extension="xml" ContentType="application/xml"/>
  <Override PartName="/xl/worksheets/sheet5.xml" ContentType="application/vnd.openxmlformats-officedocument.spreadsheetml.worksheet+xml"/>
  <Override PartName="/xl/externalLinks/externalLink5.xml" ContentType="application/vnd.openxmlformats-officedocument.spreadsheetml.externalLink+xml"/>
  <Override PartName="/xl/drawings/drawing2.xml" ContentType="application/vnd.openxmlformats-officedocument.drawing+xml"/>
  <Override PartName="/xl/charts/chart29.xml" ContentType="application/vnd.openxmlformats-officedocument.drawingml.chart+xml"/>
  <Override PartName="/xl/worksheets/sheet3.xml" ContentType="application/vnd.openxmlformats-officedocument.spreadsheetml.worksheet+xml"/>
  <Override PartName="/xl/externalLinks/externalLink3.xml" ContentType="application/vnd.openxmlformats-officedocument.spreadsheetml.externalLink+xml"/>
  <Override PartName="/xl/charts/chart18.xml" ContentType="application/vnd.openxmlformats-officedocument.drawingml.chart+xml"/>
  <Override PartName="/xl/charts/chart27.xml" ContentType="application/vnd.openxmlformats-officedocument.drawingml.chart+xml"/>
  <Override PartName="/xl/charts/chart36.xml" ContentType="application/vnd.openxmlformats-officedocument.drawingml.chart+xml"/>
  <Override PartName="/xl/charts/chart38.xml" ContentType="application/vnd.openxmlformats-officedocument.drawingml.chart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charts/chart16.xml" ContentType="application/vnd.openxmlformats-officedocument.drawingml.chart+xml"/>
  <Override PartName="/xl/charts/chart25.xml" ContentType="application/vnd.openxmlformats-officedocument.drawingml.chart+xml"/>
  <Override PartName="/xl/charts/chart34.xml" ContentType="application/vnd.openxmlformats-officedocument.drawingml.chart+xml"/>
  <Override PartName="/xl/charts/chart45.xml" ContentType="application/vnd.openxmlformats-officedocument.drawingml.chart+xml"/>
  <Override PartName="/xl/sharedStrings.xml" ContentType="application/vnd.openxmlformats-officedocument.spreadsheetml.sharedStrings+xml"/>
  <Override PartName="/xl/charts/chart14.xml" ContentType="application/vnd.openxmlformats-officedocument.drawingml.chart+xml"/>
  <Override PartName="/xl/charts/chart23.xml" ContentType="application/vnd.openxmlformats-officedocument.drawingml.chart+xml"/>
  <Override PartName="/xl/charts/chart32.xml" ContentType="application/vnd.openxmlformats-officedocument.drawingml.chart+xml"/>
  <Override PartName="/xl/charts/chart43.xml" ContentType="application/vnd.openxmlformats-officedocument.drawingml.char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30.xml" ContentType="application/vnd.openxmlformats-officedocument.drawingml.chart+xml"/>
  <Override PartName="/xl/charts/chart31.xml" ContentType="application/vnd.openxmlformats-officedocument.drawingml.chart+xml"/>
  <Override PartName="/xl/charts/chart40.xml" ContentType="application/vnd.openxmlformats-officedocument.drawingml.chart+xml"/>
  <Override PartName="/xl/charts/chart41.xml" ContentType="application/vnd.openxmlformats-officedocument.drawingml.chart+xml"/>
  <Override PartName="/docProps/core.xml" ContentType="application/vnd.openxmlformats-package.core-properties+xml"/>
  <Override PartName="/xl/worksheets/sheet16.xml" ContentType="application/vnd.openxmlformats-officedocument.spreadsheetml.worksheet+xml"/>
  <Default Extension="bin" ContentType="application/vnd.openxmlformats-officedocument.spreadsheetml.printerSettings"/>
  <Override PartName="/xl/charts/chart7.xml" ContentType="application/vnd.openxmlformats-officedocument.drawingml.chart+xml"/>
  <Override PartName="/xl/charts/chart10.xml" ContentType="application/vnd.openxmlformats-officedocument.drawingml.chart+xml"/>
  <Default Extension="png" ContentType="image/png"/>
  <Override PartName="/xl/worksheets/sheet14.xml" ContentType="application/vnd.openxmlformats-officedocument.spreadsheetml.worksheet+xml"/>
  <Override PartName="/xl/charts/chart5.xml" ContentType="application/vnd.openxmlformats-officedocument.drawingml.chart+xml"/>
  <Override PartName="/xl/drawings/drawing7.xml" ContentType="application/vnd.openxmlformats-officedocument.drawing+xml"/>
  <Override PartName="/xl/worksheets/sheet6.xml" ContentType="application/vnd.openxmlformats-officedocument.spreadsheetml.worksheet+xml"/>
  <Override PartName="/xl/worksheets/sheet8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6.xml" ContentType="application/vnd.openxmlformats-officedocument.spreadsheetml.externalLink+xml"/>
  <Override PartName="/xl/charts/chart3.xml" ContentType="application/vnd.openxmlformats-officedocument.drawingml.chart+xml"/>
  <Override PartName="/xl/drawings/drawing5.xml" ContentType="application/vnd.openxmlformats-officedocument.drawing+xml"/>
  <Default Extension="jpeg" ContentType="image/jpeg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4.xml" ContentType="application/vnd.openxmlformats-officedocument.spreadsheetml.externalLink+xml"/>
  <Override PartName="/xl/charts/chart1.xml" ContentType="application/vnd.openxmlformats-officedocument.drawingml.chart+xml"/>
  <Override PartName="/xl/drawings/drawing3.xml" ContentType="application/vnd.openxmlformats-officedocument.drawing+xml"/>
  <Override PartName="/xl/charts/chart39.xml" ContentType="application/vnd.openxmlformats-officedocument.drawingml.char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externalLinks/externalLink2.xml" ContentType="application/vnd.openxmlformats-officedocument.spreadsheetml.externalLink+xml"/>
  <Override PartName="/xl/drawings/drawing1.xml" ContentType="application/vnd.openxmlformats-officedocument.drawing+xml"/>
  <Override PartName="/xl/charts/chart19.xml" ContentType="application/vnd.openxmlformats-officedocument.drawingml.chart+xml"/>
  <Override PartName="/xl/charts/chart28.xml" ContentType="application/vnd.openxmlformats-officedocument.drawingml.chart+xml"/>
  <Override PartName="/xl/charts/chart37.xml" ContentType="application/vnd.openxmlformats-officedocument.drawingml.chart+xml"/>
  <Override PartName="/xl/charts/chart46.xml" ContentType="application/vnd.openxmlformats-officedocument.drawingml.chart+xml"/>
  <Override PartName="/xl/charts/chart17.xml" ContentType="application/vnd.openxmlformats-officedocument.drawingml.chart+xml"/>
  <Override PartName="/xl/charts/chart26.xml" ContentType="application/vnd.openxmlformats-officedocument.drawingml.chart+xml"/>
  <Override PartName="/xl/charts/chart35.xml" ContentType="application/vnd.openxmlformats-officedocument.drawingml.chart+xml"/>
  <Override PartName="/xl/charts/chart44.xml" ContentType="application/vnd.openxmlformats-officedocument.drawingml.chart+xml"/>
  <Override PartName="/xl/calcChain.xml" ContentType="application/vnd.openxmlformats-officedocument.spreadsheetml.calcChain+xml"/>
  <Override PartName="/xl/charts/chart13.xml" ContentType="application/vnd.openxmlformats-officedocument.drawingml.chart+xml"/>
  <Override PartName="/xl/charts/chart15.xml" ContentType="application/vnd.openxmlformats-officedocument.drawingml.chart+xml"/>
  <Override PartName="/xl/charts/chart24.xml" ContentType="application/vnd.openxmlformats-officedocument.drawingml.chart+xml"/>
  <Override PartName="/xl/charts/chart33.xml" ContentType="application/vnd.openxmlformats-officedocument.drawingml.chart+xml"/>
  <Override PartName="/xl/charts/chart42.xml" ContentType="application/vnd.openxmlformats-officedocument.drawingml.chart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-105" yWindow="-105" windowWidth="19425" windowHeight="10425" firstSheet="2" activeTab="4"/>
  </bookViews>
  <sheets>
    <sheet name="Total" sheetId="26" r:id="rId1"/>
    <sheet name="Submetering" sheetId="25" r:id="rId2"/>
    <sheet name="UTILITY REPORT 1" sheetId="24" r:id="rId3"/>
    <sheet name="Utility summery" sheetId="14" r:id="rId4"/>
    <sheet name="Utility report " sheetId="13" r:id="rId5"/>
    <sheet name="Kit report" sheetId="18" r:id="rId6"/>
    <sheet name="Summery Report" sheetId="11" r:id="rId7"/>
    <sheet name="Daily report Gen" sheetId="12" r:id="rId8"/>
    <sheet name="Gen" sheetId="1" r:id="rId9"/>
    <sheet name="Energy Graph" sheetId="7" r:id="rId10"/>
    <sheet name="Lpg (2)" sheetId="15" r:id="rId11"/>
    <sheet name="LPG_Graph" sheetId="8" r:id="rId12"/>
    <sheet name="Water-Meter" sheetId="3" r:id="rId13"/>
    <sheet name="Water_Graph " sheetId="9" r:id="rId14"/>
    <sheet name="Sheet1" sheetId="10" r:id="rId15"/>
    <sheet name="VODACOM AND AIRTEL" sheetId="20" r:id="rId16"/>
    <sheet name="FUEL METER READING" sheetId="22" r:id="rId17"/>
    <sheet name="Daily utility report " sheetId="23" r:id="rId18"/>
  </sheets>
  <externalReferences>
    <externalReference r:id="rId19"/>
    <externalReference r:id="rId20"/>
    <externalReference r:id="rId21"/>
    <externalReference r:id="rId22"/>
    <externalReference r:id="rId23"/>
    <externalReference r:id="rId24"/>
  </externalReferences>
  <calcPr calcId="12451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D58" i="3"/>
  <c r="N17" i="12"/>
  <c r="P17"/>
  <c r="E16" i="3"/>
  <c r="K5"/>
  <c r="K6"/>
  <c r="K7"/>
  <c r="K8"/>
  <c r="K9"/>
  <c r="K10"/>
  <c r="K11"/>
  <c r="K12"/>
  <c r="K13"/>
  <c r="K14"/>
  <c r="K15"/>
  <c r="K16"/>
  <c r="K17"/>
  <c r="K18"/>
  <c r="K19"/>
  <c r="K20"/>
  <c r="K21"/>
  <c r="K22"/>
  <c r="K23"/>
  <c r="K24"/>
  <c r="K25"/>
  <c r="K26"/>
  <c r="K27"/>
  <c r="U6"/>
  <c r="U7"/>
  <c r="U8"/>
  <c r="U9"/>
  <c r="U10"/>
  <c r="U11"/>
  <c r="U12"/>
  <c r="U13"/>
  <c r="U14"/>
  <c r="U15"/>
  <c r="U16"/>
  <c r="U17"/>
  <c r="U18"/>
  <c r="U19"/>
  <c r="U20"/>
  <c r="U21"/>
  <c r="U22"/>
  <c r="U23"/>
  <c r="U24"/>
  <c r="S35" i="18"/>
  <c r="K4"/>
  <c r="K5"/>
  <c r="K6"/>
  <c r="K7"/>
  <c r="K8"/>
  <c r="K9"/>
  <c r="K10"/>
  <c r="K11"/>
  <c r="K12"/>
  <c r="K13"/>
  <c r="K14"/>
  <c r="K15"/>
  <c r="K16"/>
  <c r="K17"/>
  <c r="K18"/>
  <c r="K19"/>
  <c r="K20"/>
  <c r="K21"/>
  <c r="K22"/>
  <c r="K23"/>
  <c r="K24"/>
  <c r="K25"/>
  <c r="K26"/>
  <c r="K27"/>
  <c r="K28"/>
  <c r="K29"/>
  <c r="K30"/>
  <c r="K31"/>
  <c r="K32"/>
  <c r="K33"/>
  <c r="K34"/>
  <c r="K35"/>
  <c r="K3"/>
  <c r="AB4"/>
  <c r="AB5"/>
  <c r="AB6"/>
  <c r="AB7"/>
  <c r="AB8"/>
  <c r="AB9"/>
  <c r="AB10"/>
  <c r="AB11"/>
  <c r="AB12"/>
  <c r="AB13"/>
  <c r="AB14"/>
  <c r="AB15"/>
  <c r="AB16"/>
  <c r="AB17"/>
  <c r="AB18"/>
  <c r="AB19"/>
  <c r="AB20"/>
  <c r="AB21"/>
  <c r="AB22"/>
  <c r="AB23"/>
  <c r="AB24"/>
  <c r="AB25"/>
  <c r="AB26"/>
  <c r="AB27"/>
  <c r="AB28"/>
  <c r="AB29"/>
  <c r="AB30"/>
  <c r="AB31"/>
  <c r="AB32"/>
  <c r="AB33"/>
  <c r="AB34"/>
  <c r="AB35"/>
  <c r="AB3"/>
  <c r="P4"/>
  <c r="P5"/>
  <c r="P6"/>
  <c r="P7"/>
  <c r="P8"/>
  <c r="P9"/>
  <c r="P10"/>
  <c r="P11"/>
  <c r="P12"/>
  <c r="P13"/>
  <c r="P14"/>
  <c r="P15"/>
  <c r="P16"/>
  <c r="P17"/>
  <c r="P18"/>
  <c r="P19"/>
  <c r="P20"/>
  <c r="P21"/>
  <c r="P22"/>
  <c r="P23"/>
  <c r="P24"/>
  <c r="P25"/>
  <c r="P26"/>
  <c r="P27"/>
  <c r="P28"/>
  <c r="P29"/>
  <c r="P30"/>
  <c r="P31"/>
  <c r="P32"/>
  <c r="P33"/>
  <c r="P34"/>
  <c r="P35"/>
  <c r="P3"/>
  <c r="E99" i="20"/>
  <c r="G99" s="1"/>
  <c r="B99"/>
  <c r="D99" s="1"/>
  <c r="E98"/>
  <c r="G98" s="1"/>
  <c r="D98"/>
  <c r="B98"/>
  <c r="E97"/>
  <c r="G97" s="1"/>
  <c r="D97"/>
  <c r="B97"/>
  <c r="E96"/>
  <c r="G96" s="1"/>
  <c r="D96"/>
  <c r="B96"/>
  <c r="E95"/>
  <c r="G95" s="1"/>
  <c r="D95"/>
  <c r="B95"/>
  <c r="E94"/>
  <c r="G94" s="1"/>
  <c r="D94"/>
  <c r="B94"/>
  <c r="E93"/>
  <c r="G93" s="1"/>
  <c r="D93"/>
  <c r="B93"/>
  <c r="E92"/>
  <c r="G92" s="1"/>
  <c r="D92"/>
  <c r="B92"/>
  <c r="E91"/>
  <c r="G91" s="1"/>
  <c r="D91"/>
  <c r="B91"/>
  <c r="E90"/>
  <c r="G90" s="1"/>
  <c r="D90"/>
  <c r="B90"/>
  <c r="E89"/>
  <c r="G89" s="1"/>
  <c r="D89"/>
  <c r="B89"/>
  <c r="E88"/>
  <c r="G88" s="1"/>
  <c r="D88"/>
  <c r="B88"/>
  <c r="E87"/>
  <c r="G87" s="1"/>
  <c r="D87"/>
  <c r="B87"/>
  <c r="E86"/>
  <c r="G86" s="1"/>
  <c r="D86"/>
  <c r="B86"/>
  <c r="E85"/>
  <c r="G85" s="1"/>
  <c r="D85"/>
  <c r="B85"/>
  <c r="E84"/>
  <c r="G84" s="1"/>
  <c r="D84"/>
  <c r="B84"/>
  <c r="E83"/>
  <c r="G83" s="1"/>
  <c r="D83"/>
  <c r="B83"/>
  <c r="E82"/>
  <c r="G82" s="1"/>
  <c r="D82"/>
  <c r="B82"/>
  <c r="E81"/>
  <c r="G81" s="1"/>
  <c r="D81"/>
  <c r="B81"/>
  <c r="E80"/>
  <c r="G80" s="1"/>
  <c r="D80"/>
  <c r="B80"/>
  <c r="E79"/>
  <c r="G79" s="1"/>
  <c r="D79"/>
  <c r="B79"/>
  <c r="E78"/>
  <c r="G78" s="1"/>
  <c r="D78"/>
  <c r="B78"/>
  <c r="E77"/>
  <c r="G77" s="1"/>
  <c r="D77"/>
  <c r="B77"/>
  <c r="E76"/>
  <c r="G76" s="1"/>
  <c r="D76"/>
  <c r="B76"/>
  <c r="E75"/>
  <c r="G75" s="1"/>
  <c r="D75"/>
  <c r="B75"/>
  <c r="E74"/>
  <c r="G74" s="1"/>
  <c r="D74"/>
  <c r="B74"/>
  <c r="E73"/>
  <c r="G73" s="1"/>
  <c r="D73"/>
  <c r="B73"/>
  <c r="E72"/>
  <c r="G72" s="1"/>
  <c r="D72"/>
  <c r="B72"/>
  <c r="E71"/>
  <c r="G71" s="1"/>
  <c r="D71"/>
  <c r="B71"/>
  <c r="E70"/>
  <c r="G70" s="1"/>
  <c r="D70"/>
  <c r="B70"/>
  <c r="E69"/>
  <c r="G69" s="1"/>
  <c r="D69"/>
  <c r="B69"/>
  <c r="E68"/>
  <c r="G68" s="1"/>
  <c r="D68"/>
  <c r="B68"/>
  <c r="E67"/>
  <c r="G67" s="1"/>
  <c r="D67"/>
  <c r="B67"/>
  <c r="E66"/>
  <c r="G66" s="1"/>
  <c r="D66"/>
  <c r="B66"/>
  <c r="E65"/>
  <c r="G65" s="1"/>
  <c r="D65"/>
  <c r="B65"/>
  <c r="E64"/>
  <c r="G64" s="1"/>
  <c r="D64"/>
  <c r="B64"/>
  <c r="E63"/>
  <c r="G63" s="1"/>
  <c r="D63"/>
  <c r="B63"/>
  <c r="E62"/>
  <c r="G62" s="1"/>
  <c r="D62"/>
  <c r="B62"/>
  <c r="E61"/>
  <c r="G61" s="1"/>
  <c r="D61"/>
  <c r="B61"/>
  <c r="E60"/>
  <c r="G60" s="1"/>
  <c r="D60"/>
  <c r="B60"/>
  <c r="E59"/>
  <c r="G59" s="1"/>
  <c r="D59"/>
  <c r="B59"/>
  <c r="E58"/>
  <c r="G58" s="1"/>
  <c r="D58"/>
  <c r="B58"/>
  <c r="E57"/>
  <c r="G57" s="1"/>
  <c r="D57"/>
  <c r="B57"/>
  <c r="E56"/>
  <c r="G56" s="1"/>
  <c r="D56"/>
  <c r="B56"/>
  <c r="E55"/>
  <c r="G55" s="1"/>
  <c r="D55"/>
  <c r="B55"/>
  <c r="E54"/>
  <c r="G54" s="1"/>
  <c r="D54"/>
  <c r="B54"/>
  <c r="E53"/>
  <c r="G53" s="1"/>
  <c r="D53"/>
  <c r="B53"/>
  <c r="E52"/>
  <c r="G52" s="1"/>
  <c r="D52"/>
  <c r="B52"/>
  <c r="E51"/>
  <c r="G51" s="1"/>
  <c r="D51"/>
  <c r="B51"/>
  <c r="E50"/>
  <c r="G50" s="1"/>
  <c r="D50"/>
  <c r="B50"/>
  <c r="E49"/>
  <c r="G49" s="1"/>
  <c r="D49"/>
  <c r="B49"/>
  <c r="E48"/>
  <c r="G48" s="1"/>
  <c r="D48"/>
  <c r="B48"/>
  <c r="E47"/>
  <c r="G47" s="1"/>
  <c r="D47"/>
  <c r="B47"/>
  <c r="E46"/>
  <c r="G46" s="1"/>
  <c r="D46"/>
  <c r="B46"/>
  <c r="E45"/>
  <c r="G45" s="1"/>
  <c r="D45"/>
  <c r="B45"/>
  <c r="E44"/>
  <c r="G44" s="1"/>
  <c r="D44"/>
  <c r="B44"/>
  <c r="E43"/>
  <c r="G43" s="1"/>
  <c r="D43"/>
  <c r="B43"/>
  <c r="E42"/>
  <c r="G42" s="1"/>
  <c r="D42"/>
  <c r="B42"/>
  <c r="E41"/>
  <c r="G41" s="1"/>
  <c r="D41"/>
  <c r="B41"/>
  <c r="E40"/>
  <c r="G40" s="1"/>
  <c r="D40"/>
  <c r="B40"/>
  <c r="E39"/>
  <c r="G39" s="1"/>
  <c r="D39"/>
  <c r="B39"/>
  <c r="E38"/>
  <c r="G38" s="1"/>
  <c r="D38"/>
  <c r="B38"/>
  <c r="E37"/>
  <c r="G37" s="1"/>
  <c r="D37"/>
  <c r="B37"/>
  <c r="E36"/>
  <c r="G36" s="1"/>
  <c r="D36"/>
  <c r="B36"/>
  <c r="E35"/>
  <c r="G35" s="1"/>
  <c r="D35"/>
  <c r="B35"/>
  <c r="E34"/>
  <c r="G34" s="1"/>
  <c r="D34"/>
  <c r="B34"/>
  <c r="E33"/>
  <c r="G33" s="1"/>
  <c r="D33"/>
  <c r="B33"/>
  <c r="E32"/>
  <c r="G32" s="1"/>
  <c r="D32"/>
  <c r="B32"/>
  <c r="E31"/>
  <c r="G31" s="1"/>
  <c r="D31"/>
  <c r="B31"/>
  <c r="E30"/>
  <c r="G30" s="1"/>
  <c r="D30"/>
  <c r="B30"/>
  <c r="E29"/>
  <c r="G29" s="1"/>
  <c r="D29"/>
  <c r="B29"/>
  <c r="E28"/>
  <c r="G28" s="1"/>
  <c r="D28"/>
  <c r="B28"/>
  <c r="E27"/>
  <c r="G27" s="1"/>
  <c r="D27"/>
  <c r="B27"/>
  <c r="E26"/>
  <c r="G26" s="1"/>
  <c r="D26"/>
  <c r="B26"/>
  <c r="E25"/>
  <c r="G25" s="1"/>
  <c r="D25"/>
  <c r="B25"/>
  <c r="E24"/>
  <c r="G24" s="1"/>
  <c r="D24"/>
  <c r="B24"/>
  <c r="E23"/>
  <c r="G23" s="1"/>
  <c r="D23"/>
  <c r="B23"/>
  <c r="E22"/>
  <c r="G22" s="1"/>
  <c r="D22"/>
  <c r="B22"/>
  <c r="E21"/>
  <c r="G21" s="1"/>
  <c r="D21"/>
  <c r="B21"/>
  <c r="E20"/>
  <c r="G20" s="1"/>
  <c r="D20"/>
  <c r="B20"/>
  <c r="E19"/>
  <c r="G19" s="1"/>
  <c r="D19"/>
  <c r="B19"/>
  <c r="E18"/>
  <c r="G18" s="1"/>
  <c r="D18"/>
  <c r="B18"/>
  <c r="E17"/>
  <c r="G17" s="1"/>
  <c r="D17"/>
  <c r="B17"/>
  <c r="E16"/>
  <c r="G16" s="1"/>
  <c r="D16"/>
  <c r="B16"/>
  <c r="E15"/>
  <c r="G15" s="1"/>
  <c r="D15"/>
  <c r="B15"/>
  <c r="E14"/>
  <c r="G14" s="1"/>
  <c r="D14"/>
  <c r="B14"/>
  <c r="E13"/>
  <c r="G13" s="1"/>
  <c r="D13"/>
  <c r="B13"/>
  <c r="E12"/>
  <c r="G12" s="1"/>
  <c r="D12"/>
  <c r="B12"/>
  <c r="E11"/>
  <c r="G11" s="1"/>
  <c r="D11"/>
  <c r="B11"/>
  <c r="E10"/>
  <c r="G10" s="1"/>
  <c r="D10"/>
  <c r="B10"/>
  <c r="E9"/>
  <c r="G9" s="1"/>
  <c r="D9"/>
  <c r="B9"/>
  <c r="E8"/>
  <c r="G8" s="1"/>
  <c r="D8"/>
  <c r="B8"/>
  <c r="E7"/>
  <c r="G7" s="1"/>
  <c r="D7"/>
  <c r="B7"/>
  <c r="E6"/>
  <c r="G6" s="1"/>
  <c r="D6"/>
  <c r="B6"/>
  <c r="G5"/>
  <c r="B5"/>
  <c r="D5" s="1"/>
  <c r="G4"/>
  <c r="D4"/>
  <c r="G87" i="22"/>
  <c r="I87" s="1"/>
  <c r="D87"/>
  <c r="F87" s="1"/>
  <c r="B87"/>
  <c r="I86"/>
  <c r="G86"/>
  <c r="B86"/>
  <c r="D86" s="1"/>
  <c r="F86" s="1"/>
  <c r="G85"/>
  <c r="I85" s="1"/>
  <c r="D85"/>
  <c r="F85" s="1"/>
  <c r="B85"/>
  <c r="I84"/>
  <c r="K84" s="1"/>
  <c r="G84"/>
  <c r="B84"/>
  <c r="D84" s="1"/>
  <c r="G83"/>
  <c r="I83" s="1"/>
  <c r="D83"/>
  <c r="F83" s="1"/>
  <c r="B83"/>
  <c r="I82"/>
  <c r="G82"/>
  <c r="B82"/>
  <c r="D82" s="1"/>
  <c r="F82" s="1"/>
  <c r="G81"/>
  <c r="I81" s="1"/>
  <c r="D81"/>
  <c r="F81" s="1"/>
  <c r="B81"/>
  <c r="I80"/>
  <c r="K80" s="1"/>
  <c r="G80"/>
  <c r="B80"/>
  <c r="D80" s="1"/>
  <c r="G79"/>
  <c r="I79" s="1"/>
  <c r="D79"/>
  <c r="F79" s="1"/>
  <c r="B79"/>
  <c r="I78"/>
  <c r="G78"/>
  <c r="B78"/>
  <c r="D78" s="1"/>
  <c r="F78" s="1"/>
  <c r="G77"/>
  <c r="I77" s="1"/>
  <c r="D77"/>
  <c r="F77" s="1"/>
  <c r="B77"/>
  <c r="I76"/>
  <c r="K76" s="1"/>
  <c r="G76"/>
  <c r="B76"/>
  <c r="D76" s="1"/>
  <c r="G75"/>
  <c r="I75" s="1"/>
  <c r="D75"/>
  <c r="F75" s="1"/>
  <c r="B75"/>
  <c r="I74"/>
  <c r="G74"/>
  <c r="B74"/>
  <c r="D74" s="1"/>
  <c r="F74" s="1"/>
  <c r="G73"/>
  <c r="I73" s="1"/>
  <c r="D73"/>
  <c r="F73" s="1"/>
  <c r="B73"/>
  <c r="I72"/>
  <c r="K72" s="1"/>
  <c r="G72"/>
  <c r="B72"/>
  <c r="D72" s="1"/>
  <c r="G71"/>
  <c r="I71" s="1"/>
  <c r="D71"/>
  <c r="F71" s="1"/>
  <c r="B71"/>
  <c r="I70"/>
  <c r="G70"/>
  <c r="B70"/>
  <c r="D70" s="1"/>
  <c r="F70" s="1"/>
  <c r="G69"/>
  <c r="I69" s="1"/>
  <c r="D69"/>
  <c r="F69" s="1"/>
  <c r="B69"/>
  <c r="I68"/>
  <c r="K68" s="1"/>
  <c r="G68"/>
  <c r="B68"/>
  <c r="D68" s="1"/>
  <c r="G67"/>
  <c r="I67" s="1"/>
  <c r="D67"/>
  <c r="F67" s="1"/>
  <c r="B67"/>
  <c r="I66"/>
  <c r="G66"/>
  <c r="B66"/>
  <c r="D66" s="1"/>
  <c r="F66" s="1"/>
  <c r="G65"/>
  <c r="I65" s="1"/>
  <c r="D65"/>
  <c r="F65" s="1"/>
  <c r="B65"/>
  <c r="I64"/>
  <c r="K64" s="1"/>
  <c r="G64"/>
  <c r="B64"/>
  <c r="D64" s="1"/>
  <c r="G63"/>
  <c r="I63" s="1"/>
  <c r="D63"/>
  <c r="F63" s="1"/>
  <c r="B63"/>
  <c r="I62"/>
  <c r="G62"/>
  <c r="B62"/>
  <c r="D62" s="1"/>
  <c r="F62" s="1"/>
  <c r="G61"/>
  <c r="I61" s="1"/>
  <c r="D61"/>
  <c r="F61" s="1"/>
  <c r="B61"/>
  <c r="I60"/>
  <c r="K60" s="1"/>
  <c r="G60"/>
  <c r="B60"/>
  <c r="D60" s="1"/>
  <c r="G59"/>
  <c r="I59" s="1"/>
  <c r="D59"/>
  <c r="F59" s="1"/>
  <c r="B59"/>
  <c r="I58"/>
  <c r="G58"/>
  <c r="B58"/>
  <c r="D58" s="1"/>
  <c r="F58" s="1"/>
  <c r="G57"/>
  <c r="I57" s="1"/>
  <c r="D57"/>
  <c r="F57" s="1"/>
  <c r="B57"/>
  <c r="I56"/>
  <c r="K56" s="1"/>
  <c r="G56"/>
  <c r="B56"/>
  <c r="D56" s="1"/>
  <c r="G55"/>
  <c r="I55" s="1"/>
  <c r="D55"/>
  <c r="F55" s="1"/>
  <c r="B55"/>
  <c r="I54"/>
  <c r="G54"/>
  <c r="B54"/>
  <c r="D54" s="1"/>
  <c r="F54" s="1"/>
  <c r="G53"/>
  <c r="I53" s="1"/>
  <c r="D53"/>
  <c r="F53" s="1"/>
  <c r="B53"/>
  <c r="I52"/>
  <c r="K52" s="1"/>
  <c r="G52"/>
  <c r="B52"/>
  <c r="D52" s="1"/>
  <c r="G51"/>
  <c r="I51" s="1"/>
  <c r="D51"/>
  <c r="F51" s="1"/>
  <c r="B51"/>
  <c r="I50"/>
  <c r="G50"/>
  <c r="B50"/>
  <c r="D50" s="1"/>
  <c r="F50" s="1"/>
  <c r="G49"/>
  <c r="I49" s="1"/>
  <c r="D49"/>
  <c r="F49" s="1"/>
  <c r="B49"/>
  <c r="I48"/>
  <c r="K48" s="1"/>
  <c r="G48"/>
  <c r="B48"/>
  <c r="D48" s="1"/>
  <c r="G47"/>
  <c r="I47" s="1"/>
  <c r="D47"/>
  <c r="F47" s="1"/>
  <c r="B47"/>
  <c r="I46"/>
  <c r="G46"/>
  <c r="B46"/>
  <c r="D46" s="1"/>
  <c r="F46" s="1"/>
  <c r="G45"/>
  <c r="I45" s="1"/>
  <c r="D45"/>
  <c r="F45" s="1"/>
  <c r="B45"/>
  <c r="I44"/>
  <c r="K44" s="1"/>
  <c r="G44"/>
  <c r="B44"/>
  <c r="D44" s="1"/>
  <c r="G43"/>
  <c r="I43" s="1"/>
  <c r="D43"/>
  <c r="F43" s="1"/>
  <c r="B43"/>
  <c r="I42"/>
  <c r="G42"/>
  <c r="B42"/>
  <c r="D42" s="1"/>
  <c r="F42" s="1"/>
  <c r="G41"/>
  <c r="I41" s="1"/>
  <c r="D41"/>
  <c r="F41" s="1"/>
  <c r="B41"/>
  <c r="I40"/>
  <c r="K40" s="1"/>
  <c r="G40"/>
  <c r="B40"/>
  <c r="D40" s="1"/>
  <c r="G39"/>
  <c r="I39" s="1"/>
  <c r="D39"/>
  <c r="F39" s="1"/>
  <c r="B39"/>
  <c r="I38"/>
  <c r="G38"/>
  <c r="B38"/>
  <c r="D38" s="1"/>
  <c r="F38" s="1"/>
  <c r="G37"/>
  <c r="I37" s="1"/>
  <c r="D37"/>
  <c r="F37" s="1"/>
  <c r="B37"/>
  <c r="I36"/>
  <c r="K36" s="1"/>
  <c r="G36"/>
  <c r="B36"/>
  <c r="D36" s="1"/>
  <c r="G35"/>
  <c r="I35" s="1"/>
  <c r="D35"/>
  <c r="F35" s="1"/>
  <c r="B35"/>
  <c r="I34"/>
  <c r="G34"/>
  <c r="B34"/>
  <c r="D34" s="1"/>
  <c r="F34" s="1"/>
  <c r="G33"/>
  <c r="I33" s="1"/>
  <c r="D33"/>
  <c r="F33" s="1"/>
  <c r="B33"/>
  <c r="I32"/>
  <c r="K32" s="1"/>
  <c r="G32"/>
  <c r="B32"/>
  <c r="D32" s="1"/>
  <c r="K31"/>
  <c r="I31"/>
  <c r="L31" s="1"/>
  <c r="G31"/>
  <c r="D31"/>
  <c r="F31" s="1"/>
  <c r="B31"/>
  <c r="I30"/>
  <c r="L30" s="1"/>
  <c r="G30"/>
  <c r="B30"/>
  <c r="D30" s="1"/>
  <c r="F30" s="1"/>
  <c r="G29"/>
  <c r="I29" s="1"/>
  <c r="F29"/>
  <c r="D29"/>
  <c r="B29"/>
  <c r="K28"/>
  <c r="I28"/>
  <c r="G28"/>
  <c r="D28"/>
  <c r="L28" s="1"/>
  <c r="B28"/>
  <c r="I27"/>
  <c r="K27" s="1"/>
  <c r="G27"/>
  <c r="B27"/>
  <c r="D27" s="1"/>
  <c r="F27" s="1"/>
  <c r="G26"/>
  <c r="I26" s="1"/>
  <c r="B26"/>
  <c r="D26" s="1"/>
  <c r="F26" s="1"/>
  <c r="G25"/>
  <c r="I25" s="1"/>
  <c r="F25"/>
  <c r="D25"/>
  <c r="B25"/>
  <c r="K24"/>
  <c r="I24"/>
  <c r="G24"/>
  <c r="D24"/>
  <c r="L24" s="1"/>
  <c r="B24"/>
  <c r="I23"/>
  <c r="K23" s="1"/>
  <c r="G23"/>
  <c r="B23"/>
  <c r="D23" s="1"/>
  <c r="F23" s="1"/>
  <c r="G22"/>
  <c r="I22" s="1"/>
  <c r="B22"/>
  <c r="D22" s="1"/>
  <c r="F22" s="1"/>
  <c r="G21"/>
  <c r="I21" s="1"/>
  <c r="F21"/>
  <c r="D21"/>
  <c r="B21"/>
  <c r="K20"/>
  <c r="I20"/>
  <c r="G20"/>
  <c r="D20"/>
  <c r="L20" s="1"/>
  <c r="B20"/>
  <c r="I19"/>
  <c r="K19" s="1"/>
  <c r="F19"/>
  <c r="D19"/>
  <c r="B19"/>
  <c r="I18"/>
  <c r="K18" s="1"/>
  <c r="G18"/>
  <c r="B18"/>
  <c r="D18" s="1"/>
  <c r="F18" s="1"/>
  <c r="G17"/>
  <c r="I17" s="1"/>
  <c r="K17" s="1"/>
  <c r="F17"/>
  <c r="D17"/>
  <c r="B17"/>
  <c r="I16"/>
  <c r="K16" s="1"/>
  <c r="G16"/>
  <c r="B16"/>
  <c r="D16" s="1"/>
  <c r="F16" s="1"/>
  <c r="G15"/>
  <c r="I15" s="1"/>
  <c r="K15" s="1"/>
  <c r="F15"/>
  <c r="D15"/>
  <c r="B15"/>
  <c r="I14"/>
  <c r="K14" s="1"/>
  <c r="G14"/>
  <c r="B14"/>
  <c r="D14" s="1"/>
  <c r="F14" s="1"/>
  <c r="G13"/>
  <c r="I13" s="1"/>
  <c r="K13" s="1"/>
  <c r="B13"/>
  <c r="D13" s="1"/>
  <c r="F13" s="1"/>
  <c r="I12"/>
  <c r="K12" s="1"/>
  <c r="G12"/>
  <c r="B12"/>
  <c r="D12" s="1"/>
  <c r="F12" s="1"/>
  <c r="G11"/>
  <c r="I11" s="1"/>
  <c r="K11" s="1"/>
  <c r="B11"/>
  <c r="D11" s="1"/>
  <c r="F11" s="1"/>
  <c r="I10"/>
  <c r="K10" s="1"/>
  <c r="G10"/>
  <c r="B10"/>
  <c r="D10" s="1"/>
  <c r="F10" s="1"/>
  <c r="G9"/>
  <c r="I9" s="1"/>
  <c r="K9" s="1"/>
  <c r="E9"/>
  <c r="B9"/>
  <c r="D9" s="1"/>
  <c r="K8"/>
  <c r="I8"/>
  <c r="G8"/>
  <c r="E8"/>
  <c r="D8"/>
  <c r="B8"/>
  <c r="I7"/>
  <c r="K7" s="1"/>
  <c r="G7"/>
  <c r="B7"/>
  <c r="D7" s="1"/>
  <c r="K6"/>
  <c r="I6"/>
  <c r="G6"/>
  <c r="B6"/>
  <c r="D6" s="1"/>
  <c r="G5"/>
  <c r="I5" s="1"/>
  <c r="K5" s="1"/>
  <c r="D5"/>
  <c r="B5"/>
  <c r="G4"/>
  <c r="I4" s="1"/>
  <c r="K4" s="1"/>
  <c r="D4"/>
  <c r="B4"/>
  <c r="I3"/>
  <c r="K3" s="1"/>
  <c r="G3"/>
  <c r="D3"/>
  <c r="D47" i="3"/>
  <c r="D48"/>
  <c r="D49"/>
  <c r="D50"/>
  <c r="D51"/>
  <c r="D52"/>
  <c r="D53"/>
  <c r="D54"/>
  <c r="D55"/>
  <c r="D56"/>
  <c r="D57"/>
  <c r="D59"/>
  <c r="D60"/>
  <c r="D61"/>
  <c r="D62"/>
  <c r="D63"/>
  <c r="D64"/>
  <c r="D65"/>
  <c r="D66"/>
  <c r="D67"/>
  <c r="D68"/>
  <c r="D69"/>
  <c r="D70"/>
  <c r="D71"/>
  <c r="D72"/>
  <c r="D46"/>
  <c r="F9" i="22" l="1"/>
  <c r="F8"/>
  <c r="L22"/>
  <c r="K22"/>
  <c r="K25"/>
  <c r="L25"/>
  <c r="K33"/>
  <c r="L33"/>
  <c r="K37"/>
  <c r="L37"/>
  <c r="K41"/>
  <c r="L41"/>
  <c r="K45"/>
  <c r="L45"/>
  <c r="K49"/>
  <c r="L49"/>
  <c r="K53"/>
  <c r="L53"/>
  <c r="K57"/>
  <c r="L57"/>
  <c r="K61"/>
  <c r="L61"/>
  <c r="K65"/>
  <c r="L65"/>
  <c r="K69"/>
  <c r="L69"/>
  <c r="K73"/>
  <c r="L73"/>
  <c r="K77"/>
  <c r="L77"/>
  <c r="K81"/>
  <c r="L81"/>
  <c r="L32"/>
  <c r="F32"/>
  <c r="L36"/>
  <c r="F36"/>
  <c r="L40"/>
  <c r="F40"/>
  <c r="L44"/>
  <c r="F44"/>
  <c r="L48"/>
  <c r="F48"/>
  <c r="L52"/>
  <c r="F52"/>
  <c r="L56"/>
  <c r="F56"/>
  <c r="L60"/>
  <c r="F60"/>
  <c r="L64"/>
  <c r="F64"/>
  <c r="L68"/>
  <c r="F68"/>
  <c r="L72"/>
  <c r="F72"/>
  <c r="L76"/>
  <c r="F76"/>
  <c r="L80"/>
  <c r="F80"/>
  <c r="L84"/>
  <c r="F84"/>
  <c r="K21"/>
  <c r="L21"/>
  <c r="L26"/>
  <c r="K26"/>
  <c r="K29"/>
  <c r="L29"/>
  <c r="K35"/>
  <c r="L35"/>
  <c r="K39"/>
  <c r="L39"/>
  <c r="K43"/>
  <c r="L43"/>
  <c r="K47"/>
  <c r="L47"/>
  <c r="K51"/>
  <c r="L51"/>
  <c r="K55"/>
  <c r="L55"/>
  <c r="K59"/>
  <c r="L59"/>
  <c r="K63"/>
  <c r="L63"/>
  <c r="K67"/>
  <c r="L67"/>
  <c r="K71"/>
  <c r="L71"/>
  <c r="K75"/>
  <c r="L75"/>
  <c r="K79"/>
  <c r="L79"/>
  <c r="K83"/>
  <c r="L83"/>
  <c r="K87"/>
  <c r="L87"/>
  <c r="L34"/>
  <c r="L38"/>
  <c r="L42"/>
  <c r="L46"/>
  <c r="L50"/>
  <c r="L54"/>
  <c r="L58"/>
  <c r="L62"/>
  <c r="L66"/>
  <c r="L70"/>
  <c r="L74"/>
  <c r="L78"/>
  <c r="L82"/>
  <c r="L86"/>
  <c r="K85"/>
  <c r="L85"/>
  <c r="L23"/>
  <c r="L27"/>
  <c r="K30"/>
  <c r="K34"/>
  <c r="K38"/>
  <c r="K42"/>
  <c r="K46"/>
  <c r="K50"/>
  <c r="K54"/>
  <c r="K58"/>
  <c r="K62"/>
  <c r="K66"/>
  <c r="K70"/>
  <c r="K74"/>
  <c r="K78"/>
  <c r="K82"/>
  <c r="K86"/>
  <c r="F20"/>
  <c r="F24"/>
  <c r="F28"/>
  <c r="D9" i="1"/>
  <c r="T21"/>
  <c r="S14" i="18" s="1"/>
  <c r="T19" i="1"/>
  <c r="S12" i="18" s="1"/>
  <c r="T16" i="1"/>
  <c r="S9" i="18" s="1"/>
  <c r="T17" i="1"/>
  <c r="S10" i="18" s="1"/>
  <c r="T15" i="1"/>
  <c r="S8" i="18" s="1"/>
  <c r="G12" i="15"/>
  <c r="T14" i="1"/>
  <c r="S7" i="18" s="1"/>
  <c r="AH7" i="3" l="1"/>
  <c r="AH8"/>
  <c r="AH9"/>
  <c r="AJ10"/>
  <c r="AJ11"/>
  <c r="AJ12"/>
  <c r="AJ13"/>
  <c r="AJ14"/>
  <c r="AJ15"/>
  <c r="AJ16"/>
  <c r="AJ17"/>
  <c r="AJ18"/>
  <c r="AJ19"/>
  <c r="AJ20"/>
  <c r="AJ21"/>
  <c r="AJ22"/>
  <c r="AJ23"/>
  <c r="AJ24"/>
  <c r="AJ25"/>
  <c r="AJ26"/>
  <c r="AJ27"/>
  <c r="AJ28"/>
  <c r="AJ29"/>
  <c r="AJ30"/>
  <c r="AJ31"/>
  <c r="AJ32"/>
  <c r="AJ33"/>
  <c r="AJ34"/>
  <c r="AJ35"/>
  <c r="AJ36"/>
  <c r="AJ37"/>
  <c r="AJ7"/>
  <c r="AJ8"/>
  <c r="AJ9"/>
  <c r="A6" i="14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37"/>
  <c r="T25" i="1"/>
  <c r="S18" i="18" s="1"/>
  <c r="T26" i="1"/>
  <c r="S19" i="18" s="1"/>
  <c r="T27" i="1"/>
  <c r="S20" i="18" s="1"/>
  <c r="T28" i="1"/>
  <c r="S21" i="18" s="1"/>
  <c r="T24" i="1"/>
  <c r="S17" i="18" s="1"/>
  <c r="T29" i="1"/>
  <c r="S22" i="18" s="1"/>
  <c r="T30" i="1"/>
  <c r="S23" i="18" s="1"/>
  <c r="T31" i="1"/>
  <c r="S24" i="18" s="1"/>
  <c r="T32" i="1"/>
  <c r="S25" i="18" s="1"/>
  <c r="T33" i="1"/>
  <c r="S26" i="18" s="1"/>
  <c r="T34" i="1"/>
  <c r="S27" i="18" s="1"/>
  <c r="T35" i="1"/>
  <c r="S28" i="18" s="1"/>
  <c r="T36" i="1"/>
  <c r="S29" i="18" s="1"/>
  <c r="T37" i="1"/>
  <c r="S30" i="18" s="1"/>
  <c r="T38" i="1"/>
  <c r="S31" i="18" s="1"/>
  <c r="T39" i="1"/>
  <c r="S32" i="18" s="1"/>
  <c r="T40" i="1"/>
  <c r="S33" i="18" s="1"/>
  <c r="T23" i="1"/>
  <c r="S16" i="18" s="1"/>
  <c r="T22" i="1"/>
  <c r="S15" i="18" s="1"/>
  <c r="Q15" i="3"/>
  <c r="T20" i="1"/>
  <c r="S13" i="18" s="1"/>
  <c r="T18" i="1"/>
  <c r="S11" i="18" s="1"/>
  <c r="B7" i="12"/>
  <c r="B8"/>
  <c r="B9"/>
  <c r="B10"/>
  <c r="B11"/>
  <c r="B12"/>
  <c r="B13"/>
  <c r="B14"/>
  <c r="B15"/>
  <c r="B16"/>
  <c r="B17"/>
  <c r="B18"/>
  <c r="B19"/>
  <c r="B20"/>
  <c r="B21"/>
  <c r="B22"/>
  <c r="B23"/>
  <c r="B24"/>
  <c r="B25"/>
  <c r="B26"/>
  <c r="B27"/>
  <c r="B28"/>
  <c r="B29"/>
  <c r="B30"/>
  <c r="B31"/>
  <c r="B32"/>
  <c r="B33"/>
  <c r="B34"/>
  <c r="B35"/>
  <c r="B36"/>
  <c r="B37"/>
  <c r="B6"/>
  <c r="T41" i="1" l="1"/>
  <c r="S34" i="18" s="1"/>
  <c r="AD11" i="3"/>
  <c r="AD12"/>
  <c r="AD13"/>
  <c r="AD14"/>
  <c r="AD15"/>
  <c r="AD16"/>
  <c r="K9" i="12"/>
  <c r="AK15" i="1"/>
  <c r="AK16"/>
  <c r="AK13"/>
  <c r="AK14"/>
  <c r="T13" l="1"/>
  <c r="S6" i="18" s="1"/>
  <c r="G13" i="15"/>
  <c r="G14"/>
  <c r="G10"/>
  <c r="G11"/>
  <c r="T42" i="1"/>
  <c r="E34" i="24" s="1"/>
  <c r="T12" i="1"/>
  <c r="S5" i="18" s="1"/>
  <c r="T11" i="1"/>
  <c r="S4" i="18" s="1"/>
  <c r="T43" i="1"/>
  <c r="T44"/>
  <c r="B34" i="24"/>
  <c r="C34"/>
  <c r="A37" i="13"/>
  <c r="A37" i="12"/>
  <c r="A3" i="7"/>
  <c r="A4"/>
  <c r="A5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2"/>
  <c r="A41" i="15"/>
  <c r="A47" i="3"/>
  <c r="A48"/>
  <c r="A49"/>
  <c r="A50"/>
  <c r="A51"/>
  <c r="A52"/>
  <c r="A53"/>
  <c r="A54"/>
  <c r="A55"/>
  <c r="A56"/>
  <c r="A57"/>
  <c r="A58"/>
  <c r="A59"/>
  <c r="A60"/>
  <c r="A61"/>
  <c r="A62"/>
  <c r="A63"/>
  <c r="A64"/>
  <c r="A65"/>
  <c r="A66"/>
  <c r="A67"/>
  <c r="A68"/>
  <c r="A69"/>
  <c r="A70"/>
  <c r="A71"/>
  <c r="A72"/>
  <c r="A73"/>
  <c r="A74"/>
  <c r="A75"/>
  <c r="A76"/>
  <c r="A77"/>
  <c r="A78"/>
  <c r="A46"/>
  <c r="I45" i="1" l="1"/>
  <c r="J45"/>
  <c r="K45"/>
  <c r="L45"/>
  <c r="M45"/>
  <c r="N45"/>
  <c r="O45"/>
  <c r="P45"/>
  <c r="Q45"/>
  <c r="R45"/>
  <c r="S45"/>
  <c r="T9"/>
  <c r="AS9" s="1"/>
  <c r="U9"/>
  <c r="T10"/>
  <c r="V10" s="1"/>
  <c r="U10"/>
  <c r="AK10"/>
  <c r="U11"/>
  <c r="V11" s="1"/>
  <c r="AK11"/>
  <c r="U12"/>
  <c r="V12" s="1"/>
  <c r="AK12"/>
  <c r="AS12" s="1"/>
  <c r="AT12" s="1"/>
  <c r="U13"/>
  <c r="V13" s="1"/>
  <c r="AS13"/>
  <c r="AT13" s="1"/>
  <c r="U14"/>
  <c r="V14" s="1"/>
  <c r="U15"/>
  <c r="U16"/>
  <c r="V16" s="1"/>
  <c r="AS16"/>
  <c r="AT16" s="1"/>
  <c r="U17"/>
  <c r="AK17"/>
  <c r="AS17" s="1"/>
  <c r="AT17" s="1"/>
  <c r="U18"/>
  <c r="AK18"/>
  <c r="U19"/>
  <c r="V19" s="1"/>
  <c r="AK19"/>
  <c r="U20"/>
  <c r="AK20"/>
  <c r="U21"/>
  <c r="AK21"/>
  <c r="AS21" s="1"/>
  <c r="AT21" s="1"/>
  <c r="U22"/>
  <c r="AK22"/>
  <c r="U23"/>
  <c r="V23" s="1"/>
  <c r="AK23"/>
  <c r="U24"/>
  <c r="AK24"/>
  <c r="U25"/>
  <c r="AK25"/>
  <c r="U26"/>
  <c r="AK26"/>
  <c r="U27"/>
  <c r="V27" s="1"/>
  <c r="AK27"/>
  <c r="U28"/>
  <c r="AK28"/>
  <c r="U29"/>
  <c r="V29" s="1"/>
  <c r="AK29"/>
  <c r="AS29" s="1"/>
  <c r="AT29" s="1"/>
  <c r="U30"/>
  <c r="V30" s="1"/>
  <c r="AK30"/>
  <c r="U31"/>
  <c r="V31" s="1"/>
  <c r="AK31"/>
  <c r="U32"/>
  <c r="V32" s="1"/>
  <c r="AK32"/>
  <c r="U33"/>
  <c r="V33" s="1"/>
  <c r="AK33"/>
  <c r="U34"/>
  <c r="V34" s="1"/>
  <c r="AK34"/>
  <c r="U35"/>
  <c r="AK35"/>
  <c r="U36"/>
  <c r="AK36"/>
  <c r="AS36" s="1"/>
  <c r="U37"/>
  <c r="V37" s="1"/>
  <c r="AK37"/>
  <c r="U38"/>
  <c r="V38" s="1"/>
  <c r="AK38"/>
  <c r="U39"/>
  <c r="AK39"/>
  <c r="U40"/>
  <c r="AK40"/>
  <c r="AS40" s="1"/>
  <c r="U41"/>
  <c r="AK41"/>
  <c r="U42"/>
  <c r="F34" i="24" s="1"/>
  <c r="AK42" i="1"/>
  <c r="I34" i="24" s="1"/>
  <c r="U43" i="1"/>
  <c r="AK43"/>
  <c r="AK44"/>
  <c r="W45"/>
  <c r="X45"/>
  <c r="Y45"/>
  <c r="Z45"/>
  <c r="AA45"/>
  <c r="AB45"/>
  <c r="AC45"/>
  <c r="AD45"/>
  <c r="AE45"/>
  <c r="AF45"/>
  <c r="AG45"/>
  <c r="AH45"/>
  <c r="AI45"/>
  <c r="AJ45"/>
  <c r="U45" l="1"/>
  <c r="AS32"/>
  <c r="AT32" s="1"/>
  <c r="AS31"/>
  <c r="AT31" s="1"/>
  <c r="AS30"/>
  <c r="AT30" s="1"/>
  <c r="AS11"/>
  <c r="AT11" s="1"/>
  <c r="AS41"/>
  <c r="V40"/>
  <c r="AS33"/>
  <c r="AS35"/>
  <c r="AS25"/>
  <c r="AT25" s="1"/>
  <c r="AS44"/>
  <c r="AT44" s="1"/>
  <c r="AS42"/>
  <c r="AT42" s="1"/>
  <c r="AS38"/>
  <c r="V36"/>
  <c r="AS34"/>
  <c r="V28"/>
  <c r="AS26"/>
  <c r="AT26" s="1"/>
  <c r="V24"/>
  <c r="AS22"/>
  <c r="AT22" s="1"/>
  <c r="V20"/>
  <c r="AS18"/>
  <c r="AT18" s="1"/>
  <c r="AS14"/>
  <c r="AT14" s="1"/>
  <c r="V15"/>
  <c r="AS15"/>
  <c r="AT15" s="1"/>
  <c r="V39"/>
  <c r="AS39"/>
  <c r="AS43"/>
  <c r="AT43" s="1"/>
  <c r="V41"/>
  <c r="AS37"/>
  <c r="V35"/>
  <c r="AS20"/>
  <c r="AT20" s="1"/>
  <c r="AS19"/>
  <c r="AT19" s="1"/>
  <c r="V18"/>
  <c r="V17"/>
  <c r="AS28"/>
  <c r="AT28" s="1"/>
  <c r="AS27"/>
  <c r="AT27" s="1"/>
  <c r="V26"/>
  <c r="AS24"/>
  <c r="AT24" s="1"/>
  <c r="AS23"/>
  <c r="AT23" s="1"/>
  <c r="V22"/>
  <c r="V21"/>
  <c r="AK45"/>
  <c r="AS10"/>
  <c r="V25"/>
  <c r="V45" l="1"/>
  <c r="AS45"/>
  <c r="AS47" s="1"/>
  <c r="AS48" s="1"/>
  <c r="E14" i="3"/>
  <c r="E15"/>
  <c r="J50" l="1"/>
  <c r="J51"/>
  <c r="J52"/>
  <c r="J53"/>
  <c r="J54"/>
  <c r="J55"/>
  <c r="J56"/>
  <c r="J57"/>
  <c r="J58"/>
  <c r="J59"/>
  <c r="J60"/>
  <c r="J61"/>
  <c r="J62"/>
  <c r="J63"/>
  <c r="J64"/>
  <c r="J65"/>
  <c r="J66"/>
  <c r="J67"/>
  <c r="J68"/>
  <c r="J69"/>
  <c r="J70"/>
  <c r="J71"/>
  <c r="J72"/>
  <c r="J73"/>
  <c r="J74"/>
  <c r="J75"/>
  <c r="J76"/>
  <c r="J77"/>
  <c r="H50"/>
  <c r="H51"/>
  <c r="H52"/>
  <c r="H53"/>
  <c r="H54"/>
  <c r="H55"/>
  <c r="H56"/>
  <c r="H57"/>
  <c r="H58"/>
  <c r="H59"/>
  <c r="H60"/>
  <c r="H61"/>
  <c r="H62"/>
  <c r="H63"/>
  <c r="H64"/>
  <c r="H65"/>
  <c r="H66"/>
  <c r="H67"/>
  <c r="H68"/>
  <c r="H69"/>
  <c r="H70"/>
  <c r="H71"/>
  <c r="H72"/>
  <c r="H73"/>
  <c r="H74"/>
  <c r="H75"/>
  <c r="H76"/>
  <c r="H77"/>
  <c r="F50"/>
  <c r="F51"/>
  <c r="F52"/>
  <c r="F53"/>
  <c r="F54"/>
  <c r="F55"/>
  <c r="F56"/>
  <c r="F57"/>
  <c r="F58"/>
  <c r="F59"/>
  <c r="F60"/>
  <c r="F61"/>
  <c r="F62"/>
  <c r="F63"/>
  <c r="F64"/>
  <c r="F65"/>
  <c r="F66"/>
  <c r="F67"/>
  <c r="F68"/>
  <c r="F69"/>
  <c r="F70"/>
  <c r="F71"/>
  <c r="F72"/>
  <c r="F73"/>
  <c r="F74"/>
  <c r="F75"/>
  <c r="F76"/>
  <c r="F77"/>
  <c r="D73"/>
  <c r="D74"/>
  <c r="D75"/>
  <c r="D76"/>
  <c r="D77"/>
  <c r="H47"/>
  <c r="H48"/>
  <c r="H49"/>
  <c r="H46"/>
  <c r="F47"/>
  <c r="F48"/>
  <c r="F49"/>
  <c r="F46"/>
  <c r="H11" i="15" l="1"/>
  <c r="I11" s="1"/>
  <c r="J11" s="1"/>
  <c r="H12"/>
  <c r="I12" s="1"/>
  <c r="J12" s="1"/>
  <c r="H13"/>
  <c r="I13" s="1"/>
  <c r="J13" s="1"/>
  <c r="H14"/>
  <c r="I14" s="1"/>
  <c r="J14" s="1"/>
  <c r="H15"/>
  <c r="I15" s="1"/>
  <c r="H16"/>
  <c r="I16" s="1"/>
  <c r="H17"/>
  <c r="I17" s="1"/>
  <c r="H18"/>
  <c r="I18" s="1"/>
  <c r="H19"/>
  <c r="I19" s="1"/>
  <c r="H20"/>
  <c r="I20" s="1"/>
  <c r="H21"/>
  <c r="I21" s="1"/>
  <c r="H22"/>
  <c r="I22" s="1"/>
  <c r="H23"/>
  <c r="I23" s="1"/>
  <c r="H24"/>
  <c r="I24" s="1"/>
  <c r="H25"/>
  <c r="I25" s="1"/>
  <c r="H26"/>
  <c r="I26" s="1"/>
  <c r="H27"/>
  <c r="I27" s="1"/>
  <c r="H28"/>
  <c r="I28" s="1"/>
  <c r="H29"/>
  <c r="H30"/>
  <c r="H31"/>
  <c r="H32"/>
  <c r="H33"/>
  <c r="H34"/>
  <c r="H35"/>
  <c r="H36"/>
  <c r="H37"/>
  <c r="H38"/>
  <c r="H39"/>
  <c r="H40"/>
  <c r="H41"/>
  <c r="H10"/>
  <c r="I29" l="1"/>
  <c r="I30"/>
  <c r="I31"/>
  <c r="I32"/>
  <c r="I33"/>
  <c r="I34"/>
  <c r="I35"/>
  <c r="I36"/>
  <c r="I37"/>
  <c r="I38"/>
  <c r="I39"/>
  <c r="I40"/>
  <c r="I41"/>
  <c r="G15"/>
  <c r="J15" s="1"/>
  <c r="G16"/>
  <c r="J16" s="1"/>
  <c r="G17"/>
  <c r="J17" s="1"/>
  <c r="G18"/>
  <c r="J18" s="1"/>
  <c r="G19"/>
  <c r="J19" s="1"/>
  <c r="G20"/>
  <c r="J20" s="1"/>
  <c r="G21"/>
  <c r="J21" s="1"/>
  <c r="G22"/>
  <c r="J22" s="1"/>
  <c r="G23"/>
  <c r="J23" s="1"/>
  <c r="G24"/>
  <c r="J24" s="1"/>
  <c r="G25"/>
  <c r="J25" s="1"/>
  <c r="G26"/>
  <c r="J26" s="1"/>
  <c r="G27"/>
  <c r="J27" s="1"/>
  <c r="G28"/>
  <c r="J28" s="1"/>
  <c r="G29"/>
  <c r="G30"/>
  <c r="G31"/>
  <c r="G32"/>
  <c r="G33"/>
  <c r="G34"/>
  <c r="G35"/>
  <c r="G36"/>
  <c r="G37"/>
  <c r="G38"/>
  <c r="G39"/>
  <c r="G40"/>
  <c r="E7" i="3" l="1"/>
  <c r="F6" i="23" s="1"/>
  <c r="E8" i="3"/>
  <c r="F7" i="23" s="1"/>
  <c r="E9" i="3"/>
  <c r="F8" i="23" s="1"/>
  <c r="E6" i="3"/>
  <c r="F5" i="23" s="1"/>
  <c r="Q7" i="3"/>
  <c r="Q8"/>
  <c r="Q9"/>
  <c r="Q10"/>
  <c r="Q11"/>
  <c r="Q12"/>
  <c r="Q13"/>
  <c r="Q14"/>
  <c r="Q16"/>
  <c r="Q17"/>
  <c r="Q18"/>
  <c r="Q19"/>
  <c r="Q20"/>
  <c r="Q21"/>
  <c r="Q22"/>
  <c r="Q23"/>
  <c r="Q24"/>
  <c r="O5"/>
  <c r="O7"/>
  <c r="O8"/>
  <c r="O9"/>
  <c r="O10"/>
  <c r="O11"/>
  <c r="O12"/>
  <c r="O13"/>
  <c r="O14"/>
  <c r="O15"/>
  <c r="O16"/>
  <c r="O17"/>
  <c r="O18"/>
  <c r="O19"/>
  <c r="O20"/>
  <c r="O21"/>
  <c r="O22"/>
  <c r="O23"/>
  <c r="O24"/>
  <c r="N7"/>
  <c r="N8"/>
  <c r="N9"/>
  <c r="N10"/>
  <c r="N11"/>
  <c r="N12"/>
  <c r="N13"/>
  <c r="N14"/>
  <c r="N15"/>
  <c r="N16"/>
  <c r="N17"/>
  <c r="N18"/>
  <c r="N19"/>
  <c r="N20"/>
  <c r="N21"/>
  <c r="N22"/>
  <c r="N23"/>
  <c r="N24"/>
  <c r="L5"/>
  <c r="L7"/>
  <c r="L8"/>
  <c r="L9"/>
  <c r="L10"/>
  <c r="L11"/>
  <c r="L12"/>
  <c r="L13"/>
  <c r="L14"/>
  <c r="L15"/>
  <c r="L18"/>
  <c r="L19"/>
  <c r="L20"/>
  <c r="L21"/>
  <c r="L22"/>
  <c r="L23"/>
  <c r="L24"/>
  <c r="I5"/>
  <c r="I7"/>
  <c r="I8"/>
  <c r="I9"/>
  <c r="I10"/>
  <c r="I11"/>
  <c r="I12"/>
  <c r="I13"/>
  <c r="I14"/>
  <c r="I15"/>
  <c r="I16"/>
  <c r="I17"/>
  <c r="I19"/>
  <c r="I20"/>
  <c r="I21"/>
  <c r="I22"/>
  <c r="I23"/>
  <c r="I24"/>
  <c r="H7"/>
  <c r="H8"/>
  <c r="H9"/>
  <c r="H10"/>
  <c r="H11"/>
  <c r="H12"/>
  <c r="H13"/>
  <c r="H14"/>
  <c r="H15"/>
  <c r="H16"/>
  <c r="H17"/>
  <c r="H18"/>
  <c r="H19"/>
  <c r="H20"/>
  <c r="H21"/>
  <c r="H22"/>
  <c r="H23"/>
  <c r="H24"/>
  <c r="H25"/>
  <c r="V4" i="18" l="1"/>
  <c r="D4"/>
  <c r="Y28" i="12"/>
  <c r="Y29"/>
  <c r="Y36"/>
  <c r="Y37"/>
  <c r="V33"/>
  <c r="V34"/>
  <c r="S30"/>
  <c r="S31"/>
  <c r="P27"/>
  <c r="P28"/>
  <c r="P35"/>
  <c r="P36"/>
  <c r="M32"/>
  <c r="M33"/>
  <c r="W7"/>
  <c r="Y7" s="1"/>
  <c r="W8"/>
  <c r="Y8" s="1"/>
  <c r="W9"/>
  <c r="Y9" s="1"/>
  <c r="W10"/>
  <c r="Y10" s="1"/>
  <c r="W11"/>
  <c r="Y11" s="1"/>
  <c r="W12"/>
  <c r="Y12" s="1"/>
  <c r="W13"/>
  <c r="Y13" s="1"/>
  <c r="W14"/>
  <c r="Y14" s="1"/>
  <c r="W15"/>
  <c r="Y15" s="1"/>
  <c r="W16"/>
  <c r="Y16" s="1"/>
  <c r="W17"/>
  <c r="Y17" s="1"/>
  <c r="W18"/>
  <c r="Y18" s="1"/>
  <c r="W19"/>
  <c r="Y19" s="1"/>
  <c r="W20"/>
  <c r="Y20" s="1"/>
  <c r="W21"/>
  <c r="Y21" s="1"/>
  <c r="W22"/>
  <c r="Y22" s="1"/>
  <c r="W23"/>
  <c r="Y23" s="1"/>
  <c r="W24"/>
  <c r="Y24" s="1"/>
  <c r="W25"/>
  <c r="Y25" s="1"/>
  <c r="W26"/>
  <c r="Y26" s="1"/>
  <c r="W27"/>
  <c r="Y27" s="1"/>
  <c r="W28"/>
  <c r="W29"/>
  <c r="W30"/>
  <c r="Y30" s="1"/>
  <c r="Z30" s="1"/>
  <c r="W31"/>
  <c r="Y31" s="1"/>
  <c r="W32"/>
  <c r="Y32" s="1"/>
  <c r="W33"/>
  <c r="Y33" s="1"/>
  <c r="W34"/>
  <c r="Y34" s="1"/>
  <c r="W35"/>
  <c r="Y35" s="1"/>
  <c r="W36"/>
  <c r="W37"/>
  <c r="T7"/>
  <c r="V7" s="1"/>
  <c r="T8"/>
  <c r="V8" s="1"/>
  <c r="T9"/>
  <c r="V9" s="1"/>
  <c r="T10"/>
  <c r="V10" s="1"/>
  <c r="T11"/>
  <c r="V11" s="1"/>
  <c r="T12"/>
  <c r="V12" s="1"/>
  <c r="T13"/>
  <c r="V13" s="1"/>
  <c r="T14"/>
  <c r="V14" s="1"/>
  <c r="T15"/>
  <c r="V15" s="1"/>
  <c r="T16"/>
  <c r="V16" s="1"/>
  <c r="T17"/>
  <c r="V17" s="1"/>
  <c r="T18"/>
  <c r="V18" s="1"/>
  <c r="T19"/>
  <c r="V19" s="1"/>
  <c r="T20"/>
  <c r="V20" s="1"/>
  <c r="T21"/>
  <c r="V21" s="1"/>
  <c r="T22"/>
  <c r="V22" s="1"/>
  <c r="T23"/>
  <c r="V23" s="1"/>
  <c r="T24"/>
  <c r="V24" s="1"/>
  <c r="T25"/>
  <c r="V25" s="1"/>
  <c r="T26"/>
  <c r="V26" s="1"/>
  <c r="T27"/>
  <c r="V27" s="1"/>
  <c r="T28"/>
  <c r="V28" s="1"/>
  <c r="T29"/>
  <c r="V29" s="1"/>
  <c r="T30"/>
  <c r="V30" s="1"/>
  <c r="T31"/>
  <c r="V31" s="1"/>
  <c r="T32"/>
  <c r="V32" s="1"/>
  <c r="T33"/>
  <c r="T34"/>
  <c r="T35"/>
  <c r="V35" s="1"/>
  <c r="T36"/>
  <c r="V36" s="1"/>
  <c r="T37"/>
  <c r="V37" s="1"/>
  <c r="Q7"/>
  <c r="S7" s="1"/>
  <c r="Q8"/>
  <c r="S8" s="1"/>
  <c r="Q9"/>
  <c r="S9" s="1"/>
  <c r="Q10"/>
  <c r="S10" s="1"/>
  <c r="Q11"/>
  <c r="S11" s="1"/>
  <c r="Q12"/>
  <c r="S12" s="1"/>
  <c r="Q13"/>
  <c r="S13" s="1"/>
  <c r="Q14"/>
  <c r="S14" s="1"/>
  <c r="Q15"/>
  <c r="S15" s="1"/>
  <c r="Q16"/>
  <c r="S16" s="1"/>
  <c r="Q17"/>
  <c r="S17" s="1"/>
  <c r="Q18"/>
  <c r="S18" s="1"/>
  <c r="Q19"/>
  <c r="S19" s="1"/>
  <c r="Q20"/>
  <c r="S20" s="1"/>
  <c r="Q21"/>
  <c r="S21" s="1"/>
  <c r="Q22"/>
  <c r="S22" s="1"/>
  <c r="Q23"/>
  <c r="S23" s="1"/>
  <c r="Q24"/>
  <c r="S24" s="1"/>
  <c r="Q25"/>
  <c r="S25" s="1"/>
  <c r="Q26"/>
  <c r="S26" s="1"/>
  <c r="Q27"/>
  <c r="S27" s="1"/>
  <c r="Q28"/>
  <c r="S28" s="1"/>
  <c r="Q29"/>
  <c r="S29" s="1"/>
  <c r="Q30"/>
  <c r="Q31"/>
  <c r="Q32"/>
  <c r="S32" s="1"/>
  <c r="Q33"/>
  <c r="S33" s="1"/>
  <c r="Q34"/>
  <c r="S34" s="1"/>
  <c r="Q35"/>
  <c r="S35" s="1"/>
  <c r="Q36"/>
  <c r="S36" s="1"/>
  <c r="Q37"/>
  <c r="S37" s="1"/>
  <c r="N7"/>
  <c r="P7" s="1"/>
  <c r="N8"/>
  <c r="P8" s="1"/>
  <c r="N9"/>
  <c r="P9" s="1"/>
  <c r="N10"/>
  <c r="P10" s="1"/>
  <c r="N11"/>
  <c r="P11" s="1"/>
  <c r="N12"/>
  <c r="P12" s="1"/>
  <c r="N13"/>
  <c r="P13" s="1"/>
  <c r="N14"/>
  <c r="P14" s="1"/>
  <c r="N15"/>
  <c r="P15" s="1"/>
  <c r="N16"/>
  <c r="P16" s="1"/>
  <c r="N18"/>
  <c r="P18" s="1"/>
  <c r="N19"/>
  <c r="P19" s="1"/>
  <c r="N20"/>
  <c r="P20" s="1"/>
  <c r="N21"/>
  <c r="P21" s="1"/>
  <c r="N22"/>
  <c r="P22" s="1"/>
  <c r="N23"/>
  <c r="P23" s="1"/>
  <c r="N24"/>
  <c r="P24" s="1"/>
  <c r="N25"/>
  <c r="P25" s="1"/>
  <c r="N26"/>
  <c r="P26" s="1"/>
  <c r="N27"/>
  <c r="N28"/>
  <c r="N29"/>
  <c r="P29" s="1"/>
  <c r="N30"/>
  <c r="P30" s="1"/>
  <c r="N31"/>
  <c r="P31" s="1"/>
  <c r="N32"/>
  <c r="P32" s="1"/>
  <c r="N33"/>
  <c r="P33" s="1"/>
  <c r="N34"/>
  <c r="P34" s="1"/>
  <c r="N35"/>
  <c r="N36"/>
  <c r="N37"/>
  <c r="P37" s="1"/>
  <c r="K7"/>
  <c r="M7" s="1"/>
  <c r="K8"/>
  <c r="M8" s="1"/>
  <c r="M9"/>
  <c r="K10"/>
  <c r="M10" s="1"/>
  <c r="K11"/>
  <c r="M11" s="1"/>
  <c r="K12"/>
  <c r="M12" s="1"/>
  <c r="K13"/>
  <c r="M13" s="1"/>
  <c r="K14"/>
  <c r="M14" s="1"/>
  <c r="K15"/>
  <c r="M15" s="1"/>
  <c r="K16"/>
  <c r="M16" s="1"/>
  <c r="K17"/>
  <c r="M17" s="1"/>
  <c r="K18"/>
  <c r="M18" s="1"/>
  <c r="K19"/>
  <c r="M19" s="1"/>
  <c r="K20"/>
  <c r="M20" s="1"/>
  <c r="K21"/>
  <c r="M21" s="1"/>
  <c r="K22"/>
  <c r="M22" s="1"/>
  <c r="K23"/>
  <c r="M23" s="1"/>
  <c r="K24"/>
  <c r="M24" s="1"/>
  <c r="K25"/>
  <c r="M25" s="1"/>
  <c r="K26"/>
  <c r="M26" s="1"/>
  <c r="K27"/>
  <c r="M27" s="1"/>
  <c r="K28"/>
  <c r="M28" s="1"/>
  <c r="K29"/>
  <c r="M29" s="1"/>
  <c r="K30"/>
  <c r="M30" s="1"/>
  <c r="K31"/>
  <c r="M31" s="1"/>
  <c r="K32"/>
  <c r="K33"/>
  <c r="K34"/>
  <c r="M34" s="1"/>
  <c r="K35"/>
  <c r="M35" s="1"/>
  <c r="K36"/>
  <c r="M36" s="1"/>
  <c r="K37"/>
  <c r="M37" s="1"/>
  <c r="W6"/>
  <c r="Y6" s="1"/>
  <c r="T6"/>
  <c r="V6" s="1"/>
  <c r="Q6"/>
  <c r="S6" s="1"/>
  <c r="N6"/>
  <c r="P6" s="1"/>
  <c r="K6"/>
  <c r="M6" s="1"/>
  <c r="Z37" l="1"/>
  <c r="Z35"/>
  <c r="Z27"/>
  <c r="Z36"/>
  <c r="Z29"/>
  <c r="Z34"/>
  <c r="Z33"/>
  <c r="Z28"/>
  <c r="Z32"/>
  <c r="Z31"/>
  <c r="Z26"/>
  <c r="Z25"/>
  <c r="Z24"/>
  <c r="Z23"/>
  <c r="Z22"/>
  <c r="Z21"/>
  <c r="Z20"/>
  <c r="Z19"/>
  <c r="Z18"/>
  <c r="Z17"/>
  <c r="Z16"/>
  <c r="Z15"/>
  <c r="Z14"/>
  <c r="Z13"/>
  <c r="Z12"/>
  <c r="Z11"/>
  <c r="Z10"/>
  <c r="Z9"/>
  <c r="Z8"/>
  <c r="Z7"/>
  <c r="H5" i="3"/>
  <c r="H6"/>
  <c r="I6"/>
  <c r="Q6"/>
  <c r="O6"/>
  <c r="Q5"/>
  <c r="N5"/>
  <c r="N6"/>
  <c r="L6"/>
  <c r="Z6" i="12"/>
  <c r="S6" i="3"/>
  <c r="S7"/>
  <c r="S8"/>
  <c r="S9"/>
  <c r="S10"/>
  <c r="S11"/>
  <c r="S12"/>
  <c r="S13"/>
  <c r="S14"/>
  <c r="S15"/>
  <c r="S16"/>
  <c r="S17"/>
  <c r="S18"/>
  <c r="S19"/>
  <c r="S20"/>
  <c r="S21"/>
  <c r="S22"/>
  <c r="S23"/>
  <c r="S24"/>
  <c r="Q6" i="13"/>
  <c r="R6" s="1"/>
  <c r="U6"/>
  <c r="Y6"/>
  <c r="Z6" s="1"/>
  <c r="AA6" s="1"/>
  <c r="AC6"/>
  <c r="Q7"/>
  <c r="R7" s="1"/>
  <c r="U7"/>
  <c r="V7" s="1"/>
  <c r="Y7"/>
  <c r="Z7" s="1"/>
  <c r="AA7" s="1"/>
  <c r="AC7"/>
  <c r="H6" i="23" s="1"/>
  <c r="Q8" i="13"/>
  <c r="R8" s="1"/>
  <c r="U8"/>
  <c r="V8" s="1"/>
  <c r="Y8"/>
  <c r="Z8" s="1"/>
  <c r="AA8" s="1"/>
  <c r="AC8"/>
  <c r="H7" i="23" s="1"/>
  <c r="Q9" i="13"/>
  <c r="R9" s="1"/>
  <c r="U9"/>
  <c r="V9" s="1"/>
  <c r="Y9"/>
  <c r="Z9" s="1"/>
  <c r="AA9" s="1"/>
  <c r="AC9"/>
  <c r="H8" i="23" s="1"/>
  <c r="Q10" i="13"/>
  <c r="R10" s="1"/>
  <c r="U10"/>
  <c r="V10" s="1"/>
  <c r="Y10"/>
  <c r="Z10" s="1"/>
  <c r="AA10" s="1"/>
  <c r="AC10"/>
  <c r="H9" i="23" s="1"/>
  <c r="Q11" i="13"/>
  <c r="R11" s="1"/>
  <c r="U11"/>
  <c r="V11" s="1"/>
  <c r="Y11"/>
  <c r="Z11" s="1"/>
  <c r="AA11" s="1"/>
  <c r="AC11"/>
  <c r="H10" i="23" s="1"/>
  <c r="Q12" i="13"/>
  <c r="R12" s="1"/>
  <c r="U12"/>
  <c r="V12" s="1"/>
  <c r="Y12"/>
  <c r="Z12" s="1"/>
  <c r="AA12" s="1"/>
  <c r="AC12"/>
  <c r="H11" i="23" s="1"/>
  <c r="Q13" i="13"/>
  <c r="R13" s="1"/>
  <c r="U13"/>
  <c r="V13" s="1"/>
  <c r="Y13"/>
  <c r="Z13" s="1"/>
  <c r="AA13" s="1"/>
  <c r="AC13"/>
  <c r="H12" i="23" s="1"/>
  <c r="Q14" i="13"/>
  <c r="R14" s="1"/>
  <c r="U14"/>
  <c r="V14" s="1"/>
  <c r="Y14"/>
  <c r="Z14" s="1"/>
  <c r="AA14" s="1"/>
  <c r="AC14"/>
  <c r="H13" i="23" s="1"/>
  <c r="Q15" i="13"/>
  <c r="R15" s="1"/>
  <c r="U15"/>
  <c r="V15" s="1"/>
  <c r="Y15"/>
  <c r="Z15" s="1"/>
  <c r="AA15" s="1"/>
  <c r="AC15"/>
  <c r="H14" i="23" s="1"/>
  <c r="Q16" i="13"/>
  <c r="R16" s="1"/>
  <c r="U16"/>
  <c r="V16" s="1"/>
  <c r="Y16"/>
  <c r="Z16" s="1"/>
  <c r="AA16" s="1"/>
  <c r="AC16"/>
  <c r="H15" i="23" s="1"/>
  <c r="Q17" i="13"/>
  <c r="R17" s="1"/>
  <c r="U17"/>
  <c r="V17" s="1"/>
  <c r="Y17"/>
  <c r="Z17" s="1"/>
  <c r="AA17" s="1"/>
  <c r="AC17"/>
  <c r="H16" i="23" s="1"/>
  <c r="R18" i="13"/>
  <c r="U18"/>
  <c r="V18" s="1"/>
  <c r="Y18"/>
  <c r="Z18" s="1"/>
  <c r="AA18" s="1"/>
  <c r="AC18"/>
  <c r="H17" i="23" s="1"/>
  <c r="R19" i="13"/>
  <c r="U19"/>
  <c r="V19" s="1"/>
  <c r="Y19"/>
  <c r="Z19" s="1"/>
  <c r="AA19" s="1"/>
  <c r="AC19"/>
  <c r="H18" i="23" s="1"/>
  <c r="Q20" i="13"/>
  <c r="R20" s="1"/>
  <c r="U20"/>
  <c r="V20" s="1"/>
  <c r="Y20"/>
  <c r="Z20" s="1"/>
  <c r="AA20" s="1"/>
  <c r="H19" i="23"/>
  <c r="Q21" i="13"/>
  <c r="R21" s="1"/>
  <c r="U21"/>
  <c r="V21" s="1"/>
  <c r="Y21"/>
  <c r="Z21" s="1"/>
  <c r="AA21" s="1"/>
  <c r="AC21"/>
  <c r="H20" i="23" s="1"/>
  <c r="Q22" i="13"/>
  <c r="R22" s="1"/>
  <c r="U22"/>
  <c r="V22" s="1"/>
  <c r="Y22"/>
  <c r="Z22" s="1"/>
  <c r="AA22" s="1"/>
  <c r="AC22"/>
  <c r="H21" i="23" s="1"/>
  <c r="Q23" i="13"/>
  <c r="R23" s="1"/>
  <c r="U23"/>
  <c r="V23" s="1"/>
  <c r="Y23"/>
  <c r="Z23" s="1"/>
  <c r="AA23" s="1"/>
  <c r="AC23"/>
  <c r="H22" i="23" s="1"/>
  <c r="Q24" i="13"/>
  <c r="R24" s="1"/>
  <c r="U24"/>
  <c r="V24" s="1"/>
  <c r="Y24"/>
  <c r="Z24" s="1"/>
  <c r="AA24" s="1"/>
  <c r="AC24"/>
  <c r="H23" i="23" s="1"/>
  <c r="Q25" i="13"/>
  <c r="R25" s="1"/>
  <c r="U25"/>
  <c r="V25" s="1"/>
  <c r="Y25"/>
  <c r="Z25" s="1"/>
  <c r="AA25" s="1"/>
  <c r="AC25"/>
  <c r="H24" i="23" s="1"/>
  <c r="Q26" i="13"/>
  <c r="R26" s="1"/>
  <c r="U26"/>
  <c r="V26" s="1"/>
  <c r="Y26"/>
  <c r="Z26" s="1"/>
  <c r="AA26" s="1"/>
  <c r="AC26"/>
  <c r="H25" i="23" s="1"/>
  <c r="Q27" i="13"/>
  <c r="R27" s="1"/>
  <c r="U27"/>
  <c r="V27" s="1"/>
  <c r="Y27"/>
  <c r="Z27" s="1"/>
  <c r="AA27" s="1"/>
  <c r="AC27"/>
  <c r="H26" i="23" s="1"/>
  <c r="Q28" i="13"/>
  <c r="R28" s="1"/>
  <c r="U28"/>
  <c r="V28" s="1"/>
  <c r="Y28"/>
  <c r="Z28" s="1"/>
  <c r="AA28" s="1"/>
  <c r="AC28"/>
  <c r="H27" i="23" s="1"/>
  <c r="U25" i="3"/>
  <c r="X19"/>
  <c r="X20"/>
  <c r="X21"/>
  <c r="X22"/>
  <c r="X23"/>
  <c r="X24"/>
  <c r="AA19"/>
  <c r="AA20"/>
  <c r="AA21"/>
  <c r="AA22"/>
  <c r="AA23"/>
  <c r="AA24"/>
  <c r="AA25"/>
  <c r="AD19"/>
  <c r="AD20"/>
  <c r="AD21"/>
  <c r="AD22"/>
  <c r="AD23"/>
  <c r="AD24"/>
  <c r="AG19"/>
  <c r="AG20"/>
  <c r="AG21"/>
  <c r="AG22"/>
  <c r="AG23"/>
  <c r="AG24"/>
  <c r="AG25"/>
  <c r="AM18"/>
  <c r="AM19"/>
  <c r="AM20"/>
  <c r="AM21"/>
  <c r="AM22"/>
  <c r="AM23"/>
  <c r="AM24"/>
  <c r="AM25"/>
  <c r="AM26"/>
  <c r="C7" i="11"/>
  <c r="C11"/>
  <c r="C15"/>
  <c r="C19"/>
  <c r="C23"/>
  <c r="C6"/>
  <c r="C8"/>
  <c r="C9"/>
  <c r="C10"/>
  <c r="C12"/>
  <c r="C13"/>
  <c r="C14"/>
  <c r="C16"/>
  <c r="C17"/>
  <c r="C18"/>
  <c r="C20"/>
  <c r="C21"/>
  <c r="C22"/>
  <c r="C24"/>
  <c r="C25"/>
  <c r="C26"/>
  <c r="C27"/>
  <c r="C28"/>
  <c r="C29"/>
  <c r="C30"/>
  <c r="C31"/>
  <c r="C32"/>
  <c r="C33"/>
  <c r="C34"/>
  <c r="C35"/>
  <c r="C36"/>
  <c r="AM37" i="3" l="1"/>
  <c r="AM36"/>
  <c r="AM35"/>
  <c r="AM34"/>
  <c r="AM33"/>
  <c r="AM32"/>
  <c r="AM31"/>
  <c r="AM30"/>
  <c r="AM29"/>
  <c r="AM28"/>
  <c r="AM27"/>
  <c r="AM17"/>
  <c r="AM16"/>
  <c r="AM15"/>
  <c r="AM14"/>
  <c r="AM13"/>
  <c r="AM12"/>
  <c r="AM11"/>
  <c r="AM10"/>
  <c r="AM9"/>
  <c r="AM8"/>
  <c r="AM7"/>
  <c r="AM6"/>
  <c r="AJ6"/>
  <c r="AG37"/>
  <c r="AG36"/>
  <c r="AG35"/>
  <c r="AG34"/>
  <c r="AG33"/>
  <c r="AG32"/>
  <c r="AG31"/>
  <c r="AG30"/>
  <c r="AG29"/>
  <c r="AG28"/>
  <c r="AG27"/>
  <c r="AG26"/>
  <c r="AG18"/>
  <c r="AG17"/>
  <c r="AG16"/>
  <c r="AG15"/>
  <c r="AG14"/>
  <c r="AG13"/>
  <c r="AG12"/>
  <c r="AG11"/>
  <c r="AG10"/>
  <c r="AG9"/>
  <c r="AG8"/>
  <c r="AG7"/>
  <c r="AG6"/>
  <c r="AD37"/>
  <c r="AD36"/>
  <c r="AD35"/>
  <c r="AD34"/>
  <c r="AD33"/>
  <c r="AD32"/>
  <c r="AD31"/>
  <c r="AD30"/>
  <c r="AD29"/>
  <c r="AD28"/>
  <c r="AD27"/>
  <c r="AD26"/>
  <c r="AD25"/>
  <c r="AD18"/>
  <c r="AD17"/>
  <c r="AD10"/>
  <c r="AD9"/>
  <c r="AD8"/>
  <c r="AD7"/>
  <c r="AD6"/>
  <c r="AA37"/>
  <c r="AA36"/>
  <c r="AA35"/>
  <c r="AA34"/>
  <c r="AA33"/>
  <c r="AA32"/>
  <c r="AA31"/>
  <c r="AA30"/>
  <c r="AA29"/>
  <c r="AA28"/>
  <c r="AA27"/>
  <c r="AA26"/>
  <c r="AA18"/>
  <c r="AA17"/>
  <c r="AA16"/>
  <c r="AA15"/>
  <c r="AA14"/>
  <c r="AA13"/>
  <c r="AA12"/>
  <c r="AA11"/>
  <c r="AA10"/>
  <c r="AA9"/>
  <c r="AA8"/>
  <c r="AA7"/>
  <c r="AA6"/>
  <c r="X37"/>
  <c r="X36"/>
  <c r="X35"/>
  <c r="X34"/>
  <c r="X33"/>
  <c r="X32"/>
  <c r="X31"/>
  <c r="X30"/>
  <c r="X29"/>
  <c r="X28"/>
  <c r="X27"/>
  <c r="X26"/>
  <c r="X25"/>
  <c r="X18"/>
  <c r="X17"/>
  <c r="X16"/>
  <c r="X15"/>
  <c r="X14"/>
  <c r="X13"/>
  <c r="X12"/>
  <c r="X11"/>
  <c r="X10"/>
  <c r="X9"/>
  <c r="X8"/>
  <c r="X7"/>
  <c r="X6"/>
  <c r="U26"/>
  <c r="U27"/>
  <c r="U28"/>
  <c r="U29"/>
  <c r="U30"/>
  <c r="U31"/>
  <c r="U32"/>
  <c r="U33"/>
  <c r="U34"/>
  <c r="U35"/>
  <c r="U36"/>
  <c r="U37"/>
  <c r="Q37"/>
  <c r="Q36"/>
  <c r="Q35"/>
  <c r="Q34"/>
  <c r="Q33"/>
  <c r="Q32"/>
  <c r="Q31"/>
  <c r="Q30"/>
  <c r="Q29"/>
  <c r="Q28"/>
  <c r="Q27"/>
  <c r="Q26"/>
  <c r="Q25"/>
  <c r="N37"/>
  <c r="N36"/>
  <c r="N35"/>
  <c r="N34"/>
  <c r="N33"/>
  <c r="N32"/>
  <c r="N31"/>
  <c r="N30"/>
  <c r="N29"/>
  <c r="N28"/>
  <c r="N27"/>
  <c r="N26"/>
  <c r="N25"/>
  <c r="K37"/>
  <c r="K36"/>
  <c r="K35"/>
  <c r="K34"/>
  <c r="K33"/>
  <c r="K32"/>
  <c r="K31"/>
  <c r="K30"/>
  <c r="K29"/>
  <c r="K28"/>
  <c r="H26"/>
  <c r="H27"/>
  <c r="H28"/>
  <c r="H29"/>
  <c r="H30"/>
  <c r="H31"/>
  <c r="H32"/>
  <c r="H33"/>
  <c r="H34"/>
  <c r="H35"/>
  <c r="H36"/>
  <c r="H37"/>
  <c r="E18"/>
  <c r="F17" i="23" s="1"/>
  <c r="E19" i="3"/>
  <c r="F18" i="23" s="1"/>
  <c r="E20" i="3"/>
  <c r="F19" i="23" s="1"/>
  <c r="E21" i="3"/>
  <c r="F20" i="23" s="1"/>
  <c r="E22" i="3"/>
  <c r="F21" i="23" s="1"/>
  <c r="E23" i="3"/>
  <c r="F22" i="23" s="1"/>
  <c r="E24" i="3"/>
  <c r="F23" i="23" s="1"/>
  <c r="E25" i="3"/>
  <c r="F24" i="23" s="1"/>
  <c r="E26" i="3"/>
  <c r="F25" i="23" s="1"/>
  <c r="E27" i="3"/>
  <c r="F26" i="23" s="1"/>
  <c r="E28" i="3"/>
  <c r="F27" i="23" s="1"/>
  <c r="E29" i="3"/>
  <c r="F28" i="23" s="1"/>
  <c r="E30" i="3"/>
  <c r="F29" i="23" s="1"/>
  <c r="E31" i="3"/>
  <c r="F30" i="23" s="1"/>
  <c r="E32" i="3"/>
  <c r="F31" i="23" s="1"/>
  <c r="E33" i="3"/>
  <c r="F32" i="23" s="1"/>
  <c r="E34" i="3"/>
  <c r="F33" i="23" s="1"/>
  <c r="E35" i="3"/>
  <c r="F34" i="23" s="1"/>
  <c r="E36" i="3"/>
  <c r="F35" i="23" s="1"/>
  <c r="E37" i="3"/>
  <c r="E5"/>
  <c r="E10"/>
  <c r="F9" i="23" s="1"/>
  <c r="E11" i="3"/>
  <c r="F10" i="23" s="1"/>
  <c r="E12" i="3"/>
  <c r="F11" i="23" s="1"/>
  <c r="E13" i="3"/>
  <c r="F12" i="23" s="1"/>
  <c r="F13"/>
  <c r="F14"/>
  <c r="F15"/>
  <c r="E17" i="3"/>
  <c r="F16" i="23" s="1"/>
  <c r="G34" i="24" l="1"/>
  <c r="F36" i="23"/>
  <c r="C43" i="1"/>
  <c r="D21" i="23"/>
  <c r="D22"/>
  <c r="AC23" i="12" l="1"/>
  <c r="AC18"/>
  <c r="D17" i="23"/>
  <c r="AC19" i="12"/>
  <c r="D18" i="23"/>
  <c r="AC20" i="12"/>
  <c r="D19" i="23"/>
  <c r="AC21" i="12"/>
  <c r="D20" i="23"/>
  <c r="AC22" i="12"/>
  <c r="AC15"/>
  <c r="D14" i="23"/>
  <c r="AC13" i="12"/>
  <c r="D12" i="23"/>
  <c r="AC14" i="12"/>
  <c r="D13" i="23"/>
  <c r="AC16" i="12"/>
  <c r="D15" i="23"/>
  <c r="AC17" i="12"/>
  <c r="D16" i="23"/>
  <c r="AC12" i="12"/>
  <c r="D11" i="23"/>
  <c r="AC11" i="12"/>
  <c r="D10" i="23"/>
  <c r="AC10" i="12"/>
  <c r="D9" i="23"/>
  <c r="AC9" i="12"/>
  <c r="D8" i="23"/>
  <c r="AC8" i="12"/>
  <c r="D7" i="23"/>
  <c r="B5" i="11"/>
  <c r="AH7" i="13"/>
  <c r="AH8"/>
  <c r="AH9"/>
  <c r="AH10"/>
  <c r="AH11"/>
  <c r="AH12"/>
  <c r="AH13"/>
  <c r="AH14"/>
  <c r="AH15"/>
  <c r="AH16"/>
  <c r="AH17"/>
  <c r="AH18"/>
  <c r="AH19"/>
  <c r="AH20"/>
  <c r="AH21"/>
  <c r="AH22"/>
  <c r="AH23"/>
  <c r="AH24"/>
  <c r="AH25"/>
  <c r="AH26"/>
  <c r="AH27"/>
  <c r="AH28"/>
  <c r="AH29"/>
  <c r="AH30"/>
  <c r="AH31"/>
  <c r="AH32"/>
  <c r="AH33"/>
  <c r="AH34"/>
  <c r="AH35"/>
  <c r="AH36"/>
  <c r="AH6"/>
  <c r="AG7"/>
  <c r="AG8"/>
  <c r="AG9"/>
  <c r="AG10"/>
  <c r="AG11"/>
  <c r="AG12"/>
  <c r="AG13"/>
  <c r="AG14"/>
  <c r="AG15"/>
  <c r="AG16"/>
  <c r="AG17"/>
  <c r="AG18"/>
  <c r="AG19"/>
  <c r="AG20"/>
  <c r="AG21"/>
  <c r="AG22"/>
  <c r="AG23"/>
  <c r="AG24"/>
  <c r="AG25"/>
  <c r="AG26"/>
  <c r="AG27"/>
  <c r="AG28"/>
  <c r="AG29"/>
  <c r="AG30"/>
  <c r="AG31"/>
  <c r="AG32"/>
  <c r="AG33"/>
  <c r="AG34"/>
  <c r="AG35"/>
  <c r="AG36"/>
  <c r="AG6"/>
  <c r="AF7"/>
  <c r="AF8"/>
  <c r="AF9"/>
  <c r="AF10"/>
  <c r="AF11"/>
  <c r="AF12"/>
  <c r="AF13"/>
  <c r="AF14"/>
  <c r="AF15"/>
  <c r="AF16"/>
  <c r="AF17"/>
  <c r="AF18"/>
  <c r="AF19"/>
  <c r="AF20"/>
  <c r="AF21"/>
  <c r="AF22"/>
  <c r="AF23"/>
  <c r="AF24"/>
  <c r="AF25"/>
  <c r="AF26"/>
  <c r="AF27"/>
  <c r="AF28"/>
  <c r="AF29"/>
  <c r="AF30"/>
  <c r="AF31"/>
  <c r="AF32"/>
  <c r="AF33"/>
  <c r="AF34"/>
  <c r="AF35"/>
  <c r="AF36"/>
  <c r="AF6"/>
  <c r="J9"/>
  <c r="J10"/>
  <c r="J11"/>
  <c r="J12"/>
  <c r="J13"/>
  <c r="J14"/>
  <c r="J15"/>
  <c r="J16"/>
  <c r="J17"/>
  <c r="J18"/>
  <c r="J19"/>
  <c r="J20"/>
  <c r="J21"/>
  <c r="J22"/>
  <c r="J23"/>
  <c r="I7"/>
  <c r="I8"/>
  <c r="I9"/>
  <c r="I10"/>
  <c r="I11"/>
  <c r="I12"/>
  <c r="I13"/>
  <c r="I14"/>
  <c r="I15"/>
  <c r="I16"/>
  <c r="I17"/>
  <c r="I18"/>
  <c r="I19"/>
  <c r="I20"/>
  <c r="I21"/>
  <c r="I22"/>
  <c r="I23"/>
  <c r="I24"/>
  <c r="I25"/>
  <c r="I26"/>
  <c r="I27"/>
  <c r="I28"/>
  <c r="I29"/>
  <c r="I30"/>
  <c r="I31"/>
  <c r="I32"/>
  <c r="I33"/>
  <c r="I34"/>
  <c r="I35"/>
  <c r="I36"/>
  <c r="I6"/>
  <c r="D7"/>
  <c r="D8"/>
  <c r="D9"/>
  <c r="D10"/>
  <c r="D11"/>
  <c r="D12"/>
  <c r="D13"/>
  <c r="D14"/>
  <c r="D15"/>
  <c r="D16"/>
  <c r="D17"/>
  <c r="D18"/>
  <c r="D19"/>
  <c r="D20"/>
  <c r="D21"/>
  <c r="D22"/>
  <c r="D23"/>
  <c r="D24"/>
  <c r="D25"/>
  <c r="D26"/>
  <c r="D27"/>
  <c r="D28"/>
  <c r="D29"/>
  <c r="D30"/>
  <c r="D31"/>
  <c r="D32"/>
  <c r="D33"/>
  <c r="D34"/>
  <c r="D35"/>
  <c r="D36"/>
  <c r="D6"/>
  <c r="C7"/>
  <c r="C8"/>
  <c r="C9"/>
  <c r="C10"/>
  <c r="C11"/>
  <c r="C12"/>
  <c r="C13"/>
  <c r="C14"/>
  <c r="C15"/>
  <c r="C16"/>
  <c r="C17"/>
  <c r="C18"/>
  <c r="C19"/>
  <c r="C20"/>
  <c r="C21"/>
  <c r="C22"/>
  <c r="C23"/>
  <c r="C24"/>
  <c r="C25"/>
  <c r="C26"/>
  <c r="C27"/>
  <c r="C28"/>
  <c r="C29"/>
  <c r="C30"/>
  <c r="C31"/>
  <c r="C32"/>
  <c r="C33"/>
  <c r="C34"/>
  <c r="C35"/>
  <c r="C36"/>
  <c r="C6"/>
  <c r="B7"/>
  <c r="B8"/>
  <c r="B9"/>
  <c r="B10"/>
  <c r="B11"/>
  <c r="B12"/>
  <c r="B13"/>
  <c r="B14"/>
  <c r="B15"/>
  <c r="B16"/>
  <c r="B17"/>
  <c r="B18"/>
  <c r="B19"/>
  <c r="B20"/>
  <c r="B21"/>
  <c r="B22"/>
  <c r="B23"/>
  <c r="B24"/>
  <c r="B25"/>
  <c r="B26"/>
  <c r="B27"/>
  <c r="B28"/>
  <c r="B29"/>
  <c r="B30"/>
  <c r="B31"/>
  <c r="B32"/>
  <c r="B33"/>
  <c r="B34"/>
  <c r="B35"/>
  <c r="B36"/>
  <c r="B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6"/>
  <c r="A5" i="18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4"/>
  <c r="B5"/>
  <c r="H5" s="1"/>
  <c r="M5" s="1"/>
  <c r="T5" s="1"/>
  <c r="Y5" s="1"/>
  <c r="B6"/>
  <c r="H6" s="1"/>
  <c r="M6" s="1"/>
  <c r="T6" s="1"/>
  <c r="Y6" s="1"/>
  <c r="B7"/>
  <c r="B8"/>
  <c r="H8" s="1"/>
  <c r="M8" s="1"/>
  <c r="T8" s="1"/>
  <c r="Y8" s="1"/>
  <c r="B9"/>
  <c r="B10"/>
  <c r="H10" s="1"/>
  <c r="M10" s="1"/>
  <c r="T10" s="1"/>
  <c r="Y10" s="1"/>
  <c r="B11"/>
  <c r="H11" s="1"/>
  <c r="M11" s="1"/>
  <c r="T11" s="1"/>
  <c r="Y11" s="1"/>
  <c r="B12"/>
  <c r="B13"/>
  <c r="H13" s="1"/>
  <c r="M13" s="1"/>
  <c r="T13" s="1"/>
  <c r="Y13" s="1"/>
  <c r="B14"/>
  <c r="H14" s="1"/>
  <c r="M14" s="1"/>
  <c r="T14" s="1"/>
  <c r="Y14" s="1"/>
  <c r="B15"/>
  <c r="H15" s="1"/>
  <c r="M15" s="1"/>
  <c r="T15" s="1"/>
  <c r="Y15" s="1"/>
  <c r="B16"/>
  <c r="H16" s="1"/>
  <c r="M16" s="1"/>
  <c r="T16" s="1"/>
  <c r="Y16" s="1"/>
  <c r="B17"/>
  <c r="H17" s="1"/>
  <c r="M17" s="1"/>
  <c r="T17" s="1"/>
  <c r="Y17" s="1"/>
  <c r="B18"/>
  <c r="H18" s="1"/>
  <c r="M18" s="1"/>
  <c r="T18" s="1"/>
  <c r="Y18" s="1"/>
  <c r="B19"/>
  <c r="H19" s="1"/>
  <c r="M19" s="1"/>
  <c r="T19" s="1"/>
  <c r="Y19" s="1"/>
  <c r="B20"/>
  <c r="H20" s="1"/>
  <c r="M20" s="1"/>
  <c r="T20" s="1"/>
  <c r="Y20" s="1"/>
  <c r="B21"/>
  <c r="H21" s="1"/>
  <c r="M21" s="1"/>
  <c r="T21" s="1"/>
  <c r="Y21" s="1"/>
  <c r="B22"/>
  <c r="H22" s="1"/>
  <c r="M22" s="1"/>
  <c r="T22" s="1"/>
  <c r="Y22" s="1"/>
  <c r="B23"/>
  <c r="B24"/>
  <c r="B25"/>
  <c r="H25" s="1"/>
  <c r="M25" s="1"/>
  <c r="T25" s="1"/>
  <c r="Y25" s="1"/>
  <c r="B26"/>
  <c r="H26" s="1"/>
  <c r="M26" s="1"/>
  <c r="T26" s="1"/>
  <c r="Y26" s="1"/>
  <c r="B27"/>
  <c r="H27" s="1"/>
  <c r="M27" s="1"/>
  <c r="T27" s="1"/>
  <c r="Y27" s="1"/>
  <c r="B28"/>
  <c r="B29"/>
  <c r="H29" s="1"/>
  <c r="M29" s="1"/>
  <c r="T29" s="1"/>
  <c r="Y29" s="1"/>
  <c r="B30"/>
  <c r="H30" s="1"/>
  <c r="M30" s="1"/>
  <c r="T30" s="1"/>
  <c r="Y30" s="1"/>
  <c r="B31"/>
  <c r="H31" s="1"/>
  <c r="M31" s="1"/>
  <c r="T31" s="1"/>
  <c r="Y31" s="1"/>
  <c r="B32"/>
  <c r="B33"/>
  <c r="B34"/>
  <c r="B4"/>
  <c r="G10" i="11"/>
  <c r="G11"/>
  <c r="G12"/>
  <c r="G13"/>
  <c r="G14"/>
  <c r="G15"/>
  <c r="G16"/>
  <c r="G17"/>
  <c r="G18"/>
  <c r="G19"/>
  <c r="G20"/>
  <c r="G21"/>
  <c r="G22"/>
  <c r="G23"/>
  <c r="G24"/>
  <c r="C5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5"/>
  <c r="A7" i="12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6"/>
  <c r="A7" i="3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37"/>
  <c r="A6"/>
  <c r="A11" i="15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37"/>
  <c r="A38"/>
  <c r="A39"/>
  <c r="A40"/>
  <c r="A10"/>
  <c r="D35" i="23"/>
  <c r="D36"/>
  <c r="L7" i="14"/>
  <c r="L8"/>
  <c r="L9"/>
  <c r="L10"/>
  <c r="L11"/>
  <c r="L12"/>
  <c r="L13"/>
  <c r="L14"/>
  <c r="L15"/>
  <c r="L16"/>
  <c r="L17"/>
  <c r="L18"/>
  <c r="L19"/>
  <c r="L20"/>
  <c r="L21"/>
  <c r="L22"/>
  <c r="L23"/>
  <c r="L24"/>
  <c r="L25"/>
  <c r="L26"/>
  <c r="L27"/>
  <c r="L28"/>
  <c r="L29"/>
  <c r="L30"/>
  <c r="L31"/>
  <c r="L32"/>
  <c r="L33"/>
  <c r="L34"/>
  <c r="L35"/>
  <c r="L36"/>
  <c r="L37"/>
  <c r="L6"/>
  <c r="K7"/>
  <c r="K8"/>
  <c r="K9"/>
  <c r="K10"/>
  <c r="K11"/>
  <c r="K12"/>
  <c r="K13"/>
  <c r="K14"/>
  <c r="K15"/>
  <c r="K16"/>
  <c r="K17"/>
  <c r="K18"/>
  <c r="K19"/>
  <c r="K20"/>
  <c r="K21"/>
  <c r="K22"/>
  <c r="K23"/>
  <c r="K24"/>
  <c r="K25"/>
  <c r="K26"/>
  <c r="K27"/>
  <c r="K28"/>
  <c r="K29"/>
  <c r="K30"/>
  <c r="K31"/>
  <c r="K32"/>
  <c r="K33"/>
  <c r="K34"/>
  <c r="K35"/>
  <c r="K36"/>
  <c r="K37"/>
  <c r="K6"/>
  <c r="J7"/>
  <c r="J8"/>
  <c r="J9"/>
  <c r="J10"/>
  <c r="J11"/>
  <c r="J12"/>
  <c r="J13"/>
  <c r="J14"/>
  <c r="J15"/>
  <c r="J16"/>
  <c r="J17"/>
  <c r="J18"/>
  <c r="J19"/>
  <c r="J20"/>
  <c r="J21"/>
  <c r="J22"/>
  <c r="J23"/>
  <c r="J24"/>
  <c r="J25"/>
  <c r="J26"/>
  <c r="J27"/>
  <c r="J28"/>
  <c r="J29"/>
  <c r="J30"/>
  <c r="J31"/>
  <c r="J32"/>
  <c r="J33"/>
  <c r="J34"/>
  <c r="J35"/>
  <c r="J36"/>
  <c r="J37"/>
  <c r="J6"/>
  <c r="B7"/>
  <c r="B8"/>
  <c r="B9"/>
  <c r="B10"/>
  <c r="B11"/>
  <c r="B12"/>
  <c r="B13"/>
  <c r="B14"/>
  <c r="B15"/>
  <c r="B16"/>
  <c r="B17"/>
  <c r="B18"/>
  <c r="B19"/>
  <c r="B20"/>
  <c r="B21"/>
  <c r="B22"/>
  <c r="B23"/>
  <c r="B24"/>
  <c r="B25"/>
  <c r="B26"/>
  <c r="B27"/>
  <c r="B28"/>
  <c r="B29"/>
  <c r="B30"/>
  <c r="B31"/>
  <c r="B32"/>
  <c r="B33"/>
  <c r="B34"/>
  <c r="B35"/>
  <c r="B36"/>
  <c r="B37"/>
  <c r="R37" s="1"/>
  <c r="B6"/>
  <c r="O39" i="10"/>
  <c r="P39" s="1"/>
  <c r="M38"/>
  <c r="M39" s="1"/>
  <c r="B38"/>
  <c r="B39" s="1"/>
  <c r="C39" s="1"/>
  <c r="Q36"/>
  <c r="V36" s="1"/>
  <c r="K36"/>
  <c r="O35"/>
  <c r="N35"/>
  <c r="M35"/>
  <c r="L35"/>
  <c r="K35"/>
  <c r="J35"/>
  <c r="P35" s="1"/>
  <c r="H35"/>
  <c r="G35"/>
  <c r="F35"/>
  <c r="C35"/>
  <c r="D35" s="1"/>
  <c r="O34"/>
  <c r="N34"/>
  <c r="M34"/>
  <c r="L34"/>
  <c r="K34"/>
  <c r="J34"/>
  <c r="P34" s="1"/>
  <c r="H34"/>
  <c r="G34"/>
  <c r="F34"/>
  <c r="C34"/>
  <c r="D34" s="1"/>
  <c r="O33"/>
  <c r="N33"/>
  <c r="M33"/>
  <c r="L33"/>
  <c r="K33"/>
  <c r="J33"/>
  <c r="P33" s="1"/>
  <c r="H33"/>
  <c r="G33"/>
  <c r="F33"/>
  <c r="C33"/>
  <c r="D33" s="1"/>
  <c r="O32"/>
  <c r="N32"/>
  <c r="M32"/>
  <c r="L32"/>
  <c r="K32"/>
  <c r="J32"/>
  <c r="P32" s="1"/>
  <c r="H32"/>
  <c r="G32"/>
  <c r="F32"/>
  <c r="C32"/>
  <c r="D32" s="1"/>
  <c r="A32"/>
  <c r="O31"/>
  <c r="N31"/>
  <c r="M31"/>
  <c r="L31"/>
  <c r="K31"/>
  <c r="J31"/>
  <c r="P31" s="1"/>
  <c r="H31"/>
  <c r="G31"/>
  <c r="F31"/>
  <c r="C31"/>
  <c r="D31" s="1"/>
  <c r="A31"/>
  <c r="O30"/>
  <c r="N30"/>
  <c r="M30"/>
  <c r="L30"/>
  <c r="K30"/>
  <c r="J30"/>
  <c r="P30" s="1"/>
  <c r="H30"/>
  <c r="G30"/>
  <c r="F30"/>
  <c r="C30"/>
  <c r="D30" s="1"/>
  <c r="A30"/>
  <c r="O29"/>
  <c r="N29"/>
  <c r="M29"/>
  <c r="L29"/>
  <c r="K29"/>
  <c r="J29"/>
  <c r="P29" s="1"/>
  <c r="H29"/>
  <c r="G29"/>
  <c r="F29"/>
  <c r="C29"/>
  <c r="D29" s="1"/>
  <c r="A29"/>
  <c r="O28"/>
  <c r="N28"/>
  <c r="M28"/>
  <c r="L28"/>
  <c r="K28"/>
  <c r="J28"/>
  <c r="P28" s="1"/>
  <c r="H28"/>
  <c r="G28"/>
  <c r="F28"/>
  <c r="C28"/>
  <c r="D28" s="1"/>
  <c r="A28"/>
  <c r="O27"/>
  <c r="N27"/>
  <c r="M27"/>
  <c r="L27"/>
  <c r="K27"/>
  <c r="J27"/>
  <c r="P27" s="1"/>
  <c r="H27"/>
  <c r="G27"/>
  <c r="F27"/>
  <c r="C27"/>
  <c r="D27" s="1"/>
  <c r="A27"/>
  <c r="O26"/>
  <c r="N26"/>
  <c r="M26"/>
  <c r="L26"/>
  <c r="K26"/>
  <c r="J26"/>
  <c r="P26" s="1"/>
  <c r="H26"/>
  <c r="G26"/>
  <c r="F26"/>
  <c r="C26"/>
  <c r="D26" s="1"/>
  <c r="A26"/>
  <c r="O25"/>
  <c r="N25"/>
  <c r="M25"/>
  <c r="L25"/>
  <c r="K25"/>
  <c r="J25"/>
  <c r="P25" s="1"/>
  <c r="H25"/>
  <c r="G25"/>
  <c r="F25"/>
  <c r="C25"/>
  <c r="D25" s="1"/>
  <c r="A25"/>
  <c r="O24"/>
  <c r="N24"/>
  <c r="M24"/>
  <c r="L24"/>
  <c r="K24"/>
  <c r="J24"/>
  <c r="P24" s="1"/>
  <c r="H24"/>
  <c r="G24"/>
  <c r="F24"/>
  <c r="C24"/>
  <c r="D24" s="1"/>
  <c r="A24"/>
  <c r="O23"/>
  <c r="N23"/>
  <c r="M23"/>
  <c r="L23"/>
  <c r="K23"/>
  <c r="J23"/>
  <c r="P23" s="1"/>
  <c r="H23"/>
  <c r="G23"/>
  <c r="F23"/>
  <c r="C23"/>
  <c r="D23" s="1"/>
  <c r="A23"/>
  <c r="O22"/>
  <c r="N22"/>
  <c r="M22"/>
  <c r="L22"/>
  <c r="K22"/>
  <c r="J22"/>
  <c r="P22" s="1"/>
  <c r="H22"/>
  <c r="G22"/>
  <c r="F22"/>
  <c r="C22"/>
  <c r="D22" s="1"/>
  <c r="A22"/>
  <c r="O21"/>
  <c r="N21"/>
  <c r="M21"/>
  <c r="L21"/>
  <c r="K21"/>
  <c r="J21"/>
  <c r="P21" s="1"/>
  <c r="H21"/>
  <c r="G21"/>
  <c r="F21"/>
  <c r="C21"/>
  <c r="D21" s="1"/>
  <c r="A21"/>
  <c r="O20"/>
  <c r="N20"/>
  <c r="M20"/>
  <c r="L20"/>
  <c r="K20"/>
  <c r="J20"/>
  <c r="P20" s="1"/>
  <c r="H20"/>
  <c r="G20"/>
  <c r="F20"/>
  <c r="C20"/>
  <c r="D20" s="1"/>
  <c r="A20"/>
  <c r="O19"/>
  <c r="N19"/>
  <c r="M19"/>
  <c r="L19"/>
  <c r="K19"/>
  <c r="J19"/>
  <c r="P19" s="1"/>
  <c r="H19"/>
  <c r="G19"/>
  <c r="F19"/>
  <c r="C19"/>
  <c r="D19" s="1"/>
  <c r="A19"/>
  <c r="O18"/>
  <c r="N18"/>
  <c r="M18"/>
  <c r="L18"/>
  <c r="J18"/>
  <c r="P18" s="1"/>
  <c r="H18"/>
  <c r="G18"/>
  <c r="F18"/>
  <c r="C18"/>
  <c r="D18" s="1"/>
  <c r="A18"/>
  <c r="O17"/>
  <c r="N17"/>
  <c r="M17"/>
  <c r="L17"/>
  <c r="K17"/>
  <c r="J17"/>
  <c r="P17" s="1"/>
  <c r="H17"/>
  <c r="G17"/>
  <c r="F17"/>
  <c r="C17"/>
  <c r="D17" s="1"/>
  <c r="A17"/>
  <c r="O16"/>
  <c r="N16"/>
  <c r="M16"/>
  <c r="L16"/>
  <c r="K16"/>
  <c r="J16"/>
  <c r="P16" s="1"/>
  <c r="H16"/>
  <c r="G16"/>
  <c r="F16"/>
  <c r="C16"/>
  <c r="D16" s="1"/>
  <c r="A16"/>
  <c r="O15"/>
  <c r="N15"/>
  <c r="M15"/>
  <c r="L15"/>
  <c r="K15"/>
  <c r="J15"/>
  <c r="P15" s="1"/>
  <c r="H15"/>
  <c r="G15"/>
  <c r="F15"/>
  <c r="C15"/>
  <c r="D15" s="1"/>
  <c r="A15"/>
  <c r="O14"/>
  <c r="N14"/>
  <c r="M14"/>
  <c r="L14"/>
  <c r="K14"/>
  <c r="J14"/>
  <c r="P14" s="1"/>
  <c r="H14"/>
  <c r="G14"/>
  <c r="I14" s="1"/>
  <c r="Q14" s="1"/>
  <c r="F14"/>
  <c r="C14"/>
  <c r="D14" s="1"/>
  <c r="A14"/>
  <c r="O13"/>
  <c r="N13"/>
  <c r="M13"/>
  <c r="L13"/>
  <c r="K13"/>
  <c r="J13"/>
  <c r="P13" s="1"/>
  <c r="H13"/>
  <c r="G13"/>
  <c r="F13"/>
  <c r="C13"/>
  <c r="D13" s="1"/>
  <c r="A13"/>
  <c r="O12"/>
  <c r="N12"/>
  <c r="M12"/>
  <c r="L12"/>
  <c r="K12"/>
  <c r="J12"/>
  <c r="P12" s="1"/>
  <c r="H12"/>
  <c r="G12"/>
  <c r="F12"/>
  <c r="C12"/>
  <c r="D12" s="1"/>
  <c r="A12"/>
  <c r="O11"/>
  <c r="N11"/>
  <c r="M11"/>
  <c r="L11"/>
  <c r="K11"/>
  <c r="J11"/>
  <c r="P11" s="1"/>
  <c r="H11"/>
  <c r="G11"/>
  <c r="F11"/>
  <c r="C11"/>
  <c r="D11" s="1"/>
  <c r="A11"/>
  <c r="O10"/>
  <c r="N10"/>
  <c r="M10"/>
  <c r="L10"/>
  <c r="K10"/>
  <c r="J10"/>
  <c r="P10" s="1"/>
  <c r="H10"/>
  <c r="G10"/>
  <c r="F10"/>
  <c r="C10"/>
  <c r="D10" s="1"/>
  <c r="A10"/>
  <c r="O9"/>
  <c r="N9"/>
  <c r="M9"/>
  <c r="L9"/>
  <c r="K9"/>
  <c r="J9"/>
  <c r="P9" s="1"/>
  <c r="H9"/>
  <c r="G9"/>
  <c r="F9"/>
  <c r="C9"/>
  <c r="D9" s="1"/>
  <c r="A9"/>
  <c r="O8"/>
  <c r="N8"/>
  <c r="M8"/>
  <c r="L8"/>
  <c r="K8"/>
  <c r="J8"/>
  <c r="P8" s="1"/>
  <c r="H8"/>
  <c r="G8"/>
  <c r="F8"/>
  <c r="C8"/>
  <c r="D8" s="1"/>
  <c r="A8"/>
  <c r="O7"/>
  <c r="N7"/>
  <c r="M7"/>
  <c r="L7"/>
  <c r="K7"/>
  <c r="J7"/>
  <c r="P7" s="1"/>
  <c r="H7"/>
  <c r="G7"/>
  <c r="F7"/>
  <c r="C7"/>
  <c r="D7" s="1"/>
  <c r="A7"/>
  <c r="O6"/>
  <c r="N6"/>
  <c r="M6"/>
  <c r="L6"/>
  <c r="K6"/>
  <c r="J6"/>
  <c r="P6" s="1"/>
  <c r="H6"/>
  <c r="G6"/>
  <c r="F6"/>
  <c r="C6"/>
  <c r="D6" s="1"/>
  <c r="A6"/>
  <c r="X5"/>
  <c r="X6" s="1"/>
  <c r="X7" s="1"/>
  <c r="O5"/>
  <c r="N5"/>
  <c r="M5"/>
  <c r="L5"/>
  <c r="K5"/>
  <c r="T5" s="1"/>
  <c r="J5"/>
  <c r="P5" s="1"/>
  <c r="H5"/>
  <c r="G5"/>
  <c r="I5" s="1"/>
  <c r="Q5" s="1"/>
  <c r="F5"/>
  <c r="C5"/>
  <c r="D5" s="1"/>
  <c r="A5"/>
  <c r="C32" i="9"/>
  <c r="B32"/>
  <c r="A32"/>
  <c r="C31"/>
  <c r="B31"/>
  <c r="A31"/>
  <c r="C30"/>
  <c r="B30"/>
  <c r="A30"/>
  <c r="C29"/>
  <c r="B29"/>
  <c r="A29"/>
  <c r="C28"/>
  <c r="B28"/>
  <c r="A28"/>
  <c r="C27"/>
  <c r="B27"/>
  <c r="A27"/>
  <c r="C26"/>
  <c r="B26"/>
  <c r="A26"/>
  <c r="C25"/>
  <c r="B25"/>
  <c r="A25"/>
  <c r="C24"/>
  <c r="B24"/>
  <c r="A24"/>
  <c r="C23"/>
  <c r="B23"/>
  <c r="A23"/>
  <c r="C22"/>
  <c r="B22"/>
  <c r="A22"/>
  <c r="C21"/>
  <c r="B21"/>
  <c r="A21"/>
  <c r="C20"/>
  <c r="B20"/>
  <c r="A20"/>
  <c r="C19"/>
  <c r="B19"/>
  <c r="A19"/>
  <c r="C18"/>
  <c r="B18"/>
  <c r="A18"/>
  <c r="C17"/>
  <c r="B17"/>
  <c r="A17"/>
  <c r="C16"/>
  <c r="B16"/>
  <c r="A16"/>
  <c r="C15"/>
  <c r="B15"/>
  <c r="A15"/>
  <c r="C14"/>
  <c r="B14"/>
  <c r="A14"/>
  <c r="C13"/>
  <c r="B13"/>
  <c r="A13"/>
  <c r="C12"/>
  <c r="B12"/>
  <c r="A12"/>
  <c r="C11"/>
  <c r="B11"/>
  <c r="A11"/>
  <c r="C10"/>
  <c r="B10"/>
  <c r="A10"/>
  <c r="C9"/>
  <c r="B9"/>
  <c r="A9"/>
  <c r="C8"/>
  <c r="B8"/>
  <c r="A8"/>
  <c r="C7"/>
  <c r="B7"/>
  <c r="A7"/>
  <c r="C6"/>
  <c r="B6"/>
  <c r="A6"/>
  <c r="C5"/>
  <c r="B5"/>
  <c r="A5"/>
  <c r="C4"/>
  <c r="B4"/>
  <c r="A4"/>
  <c r="C3"/>
  <c r="B3"/>
  <c r="A3"/>
  <c r="C2"/>
  <c r="B2"/>
  <c r="A2"/>
  <c r="C32" i="8"/>
  <c r="B32"/>
  <c r="A32"/>
  <c r="C31"/>
  <c r="B31"/>
  <c r="A31"/>
  <c r="C30"/>
  <c r="B30"/>
  <c r="A30"/>
  <c r="C29"/>
  <c r="B29"/>
  <c r="A29"/>
  <c r="C28"/>
  <c r="B28"/>
  <c r="A28"/>
  <c r="C27"/>
  <c r="B27"/>
  <c r="A27"/>
  <c r="C26"/>
  <c r="B26"/>
  <c r="A26"/>
  <c r="C25"/>
  <c r="B25"/>
  <c r="A25"/>
  <c r="C24"/>
  <c r="B24"/>
  <c r="A24"/>
  <c r="C23"/>
  <c r="B23"/>
  <c r="A23"/>
  <c r="C22"/>
  <c r="B22"/>
  <c r="A22"/>
  <c r="C21"/>
  <c r="B21"/>
  <c r="A21"/>
  <c r="C20"/>
  <c r="B20"/>
  <c r="A20"/>
  <c r="C19"/>
  <c r="B19"/>
  <c r="A19"/>
  <c r="C18"/>
  <c r="B18"/>
  <c r="A18"/>
  <c r="C17"/>
  <c r="B17"/>
  <c r="A17"/>
  <c r="C16"/>
  <c r="B16"/>
  <c r="A16"/>
  <c r="C15"/>
  <c r="B15"/>
  <c r="A15"/>
  <c r="C14"/>
  <c r="B14"/>
  <c r="A14"/>
  <c r="C13"/>
  <c r="B13"/>
  <c r="A13"/>
  <c r="C12"/>
  <c r="B12"/>
  <c r="A12"/>
  <c r="C11"/>
  <c r="B11"/>
  <c r="A11"/>
  <c r="C10"/>
  <c r="B10"/>
  <c r="A10"/>
  <c r="C9"/>
  <c r="B9"/>
  <c r="A9"/>
  <c r="C8"/>
  <c r="B8"/>
  <c r="A8"/>
  <c r="C7"/>
  <c r="B7"/>
  <c r="A7"/>
  <c r="C6"/>
  <c r="B6"/>
  <c r="A6"/>
  <c r="C5"/>
  <c r="B5"/>
  <c r="A5"/>
  <c r="C4"/>
  <c r="B4"/>
  <c r="A4"/>
  <c r="C3"/>
  <c r="B3"/>
  <c r="A3"/>
  <c r="C2"/>
  <c r="B2"/>
  <c r="A2"/>
  <c r="F45" i="15"/>
  <c r="G45" s="1"/>
  <c r="F42"/>
  <c r="E42"/>
  <c r="L36" i="11"/>
  <c r="L34"/>
  <c r="J36" i="15"/>
  <c r="M17" i="14"/>
  <c r="G13" i="26" s="1"/>
  <c r="M16" i="14"/>
  <c r="G12" i="26" s="1"/>
  <c r="M15" i="14"/>
  <c r="G11" i="26" s="1"/>
  <c r="M14" i="14"/>
  <c r="G10" i="26" s="1"/>
  <c r="M13" i="14"/>
  <c r="G9" i="26" s="1"/>
  <c r="M12" i="14"/>
  <c r="G8" i="26" s="1"/>
  <c r="M11" i="14"/>
  <c r="G7" i="26" s="1"/>
  <c r="M10" i="14"/>
  <c r="G6" i="26" s="1"/>
  <c r="M9" i="14"/>
  <c r="G5" i="26" s="1"/>
  <c r="M8" i="14"/>
  <c r="G4" i="26" s="1"/>
  <c r="M7" i="14"/>
  <c r="G3" i="26" s="1"/>
  <c r="I10" i="15"/>
  <c r="M6" i="14"/>
  <c r="B33" i="7"/>
  <c r="E32"/>
  <c r="D32"/>
  <c r="C32"/>
  <c r="B32"/>
  <c r="E31"/>
  <c r="D31"/>
  <c r="C31"/>
  <c r="B31"/>
  <c r="E30"/>
  <c r="D30"/>
  <c r="C30"/>
  <c r="B30"/>
  <c r="E29"/>
  <c r="D29"/>
  <c r="C29"/>
  <c r="B29"/>
  <c r="E28"/>
  <c r="D28"/>
  <c r="C28"/>
  <c r="B28"/>
  <c r="E27"/>
  <c r="D27"/>
  <c r="C27"/>
  <c r="B27"/>
  <c r="E26"/>
  <c r="D26"/>
  <c r="C26"/>
  <c r="B26"/>
  <c r="E25"/>
  <c r="D25"/>
  <c r="C25"/>
  <c r="B25"/>
  <c r="E24"/>
  <c r="D24"/>
  <c r="C24"/>
  <c r="B24"/>
  <c r="E23"/>
  <c r="D23"/>
  <c r="C23"/>
  <c r="B23"/>
  <c r="E22"/>
  <c r="D22"/>
  <c r="C22"/>
  <c r="B22"/>
  <c r="E21"/>
  <c r="D21"/>
  <c r="C21"/>
  <c r="B21"/>
  <c r="E20"/>
  <c r="D20"/>
  <c r="C20"/>
  <c r="B20"/>
  <c r="E19"/>
  <c r="D19"/>
  <c r="C19"/>
  <c r="B19"/>
  <c r="E18"/>
  <c r="D18"/>
  <c r="C18"/>
  <c r="B18"/>
  <c r="E17"/>
  <c r="D17"/>
  <c r="C17"/>
  <c r="B17"/>
  <c r="E16"/>
  <c r="D16"/>
  <c r="C16"/>
  <c r="B16"/>
  <c r="E15"/>
  <c r="D15"/>
  <c r="C15"/>
  <c r="B15"/>
  <c r="E14"/>
  <c r="D14"/>
  <c r="C14"/>
  <c r="B14"/>
  <c r="E13"/>
  <c r="D13"/>
  <c r="C13"/>
  <c r="B13"/>
  <c r="E12"/>
  <c r="D12"/>
  <c r="C12"/>
  <c r="B12"/>
  <c r="E11"/>
  <c r="D11"/>
  <c r="C11"/>
  <c r="B11"/>
  <c r="E10"/>
  <c r="D10"/>
  <c r="C10"/>
  <c r="B10"/>
  <c r="E9"/>
  <c r="D9"/>
  <c r="C9"/>
  <c r="B9"/>
  <c r="E8"/>
  <c r="D8"/>
  <c r="C8"/>
  <c r="B8"/>
  <c r="E7"/>
  <c r="D7"/>
  <c r="C7"/>
  <c r="B7"/>
  <c r="E6"/>
  <c r="D6"/>
  <c r="C6"/>
  <c r="B6"/>
  <c r="E5"/>
  <c r="D5"/>
  <c r="C5"/>
  <c r="B5"/>
  <c r="E4"/>
  <c r="D4"/>
  <c r="C4"/>
  <c r="B4"/>
  <c r="E3"/>
  <c r="D3"/>
  <c r="C3"/>
  <c r="B3"/>
  <c r="E2"/>
  <c r="D2"/>
  <c r="C2"/>
  <c r="B2"/>
  <c r="D36" i="11"/>
  <c r="M35"/>
  <c r="D35"/>
  <c r="M34"/>
  <c r="D34"/>
  <c r="M33"/>
  <c r="D33"/>
  <c r="M32"/>
  <c r="D32"/>
  <c r="M31"/>
  <c r="D31"/>
  <c r="M30"/>
  <c r="D30"/>
  <c r="M29"/>
  <c r="D29"/>
  <c r="M28"/>
  <c r="D28"/>
  <c r="M27"/>
  <c r="D27"/>
  <c r="M26"/>
  <c r="D26"/>
  <c r="M25"/>
  <c r="D25"/>
  <c r="M24"/>
  <c r="D24"/>
  <c r="M23"/>
  <c r="D23"/>
  <c r="M22"/>
  <c r="D22"/>
  <c r="M21"/>
  <c r="D21"/>
  <c r="M20"/>
  <c r="D20"/>
  <c r="M19"/>
  <c r="D19"/>
  <c r="M18"/>
  <c r="D18"/>
  <c r="M17"/>
  <c r="D17"/>
  <c r="M16"/>
  <c r="D16"/>
  <c r="M15"/>
  <c r="D15"/>
  <c r="M14"/>
  <c r="D14"/>
  <c r="M13"/>
  <c r="D13"/>
  <c r="M12"/>
  <c r="D12"/>
  <c r="M11"/>
  <c r="D11"/>
  <c r="M10"/>
  <c r="D10"/>
  <c r="M9"/>
  <c r="D9"/>
  <c r="M8"/>
  <c r="D8"/>
  <c r="M7"/>
  <c r="D7"/>
  <c r="M6"/>
  <c r="D6"/>
  <c r="M5"/>
  <c r="D5"/>
  <c r="V35" i="18"/>
  <c r="X35" s="1"/>
  <c r="J36" i="23" s="1"/>
  <c r="D35" i="18"/>
  <c r="B35"/>
  <c r="H35" s="1"/>
  <c r="M35" s="1"/>
  <c r="T35" s="1"/>
  <c r="Y35" s="1"/>
  <c r="A35"/>
  <c r="AA35"/>
  <c r="V34"/>
  <c r="X34" s="1"/>
  <c r="J35" i="23" s="1"/>
  <c r="O35" i="18"/>
  <c r="D34"/>
  <c r="F34" s="1"/>
  <c r="H34"/>
  <c r="M34" s="1"/>
  <c r="T34" s="1"/>
  <c r="Y34" s="1"/>
  <c r="AA34"/>
  <c r="V33"/>
  <c r="X33" s="1"/>
  <c r="J34" i="23" s="1"/>
  <c r="O34" i="18"/>
  <c r="D33"/>
  <c r="F33" s="1"/>
  <c r="H33"/>
  <c r="M33" s="1"/>
  <c r="T33" s="1"/>
  <c r="Y33" s="1"/>
  <c r="AA33"/>
  <c r="V32"/>
  <c r="X32" s="1"/>
  <c r="J33" i="23" s="1"/>
  <c r="D32" i="18"/>
  <c r="F32" s="1"/>
  <c r="H32"/>
  <c r="M32" s="1"/>
  <c r="T32" s="1"/>
  <c r="Y32" s="1"/>
  <c r="V31"/>
  <c r="X31" s="1"/>
  <c r="J32" i="23" s="1"/>
  <c r="O32" i="18"/>
  <c r="D31"/>
  <c r="F31" s="1"/>
  <c r="I32" i="23" s="1"/>
  <c r="AA31" i="18"/>
  <c r="V30"/>
  <c r="X30" s="1"/>
  <c r="J31" i="23" s="1"/>
  <c r="O31" i="18"/>
  <c r="D30"/>
  <c r="F30" s="1"/>
  <c r="V29"/>
  <c r="X29" s="1"/>
  <c r="J30" i="23" s="1"/>
  <c r="O30" i="18"/>
  <c r="D29"/>
  <c r="F29" s="1"/>
  <c r="I30" i="23" s="1"/>
  <c r="AA29" i="18"/>
  <c r="V28"/>
  <c r="X28" s="1"/>
  <c r="J29" i="23" s="1"/>
  <c r="O29" i="18"/>
  <c r="D28"/>
  <c r="F28" s="1"/>
  <c r="H28"/>
  <c r="M28" s="1"/>
  <c r="T28" s="1"/>
  <c r="Y28" s="1"/>
  <c r="V27"/>
  <c r="X27" s="1"/>
  <c r="J28" i="23" s="1"/>
  <c r="O28" i="18"/>
  <c r="D27"/>
  <c r="F27" s="1"/>
  <c r="I28" i="23" s="1"/>
  <c r="AA27" i="18"/>
  <c r="V26"/>
  <c r="X26" s="1"/>
  <c r="J27" i="23" s="1"/>
  <c r="O27" i="18"/>
  <c r="D26"/>
  <c r="F26" s="1"/>
  <c r="AA26"/>
  <c r="V25"/>
  <c r="X25" s="1"/>
  <c r="J26" i="23" s="1"/>
  <c r="O26" i="18"/>
  <c r="D25"/>
  <c r="F25" s="1"/>
  <c r="AA25"/>
  <c r="Y24"/>
  <c r="V24"/>
  <c r="X24" s="1"/>
  <c r="J25" i="23" s="1"/>
  <c r="O25" i="18"/>
  <c r="D24"/>
  <c r="F24" s="1"/>
  <c r="H24"/>
  <c r="M24" s="1"/>
  <c r="AA24"/>
  <c r="V23"/>
  <c r="X23" s="1"/>
  <c r="J24" i="23" s="1"/>
  <c r="O24" i="18"/>
  <c r="D23"/>
  <c r="F23" s="1"/>
  <c r="H23"/>
  <c r="M23" s="1"/>
  <c r="T23" s="1"/>
  <c r="Y23" s="1"/>
  <c r="V22"/>
  <c r="X22" s="1"/>
  <c r="J23" i="23" s="1"/>
  <c r="O23" i="18"/>
  <c r="D22"/>
  <c r="F22" s="1"/>
  <c r="I23" i="23" s="1"/>
  <c r="AA22" i="18"/>
  <c r="V21"/>
  <c r="X21" s="1"/>
  <c r="J22" i="23" s="1"/>
  <c r="O22" i="18"/>
  <c r="D21"/>
  <c r="F21" s="1"/>
  <c r="AA21"/>
  <c r="V20"/>
  <c r="X20" s="1"/>
  <c r="J21" i="23" s="1"/>
  <c r="O21" i="18"/>
  <c r="D20"/>
  <c r="F20" s="1"/>
  <c r="I21" i="23" s="1"/>
  <c r="AA20" i="18"/>
  <c r="V19"/>
  <c r="X19" s="1"/>
  <c r="J20" i="23" s="1"/>
  <c r="O20" i="18"/>
  <c r="D19"/>
  <c r="F19" s="1"/>
  <c r="V18"/>
  <c r="X18" s="1"/>
  <c r="J19" i="23" s="1"/>
  <c r="O19" i="18"/>
  <c r="D18"/>
  <c r="F18" s="1"/>
  <c r="I19" i="23" s="1"/>
  <c r="AA18" i="18"/>
  <c r="V17"/>
  <c r="X17" s="1"/>
  <c r="J18" i="23" s="1"/>
  <c r="O18" i="18"/>
  <c r="D17"/>
  <c r="F17" s="1"/>
  <c r="AA17"/>
  <c r="V16"/>
  <c r="X16" s="1"/>
  <c r="J17" i="23" s="1"/>
  <c r="O17" i="18"/>
  <c r="D16"/>
  <c r="F16" s="1"/>
  <c r="I17" i="23" s="1"/>
  <c r="AA16" i="18"/>
  <c r="V15"/>
  <c r="X15" s="1"/>
  <c r="J16" i="23" s="1"/>
  <c r="O16" i="18"/>
  <c r="D15"/>
  <c r="F15" s="1"/>
  <c r="AA15"/>
  <c r="V14"/>
  <c r="X14" s="1"/>
  <c r="J15" i="23" s="1"/>
  <c r="O15" i="18"/>
  <c r="D14"/>
  <c r="F14" s="1"/>
  <c r="I15" i="23" s="1"/>
  <c r="AA14" i="18"/>
  <c r="V13"/>
  <c r="X13" s="1"/>
  <c r="J14" i="23" s="1"/>
  <c r="O14" i="18"/>
  <c r="D13"/>
  <c r="F13" s="1"/>
  <c r="AA13"/>
  <c r="AC13" s="1"/>
  <c r="V12"/>
  <c r="X12" s="1"/>
  <c r="J13" i="23" s="1"/>
  <c r="O13" i="18"/>
  <c r="D12"/>
  <c r="F12" s="1"/>
  <c r="H12"/>
  <c r="M12" s="1"/>
  <c r="T12" s="1"/>
  <c r="Y12" s="1"/>
  <c r="AA12"/>
  <c r="AC12" s="1"/>
  <c r="V11"/>
  <c r="X11" s="1"/>
  <c r="J12" i="23" s="1"/>
  <c r="O12" i="18"/>
  <c r="D11"/>
  <c r="F11" s="1"/>
  <c r="AA11"/>
  <c r="V10"/>
  <c r="X10" s="1"/>
  <c r="J11" i="23" s="1"/>
  <c r="O11" i="18"/>
  <c r="D10"/>
  <c r="F10" s="1"/>
  <c r="AA10"/>
  <c r="V9"/>
  <c r="X9" s="1"/>
  <c r="J10" i="23" s="1"/>
  <c r="O10" i="18"/>
  <c r="D9"/>
  <c r="F9" s="1"/>
  <c r="I10" i="23" s="1"/>
  <c r="H9" i="18"/>
  <c r="M9" s="1"/>
  <c r="T9" s="1"/>
  <c r="Y9" s="1"/>
  <c r="AA9"/>
  <c r="V8"/>
  <c r="X8" s="1"/>
  <c r="J9" i="23" s="1"/>
  <c r="O9" i="18"/>
  <c r="D8"/>
  <c r="F8" s="1"/>
  <c r="V7"/>
  <c r="X7" s="1"/>
  <c r="J8" i="23" s="1"/>
  <c r="O8" i="18"/>
  <c r="D7"/>
  <c r="F7" s="1"/>
  <c r="H7"/>
  <c r="M7" s="1"/>
  <c r="T7" s="1"/>
  <c r="Y7" s="1"/>
  <c r="AA7"/>
  <c r="V6"/>
  <c r="X6" s="1"/>
  <c r="J7" i="23" s="1"/>
  <c r="O7" i="18"/>
  <c r="D6"/>
  <c r="F6" s="1"/>
  <c r="AA6"/>
  <c r="V5"/>
  <c r="X5" s="1"/>
  <c r="J6" i="23" s="1"/>
  <c r="O6" i="18"/>
  <c r="D5"/>
  <c r="F5" s="1"/>
  <c r="I6" i="23" s="1"/>
  <c r="AC4" i="18"/>
  <c r="X4"/>
  <c r="J5" i="23" s="1"/>
  <c r="O5" i="18"/>
  <c r="F4"/>
  <c r="H4"/>
  <c r="M4" s="1"/>
  <c r="T4" s="1"/>
  <c r="Y4" s="1"/>
  <c r="X3"/>
  <c r="O4"/>
  <c r="J4"/>
  <c r="AK37" i="13"/>
  <c r="AE37"/>
  <c r="H37" i="14" s="1"/>
  <c r="AC37" i="13"/>
  <c r="H34" i="24" s="1"/>
  <c r="AE36" i="13"/>
  <c r="H36" i="14" s="1"/>
  <c r="AC36" i="13"/>
  <c r="Y36"/>
  <c r="Z36" s="1"/>
  <c r="AA36" s="1"/>
  <c r="U36"/>
  <c r="V36" s="1"/>
  <c r="Q36"/>
  <c r="R36" s="1"/>
  <c r="AE35"/>
  <c r="H35" i="14" s="1"/>
  <c r="AC35" i="13"/>
  <c r="Y35"/>
  <c r="Z35" s="1"/>
  <c r="AA35" s="1"/>
  <c r="U35"/>
  <c r="V35" s="1"/>
  <c r="Q35"/>
  <c r="R35" s="1"/>
  <c r="AE34"/>
  <c r="H34" i="14" s="1"/>
  <c r="AC34" i="13"/>
  <c r="Y34"/>
  <c r="Z34" s="1"/>
  <c r="AA34" s="1"/>
  <c r="U34"/>
  <c r="V34" s="1"/>
  <c r="Q34"/>
  <c r="R34" s="1"/>
  <c r="AE33"/>
  <c r="H33" i="14" s="1"/>
  <c r="AC33" i="13"/>
  <c r="Y33"/>
  <c r="Z33" s="1"/>
  <c r="AA33" s="1"/>
  <c r="U33"/>
  <c r="V33" s="1"/>
  <c r="Q33"/>
  <c r="R33" s="1"/>
  <c r="AE32"/>
  <c r="H32" i="14" s="1"/>
  <c r="AC32" i="13"/>
  <c r="Y32"/>
  <c r="Z32" s="1"/>
  <c r="AA32" s="1"/>
  <c r="U32"/>
  <c r="V32" s="1"/>
  <c r="Q32"/>
  <c r="R32" s="1"/>
  <c r="AE31"/>
  <c r="H31" i="14" s="1"/>
  <c r="AC31" i="13"/>
  <c r="Y31"/>
  <c r="Z31" s="1"/>
  <c r="AA31" s="1"/>
  <c r="U31"/>
  <c r="V31" s="1"/>
  <c r="Q31"/>
  <c r="R31" s="1"/>
  <c r="AE30"/>
  <c r="H30" i="14" s="1"/>
  <c r="AC30" i="13"/>
  <c r="Y30"/>
  <c r="Z30" s="1"/>
  <c r="AA30" s="1"/>
  <c r="U30"/>
  <c r="V30" s="1"/>
  <c r="Q30"/>
  <c r="R30" s="1"/>
  <c r="AE29"/>
  <c r="H29" i="14" s="1"/>
  <c r="AC29" i="13"/>
  <c r="Y29"/>
  <c r="Z29" s="1"/>
  <c r="AA29" s="1"/>
  <c r="U29"/>
  <c r="V29" s="1"/>
  <c r="Q29"/>
  <c r="R29" s="1"/>
  <c r="AE28"/>
  <c r="H28" i="14" s="1"/>
  <c r="G28"/>
  <c r="AE27" i="13"/>
  <c r="H27" i="14" s="1"/>
  <c r="G27"/>
  <c r="AE26" i="13"/>
  <c r="H26" i="14" s="1"/>
  <c r="G26"/>
  <c r="AE25" i="13"/>
  <c r="H25" i="14" s="1"/>
  <c r="G25"/>
  <c r="AE24" i="13"/>
  <c r="H24" i="14" s="1"/>
  <c r="G24"/>
  <c r="AE23" i="13"/>
  <c r="H23" i="14" s="1"/>
  <c r="G23"/>
  <c r="AE22" i="13"/>
  <c r="H22" i="14" s="1"/>
  <c r="G22"/>
  <c r="AE21" i="13"/>
  <c r="H21" i="14" s="1"/>
  <c r="G21"/>
  <c r="AE20" i="13"/>
  <c r="H20" i="14" s="1"/>
  <c r="G20"/>
  <c r="AI19" i="13"/>
  <c r="AE19"/>
  <c r="H19" i="14" s="1"/>
  <c r="G19"/>
  <c r="AE18" i="13"/>
  <c r="H18" i="14" s="1"/>
  <c r="G18"/>
  <c r="AE17" i="13"/>
  <c r="H17" i="14" s="1"/>
  <c r="G17"/>
  <c r="AE16" i="13"/>
  <c r="H16" i="14" s="1"/>
  <c r="G16"/>
  <c r="AE15" i="13"/>
  <c r="H15" i="14" s="1"/>
  <c r="G15"/>
  <c r="AE14" i="13"/>
  <c r="H14" i="14" s="1"/>
  <c r="G14"/>
  <c r="AE13" i="13"/>
  <c r="H13" i="14" s="1"/>
  <c r="G13"/>
  <c r="AI13" i="13"/>
  <c r="AE12"/>
  <c r="H12" i="14" s="1"/>
  <c r="G12"/>
  <c r="AE11" i="13"/>
  <c r="H11" i="14" s="1"/>
  <c r="G11"/>
  <c r="AE10" i="13"/>
  <c r="H10" i="14" s="1"/>
  <c r="G10"/>
  <c r="AE9" i="13"/>
  <c r="H9" i="14" s="1"/>
  <c r="G9"/>
  <c r="AE8" i="13"/>
  <c r="H8" i="14" s="1"/>
  <c r="G8"/>
  <c r="AE7" i="13"/>
  <c r="H7" i="14" s="1"/>
  <c r="G7"/>
  <c r="AE6" i="13"/>
  <c r="H6" i="14" s="1"/>
  <c r="G6"/>
  <c r="AI4" i="13"/>
  <c r="F3"/>
  <c r="E6" s="1"/>
  <c r="Q37" i="14"/>
  <c r="S37" s="1"/>
  <c r="Q36"/>
  <c r="S36" s="1"/>
  <c r="P36"/>
  <c r="Q35"/>
  <c r="P35"/>
  <c r="Q34"/>
  <c r="P34"/>
  <c r="T33"/>
  <c r="Q33"/>
  <c r="P33"/>
  <c r="Q32"/>
  <c r="P32"/>
  <c r="Q31"/>
  <c r="P31"/>
  <c r="Q30"/>
  <c r="P30"/>
  <c r="Q29"/>
  <c r="S29" s="1"/>
  <c r="P29"/>
  <c r="Q28"/>
  <c r="P28"/>
  <c r="Q27"/>
  <c r="S27" s="1"/>
  <c r="P27"/>
  <c r="Q26"/>
  <c r="P26"/>
  <c r="Q25"/>
  <c r="P25"/>
  <c r="Q24"/>
  <c r="S24" s="1"/>
  <c r="P24"/>
  <c r="Q23"/>
  <c r="P23"/>
  <c r="S23"/>
  <c r="Q22"/>
  <c r="S22" s="1"/>
  <c r="P22"/>
  <c r="Q21"/>
  <c r="P21"/>
  <c r="Q20"/>
  <c r="P20"/>
  <c r="Q19"/>
  <c r="P19"/>
  <c r="Q18"/>
  <c r="P18"/>
  <c r="Q17"/>
  <c r="P17"/>
  <c r="Q16"/>
  <c r="P16"/>
  <c r="Q15"/>
  <c r="P15"/>
  <c r="Q14"/>
  <c r="P14"/>
  <c r="Q13"/>
  <c r="P13"/>
  <c r="Q12"/>
  <c r="P12"/>
  <c r="Q11"/>
  <c r="S11" s="1"/>
  <c r="P11"/>
  <c r="Q10"/>
  <c r="P10"/>
  <c r="Q9"/>
  <c r="P9"/>
  <c r="Q8"/>
  <c r="P8"/>
  <c r="Q7"/>
  <c r="Q39" s="1"/>
  <c r="P7"/>
  <c r="P39" s="1"/>
  <c r="Q6"/>
  <c r="P6"/>
  <c r="J49" i="3"/>
  <c r="J48"/>
  <c r="J47"/>
  <c r="J46"/>
  <c r="Q38"/>
  <c r="N38"/>
  <c r="AK37"/>
  <c r="AH37"/>
  <c r="AE37"/>
  <c r="AB37"/>
  <c r="Y37"/>
  <c r="V37"/>
  <c r="S37"/>
  <c r="O37"/>
  <c r="L37"/>
  <c r="I37"/>
  <c r="F37"/>
  <c r="C37"/>
  <c r="AK36"/>
  <c r="AH36"/>
  <c r="AE36"/>
  <c r="AB36"/>
  <c r="Y36"/>
  <c r="V36"/>
  <c r="AN36"/>
  <c r="S36"/>
  <c r="N32" i="25"/>
  <c r="O36" i="3"/>
  <c r="L36"/>
  <c r="L32" i="25"/>
  <c r="I36" i="3"/>
  <c r="M32" i="25"/>
  <c r="F36" i="3"/>
  <c r="C36"/>
  <c r="AK35"/>
  <c r="AH35"/>
  <c r="AE35"/>
  <c r="AB35"/>
  <c r="Y35"/>
  <c r="V35"/>
  <c r="AN35"/>
  <c r="S35"/>
  <c r="N31" i="25"/>
  <c r="O35" i="3"/>
  <c r="L35"/>
  <c r="L31" i="25"/>
  <c r="I35" i="3"/>
  <c r="M31" i="25"/>
  <c r="F35" i="3"/>
  <c r="C35"/>
  <c r="AK34"/>
  <c r="AH34"/>
  <c r="AE34"/>
  <c r="AB34"/>
  <c r="Y34"/>
  <c r="V34"/>
  <c r="AN34"/>
  <c r="S34"/>
  <c r="N30" i="25"/>
  <c r="O34" i="3"/>
  <c r="L34"/>
  <c r="L30" i="25"/>
  <c r="I34" i="3"/>
  <c r="M30" i="25"/>
  <c r="F34" i="3"/>
  <c r="C34"/>
  <c r="AK33"/>
  <c r="AH33"/>
  <c r="AE33"/>
  <c r="AB33"/>
  <c r="Y33"/>
  <c r="V33"/>
  <c r="AN33"/>
  <c r="S33"/>
  <c r="N29" i="25"/>
  <c r="O33" i="3"/>
  <c r="L33"/>
  <c r="L29" i="25"/>
  <c r="I33" i="3"/>
  <c r="M29" i="25"/>
  <c r="F33" i="3"/>
  <c r="C33"/>
  <c r="AK32"/>
  <c r="AH32"/>
  <c r="AE32"/>
  <c r="AB32"/>
  <c r="Y32"/>
  <c r="V32"/>
  <c r="AN32"/>
  <c r="S32"/>
  <c r="N28" i="25"/>
  <c r="O32" i="3"/>
  <c r="L32"/>
  <c r="L28" i="25"/>
  <c r="I32" i="3"/>
  <c r="M28" i="25"/>
  <c r="F32" i="3"/>
  <c r="C32"/>
  <c r="AK31"/>
  <c r="AH31"/>
  <c r="AE31"/>
  <c r="AB31"/>
  <c r="Y31"/>
  <c r="V31"/>
  <c r="AN31"/>
  <c r="S31"/>
  <c r="N27" i="25"/>
  <c r="O31" i="3"/>
  <c r="L31"/>
  <c r="L27" i="25"/>
  <c r="I31" i="3"/>
  <c r="M27" i="25"/>
  <c r="F31" i="3"/>
  <c r="C31"/>
  <c r="AK30"/>
  <c r="AH30"/>
  <c r="AE30"/>
  <c r="AB30"/>
  <c r="Y30"/>
  <c r="V30"/>
  <c r="AN30"/>
  <c r="S30"/>
  <c r="N26" i="25"/>
  <c r="O30" i="3"/>
  <c r="L30"/>
  <c r="L26" i="25"/>
  <c r="I30" i="3"/>
  <c r="M26" i="25"/>
  <c r="F30" i="3"/>
  <c r="C30"/>
  <c r="AK29"/>
  <c r="AH29"/>
  <c r="AE29"/>
  <c r="AB29"/>
  <c r="Y29"/>
  <c r="V29"/>
  <c r="AN29"/>
  <c r="S29"/>
  <c r="N25" i="25"/>
  <c r="O29" i="3"/>
  <c r="L29"/>
  <c r="L25" i="25"/>
  <c r="I29" i="3"/>
  <c r="M25" i="25"/>
  <c r="F29" i="3"/>
  <c r="C29"/>
  <c r="AK28"/>
  <c r="AH28"/>
  <c r="AE28"/>
  <c r="AB28"/>
  <c r="Y28"/>
  <c r="V28"/>
  <c r="AN28"/>
  <c r="S28"/>
  <c r="N24" i="25"/>
  <c r="O28" i="3"/>
  <c r="L28"/>
  <c r="L24" i="25"/>
  <c r="I28" i="3"/>
  <c r="M24" i="25"/>
  <c r="F28" i="3"/>
  <c r="C28"/>
  <c r="AK27"/>
  <c r="AH27"/>
  <c r="AE27"/>
  <c r="AB27"/>
  <c r="Y27"/>
  <c r="V27"/>
  <c r="AN27"/>
  <c r="S27"/>
  <c r="N23" i="25"/>
  <c r="O27" i="3"/>
  <c r="L27"/>
  <c r="L23" i="25"/>
  <c r="I27" i="3"/>
  <c r="M23" i="25"/>
  <c r="F27" i="3"/>
  <c r="C27"/>
  <c r="AK26"/>
  <c r="AH26"/>
  <c r="AE26"/>
  <c r="AB26"/>
  <c r="Y26"/>
  <c r="V26"/>
  <c r="AN26"/>
  <c r="S26"/>
  <c r="N22" i="25"/>
  <c r="O26" i="3"/>
  <c r="L26"/>
  <c r="L22" i="25"/>
  <c r="I26" i="3"/>
  <c r="M22" i="25"/>
  <c r="F26" i="3"/>
  <c r="C26"/>
  <c r="AK25"/>
  <c r="AH25"/>
  <c r="AE25"/>
  <c r="AB25"/>
  <c r="Y25"/>
  <c r="V25"/>
  <c r="AN25"/>
  <c r="S25"/>
  <c r="N21" i="25"/>
  <c r="O25" i="3"/>
  <c r="L25"/>
  <c r="L21" i="25"/>
  <c r="I25" i="3"/>
  <c r="M21" i="25"/>
  <c r="F25" i="3"/>
  <c r="C25"/>
  <c r="AK24"/>
  <c r="AH24"/>
  <c r="AE24"/>
  <c r="AB24"/>
  <c r="Y24"/>
  <c r="V24"/>
  <c r="AN24"/>
  <c r="N20" i="25"/>
  <c r="L20"/>
  <c r="M20"/>
  <c r="F24" i="3"/>
  <c r="C24"/>
  <c r="AK23"/>
  <c r="AH23"/>
  <c r="AE23"/>
  <c r="AB23"/>
  <c r="Y23"/>
  <c r="V23"/>
  <c r="AN23"/>
  <c r="N19" i="25"/>
  <c r="L19"/>
  <c r="M19"/>
  <c r="F23" i="3"/>
  <c r="C23"/>
  <c r="AK22"/>
  <c r="AH22"/>
  <c r="AE22"/>
  <c r="AB22"/>
  <c r="Y22"/>
  <c r="V22"/>
  <c r="AN22"/>
  <c r="N18" i="25"/>
  <c r="L18"/>
  <c r="M18"/>
  <c r="F22" i="3"/>
  <c r="C22"/>
  <c r="AK21"/>
  <c r="AH21"/>
  <c r="AE21"/>
  <c r="AB21"/>
  <c r="Y21"/>
  <c r="V21"/>
  <c r="AN21"/>
  <c r="N17" i="25"/>
  <c r="L17"/>
  <c r="M17"/>
  <c r="F21" i="3"/>
  <c r="C21"/>
  <c r="AK20"/>
  <c r="AH20"/>
  <c r="AE20"/>
  <c r="AB20"/>
  <c r="Y20"/>
  <c r="V20"/>
  <c r="N16" i="25"/>
  <c r="L16"/>
  <c r="M16"/>
  <c r="F20" i="3"/>
  <c r="C20"/>
  <c r="AK19"/>
  <c r="AH19"/>
  <c r="AE19"/>
  <c r="AB19"/>
  <c r="Y19"/>
  <c r="V19"/>
  <c r="N15" i="25"/>
  <c r="L15"/>
  <c r="M15"/>
  <c r="F19" i="3"/>
  <c r="C19"/>
  <c r="AK18"/>
  <c r="AH18"/>
  <c r="AE18"/>
  <c r="AB18"/>
  <c r="Y18"/>
  <c r="V18"/>
  <c r="N14" i="25"/>
  <c r="L14"/>
  <c r="M14"/>
  <c r="F18" i="3"/>
  <c r="C18"/>
  <c r="AK17"/>
  <c r="AH17"/>
  <c r="AE17"/>
  <c r="AB17"/>
  <c r="Y17"/>
  <c r="V17"/>
  <c r="N13" i="25"/>
  <c r="L13"/>
  <c r="M13"/>
  <c r="F17" i="3"/>
  <c r="K16" i="11"/>
  <c r="C17" i="3"/>
  <c r="AK16"/>
  <c r="AH16"/>
  <c r="AE16"/>
  <c r="AB16"/>
  <c r="Y16"/>
  <c r="V16"/>
  <c r="N12" i="25"/>
  <c r="L12"/>
  <c r="M12"/>
  <c r="F16" i="3"/>
  <c r="N16" i="13"/>
  <c r="C16" i="3"/>
  <c r="AK15"/>
  <c r="AH15"/>
  <c r="AE15"/>
  <c r="AB15"/>
  <c r="Y15"/>
  <c r="V15"/>
  <c r="N11" i="25"/>
  <c r="L11"/>
  <c r="M11"/>
  <c r="F15" i="3"/>
  <c r="P11" i="25"/>
  <c r="C15" i="3"/>
  <c r="AK14"/>
  <c r="AH14"/>
  <c r="AE14"/>
  <c r="AB14"/>
  <c r="Y14"/>
  <c r="V14"/>
  <c r="N10" i="25"/>
  <c r="L10"/>
  <c r="M10"/>
  <c r="F14" i="3"/>
  <c r="K13" i="11"/>
  <c r="C14" i="3"/>
  <c r="AK13"/>
  <c r="AH13"/>
  <c r="AE13"/>
  <c r="AB13"/>
  <c r="Y13"/>
  <c r="V13"/>
  <c r="N9" i="25"/>
  <c r="L9"/>
  <c r="M9"/>
  <c r="F13" i="3"/>
  <c r="N13" i="13"/>
  <c r="C13" i="3"/>
  <c r="AK12"/>
  <c r="AH12"/>
  <c r="AE12"/>
  <c r="AB12"/>
  <c r="Y12"/>
  <c r="V12"/>
  <c r="N8" i="25"/>
  <c r="L8"/>
  <c r="M8"/>
  <c r="F12" i="3"/>
  <c r="N12" i="13"/>
  <c r="C12" i="3"/>
  <c r="AK11"/>
  <c r="AH11"/>
  <c r="AE11"/>
  <c r="AB11"/>
  <c r="Y11"/>
  <c r="V11"/>
  <c r="N7" i="25"/>
  <c r="L7"/>
  <c r="M7"/>
  <c r="F11" i="3"/>
  <c r="N11" i="13"/>
  <c r="C11" i="3"/>
  <c r="AK10"/>
  <c r="AH10"/>
  <c r="AE10"/>
  <c r="AB10"/>
  <c r="Y10"/>
  <c r="V10"/>
  <c r="N6" i="25"/>
  <c r="L6"/>
  <c r="M6"/>
  <c r="F10" i="3"/>
  <c r="N10" i="13"/>
  <c r="C10" i="3"/>
  <c r="AK9"/>
  <c r="AE9"/>
  <c r="AB9"/>
  <c r="Y9"/>
  <c r="V9"/>
  <c r="N5" i="25"/>
  <c r="L5"/>
  <c r="M5"/>
  <c r="F9" i="3"/>
  <c r="K8" i="11"/>
  <c r="C9" i="3"/>
  <c r="AK8"/>
  <c r="AE8"/>
  <c r="AB8"/>
  <c r="Y8"/>
  <c r="V8"/>
  <c r="N4" i="25"/>
  <c r="L4"/>
  <c r="M4"/>
  <c r="F8" i="3"/>
  <c r="N8" i="13"/>
  <c r="C8" i="3"/>
  <c r="AK7"/>
  <c r="AE7"/>
  <c r="AB7"/>
  <c r="Y7"/>
  <c r="V7"/>
  <c r="N3" i="25"/>
  <c r="L3"/>
  <c r="M3"/>
  <c r="F7" i="3"/>
  <c r="P3" i="25"/>
  <c r="C7" i="3"/>
  <c r="AK6"/>
  <c r="AH6"/>
  <c r="AE6"/>
  <c r="AB6"/>
  <c r="Y6"/>
  <c r="V6"/>
  <c r="N2" i="25"/>
  <c r="L2"/>
  <c r="M2"/>
  <c r="F6" i="3"/>
  <c r="P2" i="25"/>
  <c r="C6" i="3"/>
  <c r="AK5"/>
  <c r="AH5"/>
  <c r="AE5"/>
  <c r="AB5"/>
  <c r="Y5"/>
  <c r="V5"/>
  <c r="F5"/>
  <c r="C5"/>
  <c r="H45" i="1"/>
  <c r="G45"/>
  <c r="F45"/>
  <c r="E45"/>
  <c r="C36" i="23"/>
  <c r="C37" i="14"/>
  <c r="C35" i="23"/>
  <c r="C34"/>
  <c r="C33"/>
  <c r="C34" i="14"/>
  <c r="C32" i="23"/>
  <c r="C33" i="14"/>
  <c r="D32" i="23"/>
  <c r="C31"/>
  <c r="D31"/>
  <c r="C30"/>
  <c r="C31" i="14"/>
  <c r="D30" i="23"/>
  <c r="C29"/>
  <c r="C30" i="14"/>
  <c r="C28" i="23"/>
  <c r="C29" i="14"/>
  <c r="D28" i="23"/>
  <c r="AV33" i="1"/>
  <c r="C27" i="23"/>
  <c r="D27"/>
  <c r="C26"/>
  <c r="C27" i="14"/>
  <c r="D26" i="23"/>
  <c r="C25"/>
  <c r="C26" i="14"/>
  <c r="D25" i="23"/>
  <c r="C24"/>
  <c r="C25" i="14"/>
  <c r="D24" i="23"/>
  <c r="C23"/>
  <c r="D23"/>
  <c r="C22"/>
  <c r="C23" i="14"/>
  <c r="C21" i="23"/>
  <c r="C22" i="14"/>
  <c r="C20" i="23"/>
  <c r="C21" i="14"/>
  <c r="D21"/>
  <c r="N21" s="1"/>
  <c r="R21" s="1"/>
  <c r="C19" i="23"/>
  <c r="C18"/>
  <c r="C19" i="14"/>
  <c r="C17" i="23"/>
  <c r="C18" i="14"/>
  <c r="D18"/>
  <c r="N18" s="1"/>
  <c r="C16" i="23"/>
  <c r="C17" i="14"/>
  <c r="D17"/>
  <c r="N17" s="1"/>
  <c r="C15" i="23"/>
  <c r="C16" i="14"/>
  <c r="C14" i="23"/>
  <c r="C15" i="14"/>
  <c r="C14"/>
  <c r="D14"/>
  <c r="N14" s="1"/>
  <c r="F14" i="11"/>
  <c r="D13" i="14"/>
  <c r="N13" s="1"/>
  <c r="F13" i="11"/>
  <c r="D12" i="14"/>
  <c r="N12" s="1"/>
  <c r="C10" i="23"/>
  <c r="F11" i="11"/>
  <c r="D10" i="14"/>
  <c r="N10" s="1"/>
  <c r="F10" i="11"/>
  <c r="D9" i="14"/>
  <c r="N9" s="1"/>
  <c r="F9" i="11"/>
  <c r="D8" i="14"/>
  <c r="N8" s="1"/>
  <c r="C6" i="23"/>
  <c r="F8" i="11"/>
  <c r="H5"/>
  <c r="C6" i="14"/>
  <c r="AC6" i="12"/>
  <c r="F6" i="11"/>
  <c r="G6"/>
  <c r="F5"/>
  <c r="AI9" i="13" l="1"/>
  <c r="Q14" i="18"/>
  <c r="R14" s="1"/>
  <c r="J6"/>
  <c r="L6" s="1"/>
  <c r="J11"/>
  <c r="L11" s="1"/>
  <c r="J14"/>
  <c r="L14" s="1"/>
  <c r="J32"/>
  <c r="L32" s="1"/>
  <c r="L4"/>
  <c r="J5"/>
  <c r="L5" s="1"/>
  <c r="J8"/>
  <c r="L8" s="1"/>
  <c r="J10"/>
  <c r="L10" s="1"/>
  <c r="J13"/>
  <c r="L13" s="1"/>
  <c r="J20"/>
  <c r="L20" s="1"/>
  <c r="J23"/>
  <c r="L23" s="1"/>
  <c r="J25"/>
  <c r="L25" s="1"/>
  <c r="J33"/>
  <c r="L33" s="1"/>
  <c r="J29"/>
  <c r="L29" s="1"/>
  <c r="J16"/>
  <c r="L16" s="1"/>
  <c r="J19"/>
  <c r="L19" s="1"/>
  <c r="J22"/>
  <c r="L22" s="1"/>
  <c r="J34"/>
  <c r="L34" s="1"/>
  <c r="J30"/>
  <c r="L30" s="1"/>
  <c r="J26"/>
  <c r="L26" s="1"/>
  <c r="J17"/>
  <c r="L17" s="1"/>
  <c r="J28"/>
  <c r="L28" s="1"/>
  <c r="J7"/>
  <c r="L7" s="1"/>
  <c r="J9"/>
  <c r="L9" s="1"/>
  <c r="J12"/>
  <c r="L12" s="1"/>
  <c r="J15"/>
  <c r="L15" s="1"/>
  <c r="J18"/>
  <c r="L18" s="1"/>
  <c r="J21"/>
  <c r="L21" s="1"/>
  <c r="J24"/>
  <c r="L24" s="1"/>
  <c r="J35"/>
  <c r="J31"/>
  <c r="L31" s="1"/>
  <c r="J27"/>
  <c r="L27" s="1"/>
  <c r="J39" i="14"/>
  <c r="I26" i="23"/>
  <c r="S31" i="14"/>
  <c r="U5" i="10"/>
  <c r="I27" i="23"/>
  <c r="I34"/>
  <c r="I23" i="10"/>
  <c r="Q23" s="1"/>
  <c r="I29" i="23"/>
  <c r="I31"/>
  <c r="AC24" i="18"/>
  <c r="I33" i="23"/>
  <c r="I35"/>
  <c r="W24" i="25"/>
  <c r="G27" i="23"/>
  <c r="W25" i="25"/>
  <c r="G28" i="23"/>
  <c r="W26" i="25"/>
  <c r="G29" i="23"/>
  <c r="W27" i="25"/>
  <c r="G30" i="23"/>
  <c r="W28" i="25"/>
  <c r="G31" i="23"/>
  <c r="W29" i="25"/>
  <c r="G32" i="23"/>
  <c r="W30" i="25"/>
  <c r="G33" i="23"/>
  <c r="W31" i="25"/>
  <c r="G34" i="23"/>
  <c r="W32" i="25"/>
  <c r="G35" i="23"/>
  <c r="AI16" i="13"/>
  <c r="W23" i="25"/>
  <c r="G26" i="23"/>
  <c r="I25"/>
  <c r="W22" i="25"/>
  <c r="G25" i="23"/>
  <c r="I24"/>
  <c r="W21" i="25"/>
  <c r="G24" i="23"/>
  <c r="W20" i="25"/>
  <c r="G23" i="23"/>
  <c r="W19" i="25"/>
  <c r="G22" i="23"/>
  <c r="I22"/>
  <c r="L39" i="14"/>
  <c r="W18" i="25"/>
  <c r="G21" i="23"/>
  <c r="T45" i="1"/>
  <c r="U47" s="1"/>
  <c r="U48" s="1"/>
  <c r="I19" i="10"/>
  <c r="Q19" s="1"/>
  <c r="I26"/>
  <c r="Q26" s="1"/>
  <c r="AV34" i="1"/>
  <c r="AT33"/>
  <c r="S15" i="14"/>
  <c r="S19"/>
  <c r="S30"/>
  <c r="S35"/>
  <c r="S10"/>
  <c r="C12" i="23"/>
  <c r="W17" i="25"/>
  <c r="G20" i="23"/>
  <c r="K39" i="14"/>
  <c r="I20" i="23"/>
  <c r="I18"/>
  <c r="B39" i="14"/>
  <c r="R17"/>
  <c r="I16" i="23"/>
  <c r="I14"/>
  <c r="C13"/>
  <c r="I13"/>
  <c r="I12"/>
  <c r="E12" i="14"/>
  <c r="O12" s="1"/>
  <c r="C11" i="23"/>
  <c r="J30" i="13"/>
  <c r="D29" i="23"/>
  <c r="G35" i="11"/>
  <c r="D33" i="23"/>
  <c r="AC35" i="12"/>
  <c r="D34" i="23"/>
  <c r="I11"/>
  <c r="C9"/>
  <c r="G32" i="14"/>
  <c r="H31" i="23"/>
  <c r="G36" i="14"/>
  <c r="H35" i="23"/>
  <c r="G31" i="14"/>
  <c r="H30" i="23"/>
  <c r="G35" i="14"/>
  <c r="H34" i="23"/>
  <c r="G30" i="14"/>
  <c r="H29" i="23"/>
  <c r="G34" i="14"/>
  <c r="H33" i="23"/>
  <c r="G37" i="14"/>
  <c r="H36" i="23"/>
  <c r="G29" i="14"/>
  <c r="H28" i="23"/>
  <c r="G33" i="14"/>
  <c r="H32" i="23"/>
  <c r="I9"/>
  <c r="C8"/>
  <c r="I8"/>
  <c r="E8" i="14"/>
  <c r="O8" s="1"/>
  <c r="C7" i="23"/>
  <c r="I7"/>
  <c r="AC7" i="12"/>
  <c r="D6" i="23"/>
  <c r="K77" i="3"/>
  <c r="G36" i="11"/>
  <c r="E16" i="14"/>
  <c r="O16" s="1"/>
  <c r="K16" i="13"/>
  <c r="L16" s="1"/>
  <c r="H15" i="11"/>
  <c r="I15" s="1"/>
  <c r="K23" i="13"/>
  <c r="L23" s="1"/>
  <c r="H22" i="11"/>
  <c r="I22" s="1"/>
  <c r="D25" i="14"/>
  <c r="N25" s="1"/>
  <c r="R25" s="1"/>
  <c r="AC25" i="12"/>
  <c r="J25" i="13"/>
  <c r="K27"/>
  <c r="H26" i="11"/>
  <c r="E32" i="14"/>
  <c r="O32" s="1"/>
  <c r="K32" i="13"/>
  <c r="H31" i="11"/>
  <c r="M25" i="14"/>
  <c r="G21" i="26" s="1"/>
  <c r="L24" i="11"/>
  <c r="T6" i="10"/>
  <c r="K19" i="13"/>
  <c r="L19" s="1"/>
  <c r="H18" i="11"/>
  <c r="I18" s="1"/>
  <c r="AC24" i="12"/>
  <c r="G25" i="11"/>
  <c r="J24" i="13"/>
  <c r="K26"/>
  <c r="H25" i="11"/>
  <c r="K18" i="13"/>
  <c r="L18" s="1"/>
  <c r="H17" i="11"/>
  <c r="I17" s="1"/>
  <c r="K22" i="13"/>
  <c r="L22" s="1"/>
  <c r="H21" i="11"/>
  <c r="I21" s="1"/>
  <c r="C24" i="14"/>
  <c r="F25" i="11"/>
  <c r="E25" i="14"/>
  <c r="O25" s="1"/>
  <c r="H24" i="11"/>
  <c r="I24" s="1"/>
  <c r="K25" i="13"/>
  <c r="AC27" i="12"/>
  <c r="J27" i="13"/>
  <c r="C28" i="14"/>
  <c r="F29" i="11"/>
  <c r="K30" i="13"/>
  <c r="H29" i="11"/>
  <c r="AC32" i="12"/>
  <c r="J32" i="13"/>
  <c r="K34"/>
  <c r="H33" i="11"/>
  <c r="K36" i="13"/>
  <c r="H35" i="11"/>
  <c r="Q5" i="18"/>
  <c r="R5" s="1"/>
  <c r="Q9"/>
  <c r="R9" s="1"/>
  <c r="M24" i="14"/>
  <c r="G20" i="26" s="1"/>
  <c r="L23" i="11"/>
  <c r="M26" i="14"/>
  <c r="G22" i="26" s="1"/>
  <c r="L25" i="11"/>
  <c r="M28" i="14"/>
  <c r="G24" i="26" s="1"/>
  <c r="L27" i="11"/>
  <c r="M30" i="14"/>
  <c r="G26" i="26" s="1"/>
  <c r="L29" i="11"/>
  <c r="I10" i="10"/>
  <c r="Q10" s="1"/>
  <c r="I16"/>
  <c r="Q16" s="1"/>
  <c r="F35" i="11"/>
  <c r="F30"/>
  <c r="F24"/>
  <c r="F19"/>
  <c r="G28"/>
  <c r="E20" i="14"/>
  <c r="O20" s="1"/>
  <c r="K20" i="13"/>
  <c r="L20" s="1"/>
  <c r="H19" i="11"/>
  <c r="I19" s="1"/>
  <c r="D34" i="14"/>
  <c r="N34" s="1"/>
  <c r="R34" s="1"/>
  <c r="AC34" i="12"/>
  <c r="J34" i="13"/>
  <c r="K35"/>
  <c r="H34" i="11"/>
  <c r="H36"/>
  <c r="M27" i="14"/>
  <c r="G23" i="26" s="1"/>
  <c r="L26" i="11"/>
  <c r="M29" i="14"/>
  <c r="G25" i="26" s="1"/>
  <c r="L28" i="11"/>
  <c r="M31" i="14"/>
  <c r="G27" i="26" s="1"/>
  <c r="L30" i="11"/>
  <c r="AC28" i="12"/>
  <c r="G29" i="11"/>
  <c r="J28" i="13"/>
  <c r="D29" i="14"/>
  <c r="N29" s="1"/>
  <c r="R29" s="1"/>
  <c r="AC29" i="12"/>
  <c r="J29" i="13"/>
  <c r="K31"/>
  <c r="H30" i="11"/>
  <c r="D33" i="14"/>
  <c r="N33" s="1"/>
  <c r="R33" s="1"/>
  <c r="AC33" i="12"/>
  <c r="G34" i="11"/>
  <c r="J33" i="13"/>
  <c r="C36" i="14"/>
  <c r="H16" i="11"/>
  <c r="I16" s="1"/>
  <c r="K17" i="13"/>
  <c r="L17" s="1"/>
  <c r="C20" i="14"/>
  <c r="F21" i="11"/>
  <c r="E21" i="14"/>
  <c r="O21" s="1"/>
  <c r="H20" i="11"/>
  <c r="I20" s="1"/>
  <c r="K21" i="13"/>
  <c r="L21" s="1"/>
  <c r="E24" i="14"/>
  <c r="O24" s="1"/>
  <c r="K24" i="13"/>
  <c r="H23" i="11"/>
  <c r="I23" s="1"/>
  <c r="AC26" i="12"/>
  <c r="J26" i="13"/>
  <c r="E28" i="14"/>
  <c r="O28" s="1"/>
  <c r="K28" i="13"/>
  <c r="H27" i="11"/>
  <c r="E29" i="14"/>
  <c r="O29" s="1"/>
  <c r="H28" i="11"/>
  <c r="K29" i="13"/>
  <c r="AC31" i="12"/>
  <c r="J31" i="13"/>
  <c r="C32" i="14"/>
  <c r="F33" i="11"/>
  <c r="E33" i="14"/>
  <c r="O33" s="1"/>
  <c r="H32" i="11"/>
  <c r="K33" i="13"/>
  <c r="C35" i="14"/>
  <c r="P14" i="25"/>
  <c r="I18" i="14"/>
  <c r="N18" i="13"/>
  <c r="K17" i="11"/>
  <c r="N19" i="13"/>
  <c r="K18" i="11"/>
  <c r="P15" i="25"/>
  <c r="I19" i="14"/>
  <c r="N20" i="13"/>
  <c r="K19" i="11"/>
  <c r="P16" i="25"/>
  <c r="I20" i="14"/>
  <c r="P17" i="25"/>
  <c r="I21" i="14"/>
  <c r="N21" i="13"/>
  <c r="K20" i="11"/>
  <c r="P18" i="25"/>
  <c r="I22" i="14"/>
  <c r="N22" i="13"/>
  <c r="K21" i="11"/>
  <c r="N23" i="13"/>
  <c r="K22" i="11"/>
  <c r="P19" i="25"/>
  <c r="I23" i="14"/>
  <c r="N24" i="13"/>
  <c r="K23" i="11"/>
  <c r="P20" i="25"/>
  <c r="I24" i="14"/>
  <c r="P21" i="25"/>
  <c r="I25" i="14"/>
  <c r="N25" i="13"/>
  <c r="K24" i="11"/>
  <c r="P22" i="25"/>
  <c r="I26" i="14"/>
  <c r="N26" i="13"/>
  <c r="K25" i="11"/>
  <c r="N27" i="13"/>
  <c r="K26" i="11"/>
  <c r="P23" i="25"/>
  <c r="I27" i="14"/>
  <c r="N28" i="13"/>
  <c r="K27" i="11"/>
  <c r="P24" i="25"/>
  <c r="I28" i="14"/>
  <c r="P25" i="25"/>
  <c r="I29" i="14"/>
  <c r="N29" i="13"/>
  <c r="K28" i="11"/>
  <c r="P26" i="25"/>
  <c r="I30" i="14"/>
  <c r="N30" i="13"/>
  <c r="K29" i="11"/>
  <c r="N31" i="13"/>
  <c r="K30" i="11"/>
  <c r="P27" i="25"/>
  <c r="I31" i="14"/>
  <c r="N32" i="13"/>
  <c r="K31" i="11"/>
  <c r="P28" i="25"/>
  <c r="I32" i="14"/>
  <c r="P29" i="25"/>
  <c r="I33" i="14"/>
  <c r="N33" i="13"/>
  <c r="K32" i="11"/>
  <c r="P30" i="25"/>
  <c r="I34" i="14"/>
  <c r="N34" i="13"/>
  <c r="K33" i="11"/>
  <c r="N35" i="13"/>
  <c r="K34" i="11"/>
  <c r="P31" i="25"/>
  <c r="I35" i="14"/>
  <c r="N36" i="13"/>
  <c r="K35" i="11"/>
  <c r="P32" i="25"/>
  <c r="I36" i="14"/>
  <c r="I37"/>
  <c r="N37" i="13"/>
  <c r="K36" i="11"/>
  <c r="K60" i="3"/>
  <c r="M20" i="13" s="1"/>
  <c r="K61" i="3"/>
  <c r="M21" i="13" s="1"/>
  <c r="K65" i="3"/>
  <c r="M25" i="13" s="1"/>
  <c r="K69" i="3"/>
  <c r="M29" i="13" s="1"/>
  <c r="K73" i="3"/>
  <c r="M33" i="13" s="1"/>
  <c r="M19" i="14"/>
  <c r="G15" i="26" s="1"/>
  <c r="L18" i="11"/>
  <c r="M21" i="14"/>
  <c r="G17" i="26" s="1"/>
  <c r="L20" i="11"/>
  <c r="M23" i="14"/>
  <c r="G19" i="26" s="1"/>
  <c r="L22" i="11"/>
  <c r="M32" i="14"/>
  <c r="G28" i="26" s="1"/>
  <c r="L31" i="11"/>
  <c r="M34" i="14"/>
  <c r="G30" i="26" s="1"/>
  <c r="L33" i="11"/>
  <c r="M36" i="14"/>
  <c r="L35" i="11"/>
  <c r="I24" i="10"/>
  <c r="Q24" s="1"/>
  <c r="F34" i="11"/>
  <c r="F28"/>
  <c r="F23"/>
  <c r="F18"/>
  <c r="G33"/>
  <c r="G27"/>
  <c r="I35" i="10"/>
  <c r="Q35" s="1"/>
  <c r="D37" i="14"/>
  <c r="AC37" i="12"/>
  <c r="F32" i="11"/>
  <c r="F27"/>
  <c r="F22"/>
  <c r="G5"/>
  <c r="G32"/>
  <c r="G26"/>
  <c r="Q27" i="18"/>
  <c r="R27" s="1"/>
  <c r="M18" i="14"/>
  <c r="G14" i="26" s="1"/>
  <c r="L17" i="11"/>
  <c r="M20" i="14"/>
  <c r="G16" i="26" s="1"/>
  <c r="L19" i="11"/>
  <c r="M22" i="14"/>
  <c r="G18" i="26" s="1"/>
  <c r="L21" i="11"/>
  <c r="J31" i="15"/>
  <c r="M33" i="14"/>
  <c r="G29" i="26" s="1"/>
  <c r="L32" i="11"/>
  <c r="I6" i="10"/>
  <c r="Q6" s="1"/>
  <c r="U6"/>
  <c r="I12"/>
  <c r="Q12" s="1"/>
  <c r="I13"/>
  <c r="Q13" s="1"/>
  <c r="I17"/>
  <c r="Q17" s="1"/>
  <c r="I31"/>
  <c r="Q31" s="1"/>
  <c r="S6" i="14"/>
  <c r="M37"/>
  <c r="D36"/>
  <c r="N36" s="1"/>
  <c r="R36" s="1"/>
  <c r="AC36" i="12"/>
  <c r="J36" i="13"/>
  <c r="F36" i="11"/>
  <c r="F31"/>
  <c r="F26"/>
  <c r="F20"/>
  <c r="G30"/>
  <c r="AI30" i="13"/>
  <c r="AI26"/>
  <c r="J35"/>
  <c r="AI15"/>
  <c r="K56" i="3"/>
  <c r="M16" i="13" s="1"/>
  <c r="N17"/>
  <c r="P13" i="25"/>
  <c r="I17" i="14"/>
  <c r="L16" i="11"/>
  <c r="F17"/>
  <c r="K15"/>
  <c r="P12" i="25"/>
  <c r="I16" i="14"/>
  <c r="L15" i="11"/>
  <c r="G31"/>
  <c r="D30" i="14"/>
  <c r="N30" s="1"/>
  <c r="R30" s="1"/>
  <c r="AC30" i="12"/>
  <c r="F30" i="14"/>
  <c r="H14" i="11"/>
  <c r="I14" s="1"/>
  <c r="K15" i="13"/>
  <c r="L15" s="1"/>
  <c r="F16" i="11"/>
  <c r="L14"/>
  <c r="K14"/>
  <c r="N15" i="13"/>
  <c r="I15" i="14"/>
  <c r="H13" i="11"/>
  <c r="I13" s="1"/>
  <c r="K14" i="13"/>
  <c r="L14" s="1"/>
  <c r="F15" i="11"/>
  <c r="L13"/>
  <c r="L12"/>
  <c r="I14" i="14"/>
  <c r="P10" i="25"/>
  <c r="N14" i="13"/>
  <c r="K13"/>
  <c r="L13" s="1"/>
  <c r="H12" i="11"/>
  <c r="I12" s="1"/>
  <c r="C13" i="14"/>
  <c r="K52" i="3"/>
  <c r="M12" i="13" s="1"/>
  <c r="I13" i="14"/>
  <c r="P9" i="25"/>
  <c r="K12" i="11"/>
  <c r="H11"/>
  <c r="I11" s="1"/>
  <c r="K12" i="13"/>
  <c r="L12" s="1"/>
  <c r="C12" i="14"/>
  <c r="P8" i="25"/>
  <c r="K11" i="11"/>
  <c r="I12" i="14"/>
  <c r="L11" i="11"/>
  <c r="H10"/>
  <c r="I10" s="1"/>
  <c r="K11" i="13"/>
  <c r="L11" s="1"/>
  <c r="F12" i="11"/>
  <c r="C11" i="14"/>
  <c r="L10" i="11"/>
  <c r="B10"/>
  <c r="K10" i="13"/>
  <c r="L10" s="1"/>
  <c r="H9" i="11"/>
  <c r="C10" i="14"/>
  <c r="L9" i="11"/>
  <c r="H8"/>
  <c r="K9" i="13"/>
  <c r="L9" s="1"/>
  <c r="C9" i="14"/>
  <c r="K48" i="3"/>
  <c r="M8" i="13" s="1"/>
  <c r="K9" i="11"/>
  <c r="I10" i="14"/>
  <c r="P6" i="25"/>
  <c r="K10" i="11"/>
  <c r="I11" i="14"/>
  <c r="P7" i="25"/>
  <c r="N9" i="13"/>
  <c r="P5" i="25"/>
  <c r="I9" i="14"/>
  <c r="L8" i="11"/>
  <c r="H7"/>
  <c r="K8" i="13"/>
  <c r="C8" i="14"/>
  <c r="J8" i="13"/>
  <c r="G9" i="11"/>
  <c r="L7"/>
  <c r="I8" i="14"/>
  <c r="P4" i="25"/>
  <c r="K7" i="11"/>
  <c r="H6"/>
  <c r="I6" s="1"/>
  <c r="K7" i="13"/>
  <c r="C7" i="14"/>
  <c r="G8" i="11"/>
  <c r="J7" i="13"/>
  <c r="I8" i="10"/>
  <c r="Q8" s="1"/>
  <c r="S8" s="1"/>
  <c r="Z8" s="1"/>
  <c r="I9"/>
  <c r="Q9" s="1"/>
  <c r="AA5" i="18"/>
  <c r="AC5" s="1"/>
  <c r="I11" i="10"/>
  <c r="Q11" s="1"/>
  <c r="I27"/>
  <c r="Q27" s="1"/>
  <c r="I28"/>
  <c r="Q28" s="1"/>
  <c r="I7"/>
  <c r="Q7" s="1"/>
  <c r="I30"/>
  <c r="Q30" s="1"/>
  <c r="L5" i="11"/>
  <c r="L6"/>
  <c r="K5"/>
  <c r="N6" i="13"/>
  <c r="I6" i="14"/>
  <c r="K6" i="11"/>
  <c r="N7" i="13"/>
  <c r="I7" i="14"/>
  <c r="B6" i="11"/>
  <c r="K6" i="13"/>
  <c r="F7" i="11"/>
  <c r="J6" i="13"/>
  <c r="G7" i="11"/>
  <c r="H39" i="14"/>
  <c r="F35" i="18"/>
  <c r="I5" i="11"/>
  <c r="B12"/>
  <c r="B14"/>
  <c r="B18"/>
  <c r="B20"/>
  <c r="B22"/>
  <c r="B24"/>
  <c r="B26"/>
  <c r="B28"/>
  <c r="B30"/>
  <c r="B7"/>
  <c r="B8"/>
  <c r="B16"/>
  <c r="B32"/>
  <c r="B31"/>
  <c r="B9"/>
  <c r="B11"/>
  <c r="B13"/>
  <c r="B15"/>
  <c r="B17"/>
  <c r="B19"/>
  <c r="B21"/>
  <c r="B23"/>
  <c r="B25"/>
  <c r="B27"/>
  <c r="B29"/>
  <c r="J35" i="15"/>
  <c r="J32"/>
  <c r="E34" i="14"/>
  <c r="O34" s="1"/>
  <c r="E30"/>
  <c r="O30" s="1"/>
  <c r="E26"/>
  <c r="O26" s="1"/>
  <c r="E22"/>
  <c r="O22" s="1"/>
  <c r="E18"/>
  <c r="O18" s="1"/>
  <c r="E14"/>
  <c r="O14" s="1"/>
  <c r="E10"/>
  <c r="O10" s="1"/>
  <c r="E37"/>
  <c r="E31"/>
  <c r="O31" s="1"/>
  <c r="E27"/>
  <c r="O27" s="1"/>
  <c r="E23"/>
  <c r="O23" s="1"/>
  <c r="E19"/>
  <c r="O19" s="1"/>
  <c r="E15"/>
  <c r="O15" s="1"/>
  <c r="E11"/>
  <c r="O11" s="1"/>
  <c r="E7"/>
  <c r="O7" s="1"/>
  <c r="C5" i="23"/>
  <c r="E6" i="14"/>
  <c r="O6" s="1"/>
  <c r="E17"/>
  <c r="O17" s="1"/>
  <c r="E13"/>
  <c r="O13" s="1"/>
  <c r="E9"/>
  <c r="O9" s="1"/>
  <c r="D28"/>
  <c r="N28" s="1"/>
  <c r="R28" s="1"/>
  <c r="D24"/>
  <c r="N24" s="1"/>
  <c r="R24" s="1"/>
  <c r="D20"/>
  <c r="N20" s="1"/>
  <c r="R20" s="1"/>
  <c r="D16"/>
  <c r="N16" s="1"/>
  <c r="R16" s="1"/>
  <c r="F14"/>
  <c r="D6"/>
  <c r="D31"/>
  <c r="N31" s="1"/>
  <c r="R31" s="1"/>
  <c r="D26"/>
  <c r="N26" s="1"/>
  <c r="R26" s="1"/>
  <c r="D22"/>
  <c r="N22" s="1"/>
  <c r="R22" s="1"/>
  <c r="D32"/>
  <c r="N32" s="1"/>
  <c r="R32" s="1"/>
  <c r="D27"/>
  <c r="N27" s="1"/>
  <c r="R27" s="1"/>
  <c r="D23"/>
  <c r="N23" s="1"/>
  <c r="R23" s="1"/>
  <c r="D19"/>
  <c r="N19" s="1"/>
  <c r="R19" s="1"/>
  <c r="D15"/>
  <c r="N15" s="1"/>
  <c r="R15" s="1"/>
  <c r="D11"/>
  <c r="N11" s="1"/>
  <c r="R11" s="1"/>
  <c r="D7"/>
  <c r="N7" s="1"/>
  <c r="F13"/>
  <c r="K49" i="3"/>
  <c r="M9" i="13" s="1"/>
  <c r="K53" i="3"/>
  <c r="M13" i="13" s="1"/>
  <c r="K57" i="3"/>
  <c r="M17" i="13" s="1"/>
  <c r="K62" i="3"/>
  <c r="M22" i="13" s="1"/>
  <c r="K70" i="3"/>
  <c r="M30" i="13" s="1"/>
  <c r="K66" i="3"/>
  <c r="M26" i="13" s="1"/>
  <c r="K68" i="3"/>
  <c r="M28" i="13" s="1"/>
  <c r="K46" i="3"/>
  <c r="M6" i="13" s="1"/>
  <c r="K50" i="3"/>
  <c r="M10" i="13" s="1"/>
  <c r="K54" i="3"/>
  <c r="M14" i="13" s="1"/>
  <c r="K58" i="3"/>
  <c r="M18" i="13" s="1"/>
  <c r="K63" i="3"/>
  <c r="M23" i="13" s="1"/>
  <c r="K67" i="3"/>
  <c r="M27" i="13" s="1"/>
  <c r="K71" i="3"/>
  <c r="M31" i="13" s="1"/>
  <c r="K47" i="3"/>
  <c r="M7" i="13" s="1"/>
  <c r="K51" i="3"/>
  <c r="M11" i="13" s="1"/>
  <c r="K55" i="3"/>
  <c r="M15" i="13" s="1"/>
  <c r="K59" i="3"/>
  <c r="M19" i="13" s="1"/>
  <c r="K64" i="3"/>
  <c r="M24" i="13" s="1"/>
  <c r="K72" i="3"/>
  <c r="M32" i="13" s="1"/>
  <c r="K38" i="3"/>
  <c r="H38"/>
  <c r="E38"/>
  <c r="R38" s="1"/>
  <c r="AI18" i="13"/>
  <c r="AJ19" s="1"/>
  <c r="AI22"/>
  <c r="AI23"/>
  <c r="P40" i="10"/>
  <c r="Q25" i="18"/>
  <c r="R25" s="1"/>
  <c r="I22" i="10"/>
  <c r="Q22" s="1"/>
  <c r="Q4" i="18"/>
  <c r="R4" s="1"/>
  <c r="Q18"/>
  <c r="R18" s="1"/>
  <c r="I33" i="10"/>
  <c r="Q33" s="1"/>
  <c r="O33" i="18"/>
  <c r="Q33" s="1"/>
  <c r="R33" s="1"/>
  <c r="AI14" i="13"/>
  <c r="AI20"/>
  <c r="AI28"/>
  <c r="AI32"/>
  <c r="AI33"/>
  <c r="AI36"/>
  <c r="Q7" i="18"/>
  <c r="Q16"/>
  <c r="Q22"/>
  <c r="J34" i="15"/>
  <c r="J37"/>
  <c r="I29" i="10"/>
  <c r="Q29" s="1"/>
  <c r="I34"/>
  <c r="Q34" s="1"/>
  <c r="AA30" i="18"/>
  <c r="AC30" s="1"/>
  <c r="AI7" i="13"/>
  <c r="AI11"/>
  <c r="AI17"/>
  <c r="AI21"/>
  <c r="AI24"/>
  <c r="AI35"/>
  <c r="Q11" i="18"/>
  <c r="AC17"/>
  <c r="Q20"/>
  <c r="Q29"/>
  <c r="R29" s="1"/>
  <c r="I20" i="10"/>
  <c r="Q20" s="1"/>
  <c r="I25"/>
  <c r="Q25" s="1"/>
  <c r="AA23" i="18"/>
  <c r="AC23" s="1"/>
  <c r="AA19"/>
  <c r="AC19" s="1"/>
  <c r="AI8" i="13"/>
  <c r="AJ9" s="1"/>
  <c r="AI12"/>
  <c r="AJ13" s="1"/>
  <c r="AI25"/>
  <c r="AJ26" s="1"/>
  <c r="AI27"/>
  <c r="AI29"/>
  <c r="AI31"/>
  <c r="AI34"/>
  <c r="AC6" i="18"/>
  <c r="AC15"/>
  <c r="AC21"/>
  <c r="Q24"/>
  <c r="AC26"/>
  <c r="Q31"/>
  <c r="R31" s="1"/>
  <c r="AC34"/>
  <c r="J10" i="15"/>
  <c r="J29"/>
  <c r="I15" i="10"/>
  <c r="Q15" s="1"/>
  <c r="I18"/>
  <c r="Q18" s="1"/>
  <c r="I21"/>
  <c r="Q21" s="1"/>
  <c r="I32"/>
  <c r="Q32" s="1"/>
  <c r="AA32" i="18"/>
  <c r="AC32" s="1"/>
  <c r="AA28"/>
  <c r="AC28" s="1"/>
  <c r="AA8"/>
  <c r="AC8" s="1"/>
  <c r="AC10"/>
  <c r="AI10" i="13"/>
  <c r="I5" i="23"/>
  <c r="E36" i="14"/>
  <c r="O36" s="1"/>
  <c r="K76" i="3"/>
  <c r="M36" i="13" s="1"/>
  <c r="J40" i="15"/>
  <c r="J39"/>
  <c r="M35" i="14"/>
  <c r="B36" i="11"/>
  <c r="E35" i="14"/>
  <c r="F37"/>
  <c r="D35"/>
  <c r="N35" s="1"/>
  <c r="R35" s="1"/>
  <c r="F29"/>
  <c r="K75" i="3"/>
  <c r="M35" i="13" s="1"/>
  <c r="B35" i="11"/>
  <c r="K74" i="3"/>
  <c r="M34" i="13" s="1"/>
  <c r="B34" i="11"/>
  <c r="B33"/>
  <c r="S32" i="14"/>
  <c r="S8"/>
  <c r="R9"/>
  <c r="R10"/>
  <c r="S12"/>
  <c r="R13"/>
  <c r="R14"/>
  <c r="S16"/>
  <c r="R18"/>
  <c r="S20"/>
  <c r="S28"/>
  <c r="S33"/>
  <c r="R6"/>
  <c r="S7"/>
  <c r="S39" s="1"/>
  <c r="R8"/>
  <c r="S9"/>
  <c r="R12"/>
  <c r="S13"/>
  <c r="S14"/>
  <c r="S17"/>
  <c r="S18"/>
  <c r="S21"/>
  <c r="S25"/>
  <c r="S26"/>
  <c r="S34"/>
  <c r="V5" i="10"/>
  <c r="W5" s="1"/>
  <c r="R5"/>
  <c r="S5"/>
  <c r="S7"/>
  <c r="Z7" s="1"/>
  <c r="R7"/>
  <c r="X8"/>
  <c r="T7"/>
  <c r="U7"/>
  <c r="R6"/>
  <c r="S6"/>
  <c r="Z6" s="1"/>
  <c r="J38" i="15"/>
  <c r="J30"/>
  <c r="J33"/>
  <c r="G42"/>
  <c r="X36" i="18"/>
  <c r="AC7"/>
  <c r="Q8"/>
  <c r="AC11"/>
  <c r="Q12"/>
  <c r="Q13"/>
  <c r="AC16"/>
  <c r="Q17"/>
  <c r="AC20"/>
  <c r="Q21"/>
  <c r="AC25"/>
  <c r="Q26"/>
  <c r="AC29"/>
  <c r="Q30"/>
  <c r="AC33"/>
  <c r="Q34"/>
  <c r="R34" s="1"/>
  <c r="Q6"/>
  <c r="AC9"/>
  <c r="Q10"/>
  <c r="AC14"/>
  <c r="Q15"/>
  <c r="AC18"/>
  <c r="Q19"/>
  <c r="AC22"/>
  <c r="Q23"/>
  <c r="AC27"/>
  <c r="Q28"/>
  <c r="AC31"/>
  <c r="Q32"/>
  <c r="R32" s="1"/>
  <c r="E7" i="13"/>
  <c r="AI6"/>
  <c r="L35" i="18" l="1"/>
  <c r="G39" i="14"/>
  <c r="L35" i="13"/>
  <c r="I33" i="11"/>
  <c r="V6" i="10"/>
  <c r="W6" s="1"/>
  <c r="AJ16" i="13"/>
  <c r="AJ17"/>
  <c r="I27" i="11"/>
  <c r="L34" i="13"/>
  <c r="AJ15"/>
  <c r="AV35" i="1"/>
  <c r="AT34"/>
  <c r="L7" i="13"/>
  <c r="G7" s="1"/>
  <c r="I34" i="11"/>
  <c r="I36"/>
  <c r="I30"/>
  <c r="I25"/>
  <c r="L26" i="13"/>
  <c r="I7" i="11"/>
  <c r="F9" i="14"/>
  <c r="L30" i="13"/>
  <c r="I26" i="11"/>
  <c r="I35"/>
  <c r="AJ11" i="13"/>
  <c r="F10" i="14"/>
  <c r="I8" i="11"/>
  <c r="F17" i="14"/>
  <c r="I36" i="23"/>
  <c r="F22" i="14"/>
  <c r="I31" i="11"/>
  <c r="L31" i="13"/>
  <c r="I29" i="11"/>
  <c r="F18" i="14"/>
  <c r="L32" i="13"/>
  <c r="L24"/>
  <c r="L29"/>
  <c r="AJ30"/>
  <c r="L36"/>
  <c r="I32" i="11"/>
  <c r="I28"/>
  <c r="L27" i="13"/>
  <c r="AJ31"/>
  <c r="V7" i="10"/>
  <c r="W7" s="1"/>
  <c r="F6" i="14"/>
  <c r="L33" i="13"/>
  <c r="F36" i="14"/>
  <c r="L6" i="13"/>
  <c r="G6" s="1"/>
  <c r="L8"/>
  <c r="L25"/>
  <c r="AJ27"/>
  <c r="F26" i="14"/>
  <c r="I9" i="11"/>
  <c r="L28" i="13"/>
  <c r="C39" i="14"/>
  <c r="I39"/>
  <c r="F6" i="13"/>
  <c r="J37"/>
  <c r="L37" s="1"/>
  <c r="AJ22"/>
  <c r="AJ36"/>
  <c r="AJ32"/>
  <c r="AJ18"/>
  <c r="AJ23"/>
  <c r="F34" i="14"/>
  <c r="F24"/>
  <c r="F23"/>
  <c r="F15"/>
  <c r="F7"/>
  <c r="F33"/>
  <c r="F28"/>
  <c r="F16"/>
  <c r="F8"/>
  <c r="F21"/>
  <c r="F31"/>
  <c r="F27"/>
  <c r="F19"/>
  <c r="F11"/>
  <c r="F20"/>
  <c r="F12"/>
  <c r="F32"/>
  <c r="F25"/>
  <c r="AJ21" i="13"/>
  <c r="AJ34"/>
  <c r="AJ28"/>
  <c r="AJ8"/>
  <c r="R26" i="18"/>
  <c r="R22"/>
  <c r="R23"/>
  <c r="R6"/>
  <c r="R12"/>
  <c r="R24"/>
  <c r="R11"/>
  <c r="R19"/>
  <c r="R8"/>
  <c r="R16"/>
  <c r="AJ25" i="13"/>
  <c r="AJ29"/>
  <c r="AJ14"/>
  <c r="R10" i="18"/>
  <c r="R20"/>
  <c r="R21"/>
  <c r="R17"/>
  <c r="R15"/>
  <c r="R13"/>
  <c r="R7"/>
  <c r="AJ35" i="13"/>
  <c r="AJ10"/>
  <c r="AJ20"/>
  <c r="AJ24"/>
  <c r="AJ12"/>
  <c r="AJ33"/>
  <c r="R30" i="18"/>
  <c r="R28"/>
  <c r="G31" i="26"/>
  <c r="M39" i="14"/>
  <c r="O35"/>
  <c r="O39" s="1"/>
  <c r="E39"/>
  <c r="D39"/>
  <c r="F35"/>
  <c r="T8" i="10"/>
  <c r="U8"/>
  <c r="X9"/>
  <c r="Z5"/>
  <c r="S37"/>
  <c r="S39" s="1"/>
  <c r="R8"/>
  <c r="Q35" i="18"/>
  <c r="R35" s="1"/>
  <c r="AC35"/>
  <c r="AJ6" i="13"/>
  <c r="AJ7"/>
  <c r="F7"/>
  <c r="E8"/>
  <c r="N39" i="14"/>
  <c r="R7"/>
  <c r="R39" s="1"/>
  <c r="AV36" i="1" l="1"/>
  <c r="AT35"/>
  <c r="F39" i="14"/>
  <c r="U9" i="10"/>
  <c r="X10"/>
  <c r="T9"/>
  <c r="S9"/>
  <c r="Z9" s="1"/>
  <c r="R9"/>
  <c r="V8"/>
  <c r="W8" s="1"/>
  <c r="F8" i="13"/>
  <c r="E9"/>
  <c r="G8"/>
  <c r="AJ37"/>
  <c r="AV37" i="1" l="1"/>
  <c r="AT36"/>
  <c r="V9" i="10"/>
  <c r="W9" s="1"/>
  <c r="X11"/>
  <c r="S10"/>
  <c r="Z10" s="1"/>
  <c r="U10"/>
  <c r="R10"/>
  <c r="T10"/>
  <c r="F9" i="13"/>
  <c r="E10"/>
  <c r="G9"/>
  <c r="AV38" i="1" l="1"/>
  <c r="AT37"/>
  <c r="X12" i="10"/>
  <c r="T11"/>
  <c r="R11"/>
  <c r="U11"/>
  <c r="S11"/>
  <c r="Z11" s="1"/>
  <c r="V10"/>
  <c r="W10" s="1"/>
  <c r="F10" i="13"/>
  <c r="E11"/>
  <c r="G10"/>
  <c r="AV39" i="1" l="1"/>
  <c r="AT38"/>
  <c r="V11" i="10"/>
  <c r="W11" s="1"/>
  <c r="T12"/>
  <c r="U12"/>
  <c r="X13"/>
  <c r="R12"/>
  <c r="S12"/>
  <c r="Z12" s="1"/>
  <c r="F11" i="13"/>
  <c r="E12"/>
  <c r="G11"/>
  <c r="AV40" i="1" l="1"/>
  <c r="AT39"/>
  <c r="U13" i="10"/>
  <c r="X14"/>
  <c r="T13"/>
  <c r="V13" s="1"/>
  <c r="W13" s="1"/>
  <c r="S13"/>
  <c r="Z13" s="1"/>
  <c r="R13"/>
  <c r="V12"/>
  <c r="W12" s="1"/>
  <c r="F12" i="13"/>
  <c r="E13"/>
  <c r="G12"/>
  <c r="AV41" i="1" l="1"/>
  <c r="AT41" s="1"/>
  <c r="AT40"/>
  <c r="X15" i="10"/>
  <c r="U14"/>
  <c r="T14"/>
  <c r="S14"/>
  <c r="Z14" s="1"/>
  <c r="R14"/>
  <c r="F13" i="13"/>
  <c r="E14"/>
  <c r="G13"/>
  <c r="AT45" i="1" l="1"/>
  <c r="X16" i="10"/>
  <c r="T15"/>
  <c r="R15"/>
  <c r="U15"/>
  <c r="S15"/>
  <c r="Z15" s="1"/>
  <c r="V14"/>
  <c r="W14" s="1"/>
  <c r="F14" i="13"/>
  <c r="E15"/>
  <c r="G14"/>
  <c r="V15" i="10" l="1"/>
  <c r="W15" s="1"/>
  <c r="T16"/>
  <c r="U16"/>
  <c r="X17"/>
  <c r="S16"/>
  <c r="Z16" s="1"/>
  <c r="R16"/>
  <c r="F15" i="13"/>
  <c r="E16"/>
  <c r="G15"/>
  <c r="U17" i="10" l="1"/>
  <c r="X18"/>
  <c r="R17"/>
  <c r="T17"/>
  <c r="S17"/>
  <c r="Z17" s="1"/>
  <c r="V16"/>
  <c r="W16" s="1"/>
  <c r="F16" i="13"/>
  <c r="E17"/>
  <c r="G16"/>
  <c r="V17" i="10" l="1"/>
  <c r="W17" s="1"/>
  <c r="X19"/>
  <c r="T18"/>
  <c r="S18"/>
  <c r="Z18" s="1"/>
  <c r="U18"/>
  <c r="R18"/>
  <c r="F17" i="13"/>
  <c r="E18"/>
  <c r="G17"/>
  <c r="V18" i="10" l="1"/>
  <c r="W18" s="1"/>
  <c r="T19"/>
  <c r="U19"/>
  <c r="X20"/>
  <c r="S19"/>
  <c r="Z19" s="1"/>
  <c r="R19"/>
  <c r="E19" i="13"/>
  <c r="F18"/>
  <c r="G18"/>
  <c r="V19" i="10" l="1"/>
  <c r="W19" s="1"/>
  <c r="U20"/>
  <c r="X21"/>
  <c r="S20"/>
  <c r="Z20" s="1"/>
  <c r="R20"/>
  <c r="T20"/>
  <c r="V20" s="1"/>
  <c r="W20" s="1"/>
  <c r="E20" i="13"/>
  <c r="F19"/>
  <c r="G19"/>
  <c r="X22" i="10" l="1"/>
  <c r="T21"/>
  <c r="R21"/>
  <c r="U21"/>
  <c r="S21"/>
  <c r="Z21" s="1"/>
  <c r="F20" i="13"/>
  <c r="E21"/>
  <c r="G20"/>
  <c r="X23" i="10" l="1"/>
  <c r="T22"/>
  <c r="S22"/>
  <c r="Z22" s="1"/>
  <c r="R22"/>
  <c r="U22"/>
  <c r="V21"/>
  <c r="W21" s="1"/>
  <c r="F21" i="13"/>
  <c r="E22"/>
  <c r="G21"/>
  <c r="T23" i="10" l="1"/>
  <c r="U23"/>
  <c r="X24"/>
  <c r="R23"/>
  <c r="S23"/>
  <c r="Z23" s="1"/>
  <c r="V22"/>
  <c r="W22" s="1"/>
  <c r="F22" i="13"/>
  <c r="E23"/>
  <c r="G22"/>
  <c r="V23" i="10" l="1"/>
  <c r="W23" s="1"/>
  <c r="U24"/>
  <c r="X25"/>
  <c r="S24"/>
  <c r="Z24" s="1"/>
  <c r="R24"/>
  <c r="T24"/>
  <c r="V24" s="1"/>
  <c r="W24" s="1"/>
  <c r="F23" i="13"/>
  <c r="E24"/>
  <c r="G23"/>
  <c r="X26" i="10" l="1"/>
  <c r="U25"/>
  <c r="T25"/>
  <c r="S25"/>
  <c r="Z25" s="1"/>
  <c r="R25"/>
  <c r="F24" i="13"/>
  <c r="E25"/>
  <c r="G24"/>
  <c r="X27" i="10" l="1"/>
  <c r="T26"/>
  <c r="S26"/>
  <c r="Z26" s="1"/>
  <c r="U26"/>
  <c r="R26"/>
  <c r="V25"/>
  <c r="W25" s="1"/>
  <c r="F25" i="13"/>
  <c r="E26"/>
  <c r="G25"/>
  <c r="V26" i="10" l="1"/>
  <c r="W26" s="1"/>
  <c r="T27"/>
  <c r="U27"/>
  <c r="X28"/>
  <c r="S27"/>
  <c r="Z27" s="1"/>
  <c r="R27"/>
  <c r="E27" i="13"/>
  <c r="F26"/>
  <c r="G26"/>
  <c r="U28" i="10" l="1"/>
  <c r="X29"/>
  <c r="R28"/>
  <c r="T28"/>
  <c r="V28" s="1"/>
  <c r="W28" s="1"/>
  <c r="S28"/>
  <c r="Z28" s="1"/>
  <c r="V27"/>
  <c r="W27" s="1"/>
  <c r="F27" i="13"/>
  <c r="E28"/>
  <c r="G27"/>
  <c r="X30" i="10" l="1"/>
  <c r="U29"/>
  <c r="S29"/>
  <c r="Z29" s="1"/>
  <c r="T29"/>
  <c r="R29"/>
  <c r="F28" i="13"/>
  <c r="E29"/>
  <c r="G28"/>
  <c r="X31" i="10" l="1"/>
  <c r="T30"/>
  <c r="R30"/>
  <c r="U30"/>
  <c r="S30"/>
  <c r="Z30" s="1"/>
  <c r="V29"/>
  <c r="W29" s="1"/>
  <c r="E30" i="13"/>
  <c r="F29"/>
  <c r="G29"/>
  <c r="V30" i="10" l="1"/>
  <c r="W30" s="1"/>
  <c r="T31"/>
  <c r="U31"/>
  <c r="X32"/>
  <c r="S31"/>
  <c r="Z31" s="1"/>
  <c r="R31"/>
  <c r="E31" i="13"/>
  <c r="F30"/>
  <c r="G30"/>
  <c r="U32" i="10" l="1"/>
  <c r="X33"/>
  <c r="R32"/>
  <c r="S32"/>
  <c r="Z32" s="1"/>
  <c r="T32"/>
  <c r="V32" s="1"/>
  <c r="W32" s="1"/>
  <c r="V31"/>
  <c r="W31" s="1"/>
  <c r="F31" i="13"/>
  <c r="E32"/>
  <c r="G31"/>
  <c r="T33" i="10" l="1"/>
  <c r="X34"/>
  <c r="S33"/>
  <c r="Z33" s="1"/>
  <c r="R33"/>
  <c r="U33"/>
  <c r="F32" i="13"/>
  <c r="E33"/>
  <c r="G32"/>
  <c r="U34" i="10" l="1"/>
  <c r="X35"/>
  <c r="R34"/>
  <c r="T34"/>
  <c r="S34"/>
  <c r="Z34" s="1"/>
  <c r="V33"/>
  <c r="W33" s="1"/>
  <c r="E34" i="13"/>
  <c r="F33"/>
  <c r="G33"/>
  <c r="V34" i="10" l="1"/>
  <c r="W34" s="1"/>
  <c r="T35"/>
  <c r="U35"/>
  <c r="R35"/>
  <c r="S35"/>
  <c r="Z35" s="1"/>
  <c r="E35" i="13"/>
  <c r="F34"/>
  <c r="G34"/>
  <c r="V35" i="10" l="1"/>
  <c r="W35" s="1"/>
  <c r="E36" i="13"/>
  <c r="F35"/>
  <c r="G35"/>
  <c r="F36" l="1"/>
  <c r="G36"/>
  <c r="V3" i="25" l="1"/>
  <c r="V4"/>
  <c r="V5"/>
  <c r="V6"/>
  <c r="V7"/>
  <c r="V8"/>
  <c r="V9"/>
  <c r="V10"/>
  <c r="V11"/>
  <c r="V12"/>
  <c r="V13"/>
  <c r="V14"/>
  <c r="V15"/>
  <c r="V16"/>
  <c r="V17"/>
  <c r="V18"/>
  <c r="V19"/>
  <c r="V20"/>
  <c r="V21"/>
  <c r="V22"/>
  <c r="V23"/>
  <c r="V24"/>
  <c r="V25"/>
  <c r="V26"/>
  <c r="V27"/>
  <c r="V28"/>
  <c r="V29"/>
  <c r="V30"/>
  <c r="V31"/>
  <c r="V32"/>
  <c r="U3"/>
  <c r="U4"/>
  <c r="U5"/>
  <c r="U6"/>
  <c r="U7"/>
  <c r="U8"/>
  <c r="U9"/>
  <c r="U10"/>
  <c r="U11"/>
  <c r="U12"/>
  <c r="U13"/>
  <c r="U14"/>
  <c r="U15"/>
  <c r="U16"/>
  <c r="U17"/>
  <c r="U18"/>
  <c r="U19"/>
  <c r="U20"/>
  <c r="U21"/>
  <c r="U22"/>
  <c r="U23"/>
  <c r="U24"/>
  <c r="U25"/>
  <c r="U26"/>
  <c r="U27"/>
  <c r="U28"/>
  <c r="U29"/>
  <c r="U30"/>
  <c r="U31"/>
  <c r="U32"/>
  <c r="T3"/>
  <c r="T4"/>
  <c r="T5"/>
  <c r="T6"/>
  <c r="T7"/>
  <c r="T8"/>
  <c r="T9"/>
  <c r="T10"/>
  <c r="T11"/>
  <c r="T12"/>
  <c r="T13"/>
  <c r="T14"/>
  <c r="T15"/>
  <c r="T16"/>
  <c r="T17"/>
  <c r="T18"/>
  <c r="T19"/>
  <c r="T20"/>
  <c r="T21"/>
  <c r="T22"/>
  <c r="T23"/>
  <c r="T24"/>
  <c r="T25"/>
  <c r="T26"/>
  <c r="T27"/>
  <c r="T28"/>
  <c r="T29"/>
  <c r="T30"/>
  <c r="T31"/>
  <c r="T32"/>
  <c r="S3"/>
  <c r="S4"/>
  <c r="S5"/>
  <c r="S6"/>
  <c r="S7"/>
  <c r="S8"/>
  <c r="S9"/>
  <c r="S10"/>
  <c r="S11"/>
  <c r="S12"/>
  <c r="S13"/>
  <c r="S14"/>
  <c r="S15"/>
  <c r="S16"/>
  <c r="S17"/>
  <c r="S18"/>
  <c r="S19"/>
  <c r="S20"/>
  <c r="S21"/>
  <c r="S22"/>
  <c r="S23"/>
  <c r="S24"/>
  <c r="S25"/>
  <c r="S26"/>
  <c r="S27"/>
  <c r="S28"/>
  <c r="S29"/>
  <c r="S30"/>
  <c r="S31"/>
  <c r="S32"/>
  <c r="V2"/>
  <c r="U2"/>
  <c r="T2"/>
  <c r="S2"/>
  <c r="R3"/>
  <c r="R4"/>
  <c r="R5"/>
  <c r="R6"/>
  <c r="R7"/>
  <c r="R8"/>
  <c r="R9"/>
  <c r="R10"/>
  <c r="R11"/>
  <c r="R12"/>
  <c r="R13"/>
  <c r="R14"/>
  <c r="R15"/>
  <c r="R16"/>
  <c r="R17"/>
  <c r="R18"/>
  <c r="R19"/>
  <c r="R20"/>
  <c r="R21"/>
  <c r="R22"/>
  <c r="R23"/>
  <c r="R24"/>
  <c r="R25"/>
  <c r="R26"/>
  <c r="R27"/>
  <c r="R28"/>
  <c r="R29"/>
  <c r="R30"/>
  <c r="R31"/>
  <c r="R32"/>
  <c r="R2"/>
  <c r="Q17"/>
  <c r="Q18"/>
  <c r="Q19"/>
  <c r="Q20"/>
  <c r="Q21"/>
  <c r="Q22"/>
  <c r="Q23"/>
  <c r="Q24"/>
  <c r="Q25"/>
  <c r="Q26"/>
  <c r="Q27"/>
  <c r="Q28"/>
  <c r="Q29"/>
  <c r="Q30"/>
  <c r="Q31"/>
  <c r="Q32"/>
  <c r="J3"/>
  <c r="J4"/>
  <c r="J5"/>
  <c r="J6"/>
  <c r="J7"/>
  <c r="J8"/>
  <c r="J9"/>
  <c r="J10"/>
  <c r="J11"/>
  <c r="J12"/>
  <c r="J13"/>
  <c r="J14"/>
  <c r="J15"/>
  <c r="J16"/>
  <c r="J17"/>
  <c r="J18"/>
  <c r="J19"/>
  <c r="J20"/>
  <c r="J21"/>
  <c r="J22"/>
  <c r="J23"/>
  <c r="J24"/>
  <c r="J25"/>
  <c r="J26"/>
  <c r="J27"/>
  <c r="J28"/>
  <c r="J29"/>
  <c r="J30"/>
  <c r="J31"/>
  <c r="J32"/>
  <c r="J2"/>
  <c r="I3"/>
  <c r="I4"/>
  <c r="I5"/>
  <c r="I6"/>
  <c r="I7"/>
  <c r="I8"/>
  <c r="I9"/>
  <c r="I10"/>
  <c r="I11"/>
  <c r="I12"/>
  <c r="I13"/>
  <c r="I14"/>
  <c r="I15"/>
  <c r="I16"/>
  <c r="I17"/>
  <c r="I18"/>
  <c r="I19"/>
  <c r="I20"/>
  <c r="I21"/>
  <c r="I22"/>
  <c r="I23"/>
  <c r="I24"/>
  <c r="I25"/>
  <c r="I26"/>
  <c r="I27"/>
  <c r="I28"/>
  <c r="I29"/>
  <c r="I30"/>
  <c r="I31"/>
  <c r="I32"/>
  <c r="I2"/>
  <c r="H3"/>
  <c r="H4"/>
  <c r="H5"/>
  <c r="H6"/>
  <c r="H7"/>
  <c r="H8"/>
  <c r="H9"/>
  <c r="H10"/>
  <c r="H11"/>
  <c r="H12"/>
  <c r="H13"/>
  <c r="H14"/>
  <c r="H15"/>
  <c r="H16"/>
  <c r="H17"/>
  <c r="H18"/>
  <c r="H19"/>
  <c r="H20"/>
  <c r="H21"/>
  <c r="H22"/>
  <c r="H23"/>
  <c r="H24"/>
  <c r="H25"/>
  <c r="H26"/>
  <c r="H27"/>
  <c r="H28"/>
  <c r="H29"/>
  <c r="H30"/>
  <c r="H31"/>
  <c r="H32"/>
  <c r="H2"/>
  <c r="G32" i="26"/>
  <c r="G2"/>
  <c r="B3" i="25" l="1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" i="26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I12" i="24"/>
  <c r="E11" i="25" s="1"/>
  <c r="E4" i="24"/>
  <c r="E8"/>
  <c r="E9"/>
  <c r="E12"/>
  <c r="E16"/>
  <c r="E17"/>
  <c r="E20"/>
  <c r="E24"/>
  <c r="E25"/>
  <c r="E28"/>
  <c r="E32"/>
  <c r="E33"/>
  <c r="C33"/>
  <c r="K32" i="26" s="1"/>
  <c r="X32" i="25" s="1"/>
  <c r="C4" i="24"/>
  <c r="K3" i="26" s="1"/>
  <c r="X3" i="25" s="1"/>
  <c r="C5" i="24"/>
  <c r="K4" i="26" s="1"/>
  <c r="X4" i="25" s="1"/>
  <c r="C6" i="24"/>
  <c r="K5" i="26" s="1"/>
  <c r="X5" i="25" s="1"/>
  <c r="C7" i="24"/>
  <c r="K6" i="26" s="1"/>
  <c r="X6" i="25" s="1"/>
  <c r="C8" i="24"/>
  <c r="K7" i="26" s="1"/>
  <c r="X7" i="25" s="1"/>
  <c r="C9" i="24"/>
  <c r="K8" i="26" s="1"/>
  <c r="X8" i="25" s="1"/>
  <c r="C10" i="24"/>
  <c r="K9" i="26" s="1"/>
  <c r="X9" i="25" s="1"/>
  <c r="C11" i="24"/>
  <c r="K10" i="26" s="1"/>
  <c r="X10" i="25" s="1"/>
  <c r="C12" i="24"/>
  <c r="K11" i="26" s="1"/>
  <c r="X11" i="25" s="1"/>
  <c r="C13" i="24"/>
  <c r="K12" i="26" s="1"/>
  <c r="X12" i="25" s="1"/>
  <c r="C14" i="24"/>
  <c r="K13" i="26" s="1"/>
  <c r="X13" i="25" s="1"/>
  <c r="C15" i="24"/>
  <c r="K14" i="26" s="1"/>
  <c r="X14" i="25" s="1"/>
  <c r="C16" i="24"/>
  <c r="K15" i="26" s="1"/>
  <c r="X15" i="25" s="1"/>
  <c r="C17" i="24"/>
  <c r="K16" i="26" s="1"/>
  <c r="X16" i="25" s="1"/>
  <c r="C18" i="24"/>
  <c r="K17" i="26" s="1"/>
  <c r="X17" i="25" s="1"/>
  <c r="C19" i="24"/>
  <c r="K18" i="26" s="1"/>
  <c r="X18" i="25" s="1"/>
  <c r="C20" i="24"/>
  <c r="K19" i="26" s="1"/>
  <c r="X19" i="25" s="1"/>
  <c r="C21" i="24"/>
  <c r="K20" i="26" s="1"/>
  <c r="X20" i="25" s="1"/>
  <c r="C22" i="24"/>
  <c r="K21" i="26" s="1"/>
  <c r="X21" i="25" s="1"/>
  <c r="C23" i="24"/>
  <c r="K22" i="26" s="1"/>
  <c r="X22" i="25" s="1"/>
  <c r="C24" i="24"/>
  <c r="K23" i="26" s="1"/>
  <c r="X23" i="25" s="1"/>
  <c r="C25" i="24"/>
  <c r="K24" i="26" s="1"/>
  <c r="X24" i="25" s="1"/>
  <c r="C26" i="24"/>
  <c r="K25" i="26" s="1"/>
  <c r="X25" i="25" s="1"/>
  <c r="C27" i="24"/>
  <c r="K26" i="26" s="1"/>
  <c r="X26" i="25" s="1"/>
  <c r="C28" i="24"/>
  <c r="K27" i="26" s="1"/>
  <c r="X27" i="25" s="1"/>
  <c r="C29" i="24"/>
  <c r="K28" i="26" s="1"/>
  <c r="X28" i="25" s="1"/>
  <c r="C30" i="24"/>
  <c r="K29" i="26" s="1"/>
  <c r="X29" i="25" s="1"/>
  <c r="C31" i="24"/>
  <c r="K30" i="26" s="1"/>
  <c r="X30" i="25" s="1"/>
  <c r="C32" i="24"/>
  <c r="K31" i="26" s="1"/>
  <c r="X31" i="25" s="1"/>
  <c r="C3" i="24"/>
  <c r="K2" i="26" s="1"/>
  <c r="X2" i="25" s="1"/>
  <c r="B4" i="24"/>
  <c r="B5"/>
  <c r="B6"/>
  <c r="B7"/>
  <c r="B8"/>
  <c r="B9"/>
  <c r="B10"/>
  <c r="B11"/>
  <c r="B12"/>
  <c r="B13"/>
  <c r="B14"/>
  <c r="B15"/>
  <c r="B16"/>
  <c r="B17"/>
  <c r="B18"/>
  <c r="B19"/>
  <c r="B20"/>
  <c r="B21"/>
  <c r="B22"/>
  <c r="B23"/>
  <c r="B24"/>
  <c r="B25"/>
  <c r="B26"/>
  <c r="B27"/>
  <c r="B28"/>
  <c r="B29"/>
  <c r="B30"/>
  <c r="B31"/>
  <c r="B32"/>
  <c r="B33"/>
  <c r="B3"/>
  <c r="E6"/>
  <c r="E7"/>
  <c r="E11"/>
  <c r="E14"/>
  <c r="E15"/>
  <c r="E18"/>
  <c r="E19"/>
  <c r="E27"/>
  <c r="E29"/>
  <c r="E31"/>
  <c r="B6" i="23"/>
  <c r="B7"/>
  <c r="B8"/>
  <c r="B9"/>
  <c r="B10"/>
  <c r="B11"/>
  <c r="B12"/>
  <c r="B13"/>
  <c r="B14"/>
  <c r="B15"/>
  <c r="B16"/>
  <c r="B17"/>
  <c r="B18"/>
  <c r="B19"/>
  <c r="B20"/>
  <c r="B21"/>
  <c r="B22"/>
  <c r="B23"/>
  <c r="B24"/>
  <c r="B25"/>
  <c r="B26"/>
  <c r="B27"/>
  <c r="B29"/>
  <c r="B30"/>
  <c r="B31"/>
  <c r="B32"/>
  <c r="B33"/>
  <c r="B34"/>
  <c r="B35"/>
  <c r="B5"/>
  <c r="F30" i="25" l="1"/>
  <c r="F18"/>
  <c r="F14"/>
  <c r="F10"/>
  <c r="F5"/>
  <c r="F24"/>
  <c r="F15"/>
  <c r="F3"/>
  <c r="F6"/>
  <c r="F27"/>
  <c r="F16"/>
  <c r="F7"/>
  <c r="F26"/>
  <c r="F31"/>
  <c r="F19"/>
  <c r="F8"/>
  <c r="F28"/>
  <c r="F17"/>
  <c r="F13"/>
  <c r="F32"/>
  <c r="F23"/>
  <c r="F11"/>
  <c r="E30" i="24"/>
  <c r="E26"/>
  <c r="E22"/>
  <c r="E10"/>
  <c r="E21"/>
  <c r="E13"/>
  <c r="E5"/>
  <c r="H9"/>
  <c r="K8" i="25" s="1"/>
  <c r="E23" i="24"/>
  <c r="F4" i="25" l="1"/>
  <c r="F9"/>
  <c r="F25"/>
  <c r="F22"/>
  <c r="F20"/>
  <c r="F29"/>
  <c r="F12"/>
  <c r="F21"/>
  <c r="I3" i="24"/>
  <c r="E2" i="25" s="1"/>
  <c r="G29" i="24" l="1"/>
  <c r="I28" i="26" s="1"/>
  <c r="G17" i="24"/>
  <c r="I16" i="26" s="1"/>
  <c r="G5" i="24"/>
  <c r="I4" i="26" s="1"/>
  <c r="G32" i="24"/>
  <c r="I31" i="26" s="1"/>
  <c r="G28" i="24"/>
  <c r="I27" i="26" s="1"/>
  <c r="G24" i="24"/>
  <c r="I23" i="26" s="1"/>
  <c r="G20" i="24"/>
  <c r="I19" i="26" s="1"/>
  <c r="G16" i="24"/>
  <c r="I15" i="26" s="1"/>
  <c r="G12" i="24"/>
  <c r="I11" i="26" s="1"/>
  <c r="G8" i="24"/>
  <c r="I7" i="26" s="1"/>
  <c r="G4" i="24"/>
  <c r="I3" i="26" s="1"/>
  <c r="G33" i="24"/>
  <c r="I32" i="26" s="1"/>
  <c r="G21" i="24"/>
  <c r="I20" i="26" s="1"/>
  <c r="G13" i="24"/>
  <c r="I12" i="26" s="1"/>
  <c r="G3" i="24"/>
  <c r="I2" i="26" s="1"/>
  <c r="G31" i="24"/>
  <c r="I30" i="26" s="1"/>
  <c r="G27" i="24"/>
  <c r="I26" i="26" s="1"/>
  <c r="G23" i="24"/>
  <c r="I22" i="26" s="1"/>
  <c r="G19" i="24"/>
  <c r="I18" i="26" s="1"/>
  <c r="G15" i="24"/>
  <c r="I14" i="26" s="1"/>
  <c r="G11" i="24"/>
  <c r="I10" i="26" s="1"/>
  <c r="G7" i="24"/>
  <c r="I6" i="26" s="1"/>
  <c r="G25" i="24"/>
  <c r="I24" i="26" s="1"/>
  <c r="G9" i="24"/>
  <c r="I8" i="26" s="1"/>
  <c r="G30" i="24"/>
  <c r="I29" i="26" s="1"/>
  <c r="G26" i="24"/>
  <c r="I25" i="26" s="1"/>
  <c r="G22" i="24"/>
  <c r="I21" i="26" s="1"/>
  <c r="G18" i="24"/>
  <c r="I17" i="26" s="1"/>
  <c r="G14" i="24"/>
  <c r="I13" i="26" s="1"/>
  <c r="G10" i="24"/>
  <c r="I9" i="26" s="1"/>
  <c r="G6" i="24"/>
  <c r="I5" i="26" s="1"/>
  <c r="H20" i="24" l="1"/>
  <c r="K19" i="25" s="1"/>
  <c r="H12" i="24"/>
  <c r="K11" i="25" s="1"/>
  <c r="H23" i="24"/>
  <c r="K22" i="25" s="1"/>
  <c r="H15" i="24"/>
  <c r="K14" i="25" s="1"/>
  <c r="H6" i="24"/>
  <c r="K5" i="25" s="1"/>
  <c r="H22" i="24"/>
  <c r="K21" i="25" s="1"/>
  <c r="H18" i="24"/>
  <c r="K17" i="25" s="1"/>
  <c r="H14" i="24"/>
  <c r="K13" i="25" s="1"/>
  <c r="H10" i="24"/>
  <c r="K9" i="25" s="1"/>
  <c r="H5" i="24"/>
  <c r="K4" i="25" s="1"/>
  <c r="E3" i="24"/>
  <c r="D5" i="23"/>
  <c r="H24" i="24"/>
  <c r="K23" i="25" s="1"/>
  <c r="H16" i="24"/>
  <c r="K15" i="25" s="1"/>
  <c r="H7" i="24"/>
  <c r="K6" i="25" s="1"/>
  <c r="H19" i="24"/>
  <c r="K18" i="25" s="1"/>
  <c r="H11" i="24"/>
  <c r="K10" i="25" s="1"/>
  <c r="H5" i="23"/>
  <c r="H3" i="24"/>
  <c r="K2" i="25" s="1"/>
  <c r="H21" i="24"/>
  <c r="K20" i="25" s="1"/>
  <c r="H17" i="24"/>
  <c r="K16" i="25" s="1"/>
  <c r="H13" i="24"/>
  <c r="K12" i="25" s="1"/>
  <c r="H8" i="24"/>
  <c r="K7" i="25" s="1"/>
  <c r="H4" i="24"/>
  <c r="K3" i="25" s="1"/>
  <c r="I22" i="24"/>
  <c r="E21" i="25" s="1"/>
  <c r="I23" i="24"/>
  <c r="E22" i="25" s="1"/>
  <c r="I26" i="24"/>
  <c r="E25" i="25" s="1"/>
  <c r="I29" i="24"/>
  <c r="E28" i="25" s="1"/>
  <c r="I30" i="24"/>
  <c r="E29" i="25" s="1"/>
  <c r="I33" i="24"/>
  <c r="E32" i="25" s="1"/>
  <c r="I5" i="24"/>
  <c r="E4" i="25" s="1"/>
  <c r="I7" i="24"/>
  <c r="E6" i="25" s="1"/>
  <c r="I9" i="24"/>
  <c r="E8" i="25" s="1"/>
  <c r="I13" i="24"/>
  <c r="E12" i="25" s="1"/>
  <c r="I15" i="24"/>
  <c r="E14" i="25" s="1"/>
  <c r="F33" i="24"/>
  <c r="G32" i="25" l="1"/>
  <c r="E32" i="26"/>
  <c r="F32"/>
  <c r="F2" i="25"/>
  <c r="F13" i="24"/>
  <c r="F26"/>
  <c r="H27"/>
  <c r="K26" i="25" s="1"/>
  <c r="H28" i="24"/>
  <c r="K27" i="25" s="1"/>
  <c r="H29" i="24"/>
  <c r="K28" i="25" s="1"/>
  <c r="H30" i="24"/>
  <c r="K29" i="25" s="1"/>
  <c r="H31" i="24"/>
  <c r="K30" i="25" s="1"/>
  <c r="H32" i="24"/>
  <c r="K31" i="25" s="1"/>
  <c r="H33" i="24"/>
  <c r="K32" i="25" s="1"/>
  <c r="F17" i="24"/>
  <c r="F21"/>
  <c r="F27"/>
  <c r="F5"/>
  <c r="F25"/>
  <c r="F11"/>
  <c r="F15"/>
  <c r="I18"/>
  <c r="E17" i="25" s="1"/>
  <c r="F6" i="24"/>
  <c r="F8"/>
  <c r="F19"/>
  <c r="F28"/>
  <c r="F32"/>
  <c r="H26"/>
  <c r="K25" i="25" s="1"/>
  <c r="F18" i="24"/>
  <c r="I8"/>
  <c r="E7" i="25" s="1"/>
  <c r="I4" i="24"/>
  <c r="E3" i="25" s="1"/>
  <c r="I25" i="24"/>
  <c r="E24" i="25" s="1"/>
  <c r="I21" i="24"/>
  <c r="E20" i="25" s="1"/>
  <c r="I17" i="24"/>
  <c r="E16" i="25" s="1"/>
  <c r="F12" i="24"/>
  <c r="F14"/>
  <c r="F16"/>
  <c r="F20"/>
  <c r="F22"/>
  <c r="F29"/>
  <c r="F30"/>
  <c r="F31"/>
  <c r="H25"/>
  <c r="K24" i="25" s="1"/>
  <c r="I11" i="24"/>
  <c r="E10" i="25" s="1"/>
  <c r="I28" i="24"/>
  <c r="E27" i="25" s="1"/>
  <c r="I24" i="24"/>
  <c r="E23" i="25" s="1"/>
  <c r="I20" i="24"/>
  <c r="E19" i="25" s="1"/>
  <c r="I16" i="24"/>
  <c r="E15" i="25" s="1"/>
  <c r="F3" i="24"/>
  <c r="F2" i="26" s="1"/>
  <c r="F4" i="24"/>
  <c r="F7"/>
  <c r="F9"/>
  <c r="F10"/>
  <c r="F23"/>
  <c r="F24"/>
  <c r="I14"/>
  <c r="E13" i="25" s="1"/>
  <c r="I10" i="24"/>
  <c r="E9" i="25" s="1"/>
  <c r="I6" i="24"/>
  <c r="E5" i="25" s="1"/>
  <c r="I27" i="24"/>
  <c r="E26" i="25" s="1"/>
  <c r="I19" i="24"/>
  <c r="E18" i="25" s="1"/>
  <c r="I32" i="24"/>
  <c r="E31" i="25" s="1"/>
  <c r="O6" l="1"/>
  <c r="O8"/>
  <c r="O19"/>
  <c r="O23"/>
  <c r="O26"/>
  <c r="O10"/>
  <c r="O13"/>
  <c r="O4"/>
  <c r="O12"/>
  <c r="O25"/>
  <c r="O7"/>
  <c r="O16"/>
  <c r="O31"/>
  <c r="O24"/>
  <c r="O22"/>
  <c r="O18"/>
  <c r="O27"/>
  <c r="O20"/>
  <c r="O3"/>
  <c r="O14"/>
  <c r="O9"/>
  <c r="O11"/>
  <c r="O15"/>
  <c r="O17"/>
  <c r="O2"/>
  <c r="O29"/>
  <c r="O28"/>
  <c r="O21"/>
  <c r="O5"/>
  <c r="G29"/>
  <c r="E29" i="26"/>
  <c r="F29"/>
  <c r="G27" i="25"/>
  <c r="E27" i="26"/>
  <c r="F27"/>
  <c r="G7" i="25"/>
  <c r="E7" i="26"/>
  <c r="F7"/>
  <c r="E4"/>
  <c r="G4" i="25"/>
  <c r="F4" i="26"/>
  <c r="E20"/>
  <c r="G20" i="25"/>
  <c r="F20" i="26"/>
  <c r="G25" i="25"/>
  <c r="E25" i="26"/>
  <c r="F25"/>
  <c r="G22" i="25"/>
  <c r="E22" i="26"/>
  <c r="F22"/>
  <c r="E8"/>
  <c r="G8" i="25"/>
  <c r="F8" i="26"/>
  <c r="G3" i="25"/>
  <c r="E3" i="26"/>
  <c r="F3"/>
  <c r="G21" i="25"/>
  <c r="E21" i="26"/>
  <c r="F21"/>
  <c r="G15" i="25"/>
  <c r="E15" i="26"/>
  <c r="F15"/>
  <c r="G11" i="25"/>
  <c r="E11" i="26"/>
  <c r="F11"/>
  <c r="G17" i="25"/>
  <c r="E17" i="26"/>
  <c r="F17"/>
  <c r="G14" i="25"/>
  <c r="E14" i="26"/>
  <c r="F14"/>
  <c r="E24"/>
  <c r="G24" i="25"/>
  <c r="F24" i="26"/>
  <c r="G30" i="25"/>
  <c r="E30" i="26"/>
  <c r="F30"/>
  <c r="E28"/>
  <c r="G28" i="25"/>
  <c r="F28" i="26"/>
  <c r="G31" i="25"/>
  <c r="E31" i="26"/>
  <c r="F31"/>
  <c r="G18" i="25"/>
  <c r="E18" i="26"/>
  <c r="F18"/>
  <c r="G5" i="25"/>
  <c r="E5" i="26"/>
  <c r="F5"/>
  <c r="G26" i="25"/>
  <c r="E26" i="26"/>
  <c r="F26"/>
  <c r="E16"/>
  <c r="G16" i="25"/>
  <c r="F16" i="26"/>
  <c r="E12"/>
  <c r="G12" i="25"/>
  <c r="F12" i="26"/>
  <c r="G23" i="25"/>
  <c r="E23" i="26"/>
  <c r="F23"/>
  <c r="G9" i="25"/>
  <c r="E9" i="26"/>
  <c r="F9"/>
  <c r="G6" i="25"/>
  <c r="E6" i="26"/>
  <c r="F6"/>
  <c r="E2"/>
  <c r="L2" s="1"/>
  <c r="G2" i="25"/>
  <c r="G19"/>
  <c r="E19" i="26"/>
  <c r="F19"/>
  <c r="G13" i="25"/>
  <c r="E13" i="26"/>
  <c r="F13"/>
  <c r="G10" i="25"/>
  <c r="E10" i="26"/>
  <c r="F10"/>
  <c r="I31" i="24"/>
  <c r="E30" i="25" s="1"/>
  <c r="L28" i="26" l="1"/>
  <c r="L20"/>
  <c r="L13"/>
  <c r="L27"/>
  <c r="L6"/>
  <c r="L14"/>
  <c r="L21"/>
  <c r="L25"/>
  <c r="L31"/>
  <c r="L19"/>
  <c r="L9"/>
  <c r="L26"/>
  <c r="L17"/>
  <c r="L3"/>
  <c r="L8"/>
  <c r="L4"/>
  <c r="L29"/>
  <c r="O30" i="25"/>
  <c r="L23" i="26"/>
  <c r="L5"/>
  <c r="L30"/>
  <c r="L11"/>
  <c r="L12"/>
  <c r="L24"/>
  <c r="L10"/>
  <c r="L16"/>
  <c r="L18"/>
  <c r="L15"/>
  <c r="L22"/>
  <c r="L7"/>
  <c r="D11" i="1" l="1"/>
  <c r="J5" i="11" l="1"/>
  <c r="H6" i="13"/>
  <c r="D12" i="1"/>
  <c r="H3" i="13"/>
  <c r="E5" i="23"/>
  <c r="AU11" i="1"/>
  <c r="E6" i="23" l="1"/>
  <c r="D13" i="1"/>
  <c r="AU12"/>
  <c r="J6" i="11"/>
  <c r="H7" i="13"/>
  <c r="J7" i="11" l="1"/>
  <c r="D14" i="1"/>
  <c r="AU13"/>
  <c r="H8" i="13"/>
  <c r="E7" i="23"/>
  <c r="H9" i="13" l="1"/>
  <c r="J8" i="11"/>
  <c r="D15" i="1"/>
  <c r="E8" i="23"/>
  <c r="AU14" i="1"/>
  <c r="J9" i="11" l="1"/>
  <c r="E9" i="23"/>
  <c r="AU15" i="1"/>
  <c r="H10" i="13"/>
  <c r="D16" i="1"/>
  <c r="J10" i="11" l="1"/>
  <c r="E10" i="23"/>
  <c r="AU16" i="1"/>
  <c r="D17"/>
  <c r="H11" i="13"/>
  <c r="H12" l="1"/>
  <c r="D18" i="1"/>
  <c r="AU17"/>
  <c r="J11" i="11"/>
  <c r="E11" i="23"/>
  <c r="E12" l="1"/>
  <c r="H13" i="13"/>
  <c r="AU18" i="1"/>
  <c r="J12" i="11"/>
  <c r="D19" i="1"/>
  <c r="J13" i="11" l="1"/>
  <c r="D20" i="1"/>
  <c r="AU19"/>
  <c r="H14" i="13"/>
  <c r="E13" i="23"/>
  <c r="E14" l="1"/>
  <c r="D21" i="1"/>
  <c r="J14" i="11"/>
  <c r="H15" i="13"/>
  <c r="AU20" i="1"/>
  <c r="J15" i="11" l="1"/>
  <c r="D22" i="1"/>
  <c r="H16" i="13"/>
  <c r="E15" i="23"/>
  <c r="AU21" i="1"/>
  <c r="J16" i="11" l="1"/>
  <c r="E16" i="23"/>
  <c r="D23" i="1"/>
  <c r="AU22"/>
  <c r="H17" i="13"/>
  <c r="J17" i="11" l="1"/>
  <c r="H18" i="13"/>
  <c r="D24" i="1"/>
  <c r="AU23"/>
  <c r="E17" i="23"/>
  <c r="H19" i="13" l="1"/>
  <c r="E18" i="23"/>
  <c r="D25" i="1"/>
  <c r="AU24"/>
  <c r="J18" i="11"/>
  <c r="J19" l="1"/>
  <c r="H20" i="13"/>
  <c r="D26" i="1"/>
  <c r="AU25"/>
  <c r="E19" i="23"/>
  <c r="H21" i="13" l="1"/>
  <c r="E20" i="23"/>
  <c r="D27" i="1"/>
  <c r="AU26"/>
  <c r="J20" i="11"/>
  <c r="H22" i="13" l="1"/>
  <c r="E21" i="23"/>
  <c r="D28" i="1"/>
  <c r="AU27"/>
  <c r="J21" i="11"/>
  <c r="H23" i="13" l="1"/>
  <c r="E22" i="23"/>
  <c r="D29" i="1"/>
  <c r="J22" i="11"/>
  <c r="AU28" i="1"/>
  <c r="J23" i="11" l="1"/>
  <c r="E23" i="23"/>
  <c r="D30" i="1"/>
  <c r="AU29"/>
  <c r="H24" i="13"/>
  <c r="E24" i="23" l="1"/>
  <c r="H25" i="13"/>
  <c r="D31" i="1"/>
  <c r="J24" i="11"/>
  <c r="AU30" i="1"/>
  <c r="H26" i="13" l="1"/>
  <c r="E25" i="23"/>
  <c r="D32" i="1"/>
  <c r="AU31"/>
  <c r="J25" i="11"/>
  <c r="J26" l="1"/>
  <c r="E26" i="23"/>
  <c r="H27" i="13"/>
  <c r="D33" i="1"/>
  <c r="AU32"/>
  <c r="J27" i="11" l="1"/>
  <c r="H28" i="13"/>
  <c r="D34" i="1"/>
  <c r="E27" i="23"/>
  <c r="AU33" i="1"/>
  <c r="H29" i="13" l="1"/>
  <c r="E28" i="23"/>
  <c r="D35" i="1"/>
  <c r="AU34"/>
  <c r="J28" i="11"/>
  <c r="J29" l="1"/>
  <c r="D36" i="1"/>
  <c r="AU35"/>
  <c r="E29" i="23"/>
  <c r="H30" i="13"/>
  <c r="H31" l="1"/>
  <c r="J30" i="11"/>
  <c r="D37" i="1"/>
  <c r="E30" i="23"/>
  <c r="AU36" i="1"/>
  <c r="E31" i="23" l="1"/>
  <c r="H32" i="13"/>
  <c r="D38" i="1"/>
  <c r="AU37"/>
  <c r="J31" i="11"/>
  <c r="E32" i="23" l="1"/>
  <c r="D39" i="1"/>
  <c r="AU38"/>
  <c r="J32" i="11"/>
  <c r="H33" i="13"/>
  <c r="J33" i="11" l="1"/>
  <c r="H34" i="13"/>
  <c r="AU39" i="1"/>
  <c r="E33" i="23"/>
  <c r="D40" i="1"/>
  <c r="E34" i="23" l="1"/>
  <c r="AU40" i="1"/>
  <c r="H35" i="13"/>
  <c r="J34" i="11"/>
  <c r="D41" i="1"/>
  <c r="E35" i="23" l="1"/>
  <c r="H36" i="13"/>
  <c r="D42" i="1"/>
  <c r="AU41"/>
  <c r="J35" i="11"/>
  <c r="J36" l="1"/>
  <c r="E36" i="23"/>
  <c r="D43" i="1"/>
  <c r="AU43" s="1"/>
  <c r="AU42"/>
  <c r="Q5" i="25"/>
  <c r="Q8"/>
  <c r="Q7"/>
  <c r="Q15"/>
  <c r="Q12"/>
  <c r="Q16"/>
  <c r="Q13"/>
  <c r="Q14"/>
  <c r="Q9"/>
  <c r="Q10"/>
  <c r="Q11"/>
  <c r="Q3"/>
  <c r="Q6"/>
  <c r="Q4"/>
  <c r="Q2"/>
  <c r="AN13" i="3"/>
  <c r="G12" i="23" s="1"/>
  <c r="AN14" i="3"/>
  <c r="G13" i="23" s="1"/>
  <c r="AN7" i="3"/>
  <c r="W3" i="25" s="1"/>
  <c r="AN9" i="3"/>
  <c r="W5" i="25" s="1"/>
  <c r="AN8" i="3"/>
  <c r="G7" i="23" s="1"/>
  <c r="AN6" i="3"/>
  <c r="G5" i="23" s="1"/>
  <c r="AN10" i="3"/>
  <c r="W6" i="25" s="1"/>
  <c r="AN19" i="3"/>
  <c r="W15" i="25" s="1"/>
  <c r="AN16" i="3"/>
  <c r="G15" i="23" s="1"/>
  <c r="AN20" i="3"/>
  <c r="W16" i="25" s="1"/>
  <c r="AN17" i="3"/>
  <c r="W13" i="25" s="1"/>
  <c r="AN12" i="3"/>
  <c r="G11" i="23" s="1"/>
  <c r="AN18" i="3"/>
  <c r="G17" i="23" s="1"/>
  <c r="AN11" i="3"/>
  <c r="W7" i="25" s="1"/>
  <c r="AN15" i="3"/>
  <c r="W11" i="25" s="1"/>
  <c r="U38" i="3"/>
  <c r="AN38" s="1"/>
  <c r="W2" i="25" l="1"/>
  <c r="G8" i="23"/>
  <c r="G19"/>
  <c r="W14" i="25"/>
  <c r="G16" i="23"/>
  <c r="W12" i="25"/>
  <c r="G14" i="23"/>
  <c r="W10" i="25"/>
  <c r="AN37" i="3"/>
  <c r="G36" i="23" s="1"/>
  <c r="G10"/>
  <c r="W8" i="25"/>
  <c r="G18" i="23"/>
  <c r="G9"/>
  <c r="W4" i="25"/>
  <c r="G6" i="23"/>
  <c r="W9" i="25"/>
</calcChain>
</file>

<file path=xl/sharedStrings.xml><?xml version="1.0" encoding="utf-8"?>
<sst xmlns="http://schemas.openxmlformats.org/spreadsheetml/2006/main" count="532" uniqueCount="320">
  <si>
    <t>Date</t>
  </si>
  <si>
    <t>%</t>
  </si>
  <si>
    <t>OPENING</t>
  </si>
  <si>
    <t>BALANCE</t>
  </si>
  <si>
    <t>VALUE</t>
  </si>
  <si>
    <t>Lc/swg/gust</t>
  </si>
  <si>
    <t>TOTAL USAGE</t>
  </si>
  <si>
    <t>DATE</t>
  </si>
  <si>
    <t>per pax</t>
  </si>
  <si>
    <t>pax</t>
  </si>
  <si>
    <t>Kg</t>
  </si>
  <si>
    <t xml:space="preserve">No.of </t>
  </si>
  <si>
    <t>Occu</t>
  </si>
  <si>
    <t>Total</t>
  </si>
  <si>
    <t xml:space="preserve">Cost </t>
  </si>
  <si>
    <t>Final</t>
  </si>
  <si>
    <t>consumption</t>
  </si>
  <si>
    <t>KITCHEN</t>
  </si>
  <si>
    <t>Total consumption</t>
  </si>
  <si>
    <t>STP</t>
  </si>
  <si>
    <t>Water</t>
  </si>
  <si>
    <t>KL</t>
  </si>
  <si>
    <t>F/Truck</t>
  </si>
  <si>
    <t>Usage</t>
  </si>
  <si>
    <t>Occ %</t>
  </si>
  <si>
    <t>BF</t>
  </si>
  <si>
    <t>TOTAL CO</t>
  </si>
  <si>
    <t>10/27//2009</t>
  </si>
  <si>
    <t>Vehicle</t>
  </si>
  <si>
    <t>Incenerator</t>
  </si>
  <si>
    <t xml:space="preserve">    TATA</t>
  </si>
  <si>
    <t>T 226 AUQ</t>
  </si>
  <si>
    <t>T 134 AXJ</t>
  </si>
  <si>
    <t>T 128 AXJ</t>
  </si>
  <si>
    <t>T 476 AWZ</t>
  </si>
  <si>
    <t>T 499 AXG</t>
  </si>
  <si>
    <t>1Ton (%)</t>
  </si>
  <si>
    <t xml:space="preserve">Meter Reading </t>
  </si>
  <si>
    <t>Received</t>
  </si>
  <si>
    <t>Total Diseal Consumed</t>
  </si>
  <si>
    <t>500KVA  Generator KWh</t>
  </si>
  <si>
    <t>Total Kwh generated</t>
  </si>
  <si>
    <t>Total Kwh Generated</t>
  </si>
  <si>
    <t>Total cost /Day (TSH)</t>
  </si>
  <si>
    <t xml:space="preserve">% of Dieasel balance in Tank </t>
  </si>
  <si>
    <t xml:space="preserve"> Diseal consumed by Gen (Ltrs)</t>
  </si>
  <si>
    <t xml:space="preserve"> Diseal consumed by Veichel (Ltrs)</t>
  </si>
  <si>
    <t>Total diseal consumed (Ltrs)</t>
  </si>
  <si>
    <t>Balance stock of Diseal (Ltrs)</t>
  </si>
  <si>
    <t xml:space="preserve">% of Gas  balance in Tank </t>
  </si>
  <si>
    <t>Occ%</t>
  </si>
  <si>
    <t xml:space="preserve">Water consumed </t>
  </si>
  <si>
    <t>Main Meter</t>
  </si>
  <si>
    <t>Electricity</t>
  </si>
  <si>
    <t>Gas</t>
  </si>
  <si>
    <t>HLP Cost (TSH)</t>
  </si>
  <si>
    <t>Total Cost (TSH)</t>
  </si>
  <si>
    <t>BILILA LODGE INVESTMENT LIMITED</t>
  </si>
  <si>
    <t>1Ton%</t>
  </si>
  <si>
    <t>2Ton%</t>
  </si>
  <si>
    <t>Cost per room Total Occ</t>
  </si>
  <si>
    <t>Cost per room Guest Occ</t>
  </si>
  <si>
    <t>Cost per Room  Guest OOC  Usd</t>
  </si>
  <si>
    <t>Cost per Room Total OOC  Usd</t>
  </si>
  <si>
    <t>Total OCC  Room</t>
  </si>
  <si>
    <t>Guest Room Occ</t>
  </si>
  <si>
    <t>Gen Set Hours Working</t>
  </si>
  <si>
    <t>Nb Day</t>
  </si>
  <si>
    <t>Diesel Cost</t>
  </si>
  <si>
    <t>Rate$</t>
  </si>
  <si>
    <t xml:space="preserve">Four Sasons Safari Lodge Serengeti </t>
  </si>
  <si>
    <t>Consumption Kg</t>
  </si>
  <si>
    <t>A</t>
  </si>
  <si>
    <t>B</t>
  </si>
  <si>
    <t>C</t>
  </si>
  <si>
    <t>Usage KG</t>
  </si>
  <si>
    <t xml:space="preserve">Gas consumed (KG) </t>
  </si>
  <si>
    <t xml:space="preserve">Over budget </t>
  </si>
  <si>
    <t>Consumption Guest Occ%</t>
  </si>
  <si>
    <t>Budget Cost Per Room occ</t>
  </si>
  <si>
    <t>Safari-STAFF</t>
  </si>
  <si>
    <t>Eng pikcup</t>
  </si>
  <si>
    <t>GX Guest</t>
  </si>
  <si>
    <t xml:space="preserve">VIP Safari Car </t>
  </si>
  <si>
    <t>A&amp;K</t>
  </si>
  <si>
    <t>Machine ENG</t>
  </si>
  <si>
    <t xml:space="preserve">DATE </t>
  </si>
  <si>
    <t>OCC%</t>
  </si>
  <si>
    <t>D-TANK A</t>
  </si>
  <si>
    <t>D-TANK B</t>
  </si>
  <si>
    <t>DELIVERY DATE</t>
  </si>
  <si>
    <t>ISSUED-VEHICLE</t>
  </si>
  <si>
    <t>OTHERS</t>
  </si>
  <si>
    <t>M-R LV PANEL 1. KW-HR</t>
  </si>
  <si>
    <t>M-R LV PANEL 2. KW-HR</t>
  </si>
  <si>
    <t>MIN-KW</t>
  </si>
  <si>
    <t>Schedule delivery</t>
  </si>
  <si>
    <t>MAN</t>
  </si>
  <si>
    <t xml:space="preserve">Date </t>
  </si>
  <si>
    <t>Total occupancy</t>
  </si>
  <si>
    <t>Diesel Deliveries</t>
  </si>
  <si>
    <t>Water Meter reading</t>
  </si>
  <si>
    <r>
      <t>Water consumption m</t>
    </r>
    <r>
      <rPr>
        <b/>
        <sz val="11"/>
        <color indexed="8"/>
        <rFont val="Calibri"/>
        <family val="2"/>
      </rPr>
      <t>³</t>
    </r>
  </si>
  <si>
    <t>R.O WATER PRODUCTION LTRS + TIME</t>
  </si>
  <si>
    <t xml:space="preserve">Total RO production </t>
  </si>
  <si>
    <t>GAS TANK A</t>
  </si>
  <si>
    <t>GAS TANK B</t>
  </si>
  <si>
    <t>GAS TANK C</t>
  </si>
  <si>
    <t xml:space="preserve">Total Gas Tanks </t>
  </si>
  <si>
    <t>Kg /day</t>
  </si>
  <si>
    <t>TOTAL GAS cons.</t>
  </si>
  <si>
    <t xml:space="preserve">Balance </t>
  </si>
  <si>
    <t>PLANT NO 1</t>
  </si>
  <si>
    <t>PLANT NO 2</t>
  </si>
  <si>
    <t>PLANT NO 3</t>
  </si>
  <si>
    <t>/day</t>
  </si>
  <si>
    <t xml:space="preserve">Production </t>
  </si>
  <si>
    <t>Capacity</t>
  </si>
  <si>
    <t xml:space="preserve">Kg </t>
  </si>
  <si>
    <t>M3</t>
  </si>
  <si>
    <t>Hrs</t>
  </si>
  <si>
    <t xml:space="preserve">Total </t>
  </si>
  <si>
    <t>Gen.Diesel              consumption LTS</t>
  </si>
  <si>
    <t>Total Diesel consumption LTS</t>
  </si>
  <si>
    <t>Diesel balance LTS</t>
  </si>
  <si>
    <t>Rate Tsh /$</t>
  </si>
  <si>
    <t>Diesel cost / lits</t>
  </si>
  <si>
    <t xml:space="preserve"> Guest Rooms Occ </t>
  </si>
  <si>
    <t xml:space="preserve"> Electricity Production Cost /Room Occ by guest</t>
  </si>
  <si>
    <t>All Cost /Room Occ by guest</t>
  </si>
  <si>
    <t>Rooms  OCC</t>
  </si>
  <si>
    <t xml:space="preserve">Amani café </t>
  </si>
  <si>
    <t>Laundry</t>
  </si>
  <si>
    <t>Open Bal</t>
  </si>
  <si>
    <t>Main SW POOL</t>
  </si>
  <si>
    <t>Diseal</t>
  </si>
  <si>
    <t>Generator</t>
  </si>
  <si>
    <t>Transport</t>
  </si>
  <si>
    <t>RO</t>
  </si>
  <si>
    <t>Total Consumption</t>
  </si>
  <si>
    <t>1 Ton</t>
  </si>
  <si>
    <t xml:space="preserve">Room Occupied </t>
  </si>
  <si>
    <t>2 ton</t>
  </si>
  <si>
    <t>Cost of utilites</t>
  </si>
  <si>
    <t>Electricity /1.4$/liter</t>
  </si>
  <si>
    <t>Gas /2.38$/Kg</t>
  </si>
  <si>
    <t>Diseal for Transport</t>
  </si>
  <si>
    <t>Electricity Cost/Room  $</t>
  </si>
  <si>
    <t>Total HLP Cost</t>
  </si>
  <si>
    <t>cost/Room $</t>
  </si>
  <si>
    <t xml:space="preserve">          KITCHEN THREE PHASE KWH METER READING</t>
  </si>
  <si>
    <t xml:space="preserve">          KITCHEN WATER METER READING</t>
  </si>
  <si>
    <t xml:space="preserve">   DATE</t>
  </si>
  <si>
    <t xml:space="preserve"> READING  TIME</t>
  </si>
  <si>
    <t>METER READING OPEN</t>
  </si>
  <si>
    <t>METER READING ClOSE</t>
  </si>
  <si>
    <t xml:space="preserve">Close Last Month </t>
  </si>
  <si>
    <t>X120</t>
  </si>
  <si>
    <t xml:space="preserve">% as per the total Lodge consumption </t>
  </si>
  <si>
    <t>UNIT USED Kwh</t>
  </si>
  <si>
    <t>UNIT USED Cbm</t>
  </si>
  <si>
    <t>Cost Per day Elct+Water $</t>
  </si>
  <si>
    <t>METER READING ClOSE Cbm</t>
  </si>
  <si>
    <t>METER READING OPEN Cbm</t>
  </si>
  <si>
    <t>RO Meter reading</t>
  </si>
  <si>
    <t>Transport consumption</t>
  </si>
  <si>
    <t xml:space="preserve">         LAUNDRY THREE PHASE KWH METER READING</t>
  </si>
  <si>
    <t>METER READING ClOSE (Kwh)</t>
  </si>
  <si>
    <t>METER READING OPEN (Kwh)</t>
  </si>
  <si>
    <t xml:space="preserve">        LAUNDRY WATER METER READING</t>
  </si>
  <si>
    <t>AMANI Restaurant WATER METER READING</t>
  </si>
  <si>
    <t>Reading Hours Meter</t>
  </si>
  <si>
    <t>total production M3</t>
  </si>
  <si>
    <t>Flow M3</t>
  </si>
  <si>
    <t>MAX KW</t>
  </si>
  <si>
    <t>VODACOM TOWER</t>
  </si>
  <si>
    <t>AIRTEL TOWER</t>
  </si>
  <si>
    <t>OPEN METER READING</t>
  </si>
  <si>
    <t>CLOSE METER READING</t>
  </si>
  <si>
    <t>UNIT CONSUMED</t>
  </si>
  <si>
    <t>VODACOM AND AIRTEL KWH  METER READING</t>
  </si>
  <si>
    <t>BORE HOLE NO.1                       METER READING</t>
  </si>
  <si>
    <t>BORE HOLE NO.2                  METER READING</t>
  </si>
  <si>
    <t>BORE HOLE NO.3                  METER READING</t>
  </si>
  <si>
    <t>BORE HOLE NO.4                 METER READING</t>
  </si>
  <si>
    <t>Total        consumption</t>
  </si>
  <si>
    <t xml:space="preserve">OPEN </t>
  </si>
  <si>
    <t>FINAL</t>
  </si>
  <si>
    <t>PROD.</t>
  </si>
  <si>
    <t>TOTAL WATER PRODUCTION</t>
  </si>
  <si>
    <t>OTHER</t>
  </si>
  <si>
    <t xml:space="preserve">OPEN HRS READING </t>
  </si>
  <si>
    <t>CLOSE HRS READING</t>
  </si>
  <si>
    <t>TOTAL RUNNING HRS</t>
  </si>
  <si>
    <t xml:space="preserve">Diesel consumed </t>
  </si>
  <si>
    <t>TOTAL DIESEL CONS.</t>
  </si>
  <si>
    <t>Vehicles</t>
  </si>
  <si>
    <t xml:space="preserve">Liters </t>
  </si>
  <si>
    <t>Average Diesel/Kwh</t>
  </si>
  <si>
    <t>T/Hillux/pur</t>
  </si>
  <si>
    <t>Total Diseal Consumed Gen &amp;  Vehicle</t>
  </si>
  <si>
    <t xml:space="preserve">Diesel Consumed by 500KVA Generator </t>
  </si>
  <si>
    <t>RUNNING HRS</t>
  </si>
  <si>
    <t xml:space="preserve"> Diesel consumed by Gen (Ltrs)</t>
  </si>
  <si>
    <t>Total diesel consumed (Ltrs)</t>
  </si>
  <si>
    <t>Balance stock of Diesel (Ltrs)</t>
  </si>
  <si>
    <t xml:space="preserve"> Diesel consumed by Vehicle (Ltrs)</t>
  </si>
  <si>
    <t>T 214 CHV</t>
  </si>
  <si>
    <t>T 217 CHV</t>
  </si>
  <si>
    <t>T 139 AXE</t>
  </si>
  <si>
    <t>T 308 CLD</t>
  </si>
  <si>
    <t>T 852 AWU</t>
  </si>
  <si>
    <t>Driver name</t>
  </si>
  <si>
    <t>MAULY VEHICLES</t>
  </si>
  <si>
    <t>DIFFERENCE</t>
  </si>
  <si>
    <t>Authorized Manager</t>
  </si>
  <si>
    <t>RAW WATER TANK NO.1</t>
  </si>
  <si>
    <t xml:space="preserve">TREATED WATER TANK </t>
  </si>
  <si>
    <r>
      <t>CAPACITY 217 m</t>
    </r>
    <r>
      <rPr>
        <sz val="10"/>
        <rFont val="Calibri"/>
        <family val="2"/>
      </rPr>
      <t>³</t>
    </r>
  </si>
  <si>
    <r>
      <t>CAPACITY 92 m</t>
    </r>
    <r>
      <rPr>
        <sz val="10"/>
        <rFont val="Calibri"/>
        <family val="2"/>
      </rPr>
      <t>³</t>
    </r>
  </si>
  <si>
    <r>
      <t>CAPACITY 146 m</t>
    </r>
    <r>
      <rPr>
        <sz val="10"/>
        <rFont val="Calibri"/>
        <family val="2"/>
      </rPr>
      <t>³</t>
    </r>
  </si>
  <si>
    <r>
      <t>CAPACITY 213 m</t>
    </r>
    <r>
      <rPr>
        <sz val="10"/>
        <rFont val="Calibri"/>
        <family val="2"/>
      </rPr>
      <t>³</t>
    </r>
  </si>
  <si>
    <t xml:space="preserve">WATER TANK LEVEL </t>
  </si>
  <si>
    <t>TOTAL WATER AVAILABLE</t>
  </si>
  <si>
    <t>m³</t>
  </si>
  <si>
    <t xml:space="preserve">cm </t>
  </si>
  <si>
    <t>OTHERS VEHICLES</t>
  </si>
  <si>
    <t>Liters</t>
  </si>
  <si>
    <t>Athorized Manager</t>
  </si>
  <si>
    <t>Reasons</t>
  </si>
  <si>
    <t>FUEL METER  1 READNG</t>
  </si>
  <si>
    <t>FUEL METER 2 READING</t>
  </si>
  <si>
    <t>OPEN METER</t>
  </si>
  <si>
    <t>CLOSE METER</t>
  </si>
  <si>
    <t>DIESEL CONSUMED</t>
  </si>
  <si>
    <t>HLP-VEHICLES</t>
  </si>
  <si>
    <t>HLP-GENSETS</t>
  </si>
  <si>
    <t>RAW WATER TANK NO.2</t>
  </si>
  <si>
    <t xml:space="preserve">TREATED -HILL TANK </t>
  </si>
  <si>
    <t>BORE HOLE NO.5      METER READING</t>
  </si>
  <si>
    <t>RAIN WATER  - METER READING</t>
  </si>
  <si>
    <t xml:space="preserve">A &amp; K  VEHICLES </t>
  </si>
  <si>
    <t xml:space="preserve">DELIVERY </t>
  </si>
  <si>
    <t>BORE HOLE NO.6      METER READING</t>
  </si>
  <si>
    <t>TZS</t>
  </si>
  <si>
    <t>USD</t>
  </si>
  <si>
    <t xml:space="preserve"> -   </t>
  </si>
  <si>
    <t>Av. Occ</t>
  </si>
  <si>
    <t>Electricity Units Generated KW</t>
  </si>
  <si>
    <t xml:space="preserve">  T 242 AXN - SABASABA</t>
  </si>
  <si>
    <t xml:space="preserve">         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</si>
  <si>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</si>
  <si>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</si>
  <si>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</si>
  <si>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</t>
  </si>
  <si>
    <t>DAILY UTILITIES REPORT</t>
  </si>
  <si>
    <t>OCC %</t>
  </si>
  <si>
    <t>GENERATOR FUEL (LTR)</t>
  </si>
  <si>
    <r>
      <t>WATER (M</t>
    </r>
    <r>
      <rPr>
        <b/>
        <sz val="11"/>
        <color theme="1"/>
        <rFont val="Calibri"/>
        <family val="2"/>
      </rPr>
      <t>³)</t>
    </r>
  </si>
  <si>
    <t>ELECTRICAL (Kwh)</t>
  </si>
  <si>
    <t>CONSUMPTION</t>
  </si>
  <si>
    <t>BOREHOLE PRODUCTION</t>
  </si>
  <si>
    <t>RO PRODUCTION</t>
  </si>
  <si>
    <t>LAUNDRY</t>
  </si>
  <si>
    <t>Usage KW</t>
  </si>
  <si>
    <t>Power production (KW)</t>
  </si>
  <si>
    <t>Water consumption (M3)</t>
  </si>
  <si>
    <t>RO prodution  (M3)</t>
  </si>
  <si>
    <t>Diesel consumption (LT)</t>
  </si>
  <si>
    <t xml:space="preserve"> Guest Rooms Occupied </t>
  </si>
  <si>
    <t>Diesel cost  Per  Liter        ($)</t>
  </si>
  <si>
    <t xml:space="preserve">Transport Consupmtion (LT) 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</si>
  <si>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</si>
  <si>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</si>
  <si>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</si>
  <si>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</si>
  <si>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</si>
  <si>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</si>
  <si>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</si>
  <si>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</si>
  <si>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Water Utility Supply (m3) m3</t>
  </si>
  <si>
    <t>Water Utility Supply (m3) $/m3</t>
  </si>
  <si>
    <t xml:space="preserve">Room Nights </t>
  </si>
  <si>
    <t>Utilities day cost dh</t>
  </si>
  <si>
    <t>Serengeti</t>
  </si>
  <si>
    <t>Kitchen (KWh)</t>
  </si>
  <si>
    <t>Laundry (KWh)</t>
  </si>
  <si>
    <t xml:space="preserve">Generators Consumption (LT) </t>
  </si>
  <si>
    <t xml:space="preserve">Transport Consumption (LT) </t>
  </si>
  <si>
    <t>STP (M3)</t>
  </si>
  <si>
    <t>Amani Restaurant (M3)</t>
  </si>
  <si>
    <t>Kitchen (M3)</t>
  </si>
  <si>
    <t>Laundry (M3)</t>
  </si>
  <si>
    <t>Borehole #1 (M3)</t>
  </si>
  <si>
    <t>Borehole #2 (M3)</t>
  </si>
  <si>
    <t>Borehole #3 (M3)</t>
  </si>
  <si>
    <t>Borehole #4 (M3)</t>
  </si>
  <si>
    <t>Borehole #5 (M3)</t>
  </si>
  <si>
    <t>Borehole #6 (M3)</t>
  </si>
  <si>
    <t>GENERATOR NO.1</t>
  </si>
  <si>
    <t>GENERATOR NO.2</t>
  </si>
  <si>
    <t>GENERATOR NO.4</t>
  </si>
  <si>
    <t>GENERATOR NO.5</t>
  </si>
  <si>
    <t>GENERATOR NO.6</t>
  </si>
  <si>
    <t>VEHICLE CONSUMPTION</t>
  </si>
  <si>
    <t xml:space="preserve">NOVEMBER UTILITY REPORT </t>
  </si>
  <si>
    <t>Total water Consumption  (M3)</t>
  </si>
  <si>
    <t xml:space="preserve">Total Bore holes production  (M3) </t>
  </si>
  <si>
    <t>Company</t>
  </si>
  <si>
    <t>READING HOURS METER</t>
  </si>
  <si>
    <t>Authority manager</t>
  </si>
  <si>
    <t>GREEN LAND VEHICLES</t>
  </si>
  <si>
    <t>PUMA</t>
  </si>
  <si>
    <t>Occupancy %</t>
  </si>
  <si>
    <t>HLP REPORT MAY 2020</t>
  </si>
  <si>
    <t xml:space="preserve">Four Seasons Safari Lodge Serengeti May 2020- Water Report </t>
  </si>
  <si>
    <t>Generator and Diseal Summry Report  May 2020</t>
  </si>
  <si>
    <t>Generator and Diseal Summry Report May 2020</t>
  </si>
  <si>
    <t>DAILY UTILITY REPORT MAY 2020</t>
  </si>
  <si>
    <t>RAHA</t>
  </si>
</sst>
</file>

<file path=xl/styles.xml><?xml version="1.0" encoding="utf-8"?>
<styleSheet xmlns="http://schemas.openxmlformats.org/spreadsheetml/2006/main">
  <numFmts count="13">
    <numFmt numFmtId="42" formatCode="_-&quot;TSh&quot;* #,##0_-;\-&quot;TSh&quot;* #,##0_-;_-&quot;TSh&quot;* &quot;-&quot;_-;_-@_-"/>
    <numFmt numFmtId="41" formatCode="_-* #,##0_-;\-* #,##0_-;_-* &quot;-&quot;_-;_-@_-"/>
    <numFmt numFmtId="164" formatCode="_(&quot;$&quot;* #,##0.00_);_(&quot;$&quot;* \(#,##0.00\);_(&quot;$&quot;* &quot;-&quot;??_);_(@_)"/>
    <numFmt numFmtId="165" formatCode="_(* #,##0.00_);_(* \(#,##0.00\);_(* &quot;-&quot;??_);_(@_)"/>
    <numFmt numFmtId="166" formatCode="_(* #,##0_);_(* \(#,##0\);_(* &quot;-&quot;??_);_(@_)"/>
    <numFmt numFmtId="167" formatCode="dd/mm/yyyy;@"/>
    <numFmt numFmtId="168" formatCode="dd/mm/yy;@"/>
    <numFmt numFmtId="169" formatCode="[$-409]d\-mmm\-yy;@"/>
    <numFmt numFmtId="170" formatCode="_(&quot;$&quot;* #,##0_);_(&quot;$&quot;* \(#,##0\);_(&quot;$&quot;* &quot;-&quot;??_);_(@_)"/>
    <numFmt numFmtId="171" formatCode="0.0%"/>
    <numFmt numFmtId="172" formatCode="0.0"/>
    <numFmt numFmtId="173" formatCode="_([$TZS]\ * #,##0_);_([$TZS]\ * \(#,##0\);_([$TZS]\ * &quot;-&quot;_);_(@_)"/>
    <numFmt numFmtId="174" formatCode="_([$TZS]\ * #,##0.00_);_([$TZS]\ * \(#,##0.00\);_([$TZS]\ * &quot;-&quot;??_);_(@_)"/>
  </numFmts>
  <fonts count="63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entury Gothic"/>
      <family val="2"/>
    </font>
    <font>
      <sz val="8"/>
      <name val="Arial"/>
      <family val="2"/>
    </font>
    <font>
      <b/>
      <sz val="10"/>
      <name val="Century Gothic"/>
      <family val="2"/>
    </font>
    <font>
      <sz val="12"/>
      <name val="Century Gothic"/>
      <family val="2"/>
    </font>
    <font>
      <b/>
      <sz val="12"/>
      <name val="Century Gothic"/>
      <family val="2"/>
    </font>
    <font>
      <b/>
      <sz val="10"/>
      <name val="Arial"/>
      <family val="2"/>
    </font>
    <font>
      <b/>
      <sz val="12"/>
      <name val="Arial"/>
      <family val="2"/>
    </font>
    <font>
      <b/>
      <sz val="8"/>
      <name val="Arial"/>
      <family val="2"/>
    </font>
    <font>
      <b/>
      <sz val="8"/>
      <name val="Century Gothic"/>
      <family val="2"/>
    </font>
    <font>
      <sz val="12"/>
      <name val="Arial"/>
      <family val="2"/>
    </font>
    <font>
      <b/>
      <sz val="11"/>
      <color indexed="8"/>
      <name val="Calibri"/>
      <family val="2"/>
    </font>
    <font>
      <sz val="10"/>
      <name val="Arial"/>
      <family val="2"/>
    </font>
    <font>
      <b/>
      <sz val="9"/>
      <name val="Century Gothic"/>
      <family val="2"/>
    </font>
    <font>
      <sz val="8"/>
      <name val="Century Gothic"/>
      <family val="2"/>
    </font>
    <font>
      <b/>
      <sz val="11"/>
      <name val="Century Gothic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FF0000"/>
      <name val="Arial"/>
      <family val="2"/>
    </font>
    <font>
      <sz val="10"/>
      <color rgb="FFFF0000"/>
      <name val="Arial"/>
      <family val="2"/>
    </font>
    <font>
      <b/>
      <sz val="8"/>
      <color rgb="FFFF0000"/>
      <name val="Arial"/>
      <family val="2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11"/>
      <name val="Arial"/>
      <family val="2"/>
    </font>
    <font>
      <b/>
      <sz val="8"/>
      <name val="Calibri"/>
      <family val="2"/>
      <scheme val="minor"/>
    </font>
    <font>
      <sz val="8"/>
      <color indexed="10"/>
      <name val="Century Gothic"/>
      <family val="2"/>
    </font>
    <font>
      <b/>
      <sz val="8"/>
      <color indexed="12"/>
      <name val="Century Gothic"/>
      <family val="2"/>
    </font>
    <font>
      <sz val="8"/>
      <color theme="1"/>
      <name val="Century Gothic"/>
      <family val="2"/>
    </font>
    <font>
      <b/>
      <sz val="8"/>
      <color theme="1"/>
      <name val="Century Gothic"/>
      <family val="2"/>
    </font>
    <font>
      <sz val="8"/>
      <color indexed="8"/>
      <name val="Calibri"/>
      <family val="2"/>
    </font>
    <font>
      <b/>
      <sz val="14"/>
      <name val="Arial"/>
      <family val="2"/>
    </font>
    <font>
      <sz val="14"/>
      <name val="Arial"/>
      <family val="2"/>
    </font>
    <font>
      <sz val="10"/>
      <color rgb="FFFF0000"/>
      <name val="Century Gothic"/>
      <family val="2"/>
    </font>
    <font>
      <sz val="12"/>
      <color rgb="FFFF0000"/>
      <name val="Century Gothic"/>
      <family val="2"/>
    </font>
    <font>
      <b/>
      <sz val="18"/>
      <name val="Century Gothic"/>
      <family val="2"/>
    </font>
    <font>
      <sz val="11"/>
      <name val="Arial"/>
      <family val="2"/>
    </font>
    <font>
      <sz val="8"/>
      <color rgb="FFFF0000"/>
      <name val="Arial"/>
      <family val="2"/>
    </font>
    <font>
      <sz val="10"/>
      <name val="Calibri"/>
      <family val="2"/>
    </font>
    <font>
      <sz val="8"/>
      <color theme="1"/>
      <name val="Arial"/>
      <family val="2"/>
    </font>
    <font>
      <b/>
      <sz val="16"/>
      <name val="Arial"/>
      <family val="2"/>
    </font>
    <font>
      <b/>
      <sz val="16"/>
      <name val="Century Gothic"/>
      <family val="2"/>
    </font>
    <font>
      <b/>
      <sz val="20"/>
      <name val="Arial"/>
      <family val="2"/>
    </font>
    <font>
      <sz val="20"/>
      <name val="Arial"/>
      <family val="2"/>
    </font>
    <font>
      <b/>
      <sz val="12"/>
      <color theme="1"/>
      <name val="Calibri"/>
      <family val="2"/>
      <scheme val="minor"/>
    </font>
    <font>
      <sz val="16"/>
      <name val="Arial"/>
      <family val="2"/>
    </font>
    <font>
      <sz val="10"/>
      <name val="Arial"/>
      <family val="2"/>
    </font>
    <font>
      <b/>
      <sz val="20"/>
      <color theme="1"/>
      <name val="Calibri"/>
      <family val="2"/>
      <scheme val="minor"/>
    </font>
    <font>
      <b/>
      <sz val="11"/>
      <color theme="1"/>
      <name val="Calibri"/>
      <family val="2"/>
    </font>
    <font>
      <b/>
      <sz val="14"/>
      <color rgb="FFFF0000"/>
      <name val="Calibri"/>
      <family val="2"/>
      <scheme val="minor"/>
    </font>
    <font>
      <sz val="10"/>
      <name val="Arial"/>
      <family val="2"/>
    </font>
    <font>
      <sz val="18"/>
      <name val="Arial"/>
      <family val="2"/>
    </font>
    <font>
      <b/>
      <sz val="11"/>
      <color rgb="FFFF000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sz val="10"/>
      <color rgb="FF00B050"/>
      <name val="Arial"/>
      <family val="2"/>
    </font>
    <font>
      <sz val="16"/>
      <color theme="1"/>
      <name val="Calibri"/>
      <family val="2"/>
      <scheme val="minor"/>
    </font>
    <font>
      <b/>
      <sz val="9"/>
      <name val="Arial"/>
      <family val="2"/>
    </font>
    <font>
      <b/>
      <sz val="9"/>
      <color rgb="FFFF0000"/>
      <name val="Century Gothic"/>
      <family val="2"/>
    </font>
  </fonts>
  <fills count="40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9"/>
        <bgColor indexed="26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99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26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0" tint="-0.499984740745262"/>
        <bgColor indexed="64"/>
      </patternFill>
    </fill>
  </fills>
  <borders count="10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theme="1"/>
      </right>
      <top style="medium">
        <color indexed="64"/>
      </top>
      <bottom/>
      <diagonal/>
    </border>
    <border>
      <left style="thin">
        <color theme="1"/>
      </left>
      <right style="thin">
        <color theme="1"/>
      </right>
      <top/>
      <bottom/>
      <diagonal/>
    </border>
    <border>
      <left style="thin">
        <color theme="1"/>
      </left>
      <right style="thin">
        <color theme="1"/>
      </right>
      <top style="medium">
        <color indexed="64"/>
      </top>
      <bottom/>
      <diagonal/>
    </border>
    <border>
      <left style="thin">
        <color theme="1"/>
      </left>
      <right style="medium">
        <color indexed="64"/>
      </right>
      <top style="medium">
        <color indexed="64"/>
      </top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theme="1"/>
      </left>
      <right/>
      <top style="medium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/>
      <diagonal/>
    </border>
    <border>
      <left style="thin">
        <color indexed="64"/>
      </left>
      <right style="thin">
        <color indexed="64"/>
      </right>
      <top style="thick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thick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n">
        <color indexed="64"/>
      </left>
      <right/>
      <top style="thick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theme="1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theme="1"/>
      </right>
      <top style="medium">
        <color indexed="64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medium">
        <color indexed="64"/>
      </top>
      <bottom style="medium">
        <color indexed="64"/>
      </bottom>
      <diagonal/>
    </border>
    <border>
      <left style="thin">
        <color theme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11">
    <xf numFmtId="0" fontId="0" fillId="0" borderId="0"/>
    <xf numFmtId="165" fontId="2" fillId="0" borderId="0" applyFont="0" applyFill="0" applyBorder="0" applyAlignment="0" applyProtection="0"/>
    <xf numFmtId="165" fontId="18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18" fillId="0" borderId="0"/>
    <xf numFmtId="0" fontId="14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41" fontId="51" fillId="0" borderId="0" applyFont="0" applyFill="0" applyBorder="0" applyAlignment="0" applyProtection="0"/>
    <xf numFmtId="42" fontId="55" fillId="0" borderId="0" applyFont="0" applyFill="0" applyBorder="0" applyAlignment="0" applyProtection="0"/>
  </cellStyleXfs>
  <cellXfs count="911">
    <xf numFmtId="0" fontId="0" fillId="0" borderId="0" xfId="0"/>
    <xf numFmtId="166" fontId="3" fillId="0" borderId="1" xfId="1" applyNumberFormat="1" applyFont="1" applyFill="1" applyBorder="1"/>
    <xf numFmtId="166" fontId="6" fillId="3" borderId="1" xfId="0" applyNumberFormat="1" applyFont="1" applyFill="1" applyBorder="1"/>
    <xf numFmtId="0" fontId="3" fillId="0" borderId="0" xfId="0" applyFont="1" applyFill="1" applyBorder="1"/>
    <xf numFmtId="0" fontId="3" fillId="0" borderId="0" xfId="0" applyFont="1" applyFill="1" applyBorder="1" applyAlignment="1">
      <alignment horizontal="center"/>
    </xf>
    <xf numFmtId="0" fontId="3" fillId="0" borderId="1" xfId="0" applyFont="1" applyFill="1" applyBorder="1"/>
    <xf numFmtId="0" fontId="0" fillId="0" borderId="1" xfId="0" applyBorder="1"/>
    <xf numFmtId="165" fontId="3" fillId="4" borderId="5" xfId="0" applyNumberFormat="1" applyFont="1" applyFill="1" applyBorder="1"/>
    <xf numFmtId="0" fontId="0" fillId="0" borderId="9" xfId="0" applyBorder="1"/>
    <xf numFmtId="0" fontId="8" fillId="0" borderId="0" xfId="0" applyFont="1"/>
    <xf numFmtId="168" fontId="0" fillId="0" borderId="0" xfId="0" applyNumberFormat="1" applyAlignment="1">
      <alignment horizontal="left"/>
    </xf>
    <xf numFmtId="0" fontId="8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166" fontId="0" fillId="0" borderId="0" xfId="0" applyNumberFormat="1" applyAlignment="1">
      <alignment horizontal="center"/>
    </xf>
    <xf numFmtId="0" fontId="8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22" xfId="0" applyBorder="1"/>
    <xf numFmtId="0" fontId="0" fillId="0" borderId="5" xfId="0" applyBorder="1"/>
    <xf numFmtId="10" fontId="0" fillId="0" borderId="0" xfId="0" applyNumberFormat="1"/>
    <xf numFmtId="0" fontId="0" fillId="0" borderId="0" xfId="0" applyBorder="1"/>
    <xf numFmtId="0" fontId="3" fillId="0" borderId="23" xfId="0" applyFont="1" applyFill="1" applyBorder="1"/>
    <xf numFmtId="0" fontId="3" fillId="8" borderId="25" xfId="0" applyFont="1" applyFill="1" applyBorder="1"/>
    <xf numFmtId="166" fontId="6" fillId="8" borderId="26" xfId="0" applyNumberFormat="1" applyFont="1" applyFill="1" applyBorder="1"/>
    <xf numFmtId="0" fontId="0" fillId="8" borderId="1" xfId="0" applyFill="1" applyBorder="1"/>
    <xf numFmtId="0" fontId="0" fillId="8" borderId="22" xfId="0" applyFill="1" applyBorder="1"/>
    <xf numFmtId="166" fontId="0" fillId="8" borderId="25" xfId="0" applyNumberFormat="1" applyFill="1" applyBorder="1"/>
    <xf numFmtId="0" fontId="0" fillId="8" borderId="26" xfId="0" applyFill="1" applyBorder="1"/>
    <xf numFmtId="166" fontId="0" fillId="8" borderId="1" xfId="0" applyNumberFormat="1" applyFill="1" applyBorder="1"/>
    <xf numFmtId="166" fontId="3" fillId="9" borderId="1" xfId="1" applyNumberFormat="1" applyFont="1" applyFill="1" applyBorder="1"/>
    <xf numFmtId="0" fontId="3" fillId="7" borderId="1" xfId="0" applyFont="1" applyFill="1" applyBorder="1"/>
    <xf numFmtId="0" fontId="0" fillId="0" borderId="27" xfId="0" applyBorder="1"/>
    <xf numFmtId="0" fontId="0" fillId="0" borderId="11" xfId="0" applyBorder="1"/>
    <xf numFmtId="0" fontId="0" fillId="0" borderId="13" xfId="0" applyBorder="1"/>
    <xf numFmtId="0" fontId="6" fillId="0" borderId="1" xfId="0" applyFont="1" applyFill="1" applyBorder="1"/>
    <xf numFmtId="0" fontId="12" fillId="0" borderId="28" xfId="0" applyFont="1" applyBorder="1"/>
    <xf numFmtId="0" fontId="12" fillId="0" borderId="11" xfId="0" applyFont="1" applyBorder="1"/>
    <xf numFmtId="0" fontId="12" fillId="0" borderId="12" xfId="0" applyFont="1" applyBorder="1"/>
    <xf numFmtId="0" fontId="12" fillId="0" borderId="0" xfId="0" applyFont="1"/>
    <xf numFmtId="0" fontId="12" fillId="0" borderId="13" xfId="0" applyFont="1" applyBorder="1"/>
    <xf numFmtId="0" fontId="12" fillId="0" borderId="0" xfId="0" applyFont="1" applyBorder="1"/>
    <xf numFmtId="0" fontId="12" fillId="0" borderId="15" xfId="0" applyFont="1" applyBorder="1"/>
    <xf numFmtId="0" fontId="12" fillId="0" borderId="23" xfId="0" applyFont="1" applyBorder="1"/>
    <xf numFmtId="0" fontId="12" fillId="0" borderId="24" xfId="0" applyFont="1" applyBorder="1"/>
    <xf numFmtId="0" fontId="12" fillId="0" borderId="27" xfId="0" applyFont="1" applyBorder="1"/>
    <xf numFmtId="0" fontId="12" fillId="0" borderId="25" xfId="0" applyFont="1" applyBorder="1"/>
    <xf numFmtId="0" fontId="6" fillId="0" borderId="11" xfId="0" applyFont="1" applyFill="1" applyBorder="1"/>
    <xf numFmtId="0" fontId="6" fillId="2" borderId="1" xfId="0" applyFont="1" applyFill="1" applyBorder="1" applyAlignment="1"/>
    <xf numFmtId="165" fontId="6" fillId="2" borderId="1" xfId="1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 vertical="center"/>
    </xf>
    <xf numFmtId="17" fontId="12" fillId="0" borderId="15" xfId="0" applyNumberFormat="1" applyFont="1" applyBorder="1"/>
    <xf numFmtId="0" fontId="0" fillId="0" borderId="0" xfId="0" applyAlignment="1">
      <alignment wrapText="1"/>
    </xf>
    <xf numFmtId="0" fontId="11" fillId="3" borderId="1" xfId="0" applyNumberFormat="1" applyFont="1" applyFill="1" applyBorder="1" applyAlignment="1">
      <alignment horizontal="center" wrapText="1"/>
    </xf>
    <xf numFmtId="0" fontId="20" fillId="0" borderId="1" xfId="0" applyFont="1" applyBorder="1" applyAlignment="1">
      <alignment horizontal="center" vertical="top" wrapText="1"/>
    </xf>
    <xf numFmtId="169" fontId="0" fillId="0" borderId="16" xfId="0" applyNumberFormat="1" applyBorder="1"/>
    <xf numFmtId="0" fontId="0" fillId="0" borderId="21" xfId="0" applyBorder="1"/>
    <xf numFmtId="0" fontId="0" fillId="0" borderId="1" xfId="0" applyBorder="1" applyAlignment="1">
      <alignment wrapText="1"/>
    </xf>
    <xf numFmtId="0" fontId="0" fillId="0" borderId="1" xfId="0" applyBorder="1" applyAlignment="1">
      <alignment vertical="top" wrapText="1"/>
    </xf>
    <xf numFmtId="169" fontId="3" fillId="0" borderId="1" xfId="0" applyNumberFormat="1" applyFont="1" applyBorder="1" applyAlignment="1">
      <alignment horizontal="center"/>
    </xf>
    <xf numFmtId="165" fontId="3" fillId="9" borderId="1" xfId="1" applyNumberFormat="1" applyFont="1" applyFill="1" applyBorder="1"/>
    <xf numFmtId="0" fontId="21" fillId="0" borderId="1" xfId="0" applyFont="1" applyBorder="1" applyAlignment="1">
      <alignment vertical="center" wrapText="1"/>
    </xf>
    <xf numFmtId="0" fontId="0" fillId="0" borderId="6" xfId="0" applyBorder="1"/>
    <xf numFmtId="0" fontId="0" fillId="0" borderId="7" xfId="0" applyBorder="1"/>
    <xf numFmtId="0" fontId="0" fillId="0" borderId="16" xfId="0" applyBorder="1"/>
    <xf numFmtId="0" fontId="20" fillId="0" borderId="16" xfId="0" applyFont="1" applyBorder="1" applyAlignment="1">
      <alignment horizontal="center" vertical="top" wrapText="1"/>
    </xf>
    <xf numFmtId="0" fontId="21" fillId="0" borderId="8" xfId="0" applyFont="1" applyBorder="1" applyAlignment="1">
      <alignment vertical="center" wrapText="1"/>
    </xf>
    <xf numFmtId="0" fontId="0" fillId="0" borderId="36" xfId="0" applyBorder="1"/>
    <xf numFmtId="0" fontId="21" fillId="0" borderId="5" xfId="0" applyFont="1" applyBorder="1" applyAlignment="1">
      <alignment vertical="center" wrapText="1"/>
    </xf>
    <xf numFmtId="0" fontId="20" fillId="0" borderId="5" xfId="0" applyFont="1" applyBorder="1" applyAlignment="1">
      <alignment horizontal="center" vertical="center" wrapText="1"/>
    </xf>
    <xf numFmtId="0" fontId="0" fillId="13" borderId="1" xfId="0" applyFill="1" applyBorder="1"/>
    <xf numFmtId="0" fontId="0" fillId="13" borderId="9" xfId="0" applyFill="1" applyBorder="1"/>
    <xf numFmtId="0" fontId="0" fillId="11" borderId="1" xfId="0" applyFill="1" applyBorder="1"/>
    <xf numFmtId="0" fontId="0" fillId="14" borderId="1" xfId="0" applyFill="1" applyBorder="1"/>
    <xf numFmtId="0" fontId="0" fillId="14" borderId="9" xfId="0" applyFill="1" applyBorder="1"/>
    <xf numFmtId="0" fontId="20" fillId="0" borderId="1" xfId="0" applyFont="1" applyFill="1" applyBorder="1" applyAlignment="1">
      <alignment horizontal="center" vertical="top" wrapText="1"/>
    </xf>
    <xf numFmtId="0" fontId="0" fillId="0" borderId="0" xfId="0" applyFill="1"/>
    <xf numFmtId="166" fontId="0" fillId="0" borderId="1" xfId="1" applyNumberFormat="1" applyFont="1" applyBorder="1"/>
    <xf numFmtId="0" fontId="0" fillId="0" borderId="4" xfId="0" applyBorder="1"/>
    <xf numFmtId="164" fontId="0" fillId="0" borderId="1" xfId="3" applyFont="1" applyBorder="1"/>
    <xf numFmtId="0" fontId="8" fillId="0" borderId="0" xfId="0" applyFont="1" applyAlignment="1">
      <alignment horizontal="distributed" vertical="justify"/>
    </xf>
    <xf numFmtId="170" fontId="0" fillId="0" borderId="0" xfId="6" applyNumberFormat="1" applyFont="1"/>
    <xf numFmtId="164" fontId="0" fillId="0" borderId="0" xfId="0" applyNumberFormat="1"/>
    <xf numFmtId="0" fontId="20" fillId="0" borderId="22" xfId="0" applyFont="1" applyBorder="1" applyAlignment="1">
      <alignment horizontal="center" vertical="top" wrapText="1"/>
    </xf>
    <xf numFmtId="0" fontId="0" fillId="0" borderId="37" xfId="0" applyBorder="1"/>
    <xf numFmtId="165" fontId="0" fillId="0" borderId="22" xfId="1" applyFont="1" applyBorder="1"/>
    <xf numFmtId="165" fontId="0" fillId="0" borderId="0" xfId="0" applyNumberFormat="1"/>
    <xf numFmtId="0" fontId="0" fillId="15" borderId="9" xfId="0" applyFill="1" applyBorder="1"/>
    <xf numFmtId="0" fontId="0" fillId="6" borderId="1" xfId="0" applyFill="1" applyBorder="1"/>
    <xf numFmtId="0" fontId="0" fillId="6" borderId="9" xfId="0" applyFill="1" applyBorder="1"/>
    <xf numFmtId="9" fontId="0" fillId="14" borderId="1" xfId="0" applyNumberFormat="1" applyFill="1" applyBorder="1"/>
    <xf numFmtId="1" fontId="0" fillId="6" borderId="1" xfId="0" applyNumberFormat="1" applyFill="1" applyBorder="1"/>
    <xf numFmtId="10" fontId="0" fillId="6" borderId="1" xfId="0" applyNumberFormat="1" applyFill="1" applyBorder="1"/>
    <xf numFmtId="0" fontId="8" fillId="0" borderId="6" xfId="0" applyFont="1" applyBorder="1" applyAlignment="1">
      <alignment horizontal="center"/>
    </xf>
    <xf numFmtId="165" fontId="0" fillId="0" borderId="0" xfId="1" applyFont="1"/>
    <xf numFmtId="171" fontId="0" fillId="0" borderId="0" xfId="6" applyNumberFormat="1" applyFont="1"/>
    <xf numFmtId="169" fontId="5" fillId="0" borderId="1" xfId="0" applyNumberFormat="1" applyFont="1" applyFill="1" applyBorder="1" applyAlignment="1">
      <alignment horizontal="center"/>
    </xf>
    <xf numFmtId="169" fontId="0" fillId="0" borderId="0" xfId="0" applyNumberFormat="1" applyAlignment="1">
      <alignment horizontal="left"/>
    </xf>
    <xf numFmtId="169" fontId="7" fillId="0" borderId="1" xfId="0" applyNumberFormat="1" applyFont="1" applyBorder="1" applyAlignment="1">
      <alignment horizontal="center"/>
    </xf>
    <xf numFmtId="166" fontId="3" fillId="6" borderId="1" xfId="1" applyNumberFormat="1" applyFont="1" applyFill="1" applyBorder="1"/>
    <xf numFmtId="0" fontId="12" fillId="0" borderId="28" xfId="0" applyFont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7" fillId="6" borderId="0" xfId="0" applyFont="1" applyFill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166" fontId="6" fillId="3" borderId="1" xfId="0" applyNumberFormat="1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/>
    </xf>
    <xf numFmtId="0" fontId="9" fillId="6" borderId="4" xfId="0" applyFont="1" applyFill="1" applyBorder="1"/>
    <xf numFmtId="0" fontId="7" fillId="2" borderId="11" xfId="0" applyFont="1" applyFill="1" applyBorder="1" applyAlignment="1">
      <alignment horizontal="center" vertical="center"/>
    </xf>
    <xf numFmtId="0" fontId="7" fillId="2" borderId="28" xfId="0" applyFont="1" applyFill="1" applyBorder="1" applyAlignment="1">
      <alignment horizontal="center"/>
    </xf>
    <xf numFmtId="0" fontId="7" fillId="2" borderId="14" xfId="0" applyFont="1" applyFill="1" applyBorder="1" applyAlignment="1">
      <alignment horizontal="center"/>
    </xf>
    <xf numFmtId="0" fontId="7" fillId="2" borderId="15" xfId="0" applyFont="1" applyFill="1" applyBorder="1" applyAlignment="1">
      <alignment horizontal="center"/>
    </xf>
    <xf numFmtId="0" fontId="7" fillId="2" borderId="13" xfId="0" applyFont="1" applyFill="1" applyBorder="1" applyAlignment="1">
      <alignment horizontal="center" vertical="center"/>
    </xf>
    <xf numFmtId="0" fontId="7" fillId="2" borderId="0" xfId="0" applyFont="1" applyFill="1" applyBorder="1" applyAlignment="1">
      <alignment horizontal="center"/>
    </xf>
    <xf numFmtId="0" fontId="7" fillId="6" borderId="1" xfId="0" applyFont="1" applyFill="1" applyBorder="1"/>
    <xf numFmtId="10" fontId="6" fillId="4" borderId="5" xfId="6" applyNumberFormat="1" applyFont="1" applyFill="1" applyBorder="1"/>
    <xf numFmtId="165" fontId="12" fillId="0" borderId="4" xfId="1" applyFont="1" applyBorder="1"/>
    <xf numFmtId="165" fontId="12" fillId="0" borderId="14" xfId="1" applyFont="1" applyBorder="1"/>
    <xf numFmtId="165" fontId="12" fillId="0" borderId="1" xfId="1" applyFont="1" applyBorder="1"/>
    <xf numFmtId="165" fontId="12" fillId="0" borderId="26" xfId="1" applyFont="1" applyBorder="1"/>
    <xf numFmtId="165" fontId="0" fillId="0" borderId="1" xfId="1" applyFont="1" applyBorder="1"/>
    <xf numFmtId="9" fontId="0" fillId="0" borderId="0" xfId="6" applyNumberFormat="1" applyFont="1"/>
    <xf numFmtId="0" fontId="0" fillId="0" borderId="6" xfId="0" applyBorder="1" applyAlignment="1">
      <alignment horizontal="center"/>
    </xf>
    <xf numFmtId="0" fontId="22" fillId="0" borderId="1" xfId="0" applyFont="1" applyBorder="1" applyAlignment="1">
      <alignment horizontal="center" vertical="top" wrapText="1"/>
    </xf>
    <xf numFmtId="0" fontId="20" fillId="0" borderId="1" xfId="0" applyFont="1" applyBorder="1" applyAlignment="1">
      <alignment horizontal="center" vertical="center"/>
    </xf>
    <xf numFmtId="164" fontId="0" fillId="0" borderId="9" xfId="3" applyFont="1" applyBorder="1"/>
    <xf numFmtId="164" fontId="0" fillId="0" borderId="8" xfId="3" applyFont="1" applyBorder="1"/>
    <xf numFmtId="164" fontId="0" fillId="0" borderId="10" xfId="3" applyFont="1" applyBorder="1"/>
    <xf numFmtId="164" fontId="8" fillId="0" borderId="1" xfId="3" applyFont="1" applyBorder="1"/>
    <xf numFmtId="0" fontId="0" fillId="0" borderId="1" xfId="0" applyFill="1" applyBorder="1"/>
    <xf numFmtId="0" fontId="2" fillId="0" borderId="17" xfId="0" applyFont="1" applyBorder="1" applyAlignment="1">
      <alignment horizontal="center"/>
    </xf>
    <xf numFmtId="0" fontId="19" fillId="0" borderId="38" xfId="0" applyFont="1" applyBorder="1" applyAlignment="1">
      <alignment horizontal="center" vertical="center" wrapText="1"/>
    </xf>
    <xf numFmtId="4" fontId="19" fillId="12" borderId="38" xfId="0" applyNumberFormat="1" applyFont="1" applyFill="1" applyBorder="1" applyAlignment="1">
      <alignment horizontal="center" vertical="center"/>
    </xf>
    <xf numFmtId="0" fontId="19" fillId="0" borderId="40" xfId="0" applyFont="1" applyBorder="1" applyAlignment="1">
      <alignment horizontal="center" vertical="center" wrapText="1"/>
    </xf>
    <xf numFmtId="0" fontId="19" fillId="0" borderId="2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41" xfId="0" applyFont="1" applyBorder="1" applyAlignment="1">
      <alignment horizontal="center" vertical="center" wrapText="1"/>
    </xf>
    <xf numFmtId="166" fontId="19" fillId="0" borderId="24" xfId="1" applyNumberFormat="1" applyFont="1" applyBorder="1" applyAlignment="1">
      <alignment horizontal="center" vertical="center" wrapText="1"/>
    </xf>
    <xf numFmtId="166" fontId="19" fillId="0" borderId="41" xfId="1" applyNumberFormat="1" applyFont="1" applyBorder="1" applyAlignment="1">
      <alignment horizontal="center" vertical="center" wrapText="1"/>
    </xf>
    <xf numFmtId="166" fontId="0" fillId="12" borderId="42" xfId="0" applyNumberFormat="1" applyFill="1" applyBorder="1"/>
    <xf numFmtId="166" fontId="0" fillId="0" borderId="0" xfId="1" applyNumberFormat="1" applyFont="1" applyFill="1" applyBorder="1"/>
    <xf numFmtId="166" fontId="0" fillId="0" borderId="0" xfId="0" applyNumberFormat="1"/>
    <xf numFmtId="0" fontId="19" fillId="12" borderId="38" xfId="0" applyFont="1" applyFill="1" applyBorder="1" applyAlignment="1">
      <alignment horizontal="center" vertical="center"/>
    </xf>
    <xf numFmtId="165" fontId="0" fillId="12" borderId="26" xfId="0" applyNumberFormat="1" applyFill="1" applyBorder="1"/>
    <xf numFmtId="0" fontId="0" fillId="12" borderId="1" xfId="0" applyFill="1" applyBorder="1"/>
    <xf numFmtId="0" fontId="0" fillId="12" borderId="43" xfId="0" applyFill="1" applyBorder="1"/>
    <xf numFmtId="0" fontId="0" fillId="12" borderId="46" xfId="0" applyFill="1" applyBorder="1"/>
    <xf numFmtId="0" fontId="0" fillId="12" borderId="44" xfId="0" applyFill="1" applyBorder="1"/>
    <xf numFmtId="0" fontId="19" fillId="0" borderId="47" xfId="0" applyFont="1" applyBorder="1" applyAlignment="1">
      <alignment horizontal="center" vertical="center" wrapText="1"/>
    </xf>
    <xf numFmtId="0" fontId="19" fillId="0" borderId="2" xfId="0" applyFont="1" applyBorder="1" applyAlignment="1">
      <alignment horizontal="center" vertical="center" wrapText="1"/>
    </xf>
    <xf numFmtId="0" fontId="19" fillId="0" borderId="48" xfId="0" applyFont="1" applyBorder="1" applyAlignment="1">
      <alignment horizontal="center" vertical="center" wrapText="1"/>
    </xf>
    <xf numFmtId="0" fontId="19" fillId="0" borderId="2" xfId="0" applyFont="1" applyBorder="1" applyAlignment="1">
      <alignment horizontal="center" vertical="center"/>
    </xf>
    <xf numFmtId="0" fontId="19" fillId="0" borderId="50" xfId="0" applyFont="1" applyBorder="1" applyAlignment="1">
      <alignment horizontal="center" vertical="center" wrapText="1"/>
    </xf>
    <xf numFmtId="0" fontId="19" fillId="0" borderId="51" xfId="0" applyFont="1" applyBorder="1" applyAlignment="1">
      <alignment horizontal="center" vertical="center" wrapText="1"/>
    </xf>
    <xf numFmtId="0" fontId="2" fillId="0" borderId="0" xfId="0" applyFont="1"/>
    <xf numFmtId="0" fontId="8" fillId="0" borderId="53" xfId="0" applyFont="1" applyBorder="1" applyAlignment="1">
      <alignment horizontal="center" wrapText="1"/>
    </xf>
    <xf numFmtId="0" fontId="24" fillId="0" borderId="53" xfId="0" applyFont="1" applyBorder="1" applyAlignment="1">
      <alignment vertical="center"/>
    </xf>
    <xf numFmtId="0" fontId="19" fillId="0" borderId="31" xfId="0" applyFont="1" applyBorder="1" applyAlignment="1">
      <alignment horizontal="left" vertical="center"/>
    </xf>
    <xf numFmtId="0" fontId="19" fillId="0" borderId="30" xfId="0" applyFont="1" applyBorder="1" applyAlignment="1">
      <alignment horizontal="left" vertical="center"/>
    </xf>
    <xf numFmtId="9" fontId="0" fillId="12" borderId="49" xfId="0" applyNumberFormat="1" applyFill="1" applyBorder="1"/>
    <xf numFmtId="0" fontId="0" fillId="0" borderId="0" xfId="0" applyFill="1" applyBorder="1"/>
    <xf numFmtId="166" fontId="0" fillId="0" borderId="0" xfId="0" applyNumberFormat="1" applyFill="1" applyBorder="1"/>
    <xf numFmtId="166" fontId="8" fillId="12" borderId="38" xfId="1" applyNumberFormat="1" applyFont="1" applyFill="1" applyBorder="1"/>
    <xf numFmtId="9" fontId="8" fillId="0" borderId="0" xfId="0" applyNumberFormat="1" applyFont="1" applyBorder="1"/>
    <xf numFmtId="166" fontId="8" fillId="12" borderId="0" xfId="1" applyNumberFormat="1" applyFont="1" applyFill="1" applyBorder="1"/>
    <xf numFmtId="166" fontId="8" fillId="0" borderId="0" xfId="1" applyNumberFormat="1" applyFont="1" applyBorder="1"/>
    <xf numFmtId="165" fontId="8" fillId="0" borderId="38" xfId="0" applyNumberFormat="1" applyFont="1" applyBorder="1"/>
    <xf numFmtId="0" fontId="8" fillId="0" borderId="0" xfId="0" applyFont="1" applyBorder="1"/>
    <xf numFmtId="166" fontId="8" fillId="0" borderId="0" xfId="1" applyNumberFormat="1" applyFont="1" applyFill="1" applyBorder="1"/>
    <xf numFmtId="166" fontId="8" fillId="0" borderId="53" xfId="1" applyNumberFormat="1" applyFont="1" applyBorder="1"/>
    <xf numFmtId="0" fontId="8" fillId="0" borderId="38" xfId="0" applyFont="1" applyBorder="1"/>
    <xf numFmtId="166" fontId="0" fillId="8" borderId="26" xfId="0" applyNumberFormat="1" applyFill="1" applyBorder="1"/>
    <xf numFmtId="0" fontId="3" fillId="18" borderId="0" xfId="0" applyFont="1" applyFill="1" applyBorder="1" applyAlignment="1">
      <alignment horizontal="center"/>
    </xf>
    <xf numFmtId="0" fontId="3" fillId="18" borderId="0" xfId="0" applyFont="1" applyFill="1" applyBorder="1"/>
    <xf numFmtId="0" fontId="4" fillId="0" borderId="1" xfId="0" applyFont="1" applyBorder="1" applyAlignment="1">
      <alignment vertical="top"/>
    </xf>
    <xf numFmtId="0" fontId="4" fillId="0" borderId="1" xfId="0" applyFont="1" applyBorder="1" applyAlignment="1">
      <alignment vertical="top" wrapText="1"/>
    </xf>
    <xf numFmtId="0" fontId="10" fillId="0" borderId="1" xfId="0" applyFont="1" applyBorder="1" applyAlignment="1">
      <alignment horizontal="center" vertical="top" wrapText="1"/>
    </xf>
    <xf numFmtId="1" fontId="0" fillId="0" borderId="1" xfId="0" applyNumberFormat="1" applyBorder="1"/>
    <xf numFmtId="165" fontId="0" fillId="0" borderId="1" xfId="0" applyNumberFormat="1" applyBorder="1"/>
    <xf numFmtId="0" fontId="10" fillId="19" borderId="1" xfId="0" applyFont="1" applyFill="1" applyBorder="1" applyAlignment="1">
      <alignment vertical="top"/>
    </xf>
    <xf numFmtId="165" fontId="0" fillId="19" borderId="1" xfId="0" applyNumberFormat="1" applyFill="1" applyBorder="1"/>
    <xf numFmtId="0" fontId="10" fillId="20" borderId="1" xfId="0" applyFont="1" applyFill="1" applyBorder="1" applyAlignment="1">
      <alignment vertical="top"/>
    </xf>
    <xf numFmtId="0" fontId="10" fillId="20" borderId="1" xfId="0" applyFont="1" applyFill="1" applyBorder="1" applyAlignment="1">
      <alignment vertical="top" wrapText="1"/>
    </xf>
    <xf numFmtId="0" fontId="0" fillId="20" borderId="1" xfId="0" applyFill="1" applyBorder="1"/>
    <xf numFmtId="0" fontId="10" fillId="21" borderId="1" xfId="0" applyFont="1" applyFill="1" applyBorder="1" applyAlignment="1">
      <alignment vertical="top"/>
    </xf>
    <xf numFmtId="1" fontId="0" fillId="21" borderId="1" xfId="0" applyNumberFormat="1" applyFill="1" applyBorder="1"/>
    <xf numFmtId="0" fontId="10" fillId="21" borderId="1" xfId="0" applyFont="1" applyFill="1" applyBorder="1" applyAlignment="1">
      <alignment vertical="top" wrapText="1"/>
    </xf>
    <xf numFmtId="0" fontId="0" fillId="0" borderId="1" xfId="0" applyBorder="1" applyAlignment="1">
      <alignment horizontal="center" vertical="top" wrapText="1"/>
    </xf>
    <xf numFmtId="0" fontId="7" fillId="2" borderId="4" xfId="0" applyFont="1" applyFill="1" applyBorder="1" applyAlignment="1">
      <alignment horizontal="center"/>
    </xf>
    <xf numFmtId="172" fontId="0" fillId="0" borderId="0" xfId="0" applyNumberFormat="1"/>
    <xf numFmtId="0" fontId="25" fillId="16" borderId="0" xfId="0" applyFont="1" applyFill="1" applyBorder="1" applyAlignment="1">
      <alignment wrapText="1"/>
    </xf>
    <xf numFmtId="0" fontId="19" fillId="16" borderId="66" xfId="0" applyFont="1" applyFill="1" applyBorder="1" applyAlignment="1">
      <alignment horizontal="center" vertical="center" wrapText="1"/>
    </xf>
    <xf numFmtId="0" fontId="19" fillId="16" borderId="67" xfId="0" applyFont="1" applyFill="1" applyBorder="1" applyAlignment="1">
      <alignment horizontal="center" wrapText="1"/>
    </xf>
    <xf numFmtId="0" fontId="19" fillId="16" borderId="68" xfId="0" applyFont="1" applyFill="1" applyBorder="1" applyAlignment="1">
      <alignment horizontal="center" vertical="center" wrapText="1"/>
    </xf>
    <xf numFmtId="0" fontId="19" fillId="16" borderId="69" xfId="0" applyFont="1" applyFill="1" applyBorder="1" applyAlignment="1">
      <alignment horizontal="center" vertical="center" wrapText="1"/>
    </xf>
    <xf numFmtId="0" fontId="19" fillId="16" borderId="0" xfId="0" applyFont="1" applyFill="1" applyBorder="1" applyAlignment="1">
      <alignment horizontal="center" vertical="center" wrapText="1"/>
    </xf>
    <xf numFmtId="173" fontId="0" fillId="0" borderId="0" xfId="0" applyNumberFormat="1"/>
    <xf numFmtId="174" fontId="0" fillId="0" borderId="0" xfId="0" applyNumberFormat="1"/>
    <xf numFmtId="0" fontId="0" fillId="0" borderId="30" xfId="0" applyBorder="1"/>
    <xf numFmtId="0" fontId="0" fillId="0" borderId="38" xfId="0" applyBorder="1"/>
    <xf numFmtId="0" fontId="19" fillId="16" borderId="71" xfId="0" applyFont="1" applyFill="1" applyBorder="1" applyAlignment="1">
      <alignment horizontal="center" vertical="center" wrapText="1"/>
    </xf>
    <xf numFmtId="173" fontId="0" fillId="0" borderId="0" xfId="0" applyNumberFormat="1" applyBorder="1"/>
    <xf numFmtId="0" fontId="0" fillId="0" borderId="38" xfId="0" applyBorder="1" applyAlignment="1">
      <alignment horizontal="center" vertical="center" wrapText="1"/>
    </xf>
    <xf numFmtId="0" fontId="0" fillId="0" borderId="31" xfId="0" applyBorder="1"/>
    <xf numFmtId="0" fontId="0" fillId="12" borderId="27" xfId="0" applyFill="1" applyBorder="1"/>
    <xf numFmtId="0" fontId="19" fillId="0" borderId="58" xfId="0" applyFont="1" applyBorder="1" applyAlignment="1">
      <alignment vertical="center"/>
    </xf>
    <xf numFmtId="0" fontId="19" fillId="12" borderId="20" xfId="0" applyFont="1" applyFill="1" applyBorder="1" applyAlignment="1">
      <alignment horizontal="center" vertical="center" wrapText="1"/>
    </xf>
    <xf numFmtId="0" fontId="19" fillId="12" borderId="45" xfId="0" applyFont="1" applyFill="1" applyBorder="1" applyAlignment="1">
      <alignment horizontal="center" vertical="center"/>
    </xf>
    <xf numFmtId="0" fontId="19" fillId="12" borderId="55" xfId="0" applyFont="1" applyFill="1" applyBorder="1" applyAlignment="1">
      <alignment horizontal="center" vertical="center" wrapText="1"/>
    </xf>
    <xf numFmtId="0" fontId="19" fillId="12" borderId="45" xfId="0" applyFont="1" applyFill="1" applyBorder="1" applyAlignment="1">
      <alignment horizontal="center" vertical="center" wrapText="1"/>
    </xf>
    <xf numFmtId="0" fontId="19" fillId="12" borderId="45" xfId="0" applyFont="1" applyFill="1" applyBorder="1" applyAlignment="1">
      <alignment vertical="center"/>
    </xf>
    <xf numFmtId="0" fontId="19" fillId="0" borderId="1" xfId="0" applyFont="1" applyBorder="1" applyAlignment="1">
      <alignment vertical="center"/>
    </xf>
    <xf numFmtId="0" fontId="19" fillId="12" borderId="1" xfId="0" applyFont="1" applyFill="1" applyBorder="1" applyAlignment="1">
      <alignment horizontal="center" vertical="center" wrapText="1"/>
    </xf>
    <xf numFmtId="0" fontId="19" fillId="12" borderId="1" xfId="0" applyFont="1" applyFill="1" applyBorder="1" applyAlignment="1">
      <alignment horizontal="center" vertical="center"/>
    </xf>
    <xf numFmtId="0" fontId="19" fillId="12" borderId="1" xfId="0" applyFont="1" applyFill="1" applyBorder="1" applyAlignment="1">
      <alignment vertical="center"/>
    </xf>
    <xf numFmtId="0" fontId="19" fillId="0" borderId="1" xfId="0" applyFont="1" applyBorder="1" applyAlignment="1">
      <alignment horizontal="center" vertical="center" wrapText="1"/>
    </xf>
    <xf numFmtId="0" fontId="19" fillId="0" borderId="45" xfId="0" applyFont="1" applyBorder="1" applyAlignment="1">
      <alignment vertical="center"/>
    </xf>
    <xf numFmtId="0" fontId="19" fillId="12" borderId="18" xfId="0" applyFont="1" applyFill="1" applyBorder="1" applyAlignment="1">
      <alignment horizontal="center" vertical="center" wrapText="1"/>
    </xf>
    <xf numFmtId="0" fontId="19" fillId="12" borderId="12" xfId="0" applyFont="1" applyFill="1" applyBorder="1" applyAlignment="1">
      <alignment horizontal="center" vertical="center" wrapText="1"/>
    </xf>
    <xf numFmtId="0" fontId="19" fillId="12" borderId="28" xfId="0" applyFont="1" applyFill="1" applyBorder="1" applyAlignment="1">
      <alignment horizontal="center" vertical="center" wrapText="1"/>
    </xf>
    <xf numFmtId="0" fontId="19" fillId="0" borderId="46" xfId="0" applyFont="1" applyBorder="1" applyAlignment="1">
      <alignment horizontal="center" vertical="center" wrapText="1"/>
    </xf>
    <xf numFmtId="0" fontId="19" fillId="0" borderId="28" xfId="0" applyFont="1" applyBorder="1" applyAlignment="1">
      <alignment horizontal="center" vertical="center" wrapText="1"/>
    </xf>
    <xf numFmtId="166" fontId="0" fillId="12" borderId="56" xfId="0" applyNumberFormat="1" applyFill="1" applyBorder="1"/>
    <xf numFmtId="0" fontId="0" fillId="12" borderId="41" xfId="0" applyFill="1" applyBorder="1"/>
    <xf numFmtId="9" fontId="19" fillId="12" borderId="1" xfId="0" applyNumberFormat="1" applyFont="1" applyFill="1" applyBorder="1" applyAlignment="1">
      <alignment horizontal="center" vertical="center" wrapText="1"/>
    </xf>
    <xf numFmtId="0" fontId="19" fillId="7" borderId="47" xfId="0" applyFont="1" applyFill="1" applyBorder="1" applyAlignment="1">
      <alignment horizontal="center" vertical="center" wrapText="1"/>
    </xf>
    <xf numFmtId="0" fontId="4" fillId="0" borderId="0" xfId="0" applyFont="1"/>
    <xf numFmtId="165" fontId="4" fillId="0" borderId="0" xfId="0" applyNumberFormat="1" applyFont="1" applyAlignment="1">
      <alignment horizontal="center"/>
    </xf>
    <xf numFmtId="0" fontId="4" fillId="0" borderId="0" xfId="0" applyNumberFormat="1" applyFont="1" applyAlignment="1">
      <alignment horizontal="center"/>
    </xf>
    <xf numFmtId="0" fontId="4" fillId="0" borderId="0" xfId="0" applyFont="1" applyBorder="1" applyAlignment="1">
      <alignment horizontal="center"/>
    </xf>
    <xf numFmtId="0" fontId="4" fillId="0" borderId="0" xfId="0" applyNumberFormat="1" applyFont="1" applyBorder="1" applyAlignment="1">
      <alignment horizontal="center"/>
    </xf>
    <xf numFmtId="0" fontId="4" fillId="0" borderId="24" xfId="0" applyNumberFormat="1" applyFont="1" applyBorder="1" applyAlignment="1">
      <alignment horizontal="center"/>
    </xf>
    <xf numFmtId="4" fontId="4" fillId="0" borderId="0" xfId="0" applyNumberFormat="1" applyFont="1" applyFill="1" applyBorder="1" applyAlignment="1">
      <alignment horizontal="center"/>
    </xf>
    <xf numFmtId="0" fontId="4" fillId="0" borderId="4" xfId="0" applyNumberFormat="1" applyFont="1" applyBorder="1" applyAlignment="1">
      <alignment horizontal="center"/>
    </xf>
    <xf numFmtId="0" fontId="10" fillId="0" borderId="0" xfId="0" applyFont="1" applyAlignment="1">
      <alignment horizontal="center"/>
    </xf>
    <xf numFmtId="0" fontId="10" fillId="0" borderId="0" xfId="0" applyNumberFormat="1" applyFont="1" applyAlignment="1">
      <alignment horizontal="center"/>
    </xf>
    <xf numFmtId="0" fontId="10" fillId="0" borderId="14" xfId="0" applyNumberFormat="1" applyFont="1" applyBorder="1" applyAlignment="1">
      <alignment horizontal="center"/>
    </xf>
    <xf numFmtId="0" fontId="10" fillId="0" borderId="0" xfId="0" applyNumberFormat="1" applyFont="1" applyBorder="1" applyAlignment="1">
      <alignment horizontal="center"/>
    </xf>
    <xf numFmtId="0" fontId="11" fillId="3" borderId="5" xfId="0" applyNumberFormat="1" applyFont="1" applyFill="1" applyBorder="1" applyAlignment="1">
      <alignment horizontal="center" wrapText="1"/>
    </xf>
    <xf numFmtId="0" fontId="4" fillId="0" borderId="0" xfId="0" applyFont="1" applyAlignment="1">
      <alignment wrapText="1"/>
    </xf>
    <xf numFmtId="0" fontId="31" fillId="0" borderId="0" xfId="0" applyFont="1" applyBorder="1" applyAlignment="1">
      <alignment horizontal="center"/>
    </xf>
    <xf numFmtId="165" fontId="31" fillId="10" borderId="1" xfId="1" applyFont="1" applyFill="1" applyBorder="1" applyAlignment="1">
      <alignment horizontal="center"/>
    </xf>
    <xf numFmtId="165" fontId="16" fillId="16" borderId="4" xfId="1" applyFont="1" applyFill="1" applyBorder="1" applyAlignment="1">
      <alignment horizontal="center"/>
    </xf>
    <xf numFmtId="0" fontId="16" fillId="0" borderId="0" xfId="0" applyNumberFormat="1" applyFont="1" applyBorder="1" applyAlignment="1">
      <alignment horizontal="center"/>
    </xf>
    <xf numFmtId="0" fontId="16" fillId="0" borderId="1" xfId="0" applyNumberFormat="1" applyFont="1" applyBorder="1" applyAlignment="1">
      <alignment horizontal="center"/>
    </xf>
    <xf numFmtId="0" fontId="16" fillId="0" borderId="14" xfId="0" applyNumberFormat="1" applyFont="1" applyBorder="1" applyAlignment="1">
      <alignment horizontal="center"/>
    </xf>
    <xf numFmtId="0" fontId="16" fillId="0" borderId="25" xfId="0" applyNumberFormat="1" applyFont="1" applyBorder="1" applyAlignment="1">
      <alignment horizontal="center"/>
    </xf>
    <xf numFmtId="0" fontId="4" fillId="0" borderId="26" xfId="0" applyNumberFormat="1" applyFont="1" applyBorder="1" applyAlignment="1">
      <alignment horizontal="center"/>
    </xf>
    <xf numFmtId="0" fontId="11" fillId="0" borderId="0" xfId="0" applyNumberFormat="1" applyFont="1" applyBorder="1" applyAlignment="1">
      <alignment horizontal="center"/>
    </xf>
    <xf numFmtId="0" fontId="32" fillId="9" borderId="0" xfId="0" applyNumberFormat="1" applyFont="1" applyFill="1" applyBorder="1" applyAlignment="1">
      <alignment horizontal="center"/>
    </xf>
    <xf numFmtId="0" fontId="11" fillId="3" borderId="24" xfId="0" applyNumberFormat="1" applyFont="1" applyFill="1" applyBorder="1" applyAlignment="1">
      <alignment horizontal="center"/>
    </xf>
    <xf numFmtId="165" fontId="16" fillId="10" borderId="1" xfId="1" applyFont="1" applyFill="1" applyBorder="1" applyAlignment="1">
      <alignment horizontal="center"/>
    </xf>
    <xf numFmtId="165" fontId="16" fillId="10" borderId="5" xfId="1" applyFont="1" applyFill="1" applyBorder="1" applyAlignment="1">
      <alignment horizontal="center"/>
    </xf>
    <xf numFmtId="165" fontId="16" fillId="0" borderId="1" xfId="1" applyFont="1" applyBorder="1" applyAlignment="1">
      <alignment horizontal="center"/>
    </xf>
    <xf numFmtId="165" fontId="16" fillId="0" borderId="22" xfId="1" applyFont="1" applyBorder="1" applyAlignment="1">
      <alignment horizontal="center"/>
    </xf>
    <xf numFmtId="165" fontId="16" fillId="16" borderId="1" xfId="1" applyFont="1" applyFill="1" applyBorder="1" applyAlignment="1">
      <alignment horizontal="center"/>
    </xf>
    <xf numFmtId="165" fontId="16" fillId="16" borderId="23" xfId="1" applyFont="1" applyFill="1" applyBorder="1" applyAlignment="1">
      <alignment horizontal="center"/>
    </xf>
    <xf numFmtId="0" fontId="16" fillId="0" borderId="1" xfId="1" applyNumberFormat="1" applyFont="1" applyFill="1" applyBorder="1" applyAlignment="1">
      <alignment horizontal="center"/>
    </xf>
    <xf numFmtId="0" fontId="16" fillId="0" borderId="1" xfId="1" applyNumberFormat="1" applyFont="1" applyBorder="1" applyAlignment="1">
      <alignment horizontal="center"/>
    </xf>
    <xf numFmtId="0" fontId="16" fillId="0" borderId="23" xfId="1" applyNumberFormat="1" applyFont="1" applyFill="1" applyBorder="1" applyAlignment="1">
      <alignment horizontal="center"/>
    </xf>
    <xf numFmtId="0" fontId="16" fillId="0" borderId="22" xfId="1" applyNumberFormat="1" applyFont="1" applyBorder="1" applyAlignment="1">
      <alignment horizontal="center"/>
    </xf>
    <xf numFmtId="0" fontId="16" fillId="0" borderId="5" xfId="1" applyNumberFormat="1" applyFont="1" applyBorder="1" applyAlignment="1">
      <alignment horizontal="center"/>
    </xf>
    <xf numFmtId="0" fontId="11" fillId="0" borderId="1" xfId="1" applyNumberFormat="1" applyFont="1" applyBorder="1" applyAlignment="1">
      <alignment horizontal="center"/>
    </xf>
    <xf numFmtId="0" fontId="11" fillId="0" borderId="5" xfId="1" applyNumberFormat="1" applyFont="1" applyBorder="1" applyAlignment="1">
      <alignment horizontal="center"/>
    </xf>
    <xf numFmtId="165" fontId="11" fillId="9" borderId="1" xfId="1" applyNumberFormat="1" applyFont="1" applyFill="1" applyBorder="1" applyAlignment="1">
      <alignment horizontal="center"/>
    </xf>
    <xf numFmtId="0" fontId="11" fillId="9" borderId="23" xfId="1" applyNumberFormat="1" applyFont="1" applyFill="1" applyBorder="1" applyAlignment="1">
      <alignment horizontal="center"/>
    </xf>
    <xf numFmtId="169" fontId="11" fillId="0" borderId="1" xfId="0" applyNumberFormat="1" applyFont="1" applyFill="1" applyBorder="1" applyAlignment="1">
      <alignment horizontal="center"/>
    </xf>
    <xf numFmtId="0" fontId="11" fillId="11" borderId="5" xfId="1" applyNumberFormat="1" applyFont="1" applyFill="1" applyBorder="1" applyAlignment="1">
      <alignment horizontal="center"/>
    </xf>
    <xf numFmtId="165" fontId="16" fillId="0" borderId="1" xfId="1" applyFont="1" applyFill="1" applyBorder="1" applyAlignment="1">
      <alignment horizontal="center"/>
    </xf>
    <xf numFmtId="0" fontId="11" fillId="0" borderId="1" xfId="1" applyNumberFormat="1" applyFont="1" applyFill="1" applyBorder="1" applyAlignment="1">
      <alignment horizontal="center"/>
    </xf>
    <xf numFmtId="1" fontId="11" fillId="17" borderId="1" xfId="1" applyNumberFormat="1" applyFont="1" applyFill="1" applyBorder="1" applyAlignment="1">
      <alignment horizontal="center"/>
    </xf>
    <xf numFmtId="0" fontId="4" fillId="0" borderId="0" xfId="0" applyFont="1" applyFill="1"/>
    <xf numFmtId="166" fontId="16" fillId="10" borderId="1" xfId="1" applyNumberFormat="1" applyFont="1" applyFill="1" applyBorder="1" applyAlignment="1">
      <alignment horizontal="center"/>
    </xf>
    <xf numFmtId="166" fontId="16" fillId="0" borderId="22" xfId="1" applyNumberFormat="1" applyFont="1" applyBorder="1" applyAlignment="1">
      <alignment horizontal="center"/>
    </xf>
    <xf numFmtId="0" fontId="11" fillId="0" borderId="4" xfId="1" applyNumberFormat="1" applyFont="1" applyBorder="1" applyAlignment="1">
      <alignment horizontal="center"/>
    </xf>
    <xf numFmtId="0" fontId="11" fillId="0" borderId="22" xfId="1" applyNumberFormat="1" applyFont="1" applyFill="1" applyBorder="1" applyAlignment="1">
      <alignment horizontal="center"/>
    </xf>
    <xf numFmtId="0" fontId="11" fillId="0" borderId="22" xfId="1" applyNumberFormat="1" applyFont="1" applyBorder="1" applyAlignment="1">
      <alignment horizontal="center"/>
    </xf>
    <xf numFmtId="0" fontId="35" fillId="5" borderId="64" xfId="0" applyFont="1" applyFill="1" applyBorder="1" applyAlignment="1">
      <alignment horizontal="center"/>
    </xf>
    <xf numFmtId="0" fontId="35" fillId="22" borderId="29" xfId="0" applyFont="1" applyFill="1" applyBorder="1" applyAlignment="1">
      <alignment horizontal="center"/>
    </xf>
    <xf numFmtId="0" fontId="11" fillId="2" borderId="1" xfId="1" applyNumberFormat="1" applyFont="1" applyFill="1" applyBorder="1" applyAlignment="1">
      <alignment horizontal="center"/>
    </xf>
    <xf numFmtId="0" fontId="10" fillId="0" borderId="24" xfId="0" applyNumberFormat="1" applyFont="1" applyBorder="1" applyAlignment="1">
      <alignment horizontal="center"/>
    </xf>
    <xf numFmtId="0" fontId="16" fillId="0" borderId="4" xfId="1" applyNumberFormat="1" applyFont="1" applyFill="1" applyBorder="1" applyAlignment="1">
      <alignment horizontal="center"/>
    </xf>
    <xf numFmtId="0" fontId="4" fillId="0" borderId="28" xfId="0" applyNumberFormat="1" applyFont="1" applyFill="1" applyBorder="1" applyAlignment="1">
      <alignment horizontal="center"/>
    </xf>
    <xf numFmtId="0" fontId="16" fillId="0" borderId="11" xfId="1" applyNumberFormat="1" applyFont="1" applyFill="1" applyBorder="1" applyAlignment="1">
      <alignment horizontal="center"/>
    </xf>
    <xf numFmtId="0" fontId="10" fillId="8" borderId="30" xfId="0" applyNumberFormat="1" applyFont="1" applyFill="1" applyBorder="1" applyAlignment="1">
      <alignment horizontal="center"/>
    </xf>
    <xf numFmtId="0" fontId="10" fillId="8" borderId="0" xfId="0" applyFont="1" applyFill="1"/>
    <xf numFmtId="0" fontId="33" fillId="0" borderId="0" xfId="0" applyNumberFormat="1" applyFont="1" applyFill="1" applyBorder="1" applyAlignment="1">
      <alignment horizontal="center"/>
    </xf>
    <xf numFmtId="4" fontId="4" fillId="0" borderId="0" xfId="0" applyNumberFormat="1" applyFont="1" applyAlignment="1">
      <alignment horizontal="center"/>
    </xf>
    <xf numFmtId="9" fontId="4" fillId="0" borderId="0" xfId="6" applyFont="1" applyAlignment="1">
      <alignment horizontal="center"/>
    </xf>
    <xf numFmtId="165" fontId="4" fillId="0" borderId="0" xfId="1" applyFont="1" applyAlignment="1">
      <alignment horizontal="center"/>
    </xf>
    <xf numFmtId="14" fontId="0" fillId="0" borderId="65" xfId="0" applyNumberFormat="1" applyBorder="1" applyAlignment="1">
      <alignment horizontal="center"/>
    </xf>
    <xf numFmtId="0" fontId="0" fillId="0" borderId="53" xfId="0" applyBorder="1"/>
    <xf numFmtId="0" fontId="0" fillId="0" borderId="1" xfId="0" applyBorder="1" applyAlignment="1">
      <alignment horizontal="center"/>
    </xf>
    <xf numFmtId="15" fontId="6" fillId="0" borderId="1" xfId="0" applyNumberFormat="1" applyFont="1" applyFill="1" applyBorder="1" applyAlignment="1">
      <alignment horizontal="center"/>
    </xf>
    <xf numFmtId="0" fontId="3" fillId="7" borderId="1" xfId="0" applyFont="1" applyFill="1" applyBorder="1" applyAlignment="1">
      <alignment horizontal="center"/>
    </xf>
    <xf numFmtId="0" fontId="25" fillId="24" borderId="1" xfId="4" applyFont="1" applyFill="1" applyBorder="1" applyAlignment="1">
      <alignment horizontal="center"/>
    </xf>
    <xf numFmtId="0" fontId="25" fillId="0" borderId="1" xfId="4" applyFont="1" applyBorder="1" applyAlignment="1">
      <alignment horizontal="center"/>
    </xf>
    <xf numFmtId="0" fontId="21" fillId="8" borderId="1" xfId="0" applyFont="1" applyFill="1" applyBorder="1"/>
    <xf numFmtId="165" fontId="38" fillId="8" borderId="1" xfId="1" applyNumberFormat="1" applyFont="1" applyFill="1" applyBorder="1"/>
    <xf numFmtId="166" fontId="38" fillId="8" borderId="5" xfId="1" applyNumberFormat="1" applyFont="1" applyFill="1" applyBorder="1"/>
    <xf numFmtId="166" fontId="3" fillId="11" borderId="5" xfId="1" applyNumberFormat="1" applyFont="1" applyFill="1" applyBorder="1"/>
    <xf numFmtId="0" fontId="0" fillId="0" borderId="48" xfId="0" applyBorder="1"/>
    <xf numFmtId="0" fontId="0" fillId="7" borderId="5" xfId="0" applyFill="1" applyBorder="1"/>
    <xf numFmtId="0" fontId="0" fillId="13" borderId="22" xfId="0" applyFill="1" applyBorder="1"/>
    <xf numFmtId="0" fontId="19" fillId="7" borderId="15" xfId="4" applyFont="1" applyFill="1" applyBorder="1" applyAlignment="1">
      <alignment horizontal="center"/>
    </xf>
    <xf numFmtId="0" fontId="19" fillId="7" borderId="14" xfId="4" applyFont="1" applyFill="1" applyBorder="1" applyAlignment="1">
      <alignment horizontal="center"/>
    </xf>
    <xf numFmtId="0" fontId="19" fillId="7" borderId="78" xfId="4" applyFont="1" applyFill="1" applyBorder="1" applyAlignment="1">
      <alignment horizontal="center"/>
    </xf>
    <xf numFmtId="166" fontId="39" fillId="8" borderId="1" xfId="0" applyNumberFormat="1" applyFont="1" applyFill="1" applyBorder="1"/>
    <xf numFmtId="0" fontId="19" fillId="7" borderId="79" xfId="4" applyFont="1" applyFill="1" applyBorder="1" applyAlignment="1">
      <alignment horizontal="center"/>
    </xf>
    <xf numFmtId="0" fontId="19" fillId="7" borderId="80" xfId="4" applyFont="1" applyFill="1" applyBorder="1" applyAlignment="1">
      <alignment horizontal="center"/>
    </xf>
    <xf numFmtId="166" fontId="36" fillId="0" borderId="1" xfId="2" applyNumberFormat="1" applyFont="1" applyFill="1" applyBorder="1" applyAlignment="1">
      <alignment horizontal="center"/>
    </xf>
    <xf numFmtId="169" fontId="5" fillId="0" borderId="26" xfId="0" applyNumberFormat="1" applyFont="1" applyFill="1" applyBorder="1" applyAlignment="1">
      <alignment horizontal="center"/>
    </xf>
    <xf numFmtId="0" fontId="23" fillId="0" borderId="32" xfId="0" applyFont="1" applyFill="1" applyBorder="1" applyAlignment="1">
      <alignment horizontal="center" vertical="center"/>
    </xf>
    <xf numFmtId="14" fontId="0" fillId="0" borderId="54" xfId="0" applyNumberFormat="1" applyBorder="1" applyAlignment="1">
      <alignment horizontal="center"/>
    </xf>
    <xf numFmtId="14" fontId="0" fillId="0" borderId="81" xfId="0" applyNumberFormat="1" applyBorder="1" applyAlignment="1">
      <alignment horizontal="center"/>
    </xf>
    <xf numFmtId="0" fontId="0" fillId="28" borderId="8" xfId="0" applyFill="1" applyBorder="1" applyAlignment="1">
      <alignment horizontal="center" wrapText="1"/>
    </xf>
    <xf numFmtId="165" fontId="0" fillId="29" borderId="26" xfId="0" applyNumberFormat="1" applyFill="1" applyBorder="1"/>
    <xf numFmtId="0" fontId="4" fillId="0" borderId="1" xfId="0" applyFont="1" applyBorder="1" applyAlignment="1"/>
    <xf numFmtId="0" fontId="6" fillId="29" borderId="1" xfId="0" applyFont="1" applyFill="1" applyBorder="1" applyAlignment="1">
      <alignment horizontal="center"/>
    </xf>
    <xf numFmtId="0" fontId="6" fillId="29" borderId="22" xfId="0" applyFont="1" applyFill="1" applyBorder="1"/>
    <xf numFmtId="1" fontId="6" fillId="29" borderId="1" xfId="1" applyNumberFormat="1" applyFont="1" applyFill="1" applyBorder="1"/>
    <xf numFmtId="0" fontId="42" fillId="0" borderId="1" xfId="0" applyFont="1" applyBorder="1" applyAlignment="1"/>
    <xf numFmtId="1" fontId="37" fillId="0" borderId="1" xfId="0" applyNumberFormat="1" applyFont="1" applyBorder="1"/>
    <xf numFmtId="14" fontId="4" fillId="0" borderId="1" xfId="0" applyNumberFormat="1" applyFont="1" applyBorder="1" applyAlignment="1">
      <alignment vertical="top"/>
    </xf>
    <xf numFmtId="0" fontId="0" fillId="9" borderId="1" xfId="0" applyFill="1" applyBorder="1"/>
    <xf numFmtId="0" fontId="0" fillId="16" borderId="1" xfId="0" applyFill="1" applyBorder="1" applyAlignment="1">
      <alignment horizontal="center"/>
    </xf>
    <xf numFmtId="165" fontId="15" fillId="11" borderId="22" xfId="1" applyNumberFormat="1" applyFont="1" applyFill="1" applyBorder="1" applyAlignment="1">
      <alignment horizontal="center"/>
    </xf>
    <xf numFmtId="0" fontId="11" fillId="3" borderId="22" xfId="0" applyNumberFormat="1" applyFont="1" applyFill="1" applyBorder="1" applyAlignment="1">
      <alignment horizontal="center" wrapText="1"/>
    </xf>
    <xf numFmtId="0" fontId="4" fillId="0" borderId="1" xfId="0" applyFont="1" applyFill="1" applyBorder="1"/>
    <xf numFmtId="0" fontId="0" fillId="9" borderId="0" xfId="0" applyFill="1" applyBorder="1"/>
    <xf numFmtId="0" fontId="9" fillId="9" borderId="0" xfId="0" applyFont="1" applyFill="1" applyBorder="1"/>
    <xf numFmtId="0" fontId="0" fillId="34" borderId="1" xfId="0" applyFill="1" applyBorder="1"/>
    <xf numFmtId="0" fontId="0" fillId="0" borderId="35" xfId="0" applyBorder="1"/>
    <xf numFmtId="14" fontId="0" fillId="16" borderId="0" xfId="0" applyNumberFormat="1" applyFill="1" applyBorder="1"/>
    <xf numFmtId="166" fontId="0" fillId="16" borderId="0" xfId="1" applyNumberFormat="1" applyFont="1" applyFill="1" applyBorder="1"/>
    <xf numFmtId="9" fontId="0" fillId="16" borderId="0" xfId="0" applyNumberFormat="1" applyFill="1" applyBorder="1"/>
    <xf numFmtId="165" fontId="0" fillId="16" borderId="0" xfId="0" applyNumberFormat="1" applyFill="1" applyBorder="1"/>
    <xf numFmtId="0" fontId="0" fillId="16" borderId="0" xfId="0" applyFill="1" applyBorder="1"/>
    <xf numFmtId="165" fontId="34" fillId="7" borderId="1" xfId="0" applyNumberFormat="1" applyFont="1" applyFill="1" applyBorder="1" applyAlignment="1">
      <alignment horizontal="center"/>
    </xf>
    <xf numFmtId="0" fontId="19" fillId="12" borderId="2" xfId="0" applyFont="1" applyFill="1" applyBorder="1" applyAlignment="1">
      <alignment horizontal="center" vertical="center" wrapText="1"/>
    </xf>
    <xf numFmtId="0" fontId="19" fillId="12" borderId="38" xfId="0" applyFont="1" applyFill="1" applyBorder="1" applyAlignment="1">
      <alignment vertical="center" wrapText="1"/>
    </xf>
    <xf numFmtId="0" fontId="19" fillId="12" borderId="38" xfId="0" applyFont="1" applyFill="1" applyBorder="1" applyAlignment="1">
      <alignment horizontal="center" vertical="center" wrapText="1"/>
    </xf>
    <xf numFmtId="0" fontId="19" fillId="12" borderId="31" xfId="0" applyFont="1" applyFill="1" applyBorder="1" applyAlignment="1">
      <alignment horizontal="center"/>
    </xf>
    <xf numFmtId="0" fontId="19" fillId="12" borderId="60" xfId="0" applyFont="1" applyFill="1" applyBorder="1" applyAlignment="1">
      <alignment horizontal="center" vertical="center" wrapText="1"/>
    </xf>
    <xf numFmtId="0" fontId="19" fillId="12" borderId="61" xfId="0" applyFont="1" applyFill="1" applyBorder="1" applyAlignment="1">
      <alignment horizontal="center" vertical="center" wrapText="1"/>
    </xf>
    <xf numFmtId="0" fontId="19" fillId="12" borderId="62" xfId="0" applyFont="1" applyFill="1" applyBorder="1" applyAlignment="1">
      <alignment horizontal="center" vertical="center" wrapText="1"/>
    </xf>
    <xf numFmtId="0" fontId="19" fillId="12" borderId="59" xfId="0" applyFont="1" applyFill="1" applyBorder="1" applyAlignment="1">
      <alignment horizontal="center" vertical="center" wrapText="1"/>
    </xf>
    <xf numFmtId="0" fontId="19" fillId="7" borderId="90" xfId="4" applyFont="1" applyFill="1" applyBorder="1" applyAlignment="1">
      <alignment horizontal="center"/>
    </xf>
    <xf numFmtId="0" fontId="19" fillId="7" borderId="26" xfId="4" applyFont="1" applyFill="1" applyBorder="1" applyAlignment="1">
      <alignment horizontal="center"/>
    </xf>
    <xf numFmtId="0" fontId="0" fillId="13" borderId="25" xfId="0" applyFill="1" applyBorder="1"/>
    <xf numFmtId="169" fontId="3" fillId="7" borderId="40" xfId="0" applyNumberFormat="1" applyFont="1" applyFill="1" applyBorder="1" applyAlignment="1">
      <alignment horizontal="center"/>
    </xf>
    <xf numFmtId="0" fontId="7" fillId="2" borderId="4" xfId="0" applyFont="1" applyFill="1" applyBorder="1" applyAlignment="1">
      <alignment horizontal="right" vertical="center"/>
    </xf>
    <xf numFmtId="165" fontId="0" fillId="11" borderId="1" xfId="0" applyNumberFormat="1" applyFill="1" applyBorder="1"/>
    <xf numFmtId="9" fontId="0" fillId="20" borderId="1" xfId="0" applyNumberFormat="1" applyFill="1" applyBorder="1"/>
    <xf numFmtId="165" fontId="16" fillId="16" borderId="12" xfId="1" applyFont="1" applyFill="1" applyBorder="1" applyAlignment="1">
      <alignment horizontal="center"/>
    </xf>
    <xf numFmtId="165" fontId="16" fillId="16" borderId="22" xfId="1" applyFont="1" applyFill="1" applyBorder="1" applyAlignment="1">
      <alignment horizontal="center"/>
    </xf>
    <xf numFmtId="165" fontId="16" fillId="0" borderId="57" xfId="1" applyFont="1" applyBorder="1" applyAlignment="1">
      <alignment horizontal="center"/>
    </xf>
    <xf numFmtId="165" fontId="16" fillId="0" borderId="91" xfId="1" applyFont="1" applyBorder="1" applyAlignment="1">
      <alignment horizontal="center"/>
    </xf>
    <xf numFmtId="9" fontId="20" fillId="0" borderId="1" xfId="6" applyFont="1" applyBorder="1" applyAlignment="1">
      <alignment horizontal="center" vertical="top" wrapText="1"/>
    </xf>
    <xf numFmtId="0" fontId="0" fillId="11" borderId="38" xfId="0" applyFill="1" applyBorder="1" applyAlignment="1">
      <alignment horizontal="center"/>
    </xf>
    <xf numFmtId="0" fontId="0" fillId="16" borderId="1" xfId="0" applyFill="1" applyBorder="1" applyAlignment="1">
      <alignment horizontal="center" wrapText="1"/>
    </xf>
    <xf numFmtId="0" fontId="0" fillId="28" borderId="10" xfId="0" applyFill="1" applyBorder="1" applyAlignment="1">
      <alignment horizontal="center" wrapText="1"/>
    </xf>
    <xf numFmtId="14" fontId="4" fillId="0" borderId="1" xfId="0" applyNumberFormat="1" applyFont="1" applyBorder="1" applyAlignment="1">
      <alignment horizontal="center"/>
    </xf>
    <xf numFmtId="0" fontId="8" fillId="0" borderId="0" xfId="0" applyFont="1" applyBorder="1" applyAlignment="1">
      <alignment horizontal="center" vertical="center"/>
    </xf>
    <xf numFmtId="0" fontId="0" fillId="36" borderId="26" xfId="0" applyFill="1" applyBorder="1"/>
    <xf numFmtId="0" fontId="0" fillId="0" borderId="26" xfId="0" applyFill="1" applyBorder="1"/>
    <xf numFmtId="0" fontId="0" fillId="36" borderId="1" xfId="0" applyFill="1" applyBorder="1"/>
    <xf numFmtId="0" fontId="0" fillId="13" borderId="26" xfId="0" applyFill="1" applyBorder="1"/>
    <xf numFmtId="165" fontId="10" fillId="8" borderId="38" xfId="0" applyNumberFormat="1" applyFont="1" applyFill="1" applyBorder="1" applyAlignment="1">
      <alignment horizontal="center"/>
    </xf>
    <xf numFmtId="0" fontId="10" fillId="0" borderId="28" xfId="0" applyNumberFormat="1" applyFont="1" applyBorder="1" applyAlignment="1">
      <alignment horizontal="center"/>
    </xf>
    <xf numFmtId="1" fontId="11" fillId="9" borderId="4" xfId="1" applyNumberFormat="1" applyFont="1" applyFill="1" applyBorder="1" applyAlignment="1">
      <alignment horizontal="center"/>
    </xf>
    <xf numFmtId="1" fontId="11" fillId="17" borderId="4" xfId="1" applyNumberFormat="1" applyFont="1" applyFill="1" applyBorder="1" applyAlignment="1">
      <alignment horizontal="center"/>
    </xf>
    <xf numFmtId="0" fontId="34" fillId="7" borderId="4" xfId="0" applyNumberFormat="1" applyFont="1" applyFill="1" applyBorder="1" applyAlignment="1">
      <alignment horizontal="center"/>
    </xf>
    <xf numFmtId="165" fontId="10" fillId="8" borderId="30" xfId="0" applyNumberFormat="1" applyFont="1" applyFill="1" applyBorder="1" applyAlignment="1">
      <alignment horizontal="center"/>
    </xf>
    <xf numFmtId="165" fontId="10" fillId="8" borderId="63" xfId="0" applyNumberFormat="1" applyFont="1" applyFill="1" applyBorder="1" applyAlignment="1">
      <alignment horizontal="center"/>
    </xf>
    <xf numFmtId="0" fontId="0" fillId="37" borderId="16" xfId="0" applyFill="1" applyBorder="1" applyAlignment="1">
      <alignment horizontal="center" wrapText="1"/>
    </xf>
    <xf numFmtId="0" fontId="25" fillId="24" borderId="1" xfId="4" applyNumberFormat="1" applyFont="1" applyFill="1" applyBorder="1" applyAlignment="1">
      <alignment horizontal="center"/>
    </xf>
    <xf numFmtId="165" fontId="22" fillId="0" borderId="0" xfId="0" applyNumberFormat="1" applyFont="1" applyAlignment="1">
      <alignment horizontal="center"/>
    </xf>
    <xf numFmtId="0" fontId="22" fillId="0" borderId="0" xfId="0" applyNumberFormat="1" applyFont="1" applyAlignment="1">
      <alignment horizontal="left"/>
    </xf>
    <xf numFmtId="0" fontId="0" fillId="0" borderId="22" xfId="1" applyNumberFormat="1" applyFont="1" applyBorder="1"/>
    <xf numFmtId="0" fontId="0" fillId="11" borderId="16" xfId="0" applyFill="1" applyBorder="1" applyAlignment="1">
      <alignment horizontal="center"/>
    </xf>
    <xf numFmtId="0" fontId="0" fillId="11" borderId="1" xfId="0" applyFill="1" applyBorder="1" applyAlignment="1">
      <alignment horizontal="center" wrapText="1"/>
    </xf>
    <xf numFmtId="0" fontId="0" fillId="11" borderId="8" xfId="0" applyFill="1" applyBorder="1" applyAlignment="1">
      <alignment horizontal="center" wrapText="1"/>
    </xf>
    <xf numFmtId="0" fontId="0" fillId="10" borderId="1" xfId="0" applyFill="1" applyBorder="1" applyAlignment="1">
      <alignment horizontal="center" wrapText="1"/>
    </xf>
    <xf numFmtId="0" fontId="0" fillId="35" borderId="1" xfId="0" applyFill="1" applyBorder="1" applyAlignment="1">
      <alignment horizontal="center" wrapText="1"/>
    </xf>
    <xf numFmtId="0" fontId="10" fillId="11" borderId="45" xfId="0" applyFont="1" applyFill="1" applyBorder="1" applyAlignment="1">
      <alignment horizontal="center"/>
    </xf>
    <xf numFmtId="0" fontId="4" fillId="0" borderId="38" xfId="0" applyFont="1" applyBorder="1" applyAlignment="1">
      <alignment horizontal="center"/>
    </xf>
    <xf numFmtId="1" fontId="0" fillId="32" borderId="1" xfId="0" applyNumberFormat="1" applyFill="1" applyBorder="1"/>
    <xf numFmtId="0" fontId="2" fillId="0" borderId="17" xfId="0" applyFont="1" applyBorder="1" applyAlignment="1">
      <alignment horizontal="center" vertical="top" wrapText="1"/>
    </xf>
    <xf numFmtId="0" fontId="2" fillId="10" borderId="6" xfId="0" applyFont="1" applyFill="1" applyBorder="1" applyAlignment="1">
      <alignment horizontal="center" vertical="top" wrapText="1"/>
    </xf>
    <xf numFmtId="0" fontId="2" fillId="0" borderId="6" xfId="0" applyFont="1" applyBorder="1" applyAlignment="1">
      <alignment horizontal="center" vertical="top" wrapText="1"/>
    </xf>
    <xf numFmtId="0" fontId="0" fillId="10" borderId="6" xfId="0" applyFill="1" applyBorder="1" applyAlignment="1">
      <alignment horizontal="center" vertical="top" wrapText="1"/>
    </xf>
    <xf numFmtId="0" fontId="0" fillId="10" borderId="7" xfId="0" applyFill="1" applyBorder="1" applyAlignment="1">
      <alignment horizontal="center"/>
    </xf>
    <xf numFmtId="1" fontId="0" fillId="33" borderId="8" xfId="0" applyNumberFormat="1" applyFill="1" applyBorder="1"/>
    <xf numFmtId="1" fontId="0" fillId="33" borderId="10" xfId="0" applyNumberFormat="1" applyFill="1" applyBorder="1"/>
    <xf numFmtId="0" fontId="23" fillId="0" borderId="26" xfId="0" applyFont="1" applyFill="1" applyBorder="1" applyAlignment="1">
      <alignment horizontal="center" vertical="center"/>
    </xf>
    <xf numFmtId="0" fontId="23" fillId="0" borderId="26" xfId="0" applyFont="1" applyFill="1" applyBorder="1" applyAlignment="1">
      <alignment horizontal="center" vertical="center" wrapText="1"/>
    </xf>
    <xf numFmtId="9" fontId="23" fillId="0" borderId="26" xfId="0" applyNumberFormat="1" applyFont="1" applyFill="1" applyBorder="1" applyAlignment="1">
      <alignment horizontal="center" vertical="center"/>
    </xf>
    <xf numFmtId="0" fontId="23" fillId="0" borderId="33" xfId="0" applyFont="1" applyFill="1" applyBorder="1" applyAlignment="1">
      <alignment horizontal="center" vertical="center"/>
    </xf>
    <xf numFmtId="0" fontId="23" fillId="0" borderId="33" xfId="0" applyFont="1" applyFill="1" applyBorder="1" applyAlignment="1">
      <alignment horizontal="center" vertical="center" wrapText="1"/>
    </xf>
    <xf numFmtId="0" fontId="23" fillId="0" borderId="63" xfId="0" applyFont="1" applyFill="1" applyBorder="1" applyAlignment="1">
      <alignment horizontal="center" vertical="center" wrapText="1"/>
    </xf>
    <xf numFmtId="0" fontId="23" fillId="0" borderId="32" xfId="0" applyFont="1" applyFill="1" applyBorder="1" applyAlignment="1">
      <alignment horizontal="center" vertical="center" wrapText="1"/>
    </xf>
    <xf numFmtId="0" fontId="23" fillId="0" borderId="30" xfId="0" applyFont="1" applyFill="1" applyBorder="1" applyAlignment="1">
      <alignment horizontal="center" vertical="center" wrapText="1"/>
    </xf>
    <xf numFmtId="0" fontId="23" fillId="0" borderId="63" xfId="0" applyFont="1" applyFill="1" applyBorder="1" applyAlignment="1">
      <alignment horizontal="center" vertical="center"/>
    </xf>
    <xf numFmtId="0" fontId="23" fillId="0" borderId="38" xfId="0" applyFont="1" applyFill="1" applyBorder="1" applyAlignment="1">
      <alignment horizontal="center" vertical="center" wrapText="1"/>
    </xf>
    <xf numFmtId="0" fontId="19" fillId="16" borderId="20" xfId="0" applyFont="1" applyFill="1" applyBorder="1" applyAlignment="1">
      <alignment horizontal="center" vertical="center" wrapText="1"/>
    </xf>
    <xf numFmtId="0" fontId="0" fillId="0" borderId="6" xfId="0" applyBorder="1" applyAlignment="1">
      <alignment horizontal="center" wrapText="1"/>
    </xf>
    <xf numFmtId="0" fontId="0" fillId="28" borderId="7" xfId="0" applyFill="1" applyBorder="1" applyAlignment="1">
      <alignment horizontal="center" wrapText="1"/>
    </xf>
    <xf numFmtId="14" fontId="4" fillId="0" borderId="16" xfId="0" applyNumberFormat="1" applyFont="1" applyBorder="1" applyAlignment="1">
      <alignment horizontal="center"/>
    </xf>
    <xf numFmtId="14" fontId="4" fillId="0" borderId="21" xfId="0" applyNumberFormat="1" applyFont="1" applyBorder="1" applyAlignment="1">
      <alignment horizontal="center"/>
    </xf>
    <xf numFmtId="14" fontId="4" fillId="0" borderId="9" xfId="0" applyNumberFormat="1" applyFont="1" applyBorder="1" applyAlignment="1">
      <alignment horizontal="center"/>
    </xf>
    <xf numFmtId="165" fontId="4" fillId="0" borderId="9" xfId="1" applyFont="1" applyBorder="1" applyAlignment="1">
      <alignment horizontal="center"/>
    </xf>
    <xf numFmtId="0" fontId="4" fillId="34" borderId="60" xfId="0" applyNumberFormat="1" applyFont="1" applyFill="1" applyBorder="1" applyAlignment="1">
      <alignment horizontal="center"/>
    </xf>
    <xf numFmtId="0" fontId="4" fillId="34" borderId="62" xfId="0" applyNumberFormat="1" applyFont="1" applyFill="1" applyBorder="1" applyAlignment="1">
      <alignment horizontal="center"/>
    </xf>
    <xf numFmtId="0" fontId="4" fillId="34" borderId="61" xfId="0" applyNumberFormat="1" applyFont="1" applyFill="1" applyBorder="1" applyAlignment="1">
      <alignment horizontal="center"/>
    </xf>
    <xf numFmtId="14" fontId="4" fillId="0" borderId="17" xfId="0" applyNumberFormat="1" applyFont="1" applyBorder="1" applyAlignment="1">
      <alignment horizontal="center"/>
    </xf>
    <xf numFmtId="0" fontId="10" fillId="0" borderId="53" xfId="0" applyNumberFormat="1" applyFont="1" applyBorder="1" applyAlignment="1">
      <alignment horizontal="center"/>
    </xf>
    <xf numFmtId="0" fontId="10" fillId="0" borderId="30" xfId="0" applyNumberFormat="1" applyFont="1" applyBorder="1" applyAlignment="1">
      <alignment horizontal="center"/>
    </xf>
    <xf numFmtId="0" fontId="10" fillId="0" borderId="31" xfId="0" applyNumberFormat="1" applyFont="1" applyBorder="1" applyAlignment="1">
      <alignment horizontal="center"/>
    </xf>
    <xf numFmtId="0" fontId="10" fillId="3" borderId="32" xfId="0" applyNumberFormat="1" applyFont="1" applyFill="1" applyBorder="1" applyAlignment="1">
      <alignment horizontal="center"/>
    </xf>
    <xf numFmtId="0" fontId="10" fillId="3" borderId="33" xfId="0" applyNumberFormat="1" applyFont="1" applyFill="1" applyBorder="1" applyAlignment="1">
      <alignment horizontal="center"/>
    </xf>
    <xf numFmtId="0" fontId="10" fillId="3" borderId="34" xfId="0" applyNumberFormat="1" applyFont="1" applyFill="1" applyBorder="1" applyAlignment="1">
      <alignment horizontal="center"/>
    </xf>
    <xf numFmtId="0" fontId="11" fillId="3" borderId="33" xfId="0" applyNumberFormat="1" applyFont="1" applyFill="1" applyBorder="1" applyAlignment="1">
      <alignment horizontal="center"/>
    </xf>
    <xf numFmtId="0" fontId="10" fillId="3" borderId="30" xfId="0" applyNumberFormat="1" applyFont="1" applyFill="1" applyBorder="1" applyAlignment="1">
      <alignment horizontal="center"/>
    </xf>
    <xf numFmtId="0" fontId="10" fillId="3" borderId="63" xfId="0" applyNumberFormat="1" applyFont="1" applyFill="1" applyBorder="1" applyAlignment="1">
      <alignment horizontal="center"/>
    </xf>
    <xf numFmtId="0" fontId="16" fillId="0" borderId="26" xfId="0" applyNumberFormat="1" applyFont="1" applyBorder="1" applyAlignment="1">
      <alignment horizontal="center"/>
    </xf>
    <xf numFmtId="0" fontId="30" fillId="3" borderId="32" xfId="1" applyNumberFormat="1" applyFont="1" applyFill="1" applyBorder="1" applyAlignment="1">
      <alignment horizontal="center" wrapText="1"/>
    </xf>
    <xf numFmtId="0" fontId="30" fillId="3" borderId="33" xfId="0" applyNumberFormat="1" applyFont="1" applyFill="1" applyBorder="1" applyAlignment="1">
      <alignment horizontal="center" wrapText="1"/>
    </xf>
    <xf numFmtId="0" fontId="30" fillId="3" borderId="33" xfId="0" applyNumberFormat="1" applyFont="1" applyFill="1" applyBorder="1" applyAlignment="1">
      <alignment horizontal="center"/>
    </xf>
    <xf numFmtId="0" fontId="30" fillId="3" borderId="34" xfId="0" applyNumberFormat="1" applyFont="1" applyFill="1" applyBorder="1" applyAlignment="1">
      <alignment horizontal="center" wrapText="1"/>
    </xf>
    <xf numFmtId="0" fontId="11" fillId="3" borderId="30" xfId="0" applyNumberFormat="1" applyFont="1" applyFill="1" applyBorder="1" applyAlignment="1">
      <alignment horizontal="center" wrapText="1"/>
    </xf>
    <xf numFmtId="0" fontId="11" fillId="3" borderId="33" xfId="0" applyNumberFormat="1" applyFont="1" applyFill="1" applyBorder="1" applyAlignment="1">
      <alignment horizontal="center" wrapText="1"/>
    </xf>
    <xf numFmtId="0" fontId="11" fillId="3" borderId="63" xfId="0" applyNumberFormat="1" applyFont="1" applyFill="1" applyBorder="1" applyAlignment="1">
      <alignment horizontal="center" wrapText="1"/>
    </xf>
    <xf numFmtId="165" fontId="15" fillId="11" borderId="26" xfId="1" applyNumberFormat="1" applyFont="1" applyFill="1" applyBorder="1" applyAlignment="1">
      <alignment horizontal="center"/>
    </xf>
    <xf numFmtId="165" fontId="15" fillId="11" borderId="38" xfId="1" applyNumberFormat="1" applyFont="1" applyFill="1" applyBorder="1" applyAlignment="1">
      <alignment horizontal="center"/>
    </xf>
    <xf numFmtId="0" fontId="10" fillId="11" borderId="38" xfId="0" applyNumberFormat="1" applyFont="1" applyFill="1" applyBorder="1" applyAlignment="1">
      <alignment horizontal="center"/>
    </xf>
    <xf numFmtId="165" fontId="11" fillId="9" borderId="26" xfId="1" applyNumberFormat="1" applyFont="1" applyFill="1" applyBorder="1" applyAlignment="1">
      <alignment horizontal="center"/>
    </xf>
    <xf numFmtId="0" fontId="11" fillId="3" borderId="38" xfId="0" applyNumberFormat="1" applyFont="1" applyFill="1" applyBorder="1" applyAlignment="1">
      <alignment horizontal="center" wrapText="1"/>
    </xf>
    <xf numFmtId="0" fontId="11" fillId="9" borderId="38" xfId="0" applyNumberFormat="1" applyFont="1" applyFill="1" applyBorder="1" applyAlignment="1">
      <alignment horizontal="center" wrapText="1"/>
    </xf>
    <xf numFmtId="165" fontId="16" fillId="0" borderId="56" xfId="1" applyFont="1" applyBorder="1" applyAlignment="1">
      <alignment horizontal="center"/>
    </xf>
    <xf numFmtId="165" fontId="16" fillId="16" borderId="15" xfId="1" applyFont="1" applyFill="1" applyBorder="1" applyAlignment="1">
      <alignment horizontal="center"/>
    </xf>
    <xf numFmtId="165" fontId="16" fillId="16" borderId="14" xfId="1" applyFont="1" applyFill="1" applyBorder="1" applyAlignment="1">
      <alignment horizontal="center"/>
    </xf>
    <xf numFmtId="0" fontId="10" fillId="0" borderId="33" xfId="1" applyNumberFormat="1" applyFont="1" applyFill="1" applyBorder="1" applyAlignment="1">
      <alignment horizontal="center" vertical="center" wrapText="1"/>
    </xf>
    <xf numFmtId="0" fontId="10" fillId="0" borderId="31" xfId="1" applyNumberFormat="1" applyFont="1" applyFill="1" applyBorder="1" applyAlignment="1">
      <alignment horizontal="center" vertical="center" wrapText="1"/>
    </xf>
    <xf numFmtId="0" fontId="10" fillId="16" borderId="34" xfId="1" applyNumberFormat="1" applyFont="1" applyFill="1" applyBorder="1" applyAlignment="1">
      <alignment horizontal="center" vertical="center" wrapText="1"/>
    </xf>
    <xf numFmtId="0" fontId="10" fillId="16" borderId="33" xfId="1" applyNumberFormat="1" applyFont="1" applyFill="1" applyBorder="1" applyAlignment="1">
      <alignment horizontal="center" vertical="center" wrapText="1"/>
    </xf>
    <xf numFmtId="0" fontId="11" fillId="11" borderId="33" xfId="1" applyNumberFormat="1" applyFont="1" applyFill="1" applyBorder="1" applyAlignment="1">
      <alignment horizontal="center" wrapText="1"/>
    </xf>
    <xf numFmtId="0" fontId="11" fillId="11" borderId="63" xfId="1" applyNumberFormat="1" applyFont="1" applyFill="1" applyBorder="1" applyAlignment="1">
      <alignment horizontal="center" wrapText="1"/>
    </xf>
    <xf numFmtId="0" fontId="16" fillId="3" borderId="32" xfId="0" applyFont="1" applyFill="1" applyBorder="1" applyAlignment="1">
      <alignment horizontal="center" wrapText="1"/>
    </xf>
    <xf numFmtId="0" fontId="16" fillId="3" borderId="33" xfId="0" applyFont="1" applyFill="1" applyBorder="1" applyAlignment="1">
      <alignment horizontal="center" wrapText="1"/>
    </xf>
    <xf numFmtId="165" fontId="11" fillId="3" borderId="33" xfId="1" applyFont="1" applyFill="1" applyBorder="1" applyAlignment="1">
      <alignment horizontal="center" wrapText="1"/>
    </xf>
    <xf numFmtId="165" fontId="11" fillId="10" borderId="33" xfId="1" applyFont="1" applyFill="1" applyBorder="1" applyAlignment="1">
      <alignment horizontal="center" wrapText="1"/>
    </xf>
    <xf numFmtId="165" fontId="11" fillId="3" borderId="63" xfId="1" applyFont="1" applyFill="1" applyBorder="1" applyAlignment="1">
      <alignment horizontal="center" wrapText="1"/>
    </xf>
    <xf numFmtId="0" fontId="49" fillId="0" borderId="1" xfId="0" applyFont="1" applyBorder="1" applyAlignment="1">
      <alignment horizontal="center" vertical="center" wrapText="1"/>
    </xf>
    <xf numFmtId="165" fontId="4" fillId="0" borderId="1" xfId="1" applyFont="1" applyBorder="1" applyAlignment="1">
      <alignment horizontal="center"/>
    </xf>
    <xf numFmtId="166" fontId="3" fillId="16" borderId="1" xfId="1" applyNumberFormat="1" applyFont="1" applyFill="1" applyBorder="1"/>
    <xf numFmtId="166" fontId="37" fillId="0" borderId="1" xfId="2" applyNumberFormat="1" applyFont="1" applyBorder="1"/>
    <xf numFmtId="0" fontId="50" fillId="0" borderId="1" xfId="0" applyFont="1" applyBorder="1"/>
    <xf numFmtId="0" fontId="4" fillId="0" borderId="1" xfId="0" applyNumberFormat="1" applyFont="1" applyBorder="1" applyAlignment="1">
      <alignment horizontal="center"/>
    </xf>
    <xf numFmtId="3" fontId="1" fillId="0" borderId="70" xfId="0" applyNumberFormat="1" applyFont="1" applyBorder="1"/>
    <xf numFmtId="0" fontId="25" fillId="0" borderId="93" xfId="0" applyFont="1" applyFill="1" applyBorder="1"/>
    <xf numFmtId="166" fontId="0" fillId="13" borderId="22" xfId="0" applyNumberFormat="1" applyFill="1" applyBorder="1"/>
    <xf numFmtId="0" fontId="26" fillId="0" borderId="0" xfId="0" applyFont="1" applyFill="1" applyBorder="1" applyAlignment="1">
      <alignment horizontal="center"/>
    </xf>
    <xf numFmtId="173" fontId="0" fillId="0" borderId="0" xfId="0" applyNumberFormat="1" applyFill="1" applyBorder="1"/>
    <xf numFmtId="0" fontId="0" fillId="28" borderId="1" xfId="0" applyFill="1" applyBorder="1" applyAlignment="1">
      <alignment horizontal="center" wrapText="1"/>
    </xf>
    <xf numFmtId="0" fontId="19" fillId="14" borderId="38" xfId="0" applyFont="1" applyFill="1" applyBorder="1" applyAlignment="1">
      <alignment horizontal="center" wrapText="1"/>
    </xf>
    <xf numFmtId="41" fontId="0" fillId="0" borderId="40" xfId="9" applyFont="1" applyBorder="1" applyAlignment="1">
      <alignment horizontal="center" vertical="center"/>
    </xf>
    <xf numFmtId="41" fontId="0" fillId="0" borderId="49" xfId="9" applyFont="1" applyBorder="1" applyAlignment="1">
      <alignment horizontal="center" vertical="center"/>
    </xf>
    <xf numFmtId="41" fontId="0" fillId="0" borderId="16" xfId="9" applyFont="1" applyBorder="1" applyAlignment="1">
      <alignment horizontal="center" vertical="center"/>
    </xf>
    <xf numFmtId="41" fontId="0" fillId="0" borderId="1" xfId="9" applyFont="1" applyBorder="1" applyAlignment="1">
      <alignment horizontal="center" vertical="center"/>
    </xf>
    <xf numFmtId="0" fontId="19" fillId="14" borderId="53" xfId="0" applyFont="1" applyFill="1" applyBorder="1" applyAlignment="1">
      <alignment horizontal="center" wrapText="1"/>
    </xf>
    <xf numFmtId="9" fontId="19" fillId="0" borderId="5" xfId="9" applyNumberFormat="1" applyFont="1" applyBorder="1" applyAlignment="1">
      <alignment horizontal="center" vertical="center"/>
    </xf>
    <xf numFmtId="9" fontId="19" fillId="0" borderId="36" xfId="9" applyNumberFormat="1" applyFont="1" applyBorder="1" applyAlignment="1">
      <alignment horizontal="center" vertical="center"/>
    </xf>
    <xf numFmtId="0" fontId="19" fillId="0" borderId="0" xfId="0" applyFont="1" applyBorder="1" applyAlignment="1">
      <alignment horizontal="center" vertical="center" wrapText="1"/>
    </xf>
    <xf numFmtId="0" fontId="19" fillId="12" borderId="53" xfId="0" applyFont="1" applyFill="1" applyBorder="1" applyAlignment="1">
      <alignment horizontal="center" vertical="center" wrapText="1"/>
    </xf>
    <xf numFmtId="169" fontId="11" fillId="0" borderId="26" xfId="0" applyNumberFormat="1" applyFont="1" applyFill="1" applyBorder="1" applyAlignment="1">
      <alignment horizontal="center"/>
    </xf>
    <xf numFmtId="0" fontId="19" fillId="12" borderId="31" xfId="0" applyFont="1" applyFill="1" applyBorder="1" applyAlignment="1">
      <alignment horizontal="center" vertical="center" wrapText="1"/>
    </xf>
    <xf numFmtId="9" fontId="0" fillId="0" borderId="26" xfId="0" applyNumberFormat="1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6" xfId="10" applyNumberFormat="1" applyFont="1" applyBorder="1" applyAlignment="1">
      <alignment horizontal="center"/>
    </xf>
    <xf numFmtId="0" fontId="19" fillId="0" borderId="48" xfId="0" applyFont="1" applyBorder="1" applyAlignment="1">
      <alignment horizontal="center"/>
    </xf>
    <xf numFmtId="0" fontId="57" fillId="0" borderId="48" xfId="0" applyFont="1" applyBorder="1" applyAlignment="1">
      <alignment horizontal="center"/>
    </xf>
    <xf numFmtId="1" fontId="57" fillId="0" borderId="48" xfId="0" applyNumberFormat="1" applyFont="1" applyBorder="1" applyAlignment="1">
      <alignment horizontal="center"/>
    </xf>
    <xf numFmtId="1" fontId="19" fillId="0" borderId="48" xfId="0" applyNumberFormat="1" applyFont="1" applyBorder="1" applyAlignment="1">
      <alignment horizontal="center" wrapText="1"/>
    </xf>
    <xf numFmtId="0" fontId="19" fillId="0" borderId="48" xfId="0" applyFont="1" applyBorder="1" applyAlignment="1">
      <alignment horizontal="center" wrapText="1"/>
    </xf>
    <xf numFmtId="0" fontId="19" fillId="0" borderId="0" xfId="0" applyFont="1" applyAlignment="1">
      <alignment wrapText="1"/>
    </xf>
    <xf numFmtId="0" fontId="19" fillId="0" borderId="0" xfId="0" applyFont="1"/>
    <xf numFmtId="0" fontId="2" fillId="0" borderId="0" xfId="0" applyFont="1" applyAlignment="1">
      <alignment horizontal="center"/>
    </xf>
    <xf numFmtId="0" fontId="21" fillId="0" borderId="0" xfId="0" applyFont="1" applyAlignment="1">
      <alignment horizontal="center"/>
    </xf>
    <xf numFmtId="1" fontId="21" fillId="0" borderId="0" xfId="0" applyNumberFormat="1" applyFont="1" applyAlignment="1">
      <alignment horizontal="center"/>
    </xf>
    <xf numFmtId="1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2" fontId="0" fillId="0" borderId="0" xfId="0" applyNumberFormat="1"/>
    <xf numFmtId="0" fontId="19" fillId="12" borderId="47" xfId="0" applyFont="1" applyFill="1" applyBorder="1" applyAlignment="1">
      <alignment horizontal="center" vertical="center" wrapText="1"/>
    </xf>
    <xf numFmtId="0" fontId="19" fillId="12" borderId="0" xfId="0" applyFont="1" applyFill="1" applyBorder="1" applyAlignment="1">
      <alignment horizontal="center" vertical="center" wrapText="1"/>
    </xf>
    <xf numFmtId="0" fontId="2" fillId="0" borderId="39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7" borderId="33" xfId="0" applyFont="1" applyFill="1" applyBorder="1" applyAlignment="1">
      <alignment horizontal="center"/>
    </xf>
    <xf numFmtId="0" fontId="4" fillId="0" borderId="0" xfId="0" applyFont="1" applyAlignment="1">
      <alignment horizontal="center"/>
    </xf>
    <xf numFmtId="0" fontId="58" fillId="0" borderId="48" xfId="0" applyFont="1" applyBorder="1" applyAlignment="1">
      <alignment horizontal="center" wrapText="1"/>
    </xf>
    <xf numFmtId="2" fontId="59" fillId="0" borderId="0" xfId="0" applyNumberFormat="1" applyFont="1" applyAlignment="1">
      <alignment horizontal="center"/>
    </xf>
    <xf numFmtId="0" fontId="59" fillId="0" borderId="0" xfId="0" applyFont="1" applyAlignment="1">
      <alignment horizontal="center"/>
    </xf>
    <xf numFmtId="166" fontId="2" fillId="12" borderId="16" xfId="1" applyNumberFormat="1" applyFont="1" applyFill="1" applyBorder="1"/>
    <xf numFmtId="166" fontId="2" fillId="12" borderId="25" xfId="1" applyNumberFormat="1" applyFont="1" applyFill="1" applyBorder="1"/>
    <xf numFmtId="166" fontId="2" fillId="12" borderId="26" xfId="1" applyNumberFormat="1" applyFont="1" applyFill="1" applyBorder="1"/>
    <xf numFmtId="164" fontId="2" fillId="12" borderId="26" xfId="3" applyFont="1" applyFill="1" applyBorder="1"/>
    <xf numFmtId="166" fontId="2" fillId="12" borderId="27" xfId="1" applyNumberFormat="1" applyFont="1" applyFill="1" applyBorder="1"/>
    <xf numFmtId="166" fontId="2" fillId="23" borderId="22" xfId="1" applyNumberFormat="1" applyFont="1" applyFill="1" applyBorder="1"/>
    <xf numFmtId="166" fontId="2" fillId="23" borderId="56" xfId="1" applyNumberFormat="1" applyFont="1" applyFill="1" applyBorder="1"/>
    <xf numFmtId="166" fontId="2" fillId="23" borderId="49" xfId="1" applyNumberFormat="1" applyFont="1" applyFill="1" applyBorder="1"/>
    <xf numFmtId="166" fontId="2" fillId="12" borderId="41" xfId="1" applyNumberFormat="1" applyFont="1" applyFill="1" applyBorder="1"/>
    <xf numFmtId="166" fontId="2" fillId="12" borderId="23" xfId="1" applyNumberFormat="1" applyFont="1" applyFill="1" applyBorder="1"/>
    <xf numFmtId="166" fontId="2" fillId="12" borderId="43" xfId="1" applyNumberFormat="1" applyFont="1" applyFill="1" applyBorder="1"/>
    <xf numFmtId="166" fontId="2" fillId="12" borderId="44" xfId="1" applyNumberFormat="1" applyFont="1" applyFill="1" applyBorder="1"/>
    <xf numFmtId="166" fontId="2" fillId="12" borderId="52" xfId="1" applyNumberFormat="1" applyFont="1" applyFill="1" applyBorder="1"/>
    <xf numFmtId="166" fontId="2" fillId="12" borderId="56" xfId="1" applyNumberFormat="1" applyFont="1" applyFill="1" applyBorder="1"/>
    <xf numFmtId="0" fontId="1" fillId="0" borderId="0" xfId="4" applyFont="1"/>
    <xf numFmtId="165" fontId="1" fillId="0" borderId="0" xfId="1" applyFont="1"/>
    <xf numFmtId="0" fontId="1" fillId="0" borderId="0" xfId="4" applyFont="1" applyBorder="1"/>
    <xf numFmtId="165" fontId="1" fillId="0" borderId="0" xfId="1" applyFont="1" applyBorder="1"/>
    <xf numFmtId="166" fontId="2" fillId="15" borderId="1" xfId="1" applyNumberFormat="1" applyFont="1" applyFill="1" applyBorder="1"/>
    <xf numFmtId="0" fontId="2" fillId="0" borderId="6" xfId="0" applyFont="1" applyBorder="1" applyAlignment="1">
      <alignment horizontal="center"/>
    </xf>
    <xf numFmtId="0" fontId="2" fillId="0" borderId="6" xfId="0" applyFont="1" applyBorder="1"/>
    <xf numFmtId="0" fontId="2" fillId="0" borderId="1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164" fontId="2" fillId="12" borderId="1" xfId="3" applyFont="1" applyFill="1" applyBorder="1"/>
    <xf numFmtId="164" fontId="2" fillId="12" borderId="0" xfId="3" applyFont="1" applyFill="1"/>
    <xf numFmtId="0" fontId="19" fillId="14" borderId="35" xfId="0" applyFont="1" applyFill="1" applyBorder="1" applyAlignment="1">
      <alignment horizontal="center" vertical="center"/>
    </xf>
    <xf numFmtId="165" fontId="16" fillId="0" borderId="5" xfId="1" applyFont="1" applyFill="1" applyBorder="1" applyAlignment="1">
      <alignment horizontal="center"/>
    </xf>
    <xf numFmtId="9" fontId="19" fillId="0" borderId="11" xfId="9" applyNumberFormat="1" applyFont="1" applyBorder="1" applyAlignment="1">
      <alignment horizontal="center" vertical="center"/>
    </xf>
    <xf numFmtId="41" fontId="0" fillId="0" borderId="94" xfId="9" applyFont="1" applyBorder="1" applyAlignment="1">
      <alignment horizontal="center" vertical="center"/>
    </xf>
    <xf numFmtId="1" fontId="1" fillId="0" borderId="1" xfId="9" applyNumberFormat="1" applyFont="1" applyBorder="1" applyAlignment="1">
      <alignment horizontal="center" vertical="center"/>
    </xf>
    <xf numFmtId="41" fontId="0" fillId="0" borderId="25" xfId="9" applyFont="1" applyBorder="1" applyAlignment="1">
      <alignment horizontal="center" vertical="center"/>
    </xf>
    <xf numFmtId="0" fontId="19" fillId="14" borderId="45" xfId="0" applyFont="1" applyFill="1" applyBorder="1" applyAlignment="1">
      <alignment horizontal="center" vertical="center" wrapText="1"/>
    </xf>
    <xf numFmtId="4" fontId="0" fillId="6" borderId="1" xfId="0" applyNumberFormat="1" applyFill="1" applyBorder="1"/>
    <xf numFmtId="1" fontId="0" fillId="13" borderId="1" xfId="0" applyNumberFormat="1" applyFill="1" applyBorder="1"/>
    <xf numFmtId="1" fontId="0" fillId="12" borderId="1" xfId="0" applyNumberFormat="1" applyFill="1" applyBorder="1"/>
    <xf numFmtId="0" fontId="0" fillId="0" borderId="1" xfId="0" applyNumberFormat="1" applyBorder="1"/>
    <xf numFmtId="0" fontId="22" fillId="0" borderId="17" xfId="0" applyFont="1" applyBorder="1" applyAlignment="1">
      <alignment vertical="top"/>
    </xf>
    <xf numFmtId="0" fontId="22" fillId="0" borderId="6" xfId="0" applyFont="1" applyBorder="1" applyAlignment="1">
      <alignment vertical="top" wrapText="1"/>
    </xf>
    <xf numFmtId="0" fontId="22" fillId="0" borderId="6" xfId="0" applyFont="1" applyBorder="1" applyAlignment="1">
      <alignment horizontal="center" vertical="top" wrapText="1"/>
    </xf>
    <xf numFmtId="0" fontId="4" fillId="0" borderId="16" xfId="0" applyFont="1" applyBorder="1" applyAlignment="1">
      <alignment vertical="top"/>
    </xf>
    <xf numFmtId="0" fontId="0" fillId="0" borderId="8" xfId="0" applyBorder="1" applyAlignment="1">
      <alignment horizontal="center" vertical="top" wrapText="1"/>
    </xf>
    <xf numFmtId="14" fontId="41" fillId="0" borderId="16" xfId="0" applyNumberFormat="1" applyFont="1" applyBorder="1" applyAlignment="1">
      <alignment vertical="top"/>
    </xf>
    <xf numFmtId="165" fontId="0" fillId="0" borderId="8" xfId="0" applyNumberFormat="1" applyBorder="1"/>
    <xf numFmtId="0" fontId="0" fillId="0" borderId="8" xfId="0" applyBorder="1"/>
    <xf numFmtId="165" fontId="0" fillId="0" borderId="9" xfId="0" applyNumberFormat="1" applyBorder="1"/>
    <xf numFmtId="165" fontId="0" fillId="0" borderId="10" xfId="0" applyNumberFormat="1" applyBorder="1"/>
    <xf numFmtId="0" fontId="21" fillId="0" borderId="1" xfId="0" applyFon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2" fillId="0" borderId="16" xfId="0" applyFont="1" applyBorder="1" applyAlignment="1">
      <alignment horizontal="center"/>
    </xf>
    <xf numFmtId="0" fontId="0" fillId="0" borderId="9" xfId="0" applyBorder="1" applyAlignment="1">
      <alignment horizontal="center"/>
    </xf>
    <xf numFmtId="0" fontId="2" fillId="0" borderId="40" xfId="0" applyFont="1" applyBorder="1" applyAlignment="1">
      <alignment horizontal="center"/>
    </xf>
    <xf numFmtId="0" fontId="21" fillId="0" borderId="26" xfId="0" applyFont="1" applyBorder="1" applyAlignment="1">
      <alignment horizontal="center"/>
    </xf>
    <xf numFmtId="1" fontId="21" fillId="0" borderId="26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0" fontId="19" fillId="0" borderId="32" xfId="0" applyFont="1" applyBorder="1" applyAlignment="1">
      <alignment horizontal="center"/>
    </xf>
    <xf numFmtId="0" fontId="57" fillId="0" borderId="33" xfId="0" applyFont="1" applyBorder="1" applyAlignment="1">
      <alignment horizontal="center"/>
    </xf>
    <xf numFmtId="1" fontId="57" fillId="0" borderId="33" xfId="0" applyNumberFormat="1" applyFont="1" applyBorder="1" applyAlignment="1">
      <alignment horizontal="center"/>
    </xf>
    <xf numFmtId="0" fontId="19" fillId="0" borderId="33" xfId="0" applyFont="1" applyBorder="1" applyAlignment="1">
      <alignment horizontal="center" wrapText="1"/>
    </xf>
    <xf numFmtId="1" fontId="19" fillId="0" borderId="33" xfId="0" applyNumberFormat="1" applyFont="1" applyBorder="1" applyAlignment="1">
      <alignment horizontal="center" wrapText="1"/>
    </xf>
    <xf numFmtId="9" fontId="10" fillId="8" borderId="5" xfId="0" applyNumberFormat="1" applyFont="1" applyFill="1" applyBorder="1" applyAlignment="1">
      <alignment horizontal="center"/>
    </xf>
    <xf numFmtId="0" fontId="0" fillId="16" borderId="26" xfId="0" applyFill="1" applyBorder="1"/>
    <xf numFmtId="0" fontId="19" fillId="0" borderId="84" xfId="0" applyFont="1" applyBorder="1" applyAlignment="1">
      <alignment wrapText="1"/>
    </xf>
    <xf numFmtId="1" fontId="19" fillId="0" borderId="10" xfId="0" applyNumberFormat="1" applyFont="1" applyBorder="1" applyAlignment="1">
      <alignment horizontal="center" wrapText="1"/>
    </xf>
    <xf numFmtId="1" fontId="0" fillId="0" borderId="49" xfId="0" applyNumberFormat="1" applyBorder="1"/>
    <xf numFmtId="165" fontId="3" fillId="9" borderId="1" xfId="1" applyNumberFormat="1" applyFont="1" applyFill="1" applyBorder="1" applyAlignment="1">
      <alignment horizontal="right"/>
    </xf>
    <xf numFmtId="166" fontId="25" fillId="25" borderId="1" xfId="4" applyNumberFormat="1" applyFont="1" applyFill="1" applyBorder="1" applyAlignment="1">
      <alignment horizontal="right"/>
    </xf>
    <xf numFmtId="0" fontId="2" fillId="0" borderId="62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166" fontId="37" fillId="0" borderId="1" xfId="2" applyNumberFormat="1" applyFont="1" applyBorder="1" applyAlignment="1">
      <alignment horizontal="center"/>
    </xf>
    <xf numFmtId="0" fontId="60" fillId="0" borderId="1" xfId="4" applyFont="1" applyBorder="1" applyAlignment="1">
      <alignment horizontal="center"/>
    </xf>
    <xf numFmtId="2" fontId="41" fillId="16" borderId="26" xfId="1" applyNumberFormat="1" applyFont="1" applyFill="1" applyBorder="1" applyAlignment="1"/>
    <xf numFmtId="0" fontId="25" fillId="0" borderId="1" xfId="0" applyFont="1" applyBorder="1" applyAlignment="1">
      <alignment horizontal="center" vertical="center" wrapText="1"/>
    </xf>
    <xf numFmtId="2" fontId="41" fillId="16" borderId="1" xfId="1" applyNumberFormat="1" applyFont="1" applyFill="1" applyBorder="1"/>
    <xf numFmtId="2" fontId="12" fillId="16" borderId="26" xfId="1" applyNumberFormat="1" applyFont="1" applyFill="1" applyBorder="1" applyAlignment="1"/>
    <xf numFmtId="0" fontId="0" fillId="0" borderId="0" xfId="0" applyAlignment="1"/>
    <xf numFmtId="14" fontId="0" fillId="0" borderId="82" xfId="0" applyNumberFormat="1" applyBorder="1" applyAlignment="1">
      <alignment horizontal="center"/>
    </xf>
    <xf numFmtId="0" fontId="0" fillId="34" borderId="17" xfId="0" applyFill="1" applyBorder="1" applyAlignment="1">
      <alignment horizontal="center" wrapText="1"/>
    </xf>
    <xf numFmtId="0" fontId="0" fillId="10" borderId="6" xfId="0" applyFill="1" applyBorder="1" applyAlignment="1">
      <alignment horizontal="center" wrapText="1"/>
    </xf>
    <xf numFmtId="0" fontId="0" fillId="35" borderId="6" xfId="0" applyFill="1" applyBorder="1" applyAlignment="1">
      <alignment horizontal="center" wrapText="1"/>
    </xf>
    <xf numFmtId="0" fontId="0" fillId="16" borderId="6" xfId="0" applyFill="1" applyBorder="1" applyAlignment="1">
      <alignment horizontal="center" wrapText="1"/>
    </xf>
    <xf numFmtId="0" fontId="0" fillId="34" borderId="16" xfId="0" applyFill="1" applyBorder="1" applyAlignment="1">
      <alignment horizontal="center" wrapText="1"/>
    </xf>
    <xf numFmtId="0" fontId="0" fillId="34" borderId="21" xfId="0" applyFill="1" applyBorder="1" applyAlignment="1">
      <alignment horizontal="center" wrapText="1"/>
    </xf>
    <xf numFmtId="0" fontId="0" fillId="10" borderId="9" xfId="0" applyFill="1" applyBorder="1" applyAlignment="1">
      <alignment horizontal="center" wrapText="1"/>
    </xf>
    <xf numFmtId="0" fontId="0" fillId="35" borderId="9" xfId="0" applyFill="1" applyBorder="1" applyAlignment="1">
      <alignment horizontal="center" wrapText="1"/>
    </xf>
    <xf numFmtId="0" fontId="0" fillId="30" borderId="32" xfId="0" applyFill="1" applyBorder="1" applyAlignment="1">
      <alignment horizontal="center"/>
    </xf>
    <xf numFmtId="0" fontId="0" fillId="30" borderId="33" xfId="0" applyFill="1" applyBorder="1" applyAlignment="1">
      <alignment horizontal="center" wrapText="1"/>
    </xf>
    <xf numFmtId="0" fontId="41" fillId="30" borderId="33" xfId="0" applyFont="1" applyFill="1" applyBorder="1" applyAlignment="1">
      <alignment horizontal="center" wrapText="1"/>
    </xf>
    <xf numFmtId="0" fontId="41" fillId="30" borderId="63" xfId="0" applyFont="1" applyFill="1" applyBorder="1" applyAlignment="1">
      <alignment horizontal="center" wrapText="1"/>
    </xf>
    <xf numFmtId="0" fontId="2" fillId="10" borderId="34" xfId="0" applyFont="1" applyFill="1" applyBorder="1" applyAlignment="1">
      <alignment horizontal="center" vertical="center"/>
    </xf>
    <xf numFmtId="0" fontId="2" fillId="10" borderId="33" xfId="0" applyFont="1" applyFill="1" applyBorder="1" applyAlignment="1">
      <alignment horizontal="center" vertical="center"/>
    </xf>
    <xf numFmtId="0" fontId="2" fillId="10" borderId="33" xfId="0" applyFont="1" applyFill="1" applyBorder="1" applyAlignment="1">
      <alignment horizontal="center" vertical="center" wrapText="1"/>
    </xf>
    <xf numFmtId="0" fontId="2" fillId="10" borderId="63" xfId="0" applyFont="1" applyFill="1" applyBorder="1" applyAlignment="1">
      <alignment horizontal="center" vertical="center" wrapText="1"/>
    </xf>
    <xf numFmtId="0" fontId="0" fillId="37" borderId="40" xfId="0" applyFill="1" applyBorder="1" applyAlignment="1">
      <alignment horizontal="center" wrapText="1"/>
    </xf>
    <xf numFmtId="0" fontId="0" fillId="0" borderId="26" xfId="0" applyBorder="1" applyAlignment="1">
      <alignment horizontal="center" wrapText="1"/>
    </xf>
    <xf numFmtId="0" fontId="0" fillId="28" borderId="26" xfId="0" applyFill="1" applyBorder="1" applyAlignment="1">
      <alignment horizontal="center" wrapText="1"/>
    </xf>
    <xf numFmtId="0" fontId="0" fillId="34" borderId="49" xfId="0" applyFill="1" applyBorder="1"/>
    <xf numFmtId="0" fontId="0" fillId="33" borderId="40" xfId="0" applyFill="1" applyBorder="1"/>
    <xf numFmtId="0" fontId="0" fillId="0" borderId="26" xfId="0" applyBorder="1"/>
    <xf numFmtId="0" fontId="0" fillId="9" borderId="26" xfId="0" applyFill="1" applyBorder="1"/>
    <xf numFmtId="0" fontId="0" fillId="34" borderId="26" xfId="0" applyFill="1" applyBorder="1"/>
    <xf numFmtId="0" fontId="0" fillId="38" borderId="49" xfId="0" applyFill="1" applyBorder="1"/>
    <xf numFmtId="0" fontId="0" fillId="34" borderId="8" xfId="0" applyFill="1" applyBorder="1"/>
    <xf numFmtId="0" fontId="0" fillId="33" borderId="16" xfId="0" applyFill="1" applyBorder="1"/>
    <xf numFmtId="0" fontId="0" fillId="38" borderId="8" xfId="0" applyFill="1" applyBorder="1"/>
    <xf numFmtId="0" fontId="2" fillId="16" borderId="1" xfId="1" applyNumberFormat="1" applyFont="1" applyFill="1" applyBorder="1" applyAlignment="1">
      <alignment horizontal="center"/>
    </xf>
    <xf numFmtId="0" fontId="0" fillId="0" borderId="1" xfId="0" applyFill="1" applyBorder="1" applyAlignment="1">
      <alignment horizontal="center"/>
    </xf>
    <xf numFmtId="165" fontId="16" fillId="0" borderId="1" xfId="0" applyNumberFormat="1" applyFont="1" applyBorder="1" applyAlignment="1">
      <alignment horizontal="center"/>
    </xf>
    <xf numFmtId="14" fontId="0" fillId="0" borderId="26" xfId="0" applyNumberFormat="1" applyFill="1" applyBorder="1"/>
    <xf numFmtId="0" fontId="4" fillId="0" borderId="0" xfId="0" applyFont="1" applyAlignment="1">
      <alignment horizontal="center"/>
    </xf>
    <xf numFmtId="0" fontId="10" fillId="0" borderId="34" xfId="1" applyNumberFormat="1" applyFont="1" applyFill="1" applyBorder="1" applyAlignment="1">
      <alignment horizontal="center" vertical="center" wrapText="1"/>
    </xf>
    <xf numFmtId="0" fontId="31" fillId="0" borderId="58" xfId="0" applyFont="1" applyBorder="1" applyAlignment="1">
      <alignment horizontal="center"/>
    </xf>
    <xf numFmtId="167" fontId="16" fillId="0" borderId="16" xfId="0" applyNumberFormat="1" applyFont="1" applyBorder="1" applyAlignment="1">
      <alignment horizontal="center"/>
    </xf>
    <xf numFmtId="165" fontId="16" fillId="0" borderId="8" xfId="1" applyFont="1" applyBorder="1" applyAlignment="1">
      <alignment horizontal="center"/>
    </xf>
    <xf numFmtId="0" fontId="10" fillId="8" borderId="65" xfId="0" applyFont="1" applyFill="1" applyBorder="1" applyAlignment="1">
      <alignment horizontal="center"/>
    </xf>
    <xf numFmtId="0" fontId="4" fillId="8" borderId="58" xfId="0" applyFont="1" applyFill="1" applyBorder="1" applyAlignment="1">
      <alignment horizontal="center"/>
    </xf>
    <xf numFmtId="0" fontId="4" fillId="8" borderId="0" xfId="0" applyFont="1" applyFill="1" applyBorder="1" applyAlignment="1">
      <alignment horizontal="center"/>
    </xf>
    <xf numFmtId="14" fontId="4" fillId="0" borderId="40" xfId="0" applyNumberFormat="1" applyFont="1" applyBorder="1" applyAlignment="1">
      <alignment horizontal="center"/>
    </xf>
    <xf numFmtId="14" fontId="4" fillId="0" borderId="26" xfId="0" applyNumberFormat="1" applyFont="1" applyBorder="1" applyAlignment="1">
      <alignment horizontal="center"/>
    </xf>
    <xf numFmtId="165" fontId="4" fillId="0" borderId="26" xfId="1" applyFont="1" applyBorder="1" applyAlignment="1">
      <alignment horizontal="center"/>
    </xf>
    <xf numFmtId="0" fontId="4" fillId="7" borderId="32" xfId="0" applyFont="1" applyFill="1" applyBorder="1" applyAlignment="1">
      <alignment horizontal="center"/>
    </xf>
    <xf numFmtId="0" fontId="4" fillId="7" borderId="33" xfId="0" applyFont="1" applyFill="1" applyBorder="1" applyAlignment="1"/>
    <xf numFmtId="0" fontId="4" fillId="7" borderId="63" xfId="0" applyFont="1" applyFill="1" applyBorder="1" applyAlignment="1">
      <alignment wrapText="1"/>
    </xf>
    <xf numFmtId="0" fontId="4" fillId="0" borderId="9" xfId="0" applyFont="1" applyBorder="1" applyAlignment="1"/>
    <xf numFmtId="0" fontId="4" fillId="7" borderId="33" xfId="0" applyFont="1" applyFill="1" applyBorder="1" applyAlignment="1">
      <alignment horizontal="center" wrapText="1"/>
    </xf>
    <xf numFmtId="0" fontId="4" fillId="0" borderId="6" xfId="0" applyFont="1" applyBorder="1" applyAlignment="1"/>
    <xf numFmtId="0" fontId="4" fillId="0" borderId="16" xfId="0" applyFont="1" applyBorder="1" applyAlignment="1"/>
    <xf numFmtId="0" fontId="42" fillId="0" borderId="16" xfId="0" applyFont="1" applyBorder="1" applyAlignment="1"/>
    <xf numFmtId="0" fontId="4" fillId="0" borderId="21" xfId="0" applyFont="1" applyBorder="1" applyAlignment="1"/>
    <xf numFmtId="0" fontId="4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10" xfId="0" applyFont="1" applyBorder="1" applyAlignment="1">
      <alignment horizontal="center"/>
    </xf>
    <xf numFmtId="0" fontId="4" fillId="0" borderId="16" xfId="0" applyFont="1" applyBorder="1" applyAlignment="1">
      <alignment horizontal="center"/>
    </xf>
    <xf numFmtId="0" fontId="4" fillId="0" borderId="21" xfId="0" applyFont="1" applyBorder="1" applyAlignment="1">
      <alignment horizontal="center"/>
    </xf>
    <xf numFmtId="0" fontId="37" fillId="0" borderId="1" xfId="0" applyFont="1" applyBorder="1"/>
    <xf numFmtId="14" fontId="4" fillId="0" borderId="16" xfId="0" applyNumberFormat="1" applyFont="1" applyBorder="1" applyAlignment="1"/>
    <xf numFmtId="0" fontId="40" fillId="39" borderId="11" xfId="0" applyFont="1" applyFill="1" applyBorder="1" applyAlignment="1"/>
    <xf numFmtId="0" fontId="40" fillId="39" borderId="28" xfId="0" applyFont="1" applyFill="1" applyBorder="1" applyAlignment="1"/>
    <xf numFmtId="0" fontId="40" fillId="39" borderId="12" xfId="0" applyFont="1" applyFill="1" applyBorder="1" applyAlignment="1"/>
    <xf numFmtId="0" fontId="3" fillId="39" borderId="12" xfId="0" applyFont="1" applyFill="1" applyBorder="1" applyAlignment="1">
      <alignment horizontal="center" vertical="center"/>
    </xf>
    <xf numFmtId="14" fontId="0" fillId="0" borderId="0" xfId="0" applyNumberFormat="1"/>
    <xf numFmtId="0" fontId="62" fillId="0" borderId="0" xfId="0" applyNumberFormat="1" applyFont="1" applyFill="1" applyBorder="1" applyAlignment="1">
      <alignment horizontal="center"/>
    </xf>
    <xf numFmtId="4" fontId="22" fillId="0" borderId="0" xfId="0" applyNumberFormat="1" applyFont="1" applyAlignment="1">
      <alignment horizontal="center"/>
    </xf>
    <xf numFmtId="0" fontId="22" fillId="0" borderId="0" xfId="0" applyNumberFormat="1" applyFont="1" applyAlignment="1">
      <alignment horizontal="center"/>
    </xf>
    <xf numFmtId="0" fontId="4" fillId="0" borderId="6" xfId="0" applyFont="1" applyBorder="1" applyAlignment="1">
      <alignment horizontal="center"/>
    </xf>
    <xf numFmtId="0" fontId="0" fillId="37" borderId="21" xfId="0" applyFill="1" applyBorder="1" applyAlignment="1">
      <alignment horizontal="center" wrapText="1"/>
    </xf>
    <xf numFmtId="0" fontId="0" fillId="28" borderId="9" xfId="0" applyFill="1" applyBorder="1" applyAlignment="1">
      <alignment horizontal="center" wrapText="1"/>
    </xf>
    <xf numFmtId="0" fontId="0" fillId="34" borderId="10" xfId="0" applyFill="1" applyBorder="1"/>
    <xf numFmtId="0" fontId="0" fillId="33" borderId="21" xfId="0" applyFill="1" applyBorder="1"/>
    <xf numFmtId="0" fontId="0" fillId="9" borderId="9" xfId="0" applyFill="1" applyBorder="1"/>
    <xf numFmtId="0" fontId="0" fillId="34" borderId="9" xfId="0" applyFill="1" applyBorder="1"/>
    <xf numFmtId="0" fontId="0" fillId="38" borderId="10" xfId="0" applyFill="1" applyBorder="1"/>
    <xf numFmtId="165" fontId="16" fillId="16" borderId="57" xfId="1" applyFont="1" applyFill="1" applyBorder="1" applyAlignment="1">
      <alignment horizontal="center"/>
    </xf>
    <xf numFmtId="0" fontId="4" fillId="0" borderId="0" xfId="0" applyFont="1" applyAlignment="1">
      <alignment horizontal="center"/>
    </xf>
    <xf numFmtId="14" fontId="4" fillId="0" borderId="49" xfId="0" applyNumberFormat="1" applyFont="1" applyBorder="1" applyAlignment="1"/>
    <xf numFmtId="14" fontId="4" fillId="0" borderId="8" xfId="0" applyNumberFormat="1" applyFont="1" applyBorder="1" applyAlignment="1"/>
    <xf numFmtId="14" fontId="4" fillId="0" borderId="10" xfId="0" applyNumberFormat="1" applyFont="1" applyBorder="1" applyAlignment="1"/>
    <xf numFmtId="14" fontId="4" fillId="0" borderId="17" xfId="0" applyNumberFormat="1" applyFont="1" applyBorder="1" applyAlignment="1"/>
    <xf numFmtId="14" fontId="4" fillId="0" borderId="7" xfId="0" applyNumberFormat="1" applyFont="1" applyBorder="1" applyAlignment="1"/>
    <xf numFmtId="0" fontId="4" fillId="0" borderId="6" xfId="0" applyNumberFormat="1" applyFont="1" applyBorder="1" applyAlignment="1">
      <alignment horizontal="center"/>
    </xf>
    <xf numFmtId="14" fontId="4" fillId="0" borderId="6" xfId="0" applyNumberFormat="1" applyFont="1" applyBorder="1" applyAlignment="1">
      <alignment horizontal="center"/>
    </xf>
    <xf numFmtId="0" fontId="4" fillId="0" borderId="7" xfId="0" applyNumberFormat="1" applyFont="1" applyBorder="1" applyAlignment="1">
      <alignment horizontal="center"/>
    </xf>
    <xf numFmtId="0" fontId="4" fillId="0" borderId="8" xfId="0" applyNumberFormat="1" applyFont="1" applyBorder="1" applyAlignment="1">
      <alignment horizontal="center"/>
    </xf>
    <xf numFmtId="0" fontId="4" fillId="0" borderId="10" xfId="0" applyNumberFormat="1" applyFont="1" applyBorder="1" applyAlignment="1">
      <alignment horizontal="center"/>
    </xf>
    <xf numFmtId="0" fontId="4" fillId="7" borderId="62" xfId="0" applyFont="1" applyFill="1" applyBorder="1" applyAlignment="1">
      <alignment horizontal="center"/>
    </xf>
    <xf numFmtId="0" fontId="4" fillId="7" borderId="97" xfId="0" applyFont="1" applyFill="1" applyBorder="1" applyAlignment="1">
      <alignment horizontal="center" wrapText="1"/>
    </xf>
    <xf numFmtId="0" fontId="4" fillId="7" borderId="61" xfId="0" applyFont="1" applyFill="1" applyBorder="1" applyAlignment="1">
      <alignment horizontal="center" wrapText="1"/>
    </xf>
    <xf numFmtId="0" fontId="44" fillId="0" borderId="1" xfId="0" applyFont="1" applyBorder="1" applyAlignment="1">
      <alignment horizontal="center"/>
    </xf>
    <xf numFmtId="0" fontId="42" fillId="0" borderId="1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7" borderId="20" xfId="0" applyFont="1" applyFill="1" applyBorder="1" applyAlignment="1">
      <alignment horizontal="center"/>
    </xf>
    <xf numFmtId="0" fontId="4" fillId="7" borderId="97" xfId="0" applyFont="1" applyFill="1" applyBorder="1" applyAlignment="1">
      <alignment horizontal="center"/>
    </xf>
    <xf numFmtId="0" fontId="4" fillId="7" borderId="84" xfId="0" applyFont="1" applyFill="1" applyBorder="1" applyAlignment="1">
      <alignment horizontal="center"/>
    </xf>
    <xf numFmtId="165" fontId="15" fillId="11" borderId="12" xfId="1" applyNumberFormat="1" applyFont="1" applyFill="1" applyBorder="1" applyAlignment="1">
      <alignment horizontal="center"/>
    </xf>
    <xf numFmtId="0" fontId="10" fillId="8" borderId="38" xfId="0" applyNumberFormat="1" applyFont="1" applyFill="1" applyBorder="1" applyAlignment="1">
      <alignment horizontal="center"/>
    </xf>
    <xf numFmtId="0" fontId="11" fillId="8" borderId="84" xfId="1" applyNumberFormat="1" applyFont="1" applyFill="1" applyBorder="1" applyAlignment="1">
      <alignment horizontal="center"/>
    </xf>
    <xf numFmtId="1" fontId="11" fillId="8" borderId="38" xfId="1" applyNumberFormat="1" applyFont="1" applyFill="1" applyBorder="1" applyAlignment="1">
      <alignment horizontal="center"/>
    </xf>
    <xf numFmtId="1" fontId="34" fillId="8" borderId="30" xfId="0" applyNumberFormat="1" applyFont="1" applyFill="1" applyBorder="1" applyAlignment="1">
      <alignment horizontal="center"/>
    </xf>
    <xf numFmtId="0" fontId="10" fillId="8" borderId="38" xfId="0" applyFont="1" applyFill="1" applyBorder="1"/>
    <xf numFmtId="165" fontId="11" fillId="8" borderId="63" xfId="1" applyNumberFormat="1" applyFont="1" applyFill="1" applyBorder="1" applyAlignment="1">
      <alignment horizontal="center"/>
    </xf>
    <xf numFmtId="0" fontId="4" fillId="8" borderId="38" xfId="0" applyFont="1" applyFill="1" applyBorder="1" applyAlignment="1">
      <alignment horizontal="center"/>
    </xf>
    <xf numFmtId="0" fontId="10" fillId="8" borderId="30" xfId="0" applyFont="1" applyFill="1" applyBorder="1" applyAlignment="1">
      <alignment horizontal="center"/>
    </xf>
    <xf numFmtId="0" fontId="10" fillId="8" borderId="38" xfId="0" applyFont="1" applyFill="1" applyBorder="1" applyAlignment="1">
      <alignment horizontal="center"/>
    </xf>
    <xf numFmtId="165" fontId="16" fillId="0" borderId="60" xfId="1" applyFont="1" applyBorder="1" applyAlignment="1">
      <alignment horizontal="center"/>
    </xf>
    <xf numFmtId="165" fontId="16" fillId="0" borderId="35" xfId="1" applyFont="1" applyBorder="1" applyAlignment="1">
      <alignment horizontal="center"/>
    </xf>
    <xf numFmtId="165" fontId="16" fillId="0" borderId="62" xfId="1" applyFont="1" applyBorder="1" applyAlignment="1">
      <alignment horizontal="center"/>
    </xf>
    <xf numFmtId="166" fontId="16" fillId="0" borderId="6" xfId="1" applyNumberFormat="1" applyFont="1" applyBorder="1" applyAlignment="1">
      <alignment horizontal="center"/>
    </xf>
    <xf numFmtId="165" fontId="16" fillId="0" borderId="6" xfId="1" applyFont="1" applyBorder="1" applyAlignment="1">
      <alignment horizontal="center"/>
    </xf>
    <xf numFmtId="165" fontId="16" fillId="0" borderId="42" xfId="1" applyFont="1" applyBorder="1" applyAlignment="1">
      <alignment horizontal="center"/>
    </xf>
    <xf numFmtId="165" fontId="16" fillId="0" borderId="16" xfId="1" applyFont="1" applyBorder="1" applyAlignment="1">
      <alignment horizontal="center"/>
    </xf>
    <xf numFmtId="0" fontId="4" fillId="0" borderId="95" xfId="0" applyFont="1" applyBorder="1" applyAlignment="1">
      <alignment horizontal="center"/>
    </xf>
    <xf numFmtId="165" fontId="16" fillId="0" borderId="9" xfId="1" applyFont="1" applyBorder="1" applyAlignment="1">
      <alignment horizontal="center"/>
    </xf>
    <xf numFmtId="165" fontId="16" fillId="0" borderId="96" xfId="1" applyFont="1" applyBorder="1" applyAlignment="1">
      <alignment horizontal="center"/>
    </xf>
    <xf numFmtId="165" fontId="16" fillId="16" borderId="13" xfId="1" applyFont="1" applyFill="1" applyBorder="1" applyAlignment="1">
      <alignment horizontal="center"/>
    </xf>
    <xf numFmtId="165" fontId="16" fillId="16" borderId="5" xfId="1" applyFont="1" applyFill="1" applyBorder="1" applyAlignment="1">
      <alignment horizontal="center"/>
    </xf>
    <xf numFmtId="165" fontId="16" fillId="16" borderId="5" xfId="1" applyNumberFormat="1" applyFont="1" applyFill="1" applyBorder="1" applyAlignment="1">
      <alignment horizontal="center"/>
    </xf>
    <xf numFmtId="165" fontId="16" fillId="16" borderId="11" xfId="1" applyFont="1" applyFill="1" applyBorder="1" applyAlignment="1">
      <alignment horizontal="center"/>
    </xf>
    <xf numFmtId="0" fontId="16" fillId="0" borderId="25" xfId="1" applyNumberFormat="1" applyFont="1" applyBorder="1" applyAlignment="1">
      <alignment horizontal="center"/>
    </xf>
    <xf numFmtId="0" fontId="16" fillId="0" borderId="12" xfId="1" applyNumberFormat="1" applyFont="1" applyBorder="1" applyAlignment="1">
      <alignment horizontal="center"/>
    </xf>
    <xf numFmtId="165" fontId="11" fillId="11" borderId="17" xfId="1" applyNumberFormat="1" applyFont="1" applyFill="1" applyBorder="1" applyAlignment="1">
      <alignment horizontal="center"/>
    </xf>
    <xf numFmtId="0" fontId="11" fillId="11" borderId="36" xfId="1" applyNumberFormat="1" applyFont="1" applyFill="1" applyBorder="1" applyAlignment="1">
      <alignment horizontal="center"/>
    </xf>
    <xf numFmtId="0" fontId="16" fillId="11" borderId="55" xfId="1" applyNumberFormat="1" applyFont="1" applyFill="1" applyBorder="1" applyAlignment="1">
      <alignment horizontal="center"/>
    </xf>
    <xf numFmtId="165" fontId="11" fillId="11" borderId="16" xfId="1" applyNumberFormat="1" applyFont="1" applyFill="1" applyBorder="1" applyAlignment="1">
      <alignment horizontal="center"/>
    </xf>
    <xf numFmtId="0" fontId="11" fillId="11" borderId="8" xfId="1" applyNumberFormat="1" applyFont="1" applyFill="1" applyBorder="1" applyAlignment="1">
      <alignment horizontal="center"/>
    </xf>
    <xf numFmtId="165" fontId="11" fillId="11" borderId="21" xfId="1" applyNumberFormat="1" applyFont="1" applyFill="1" applyBorder="1" applyAlignment="1">
      <alignment horizontal="center"/>
    </xf>
    <xf numFmtId="0" fontId="11" fillId="11" borderId="9" xfId="1" applyNumberFormat="1" applyFont="1" applyFill="1" applyBorder="1" applyAlignment="1">
      <alignment horizontal="center"/>
    </xf>
    <xf numFmtId="0" fontId="11" fillId="11" borderId="10" xfId="1" applyNumberFormat="1" applyFont="1" applyFill="1" applyBorder="1" applyAlignment="1">
      <alignment horizontal="center"/>
    </xf>
    <xf numFmtId="167" fontId="16" fillId="0" borderId="11" xfId="0" applyNumberFormat="1" applyFont="1" applyBorder="1" applyAlignment="1">
      <alignment horizontal="center"/>
    </xf>
    <xf numFmtId="9" fontId="11" fillId="0" borderId="5" xfId="0" applyNumberFormat="1" applyFont="1" applyBorder="1" applyAlignment="1">
      <alignment horizontal="center"/>
    </xf>
    <xf numFmtId="14" fontId="4" fillId="0" borderId="23" xfId="0" applyNumberFormat="1" applyFont="1" applyBorder="1" applyAlignment="1">
      <alignment horizontal="center"/>
    </xf>
    <xf numFmtId="166" fontId="16" fillId="16" borderId="57" xfId="1" applyNumberFormat="1" applyFont="1" applyFill="1" applyBorder="1" applyAlignment="1">
      <alignment horizontal="center"/>
    </xf>
    <xf numFmtId="166" fontId="16" fillId="11" borderId="57" xfId="1" applyNumberFormat="1" applyFont="1" applyFill="1" applyBorder="1" applyAlignment="1">
      <alignment horizontal="center"/>
    </xf>
    <xf numFmtId="165" fontId="16" fillId="0" borderId="17" xfId="1" applyFont="1" applyBorder="1" applyAlignment="1">
      <alignment horizontal="center"/>
    </xf>
    <xf numFmtId="165" fontId="31" fillId="10" borderId="6" xfId="1" applyFont="1" applyFill="1" applyBorder="1" applyAlignment="1">
      <alignment horizontal="center"/>
    </xf>
    <xf numFmtId="165" fontId="31" fillId="10" borderId="55" xfId="1" applyFont="1" applyFill="1" applyBorder="1" applyAlignment="1">
      <alignment horizontal="center"/>
    </xf>
    <xf numFmtId="4" fontId="10" fillId="8" borderId="16" xfId="0" applyNumberFormat="1" applyFont="1" applyFill="1" applyBorder="1" applyAlignment="1">
      <alignment horizontal="center"/>
    </xf>
    <xf numFmtId="165" fontId="16" fillId="10" borderId="8" xfId="1" applyFont="1" applyFill="1" applyBorder="1" applyAlignment="1">
      <alignment horizontal="center"/>
    </xf>
    <xf numFmtId="4" fontId="10" fillId="7" borderId="16" xfId="0" applyNumberFormat="1" applyFont="1" applyFill="1" applyBorder="1" applyAlignment="1">
      <alignment horizontal="center"/>
    </xf>
    <xf numFmtId="4" fontId="4" fillId="8" borderId="21" xfId="0" applyNumberFormat="1" applyFont="1" applyFill="1" applyBorder="1" applyAlignment="1">
      <alignment horizontal="center"/>
    </xf>
    <xf numFmtId="165" fontId="16" fillId="10" borderId="9" xfId="1" applyFont="1" applyFill="1" applyBorder="1" applyAlignment="1">
      <alignment horizontal="center"/>
    </xf>
    <xf numFmtId="165" fontId="16" fillId="10" borderId="10" xfId="1" applyFont="1" applyFill="1" applyBorder="1" applyAlignment="1">
      <alignment horizontal="center"/>
    </xf>
    <xf numFmtId="169" fontId="11" fillId="16" borderId="16" xfId="0" applyNumberFormat="1" applyFont="1" applyFill="1" applyBorder="1" applyAlignment="1">
      <alignment horizontal="center"/>
    </xf>
    <xf numFmtId="0" fontId="0" fillId="0" borderId="20" xfId="0" applyBorder="1"/>
    <xf numFmtId="0" fontId="0" fillId="0" borderId="62" xfId="0" applyBorder="1" applyAlignment="1">
      <alignment horizontal="center" vertical="center" wrapText="1"/>
    </xf>
    <xf numFmtId="0" fontId="25" fillId="0" borderId="1" xfId="0" applyFont="1" applyBorder="1"/>
    <xf numFmtId="0" fontId="26" fillId="0" borderId="1" xfId="0" applyFont="1" applyBorder="1" applyAlignment="1">
      <alignment horizontal="center"/>
    </xf>
    <xf numFmtId="0" fontId="26" fillId="0" borderId="1" xfId="0" applyFont="1" applyBorder="1"/>
    <xf numFmtId="18" fontId="25" fillId="0" borderId="1" xfId="0" applyNumberFormat="1" applyFont="1" applyBorder="1"/>
    <xf numFmtId="0" fontId="0" fillId="28" borderId="1" xfId="0" applyFill="1" applyBorder="1" applyAlignment="1">
      <alignment horizontal="center" vertical="center" wrapText="1"/>
    </xf>
    <xf numFmtId="3" fontId="0" fillId="28" borderId="11" xfId="0" applyNumberFormat="1" applyFill="1" applyBorder="1" applyAlignment="1">
      <alignment horizontal="center" vertical="center" wrapText="1"/>
    </xf>
    <xf numFmtId="0" fontId="25" fillId="23" borderId="1" xfId="0" applyFont="1" applyFill="1" applyBorder="1"/>
    <xf numFmtId="0" fontId="2" fillId="0" borderId="45" xfId="0" applyFont="1" applyBorder="1" applyAlignment="1">
      <alignment horizontal="center" vertical="center" wrapText="1"/>
    </xf>
    <xf numFmtId="17" fontId="2" fillId="0" borderId="38" xfId="0" applyNumberFormat="1" applyFont="1" applyBorder="1" applyAlignment="1">
      <alignment horizontal="center" vertical="center" wrapText="1"/>
    </xf>
    <xf numFmtId="0" fontId="26" fillId="0" borderId="98" xfId="0" applyFont="1" applyBorder="1" applyAlignment="1">
      <alignment horizontal="center"/>
    </xf>
    <xf numFmtId="0" fontId="2" fillId="23" borderId="31" xfId="0" applyFont="1" applyFill="1" applyBorder="1" applyAlignment="1">
      <alignment horizontal="center" vertical="center" wrapText="1"/>
    </xf>
    <xf numFmtId="0" fontId="25" fillId="0" borderId="30" xfId="0" applyFont="1" applyBorder="1"/>
    <xf numFmtId="3" fontId="0" fillId="28" borderId="84" xfId="0" applyNumberFormat="1" applyFill="1" applyBorder="1" applyAlignment="1">
      <alignment horizontal="center" vertical="center" wrapText="1"/>
    </xf>
    <xf numFmtId="0" fontId="0" fillId="28" borderId="38" xfId="0" applyFill="1" applyBorder="1" applyAlignment="1">
      <alignment horizontal="center" vertical="center" wrapText="1"/>
    </xf>
    <xf numFmtId="0" fontId="26" fillId="0" borderId="99" xfId="0" applyFont="1" applyBorder="1"/>
    <xf numFmtId="0" fontId="25" fillId="23" borderId="100" xfId="0" applyFont="1" applyFill="1" applyBorder="1"/>
    <xf numFmtId="9" fontId="0" fillId="0" borderId="27" xfId="6" applyFont="1" applyBorder="1" applyAlignment="1">
      <alignment wrapText="1"/>
    </xf>
    <xf numFmtId="9" fontId="0" fillId="0" borderId="5" xfId="6" applyFont="1" applyBorder="1" applyAlignment="1">
      <alignment wrapText="1"/>
    </xf>
    <xf numFmtId="0" fontId="25" fillId="0" borderId="22" xfId="0" applyFont="1" applyBorder="1"/>
    <xf numFmtId="18" fontId="25" fillId="0" borderId="22" xfId="0" applyNumberFormat="1" applyFont="1" applyBorder="1"/>
    <xf numFmtId="169" fontId="5" fillId="0" borderId="17" xfId="0" applyNumberFormat="1" applyFont="1" applyFill="1" applyBorder="1" applyAlignment="1">
      <alignment horizontal="center"/>
    </xf>
    <xf numFmtId="0" fontId="25" fillId="0" borderId="6" xfId="0" applyFont="1" applyBorder="1"/>
    <xf numFmtId="0" fontId="25" fillId="23" borderId="6" xfId="0" applyFont="1" applyFill="1" applyBorder="1"/>
    <xf numFmtId="0" fontId="26" fillId="0" borderId="6" xfId="0" applyFont="1" applyBorder="1" applyAlignment="1">
      <alignment horizontal="center"/>
    </xf>
    <xf numFmtId="169" fontId="17" fillId="0" borderId="7" xfId="0" applyNumberFormat="1" applyFont="1" applyFill="1" applyBorder="1" applyAlignment="1">
      <alignment horizontal="center"/>
    </xf>
    <xf numFmtId="169" fontId="5" fillId="0" borderId="16" xfId="0" applyNumberFormat="1" applyFont="1" applyFill="1" applyBorder="1" applyAlignment="1">
      <alignment horizontal="center"/>
    </xf>
    <xf numFmtId="169" fontId="17" fillId="0" borderId="8" xfId="0" applyNumberFormat="1" applyFont="1" applyFill="1" applyBorder="1" applyAlignment="1">
      <alignment horizontal="center"/>
    </xf>
    <xf numFmtId="169" fontId="5" fillId="0" borderId="21" xfId="0" applyNumberFormat="1" applyFont="1" applyFill="1" applyBorder="1" applyAlignment="1">
      <alignment horizontal="center"/>
    </xf>
    <xf numFmtId="0" fontId="25" fillId="23" borderId="9" xfId="0" applyFont="1" applyFill="1" applyBorder="1"/>
    <xf numFmtId="0" fontId="26" fillId="0" borderId="9" xfId="0" applyFont="1" applyBorder="1" applyAlignment="1">
      <alignment horizontal="center"/>
    </xf>
    <xf numFmtId="0" fontId="0" fillId="23" borderId="9" xfId="0" applyFill="1" applyBorder="1"/>
    <xf numFmtId="169" fontId="17" fillId="0" borderId="10" xfId="0" applyNumberFormat="1" applyFont="1" applyFill="1" applyBorder="1" applyAlignment="1">
      <alignment horizontal="center"/>
    </xf>
    <xf numFmtId="0" fontId="25" fillId="0" borderId="5" xfId="0" applyFont="1" applyBorder="1"/>
    <xf numFmtId="169" fontId="17" fillId="0" borderId="17" xfId="0" applyNumberFormat="1" applyFont="1" applyFill="1" applyBorder="1" applyAlignment="1">
      <alignment horizontal="center"/>
    </xf>
    <xf numFmtId="0" fontId="0" fillId="28" borderId="6" xfId="0" applyFill="1" applyBorder="1" applyAlignment="1">
      <alignment horizontal="center" vertical="center" wrapText="1"/>
    </xf>
    <xf numFmtId="0" fontId="25" fillId="0" borderId="7" xfId="0" applyFont="1" applyBorder="1"/>
    <xf numFmtId="169" fontId="17" fillId="0" borderId="16" xfId="0" applyNumberFormat="1" applyFont="1" applyFill="1" applyBorder="1" applyAlignment="1">
      <alignment horizontal="center"/>
    </xf>
    <xf numFmtId="0" fontId="25" fillId="0" borderId="8" xfId="0" applyFont="1" applyBorder="1"/>
    <xf numFmtId="169" fontId="17" fillId="0" borderId="21" xfId="0" applyNumberFormat="1" applyFont="1" applyFill="1" applyBorder="1" applyAlignment="1">
      <alignment horizontal="center"/>
    </xf>
    <xf numFmtId="0" fontId="25" fillId="0" borderId="9" xfId="0" applyFont="1" applyBorder="1"/>
    <xf numFmtId="0" fontId="0" fillId="28" borderId="9" xfId="0" applyFill="1" applyBorder="1" applyAlignment="1">
      <alignment horizontal="center" vertical="center" wrapText="1"/>
    </xf>
    <xf numFmtId="0" fontId="0" fillId="0" borderId="10" xfId="0" applyBorder="1"/>
    <xf numFmtId="0" fontId="19" fillId="16" borderId="38" xfId="0" applyFont="1" applyFill="1" applyBorder="1" applyAlignment="1">
      <alignment horizontal="center" vertical="center" wrapText="1"/>
    </xf>
    <xf numFmtId="169" fontId="17" fillId="0" borderId="22" xfId="0" applyNumberFormat="1" applyFont="1" applyFill="1" applyBorder="1" applyAlignment="1">
      <alignment horizontal="center"/>
    </xf>
    <xf numFmtId="0" fontId="26" fillId="0" borderId="6" xfId="0" applyFont="1" applyBorder="1"/>
    <xf numFmtId="0" fontId="25" fillId="23" borderId="7" xfId="0" applyFont="1" applyFill="1" applyBorder="1"/>
    <xf numFmtId="0" fontId="25" fillId="23" borderId="8" xfId="0" applyFont="1" applyFill="1" applyBorder="1"/>
    <xf numFmtId="0" fontId="26" fillId="0" borderId="9" xfId="0" applyFont="1" applyBorder="1"/>
    <xf numFmtId="0" fontId="25" fillId="23" borderId="10" xfId="0" applyFont="1" applyFill="1" applyBorder="1"/>
    <xf numFmtId="0" fontId="25" fillId="0" borderId="39" xfId="0" applyFont="1" applyBorder="1"/>
    <xf numFmtId="3" fontId="0" fillId="28" borderId="97" xfId="0" applyNumberFormat="1" applyFill="1" applyBorder="1" applyAlignment="1">
      <alignment horizontal="center" vertical="center" wrapText="1"/>
    </xf>
    <xf numFmtId="0" fontId="25" fillId="0" borderId="36" xfId="0" applyFont="1" applyBorder="1"/>
    <xf numFmtId="3" fontId="0" fillId="28" borderId="101" xfId="0" applyNumberFormat="1" applyFill="1" applyBorder="1" applyAlignment="1">
      <alignment horizontal="center" vertical="center" wrapText="1"/>
    </xf>
    <xf numFmtId="0" fontId="0" fillId="0" borderId="101" xfId="0" applyBorder="1"/>
    <xf numFmtId="169" fontId="17" fillId="0" borderId="39" xfId="0" applyNumberFormat="1" applyFont="1" applyFill="1" applyBorder="1" applyAlignment="1">
      <alignment horizontal="center"/>
    </xf>
    <xf numFmtId="169" fontId="17" fillId="0" borderId="37" xfId="0" applyNumberFormat="1" applyFont="1" applyFill="1" applyBorder="1" applyAlignment="1">
      <alignment horizontal="center"/>
    </xf>
    <xf numFmtId="164" fontId="25" fillId="0" borderId="17" xfId="3" applyFont="1" applyBorder="1"/>
    <xf numFmtId="10" fontId="0" fillId="0" borderId="7" xfId="6" applyNumberFormat="1" applyFont="1" applyBorder="1" applyAlignment="1">
      <alignment horizontal="center" vertical="center" wrapText="1"/>
    </xf>
    <xf numFmtId="164" fontId="25" fillId="0" borderId="16" xfId="3" applyFont="1" applyBorder="1"/>
    <xf numFmtId="10" fontId="0" fillId="0" borderId="8" xfId="6" applyNumberFormat="1" applyFont="1" applyBorder="1" applyAlignment="1">
      <alignment horizontal="center" vertical="center" wrapText="1"/>
    </xf>
    <xf numFmtId="164" fontId="25" fillId="0" borderId="21" xfId="3" applyFont="1" applyBorder="1"/>
    <xf numFmtId="10" fontId="0" fillId="0" borderId="10" xfId="6" applyNumberFormat="1" applyFont="1" applyBorder="1" applyAlignment="1">
      <alignment horizontal="center" vertical="center" wrapText="1"/>
    </xf>
    <xf numFmtId="166" fontId="16" fillId="7" borderId="57" xfId="1" applyNumberFormat="1" applyFont="1" applyFill="1" applyBorder="1" applyAlignment="1">
      <alignment horizontal="center"/>
    </xf>
    <xf numFmtId="165" fontId="11" fillId="16" borderId="22" xfId="1" applyFont="1" applyFill="1" applyBorder="1" applyAlignment="1">
      <alignment horizontal="center"/>
    </xf>
    <xf numFmtId="0" fontId="56" fillId="0" borderId="48" xfId="0" applyFont="1" applyBorder="1" applyAlignment="1">
      <alignment horizontal="center"/>
    </xf>
    <xf numFmtId="0" fontId="22" fillId="19" borderId="6" xfId="0" applyFont="1" applyFill="1" applyBorder="1" applyAlignment="1">
      <alignment horizontal="center" vertical="top"/>
    </xf>
    <xf numFmtId="0" fontId="22" fillId="20" borderId="6" xfId="0" applyFont="1" applyFill="1" applyBorder="1" applyAlignment="1">
      <alignment horizontal="center" vertical="top"/>
    </xf>
    <xf numFmtId="0" fontId="22" fillId="21" borderId="6" xfId="0" applyFont="1" applyFill="1" applyBorder="1" applyAlignment="1">
      <alignment horizontal="center" vertical="top"/>
    </xf>
    <xf numFmtId="0" fontId="22" fillId="0" borderId="6" xfId="0" applyFont="1" applyBorder="1" applyAlignment="1">
      <alignment horizontal="center" vertical="top"/>
    </xf>
    <xf numFmtId="0" fontId="19" fillId="12" borderId="53" xfId="0" applyFont="1" applyFill="1" applyBorder="1" applyAlignment="1">
      <alignment horizontal="center" vertical="center" wrapText="1"/>
    </xf>
    <xf numFmtId="0" fontId="19" fillId="12" borderId="30" xfId="0" applyFont="1" applyFill="1" applyBorder="1" applyAlignment="1">
      <alignment horizontal="center" vertical="center" wrapText="1"/>
    </xf>
    <xf numFmtId="0" fontId="19" fillId="12" borderId="53" xfId="0" applyFont="1" applyFill="1" applyBorder="1" applyAlignment="1">
      <alignment horizontal="center" vertical="center"/>
    </xf>
    <xf numFmtId="0" fontId="19" fillId="12" borderId="30" xfId="0" applyFont="1" applyFill="1" applyBorder="1" applyAlignment="1">
      <alignment horizontal="center" vertical="center"/>
    </xf>
    <xf numFmtId="0" fontId="19" fillId="12" borderId="31" xfId="0" applyFont="1" applyFill="1" applyBorder="1" applyAlignment="1">
      <alignment horizontal="center" vertical="center"/>
    </xf>
    <xf numFmtId="0" fontId="19" fillId="12" borderId="20" xfId="0" applyFont="1" applyFill="1" applyBorder="1" applyAlignment="1">
      <alignment horizontal="center" vertical="center"/>
    </xf>
    <xf numFmtId="0" fontId="19" fillId="12" borderId="35" xfId="0" applyFont="1" applyFill="1" applyBorder="1" applyAlignment="1">
      <alignment horizontal="center" vertical="center"/>
    </xf>
    <xf numFmtId="0" fontId="19" fillId="12" borderId="55" xfId="0" applyFont="1" applyFill="1" applyBorder="1" applyAlignment="1">
      <alignment horizontal="center" vertical="center"/>
    </xf>
    <xf numFmtId="0" fontId="27" fillId="0" borderId="53" xfId="0" applyFont="1" applyBorder="1" applyAlignment="1">
      <alignment horizontal="center" vertical="center" wrapText="1"/>
    </xf>
    <xf numFmtId="0" fontId="27" fillId="0" borderId="30" xfId="0" applyFont="1" applyBorder="1" applyAlignment="1">
      <alignment horizontal="center" vertical="center" wrapText="1"/>
    </xf>
    <xf numFmtId="0" fontId="27" fillId="0" borderId="31" xfId="0" applyFont="1" applyBorder="1" applyAlignment="1">
      <alignment horizontal="center" vertical="center" wrapText="1"/>
    </xf>
    <xf numFmtId="0" fontId="19" fillId="0" borderId="53" xfId="0" applyFont="1" applyBorder="1" applyAlignment="1">
      <alignment horizontal="center" vertical="center" wrapText="1"/>
    </xf>
    <xf numFmtId="0" fontId="19" fillId="0" borderId="30" xfId="0" applyFont="1" applyBorder="1" applyAlignment="1">
      <alignment horizontal="center" vertical="center" wrapText="1"/>
    </xf>
    <xf numFmtId="0" fontId="19" fillId="0" borderId="31" xfId="0" applyFont="1" applyBorder="1" applyAlignment="1">
      <alignment horizontal="center" vertical="center" wrapText="1"/>
    </xf>
    <xf numFmtId="164" fontId="19" fillId="0" borderId="53" xfId="3" applyFont="1" applyBorder="1" applyAlignment="1">
      <alignment horizontal="center" vertical="center" wrapText="1"/>
    </xf>
    <xf numFmtId="164" fontId="0" fillId="0" borderId="31" xfId="3" applyFont="1" applyBorder="1"/>
    <xf numFmtId="0" fontId="19" fillId="12" borderId="47" xfId="0" applyFont="1" applyFill="1" applyBorder="1" applyAlignment="1">
      <alignment horizontal="center" vertical="center" wrapText="1"/>
    </xf>
    <xf numFmtId="0" fontId="19" fillId="12" borderId="58" xfId="0" applyFont="1" applyFill="1" applyBorder="1" applyAlignment="1">
      <alignment horizontal="center" vertical="center" wrapText="1"/>
    </xf>
    <xf numFmtId="0" fontId="19" fillId="12" borderId="0" xfId="0" applyFont="1" applyFill="1" applyBorder="1" applyAlignment="1">
      <alignment horizontal="center" vertical="center" wrapText="1"/>
    </xf>
    <xf numFmtId="0" fontId="25" fillId="16" borderId="53" xfId="0" applyFont="1" applyFill="1" applyBorder="1" applyAlignment="1">
      <alignment wrapText="1"/>
    </xf>
    <xf numFmtId="0" fontId="25" fillId="16" borderId="30" xfId="0" applyFont="1" applyFill="1" applyBorder="1" applyAlignment="1">
      <alignment wrapText="1"/>
    </xf>
    <xf numFmtId="0" fontId="25" fillId="16" borderId="31" xfId="0" applyFont="1" applyFill="1" applyBorder="1" applyAlignment="1">
      <alignment wrapText="1"/>
    </xf>
    <xf numFmtId="0" fontId="2" fillId="0" borderId="53" xfId="0" applyFont="1" applyBorder="1" applyAlignment="1">
      <alignment horizontal="center" vertical="center" wrapText="1"/>
    </xf>
    <xf numFmtId="0" fontId="0" fillId="0" borderId="31" xfId="0" applyBorder="1" applyAlignment="1">
      <alignment horizontal="center" vertical="center" wrapText="1"/>
    </xf>
    <xf numFmtId="0" fontId="2" fillId="0" borderId="82" xfId="0" applyFont="1" applyBorder="1" applyAlignment="1">
      <alignment horizontal="center"/>
    </xf>
    <xf numFmtId="0" fontId="2" fillId="0" borderId="92" xfId="0" applyFont="1" applyBorder="1" applyAlignment="1">
      <alignment horizontal="center"/>
    </xf>
    <xf numFmtId="0" fontId="2" fillId="0" borderId="39" xfId="0" applyFont="1" applyBorder="1" applyAlignment="1">
      <alignment horizontal="center"/>
    </xf>
    <xf numFmtId="17" fontId="28" fillId="0" borderId="0" xfId="0" applyNumberFormat="1" applyFont="1" applyBorder="1" applyAlignment="1">
      <alignment horizontal="center" wrapText="1"/>
    </xf>
    <xf numFmtId="0" fontId="0" fillId="0" borderId="0" xfId="0" applyBorder="1" applyAlignment="1">
      <alignment wrapText="1"/>
    </xf>
    <xf numFmtId="0" fontId="8" fillId="7" borderId="53" xfId="0" applyFont="1" applyFill="1" applyBorder="1" applyAlignment="1">
      <alignment horizontal="center" vertical="center"/>
    </xf>
    <xf numFmtId="0" fontId="8" fillId="7" borderId="30" xfId="0" applyFont="1" applyFill="1" applyBorder="1" applyAlignment="1">
      <alignment horizontal="center" vertical="center"/>
    </xf>
    <xf numFmtId="0" fontId="8" fillId="7" borderId="31" xfId="0" applyFont="1" applyFill="1" applyBorder="1" applyAlignment="1">
      <alignment horizontal="center" vertical="center"/>
    </xf>
    <xf numFmtId="0" fontId="61" fillId="31" borderId="53" xfId="0" applyFont="1" applyFill="1" applyBorder="1" applyAlignment="1">
      <alignment horizontal="center"/>
    </xf>
    <xf numFmtId="0" fontId="61" fillId="31" borderId="30" xfId="0" applyFont="1" applyFill="1" applyBorder="1" applyAlignment="1">
      <alignment horizontal="center"/>
    </xf>
    <xf numFmtId="0" fontId="61" fillId="31" borderId="31" xfId="0" applyFont="1" applyFill="1" applyBorder="1" applyAlignment="1">
      <alignment horizontal="center"/>
    </xf>
    <xf numFmtId="0" fontId="10" fillId="27" borderId="53" xfId="0" applyFont="1" applyFill="1" applyBorder="1" applyAlignment="1">
      <alignment horizontal="center"/>
    </xf>
    <xf numFmtId="0" fontId="10" fillId="27" borderId="30" xfId="0" applyFont="1" applyFill="1" applyBorder="1" applyAlignment="1">
      <alignment horizontal="center"/>
    </xf>
    <xf numFmtId="0" fontId="10" fillId="27" borderId="31" xfId="0" applyFont="1" applyFill="1" applyBorder="1" applyAlignment="1">
      <alignment horizontal="center"/>
    </xf>
    <xf numFmtId="0" fontId="4" fillId="0" borderId="0" xfId="0" applyFont="1" applyAlignment="1">
      <alignment horizontal="center"/>
    </xf>
    <xf numFmtId="17" fontId="47" fillId="0" borderId="0" xfId="0" applyNumberFormat="1" applyFont="1" applyAlignment="1">
      <alignment horizontal="center"/>
    </xf>
    <xf numFmtId="0" fontId="48" fillId="0" borderId="0" xfId="0" applyFont="1" applyAlignment="1">
      <alignment horizontal="center"/>
    </xf>
    <xf numFmtId="0" fontId="36" fillId="0" borderId="20" xfId="0" applyFont="1" applyBorder="1" applyAlignment="1">
      <alignment horizontal="center"/>
    </xf>
    <xf numFmtId="0" fontId="36" fillId="0" borderId="30" xfId="0" applyFont="1" applyBorder="1" applyAlignment="1">
      <alignment horizontal="center"/>
    </xf>
    <xf numFmtId="0" fontId="36" fillId="0" borderId="31" xfId="0" applyFont="1" applyBorder="1" applyAlignment="1">
      <alignment horizontal="center"/>
    </xf>
    <xf numFmtId="0" fontId="45" fillId="0" borderId="53" xfId="0" applyFont="1" applyBorder="1" applyAlignment="1">
      <alignment horizontal="center"/>
    </xf>
    <xf numFmtId="0" fontId="45" fillId="0" borderId="30" xfId="0" applyFont="1" applyBorder="1" applyAlignment="1">
      <alignment horizontal="center"/>
    </xf>
    <xf numFmtId="0" fontId="45" fillId="0" borderId="31" xfId="0" applyFont="1" applyBorder="1" applyAlignment="1">
      <alignment horizontal="center"/>
    </xf>
    <xf numFmtId="0" fontId="46" fillId="2" borderId="53" xfId="0" applyFont="1" applyFill="1" applyBorder="1" applyAlignment="1">
      <alignment horizontal="center"/>
    </xf>
    <xf numFmtId="0" fontId="46" fillId="2" borderId="30" xfId="0" applyFont="1" applyFill="1" applyBorder="1" applyAlignment="1">
      <alignment horizontal="center"/>
    </xf>
    <xf numFmtId="0" fontId="46" fillId="2" borderId="31" xfId="0" applyFont="1" applyFill="1" applyBorder="1" applyAlignment="1">
      <alignment horizontal="center"/>
    </xf>
    <xf numFmtId="0" fontId="10" fillId="30" borderId="53" xfId="0" applyFont="1" applyFill="1" applyBorder="1" applyAlignment="1">
      <alignment horizontal="center"/>
    </xf>
    <xf numFmtId="0" fontId="10" fillId="30" borderId="30" xfId="0" applyFont="1" applyFill="1" applyBorder="1" applyAlignment="1">
      <alignment horizontal="center"/>
    </xf>
    <xf numFmtId="0" fontId="10" fillId="30" borderId="31" xfId="0" applyFont="1" applyFill="1" applyBorder="1" applyAlignment="1">
      <alignment horizontal="center"/>
    </xf>
    <xf numFmtId="0" fontId="4" fillId="32" borderId="53" xfId="0" applyNumberFormat="1" applyFont="1" applyFill="1" applyBorder="1" applyAlignment="1">
      <alignment horizontal="center"/>
    </xf>
    <xf numFmtId="0" fontId="4" fillId="32" borderId="30" xfId="0" applyNumberFormat="1" applyFont="1" applyFill="1" applyBorder="1" applyAlignment="1">
      <alignment horizontal="center"/>
    </xf>
    <xf numFmtId="0" fontId="4" fillId="32" borderId="31" xfId="0" applyNumberFormat="1" applyFont="1" applyFill="1" applyBorder="1" applyAlignment="1">
      <alignment horizontal="center"/>
    </xf>
    <xf numFmtId="0" fontId="6" fillId="3" borderId="1" xfId="0" applyFont="1" applyFill="1" applyBorder="1" applyAlignment="1">
      <alignment horizontal="center"/>
    </xf>
    <xf numFmtId="0" fontId="6" fillId="2" borderId="11" xfId="0" applyFont="1" applyFill="1" applyBorder="1" applyAlignment="1">
      <alignment horizontal="center"/>
    </xf>
    <xf numFmtId="0" fontId="6" fillId="2" borderId="28" xfId="0" applyFont="1" applyFill="1" applyBorder="1" applyAlignment="1">
      <alignment horizontal="center"/>
    </xf>
    <xf numFmtId="0" fontId="6" fillId="2" borderId="23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 vertical="center"/>
    </xf>
    <xf numFmtId="0" fontId="3" fillId="2" borderId="26" xfId="0" applyFont="1" applyFill="1" applyBorder="1" applyAlignment="1">
      <alignment horizontal="center" vertical="center"/>
    </xf>
    <xf numFmtId="0" fontId="2" fillId="28" borderId="56" xfId="0" applyFont="1" applyFill="1" applyBorder="1" applyAlignment="1">
      <alignment horizontal="center" wrapText="1"/>
    </xf>
    <xf numFmtId="0" fontId="2" fillId="28" borderId="91" xfId="0" applyFont="1" applyFill="1" applyBorder="1" applyAlignment="1">
      <alignment horizontal="center" wrapText="1"/>
    </xf>
    <xf numFmtId="0" fontId="37" fillId="11" borderId="53" xfId="0" applyFont="1" applyFill="1" applyBorder="1" applyAlignment="1">
      <alignment horizontal="center"/>
    </xf>
    <xf numFmtId="0" fontId="37" fillId="11" borderId="30" xfId="0" applyFont="1" applyFill="1" applyBorder="1" applyAlignment="1">
      <alignment horizontal="center"/>
    </xf>
    <xf numFmtId="0" fontId="37" fillId="11" borderId="31" xfId="0" applyFont="1" applyFill="1" applyBorder="1" applyAlignment="1">
      <alignment horizontal="center"/>
    </xf>
    <xf numFmtId="0" fontId="0" fillId="0" borderId="45" xfId="0" applyBorder="1" applyAlignment="1">
      <alignment horizontal="center"/>
    </xf>
    <xf numFmtId="0" fontId="0" fillId="0" borderId="47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28" borderId="82" xfId="0" applyFill="1" applyBorder="1" applyAlignment="1">
      <alignment horizontal="center" vertical="top" wrapText="1"/>
    </xf>
    <xf numFmtId="0" fontId="0" fillId="28" borderId="42" xfId="0" applyFill="1" applyBorder="1" applyAlignment="1">
      <alignment horizontal="center" vertical="top" wrapText="1"/>
    </xf>
    <xf numFmtId="0" fontId="0" fillId="28" borderId="17" xfId="0" applyFill="1" applyBorder="1" applyAlignment="1">
      <alignment horizontal="center" vertical="top" wrapText="1"/>
    </xf>
    <xf numFmtId="0" fontId="0" fillId="28" borderId="7" xfId="0" applyFill="1" applyBorder="1" applyAlignment="1">
      <alignment horizontal="center" vertical="top" wrapText="1"/>
    </xf>
    <xf numFmtId="0" fontId="0" fillId="28" borderId="17" xfId="0" applyFill="1" applyBorder="1" applyAlignment="1">
      <alignment horizontal="center" vertical="center"/>
    </xf>
    <xf numFmtId="0" fontId="0" fillId="28" borderId="7" xfId="0" applyFill="1" applyBorder="1" applyAlignment="1">
      <alignment horizontal="center" vertical="center"/>
    </xf>
    <xf numFmtId="0" fontId="2" fillId="28" borderId="18" xfId="0" applyFont="1" applyFill="1" applyBorder="1" applyAlignment="1">
      <alignment horizontal="center" vertical="top" wrapText="1"/>
    </xf>
    <xf numFmtId="0" fontId="0" fillId="28" borderId="19" xfId="0" applyFill="1" applyBorder="1" applyAlignment="1">
      <alignment horizontal="center" vertical="top" wrapText="1"/>
    </xf>
    <xf numFmtId="0" fontId="3" fillId="7" borderId="4" xfId="0" applyFont="1" applyFill="1" applyBorder="1" applyAlignment="1">
      <alignment horizontal="center" vertical="center"/>
    </xf>
    <xf numFmtId="0" fontId="3" fillId="7" borderId="26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 wrapText="1"/>
    </xf>
    <xf numFmtId="0" fontId="40" fillId="26" borderId="13" xfId="0" applyFont="1" applyFill="1" applyBorder="1" applyAlignment="1">
      <alignment horizontal="center"/>
    </xf>
    <xf numFmtId="0" fontId="40" fillId="26" borderId="0" xfId="0" applyFont="1" applyFill="1" applyBorder="1" applyAlignment="1">
      <alignment horizontal="center"/>
    </xf>
    <xf numFmtId="0" fontId="19" fillId="7" borderId="85" xfId="4" applyFont="1" applyFill="1" applyBorder="1" applyAlignment="1">
      <alignment horizontal="center" vertical="center" wrapText="1"/>
    </xf>
    <xf numFmtId="0" fontId="19" fillId="7" borderId="83" xfId="4" applyFont="1" applyFill="1" applyBorder="1" applyAlignment="1">
      <alignment horizontal="center" vertical="center" wrapText="1"/>
    </xf>
    <xf numFmtId="0" fontId="19" fillId="7" borderId="87" xfId="4" applyFont="1" applyFill="1" applyBorder="1" applyAlignment="1">
      <alignment horizontal="center" vertical="center" wrapText="1"/>
    </xf>
    <xf numFmtId="0" fontId="19" fillId="7" borderId="88" xfId="4" applyFont="1" applyFill="1" applyBorder="1" applyAlignment="1">
      <alignment horizontal="center" vertical="center" wrapText="1"/>
    </xf>
    <xf numFmtId="0" fontId="4" fillId="13" borderId="3" xfId="0" applyFont="1" applyFill="1" applyBorder="1" applyAlignment="1">
      <alignment horizontal="center" wrapText="1"/>
    </xf>
    <xf numFmtId="0" fontId="4" fillId="13" borderId="44" xfId="0" applyFont="1" applyFill="1" applyBorder="1" applyAlignment="1">
      <alignment horizontal="center" wrapText="1"/>
    </xf>
    <xf numFmtId="0" fontId="19" fillId="7" borderId="72" xfId="4" applyFont="1" applyFill="1" applyBorder="1" applyAlignment="1">
      <alignment horizontal="center" vertical="center" wrapText="1"/>
    </xf>
    <xf numFmtId="0" fontId="19" fillId="7" borderId="73" xfId="4" applyFont="1" applyFill="1" applyBorder="1" applyAlignment="1">
      <alignment horizontal="center" vertical="center" wrapText="1"/>
    </xf>
    <xf numFmtId="0" fontId="19" fillId="7" borderId="74" xfId="4" applyFont="1" applyFill="1" applyBorder="1" applyAlignment="1">
      <alignment horizontal="center" vertical="center" wrapText="1"/>
    </xf>
    <xf numFmtId="0" fontId="19" fillId="7" borderId="75" xfId="4" applyFont="1" applyFill="1" applyBorder="1" applyAlignment="1">
      <alignment horizontal="center" vertical="center" wrapText="1"/>
    </xf>
    <xf numFmtId="0" fontId="19" fillId="7" borderId="76" xfId="4" applyFont="1" applyFill="1" applyBorder="1" applyAlignment="1">
      <alignment horizontal="center" vertical="center" wrapText="1"/>
    </xf>
    <xf numFmtId="0" fontId="19" fillId="7" borderId="77" xfId="4" applyFont="1" applyFill="1" applyBorder="1" applyAlignment="1">
      <alignment horizontal="center" vertical="center" wrapText="1"/>
    </xf>
    <xf numFmtId="0" fontId="19" fillId="7" borderId="86" xfId="4" applyFont="1" applyFill="1" applyBorder="1" applyAlignment="1">
      <alignment horizontal="center" vertical="center" wrapText="1"/>
    </xf>
    <xf numFmtId="0" fontId="19" fillId="7" borderId="89" xfId="4" applyFont="1" applyFill="1" applyBorder="1" applyAlignment="1">
      <alignment horizontal="center" vertical="center" wrapText="1"/>
    </xf>
    <xf numFmtId="0" fontId="3" fillId="7" borderId="5" xfId="0" applyFont="1" applyFill="1" applyBorder="1" applyAlignment="1">
      <alignment horizontal="center" vertical="center" wrapText="1"/>
    </xf>
    <xf numFmtId="0" fontId="6" fillId="8" borderId="26" xfId="0" applyFont="1" applyFill="1" applyBorder="1" applyAlignment="1">
      <alignment horizontal="center"/>
    </xf>
    <xf numFmtId="0" fontId="29" fillId="0" borderId="20" xfId="0" applyFont="1" applyBorder="1" applyAlignment="1">
      <alignment horizontal="center"/>
    </xf>
    <xf numFmtId="0" fontId="29" fillId="0" borderId="35" xfId="0" applyFont="1" applyBorder="1" applyAlignment="1">
      <alignment horizontal="center"/>
    </xf>
    <xf numFmtId="0" fontId="29" fillId="0" borderId="55" xfId="0" applyFont="1" applyBorder="1" applyAlignment="1">
      <alignment horizontal="center"/>
    </xf>
    <xf numFmtId="0" fontId="8" fillId="11" borderId="34" xfId="0" applyFont="1" applyFill="1" applyBorder="1" applyAlignment="1">
      <alignment horizontal="center"/>
    </xf>
    <xf numFmtId="0" fontId="8" fillId="11" borderId="33" xfId="0" applyFont="1" applyFill="1" applyBorder="1" applyAlignment="1">
      <alignment horizontal="center"/>
    </xf>
    <xf numFmtId="0" fontId="8" fillId="11" borderId="63" xfId="0" applyFont="1" applyFill="1" applyBorder="1" applyAlignment="1">
      <alignment horizontal="center"/>
    </xf>
    <xf numFmtId="0" fontId="52" fillId="0" borderId="0" xfId="0" applyFont="1" applyAlignment="1">
      <alignment horizontal="center"/>
    </xf>
    <xf numFmtId="0" fontId="19" fillId="14" borderId="82" xfId="0" applyFont="1" applyFill="1" applyBorder="1" applyAlignment="1">
      <alignment horizontal="center" vertical="center"/>
    </xf>
    <xf numFmtId="0" fontId="19" fillId="14" borderId="81" xfId="0" applyFont="1" applyFill="1" applyBorder="1" applyAlignment="1">
      <alignment horizontal="center" vertical="center"/>
    </xf>
    <xf numFmtId="0" fontId="19" fillId="14" borderId="3" xfId="0" applyFont="1" applyFill="1" applyBorder="1" applyAlignment="1">
      <alignment horizontal="center" vertical="center"/>
    </xf>
    <xf numFmtId="0" fontId="19" fillId="14" borderId="46" xfId="0" applyFont="1" applyFill="1" applyBorder="1" applyAlignment="1">
      <alignment horizontal="center" vertical="center"/>
    </xf>
    <xf numFmtId="0" fontId="19" fillId="14" borderId="34" xfId="0" applyFont="1" applyFill="1" applyBorder="1" applyAlignment="1">
      <alignment horizontal="center"/>
    </xf>
    <xf numFmtId="0" fontId="19" fillId="14" borderId="63" xfId="0" applyFont="1" applyFill="1" applyBorder="1" applyAlignment="1">
      <alignment horizontal="center"/>
    </xf>
    <xf numFmtId="0" fontId="19" fillId="14" borderId="32" xfId="0" applyFont="1" applyFill="1" applyBorder="1" applyAlignment="1">
      <alignment horizontal="center"/>
    </xf>
    <xf numFmtId="0" fontId="19" fillId="14" borderId="33" xfId="0" applyFont="1" applyFill="1" applyBorder="1" applyAlignment="1">
      <alignment horizontal="center"/>
    </xf>
    <xf numFmtId="17" fontId="54" fillId="0" borderId="48" xfId="0" applyNumberFormat="1" applyFont="1" applyBorder="1" applyAlignment="1">
      <alignment horizontal="center"/>
    </xf>
    <xf numFmtId="0" fontId="54" fillId="0" borderId="48" xfId="0" applyFont="1" applyBorder="1" applyAlignment="1">
      <alignment horizontal="center"/>
    </xf>
  </cellXfs>
  <cellStyles count="11">
    <cellStyle name="Comma" xfId="1" builtinId="3"/>
    <cellStyle name="Comma [0]" xfId="9" builtinId="6"/>
    <cellStyle name="Comma 2" xfId="2"/>
    <cellStyle name="Currency" xfId="3" builtinId="4"/>
    <cellStyle name="Currency [0]" xfId="10" builtinId="7"/>
    <cellStyle name="Normal" xfId="0" builtinId="0"/>
    <cellStyle name="Normal 2" xfId="4"/>
    <cellStyle name="Normal 2 4" xfId="5"/>
    <cellStyle name="Normal 3" xfId="7"/>
    <cellStyle name="Normal 4" xfId="8"/>
    <cellStyle name="Percent" xfId="6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6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5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4.xml"/><Relationship Id="rId2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barChart>
        <c:barDir val="col"/>
        <c:grouping val="clustered"/>
        <c:ser>
          <c:idx val="1"/>
          <c:order val="1"/>
          <c:tx>
            <c:v>Disceal</c:v>
          </c:tx>
          <c:val>
            <c:numRef>
              <c:f>'Utility summery'!$D$7:$D$38</c:f>
              <c:numCache>
                <c:formatCode>_(* #,##0.00_);_(* \(#,##0.00\);_(* "-"??_);_(@_)</c:formatCode>
                <c:ptCount val="32"/>
                <c:pt idx="0">
                  <c:v>659.66</c:v>
                </c:pt>
                <c:pt idx="1">
                  <c:v>659.29</c:v>
                </c:pt>
                <c:pt idx="2">
                  <c:v>633.92999999999995</c:v>
                </c:pt>
                <c:pt idx="3">
                  <c:v>646.24</c:v>
                </c:pt>
                <c:pt idx="4">
                  <c:v>627.88</c:v>
                </c:pt>
                <c:pt idx="5">
                  <c:v>637.52</c:v>
                </c:pt>
                <c:pt idx="6">
                  <c:v>692.82999999999993</c:v>
                </c:pt>
                <c:pt idx="7">
                  <c:v>662.1</c:v>
                </c:pt>
                <c:pt idx="8">
                  <c:v>652.33000000000004</c:v>
                </c:pt>
                <c:pt idx="9">
                  <c:v>675.39</c:v>
                </c:pt>
                <c:pt idx="10">
                  <c:v>719.01</c:v>
                </c:pt>
                <c:pt idx="11">
                  <c:v>656.19</c:v>
                </c:pt>
                <c:pt idx="12">
                  <c:v>633.07999999999993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481-4EF3-A668-2EFC334EF29F}"/>
            </c:ext>
          </c:extLst>
        </c:ser>
        <c:axId val="125073664"/>
        <c:axId val="125079552"/>
      </c:barChart>
      <c:lineChart>
        <c:grouping val="standard"/>
        <c:ser>
          <c:idx val="0"/>
          <c:order val="0"/>
          <c:tx>
            <c:v>Room Occ.</c:v>
          </c:tx>
          <c:val>
            <c:numRef>
              <c:f>'Utility summery'!$B$7:$B$37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2481-4EF3-A668-2EFC334EF29F}"/>
            </c:ext>
          </c:extLst>
        </c:ser>
        <c:marker val="1"/>
        <c:axId val="125081088"/>
        <c:axId val="125082624"/>
      </c:lineChart>
      <c:catAx>
        <c:axId val="12507366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5079552"/>
        <c:crosses val="autoZero"/>
        <c:auto val="1"/>
        <c:lblAlgn val="ctr"/>
        <c:lblOffset val="100"/>
      </c:catAx>
      <c:valAx>
        <c:axId val="125079552"/>
        <c:scaling>
          <c:orientation val="minMax"/>
        </c:scaling>
        <c:axPos val="l"/>
        <c:majorGridlines/>
        <c:numFmt formatCode="_(* #,##0.00_);_(* \(#,##0.0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5073664"/>
        <c:crosses val="autoZero"/>
        <c:crossBetween val="between"/>
        <c:majorUnit val="200"/>
      </c:valAx>
      <c:catAx>
        <c:axId val="125081088"/>
        <c:scaling>
          <c:orientation val="minMax"/>
        </c:scaling>
        <c:delete val="1"/>
        <c:axPos val="b"/>
        <c:tickLblPos val="none"/>
        <c:crossAx val="125082624"/>
        <c:crosses val="autoZero"/>
        <c:auto val="1"/>
        <c:lblAlgn val="ctr"/>
        <c:lblOffset val="100"/>
      </c:catAx>
      <c:valAx>
        <c:axId val="125082624"/>
        <c:scaling>
          <c:orientation val="minMax"/>
        </c:scaling>
        <c:axPos val="r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5081088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8624052004333698"/>
          <c:y val="0.41319590259550876"/>
          <c:w val="0.10725893824485488"/>
          <c:h val="0.16666739574225894"/>
        </c:manualLayout>
      </c:layout>
      <c:txPr>
        <a:bodyPr/>
        <a:lstStyle/>
        <a:p>
          <a:pPr>
            <a:defRPr lang="en-US" sz="92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barChart>
        <c:barDir val="col"/>
        <c:grouping val="clustered"/>
        <c:ser>
          <c:idx val="1"/>
          <c:order val="1"/>
          <c:tx>
            <c:v>Disceal</c:v>
          </c:tx>
          <c:val>
            <c:numRef>
              <c:f>'[2]Utility summery'!$D$7:$D$38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D70C-4927-9B78-F55825D2DE69}"/>
            </c:ext>
          </c:extLst>
        </c:ser>
        <c:axId val="128340352"/>
        <c:axId val="128341888"/>
      </c:barChart>
      <c:lineChart>
        <c:grouping val="standard"/>
        <c:ser>
          <c:idx val="0"/>
          <c:order val="0"/>
          <c:tx>
            <c:v>Room Occ.</c:v>
          </c:tx>
          <c:val>
            <c:numRef>
              <c:f>'[2]Utility summery'!$B$7:$B$37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D70C-4927-9B78-F55825D2DE69}"/>
            </c:ext>
          </c:extLst>
        </c:ser>
        <c:marker val="1"/>
        <c:axId val="128343424"/>
        <c:axId val="128345216"/>
      </c:lineChart>
      <c:catAx>
        <c:axId val="12834035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8341888"/>
        <c:crosses val="autoZero"/>
        <c:auto val="1"/>
        <c:lblAlgn val="ctr"/>
        <c:lblOffset val="100"/>
      </c:catAx>
      <c:valAx>
        <c:axId val="12834188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8340352"/>
        <c:crosses val="autoZero"/>
        <c:crossBetween val="between"/>
        <c:majorUnit val="200"/>
      </c:valAx>
      <c:catAx>
        <c:axId val="128343424"/>
        <c:scaling>
          <c:orientation val="minMax"/>
        </c:scaling>
        <c:delete val="1"/>
        <c:axPos val="b"/>
        <c:tickLblPos val="none"/>
        <c:crossAx val="128345216"/>
        <c:crosses val="autoZero"/>
        <c:auto val="1"/>
        <c:lblAlgn val="ctr"/>
        <c:lblOffset val="100"/>
      </c:catAx>
      <c:valAx>
        <c:axId val="128345216"/>
        <c:scaling>
          <c:orientation val="minMax"/>
        </c:scaling>
        <c:axPos val="r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8343424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8624052004333698"/>
          <c:y val="0.41319590259550876"/>
          <c:w val="0.10725893824485488"/>
          <c:h val="0.16666739574225894"/>
        </c:manualLayout>
      </c:layout>
      <c:txPr>
        <a:bodyPr/>
        <a:lstStyle/>
        <a:p>
          <a:pPr>
            <a:defRPr lang="en-US" sz="92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7.8763774914852924E-2"/>
          <c:y val="3.7036787513880252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1048641078466412E-2"/>
          <c:y val="0.20855669430119494"/>
          <c:w val="0.94141823043570061"/>
          <c:h val="0.51871793197989424"/>
        </c:manualLayout>
      </c:layout>
      <c:lineChart>
        <c:grouping val="standard"/>
        <c:ser>
          <c:idx val="0"/>
          <c:order val="0"/>
          <c:tx>
            <c:strRef>
              <c:f>'Summery Report'!$I$4</c:f>
              <c:strCache>
                <c:ptCount val="1"/>
                <c:pt idx="0">
                  <c:v>Total diesel consumed (Ltrs)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Report'!$I$5:$I$35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678.06999999999994</c:v>
                </c:pt>
                <c:pt idx="3">
                  <c:v>661.99</c:v>
                </c:pt>
                <c:pt idx="4">
                  <c:v>659.29</c:v>
                </c:pt>
                <c:pt idx="5">
                  <c:v>665.04</c:v>
                </c:pt>
                <c:pt idx="6">
                  <c:v>669.21</c:v>
                </c:pt>
                <c:pt idx="7">
                  <c:v>707.98</c:v>
                </c:pt>
                <c:pt idx="8">
                  <c:v>637.52</c:v>
                </c:pt>
                <c:pt idx="9">
                  <c:v>692.82999999999993</c:v>
                </c:pt>
                <c:pt idx="10">
                  <c:v>662.1</c:v>
                </c:pt>
                <c:pt idx="11">
                  <c:v>759.22</c:v>
                </c:pt>
                <c:pt idx="12">
                  <c:v>675.39</c:v>
                </c:pt>
                <c:pt idx="13">
                  <c:v>719.01</c:v>
                </c:pt>
                <c:pt idx="14">
                  <c:v>656.19</c:v>
                </c:pt>
                <c:pt idx="15">
                  <c:v>633.07999999999993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FAD8-46A9-86E4-50C2CB57C16C}"/>
            </c:ext>
          </c:extLst>
        </c:ser>
        <c:marker val="1"/>
        <c:axId val="153191936"/>
        <c:axId val="153193472"/>
      </c:lineChart>
      <c:catAx>
        <c:axId val="15319193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3193472"/>
        <c:crosses val="autoZero"/>
        <c:auto val="1"/>
        <c:lblAlgn val="ctr"/>
        <c:lblOffset val="200"/>
        <c:tickLblSkip val="1"/>
      </c:catAx>
      <c:valAx>
        <c:axId val="153193472"/>
        <c:scaling>
          <c:orientation val="minMax"/>
          <c:min val="10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319193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0808472754613963"/>
          <c:y val="5.8823529411764705E-2"/>
          <c:w val="0.13591101639538891"/>
          <c:h val="0.1176476202506922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13561808872251624"/>
          <c:y val="4.166685686028377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5081980101103994E-2"/>
          <c:y val="0.21739284273695444"/>
          <c:w val="0.92798621376947865"/>
          <c:h val="0.55797496302481764"/>
        </c:manualLayout>
      </c:layout>
      <c:lineChart>
        <c:grouping val="standard"/>
        <c:ser>
          <c:idx val="0"/>
          <c:order val="0"/>
          <c:tx>
            <c:strRef>
              <c:f>'Summery Report'!$C$4</c:f>
              <c:strCache>
                <c:ptCount val="1"/>
                <c:pt idx="0">
                  <c:v>Occ%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Report'!$C$5:$C$35</c:f>
              <c:numCache>
                <c:formatCode>0%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4C8-4550-B56B-0C44981C988C}"/>
            </c:ext>
          </c:extLst>
        </c:ser>
        <c:marker val="1"/>
        <c:axId val="153209856"/>
        <c:axId val="153703168"/>
      </c:lineChart>
      <c:catAx>
        <c:axId val="15320985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3703168"/>
        <c:crosses val="autoZero"/>
        <c:auto val="1"/>
        <c:lblAlgn val="ctr"/>
        <c:lblOffset val="100"/>
      </c:catAx>
      <c:valAx>
        <c:axId val="153703168"/>
        <c:scaling>
          <c:orientation val="minMax"/>
        </c:scaling>
        <c:axPos val="l"/>
        <c:majorGridlines/>
        <c:numFmt formatCode="0%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320985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793923300571042"/>
          <c:y val="6.5218152078816233E-2"/>
          <c:w val="4.9180327868872484E-2"/>
          <c:h val="0.1811609418387924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</c:title>
    <c:plotArea>
      <c:layout>
        <c:manualLayout>
          <c:layoutTarget val="inner"/>
          <c:xMode val="edge"/>
          <c:yMode val="edge"/>
          <c:x val="2.8739011162885804E-2"/>
          <c:y val="0.28389830508503588"/>
          <c:w val="0.94252226405627526"/>
          <c:h val="0.39406779661016988"/>
        </c:manualLayout>
      </c:layout>
      <c:lineChart>
        <c:grouping val="standard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Report'!$F$5:$F$36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1620</c:v>
                </c:pt>
                <c:pt idx="3">
                  <c:v>1580</c:v>
                </c:pt>
                <c:pt idx="4">
                  <c:v>1625</c:v>
                </c:pt>
                <c:pt idx="5">
                  <c:v>1460</c:v>
                </c:pt>
                <c:pt idx="6">
                  <c:v>1531</c:v>
                </c:pt>
                <c:pt idx="7">
                  <c:v>0</c:v>
                </c:pt>
                <c:pt idx="8">
                  <c:v>1434</c:v>
                </c:pt>
                <c:pt idx="9">
                  <c:v>1432</c:v>
                </c:pt>
                <c:pt idx="10">
                  <c:v>1527</c:v>
                </c:pt>
                <c:pt idx="11">
                  <c:v>1451</c:v>
                </c:pt>
                <c:pt idx="12">
                  <c:v>1449</c:v>
                </c:pt>
                <c:pt idx="13">
                  <c:v>1623</c:v>
                </c:pt>
                <c:pt idx="14">
                  <c:v>1552</c:v>
                </c:pt>
                <c:pt idx="15">
                  <c:v>1480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140A-49BF-9F5F-C63F7DC89D6B}"/>
            </c:ext>
          </c:extLst>
        </c:ser>
        <c:marker val="1"/>
        <c:axId val="153740032"/>
        <c:axId val="153741952"/>
      </c:lineChart>
      <c:catAx>
        <c:axId val="153740032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3741952"/>
        <c:crosses val="autoZero"/>
        <c:auto val="1"/>
        <c:lblAlgn val="ctr"/>
        <c:lblOffset val="100"/>
      </c:catAx>
      <c:valAx>
        <c:axId val="153741952"/>
        <c:scaling>
          <c:orientation val="minMax"/>
          <c:min val="380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3740032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62756616713219959"/>
          <c:y val="5.5084745762711856E-2"/>
          <c:w val="0.10967748093072002"/>
          <c:h val="8.4745762711900263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0462817661890892E-2"/>
          <c:y val="0.2076271186440678"/>
          <c:w val="0.94493317093514928"/>
          <c:h val="0.4576271186440678"/>
        </c:manualLayout>
      </c:layout>
      <c:lineChart>
        <c:grouping val="standar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Report'!$K$5:$K$36</c:f>
              <c:numCache>
                <c:formatCode>_(* #,##0.00_);_(* \(#,##0.00\);_(* "-"??_);_(@_)</c:formatCode>
                <c:ptCount val="32"/>
                <c:pt idx="0">
                  <c:v>31</c:v>
                </c:pt>
                <c:pt idx="1">
                  <c:v>31</c:v>
                </c:pt>
                <c:pt idx="2">
                  <c:v>47</c:v>
                </c:pt>
                <c:pt idx="3">
                  <c:v>31</c:v>
                </c:pt>
                <c:pt idx="4">
                  <c:v>30</c:v>
                </c:pt>
                <c:pt idx="5">
                  <c:v>33</c:v>
                </c:pt>
                <c:pt idx="6">
                  <c:v>41</c:v>
                </c:pt>
                <c:pt idx="7">
                  <c:v>37</c:v>
                </c:pt>
                <c:pt idx="8">
                  <c:v>51</c:v>
                </c:pt>
                <c:pt idx="9">
                  <c:v>51</c:v>
                </c:pt>
                <c:pt idx="10">
                  <c:v>56</c:v>
                </c:pt>
                <c:pt idx="11">
                  <c:v>58</c:v>
                </c:pt>
                <c:pt idx="12">
                  <c:v>41</c:v>
                </c:pt>
                <c:pt idx="13">
                  <c:v>33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99C-478A-9D23-9F2FF815D3AD}"/>
            </c:ext>
          </c:extLst>
        </c:ser>
        <c:marker val="1"/>
        <c:axId val="153017344"/>
        <c:axId val="153732224"/>
      </c:lineChart>
      <c:catAx>
        <c:axId val="153017344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3732224"/>
        <c:crosses val="autoZero"/>
        <c:auto val="1"/>
        <c:lblAlgn val="ctr"/>
        <c:lblOffset val="100"/>
      </c:catAx>
      <c:valAx>
        <c:axId val="153732224"/>
        <c:scaling>
          <c:orientation val="minMax"/>
          <c:max val="200"/>
          <c:min val="8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</c:title>
        <c:numFmt formatCode="_(* #,##0.00_);_(* \(#,##0.0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3017344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59226750434718956"/>
          <c:y val="5.0847457627118814E-2"/>
          <c:w val="4.1593438781495802E-2"/>
          <c:h val="8.4745762711900263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5547805777780016E-2"/>
          <c:y val="0.19047745587170894"/>
          <c:w val="0.9393944739961636"/>
          <c:h val="0.5986434327396416"/>
        </c:manualLayout>
      </c:layout>
      <c:lineChart>
        <c:grouping val="standard"/>
        <c:ser>
          <c:idx val="0"/>
          <c:order val="0"/>
          <c:tx>
            <c:strRef>
              <c:f>'Summery Report'!$L$4</c:f>
              <c:strCache>
                <c:ptCount val="1"/>
                <c:pt idx="0">
                  <c:v>Gas consumed (KG) 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Report'!$L$5:$L$35</c:f>
              <c:numCache>
                <c:formatCode>0</c:formatCode>
                <c:ptCount val="31"/>
                <c:pt idx="0">
                  <c:v>34.9799999999872</c:v>
                </c:pt>
                <c:pt idx="1">
                  <c:v>19.75600000002305</c:v>
                </c:pt>
                <c:pt idx="2">
                  <c:v>26.97200000002049</c:v>
                </c:pt>
                <c:pt idx="3">
                  <c:v>26.400000000000002</c:v>
                </c:pt>
                <c:pt idx="4">
                  <c:v>22.439999999961586</c:v>
                </c:pt>
                <c:pt idx="5">
                  <c:v>14.608000000030735</c:v>
                </c:pt>
                <c:pt idx="6">
                  <c:v>32.252000000007683</c:v>
                </c:pt>
                <c:pt idx="7">
                  <c:v>35.551999999943661</c:v>
                </c:pt>
                <c:pt idx="8">
                  <c:v>28.908000000030736</c:v>
                </c:pt>
                <c:pt idx="9">
                  <c:v>45.143999999976955</c:v>
                </c:pt>
                <c:pt idx="10">
                  <c:v>38.896000000048666</c:v>
                </c:pt>
                <c:pt idx="11">
                  <c:v>27.01599999999744</c:v>
                </c:pt>
                <c:pt idx="12">
                  <c:v>29.21599999999744</c:v>
                </c:pt>
                <c:pt idx="13">
                  <c:v>37.179999999987196</c:v>
                </c:pt>
                <c:pt idx="14">
                  <c:v>-313549.85200000001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FC08-4B7D-8041-94D9B687749D}"/>
            </c:ext>
          </c:extLst>
        </c:ser>
        <c:marker val="1"/>
        <c:axId val="154285568"/>
        <c:axId val="154287104"/>
      </c:lineChart>
      <c:catAx>
        <c:axId val="15428556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4287104"/>
        <c:crosses val="autoZero"/>
        <c:auto val="1"/>
        <c:lblAlgn val="ctr"/>
        <c:lblOffset val="100"/>
      </c:catAx>
      <c:valAx>
        <c:axId val="154287104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428556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58916114506659956"/>
          <c:y val="9.5238809434535013E-2"/>
          <c:w val="8.3916145097300068E-2"/>
          <c:h val="0.14285785705358237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5.0704510803729133E-2"/>
          <c:y val="5.6655819173261755E-2"/>
          <c:w val="0.83923663491212053"/>
          <c:h val="0.89179133113972664"/>
        </c:manualLayout>
      </c:layout>
      <c:lineChart>
        <c:grouping val="standard"/>
        <c:ser>
          <c:idx val="0"/>
          <c:order val="0"/>
          <c:marker>
            <c:symbol val="none"/>
          </c:marker>
          <c:dLbls>
            <c:dLbl>
              <c:idx val="1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6EAE-4140-9665-BF5AADCBDD1C}"/>
                </c:ext>
              </c:extLst>
            </c:dLbl>
            <c:dLbl>
              <c:idx val="5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EAE-4140-9665-BF5AADCBDD1C}"/>
                </c:ext>
              </c:extLst>
            </c:dLbl>
            <c:dLbl>
              <c:idx val="7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6EAE-4140-9665-BF5AADCBDD1C}"/>
                </c:ext>
              </c:extLst>
            </c:dLbl>
            <c:dLbl>
              <c:idx val="10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6EAE-4140-9665-BF5AADCBDD1C}"/>
                </c:ext>
              </c:extLst>
            </c:dLbl>
            <c:dLbl>
              <c:idx val="12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6EAE-4140-9665-BF5AADCBDD1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 xmlns:c16r2="http://schemas.microsoft.com/office/drawing/2015/06/chart">
            <c:ext xmlns:c15="http://schemas.microsoft.com/office/drawing/2012/chart" uri="{02D57815-91ED-43cb-92C2-25804820EDAC}">
              <c15:filteredSeriesTitle>
                <c15:tx>
                  <c:strRef>
                    <c:extLst xmlns:c16="http://schemas.microsoft.com/office/drawing/2014/chart">
                      <c:ext uri="{02D57815-91ED-43cb-92C2-25804820EDAC}">
                        <c15:formulaRef>
                          <c15:sqref>'Summery Report'!#REF!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5-6EAE-4140-9665-BF5AADCBDD1C}"/>
            </c:ext>
          </c:extLst>
        </c:ser>
        <c:ser>
          <c:idx val="1"/>
          <c:order val="1"/>
          <c:marker>
            <c:symbol val="none"/>
          </c:marker>
          <c:val>
            <c:numRef>
              <c:f>'Summery Report'!#REF!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 xmlns:c16r2="http://schemas.microsoft.com/office/drawing/2015/06/chart">
            <c:ext xmlns:c15="http://schemas.microsoft.com/office/drawing/2012/chart" uri="{02D57815-91ED-43cb-92C2-25804820EDAC}">
              <c15:filteredSeriesTitle>
                <c15:tx>
                  <c:strRef>
                    <c:extLst xmlns:c16="http://schemas.microsoft.com/office/drawing/2014/chart">
                      <c:ext uri="{02D57815-91ED-43cb-92C2-25804820EDAC}">
                        <c15:formulaRef>
                          <c15:sqref>'Summery Report'!#REF!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6-6EAE-4140-9665-BF5AADCBDD1C}"/>
            </c:ext>
          </c:extLst>
        </c:ser>
        <c:marker val="1"/>
        <c:axId val="154333184"/>
        <c:axId val="154334720"/>
      </c:lineChart>
      <c:catAx>
        <c:axId val="15433318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4334720"/>
        <c:crosses val="autoZero"/>
        <c:auto val="1"/>
        <c:lblAlgn val="ctr"/>
        <c:lblOffset val="100"/>
      </c:catAx>
      <c:valAx>
        <c:axId val="15433472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433318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1388456056349765"/>
          <c:y val="0.41634241245136189"/>
          <c:w val="8.0257823659564048E-2"/>
          <c:h val="0.1712062256809337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 Diseal consumed by Gen (Ltrs)</a:t>
            </a:r>
          </a:p>
        </c:rich>
      </c:tx>
    </c:title>
    <c:plotArea>
      <c:layout>
        <c:manualLayout>
          <c:layoutTarget val="inner"/>
          <c:xMode val="edge"/>
          <c:yMode val="edge"/>
          <c:x val="2.6362053745865907E-2"/>
          <c:y val="0.35057668023013538"/>
          <c:w val="0.94903393485117282"/>
          <c:h val="0.42528974323002638"/>
        </c:manualLayout>
      </c:layout>
      <c:lineChart>
        <c:grouping val="standard"/>
        <c:ser>
          <c:idx val="0"/>
          <c:order val="0"/>
          <c:tx>
            <c:strRef>
              <c:f>'Summery Report'!$G$4</c:f>
              <c:strCache>
                <c:ptCount val="1"/>
                <c:pt idx="0">
                  <c:v> Diesel consumed by Gen (Ltrs)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Report'!$G$5:$G$35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678.06999999999994</c:v>
                </c:pt>
                <c:pt idx="3">
                  <c:v>659.66</c:v>
                </c:pt>
                <c:pt idx="4">
                  <c:v>659.29</c:v>
                </c:pt>
                <c:pt idx="5">
                  <c:v>633.92999999999995</c:v>
                </c:pt>
                <c:pt idx="6">
                  <c:v>646.24</c:v>
                </c:pt>
                <c:pt idx="7">
                  <c:v>627.88</c:v>
                </c:pt>
                <c:pt idx="8">
                  <c:v>637.52</c:v>
                </c:pt>
                <c:pt idx="9">
                  <c:v>692.82999999999993</c:v>
                </c:pt>
                <c:pt idx="10">
                  <c:v>662.1</c:v>
                </c:pt>
                <c:pt idx="11">
                  <c:v>652.33000000000004</c:v>
                </c:pt>
                <c:pt idx="12">
                  <c:v>675.39</c:v>
                </c:pt>
                <c:pt idx="13">
                  <c:v>719.01</c:v>
                </c:pt>
                <c:pt idx="14">
                  <c:v>656.19</c:v>
                </c:pt>
                <c:pt idx="15">
                  <c:v>633.07999999999993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C4D6-446C-8508-6BFCED729E25}"/>
            </c:ext>
          </c:extLst>
        </c:ser>
        <c:marker val="1"/>
        <c:axId val="154764416"/>
        <c:axId val="154765952"/>
      </c:lineChart>
      <c:catAx>
        <c:axId val="15476441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4765952"/>
        <c:crosses val="autoZero"/>
        <c:auto val="1"/>
        <c:lblAlgn val="ctr"/>
        <c:lblOffset val="100"/>
      </c:catAx>
      <c:valAx>
        <c:axId val="15476595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476441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0105485056970664"/>
          <c:y val="7.4713247051107781E-2"/>
          <c:w val="0.12829531633675006"/>
          <c:h val="0.1379316378556104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7.8763774914852924E-2"/>
          <c:y val="3.7036787513880252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1048641078466412E-2"/>
          <c:y val="0.20855669430119494"/>
          <c:w val="0.94141823043570061"/>
          <c:h val="0.51871793197989424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Report'!$I$4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Report'!$I$5:$I$35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A12D-454B-A21E-C17B11983C9F}"/>
            </c:ext>
          </c:extLst>
        </c:ser>
        <c:marker val="1"/>
        <c:axId val="155519616"/>
        <c:axId val="155533696"/>
      </c:lineChart>
      <c:catAx>
        <c:axId val="15551961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5533696"/>
        <c:crosses val="autoZero"/>
        <c:auto val="1"/>
        <c:lblAlgn val="ctr"/>
        <c:lblOffset val="200"/>
        <c:tickLblSkip val="1"/>
      </c:catAx>
      <c:valAx>
        <c:axId val="155533696"/>
        <c:scaling>
          <c:orientation val="minMax"/>
          <c:min val="10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551961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0808472754613963"/>
          <c:y val="5.8823529411764705E-2"/>
          <c:w val="0.13591101639538891"/>
          <c:h val="0.1176476202506922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13561808872251624"/>
          <c:y val="4.166685686028377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5081980101103994E-2"/>
          <c:y val="0.21739284273695444"/>
          <c:w val="0.92798621376947865"/>
          <c:h val="0.55797496302481764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Report'!$C$4</c:f>
              <c:strCache>
                <c:ptCount val="1"/>
                <c:pt idx="0">
                  <c:v>#REF!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Report'!$C$5:$C$35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AC5-4EFF-B14E-1148FFA5E16E}"/>
            </c:ext>
          </c:extLst>
        </c:ser>
        <c:marker val="1"/>
        <c:axId val="155566848"/>
        <c:axId val="155568384"/>
      </c:lineChart>
      <c:catAx>
        <c:axId val="15556684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5568384"/>
        <c:crosses val="autoZero"/>
        <c:auto val="1"/>
        <c:lblAlgn val="ctr"/>
        <c:lblOffset val="100"/>
      </c:catAx>
      <c:valAx>
        <c:axId val="15556838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556684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793923300571042"/>
          <c:y val="6.5218152078816233E-2"/>
          <c:w val="4.9180327868872484E-2"/>
          <c:h val="0.1811609418387924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</c:title>
    <c:plotArea>
      <c:layout>
        <c:manualLayout>
          <c:layoutTarget val="inner"/>
          <c:xMode val="edge"/>
          <c:yMode val="edge"/>
          <c:x val="2.8739011162885804E-2"/>
          <c:y val="0.28389830508503588"/>
          <c:w val="0.94252226405627526"/>
          <c:h val="0.39406779661016988"/>
        </c:manualLayout>
      </c:layout>
      <c:lineChart>
        <c:grouping val="standard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Report'!$F$5:$F$36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F604-4588-8B5D-752F8B4953CF}"/>
            </c:ext>
          </c:extLst>
        </c:ser>
        <c:marker val="1"/>
        <c:axId val="155330816"/>
        <c:axId val="155373952"/>
      </c:lineChart>
      <c:catAx>
        <c:axId val="155330816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5373952"/>
        <c:crosses val="autoZero"/>
        <c:auto val="1"/>
        <c:lblAlgn val="ctr"/>
        <c:lblOffset val="100"/>
      </c:catAx>
      <c:valAx>
        <c:axId val="155373952"/>
        <c:scaling>
          <c:orientation val="minMax"/>
          <c:min val="380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5330816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62756616713219959"/>
          <c:y val="5.5084745762711856E-2"/>
          <c:w val="0.10967748093072002"/>
          <c:h val="8.4745762711900263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0462817661890892E-2"/>
          <c:y val="0.2076271186440678"/>
          <c:w val="0.94493317093514928"/>
          <c:h val="0.4576271186440678"/>
        </c:manualLayout>
      </c:layout>
      <c:lineChart>
        <c:grouping val="standar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Report'!$K$5:$K$36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989A-4BBB-9337-D316EB4103A8}"/>
            </c:ext>
          </c:extLst>
        </c:ser>
        <c:marker val="1"/>
        <c:axId val="155886336"/>
        <c:axId val="155888256"/>
      </c:lineChart>
      <c:catAx>
        <c:axId val="155886336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5888256"/>
        <c:crosses val="autoZero"/>
        <c:auto val="1"/>
        <c:lblAlgn val="ctr"/>
        <c:lblOffset val="100"/>
      </c:catAx>
      <c:valAx>
        <c:axId val="155888256"/>
        <c:scaling>
          <c:orientation val="minMax"/>
          <c:max val="200"/>
          <c:min val="8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5886336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59226750434718956"/>
          <c:y val="5.0847457627118814E-2"/>
          <c:w val="4.1593438781495802E-2"/>
          <c:h val="8.4745762711900263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5547805777780016E-2"/>
          <c:y val="0.19047745587170894"/>
          <c:w val="0.9393944739961636"/>
          <c:h val="0.5986434327396416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Report'!$L$4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Report'!$L$5:$L$35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8A6-4F51-A124-D21A9F983253}"/>
            </c:ext>
          </c:extLst>
        </c:ser>
        <c:marker val="1"/>
        <c:axId val="156249088"/>
        <c:axId val="156254976"/>
      </c:lineChart>
      <c:catAx>
        <c:axId val="15624908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6254976"/>
        <c:crosses val="autoZero"/>
        <c:auto val="1"/>
        <c:lblAlgn val="ctr"/>
        <c:lblOffset val="100"/>
      </c:catAx>
      <c:valAx>
        <c:axId val="15625497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624908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58916114506659956"/>
          <c:y val="9.5238809434535013E-2"/>
          <c:w val="8.3916145097300068E-2"/>
          <c:h val="0.14285785705358237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5.0704510803729133E-2"/>
          <c:y val="5.6655819173261755E-2"/>
          <c:w val="0.83923663491212053"/>
          <c:h val="0.89179133113972664"/>
        </c:manualLayout>
      </c:layout>
      <c:lineChart>
        <c:grouping val="standard"/>
        <c:ser>
          <c:idx val="0"/>
          <c:order val="0"/>
          <c:marker>
            <c:symbol val="none"/>
          </c:marker>
          <c:dLbls>
            <c:dLbl>
              <c:idx val="1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F671-45E7-B3B5-C1690D4F9844}"/>
                </c:ext>
              </c:extLst>
            </c:dLbl>
            <c:dLbl>
              <c:idx val="5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F671-45E7-B3B5-C1690D4F9844}"/>
                </c:ext>
              </c:extLst>
            </c:dLbl>
            <c:dLbl>
              <c:idx val="7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F671-45E7-B3B5-C1690D4F9844}"/>
                </c:ext>
              </c:extLst>
            </c:dLbl>
            <c:dLbl>
              <c:idx val="10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F671-45E7-B3B5-C1690D4F9844}"/>
                </c:ext>
              </c:extLst>
            </c:dLbl>
            <c:dLbl>
              <c:idx val="12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F671-45E7-B3B5-C1690D4F984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 xmlns:c16r2="http://schemas.microsoft.com/office/drawing/2015/06/chart"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'Summery Report'!#REF!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5-F671-45E7-B3B5-C1690D4F9844}"/>
            </c:ext>
          </c:extLst>
        </c:ser>
        <c:ser>
          <c:idx val="1"/>
          <c:order val="1"/>
          <c:marker>
            <c:symbol val="none"/>
          </c:marker>
          <c:val>
            <c:numRef>
              <c:f>'Summery Report'!#REF!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 xmlns:c16r2="http://schemas.microsoft.com/office/drawing/2015/06/chart"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'Summery Report'!#REF!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6-F671-45E7-B3B5-C1690D4F9844}"/>
            </c:ext>
          </c:extLst>
        </c:ser>
        <c:marker val="1"/>
        <c:axId val="156288512"/>
        <c:axId val="156290048"/>
      </c:lineChart>
      <c:catAx>
        <c:axId val="15628851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6290048"/>
        <c:crosses val="autoZero"/>
        <c:auto val="1"/>
        <c:lblAlgn val="ctr"/>
        <c:lblOffset val="100"/>
      </c:catAx>
      <c:valAx>
        <c:axId val="15629004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628851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1388456056349765"/>
          <c:y val="0.41634241245136189"/>
          <c:w val="8.0257823659564048E-2"/>
          <c:h val="0.1712062256809337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 Diseal consumed by Gen (Ltrs)</a:t>
            </a:r>
          </a:p>
        </c:rich>
      </c:tx>
    </c:title>
    <c:plotArea>
      <c:layout>
        <c:manualLayout>
          <c:layoutTarget val="inner"/>
          <c:xMode val="edge"/>
          <c:yMode val="edge"/>
          <c:x val="2.6362053745865907E-2"/>
          <c:y val="0.35057668023013538"/>
          <c:w val="0.94903393485117282"/>
          <c:h val="0.42528974323002638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Report'!$G$4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Report'!$G$5:$G$35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4584-4EC0-9C81-378F24312620}"/>
            </c:ext>
          </c:extLst>
        </c:ser>
        <c:marker val="1"/>
        <c:axId val="156060288"/>
        <c:axId val="156070272"/>
      </c:lineChart>
      <c:catAx>
        <c:axId val="15606028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6070272"/>
        <c:crosses val="autoZero"/>
        <c:auto val="1"/>
        <c:lblAlgn val="ctr"/>
        <c:lblOffset val="100"/>
      </c:catAx>
      <c:valAx>
        <c:axId val="15607027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606028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0105485056970953"/>
          <c:y val="7.4713247051108156E-2"/>
          <c:w val="0.12829531633675006"/>
          <c:h val="0.1379316378556104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Energy Consumption</a:t>
            </a:r>
          </a:p>
        </c:rich>
      </c:tx>
      <c:layout>
        <c:manualLayout>
          <c:xMode val="edge"/>
          <c:yMode val="edge"/>
          <c:x val="0.40887972460416488"/>
          <c:y val="6.1728543474050355E-3"/>
        </c:manualLayout>
      </c:layout>
    </c:title>
    <c:plotArea>
      <c:layout>
        <c:manualLayout>
          <c:layoutTarget val="inner"/>
          <c:xMode val="edge"/>
          <c:yMode val="edge"/>
          <c:x val="5.5638002349401583E-2"/>
          <c:y val="8.3969674304414946E-2"/>
          <c:w val="0.90207747809163097"/>
          <c:h val="0.73791531964490065"/>
        </c:manualLayout>
      </c:layout>
      <c:lineChart>
        <c:grouping val="stacked"/>
        <c:ser>
          <c:idx val="0"/>
          <c:order val="0"/>
          <c:tx>
            <c:strRef>
              <c:f>'Energy Graph'!$B$1</c:f>
              <c:strCache>
                <c:ptCount val="1"/>
                <c:pt idx="0">
                  <c:v>Usage KW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b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'Energy Graph'!$A$2:$A$32</c:f>
              <c:numCache>
                <c:formatCode>[$-409]d\-mmm\-yy;@</c:formatCode>
                <c:ptCount val="31"/>
                <c:pt idx="0">
                  <c:v>43952</c:v>
                </c:pt>
                <c:pt idx="1">
                  <c:v>43953</c:v>
                </c:pt>
                <c:pt idx="2">
                  <c:v>43954</c:v>
                </c:pt>
                <c:pt idx="3">
                  <c:v>43955</c:v>
                </c:pt>
                <c:pt idx="4">
                  <c:v>43956</c:v>
                </c:pt>
                <c:pt idx="5">
                  <c:v>43957</c:v>
                </c:pt>
                <c:pt idx="6">
                  <c:v>43958</c:v>
                </c:pt>
                <c:pt idx="7">
                  <c:v>43959</c:v>
                </c:pt>
                <c:pt idx="8">
                  <c:v>43960</c:v>
                </c:pt>
                <c:pt idx="9">
                  <c:v>43961</c:v>
                </c:pt>
                <c:pt idx="10">
                  <c:v>43962</c:v>
                </c:pt>
                <c:pt idx="11">
                  <c:v>43963</c:v>
                </c:pt>
                <c:pt idx="12">
                  <c:v>43964</c:v>
                </c:pt>
                <c:pt idx="13">
                  <c:v>43965</c:v>
                </c:pt>
                <c:pt idx="14">
                  <c:v>43966</c:v>
                </c:pt>
                <c:pt idx="15">
                  <c:v>43967</c:v>
                </c:pt>
                <c:pt idx="16">
                  <c:v>43968</c:v>
                </c:pt>
                <c:pt idx="17">
                  <c:v>43969</c:v>
                </c:pt>
                <c:pt idx="18">
                  <c:v>43970</c:v>
                </c:pt>
                <c:pt idx="19">
                  <c:v>43971</c:v>
                </c:pt>
                <c:pt idx="20">
                  <c:v>43972</c:v>
                </c:pt>
                <c:pt idx="21">
                  <c:v>43973</c:v>
                </c:pt>
                <c:pt idx="22">
                  <c:v>43974</c:v>
                </c:pt>
                <c:pt idx="23">
                  <c:v>43975</c:v>
                </c:pt>
                <c:pt idx="24">
                  <c:v>43976</c:v>
                </c:pt>
                <c:pt idx="25">
                  <c:v>43977</c:v>
                </c:pt>
                <c:pt idx="26">
                  <c:v>43978</c:v>
                </c:pt>
                <c:pt idx="27">
                  <c:v>43979</c:v>
                </c:pt>
                <c:pt idx="28">
                  <c:v>43980</c:v>
                </c:pt>
                <c:pt idx="29">
                  <c:v>43981</c:v>
                </c:pt>
                <c:pt idx="30">
                  <c:v>43982</c:v>
                </c:pt>
              </c:numCache>
            </c:numRef>
          </c:cat>
          <c:val>
            <c:numRef>
              <c:f>'Energy Graph'!$B$2:$B$32</c:f>
              <c:numCache>
                <c:formatCode>_(* #,##0_);_(* \(#,##0\);_(* "-"??_);_(@_)</c:formatCode>
                <c:ptCount val="31"/>
                <c:pt idx="0">
                  <c:v>5669</c:v>
                </c:pt>
                <c:pt idx="1">
                  <c:v>6159</c:v>
                </c:pt>
                <c:pt idx="2">
                  <c:v>6580</c:v>
                </c:pt>
                <c:pt idx="3">
                  <c:v>6223</c:v>
                </c:pt>
                <c:pt idx="4">
                  <c:v>5984</c:v>
                </c:pt>
                <c:pt idx="5">
                  <c:v>6103</c:v>
                </c:pt>
                <c:pt idx="6">
                  <c:v>5576</c:v>
                </c:pt>
                <c:pt idx="7">
                  <c:v>5532</c:v>
                </c:pt>
                <c:pt idx="8">
                  <c:v>6233</c:v>
                </c:pt>
                <c:pt idx="9">
                  <c:v>6063</c:v>
                </c:pt>
                <c:pt idx="10">
                  <c:v>5967</c:v>
                </c:pt>
                <c:pt idx="11">
                  <c:v>5863</c:v>
                </c:pt>
                <c:pt idx="12">
                  <c:v>5720</c:v>
                </c:pt>
                <c:pt idx="13">
                  <c:v>6195</c:v>
                </c:pt>
                <c:pt idx="14">
                  <c:v>6450</c:v>
                </c:pt>
                <c:pt idx="15">
                  <c:v>6915</c:v>
                </c:pt>
                <c:pt idx="16">
                  <c:v>5962</c:v>
                </c:pt>
                <c:pt idx="17">
                  <c:v>5257</c:v>
                </c:pt>
                <c:pt idx="18">
                  <c:v>4691</c:v>
                </c:pt>
                <c:pt idx="19">
                  <c:v>5712</c:v>
                </c:pt>
                <c:pt idx="20">
                  <c:v>5941</c:v>
                </c:pt>
                <c:pt idx="21">
                  <c:v>5400</c:v>
                </c:pt>
                <c:pt idx="22">
                  <c:v>5371</c:v>
                </c:pt>
                <c:pt idx="23">
                  <c:v>5296</c:v>
                </c:pt>
                <c:pt idx="24">
                  <c:v>5221</c:v>
                </c:pt>
                <c:pt idx="25">
                  <c:v>5665</c:v>
                </c:pt>
                <c:pt idx="26">
                  <c:v>6109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8AA-48B2-9352-2EE36A97AD42}"/>
            </c:ext>
          </c:extLst>
        </c:ser>
        <c:marker val="1"/>
        <c:axId val="156779264"/>
        <c:axId val="156780800"/>
      </c:lineChart>
      <c:lineChart>
        <c:grouping val="stacked"/>
        <c:ser>
          <c:idx val="1"/>
          <c:order val="1"/>
          <c:tx>
            <c:strRef>
              <c:f>'Energy Graph'!$C$1</c:f>
              <c:strCache>
                <c:ptCount val="1"/>
                <c:pt idx="0">
                  <c:v>Occ %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dLbls>
            <c:dLbl>
              <c:idx val="0"/>
              <c:layout>
                <c:manualLayout>
                  <c:x val="-3.1152647975078492E-3"/>
                  <c:y val="2.5702817747289816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58AA-48B2-9352-2EE36A97AD42}"/>
                </c:ext>
              </c:extLst>
            </c:dLbl>
            <c:dLbl>
              <c:idx val="4"/>
              <c:layout>
                <c:manualLayout>
                  <c:x val="3.1152647975078492E-3"/>
                  <c:y val="-9.6385566552336568E-3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58AA-48B2-9352-2EE36A97AD42}"/>
                </c:ext>
              </c:extLst>
            </c:dLbl>
            <c:dLbl>
              <c:idx val="5"/>
              <c:layout>
                <c:manualLayout>
                  <c:x val="8.3073727933541015E-3"/>
                  <c:y val="9.6385566552336568E-3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58AA-48B2-9352-2EE36A97AD4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'Energy Graph'!$A$2:$A$32</c:f>
              <c:numCache>
                <c:formatCode>[$-409]d\-mmm\-yy;@</c:formatCode>
                <c:ptCount val="31"/>
                <c:pt idx="0">
                  <c:v>43952</c:v>
                </c:pt>
                <c:pt idx="1">
                  <c:v>43953</c:v>
                </c:pt>
                <c:pt idx="2">
                  <c:v>43954</c:v>
                </c:pt>
                <c:pt idx="3">
                  <c:v>43955</c:v>
                </c:pt>
                <c:pt idx="4">
                  <c:v>43956</c:v>
                </c:pt>
                <c:pt idx="5">
                  <c:v>43957</c:v>
                </c:pt>
                <c:pt idx="6">
                  <c:v>43958</c:v>
                </c:pt>
                <c:pt idx="7">
                  <c:v>43959</c:v>
                </c:pt>
                <c:pt idx="8">
                  <c:v>43960</c:v>
                </c:pt>
                <c:pt idx="9">
                  <c:v>43961</c:v>
                </c:pt>
                <c:pt idx="10">
                  <c:v>43962</c:v>
                </c:pt>
                <c:pt idx="11">
                  <c:v>43963</c:v>
                </c:pt>
                <c:pt idx="12">
                  <c:v>43964</c:v>
                </c:pt>
                <c:pt idx="13">
                  <c:v>43965</c:v>
                </c:pt>
                <c:pt idx="14">
                  <c:v>43966</c:v>
                </c:pt>
                <c:pt idx="15">
                  <c:v>43967</c:v>
                </c:pt>
                <c:pt idx="16">
                  <c:v>43968</c:v>
                </c:pt>
                <c:pt idx="17">
                  <c:v>43969</c:v>
                </c:pt>
                <c:pt idx="18">
                  <c:v>43970</c:v>
                </c:pt>
                <c:pt idx="19">
                  <c:v>43971</c:v>
                </c:pt>
                <c:pt idx="20">
                  <c:v>43972</c:v>
                </c:pt>
                <c:pt idx="21">
                  <c:v>43973</c:v>
                </c:pt>
                <c:pt idx="22">
                  <c:v>43974</c:v>
                </c:pt>
                <c:pt idx="23">
                  <c:v>43975</c:v>
                </c:pt>
                <c:pt idx="24">
                  <c:v>43976</c:v>
                </c:pt>
                <c:pt idx="25">
                  <c:v>43977</c:v>
                </c:pt>
                <c:pt idx="26">
                  <c:v>43978</c:v>
                </c:pt>
                <c:pt idx="27">
                  <c:v>43979</c:v>
                </c:pt>
                <c:pt idx="28">
                  <c:v>43980</c:v>
                </c:pt>
                <c:pt idx="29">
                  <c:v>43981</c:v>
                </c:pt>
                <c:pt idx="30">
                  <c:v>43982</c:v>
                </c:pt>
              </c:numCache>
            </c:numRef>
          </c:cat>
          <c:val>
            <c:numRef>
              <c:f>'Energy Graph'!$C$2:$C$32</c:f>
              <c:numCache>
                <c:formatCode>0%</c:formatCode>
                <c:ptCount val="31"/>
                <c:pt idx="0">
                  <c:v>0.623</c:v>
                </c:pt>
                <c:pt idx="1">
                  <c:v>0.77900000000000003</c:v>
                </c:pt>
                <c:pt idx="2">
                  <c:v>0.53200000000000003</c:v>
                </c:pt>
                <c:pt idx="3">
                  <c:v>0.61</c:v>
                </c:pt>
                <c:pt idx="4">
                  <c:v>0.68799999999999994</c:v>
                </c:pt>
                <c:pt idx="5">
                  <c:v>0.53200000000000003</c:v>
                </c:pt>
                <c:pt idx="6">
                  <c:v>0.753</c:v>
                </c:pt>
                <c:pt idx="7">
                  <c:v>0.156</c:v>
                </c:pt>
                <c:pt idx="8">
                  <c:v>0.442</c:v>
                </c:pt>
                <c:pt idx="9">
                  <c:v>0.32500000000000001</c:v>
                </c:pt>
                <c:pt idx="10">
                  <c:v>0.45500000000000002</c:v>
                </c:pt>
                <c:pt idx="11">
                  <c:v>0.41599999999999998</c:v>
                </c:pt>
                <c:pt idx="12">
                  <c:v>0.39</c:v>
                </c:pt>
                <c:pt idx="13">
                  <c:v>0.63600000000000001</c:v>
                </c:pt>
                <c:pt idx="14">
                  <c:v>0.84399999999999997</c:v>
                </c:pt>
                <c:pt idx="15">
                  <c:v>0.81799999999999995</c:v>
                </c:pt>
                <c:pt idx="16">
                  <c:v>0.20799999999999999</c:v>
                </c:pt>
                <c:pt idx="17">
                  <c:v>0.221</c:v>
                </c:pt>
                <c:pt idx="18">
                  <c:v>0.11700000000000001</c:v>
                </c:pt>
                <c:pt idx="19">
                  <c:v>0.57099999999999995</c:v>
                </c:pt>
                <c:pt idx="20">
                  <c:v>0.55800000000000005</c:v>
                </c:pt>
                <c:pt idx="21">
                  <c:v>0.40300000000000002</c:v>
                </c:pt>
                <c:pt idx="22">
                  <c:v>0.24</c:v>
                </c:pt>
                <c:pt idx="23">
                  <c:v>0.09</c:v>
                </c:pt>
                <c:pt idx="24">
                  <c:v>0.28599999999999998</c:v>
                </c:pt>
                <c:pt idx="25">
                  <c:v>0.54500000000000004</c:v>
                </c:pt>
                <c:pt idx="26">
                  <c:v>0.67500000000000004</c:v>
                </c:pt>
                <c:pt idx="27">
                  <c:v>0.27300000000000002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4-58AA-48B2-9352-2EE36A97AD42}"/>
            </c:ext>
          </c:extLst>
        </c:ser>
        <c:marker val="1"/>
        <c:axId val="156786688"/>
        <c:axId val="156788224"/>
      </c:lineChart>
      <c:catAx>
        <c:axId val="156779264"/>
        <c:scaling>
          <c:orientation val="minMax"/>
        </c:scaling>
        <c:axPos val="b"/>
        <c:numFmt formatCode="[$-409]d\-mmm\-yy;@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6780800"/>
        <c:crosses val="autoZero"/>
        <c:lblAlgn val="ctr"/>
        <c:lblOffset val="100"/>
        <c:tickMarkSkip val="1"/>
      </c:catAx>
      <c:valAx>
        <c:axId val="156780800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6779264"/>
        <c:crosses val="autoZero"/>
        <c:crossBetween val="between"/>
      </c:valAx>
      <c:catAx>
        <c:axId val="156786688"/>
        <c:scaling>
          <c:orientation val="minMax"/>
        </c:scaling>
        <c:delete val="1"/>
        <c:axPos val="b"/>
        <c:numFmt formatCode="[$-409]d\-mmm\-yy;@" sourceLinked="1"/>
        <c:tickLblPos val="none"/>
        <c:crossAx val="156788224"/>
        <c:crosses val="autoZero"/>
        <c:lblAlgn val="ctr"/>
        <c:lblOffset val="100"/>
      </c:catAx>
      <c:valAx>
        <c:axId val="156788224"/>
        <c:scaling>
          <c:orientation val="minMax"/>
        </c:scaling>
        <c:axPos val="r"/>
        <c:numFmt formatCode="0%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6786688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62537115353162465"/>
          <c:y val="2.0356234096692107E-2"/>
          <c:w val="0.21364992951548994"/>
          <c:h val="5.5979910908083103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5.3491827637444332E-2"/>
          <c:y val="0.32163926374773188"/>
          <c:w val="0.90118870728083211"/>
          <c:h val="0.4444469826330788"/>
        </c:manualLayout>
      </c:layout>
      <c:lineChart>
        <c:grouping val="standard"/>
        <c:ser>
          <c:idx val="0"/>
          <c:order val="0"/>
          <c:tx>
            <c:strRef>
              <c:f>'Energy Graph'!$D$1</c:f>
              <c:strCache>
                <c:ptCount val="1"/>
                <c:pt idx="0">
                  <c:v>Cost per room Total Occ</c:v>
                </c:pt>
              </c:strCache>
            </c:strRef>
          </c:tx>
          <c:dLbls>
            <c:dLbl>
              <c:idx val="1"/>
              <c:layout>
                <c:manualLayout>
                  <c:x val="4.1601664066562667E-3"/>
                  <c:y val="0.17933723196881091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627E-4A2A-AB62-4DA176BC70AF}"/>
                </c:ext>
              </c:extLst>
            </c:dLbl>
            <c:dLbl>
              <c:idx val="3"/>
              <c:layout>
                <c:manualLayout>
                  <c:x val="0"/>
                  <c:y val="0.17933723196881091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27E-4A2A-AB62-4DA176BC70AF}"/>
                </c:ext>
              </c:extLst>
            </c:dLbl>
            <c:dLbl>
              <c:idx val="5"/>
              <c:layout>
                <c:manualLayout>
                  <c:x val="1.3520540821632903E-2"/>
                  <c:y val="1.5594541910331383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627E-4A2A-AB62-4DA176BC70A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'Energy Graph'!$D$2:$D$32</c:f>
              <c:numCache>
                <c:formatCode>_("$"* #,##0_);_("$"* \(#,##0\);_("$"* "-"??_);_(@_)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3-627E-4A2A-AB62-4DA176BC70AF}"/>
            </c:ext>
          </c:extLst>
        </c:ser>
        <c:marker val="1"/>
        <c:axId val="125244928"/>
        <c:axId val="125246464"/>
      </c:lineChart>
      <c:catAx>
        <c:axId val="12524492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5246464"/>
        <c:crosses val="autoZero"/>
        <c:auto val="1"/>
        <c:lblAlgn val="ctr"/>
        <c:lblOffset val="100"/>
      </c:catAx>
      <c:valAx>
        <c:axId val="125246464"/>
        <c:scaling>
          <c:orientation val="minMax"/>
        </c:scaling>
        <c:axPos val="l"/>
        <c:majorGridlines/>
        <c:numFmt formatCode="_(&quot;$&quot;* #,##0_);_(&quot;$&quot;* \(#,##0\);_(&quot;$&quot;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524492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961367013392465"/>
          <c:y val="6.4328099338459899E-2"/>
          <c:w val="0.12704309063892341"/>
          <c:h val="0.14035149115150081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3413189519346924E-2"/>
          <c:y val="0.33333514179231138"/>
          <c:w val="0.91167697990620356"/>
          <c:h val="0.45555802711603255"/>
        </c:manualLayout>
      </c:layout>
      <c:lineChart>
        <c:grouping val="standard"/>
        <c:ser>
          <c:idx val="0"/>
          <c:order val="0"/>
          <c:tx>
            <c:strRef>
              <c:f>'Energy Graph'!$E$1</c:f>
              <c:strCache>
                <c:ptCount val="1"/>
                <c:pt idx="0">
                  <c:v>Cost per room Guest Occ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'Energy Graph'!$E$2:$E$32</c:f>
              <c:numCache>
                <c:formatCode>_("$"* #,##0_);_("$"* \(#,##0\);_("$"* "-"??_);_(@_)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7E1-4FAD-9CCE-969769D85BFB}"/>
            </c:ext>
          </c:extLst>
        </c:ser>
        <c:marker val="1"/>
        <c:axId val="125275136"/>
        <c:axId val="125289216"/>
      </c:lineChart>
      <c:catAx>
        <c:axId val="12527513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5289216"/>
        <c:crosses val="autoZero"/>
        <c:auto val="1"/>
        <c:lblAlgn val="ctr"/>
        <c:lblOffset val="100"/>
      </c:catAx>
      <c:valAx>
        <c:axId val="125289216"/>
        <c:scaling>
          <c:orientation val="minMax"/>
        </c:scaling>
        <c:axPos val="l"/>
        <c:majorGridlines/>
        <c:numFmt formatCode="_(&quot;$&quot;* #,##0_);_(&quot;$&quot;* \(#,##0\);_(&quot;$&quot;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527513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97607147909"/>
          <c:y val="7.7778361038204014E-2"/>
          <c:w val="0.13098810253515294"/>
          <c:h val="0.13333391659375887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Energy Consumption</a:t>
            </a:r>
          </a:p>
        </c:rich>
      </c:tx>
      <c:layout>
        <c:manualLayout>
          <c:xMode val="edge"/>
          <c:yMode val="edge"/>
          <c:x val="0.40887972460416488"/>
          <c:y val="6.1728543474050355E-3"/>
        </c:manualLayout>
      </c:layout>
    </c:title>
    <c:plotArea>
      <c:layout>
        <c:manualLayout>
          <c:layoutTarget val="inner"/>
          <c:xMode val="edge"/>
          <c:yMode val="edge"/>
          <c:x val="5.5638002349401583E-2"/>
          <c:y val="8.3969674304414946E-2"/>
          <c:w val="0.90207747809163097"/>
          <c:h val="0.73791531964490065"/>
        </c:manualLayout>
      </c:layout>
      <c:lineChart>
        <c:grouping val="stacked"/>
        <c:ser>
          <c:idx val="0"/>
          <c:order val="0"/>
          <c:tx>
            <c:strRef>
              <c:f>'Y:\Shared files\HLP-REPORT 2010 to 2019\HLP-REPORT-2019\[10 OCT.  2019 HLP REPORT.xlsx]Energy Graph'!$B$1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b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'[2]Energy Graph'!$A$2:$A$32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'[2]Energy Graph'!$B$2:$B$32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C310-4F46-B73D-3FB9F8DA25B8}"/>
            </c:ext>
          </c:extLst>
        </c:ser>
        <c:marker val="1"/>
        <c:axId val="84065280"/>
        <c:axId val="84071168"/>
      </c:lineChart>
      <c:lineChart>
        <c:grouping val="stacked"/>
        <c:ser>
          <c:idx val="1"/>
          <c:order val="1"/>
          <c:tx>
            <c:strRef>
              <c:f>'Y:\Shared files\HLP-REPORT 2010 to 2019\HLP-REPORT-2019\[10 OCT.  2019 HLP REPORT.xlsx]Energy Graph'!$C$1</c:f>
              <c:strCache>
                <c:ptCount val="1"/>
                <c:pt idx="0">
                  <c:v>#REF!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dLbls>
            <c:dLbl>
              <c:idx val="0"/>
              <c:layout>
                <c:manualLayout>
                  <c:x val="-3.1152647975078492E-3"/>
                  <c:y val="2.5702817747289816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310-4F46-B73D-3FB9F8DA25B8}"/>
                </c:ext>
              </c:extLst>
            </c:dLbl>
            <c:dLbl>
              <c:idx val="4"/>
              <c:layout>
                <c:manualLayout>
                  <c:x val="3.1152647975078492E-3"/>
                  <c:y val="-9.6385566552336568E-3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C310-4F46-B73D-3FB9F8DA25B8}"/>
                </c:ext>
              </c:extLst>
            </c:dLbl>
            <c:dLbl>
              <c:idx val="5"/>
              <c:layout>
                <c:manualLayout>
                  <c:x val="8.3073727933541015E-3"/>
                  <c:y val="9.6385566552336568E-3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C310-4F46-B73D-3FB9F8DA25B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'[2]Energy Graph'!$A$2:$A$32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'[2]Energy Graph'!$C$2:$C$32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4-C310-4F46-B73D-3FB9F8DA25B8}"/>
            </c:ext>
          </c:extLst>
        </c:ser>
        <c:marker val="1"/>
        <c:axId val="84072704"/>
        <c:axId val="84480000"/>
      </c:lineChart>
      <c:catAx>
        <c:axId val="84065280"/>
        <c:scaling>
          <c:orientation val="minMax"/>
        </c:scaling>
        <c:axPos val="b"/>
        <c:numFmt formatCode="General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4071168"/>
        <c:crosses val="autoZero"/>
        <c:lblAlgn val="ctr"/>
        <c:lblOffset val="100"/>
        <c:tickMarkSkip val="1"/>
      </c:catAx>
      <c:valAx>
        <c:axId val="8407116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4065280"/>
        <c:crosses val="autoZero"/>
        <c:crossBetween val="between"/>
      </c:valAx>
      <c:catAx>
        <c:axId val="84072704"/>
        <c:scaling>
          <c:orientation val="minMax"/>
        </c:scaling>
        <c:delete val="1"/>
        <c:axPos val="b"/>
        <c:numFmt formatCode="General" sourceLinked="1"/>
        <c:tickLblPos val="none"/>
        <c:crossAx val="84480000"/>
        <c:crosses val="autoZero"/>
        <c:lblAlgn val="ctr"/>
        <c:lblOffset val="100"/>
      </c:catAx>
      <c:valAx>
        <c:axId val="84480000"/>
        <c:scaling>
          <c:orientation val="minMax"/>
        </c:scaling>
        <c:axPos val="r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4072704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62537115353162465"/>
          <c:y val="2.0356234096692107E-2"/>
          <c:w val="0.21364992951548994"/>
          <c:h val="5.5979910908083103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5.3491827637444332E-2"/>
          <c:y val="0.32163926374773188"/>
          <c:w val="0.90118870728083211"/>
          <c:h val="0.4444469826330788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REPORT.xlsx]Energy Graph'!$D$1</c:f>
              <c:strCache>
                <c:ptCount val="1"/>
                <c:pt idx="0">
                  <c:v>#REF!</c:v>
                </c:pt>
              </c:strCache>
            </c:strRef>
          </c:tx>
          <c:dLbls>
            <c:dLbl>
              <c:idx val="1"/>
              <c:layout>
                <c:manualLayout>
                  <c:x val="4.1601664066562667E-3"/>
                  <c:y val="0.17933723196881091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F50F-40A0-9980-FD44E6BB7EC8}"/>
                </c:ext>
              </c:extLst>
            </c:dLbl>
            <c:dLbl>
              <c:idx val="3"/>
              <c:layout>
                <c:manualLayout>
                  <c:x val="0"/>
                  <c:y val="0.17933723196881091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F50F-40A0-9980-FD44E6BB7EC8}"/>
                </c:ext>
              </c:extLst>
            </c:dLbl>
            <c:dLbl>
              <c:idx val="5"/>
              <c:layout>
                <c:manualLayout>
                  <c:x val="1.3520540821632903E-2"/>
                  <c:y val="1.5594541910331383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F50F-40A0-9980-FD44E6BB7EC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'[2]Energy Graph'!$D$2:$D$32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3-F50F-40A0-9980-FD44E6BB7EC8}"/>
            </c:ext>
          </c:extLst>
        </c:ser>
        <c:marker val="1"/>
        <c:axId val="84516224"/>
        <c:axId val="84518016"/>
      </c:lineChart>
      <c:catAx>
        <c:axId val="8451622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4518016"/>
        <c:crosses val="autoZero"/>
        <c:auto val="1"/>
        <c:lblAlgn val="ctr"/>
        <c:lblOffset val="100"/>
      </c:catAx>
      <c:valAx>
        <c:axId val="8451801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451622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961367013392465"/>
          <c:y val="6.4328099338459899E-2"/>
          <c:w val="0.12704309063892341"/>
          <c:h val="0.14035149115150125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3413189519346924E-2"/>
          <c:y val="0.33333514179231138"/>
          <c:w val="0.91167697990620356"/>
          <c:h val="0.45555802711603255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REPORT.xlsx]Energy Graph'!$E$1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'[2]Energy Graph'!$E$2:$E$32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7A72-40EE-981F-2FE47990BAD9}"/>
            </c:ext>
          </c:extLst>
        </c:ser>
        <c:marker val="1"/>
        <c:axId val="84681856"/>
        <c:axId val="84683392"/>
      </c:lineChart>
      <c:catAx>
        <c:axId val="8468185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4683392"/>
        <c:crosses val="autoZero"/>
        <c:auto val="1"/>
        <c:lblAlgn val="ctr"/>
        <c:lblOffset val="100"/>
      </c:catAx>
      <c:valAx>
        <c:axId val="8468339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468185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97607147909"/>
          <c:y val="7.7778361038204014E-2"/>
          <c:w val="0.13098810253515294"/>
          <c:h val="0.13333391659375887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LPG Consumption</a:t>
            </a:r>
          </a:p>
        </c:rich>
      </c:tx>
    </c:title>
    <c:plotArea>
      <c:layout>
        <c:manualLayout>
          <c:layoutTarget val="inner"/>
          <c:xMode val="edge"/>
          <c:yMode val="edge"/>
          <c:x val="8.0143540669856544E-2"/>
          <c:y val="7.4567292156872134E-2"/>
          <c:w val="0.72009569377993365"/>
          <c:h val="0.83355580161074405"/>
        </c:manualLayout>
      </c:layout>
      <c:lineChart>
        <c:grouping val="stacked"/>
        <c:ser>
          <c:idx val="0"/>
          <c:order val="0"/>
          <c:tx>
            <c:strRef>
              <c:f>LPG_Graph!$B$1</c:f>
              <c:strCache>
                <c:ptCount val="1"/>
                <c:pt idx="0">
                  <c:v>Usage KG</c:v>
                </c:pt>
              </c:strCache>
            </c:strRef>
          </c:tx>
          <c:marker>
            <c:symbol val="none"/>
          </c:marker>
          <c:cat>
            <c:numRef>
              <c:f>LPG_Graph!$A$2:$A$32</c:f>
              <c:numCache>
                <c:formatCode>[$-409]d\-mmm\-yy;@</c:formatCode>
                <c:ptCount val="31"/>
                <c:pt idx="0">
                  <c:v>43739</c:v>
                </c:pt>
                <c:pt idx="1">
                  <c:v>43740</c:v>
                </c:pt>
                <c:pt idx="2">
                  <c:v>43741</c:v>
                </c:pt>
                <c:pt idx="3">
                  <c:v>43742</c:v>
                </c:pt>
                <c:pt idx="4">
                  <c:v>43743</c:v>
                </c:pt>
                <c:pt idx="5">
                  <c:v>43744</c:v>
                </c:pt>
                <c:pt idx="6">
                  <c:v>43745</c:v>
                </c:pt>
                <c:pt idx="7">
                  <c:v>43746</c:v>
                </c:pt>
                <c:pt idx="8">
                  <c:v>43747</c:v>
                </c:pt>
                <c:pt idx="9">
                  <c:v>43748</c:v>
                </c:pt>
                <c:pt idx="10">
                  <c:v>43749</c:v>
                </c:pt>
                <c:pt idx="11">
                  <c:v>43750</c:v>
                </c:pt>
                <c:pt idx="12">
                  <c:v>43751</c:v>
                </c:pt>
                <c:pt idx="13">
                  <c:v>43752</c:v>
                </c:pt>
                <c:pt idx="14">
                  <c:v>43753</c:v>
                </c:pt>
                <c:pt idx="15">
                  <c:v>43754</c:v>
                </c:pt>
                <c:pt idx="16">
                  <c:v>43755</c:v>
                </c:pt>
                <c:pt idx="17">
                  <c:v>43756</c:v>
                </c:pt>
                <c:pt idx="18">
                  <c:v>43757</c:v>
                </c:pt>
                <c:pt idx="19">
                  <c:v>43758</c:v>
                </c:pt>
                <c:pt idx="20">
                  <c:v>43759</c:v>
                </c:pt>
                <c:pt idx="21">
                  <c:v>43760</c:v>
                </c:pt>
                <c:pt idx="22">
                  <c:v>43761</c:v>
                </c:pt>
                <c:pt idx="23">
                  <c:v>43762</c:v>
                </c:pt>
                <c:pt idx="24">
                  <c:v>43763</c:v>
                </c:pt>
                <c:pt idx="25">
                  <c:v>43764</c:v>
                </c:pt>
                <c:pt idx="26">
                  <c:v>43765</c:v>
                </c:pt>
                <c:pt idx="27">
                  <c:v>43766</c:v>
                </c:pt>
                <c:pt idx="28">
                  <c:v>43767</c:v>
                </c:pt>
                <c:pt idx="29">
                  <c:v>43768</c:v>
                </c:pt>
                <c:pt idx="30">
                  <c:v>43769</c:v>
                </c:pt>
              </c:numCache>
            </c:numRef>
          </c:cat>
          <c:val>
            <c:numRef>
              <c:f>LPG_Graph!$B$2:$B$32</c:f>
              <c:numCache>
                <c:formatCode>_(* #,##0_);_(* \(#,##0\);_(* "-"??_);_(@_)</c:formatCode>
                <c:ptCount val="31"/>
                <c:pt idx="0">
                  <c:v>197.55999999997439</c:v>
                </c:pt>
                <c:pt idx="1">
                  <c:v>131.95600000002307</c:v>
                </c:pt>
                <c:pt idx="2">
                  <c:v>117.4799999999872</c:v>
                </c:pt>
                <c:pt idx="3">
                  <c:v>102.9599999999744</c:v>
                </c:pt>
                <c:pt idx="4">
                  <c:v>101.81599999999744</c:v>
                </c:pt>
                <c:pt idx="5">
                  <c:v>106.92000000001282</c:v>
                </c:pt>
                <c:pt idx="6">
                  <c:v>116.73199999999488</c:v>
                </c:pt>
                <c:pt idx="7">
                  <c:v>105.73199999999488</c:v>
                </c:pt>
                <c:pt idx="8">
                  <c:v>114.4</c:v>
                </c:pt>
                <c:pt idx="9">
                  <c:v>102.08000000005123</c:v>
                </c:pt>
                <c:pt idx="10">
                  <c:v>105.29199999996928</c:v>
                </c:pt>
                <c:pt idx="11">
                  <c:v>114.66399999998977</c:v>
                </c:pt>
                <c:pt idx="12">
                  <c:v>113.78400000000256</c:v>
                </c:pt>
                <c:pt idx="13">
                  <c:v>114.62000000001281</c:v>
                </c:pt>
                <c:pt idx="14">
                  <c:v>107.49199999996928</c:v>
                </c:pt>
                <c:pt idx="15">
                  <c:v>106.78800000001793</c:v>
                </c:pt>
                <c:pt idx="16">
                  <c:v>100.76000000003843</c:v>
                </c:pt>
                <c:pt idx="17">
                  <c:v>108.6799999999872</c:v>
                </c:pt>
                <c:pt idx="18">
                  <c:v>92.795999999984645</c:v>
                </c:pt>
                <c:pt idx="19">
                  <c:v>137.80800000003075</c:v>
                </c:pt>
                <c:pt idx="20">
                  <c:v>103.79599999998464</c:v>
                </c:pt>
                <c:pt idx="21">
                  <c:v>20.415999999997439</c:v>
                </c:pt>
                <c:pt idx="22">
                  <c:v>197.69199999996928</c:v>
                </c:pt>
                <c:pt idx="23">
                  <c:v>101.11200000004611</c:v>
                </c:pt>
                <c:pt idx="24">
                  <c:v>95.303999999951344</c:v>
                </c:pt>
                <c:pt idx="25">
                  <c:v>104.80800000003075</c:v>
                </c:pt>
                <c:pt idx="26">
                  <c:v>102.43199999999489</c:v>
                </c:pt>
                <c:pt idx="27">
                  <c:v>-295728.88400000002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E78E-4F2A-BB00-B65C7B5AB533}"/>
            </c:ext>
          </c:extLst>
        </c:ser>
        <c:marker val="1"/>
        <c:axId val="85133184"/>
        <c:axId val="85134720"/>
      </c:lineChart>
      <c:lineChart>
        <c:grouping val="stacked"/>
        <c:ser>
          <c:idx val="1"/>
          <c:order val="1"/>
          <c:tx>
            <c:strRef>
              <c:f>LPG_Graph!$C$1</c:f>
              <c:strCache>
                <c:ptCount val="1"/>
                <c:pt idx="0">
                  <c:v>Occ %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cat>
            <c:numRef>
              <c:f>LPG_Graph!$A$2:$A$32</c:f>
              <c:numCache>
                <c:formatCode>[$-409]d\-mmm\-yy;@</c:formatCode>
                <c:ptCount val="31"/>
                <c:pt idx="0">
                  <c:v>43739</c:v>
                </c:pt>
                <c:pt idx="1">
                  <c:v>43740</c:v>
                </c:pt>
                <c:pt idx="2">
                  <c:v>43741</c:v>
                </c:pt>
                <c:pt idx="3">
                  <c:v>43742</c:v>
                </c:pt>
                <c:pt idx="4">
                  <c:v>43743</c:v>
                </c:pt>
                <c:pt idx="5">
                  <c:v>43744</c:v>
                </c:pt>
                <c:pt idx="6">
                  <c:v>43745</c:v>
                </c:pt>
                <c:pt idx="7">
                  <c:v>43746</c:v>
                </c:pt>
                <c:pt idx="8">
                  <c:v>43747</c:v>
                </c:pt>
                <c:pt idx="9">
                  <c:v>43748</c:v>
                </c:pt>
                <c:pt idx="10">
                  <c:v>43749</c:v>
                </c:pt>
                <c:pt idx="11">
                  <c:v>43750</c:v>
                </c:pt>
                <c:pt idx="12">
                  <c:v>43751</c:v>
                </c:pt>
                <c:pt idx="13">
                  <c:v>43752</c:v>
                </c:pt>
                <c:pt idx="14">
                  <c:v>43753</c:v>
                </c:pt>
                <c:pt idx="15">
                  <c:v>43754</c:v>
                </c:pt>
                <c:pt idx="16">
                  <c:v>43755</c:v>
                </c:pt>
                <c:pt idx="17">
                  <c:v>43756</c:v>
                </c:pt>
                <c:pt idx="18">
                  <c:v>43757</c:v>
                </c:pt>
                <c:pt idx="19">
                  <c:v>43758</c:v>
                </c:pt>
                <c:pt idx="20">
                  <c:v>43759</c:v>
                </c:pt>
                <c:pt idx="21">
                  <c:v>43760</c:v>
                </c:pt>
                <c:pt idx="22">
                  <c:v>43761</c:v>
                </c:pt>
                <c:pt idx="23">
                  <c:v>43762</c:v>
                </c:pt>
                <c:pt idx="24">
                  <c:v>43763</c:v>
                </c:pt>
                <c:pt idx="25">
                  <c:v>43764</c:v>
                </c:pt>
                <c:pt idx="26">
                  <c:v>43765</c:v>
                </c:pt>
                <c:pt idx="27">
                  <c:v>43766</c:v>
                </c:pt>
                <c:pt idx="28">
                  <c:v>43767</c:v>
                </c:pt>
                <c:pt idx="29">
                  <c:v>43768</c:v>
                </c:pt>
                <c:pt idx="30">
                  <c:v>43769</c:v>
                </c:pt>
              </c:numCache>
            </c:numRef>
          </c:cat>
          <c:val>
            <c:numRef>
              <c:f>LPG_Graph!$C$2:$C$32</c:f>
              <c:numCache>
                <c:formatCode>0.0%</c:formatCode>
                <c:ptCount val="31"/>
                <c:pt idx="0">
                  <c:v>0.623</c:v>
                </c:pt>
                <c:pt idx="1">
                  <c:v>0.77900000000000003</c:v>
                </c:pt>
                <c:pt idx="2">
                  <c:v>0.53200000000000003</c:v>
                </c:pt>
                <c:pt idx="3">
                  <c:v>0.61</c:v>
                </c:pt>
                <c:pt idx="4">
                  <c:v>0.68799999999999994</c:v>
                </c:pt>
                <c:pt idx="5">
                  <c:v>0.53200000000000003</c:v>
                </c:pt>
                <c:pt idx="6">
                  <c:v>0.753</c:v>
                </c:pt>
                <c:pt idx="7">
                  <c:v>0.156</c:v>
                </c:pt>
                <c:pt idx="8">
                  <c:v>0.442</c:v>
                </c:pt>
                <c:pt idx="9">
                  <c:v>0.32500000000000001</c:v>
                </c:pt>
                <c:pt idx="10">
                  <c:v>0.45500000000000002</c:v>
                </c:pt>
                <c:pt idx="11">
                  <c:v>0.41599999999999998</c:v>
                </c:pt>
                <c:pt idx="12">
                  <c:v>0.39</c:v>
                </c:pt>
                <c:pt idx="13">
                  <c:v>0.63600000000000001</c:v>
                </c:pt>
                <c:pt idx="14">
                  <c:v>0.84399999999999997</c:v>
                </c:pt>
                <c:pt idx="15">
                  <c:v>0.81799999999999995</c:v>
                </c:pt>
                <c:pt idx="16">
                  <c:v>0.20799999999999999</c:v>
                </c:pt>
                <c:pt idx="17">
                  <c:v>0.221</c:v>
                </c:pt>
                <c:pt idx="18">
                  <c:v>0.11700000000000001</c:v>
                </c:pt>
                <c:pt idx="19">
                  <c:v>0.57099999999999995</c:v>
                </c:pt>
                <c:pt idx="20">
                  <c:v>0.55800000000000005</c:v>
                </c:pt>
                <c:pt idx="21">
                  <c:v>0.40300000000000002</c:v>
                </c:pt>
                <c:pt idx="22">
                  <c:v>0.24</c:v>
                </c:pt>
                <c:pt idx="23">
                  <c:v>0.09</c:v>
                </c:pt>
                <c:pt idx="24">
                  <c:v>0.28599999999999998</c:v>
                </c:pt>
                <c:pt idx="25">
                  <c:v>0.54500000000000004</c:v>
                </c:pt>
                <c:pt idx="26">
                  <c:v>0.67500000000000004</c:v>
                </c:pt>
                <c:pt idx="27">
                  <c:v>0.27300000000000002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E78E-4F2A-BB00-B65C7B5AB533}"/>
            </c:ext>
          </c:extLst>
        </c:ser>
        <c:marker val="1"/>
        <c:axId val="85152896"/>
        <c:axId val="85154432"/>
      </c:lineChart>
      <c:catAx>
        <c:axId val="85133184"/>
        <c:scaling>
          <c:orientation val="minMax"/>
        </c:scaling>
        <c:axPos val="b"/>
        <c:numFmt formatCode="[$-409]d\-mmm\-yy;@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5134720"/>
        <c:crosses val="autoZero"/>
        <c:lblAlgn val="ctr"/>
        <c:lblOffset val="100"/>
        <c:tickMarkSkip val="1"/>
      </c:catAx>
      <c:valAx>
        <c:axId val="85134720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5133184"/>
        <c:crosses val="autoZero"/>
        <c:crossBetween val="between"/>
      </c:valAx>
      <c:catAx>
        <c:axId val="85152896"/>
        <c:scaling>
          <c:orientation val="minMax"/>
        </c:scaling>
        <c:delete val="1"/>
        <c:axPos val="b"/>
        <c:numFmt formatCode="[$-409]d\-mmm\-yy;@" sourceLinked="1"/>
        <c:tickLblPos val="none"/>
        <c:crossAx val="85154432"/>
        <c:crosses val="autoZero"/>
        <c:lblAlgn val="ctr"/>
        <c:lblOffset val="100"/>
      </c:catAx>
      <c:valAx>
        <c:axId val="85154432"/>
        <c:scaling>
          <c:orientation val="minMax"/>
        </c:scaling>
        <c:axPos val="r"/>
        <c:numFmt formatCode="0.0%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5152896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8277511961722488"/>
          <c:y val="0.49933450063092188"/>
          <c:w val="0.10645933014353848"/>
          <c:h val="5.3262316910784882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LPG Consumption</a:t>
            </a:r>
          </a:p>
        </c:rich>
      </c:tx>
    </c:title>
    <c:plotArea>
      <c:layout>
        <c:manualLayout>
          <c:layoutTarget val="inner"/>
          <c:xMode val="edge"/>
          <c:yMode val="edge"/>
          <c:x val="8.0143540669856544E-2"/>
          <c:y val="7.4567292156872134E-2"/>
          <c:w val="0.72009569377993365"/>
          <c:h val="0.83355580161074405"/>
        </c:manualLayout>
      </c:layout>
      <c:lineChart>
        <c:grouping val="stacked"/>
        <c:ser>
          <c:idx val="0"/>
          <c:order val="0"/>
          <c:tx>
            <c:strRef>
              <c:f>'Y:\Shared files\HLP-REPORT 2010 to 2019\HLP-REPORT-2019\[10 OCT.  2019 HLP REPORT.xlsx]LPG_Graph'!$B$1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cat>
            <c:numRef>
              <c:f>[2]LPG_Graph!$A$2:$A$32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[2]LPG_Graph!$B$2:$B$32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342D-48F0-AE1D-208B72522859}"/>
            </c:ext>
          </c:extLst>
        </c:ser>
        <c:marker val="1"/>
        <c:axId val="86385024"/>
        <c:axId val="86386560"/>
      </c:lineChart>
      <c:lineChart>
        <c:grouping val="stacked"/>
        <c:ser>
          <c:idx val="1"/>
          <c:order val="1"/>
          <c:tx>
            <c:strRef>
              <c:f>'Y:\Shared files\HLP-REPORT 2010 to 2019\HLP-REPORT-2019\[10 OCT.  2019 HLP REPORT.xlsx]LPG_Graph'!$C$1</c:f>
              <c:strCache>
                <c:ptCount val="1"/>
                <c:pt idx="0">
                  <c:v>#REF!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cat>
            <c:numRef>
              <c:f>[2]LPG_Graph!$A$2:$A$32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[2]LPG_Graph!$C$2:$C$32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342D-48F0-AE1D-208B72522859}"/>
            </c:ext>
          </c:extLst>
        </c:ser>
        <c:marker val="1"/>
        <c:axId val="86388096"/>
        <c:axId val="86398080"/>
      </c:lineChart>
      <c:catAx>
        <c:axId val="86385024"/>
        <c:scaling>
          <c:orientation val="minMax"/>
        </c:scaling>
        <c:axPos val="b"/>
        <c:numFmt formatCode="General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6386560"/>
        <c:crosses val="autoZero"/>
        <c:lblAlgn val="ctr"/>
        <c:lblOffset val="100"/>
        <c:tickMarkSkip val="1"/>
      </c:catAx>
      <c:valAx>
        <c:axId val="8638656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6385024"/>
        <c:crosses val="autoZero"/>
        <c:crossBetween val="between"/>
      </c:valAx>
      <c:catAx>
        <c:axId val="86388096"/>
        <c:scaling>
          <c:orientation val="minMax"/>
        </c:scaling>
        <c:delete val="1"/>
        <c:axPos val="b"/>
        <c:numFmt formatCode="General" sourceLinked="1"/>
        <c:tickLblPos val="none"/>
        <c:crossAx val="86398080"/>
        <c:crosses val="autoZero"/>
        <c:lblAlgn val="ctr"/>
        <c:lblOffset val="100"/>
      </c:catAx>
      <c:valAx>
        <c:axId val="86398080"/>
        <c:scaling>
          <c:orientation val="minMax"/>
        </c:scaling>
        <c:axPos val="r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6388096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8277511961722488"/>
          <c:y val="0.49933450063092188"/>
          <c:w val="0.10645933014353848"/>
          <c:h val="5.3262316910784882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Water Consumption</a:t>
            </a:r>
          </a:p>
        </c:rich>
      </c:tx>
    </c:title>
    <c:plotArea>
      <c:layout>
        <c:manualLayout>
          <c:layoutTarget val="inner"/>
          <c:xMode val="edge"/>
          <c:yMode val="edge"/>
          <c:x val="0.10765550239234448"/>
          <c:y val="7.2857193678287996E-2"/>
          <c:w val="0.70334928229665072"/>
          <c:h val="0.90428634506559957"/>
        </c:manualLayout>
      </c:layout>
      <c:lineChart>
        <c:grouping val="stacked"/>
        <c:ser>
          <c:idx val="0"/>
          <c:order val="0"/>
          <c:tx>
            <c:strRef>
              <c:f>'Water_Graph '!$B$1</c:f>
              <c:strCache>
                <c:ptCount val="1"/>
                <c:pt idx="0">
                  <c:v>Usage</c:v>
                </c:pt>
              </c:strCache>
            </c:strRef>
          </c:tx>
          <c:marker>
            <c:symbol val="none"/>
          </c:marker>
          <c:cat>
            <c:numRef>
              <c:f>'Water_Graph '!$A$2:$A$32</c:f>
              <c:numCache>
                <c:formatCode>[$-409]d\-mmm\-yy;@</c:formatCode>
                <c:ptCount val="31"/>
                <c:pt idx="0">
                  <c:v>43739</c:v>
                </c:pt>
                <c:pt idx="1">
                  <c:v>43740</c:v>
                </c:pt>
                <c:pt idx="2">
                  <c:v>43741</c:v>
                </c:pt>
                <c:pt idx="3">
                  <c:v>43742</c:v>
                </c:pt>
                <c:pt idx="4">
                  <c:v>43743</c:v>
                </c:pt>
                <c:pt idx="5">
                  <c:v>43744</c:v>
                </c:pt>
                <c:pt idx="6">
                  <c:v>43745</c:v>
                </c:pt>
                <c:pt idx="7">
                  <c:v>43746</c:v>
                </c:pt>
                <c:pt idx="8">
                  <c:v>43747</c:v>
                </c:pt>
                <c:pt idx="9">
                  <c:v>43748</c:v>
                </c:pt>
                <c:pt idx="10">
                  <c:v>43749</c:v>
                </c:pt>
                <c:pt idx="11">
                  <c:v>43750</c:v>
                </c:pt>
                <c:pt idx="12">
                  <c:v>43751</c:v>
                </c:pt>
                <c:pt idx="13">
                  <c:v>43752</c:v>
                </c:pt>
                <c:pt idx="14">
                  <c:v>43753</c:v>
                </c:pt>
                <c:pt idx="15">
                  <c:v>43754</c:v>
                </c:pt>
                <c:pt idx="16">
                  <c:v>43755</c:v>
                </c:pt>
                <c:pt idx="17">
                  <c:v>43756</c:v>
                </c:pt>
                <c:pt idx="18">
                  <c:v>43757</c:v>
                </c:pt>
                <c:pt idx="19">
                  <c:v>43758</c:v>
                </c:pt>
                <c:pt idx="20">
                  <c:v>43759</c:v>
                </c:pt>
                <c:pt idx="21">
                  <c:v>43760</c:v>
                </c:pt>
                <c:pt idx="22">
                  <c:v>43761</c:v>
                </c:pt>
                <c:pt idx="23">
                  <c:v>43762</c:v>
                </c:pt>
                <c:pt idx="24">
                  <c:v>43763</c:v>
                </c:pt>
                <c:pt idx="25">
                  <c:v>43764</c:v>
                </c:pt>
                <c:pt idx="26">
                  <c:v>43765</c:v>
                </c:pt>
                <c:pt idx="27">
                  <c:v>43766</c:v>
                </c:pt>
                <c:pt idx="28">
                  <c:v>43767</c:v>
                </c:pt>
                <c:pt idx="29">
                  <c:v>43768</c:v>
                </c:pt>
                <c:pt idx="30">
                  <c:v>43769</c:v>
                </c:pt>
              </c:numCache>
            </c:numRef>
          </c:cat>
          <c:val>
            <c:numRef>
              <c:f>'Water_Graph '!$B$2:$B$32</c:f>
              <c:numCache>
                <c:formatCode>_(* #,##0_);_(* \(#,##0\);_(* "-"??_);_(@_)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-212333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F778-48D2-94CC-97DA53339F86}"/>
            </c:ext>
          </c:extLst>
        </c:ser>
        <c:marker val="1"/>
        <c:axId val="86666624"/>
        <c:axId val="86672512"/>
      </c:lineChart>
      <c:lineChart>
        <c:grouping val="stacked"/>
        <c:ser>
          <c:idx val="1"/>
          <c:order val="1"/>
          <c:tx>
            <c:strRef>
              <c:f>'Water_Graph '!$C$1</c:f>
              <c:strCache>
                <c:ptCount val="1"/>
                <c:pt idx="0">
                  <c:v>Occ %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cat>
            <c:numRef>
              <c:f>'Water_Graph '!$A$2:$A$32</c:f>
              <c:numCache>
                <c:formatCode>[$-409]d\-mmm\-yy;@</c:formatCode>
                <c:ptCount val="31"/>
                <c:pt idx="0">
                  <c:v>43739</c:v>
                </c:pt>
                <c:pt idx="1">
                  <c:v>43740</c:v>
                </c:pt>
                <c:pt idx="2">
                  <c:v>43741</c:v>
                </c:pt>
                <c:pt idx="3">
                  <c:v>43742</c:v>
                </c:pt>
                <c:pt idx="4">
                  <c:v>43743</c:v>
                </c:pt>
                <c:pt idx="5">
                  <c:v>43744</c:v>
                </c:pt>
                <c:pt idx="6">
                  <c:v>43745</c:v>
                </c:pt>
                <c:pt idx="7">
                  <c:v>43746</c:v>
                </c:pt>
                <c:pt idx="8">
                  <c:v>43747</c:v>
                </c:pt>
                <c:pt idx="9">
                  <c:v>43748</c:v>
                </c:pt>
                <c:pt idx="10">
                  <c:v>43749</c:v>
                </c:pt>
                <c:pt idx="11">
                  <c:v>43750</c:v>
                </c:pt>
                <c:pt idx="12">
                  <c:v>43751</c:v>
                </c:pt>
                <c:pt idx="13">
                  <c:v>43752</c:v>
                </c:pt>
                <c:pt idx="14">
                  <c:v>43753</c:v>
                </c:pt>
                <c:pt idx="15">
                  <c:v>43754</c:v>
                </c:pt>
                <c:pt idx="16">
                  <c:v>43755</c:v>
                </c:pt>
                <c:pt idx="17">
                  <c:v>43756</c:v>
                </c:pt>
                <c:pt idx="18">
                  <c:v>43757</c:v>
                </c:pt>
                <c:pt idx="19">
                  <c:v>43758</c:v>
                </c:pt>
                <c:pt idx="20">
                  <c:v>43759</c:v>
                </c:pt>
                <c:pt idx="21">
                  <c:v>43760</c:v>
                </c:pt>
                <c:pt idx="22">
                  <c:v>43761</c:v>
                </c:pt>
                <c:pt idx="23">
                  <c:v>43762</c:v>
                </c:pt>
                <c:pt idx="24">
                  <c:v>43763</c:v>
                </c:pt>
                <c:pt idx="25">
                  <c:v>43764</c:v>
                </c:pt>
                <c:pt idx="26">
                  <c:v>43765</c:v>
                </c:pt>
                <c:pt idx="27">
                  <c:v>43766</c:v>
                </c:pt>
                <c:pt idx="28">
                  <c:v>43767</c:v>
                </c:pt>
                <c:pt idx="29">
                  <c:v>43768</c:v>
                </c:pt>
                <c:pt idx="30">
                  <c:v>43769</c:v>
                </c:pt>
              </c:numCache>
            </c:numRef>
          </c:cat>
          <c:val>
            <c:numRef>
              <c:f>'Water_Graph '!$C$2:$C$32</c:f>
              <c:numCache>
                <c:formatCode>0.0%</c:formatCode>
                <c:ptCount val="31"/>
                <c:pt idx="0">
                  <c:v>0.623</c:v>
                </c:pt>
                <c:pt idx="1">
                  <c:v>0.77900000000000003</c:v>
                </c:pt>
                <c:pt idx="2">
                  <c:v>0.53200000000000003</c:v>
                </c:pt>
                <c:pt idx="3">
                  <c:v>0.61</c:v>
                </c:pt>
                <c:pt idx="4">
                  <c:v>0.68799999999999994</c:v>
                </c:pt>
                <c:pt idx="5">
                  <c:v>0.53200000000000003</c:v>
                </c:pt>
                <c:pt idx="6">
                  <c:v>0.753</c:v>
                </c:pt>
                <c:pt idx="7">
                  <c:v>0.156</c:v>
                </c:pt>
                <c:pt idx="8">
                  <c:v>0.442</c:v>
                </c:pt>
                <c:pt idx="9">
                  <c:v>0.32500000000000001</c:v>
                </c:pt>
                <c:pt idx="10">
                  <c:v>0.45500000000000002</c:v>
                </c:pt>
                <c:pt idx="11">
                  <c:v>0.41599999999999998</c:v>
                </c:pt>
                <c:pt idx="12">
                  <c:v>0.39</c:v>
                </c:pt>
                <c:pt idx="13">
                  <c:v>0.63600000000000001</c:v>
                </c:pt>
                <c:pt idx="14">
                  <c:v>0.84399999999999997</c:v>
                </c:pt>
                <c:pt idx="15">
                  <c:v>0.81799999999999995</c:v>
                </c:pt>
                <c:pt idx="16">
                  <c:v>0.20799999999999999</c:v>
                </c:pt>
                <c:pt idx="17">
                  <c:v>0.221</c:v>
                </c:pt>
                <c:pt idx="18">
                  <c:v>0.11700000000000001</c:v>
                </c:pt>
                <c:pt idx="19">
                  <c:v>0.57099999999999995</c:v>
                </c:pt>
                <c:pt idx="20">
                  <c:v>0.55800000000000005</c:v>
                </c:pt>
                <c:pt idx="21">
                  <c:v>0.40300000000000002</c:v>
                </c:pt>
                <c:pt idx="22">
                  <c:v>0.24</c:v>
                </c:pt>
                <c:pt idx="23">
                  <c:v>0.09</c:v>
                </c:pt>
                <c:pt idx="24">
                  <c:v>0.28599999999999998</c:v>
                </c:pt>
                <c:pt idx="25">
                  <c:v>0.54500000000000004</c:v>
                </c:pt>
                <c:pt idx="26">
                  <c:v>0.67500000000000004</c:v>
                </c:pt>
                <c:pt idx="27">
                  <c:v>0.27300000000000002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F778-48D2-94CC-97DA53339F86}"/>
            </c:ext>
          </c:extLst>
        </c:ser>
        <c:marker val="1"/>
        <c:axId val="86674048"/>
        <c:axId val="86679936"/>
      </c:lineChart>
      <c:catAx>
        <c:axId val="86666624"/>
        <c:scaling>
          <c:orientation val="minMax"/>
        </c:scaling>
        <c:axPos val="b"/>
        <c:numFmt formatCode="[$-409]d\-mmm\-yy;@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6672512"/>
        <c:crosses val="autoZero"/>
        <c:lblAlgn val="ctr"/>
        <c:lblOffset val="100"/>
        <c:tickMarkSkip val="1"/>
      </c:catAx>
      <c:valAx>
        <c:axId val="86672512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6666624"/>
        <c:crosses val="autoZero"/>
        <c:crossBetween val="between"/>
      </c:valAx>
      <c:catAx>
        <c:axId val="86674048"/>
        <c:scaling>
          <c:orientation val="minMax"/>
        </c:scaling>
        <c:delete val="1"/>
        <c:axPos val="b"/>
        <c:numFmt formatCode="[$-409]d\-mmm\-yy;@" sourceLinked="1"/>
        <c:tickLblPos val="none"/>
        <c:crossAx val="86679936"/>
        <c:crosses val="autoZero"/>
        <c:lblAlgn val="ctr"/>
        <c:lblOffset val="100"/>
      </c:catAx>
      <c:valAx>
        <c:axId val="86679936"/>
        <c:scaling>
          <c:orientation val="minMax"/>
        </c:scaling>
        <c:axPos val="r"/>
        <c:numFmt formatCode="0.0%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6674048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9952153110047861"/>
          <c:y val="0.5000002999625045"/>
          <c:w val="8.9712918660284205E-2"/>
          <c:h val="5.7142857142857384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Water Consumption</a:t>
            </a:r>
          </a:p>
        </c:rich>
      </c:tx>
    </c:title>
    <c:plotArea>
      <c:layout>
        <c:manualLayout>
          <c:layoutTarget val="inner"/>
          <c:xMode val="edge"/>
          <c:yMode val="edge"/>
          <c:x val="0.10765550239234448"/>
          <c:y val="7.2857193678287996E-2"/>
          <c:w val="0.70334928229665072"/>
          <c:h val="0.90428634506559957"/>
        </c:manualLayout>
      </c:layout>
      <c:lineChart>
        <c:grouping val="stacked"/>
        <c:ser>
          <c:idx val="0"/>
          <c:order val="0"/>
          <c:tx>
            <c:strRef>
              <c:f>'Y:\Shared files\HLP-REPORT 2010 to 2019\HLP-REPORT-2019\[10 OCT.  2019 HLP REPORT.xlsx]Water_Graph '!$B$1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cat>
            <c:numRef>
              <c:f>'[2]Water_Graph '!$A$2:$A$32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'[2]Water_Graph '!$B$2:$B$32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4776-4FA5-9560-D41F5391BFED}"/>
            </c:ext>
          </c:extLst>
        </c:ser>
        <c:marker val="1"/>
        <c:axId val="87844736"/>
        <c:axId val="87846272"/>
      </c:lineChart>
      <c:lineChart>
        <c:grouping val="stacked"/>
        <c:ser>
          <c:idx val="1"/>
          <c:order val="1"/>
          <c:tx>
            <c:strRef>
              <c:f>'Y:\Shared files\HLP-REPORT 2010 to 2019\HLP-REPORT-2019\[10 OCT.  2019 HLP REPORT.xlsx]Water_Graph '!$C$1</c:f>
              <c:strCache>
                <c:ptCount val="1"/>
                <c:pt idx="0">
                  <c:v>#REF!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cat>
            <c:numRef>
              <c:f>'[2]Water_Graph '!$A$2:$A$32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'[2]Water_Graph '!$C$2:$C$32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4776-4FA5-9560-D41F5391BFED}"/>
            </c:ext>
          </c:extLst>
        </c:ser>
        <c:marker val="1"/>
        <c:axId val="87848064"/>
        <c:axId val="87849600"/>
      </c:lineChart>
      <c:catAx>
        <c:axId val="87844736"/>
        <c:scaling>
          <c:orientation val="minMax"/>
        </c:scaling>
        <c:axPos val="b"/>
        <c:numFmt formatCode="General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7846272"/>
        <c:crosses val="autoZero"/>
        <c:lblAlgn val="ctr"/>
        <c:lblOffset val="100"/>
        <c:tickMarkSkip val="1"/>
      </c:catAx>
      <c:valAx>
        <c:axId val="8784627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7844736"/>
        <c:crosses val="autoZero"/>
        <c:crossBetween val="between"/>
      </c:valAx>
      <c:catAx>
        <c:axId val="87848064"/>
        <c:scaling>
          <c:orientation val="minMax"/>
        </c:scaling>
        <c:delete val="1"/>
        <c:axPos val="b"/>
        <c:numFmt formatCode="General" sourceLinked="1"/>
        <c:tickLblPos val="none"/>
        <c:crossAx val="87849600"/>
        <c:crosses val="autoZero"/>
        <c:lblAlgn val="ctr"/>
        <c:lblOffset val="100"/>
      </c:catAx>
      <c:valAx>
        <c:axId val="87849600"/>
        <c:scaling>
          <c:orientation val="minMax"/>
        </c:scaling>
        <c:axPos val="r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7848064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9952153110047861"/>
          <c:y val="0.5000002999625045"/>
          <c:w val="8.9712918660284205E-2"/>
          <c:h val="5.7142857142857384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</c:title>
    <c:plotArea>
      <c:layout>
        <c:manualLayout>
          <c:layoutTarget val="inner"/>
          <c:xMode val="edge"/>
          <c:yMode val="edge"/>
          <c:x val="0.15400426118561344"/>
          <c:y val="0.22569520974124396"/>
          <c:w val="0.62423060533901564"/>
          <c:h val="0.54514073737503665"/>
        </c:manualLayout>
      </c:layout>
      <c:lineChart>
        <c:grouping val="standard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Report'!$F$5:$F$36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1620</c:v>
                </c:pt>
                <c:pt idx="3">
                  <c:v>1580</c:v>
                </c:pt>
                <c:pt idx="4">
                  <c:v>1625</c:v>
                </c:pt>
                <c:pt idx="5">
                  <c:v>1460</c:v>
                </c:pt>
                <c:pt idx="6">
                  <c:v>1531</c:v>
                </c:pt>
                <c:pt idx="7">
                  <c:v>0</c:v>
                </c:pt>
                <c:pt idx="8">
                  <c:v>1434</c:v>
                </c:pt>
                <c:pt idx="9">
                  <c:v>1432</c:v>
                </c:pt>
                <c:pt idx="10">
                  <c:v>1527</c:v>
                </c:pt>
                <c:pt idx="11">
                  <c:v>1451</c:v>
                </c:pt>
                <c:pt idx="12">
                  <c:v>1449</c:v>
                </c:pt>
                <c:pt idx="13">
                  <c:v>1623</c:v>
                </c:pt>
                <c:pt idx="14">
                  <c:v>1552</c:v>
                </c:pt>
                <c:pt idx="15">
                  <c:v>1480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3D72-4528-997A-82A20762F560}"/>
            </c:ext>
          </c:extLst>
        </c:ser>
        <c:marker val="1"/>
        <c:axId val="86604800"/>
        <c:axId val="86619264"/>
      </c:lineChart>
      <c:catAx>
        <c:axId val="86604800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6619264"/>
        <c:crosses val="autoZero"/>
        <c:auto val="1"/>
        <c:lblAlgn val="ctr"/>
        <c:lblOffset val="100"/>
      </c:catAx>
      <c:valAx>
        <c:axId val="86619264"/>
        <c:scaling>
          <c:orientation val="minMax"/>
          <c:min val="380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6604800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80903576991268356"/>
          <c:y val="0.52777960046661065"/>
          <c:w val="0.17248481516812394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1888111888111889"/>
          <c:y val="0.22569520974124396"/>
          <c:w val="0.72202797202797264"/>
          <c:h val="0.54514073737503665"/>
        </c:manualLayout>
      </c:layout>
      <c:lineChart>
        <c:grouping val="standar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Report'!$K$5:$K$36</c:f>
              <c:numCache>
                <c:formatCode>_(* #,##0.00_);_(* \(#,##0.00\);_(* "-"??_);_(@_)</c:formatCode>
                <c:ptCount val="32"/>
                <c:pt idx="0">
                  <c:v>31</c:v>
                </c:pt>
                <c:pt idx="1">
                  <c:v>31</c:v>
                </c:pt>
                <c:pt idx="2">
                  <c:v>47</c:v>
                </c:pt>
                <c:pt idx="3">
                  <c:v>31</c:v>
                </c:pt>
                <c:pt idx="4">
                  <c:v>30</c:v>
                </c:pt>
                <c:pt idx="5">
                  <c:v>33</c:v>
                </c:pt>
                <c:pt idx="6">
                  <c:v>41</c:v>
                </c:pt>
                <c:pt idx="7">
                  <c:v>37</c:v>
                </c:pt>
                <c:pt idx="8">
                  <c:v>51</c:v>
                </c:pt>
                <c:pt idx="9">
                  <c:v>51</c:v>
                </c:pt>
                <c:pt idx="10">
                  <c:v>56</c:v>
                </c:pt>
                <c:pt idx="11">
                  <c:v>58</c:v>
                </c:pt>
                <c:pt idx="12">
                  <c:v>41</c:v>
                </c:pt>
                <c:pt idx="13">
                  <c:v>33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19E8-4C76-BD95-3F178371E2AE}"/>
            </c:ext>
          </c:extLst>
        </c:ser>
        <c:marker val="1"/>
        <c:axId val="88278528"/>
        <c:axId val="88280448"/>
      </c:lineChart>
      <c:catAx>
        <c:axId val="88278528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8280448"/>
        <c:crosses val="autoZero"/>
        <c:auto val="1"/>
        <c:lblAlgn val="ctr"/>
        <c:lblOffset val="100"/>
      </c:catAx>
      <c:valAx>
        <c:axId val="88280448"/>
        <c:scaling>
          <c:orientation val="minMax"/>
          <c:max val="200"/>
          <c:min val="8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</c:title>
        <c:numFmt formatCode="_(* #,##0.00_);_(* \(#,##0.0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8278528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86363636363636354"/>
          <c:y val="0.52777960046661065"/>
          <c:w val="0.11888111888111896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7.8763757471492529E-2"/>
          <c:y val="3.7037154275315252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7.4579870184823774E-2"/>
          <c:y val="0.21608093220235094"/>
          <c:w val="0.89705928363154264"/>
          <c:h val="0.60804169294166865"/>
        </c:manualLayout>
      </c:layout>
      <c:lineChart>
        <c:grouping val="standard"/>
        <c:ser>
          <c:idx val="0"/>
          <c:order val="0"/>
          <c:tx>
            <c:strRef>
              <c:f>'Summery Report'!$I$4</c:f>
              <c:strCache>
                <c:ptCount val="1"/>
                <c:pt idx="0">
                  <c:v>Total diesel consumed (Ltrs)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Report'!$I$5:$I$35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678.06999999999994</c:v>
                </c:pt>
                <c:pt idx="3">
                  <c:v>661.99</c:v>
                </c:pt>
                <c:pt idx="4">
                  <c:v>659.29</c:v>
                </c:pt>
                <c:pt idx="5">
                  <c:v>665.04</c:v>
                </c:pt>
                <c:pt idx="6">
                  <c:v>669.21</c:v>
                </c:pt>
                <c:pt idx="7">
                  <c:v>707.98</c:v>
                </c:pt>
                <c:pt idx="8">
                  <c:v>637.52</c:v>
                </c:pt>
                <c:pt idx="9">
                  <c:v>692.82999999999993</c:v>
                </c:pt>
                <c:pt idx="10">
                  <c:v>662.1</c:v>
                </c:pt>
                <c:pt idx="11">
                  <c:v>759.22</c:v>
                </c:pt>
                <c:pt idx="12">
                  <c:v>675.39</c:v>
                </c:pt>
                <c:pt idx="13">
                  <c:v>719.01</c:v>
                </c:pt>
                <c:pt idx="14">
                  <c:v>656.19</c:v>
                </c:pt>
                <c:pt idx="15">
                  <c:v>633.07999999999993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283-405B-ADBC-85CB69E0A274}"/>
            </c:ext>
          </c:extLst>
        </c:ser>
        <c:marker val="1"/>
        <c:axId val="88330240"/>
        <c:axId val="88331776"/>
      </c:lineChart>
      <c:catAx>
        <c:axId val="8833024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8331776"/>
        <c:crosses val="autoZero"/>
        <c:auto val="1"/>
        <c:lblAlgn val="ctr"/>
        <c:lblOffset val="200"/>
        <c:tickLblSkip val="1"/>
      </c:catAx>
      <c:valAx>
        <c:axId val="88331776"/>
        <c:scaling>
          <c:orientation val="minMax"/>
          <c:min val="10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833024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029444848824665"/>
          <c:y val="4.5226130653266333E-2"/>
          <c:w val="0.135504311960988"/>
          <c:h val="0.1206035426476252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13561814966262944"/>
          <c:y val="4.1667064344229704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0434951881014135"/>
          <c:y val="0.19480351414406533"/>
          <c:w val="0.84223381452322565"/>
          <c:h val="0.65482210557013765"/>
        </c:manualLayout>
      </c:layout>
      <c:lineChart>
        <c:grouping val="standard"/>
        <c:ser>
          <c:idx val="0"/>
          <c:order val="0"/>
          <c:tx>
            <c:strRef>
              <c:f>'Summery Report'!$C$4</c:f>
              <c:strCache>
                <c:ptCount val="1"/>
                <c:pt idx="0">
                  <c:v>Occ%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Report'!$C$5:$C$35</c:f>
              <c:numCache>
                <c:formatCode>0%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FF0-4305-B0B2-55C318FC554B}"/>
            </c:ext>
          </c:extLst>
        </c:ser>
        <c:marker val="1"/>
        <c:axId val="88110592"/>
        <c:axId val="88112128"/>
      </c:lineChart>
      <c:catAx>
        <c:axId val="8811059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8112128"/>
        <c:crosses val="autoZero"/>
        <c:auto val="1"/>
        <c:lblAlgn val="ctr"/>
        <c:lblOffset val="100"/>
      </c:catAx>
      <c:valAx>
        <c:axId val="88112128"/>
        <c:scaling>
          <c:orientation val="minMax"/>
        </c:scaling>
        <c:axPos val="l"/>
        <c:majorGridlines/>
        <c:numFmt formatCode="0%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811059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669527896999188"/>
          <c:y val="6.0606855961186673E-2"/>
          <c:w val="5.0429184549688588E-2"/>
          <c:h val="0.1818197725284454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6121640503841273E-2"/>
          <c:y val="0.38922155688622756"/>
          <c:w val="0.79140542228182165"/>
          <c:h val="0.33532934131793329"/>
        </c:manualLayout>
      </c:layout>
      <c:lineChart>
        <c:grouping val="standard"/>
        <c:ser>
          <c:idx val="0"/>
          <c:order val="0"/>
          <c:tx>
            <c:strRef>
              <c:f>'Summery Report'!$L$4</c:f>
              <c:strCache>
                <c:ptCount val="1"/>
                <c:pt idx="0">
                  <c:v>Gas consumed (KG) 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Report'!$L$5:$L$35</c:f>
              <c:numCache>
                <c:formatCode>0</c:formatCode>
                <c:ptCount val="31"/>
                <c:pt idx="0">
                  <c:v>34.9799999999872</c:v>
                </c:pt>
                <c:pt idx="1">
                  <c:v>19.75600000002305</c:v>
                </c:pt>
                <c:pt idx="2">
                  <c:v>26.97200000002049</c:v>
                </c:pt>
                <c:pt idx="3">
                  <c:v>26.400000000000002</c:v>
                </c:pt>
                <c:pt idx="4">
                  <c:v>22.439999999961586</c:v>
                </c:pt>
                <c:pt idx="5">
                  <c:v>14.608000000030735</c:v>
                </c:pt>
                <c:pt idx="6">
                  <c:v>32.252000000007683</c:v>
                </c:pt>
                <c:pt idx="7">
                  <c:v>35.551999999943661</c:v>
                </c:pt>
                <c:pt idx="8">
                  <c:v>28.908000000030736</c:v>
                </c:pt>
                <c:pt idx="9">
                  <c:v>45.143999999976955</c:v>
                </c:pt>
                <c:pt idx="10">
                  <c:v>38.896000000048666</c:v>
                </c:pt>
                <c:pt idx="11">
                  <c:v>27.01599999999744</c:v>
                </c:pt>
                <c:pt idx="12">
                  <c:v>29.21599999999744</c:v>
                </c:pt>
                <c:pt idx="13">
                  <c:v>37.179999999987196</c:v>
                </c:pt>
                <c:pt idx="14">
                  <c:v>-313549.85200000001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DF1-45A3-8599-E536E5A58049}"/>
            </c:ext>
          </c:extLst>
        </c:ser>
        <c:marker val="1"/>
        <c:axId val="88128512"/>
        <c:axId val="88867584"/>
      </c:lineChart>
      <c:catAx>
        <c:axId val="8812851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8867584"/>
        <c:crosses val="autoZero"/>
        <c:auto val="1"/>
        <c:lblAlgn val="ctr"/>
        <c:lblOffset val="100"/>
      </c:catAx>
      <c:valAx>
        <c:axId val="88867584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812851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25035628420065"/>
          <c:y val="0.54491017964071853"/>
          <c:w val="0.13731667189388086"/>
          <c:h val="0.12574850299485008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</c:title>
    <c:plotArea>
      <c:layout>
        <c:manualLayout>
          <c:layoutTarget val="inner"/>
          <c:xMode val="edge"/>
          <c:yMode val="edge"/>
          <c:x val="0.15400426118561344"/>
          <c:y val="0.22569520974124396"/>
          <c:w val="0.62423060533901564"/>
          <c:h val="0.54514073737503665"/>
        </c:manualLayout>
      </c:layout>
      <c:lineChart>
        <c:grouping val="standard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Report'!$F$5:$F$36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1620</c:v>
                </c:pt>
                <c:pt idx="3">
                  <c:v>1580</c:v>
                </c:pt>
                <c:pt idx="4">
                  <c:v>1625</c:v>
                </c:pt>
                <c:pt idx="5">
                  <c:v>1460</c:v>
                </c:pt>
                <c:pt idx="6">
                  <c:v>1531</c:v>
                </c:pt>
                <c:pt idx="7">
                  <c:v>0</c:v>
                </c:pt>
                <c:pt idx="8">
                  <c:v>1434</c:v>
                </c:pt>
                <c:pt idx="9">
                  <c:v>1432</c:v>
                </c:pt>
                <c:pt idx="10">
                  <c:v>1527</c:v>
                </c:pt>
                <c:pt idx="11">
                  <c:v>1451</c:v>
                </c:pt>
                <c:pt idx="12">
                  <c:v>1449</c:v>
                </c:pt>
                <c:pt idx="13">
                  <c:v>1623</c:v>
                </c:pt>
                <c:pt idx="14">
                  <c:v>1552</c:v>
                </c:pt>
                <c:pt idx="15">
                  <c:v>1480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5FA-4D51-A179-DE8975BCDBE6}"/>
            </c:ext>
          </c:extLst>
        </c:ser>
        <c:marker val="1"/>
        <c:axId val="89789184"/>
        <c:axId val="89791104"/>
      </c:lineChart>
      <c:catAx>
        <c:axId val="89789184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9791104"/>
        <c:crosses val="autoZero"/>
        <c:auto val="1"/>
        <c:lblAlgn val="ctr"/>
        <c:lblOffset val="100"/>
      </c:catAx>
      <c:valAx>
        <c:axId val="89791104"/>
        <c:scaling>
          <c:orientation val="minMax"/>
          <c:min val="380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9789184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80903576991268356"/>
          <c:y val="0.52777960046661065"/>
          <c:w val="0.17248481516812394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1888111888111889"/>
          <c:y val="0.22569520974124396"/>
          <c:w val="0.72202797202797264"/>
          <c:h val="0.54514073737503665"/>
        </c:manualLayout>
      </c:layout>
      <c:lineChart>
        <c:grouping val="standar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Report'!$K$5:$K$36</c:f>
              <c:numCache>
                <c:formatCode>_(* #,##0.00_);_(* \(#,##0.00\);_(* "-"??_);_(@_)</c:formatCode>
                <c:ptCount val="32"/>
                <c:pt idx="0">
                  <c:v>31</c:v>
                </c:pt>
                <c:pt idx="1">
                  <c:v>31</c:v>
                </c:pt>
                <c:pt idx="2">
                  <c:v>47</c:v>
                </c:pt>
                <c:pt idx="3">
                  <c:v>31</c:v>
                </c:pt>
                <c:pt idx="4">
                  <c:v>30</c:v>
                </c:pt>
                <c:pt idx="5">
                  <c:v>33</c:v>
                </c:pt>
                <c:pt idx="6">
                  <c:v>41</c:v>
                </c:pt>
                <c:pt idx="7">
                  <c:v>37</c:v>
                </c:pt>
                <c:pt idx="8">
                  <c:v>51</c:v>
                </c:pt>
                <c:pt idx="9">
                  <c:v>51</c:v>
                </c:pt>
                <c:pt idx="10">
                  <c:v>56</c:v>
                </c:pt>
                <c:pt idx="11">
                  <c:v>58</c:v>
                </c:pt>
                <c:pt idx="12">
                  <c:v>41</c:v>
                </c:pt>
                <c:pt idx="13">
                  <c:v>33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0F1-4B76-A0F3-3755C012F1B1}"/>
            </c:ext>
          </c:extLst>
        </c:ser>
        <c:marker val="1"/>
        <c:axId val="89816064"/>
        <c:axId val="89838720"/>
      </c:lineChart>
      <c:catAx>
        <c:axId val="89816064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9838720"/>
        <c:crosses val="autoZero"/>
        <c:auto val="1"/>
        <c:lblAlgn val="ctr"/>
        <c:lblOffset val="100"/>
      </c:catAx>
      <c:valAx>
        <c:axId val="89838720"/>
        <c:scaling>
          <c:orientation val="minMax"/>
          <c:max val="200"/>
          <c:min val="8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</c:title>
        <c:numFmt formatCode="_(* #,##0.00_);_(* \(#,##0.0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9816064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86363636363636354"/>
          <c:y val="0.52777960046661065"/>
          <c:w val="0.11888111888111896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7.8763757471492529E-2"/>
          <c:y val="3.7037154275315252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7.4579870184823774E-2"/>
          <c:y val="0.21608093220235094"/>
          <c:w val="0.89705928363154264"/>
          <c:h val="0.60804169294166865"/>
        </c:manualLayout>
      </c:layout>
      <c:lineChart>
        <c:grouping val="standard"/>
        <c:ser>
          <c:idx val="0"/>
          <c:order val="0"/>
          <c:tx>
            <c:strRef>
              <c:f>'Summery Report'!$I$4</c:f>
              <c:strCache>
                <c:ptCount val="1"/>
                <c:pt idx="0">
                  <c:v>Total diesel consumed (Ltrs)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Report'!$I$5:$I$35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678.06999999999994</c:v>
                </c:pt>
                <c:pt idx="3">
                  <c:v>661.99</c:v>
                </c:pt>
                <c:pt idx="4">
                  <c:v>659.29</c:v>
                </c:pt>
                <c:pt idx="5">
                  <c:v>665.04</c:v>
                </c:pt>
                <c:pt idx="6">
                  <c:v>669.21</c:v>
                </c:pt>
                <c:pt idx="7">
                  <c:v>707.98</c:v>
                </c:pt>
                <c:pt idx="8">
                  <c:v>637.52</c:v>
                </c:pt>
                <c:pt idx="9">
                  <c:v>692.82999999999993</c:v>
                </c:pt>
                <c:pt idx="10">
                  <c:v>662.1</c:v>
                </c:pt>
                <c:pt idx="11">
                  <c:v>759.22</c:v>
                </c:pt>
                <c:pt idx="12">
                  <c:v>675.39</c:v>
                </c:pt>
                <c:pt idx="13">
                  <c:v>719.01</c:v>
                </c:pt>
                <c:pt idx="14">
                  <c:v>656.19</c:v>
                </c:pt>
                <c:pt idx="15">
                  <c:v>633.07999999999993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4FED-4997-A19B-2FAB412AF121}"/>
            </c:ext>
          </c:extLst>
        </c:ser>
        <c:marker val="1"/>
        <c:axId val="90387968"/>
        <c:axId val="90389504"/>
      </c:lineChart>
      <c:catAx>
        <c:axId val="9038796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0389504"/>
        <c:crosses val="autoZero"/>
        <c:auto val="1"/>
        <c:lblAlgn val="ctr"/>
        <c:lblOffset val="200"/>
        <c:tickLblSkip val="1"/>
      </c:catAx>
      <c:valAx>
        <c:axId val="90389504"/>
        <c:scaling>
          <c:orientation val="minMax"/>
          <c:min val="10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038796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029444848824665"/>
          <c:y val="4.5226130653266333E-2"/>
          <c:w val="0.135504311960988"/>
          <c:h val="0.1206035426476252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13561814966262944"/>
          <c:y val="4.1667064344229704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0434951881014135"/>
          <c:y val="0.19480351414406533"/>
          <c:w val="0.84223381452322565"/>
          <c:h val="0.65482210557013765"/>
        </c:manualLayout>
      </c:layout>
      <c:lineChart>
        <c:grouping val="standard"/>
        <c:ser>
          <c:idx val="0"/>
          <c:order val="0"/>
          <c:tx>
            <c:strRef>
              <c:f>'Summery Report'!$C$4</c:f>
              <c:strCache>
                <c:ptCount val="1"/>
                <c:pt idx="0">
                  <c:v>Occ%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Report'!$C$5:$C$35</c:f>
              <c:numCache>
                <c:formatCode>0%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4AF4-4277-AE5C-2A615CC7E953}"/>
            </c:ext>
          </c:extLst>
        </c:ser>
        <c:marker val="1"/>
        <c:axId val="90422272"/>
        <c:axId val="90428160"/>
      </c:lineChart>
      <c:catAx>
        <c:axId val="9042227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0428160"/>
        <c:crosses val="autoZero"/>
        <c:auto val="1"/>
        <c:lblAlgn val="ctr"/>
        <c:lblOffset val="100"/>
      </c:catAx>
      <c:valAx>
        <c:axId val="90428160"/>
        <c:scaling>
          <c:orientation val="minMax"/>
        </c:scaling>
        <c:axPos val="l"/>
        <c:majorGridlines/>
        <c:numFmt formatCode="0%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042227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669527896999188"/>
          <c:y val="6.0606855961186673E-2"/>
          <c:w val="5.0429184549688588E-2"/>
          <c:h val="0.1818197725284454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6121640503841273E-2"/>
          <c:y val="0.38922155688622756"/>
          <c:w val="0.79140542228182165"/>
          <c:h val="0.33532934131793329"/>
        </c:manualLayout>
      </c:layout>
      <c:lineChart>
        <c:grouping val="standard"/>
        <c:ser>
          <c:idx val="0"/>
          <c:order val="0"/>
          <c:tx>
            <c:strRef>
              <c:f>'Summery Report'!$L$4</c:f>
              <c:strCache>
                <c:ptCount val="1"/>
                <c:pt idx="0">
                  <c:v>Gas consumed (KG) 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Report'!$L$5:$L$35</c:f>
              <c:numCache>
                <c:formatCode>0</c:formatCode>
                <c:ptCount val="31"/>
                <c:pt idx="0">
                  <c:v>34.9799999999872</c:v>
                </c:pt>
                <c:pt idx="1">
                  <c:v>19.75600000002305</c:v>
                </c:pt>
                <c:pt idx="2">
                  <c:v>26.97200000002049</c:v>
                </c:pt>
                <c:pt idx="3">
                  <c:v>26.400000000000002</c:v>
                </c:pt>
                <c:pt idx="4">
                  <c:v>22.439999999961586</c:v>
                </c:pt>
                <c:pt idx="5">
                  <c:v>14.608000000030735</c:v>
                </c:pt>
                <c:pt idx="6">
                  <c:v>32.252000000007683</c:v>
                </c:pt>
                <c:pt idx="7">
                  <c:v>35.551999999943661</c:v>
                </c:pt>
                <c:pt idx="8">
                  <c:v>28.908000000030736</c:v>
                </c:pt>
                <c:pt idx="9">
                  <c:v>45.143999999976955</c:v>
                </c:pt>
                <c:pt idx="10">
                  <c:v>38.896000000048666</c:v>
                </c:pt>
                <c:pt idx="11">
                  <c:v>27.01599999999744</c:v>
                </c:pt>
                <c:pt idx="12">
                  <c:v>29.21599999999744</c:v>
                </c:pt>
                <c:pt idx="13">
                  <c:v>37.179999999987196</c:v>
                </c:pt>
                <c:pt idx="14">
                  <c:v>-313549.85200000001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78E6-443C-8E50-DBB973BAEC88}"/>
            </c:ext>
          </c:extLst>
        </c:ser>
        <c:marker val="1"/>
        <c:axId val="90477312"/>
        <c:axId val="90478848"/>
      </c:lineChart>
      <c:catAx>
        <c:axId val="9047731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0478848"/>
        <c:crosses val="autoZero"/>
        <c:auto val="1"/>
        <c:lblAlgn val="ctr"/>
        <c:lblOffset val="100"/>
      </c:catAx>
      <c:valAx>
        <c:axId val="90478848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047731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25035628420065"/>
          <c:y val="0.54491017964071853"/>
          <c:w val="0.13731667189388086"/>
          <c:h val="0.12574850299485008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</c:title>
    <c:plotArea>
      <c:layout>
        <c:manualLayout>
          <c:layoutTarget val="inner"/>
          <c:xMode val="edge"/>
          <c:yMode val="edge"/>
          <c:x val="0.15400426118561344"/>
          <c:y val="0.22569520974124396"/>
          <c:w val="0.62423060533901564"/>
          <c:h val="0.54514073737503665"/>
        </c:manualLayout>
      </c:layout>
      <c:lineChart>
        <c:grouping val="standard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Report'!$F$5:$F$36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F36F-4B99-837D-948186FEDC0E}"/>
            </c:ext>
          </c:extLst>
        </c:ser>
        <c:marker val="1"/>
        <c:axId val="157694208"/>
        <c:axId val="157708672"/>
      </c:lineChart>
      <c:catAx>
        <c:axId val="157694208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7708672"/>
        <c:crosses val="autoZero"/>
        <c:auto val="1"/>
        <c:lblAlgn val="ctr"/>
        <c:lblOffset val="100"/>
      </c:catAx>
      <c:valAx>
        <c:axId val="157708672"/>
        <c:scaling>
          <c:orientation val="minMax"/>
          <c:min val="380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7694208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80903576991268356"/>
          <c:y val="0.52777960046661065"/>
          <c:w val="0.17248481516812394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1888111888111889"/>
          <c:y val="0.22569520974124396"/>
          <c:w val="0.72202797202797264"/>
          <c:h val="0.54514073737503665"/>
        </c:manualLayout>
      </c:layout>
      <c:lineChart>
        <c:grouping val="standar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Report'!$K$5:$K$36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3162-4A5E-9692-D52AAAA3B249}"/>
            </c:ext>
          </c:extLst>
        </c:ser>
        <c:marker val="1"/>
        <c:axId val="157221632"/>
        <c:axId val="157223552"/>
      </c:lineChart>
      <c:catAx>
        <c:axId val="157221632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7223552"/>
        <c:crosses val="autoZero"/>
        <c:auto val="1"/>
        <c:lblAlgn val="ctr"/>
        <c:lblOffset val="100"/>
      </c:catAx>
      <c:valAx>
        <c:axId val="157223552"/>
        <c:scaling>
          <c:orientation val="minMax"/>
          <c:max val="200"/>
          <c:min val="8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7221632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86363636363636354"/>
          <c:y val="0.52777960046661065"/>
          <c:w val="0.11888111888111896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7.8763757471492529E-2"/>
          <c:y val="3.7037154275315252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7.4579870184823774E-2"/>
          <c:y val="0.21608093220235094"/>
          <c:w val="0.89705928363154264"/>
          <c:h val="0.60804169294166865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Report'!$I$4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Report'!$I$5:$I$35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C00-474B-B528-0030E3A6C6BD}"/>
            </c:ext>
          </c:extLst>
        </c:ser>
        <c:marker val="1"/>
        <c:axId val="157260800"/>
        <c:axId val="157274880"/>
      </c:lineChart>
      <c:catAx>
        <c:axId val="15726080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7274880"/>
        <c:crosses val="autoZero"/>
        <c:auto val="1"/>
        <c:lblAlgn val="ctr"/>
        <c:lblOffset val="200"/>
        <c:tickLblSkip val="1"/>
      </c:catAx>
      <c:valAx>
        <c:axId val="157274880"/>
        <c:scaling>
          <c:orientation val="minMax"/>
          <c:min val="10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726080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029444848824665"/>
          <c:y val="4.5226130653266333E-2"/>
          <c:w val="0.135504311960988"/>
          <c:h val="0.1206035426476252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13561814966262944"/>
          <c:y val="4.1667064344229704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0434951881014135"/>
          <c:y val="0.19480351414406533"/>
          <c:w val="0.84223381452322565"/>
          <c:h val="0.65482210557013765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Report'!$C$4</c:f>
              <c:strCache>
                <c:ptCount val="1"/>
                <c:pt idx="0">
                  <c:v>#REF!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Report'!$C$5:$C$35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9261-466B-BF08-8044FC24C30F}"/>
            </c:ext>
          </c:extLst>
        </c:ser>
        <c:marker val="1"/>
        <c:axId val="158212864"/>
        <c:axId val="158214400"/>
      </c:lineChart>
      <c:catAx>
        <c:axId val="15821286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8214400"/>
        <c:crosses val="autoZero"/>
        <c:auto val="1"/>
        <c:lblAlgn val="ctr"/>
        <c:lblOffset val="100"/>
      </c:catAx>
      <c:valAx>
        <c:axId val="15821440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821286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669527896999188"/>
          <c:y val="6.0606855961186673E-2"/>
          <c:w val="5.0429184549688588E-2"/>
          <c:h val="0.1818197725284454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6121640503841273E-2"/>
          <c:y val="0.38922155688622756"/>
          <c:w val="0.79140542228182165"/>
          <c:h val="0.33532934131793518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Report'!$L$4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Report'!$L$5:$L$35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EC5-462B-85EE-13F5AF699DA7}"/>
            </c:ext>
          </c:extLst>
        </c:ser>
        <c:marker val="1"/>
        <c:axId val="158230784"/>
        <c:axId val="158265344"/>
      </c:lineChart>
      <c:catAx>
        <c:axId val="15823078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8265344"/>
        <c:crosses val="autoZero"/>
        <c:auto val="1"/>
        <c:lblAlgn val="ctr"/>
        <c:lblOffset val="100"/>
      </c:catAx>
      <c:valAx>
        <c:axId val="15826534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823078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25035628420065"/>
          <c:y val="0.54491017964071853"/>
          <c:w val="0.13731667189388086"/>
          <c:h val="0.12574850299485008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</c:title>
    <c:plotArea>
      <c:layout>
        <c:manualLayout>
          <c:layoutTarget val="inner"/>
          <c:xMode val="edge"/>
          <c:yMode val="edge"/>
          <c:x val="0.15400426118561344"/>
          <c:y val="0.22569520974124396"/>
          <c:w val="0.62423060533901564"/>
          <c:h val="0.54514073737503665"/>
        </c:manualLayout>
      </c:layout>
      <c:lineChart>
        <c:grouping val="standard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Report'!$F$5:$F$36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7CFF-4E80-BF8F-88355E8622C8}"/>
            </c:ext>
          </c:extLst>
        </c:ser>
        <c:marker val="1"/>
        <c:axId val="158048256"/>
        <c:axId val="158050176"/>
      </c:lineChart>
      <c:catAx>
        <c:axId val="158048256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8050176"/>
        <c:crosses val="autoZero"/>
        <c:auto val="1"/>
        <c:lblAlgn val="ctr"/>
        <c:lblOffset val="100"/>
      </c:catAx>
      <c:valAx>
        <c:axId val="158050176"/>
        <c:scaling>
          <c:orientation val="minMax"/>
          <c:min val="380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8048256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80903576991268356"/>
          <c:y val="0.52777960046661065"/>
          <c:w val="0.17248481516812394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1888111888111889"/>
          <c:y val="0.22569520974124396"/>
          <c:w val="0.72202797202797264"/>
          <c:h val="0.54514073737503665"/>
        </c:manualLayout>
      </c:layout>
      <c:lineChart>
        <c:grouping val="standar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Report'!$K$5:$K$36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B4E-4467-B5FC-E45008903EC6}"/>
            </c:ext>
          </c:extLst>
        </c:ser>
        <c:marker val="1"/>
        <c:axId val="158738688"/>
        <c:axId val="158757248"/>
      </c:lineChart>
      <c:catAx>
        <c:axId val="158738688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8757248"/>
        <c:crosses val="autoZero"/>
        <c:auto val="1"/>
        <c:lblAlgn val="ctr"/>
        <c:lblOffset val="100"/>
      </c:catAx>
      <c:valAx>
        <c:axId val="158757248"/>
        <c:scaling>
          <c:orientation val="minMax"/>
          <c:max val="200"/>
          <c:min val="8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8738688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86363636363636354"/>
          <c:y val="0.52777960046661065"/>
          <c:w val="0.11888111888111896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7.8763757471492529E-2"/>
          <c:y val="3.7037154275315252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7.4579870184823774E-2"/>
          <c:y val="0.21608093220235094"/>
          <c:w val="0.89705928363154264"/>
          <c:h val="0.60804169294166865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Report'!$I$4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Report'!$I$5:$I$35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633C-4561-BFE8-32D0C6B17204}"/>
            </c:ext>
          </c:extLst>
        </c:ser>
        <c:marker val="1"/>
        <c:axId val="158790400"/>
        <c:axId val="158791936"/>
      </c:lineChart>
      <c:catAx>
        <c:axId val="15879040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8791936"/>
        <c:crosses val="autoZero"/>
        <c:auto val="1"/>
        <c:lblAlgn val="ctr"/>
        <c:lblOffset val="200"/>
        <c:tickLblSkip val="1"/>
      </c:catAx>
      <c:valAx>
        <c:axId val="158791936"/>
        <c:scaling>
          <c:orientation val="minMax"/>
          <c:min val="10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879040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029444848824665"/>
          <c:y val="4.5226130653266333E-2"/>
          <c:w val="0.135504311960988"/>
          <c:h val="0.1206035426476252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13561814966262944"/>
          <c:y val="4.1667064344229704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0434951881014135"/>
          <c:y val="0.19480351414406533"/>
          <c:w val="0.84223381452322565"/>
          <c:h val="0.65482210557013765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Report'!$C$4</c:f>
              <c:strCache>
                <c:ptCount val="1"/>
                <c:pt idx="0">
                  <c:v>#REF!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Report'!$C$5:$C$35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8B5-4848-8411-38E89BA128EC}"/>
            </c:ext>
          </c:extLst>
        </c:ser>
        <c:marker val="1"/>
        <c:axId val="158562560"/>
        <c:axId val="158576640"/>
      </c:lineChart>
      <c:catAx>
        <c:axId val="15856256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8576640"/>
        <c:crosses val="autoZero"/>
        <c:auto val="1"/>
        <c:lblAlgn val="ctr"/>
        <c:lblOffset val="100"/>
      </c:catAx>
      <c:valAx>
        <c:axId val="15857664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856256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669527896999188"/>
          <c:y val="6.0606855961186673E-2"/>
          <c:w val="5.0429184549688588E-2"/>
          <c:h val="0.1818197725284454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6121640503841273E-2"/>
          <c:y val="0.38922155688622756"/>
          <c:w val="0.79140542228182165"/>
          <c:h val="0.33532934131793518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Report'!$L$4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Report'!$L$5:$L$35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B55-4A98-B2D5-5164B748DA58}"/>
            </c:ext>
          </c:extLst>
        </c:ser>
        <c:marker val="1"/>
        <c:axId val="159055872"/>
        <c:axId val="159057408"/>
      </c:lineChart>
      <c:catAx>
        <c:axId val="15905587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9057408"/>
        <c:crosses val="autoZero"/>
        <c:auto val="1"/>
        <c:lblAlgn val="ctr"/>
        <c:lblOffset val="100"/>
      </c:catAx>
      <c:valAx>
        <c:axId val="15905740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905587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25035628420065"/>
          <c:y val="0.54491017964071853"/>
          <c:w val="0.13731667189388086"/>
          <c:h val="0.12574850299485008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0.xml"/><Relationship Id="rId13" Type="http://schemas.openxmlformats.org/officeDocument/2006/relationships/chart" Target="../charts/chart15.xml"/><Relationship Id="rId3" Type="http://schemas.openxmlformats.org/officeDocument/2006/relationships/chart" Target="../charts/chart5.xml"/><Relationship Id="rId7" Type="http://schemas.openxmlformats.org/officeDocument/2006/relationships/chart" Target="../charts/chart9.xml"/><Relationship Id="rId12" Type="http://schemas.openxmlformats.org/officeDocument/2006/relationships/chart" Target="../charts/chart14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6" Type="http://schemas.openxmlformats.org/officeDocument/2006/relationships/chart" Target="../charts/chart8.xml"/><Relationship Id="rId11" Type="http://schemas.openxmlformats.org/officeDocument/2006/relationships/chart" Target="../charts/chart13.xml"/><Relationship Id="rId5" Type="http://schemas.openxmlformats.org/officeDocument/2006/relationships/chart" Target="../charts/chart7.xml"/><Relationship Id="rId10" Type="http://schemas.openxmlformats.org/officeDocument/2006/relationships/chart" Target="../charts/chart12.xml"/><Relationship Id="rId4" Type="http://schemas.openxmlformats.org/officeDocument/2006/relationships/chart" Target="../charts/chart6.xml"/><Relationship Id="rId9" Type="http://schemas.openxmlformats.org/officeDocument/2006/relationships/chart" Target="../charts/chart11.xml"/><Relationship Id="rId14" Type="http://schemas.openxmlformats.org/officeDocument/2006/relationships/chart" Target="../charts/chart16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9.xml"/><Relationship Id="rId2" Type="http://schemas.openxmlformats.org/officeDocument/2006/relationships/chart" Target="../charts/chart18.xml"/><Relationship Id="rId1" Type="http://schemas.openxmlformats.org/officeDocument/2006/relationships/chart" Target="../charts/chart17.xml"/><Relationship Id="rId6" Type="http://schemas.openxmlformats.org/officeDocument/2006/relationships/chart" Target="../charts/chart22.xml"/><Relationship Id="rId5" Type="http://schemas.openxmlformats.org/officeDocument/2006/relationships/chart" Target="../charts/chart21.xml"/><Relationship Id="rId4" Type="http://schemas.openxmlformats.org/officeDocument/2006/relationships/chart" Target="../charts/chart20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4.xml"/><Relationship Id="rId1" Type="http://schemas.openxmlformats.org/officeDocument/2006/relationships/chart" Target="../charts/chart23.xm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6.xml"/><Relationship Id="rId1" Type="http://schemas.openxmlformats.org/officeDocument/2006/relationships/chart" Target="../charts/chart25.xml"/></Relationships>
</file>

<file path=xl/drawings/_rels/drawing8.xml.rels><?xml version="1.0" encoding="UTF-8" standalone="yes"?>
<Relationships xmlns="http://schemas.openxmlformats.org/package/2006/relationships"><Relationship Id="rId8" Type="http://schemas.openxmlformats.org/officeDocument/2006/relationships/chart" Target="../charts/chart34.xml"/><Relationship Id="rId13" Type="http://schemas.openxmlformats.org/officeDocument/2006/relationships/chart" Target="../charts/chart39.xml"/><Relationship Id="rId18" Type="http://schemas.openxmlformats.org/officeDocument/2006/relationships/chart" Target="../charts/chart44.xml"/><Relationship Id="rId3" Type="http://schemas.openxmlformats.org/officeDocument/2006/relationships/chart" Target="../charts/chart29.xml"/><Relationship Id="rId7" Type="http://schemas.openxmlformats.org/officeDocument/2006/relationships/chart" Target="../charts/chart33.xml"/><Relationship Id="rId12" Type="http://schemas.openxmlformats.org/officeDocument/2006/relationships/chart" Target="../charts/chart38.xml"/><Relationship Id="rId17" Type="http://schemas.openxmlformats.org/officeDocument/2006/relationships/chart" Target="../charts/chart43.xml"/><Relationship Id="rId2" Type="http://schemas.openxmlformats.org/officeDocument/2006/relationships/chart" Target="../charts/chart28.xml"/><Relationship Id="rId16" Type="http://schemas.openxmlformats.org/officeDocument/2006/relationships/chart" Target="../charts/chart42.xml"/><Relationship Id="rId20" Type="http://schemas.openxmlformats.org/officeDocument/2006/relationships/chart" Target="../charts/chart46.xml"/><Relationship Id="rId1" Type="http://schemas.openxmlformats.org/officeDocument/2006/relationships/chart" Target="../charts/chart27.xml"/><Relationship Id="rId6" Type="http://schemas.openxmlformats.org/officeDocument/2006/relationships/chart" Target="../charts/chart32.xml"/><Relationship Id="rId11" Type="http://schemas.openxmlformats.org/officeDocument/2006/relationships/chart" Target="../charts/chart37.xml"/><Relationship Id="rId5" Type="http://schemas.openxmlformats.org/officeDocument/2006/relationships/chart" Target="../charts/chart31.xml"/><Relationship Id="rId15" Type="http://schemas.openxmlformats.org/officeDocument/2006/relationships/chart" Target="../charts/chart41.xml"/><Relationship Id="rId10" Type="http://schemas.openxmlformats.org/officeDocument/2006/relationships/chart" Target="../charts/chart36.xml"/><Relationship Id="rId19" Type="http://schemas.openxmlformats.org/officeDocument/2006/relationships/chart" Target="../charts/chart45.xml"/><Relationship Id="rId4" Type="http://schemas.openxmlformats.org/officeDocument/2006/relationships/chart" Target="../charts/chart30.xml"/><Relationship Id="rId9" Type="http://schemas.openxmlformats.org/officeDocument/2006/relationships/chart" Target="../charts/chart35.xml"/><Relationship Id="rId14" Type="http://schemas.openxmlformats.org/officeDocument/2006/relationships/chart" Target="../charts/chart4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28575</xdr:colOff>
      <xdr:row>42</xdr:row>
      <xdr:rowOff>123825</xdr:rowOff>
    </xdr:from>
    <xdr:to>
      <xdr:col>16</xdr:col>
      <xdr:colOff>257175</xdr:colOff>
      <xdr:row>59</xdr:row>
      <xdr:rowOff>114300</xdr:rowOff>
    </xdr:to>
    <xdr:graphicFrame macro="">
      <xdr:nvGraphicFramePr>
        <xdr:cNvPr id="57618833" name="Chart 1">
          <a:extLst>
            <a:ext uri="{FF2B5EF4-FFF2-40B4-BE49-F238E27FC236}">
              <a16:creationId xmlns:a16="http://schemas.microsoft.com/office/drawing/2014/main" xmlns="" id="{00000000-0008-0000-0300-000091316F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28575</xdr:colOff>
      <xdr:row>42</xdr:row>
      <xdr:rowOff>123825</xdr:rowOff>
    </xdr:from>
    <xdr:to>
      <xdr:col>16</xdr:col>
      <xdr:colOff>257175</xdr:colOff>
      <xdr:row>59</xdr:row>
      <xdr:rowOff>114300</xdr:rowOff>
    </xdr:to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xmlns="" id="{00000000-0008-0000-03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152400</xdr:colOff>
      <xdr:row>109</xdr:row>
      <xdr:rowOff>133350</xdr:rowOff>
    </xdr:from>
    <xdr:to>
      <xdr:col>12</xdr:col>
      <xdr:colOff>0</xdr:colOff>
      <xdr:row>120</xdr:row>
      <xdr:rowOff>133350</xdr:rowOff>
    </xdr:to>
    <xdr:graphicFrame macro="">
      <xdr:nvGraphicFramePr>
        <xdr:cNvPr id="65118787" name="Chart 4">
          <a:extLst>
            <a:ext uri="{FF2B5EF4-FFF2-40B4-BE49-F238E27FC236}">
              <a16:creationId xmlns:a16="http://schemas.microsoft.com/office/drawing/2014/main" xmlns="" id="{00000000-0008-0000-0600-000043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142875</xdr:colOff>
      <xdr:row>86</xdr:row>
      <xdr:rowOff>104775</xdr:rowOff>
    </xdr:from>
    <xdr:to>
      <xdr:col>12</xdr:col>
      <xdr:colOff>0</xdr:colOff>
      <xdr:row>94</xdr:row>
      <xdr:rowOff>123825</xdr:rowOff>
    </xdr:to>
    <xdr:graphicFrame macro="">
      <xdr:nvGraphicFramePr>
        <xdr:cNvPr id="65118788" name="Chart 7">
          <a:extLst>
            <a:ext uri="{FF2B5EF4-FFF2-40B4-BE49-F238E27FC236}">
              <a16:creationId xmlns:a16="http://schemas.microsoft.com/office/drawing/2014/main" xmlns="" id="{00000000-0008-0000-0600-000044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171450</xdr:colOff>
      <xdr:row>39</xdr:row>
      <xdr:rowOff>76200</xdr:rowOff>
    </xdr:from>
    <xdr:to>
      <xdr:col>12</xdr:col>
      <xdr:colOff>0</xdr:colOff>
      <xdr:row>53</xdr:row>
      <xdr:rowOff>57150</xdr:rowOff>
    </xdr:to>
    <xdr:graphicFrame macro="">
      <xdr:nvGraphicFramePr>
        <xdr:cNvPr id="65118789" name="Chart 1">
          <a:extLst>
            <a:ext uri="{FF2B5EF4-FFF2-40B4-BE49-F238E27FC236}">
              <a16:creationId xmlns:a16="http://schemas.microsoft.com/office/drawing/2014/main" xmlns="" id="{00000000-0008-0000-0600-000045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152400</xdr:colOff>
      <xdr:row>51</xdr:row>
      <xdr:rowOff>114300</xdr:rowOff>
    </xdr:from>
    <xdr:to>
      <xdr:col>12</xdr:col>
      <xdr:colOff>485775</xdr:colOff>
      <xdr:row>65</xdr:row>
      <xdr:rowOff>95250</xdr:rowOff>
    </xdr:to>
    <xdr:graphicFrame macro="">
      <xdr:nvGraphicFramePr>
        <xdr:cNvPr id="65118790" name="Chart 3">
          <a:extLst>
            <a:ext uri="{FF2B5EF4-FFF2-40B4-BE49-F238E27FC236}">
              <a16:creationId xmlns:a16="http://schemas.microsoft.com/office/drawing/2014/main" xmlns="" id="{00000000-0008-0000-0600-000046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66675</xdr:colOff>
      <xdr:row>78</xdr:row>
      <xdr:rowOff>0</xdr:rowOff>
    </xdr:from>
    <xdr:to>
      <xdr:col>12</xdr:col>
      <xdr:colOff>0</xdr:colOff>
      <xdr:row>86</xdr:row>
      <xdr:rowOff>104775</xdr:rowOff>
    </xdr:to>
    <xdr:graphicFrame macro="">
      <xdr:nvGraphicFramePr>
        <xdr:cNvPr id="65118791" name="Chart 12">
          <a:extLst>
            <a:ext uri="{FF2B5EF4-FFF2-40B4-BE49-F238E27FC236}">
              <a16:creationId xmlns:a16="http://schemas.microsoft.com/office/drawing/2014/main" xmlns="" id="{00000000-0008-0000-0600-000047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152400</xdr:colOff>
      <xdr:row>94</xdr:row>
      <xdr:rowOff>133350</xdr:rowOff>
    </xdr:from>
    <xdr:to>
      <xdr:col>12</xdr:col>
      <xdr:colOff>0</xdr:colOff>
      <xdr:row>109</xdr:row>
      <xdr:rowOff>152400</xdr:rowOff>
    </xdr:to>
    <xdr:graphicFrame macro="">
      <xdr:nvGraphicFramePr>
        <xdr:cNvPr id="65118792" name="Chart 16">
          <a:extLst>
            <a:ext uri="{FF2B5EF4-FFF2-40B4-BE49-F238E27FC236}">
              <a16:creationId xmlns:a16="http://schemas.microsoft.com/office/drawing/2014/main" xmlns="" id="{00000000-0008-0000-0600-000048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152400</xdr:colOff>
      <xdr:row>67</xdr:row>
      <xdr:rowOff>123825</xdr:rowOff>
    </xdr:from>
    <xdr:to>
      <xdr:col>12</xdr:col>
      <xdr:colOff>0</xdr:colOff>
      <xdr:row>78</xdr:row>
      <xdr:rowOff>0</xdr:rowOff>
    </xdr:to>
    <xdr:graphicFrame macro="">
      <xdr:nvGraphicFramePr>
        <xdr:cNvPr id="65118793" name="Chart 17">
          <a:extLst>
            <a:ext uri="{FF2B5EF4-FFF2-40B4-BE49-F238E27FC236}">
              <a16:creationId xmlns:a16="http://schemas.microsoft.com/office/drawing/2014/main" xmlns="" id="{00000000-0008-0000-0600-000049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0</xdr:col>
      <xdr:colOff>152400</xdr:colOff>
      <xdr:row>109</xdr:row>
      <xdr:rowOff>133350</xdr:rowOff>
    </xdr:from>
    <xdr:to>
      <xdr:col>12</xdr:col>
      <xdr:colOff>0</xdr:colOff>
      <xdr:row>120</xdr:row>
      <xdr:rowOff>133350</xdr:rowOff>
    </xdr:to>
    <xdr:graphicFrame macro="">
      <xdr:nvGraphicFramePr>
        <xdr:cNvPr id="9" name="Chart 4">
          <a:extLst>
            <a:ext uri="{FF2B5EF4-FFF2-40B4-BE49-F238E27FC236}">
              <a16:creationId xmlns:a16="http://schemas.microsoft.com/office/drawing/2014/main" xmlns="" id="{00000000-0008-0000-0600-00000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142875</xdr:colOff>
      <xdr:row>86</xdr:row>
      <xdr:rowOff>104775</xdr:rowOff>
    </xdr:from>
    <xdr:to>
      <xdr:col>12</xdr:col>
      <xdr:colOff>0</xdr:colOff>
      <xdr:row>94</xdr:row>
      <xdr:rowOff>123825</xdr:rowOff>
    </xdr:to>
    <xdr:graphicFrame macro="">
      <xdr:nvGraphicFramePr>
        <xdr:cNvPr id="10" name="Chart 7">
          <a:extLst>
            <a:ext uri="{FF2B5EF4-FFF2-40B4-BE49-F238E27FC236}">
              <a16:creationId xmlns:a16="http://schemas.microsoft.com/office/drawing/2014/main" xmlns="" id="{00000000-0008-0000-0600-00000A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0</xdr:col>
      <xdr:colOff>171450</xdr:colOff>
      <xdr:row>39</xdr:row>
      <xdr:rowOff>76200</xdr:rowOff>
    </xdr:from>
    <xdr:to>
      <xdr:col>12</xdr:col>
      <xdr:colOff>0</xdr:colOff>
      <xdr:row>53</xdr:row>
      <xdr:rowOff>57150</xdr:rowOff>
    </xdr:to>
    <xdr:graphicFrame macro="">
      <xdr:nvGraphicFramePr>
        <xdr:cNvPr id="11" name="Chart 1">
          <a:extLst>
            <a:ext uri="{FF2B5EF4-FFF2-40B4-BE49-F238E27FC236}">
              <a16:creationId xmlns:a16="http://schemas.microsoft.com/office/drawing/2014/main" xmlns="" id="{00000000-0008-0000-0600-00000B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0</xdr:col>
      <xdr:colOff>152400</xdr:colOff>
      <xdr:row>51</xdr:row>
      <xdr:rowOff>114300</xdr:rowOff>
    </xdr:from>
    <xdr:to>
      <xdr:col>12</xdr:col>
      <xdr:colOff>485775</xdr:colOff>
      <xdr:row>65</xdr:row>
      <xdr:rowOff>95250</xdr:rowOff>
    </xdr:to>
    <xdr:graphicFrame macro="">
      <xdr:nvGraphicFramePr>
        <xdr:cNvPr id="12" name="Chart 3">
          <a:extLst>
            <a:ext uri="{FF2B5EF4-FFF2-40B4-BE49-F238E27FC236}">
              <a16:creationId xmlns:a16="http://schemas.microsoft.com/office/drawing/2014/main" xmlns="" id="{00000000-0008-0000-0600-00000C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0</xdr:col>
      <xdr:colOff>66675</xdr:colOff>
      <xdr:row>78</xdr:row>
      <xdr:rowOff>0</xdr:rowOff>
    </xdr:from>
    <xdr:to>
      <xdr:col>12</xdr:col>
      <xdr:colOff>0</xdr:colOff>
      <xdr:row>86</xdr:row>
      <xdr:rowOff>104775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xmlns="" id="{00000000-0008-0000-0600-00000D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0</xdr:col>
      <xdr:colOff>152400</xdr:colOff>
      <xdr:row>94</xdr:row>
      <xdr:rowOff>133350</xdr:rowOff>
    </xdr:from>
    <xdr:to>
      <xdr:col>12</xdr:col>
      <xdr:colOff>0</xdr:colOff>
      <xdr:row>109</xdr:row>
      <xdr:rowOff>152400</xdr:rowOff>
    </xdr:to>
    <xdr:graphicFrame macro="">
      <xdr:nvGraphicFramePr>
        <xdr:cNvPr id="14" name="Chart 16">
          <a:extLst>
            <a:ext uri="{FF2B5EF4-FFF2-40B4-BE49-F238E27FC236}">
              <a16:creationId xmlns:a16="http://schemas.microsoft.com/office/drawing/2014/main" xmlns="" id="{00000000-0008-0000-0600-00000E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0</xdr:col>
      <xdr:colOff>152400</xdr:colOff>
      <xdr:row>67</xdr:row>
      <xdr:rowOff>123825</xdr:rowOff>
    </xdr:from>
    <xdr:to>
      <xdr:col>12</xdr:col>
      <xdr:colOff>0</xdr:colOff>
      <xdr:row>78</xdr:row>
      <xdr:rowOff>0</xdr:rowOff>
    </xdr:to>
    <xdr:graphicFrame macro="">
      <xdr:nvGraphicFramePr>
        <xdr:cNvPr id="15" name="Chart 17">
          <a:extLst>
            <a:ext uri="{FF2B5EF4-FFF2-40B4-BE49-F238E27FC236}">
              <a16:creationId xmlns:a16="http://schemas.microsoft.com/office/drawing/2014/main" xmlns="" id="{00000000-0008-0000-0600-00000F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185738</xdr:colOff>
      <xdr:row>0</xdr:row>
      <xdr:rowOff>128586</xdr:rowOff>
    </xdr:from>
    <xdr:to>
      <xdr:col>2</xdr:col>
      <xdr:colOff>528639</xdr:colOff>
      <xdr:row>4</xdr:row>
      <xdr:rowOff>100011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xmlns="" id="{00000000-0008-0000-0800-000003000000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85738" y="128586"/>
          <a:ext cx="1001713" cy="7334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185738</xdr:colOff>
      <xdr:row>0</xdr:row>
      <xdr:rowOff>128586</xdr:rowOff>
    </xdr:from>
    <xdr:to>
      <xdr:col>2</xdr:col>
      <xdr:colOff>528639</xdr:colOff>
      <xdr:row>4</xdr:row>
      <xdr:rowOff>100011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xmlns="" id="{00000000-0008-0000-0800-000004000000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85738" y="128586"/>
          <a:ext cx="1000125" cy="7334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55</xdr:row>
      <xdr:rowOff>47625</xdr:rowOff>
    </xdr:from>
    <xdr:to>
      <xdr:col>20</xdr:col>
      <xdr:colOff>571500</xdr:colOff>
      <xdr:row>78</xdr:row>
      <xdr:rowOff>66675</xdr:rowOff>
    </xdr:to>
    <xdr:graphicFrame macro="">
      <xdr:nvGraphicFramePr>
        <xdr:cNvPr id="63968651" name="Chart 14">
          <a:extLst>
            <a:ext uri="{FF2B5EF4-FFF2-40B4-BE49-F238E27FC236}">
              <a16:creationId xmlns:a16="http://schemas.microsoft.com/office/drawing/2014/main" xmlns="" id="{00000000-0008-0000-0900-00008B15D0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9525</xdr:colOff>
      <xdr:row>33</xdr:row>
      <xdr:rowOff>85725</xdr:rowOff>
    </xdr:from>
    <xdr:to>
      <xdr:col>20</xdr:col>
      <xdr:colOff>561975</xdr:colOff>
      <xdr:row>43</xdr:row>
      <xdr:rowOff>95250</xdr:rowOff>
    </xdr:to>
    <xdr:graphicFrame macro="">
      <xdr:nvGraphicFramePr>
        <xdr:cNvPr id="63968652" name="Chart 2">
          <a:extLst>
            <a:ext uri="{FF2B5EF4-FFF2-40B4-BE49-F238E27FC236}">
              <a16:creationId xmlns:a16="http://schemas.microsoft.com/office/drawing/2014/main" xmlns="" id="{00000000-0008-0000-0900-00008C15D0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114300</xdr:colOff>
      <xdr:row>44</xdr:row>
      <xdr:rowOff>57150</xdr:rowOff>
    </xdr:from>
    <xdr:to>
      <xdr:col>20</xdr:col>
      <xdr:colOff>571500</xdr:colOff>
      <xdr:row>54</xdr:row>
      <xdr:rowOff>152400</xdr:rowOff>
    </xdr:to>
    <xdr:graphicFrame macro="">
      <xdr:nvGraphicFramePr>
        <xdr:cNvPr id="63968653" name="Chart 3">
          <a:extLst>
            <a:ext uri="{FF2B5EF4-FFF2-40B4-BE49-F238E27FC236}">
              <a16:creationId xmlns:a16="http://schemas.microsoft.com/office/drawing/2014/main" xmlns="" id="{00000000-0008-0000-0900-00008D15D0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55</xdr:row>
      <xdr:rowOff>47625</xdr:rowOff>
    </xdr:from>
    <xdr:to>
      <xdr:col>20</xdr:col>
      <xdr:colOff>571500</xdr:colOff>
      <xdr:row>78</xdr:row>
      <xdr:rowOff>66675</xdr:rowOff>
    </xdr:to>
    <xdr:graphicFrame macro="">
      <xdr:nvGraphicFramePr>
        <xdr:cNvPr id="5" name="Chart 14">
          <a:extLst>
            <a:ext uri="{FF2B5EF4-FFF2-40B4-BE49-F238E27FC236}">
              <a16:creationId xmlns:a16="http://schemas.microsoft.com/office/drawing/2014/main" xmlns="" id="{00000000-0008-0000-09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9525</xdr:colOff>
      <xdr:row>33</xdr:row>
      <xdr:rowOff>85725</xdr:rowOff>
    </xdr:from>
    <xdr:to>
      <xdr:col>20</xdr:col>
      <xdr:colOff>561975</xdr:colOff>
      <xdr:row>43</xdr:row>
      <xdr:rowOff>95250</xdr:rowOff>
    </xdr:to>
    <xdr:graphicFrame macro="">
      <xdr:nvGraphicFramePr>
        <xdr:cNvPr id="6" name="Chart 2">
          <a:extLst>
            <a:ext uri="{FF2B5EF4-FFF2-40B4-BE49-F238E27FC236}">
              <a16:creationId xmlns:a16="http://schemas.microsoft.com/office/drawing/2014/main" xmlns="" id="{00000000-0008-0000-09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114300</xdr:colOff>
      <xdr:row>44</xdr:row>
      <xdr:rowOff>57150</xdr:rowOff>
    </xdr:from>
    <xdr:to>
      <xdr:col>20</xdr:col>
      <xdr:colOff>571500</xdr:colOff>
      <xdr:row>54</xdr:row>
      <xdr:rowOff>152400</xdr:rowOff>
    </xdr:to>
    <xdr:graphicFrame macro="">
      <xdr:nvGraphicFramePr>
        <xdr:cNvPr id="7" name="Chart 3">
          <a:extLst>
            <a:ext uri="{FF2B5EF4-FFF2-40B4-BE49-F238E27FC236}">
              <a16:creationId xmlns:a16="http://schemas.microsoft.com/office/drawing/2014/main" xmlns="" id="{00000000-0008-0000-09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638175</xdr:colOff>
      <xdr:row>4</xdr:row>
      <xdr:rowOff>89807</xdr:rowOff>
    </xdr:to>
    <xdr:pic>
      <xdr:nvPicPr>
        <xdr:cNvPr id="47866671" name="Picture 1" descr="SerengetiTanzania_SafariLodge">
          <a:extLst>
            <a:ext uri="{FF2B5EF4-FFF2-40B4-BE49-F238E27FC236}">
              <a16:creationId xmlns:a16="http://schemas.microsoft.com/office/drawing/2014/main" xmlns="" id="{00000000-0008-0000-0A00-00002F63DA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l="6747" t="5600" r="5521"/>
        <a:stretch>
          <a:fillRect/>
        </a:stretch>
      </xdr:blipFill>
      <xdr:spPr bwMode="auto">
        <a:xfrm>
          <a:off x="0" y="0"/>
          <a:ext cx="1571625" cy="942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638175</xdr:colOff>
      <xdr:row>4</xdr:row>
      <xdr:rowOff>89807</xdr:rowOff>
    </xdr:to>
    <xdr:pic>
      <xdr:nvPicPr>
        <xdr:cNvPr id="3" name="Picture 1" descr="SerengetiTanzania_SafariLodge">
          <a:extLst>
            <a:ext uri="{FF2B5EF4-FFF2-40B4-BE49-F238E27FC236}">
              <a16:creationId xmlns:a16="http://schemas.microsoft.com/office/drawing/2014/main" xmlns="" id="{00000000-0008-0000-0A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l="6747" t="5600" r="5521"/>
        <a:stretch>
          <a:fillRect/>
        </a:stretch>
      </xdr:blipFill>
      <xdr:spPr bwMode="auto">
        <a:xfrm>
          <a:off x="0" y="0"/>
          <a:ext cx="1571625" cy="942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609600</xdr:colOff>
      <xdr:row>1</xdr:row>
      <xdr:rowOff>9525</xdr:rowOff>
    </xdr:from>
    <xdr:to>
      <xdr:col>17</xdr:col>
      <xdr:colOff>38100</xdr:colOff>
      <xdr:row>45</xdr:row>
      <xdr:rowOff>38100</xdr:rowOff>
    </xdr:to>
    <xdr:graphicFrame macro="">
      <xdr:nvGraphicFramePr>
        <xdr:cNvPr id="47867695" name="Chart 1">
          <a:extLst>
            <a:ext uri="{FF2B5EF4-FFF2-40B4-BE49-F238E27FC236}">
              <a16:creationId xmlns:a16="http://schemas.microsoft.com/office/drawing/2014/main" xmlns="" id="{00000000-0008-0000-0B00-00002F67DA0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609600</xdr:colOff>
      <xdr:row>1</xdr:row>
      <xdr:rowOff>9525</xdr:rowOff>
    </xdr:from>
    <xdr:to>
      <xdr:col>17</xdr:col>
      <xdr:colOff>38100</xdr:colOff>
      <xdr:row>45</xdr:row>
      <xdr:rowOff>38100</xdr:rowOff>
    </xdr:to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xmlns="" id="{00000000-0008-0000-0B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26</xdr:col>
      <xdr:colOff>409575</xdr:colOff>
      <xdr:row>3</xdr:row>
      <xdr:rowOff>19050</xdr:rowOff>
    </xdr:from>
    <xdr:to>
      <xdr:col>39</xdr:col>
      <xdr:colOff>447675</xdr:colOff>
      <xdr:row>44</xdr:row>
      <xdr:rowOff>47625</xdr:rowOff>
    </xdr:to>
    <xdr:graphicFrame macro="">
      <xdr:nvGraphicFramePr>
        <xdr:cNvPr id="47870767" name="Chart 1">
          <a:extLst>
            <a:ext uri="{FF2B5EF4-FFF2-40B4-BE49-F238E27FC236}">
              <a16:creationId xmlns:a16="http://schemas.microsoft.com/office/drawing/2014/main" xmlns="" id="{00000000-0008-0000-0D00-00002F73DA0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26</xdr:col>
      <xdr:colOff>409575</xdr:colOff>
      <xdr:row>3</xdr:row>
      <xdr:rowOff>19050</xdr:rowOff>
    </xdr:from>
    <xdr:to>
      <xdr:col>39</xdr:col>
      <xdr:colOff>447675</xdr:colOff>
      <xdr:row>44</xdr:row>
      <xdr:rowOff>47625</xdr:rowOff>
    </xdr:to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xmlns="" id="{00000000-0008-0000-0D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171450</xdr:colOff>
      <xdr:row>39</xdr:row>
      <xdr:rowOff>76200</xdr:rowOff>
    </xdr:from>
    <xdr:to>
      <xdr:col>10</xdr:col>
      <xdr:colOff>666750</xdr:colOff>
      <xdr:row>56</xdr:row>
      <xdr:rowOff>66675</xdr:rowOff>
    </xdr:to>
    <xdr:graphicFrame macro="">
      <xdr:nvGraphicFramePr>
        <xdr:cNvPr id="64782285" name="Chart 1">
          <a:extLst>
            <a:ext uri="{FF2B5EF4-FFF2-40B4-BE49-F238E27FC236}">
              <a16:creationId xmlns:a16="http://schemas.microsoft.com/office/drawing/2014/main" xmlns="" id="{00000000-0008-0000-0E00-0000CD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371475</xdr:colOff>
      <xdr:row>39</xdr:row>
      <xdr:rowOff>133350</xdr:rowOff>
    </xdr:from>
    <xdr:to>
      <xdr:col>25</xdr:col>
      <xdr:colOff>0</xdr:colOff>
      <xdr:row>56</xdr:row>
      <xdr:rowOff>123825</xdr:rowOff>
    </xdr:to>
    <xdr:graphicFrame macro="">
      <xdr:nvGraphicFramePr>
        <xdr:cNvPr id="64782286" name="Chart 3">
          <a:extLst>
            <a:ext uri="{FF2B5EF4-FFF2-40B4-BE49-F238E27FC236}">
              <a16:creationId xmlns:a16="http://schemas.microsoft.com/office/drawing/2014/main" xmlns="" id="{00000000-0008-0000-0E00-0000CE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161925</xdr:colOff>
      <xdr:row>58</xdr:row>
      <xdr:rowOff>152400</xdr:rowOff>
    </xdr:from>
    <xdr:to>
      <xdr:col>21</xdr:col>
      <xdr:colOff>19050</xdr:colOff>
      <xdr:row>70</xdr:row>
      <xdr:rowOff>104775</xdr:rowOff>
    </xdr:to>
    <xdr:graphicFrame macro="">
      <xdr:nvGraphicFramePr>
        <xdr:cNvPr id="64782287" name="Chart 3">
          <a:extLst>
            <a:ext uri="{FF2B5EF4-FFF2-40B4-BE49-F238E27FC236}">
              <a16:creationId xmlns:a16="http://schemas.microsoft.com/office/drawing/2014/main" xmlns="" id="{00000000-0008-0000-0E00-0000CF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114300</xdr:colOff>
      <xdr:row>71</xdr:row>
      <xdr:rowOff>95250</xdr:rowOff>
    </xdr:from>
    <xdr:to>
      <xdr:col>20</xdr:col>
      <xdr:colOff>600075</xdr:colOff>
      <xdr:row>79</xdr:row>
      <xdr:rowOff>57150</xdr:rowOff>
    </xdr:to>
    <xdr:graphicFrame macro="">
      <xdr:nvGraphicFramePr>
        <xdr:cNvPr id="64782288" name="Chart 4">
          <a:extLst>
            <a:ext uri="{FF2B5EF4-FFF2-40B4-BE49-F238E27FC236}">
              <a16:creationId xmlns:a16="http://schemas.microsoft.com/office/drawing/2014/main" xmlns="" id="{00000000-0008-0000-0E00-0000D0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123825</xdr:colOff>
      <xdr:row>80</xdr:row>
      <xdr:rowOff>38100</xdr:rowOff>
    </xdr:from>
    <xdr:to>
      <xdr:col>21</xdr:col>
      <xdr:colOff>0</xdr:colOff>
      <xdr:row>90</xdr:row>
      <xdr:rowOff>9525</xdr:rowOff>
    </xdr:to>
    <xdr:graphicFrame macro="">
      <xdr:nvGraphicFramePr>
        <xdr:cNvPr id="64782289" name="Chart 5">
          <a:extLst>
            <a:ext uri="{FF2B5EF4-FFF2-40B4-BE49-F238E27FC236}">
              <a16:creationId xmlns:a16="http://schemas.microsoft.com/office/drawing/2014/main" xmlns="" id="{00000000-0008-0000-0E00-0000D1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171450</xdr:colOff>
      <xdr:row>39</xdr:row>
      <xdr:rowOff>76200</xdr:rowOff>
    </xdr:from>
    <xdr:to>
      <xdr:col>10</xdr:col>
      <xdr:colOff>666750</xdr:colOff>
      <xdr:row>56</xdr:row>
      <xdr:rowOff>66675</xdr:rowOff>
    </xdr:to>
    <xdr:graphicFrame macro="">
      <xdr:nvGraphicFramePr>
        <xdr:cNvPr id="64782290" name="Chart 1">
          <a:extLst>
            <a:ext uri="{FF2B5EF4-FFF2-40B4-BE49-F238E27FC236}">
              <a16:creationId xmlns:a16="http://schemas.microsoft.com/office/drawing/2014/main" xmlns="" id="{00000000-0008-0000-0E00-0000D2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11</xdr:col>
      <xdr:colOff>371475</xdr:colOff>
      <xdr:row>39</xdr:row>
      <xdr:rowOff>133350</xdr:rowOff>
    </xdr:from>
    <xdr:to>
      <xdr:col>25</xdr:col>
      <xdr:colOff>0</xdr:colOff>
      <xdr:row>56</xdr:row>
      <xdr:rowOff>123825</xdr:rowOff>
    </xdr:to>
    <xdr:graphicFrame macro="">
      <xdr:nvGraphicFramePr>
        <xdr:cNvPr id="64782291" name="Chart 3">
          <a:extLst>
            <a:ext uri="{FF2B5EF4-FFF2-40B4-BE49-F238E27FC236}">
              <a16:creationId xmlns:a16="http://schemas.microsoft.com/office/drawing/2014/main" xmlns="" id="{00000000-0008-0000-0E00-0000D3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0</xdr:col>
      <xdr:colOff>161925</xdr:colOff>
      <xdr:row>58</xdr:row>
      <xdr:rowOff>152400</xdr:rowOff>
    </xdr:from>
    <xdr:to>
      <xdr:col>21</xdr:col>
      <xdr:colOff>19050</xdr:colOff>
      <xdr:row>70</xdr:row>
      <xdr:rowOff>104775</xdr:rowOff>
    </xdr:to>
    <xdr:graphicFrame macro="">
      <xdr:nvGraphicFramePr>
        <xdr:cNvPr id="64782292" name="Chart 8">
          <a:extLst>
            <a:ext uri="{FF2B5EF4-FFF2-40B4-BE49-F238E27FC236}">
              <a16:creationId xmlns:a16="http://schemas.microsoft.com/office/drawing/2014/main" xmlns="" id="{00000000-0008-0000-0E00-0000D4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114300</xdr:colOff>
      <xdr:row>71</xdr:row>
      <xdr:rowOff>95250</xdr:rowOff>
    </xdr:from>
    <xdr:to>
      <xdr:col>20</xdr:col>
      <xdr:colOff>600075</xdr:colOff>
      <xdr:row>79</xdr:row>
      <xdr:rowOff>57150</xdr:rowOff>
    </xdr:to>
    <xdr:graphicFrame macro="">
      <xdr:nvGraphicFramePr>
        <xdr:cNvPr id="64782293" name="Chart 9">
          <a:extLst>
            <a:ext uri="{FF2B5EF4-FFF2-40B4-BE49-F238E27FC236}">
              <a16:creationId xmlns:a16="http://schemas.microsoft.com/office/drawing/2014/main" xmlns="" id="{00000000-0008-0000-0E00-0000D5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0</xdr:col>
      <xdr:colOff>123825</xdr:colOff>
      <xdr:row>80</xdr:row>
      <xdr:rowOff>38100</xdr:rowOff>
    </xdr:from>
    <xdr:to>
      <xdr:col>21</xdr:col>
      <xdr:colOff>0</xdr:colOff>
      <xdr:row>90</xdr:row>
      <xdr:rowOff>9525</xdr:rowOff>
    </xdr:to>
    <xdr:graphicFrame macro="">
      <xdr:nvGraphicFramePr>
        <xdr:cNvPr id="64782294" name="Chart 10">
          <a:extLst>
            <a:ext uri="{FF2B5EF4-FFF2-40B4-BE49-F238E27FC236}">
              <a16:creationId xmlns:a16="http://schemas.microsoft.com/office/drawing/2014/main" xmlns="" id="{00000000-0008-0000-0E00-0000D6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0</xdr:col>
      <xdr:colOff>171450</xdr:colOff>
      <xdr:row>39</xdr:row>
      <xdr:rowOff>76200</xdr:rowOff>
    </xdr:from>
    <xdr:to>
      <xdr:col>10</xdr:col>
      <xdr:colOff>666750</xdr:colOff>
      <xdr:row>56</xdr:row>
      <xdr:rowOff>66675</xdr:rowOff>
    </xdr:to>
    <xdr:graphicFrame macro="">
      <xdr:nvGraphicFramePr>
        <xdr:cNvPr id="12" name="Chart 1">
          <a:extLst>
            <a:ext uri="{FF2B5EF4-FFF2-40B4-BE49-F238E27FC236}">
              <a16:creationId xmlns:a16="http://schemas.microsoft.com/office/drawing/2014/main" xmlns="" id="{00000000-0008-0000-0E00-00000C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11</xdr:col>
      <xdr:colOff>371475</xdr:colOff>
      <xdr:row>39</xdr:row>
      <xdr:rowOff>133350</xdr:rowOff>
    </xdr:from>
    <xdr:to>
      <xdr:col>25</xdr:col>
      <xdr:colOff>0</xdr:colOff>
      <xdr:row>56</xdr:row>
      <xdr:rowOff>123825</xdr:rowOff>
    </xdr:to>
    <xdr:graphicFrame macro="">
      <xdr:nvGraphicFramePr>
        <xdr:cNvPr id="13" name="Chart 3">
          <a:extLst>
            <a:ext uri="{FF2B5EF4-FFF2-40B4-BE49-F238E27FC236}">
              <a16:creationId xmlns:a16="http://schemas.microsoft.com/office/drawing/2014/main" xmlns="" id="{00000000-0008-0000-0E00-00000D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0</xdr:col>
      <xdr:colOff>161925</xdr:colOff>
      <xdr:row>58</xdr:row>
      <xdr:rowOff>152400</xdr:rowOff>
    </xdr:from>
    <xdr:to>
      <xdr:col>21</xdr:col>
      <xdr:colOff>19050</xdr:colOff>
      <xdr:row>70</xdr:row>
      <xdr:rowOff>104775</xdr:rowOff>
    </xdr:to>
    <xdr:graphicFrame macro="">
      <xdr:nvGraphicFramePr>
        <xdr:cNvPr id="14" name="Chart 3">
          <a:extLst>
            <a:ext uri="{FF2B5EF4-FFF2-40B4-BE49-F238E27FC236}">
              <a16:creationId xmlns:a16="http://schemas.microsoft.com/office/drawing/2014/main" xmlns="" id="{00000000-0008-0000-0E00-00000E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0</xdr:col>
      <xdr:colOff>114300</xdr:colOff>
      <xdr:row>71</xdr:row>
      <xdr:rowOff>95250</xdr:rowOff>
    </xdr:from>
    <xdr:to>
      <xdr:col>20</xdr:col>
      <xdr:colOff>600075</xdr:colOff>
      <xdr:row>79</xdr:row>
      <xdr:rowOff>57150</xdr:rowOff>
    </xdr:to>
    <xdr:graphicFrame macro="">
      <xdr:nvGraphicFramePr>
        <xdr:cNvPr id="15" name="Chart 4">
          <a:extLst>
            <a:ext uri="{FF2B5EF4-FFF2-40B4-BE49-F238E27FC236}">
              <a16:creationId xmlns:a16="http://schemas.microsoft.com/office/drawing/2014/main" xmlns="" id="{00000000-0008-0000-0E00-00000F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0</xdr:col>
      <xdr:colOff>123825</xdr:colOff>
      <xdr:row>80</xdr:row>
      <xdr:rowOff>38100</xdr:rowOff>
    </xdr:from>
    <xdr:to>
      <xdr:col>21</xdr:col>
      <xdr:colOff>0</xdr:colOff>
      <xdr:row>90</xdr:row>
      <xdr:rowOff>9525</xdr:rowOff>
    </xdr:to>
    <xdr:graphicFrame macro="">
      <xdr:nvGraphicFramePr>
        <xdr:cNvPr id="16" name="Chart 5">
          <a:extLst>
            <a:ext uri="{FF2B5EF4-FFF2-40B4-BE49-F238E27FC236}">
              <a16:creationId xmlns:a16="http://schemas.microsoft.com/office/drawing/2014/main" xmlns="" id="{00000000-0008-0000-0E00-000010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0</xdr:col>
      <xdr:colOff>171450</xdr:colOff>
      <xdr:row>39</xdr:row>
      <xdr:rowOff>76200</xdr:rowOff>
    </xdr:from>
    <xdr:to>
      <xdr:col>10</xdr:col>
      <xdr:colOff>666750</xdr:colOff>
      <xdr:row>56</xdr:row>
      <xdr:rowOff>66675</xdr:rowOff>
    </xdr:to>
    <xdr:graphicFrame macro="">
      <xdr:nvGraphicFramePr>
        <xdr:cNvPr id="17" name="Chart 1">
          <a:extLst>
            <a:ext uri="{FF2B5EF4-FFF2-40B4-BE49-F238E27FC236}">
              <a16:creationId xmlns:a16="http://schemas.microsoft.com/office/drawing/2014/main" xmlns="" id="{00000000-0008-0000-0E00-000011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11</xdr:col>
      <xdr:colOff>371475</xdr:colOff>
      <xdr:row>39</xdr:row>
      <xdr:rowOff>133350</xdr:rowOff>
    </xdr:from>
    <xdr:to>
      <xdr:col>25</xdr:col>
      <xdr:colOff>0</xdr:colOff>
      <xdr:row>56</xdr:row>
      <xdr:rowOff>123825</xdr:rowOff>
    </xdr:to>
    <xdr:graphicFrame macro="">
      <xdr:nvGraphicFramePr>
        <xdr:cNvPr id="18" name="Chart 3">
          <a:extLst>
            <a:ext uri="{FF2B5EF4-FFF2-40B4-BE49-F238E27FC236}">
              <a16:creationId xmlns:a16="http://schemas.microsoft.com/office/drawing/2014/main" xmlns="" id="{00000000-0008-0000-0E00-00001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0</xdr:col>
      <xdr:colOff>161925</xdr:colOff>
      <xdr:row>58</xdr:row>
      <xdr:rowOff>152400</xdr:rowOff>
    </xdr:from>
    <xdr:to>
      <xdr:col>21</xdr:col>
      <xdr:colOff>19050</xdr:colOff>
      <xdr:row>70</xdr:row>
      <xdr:rowOff>104775</xdr:rowOff>
    </xdr:to>
    <xdr:graphicFrame macro="">
      <xdr:nvGraphicFramePr>
        <xdr:cNvPr id="19" name="Chart 8">
          <a:extLst>
            <a:ext uri="{FF2B5EF4-FFF2-40B4-BE49-F238E27FC236}">
              <a16:creationId xmlns:a16="http://schemas.microsoft.com/office/drawing/2014/main" xmlns="" id="{00000000-0008-0000-0E00-00001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0</xdr:col>
      <xdr:colOff>114300</xdr:colOff>
      <xdr:row>71</xdr:row>
      <xdr:rowOff>95250</xdr:rowOff>
    </xdr:from>
    <xdr:to>
      <xdr:col>20</xdr:col>
      <xdr:colOff>600075</xdr:colOff>
      <xdr:row>79</xdr:row>
      <xdr:rowOff>57150</xdr:rowOff>
    </xdr:to>
    <xdr:graphicFrame macro="">
      <xdr:nvGraphicFramePr>
        <xdr:cNvPr id="20" name="Chart 9">
          <a:extLst>
            <a:ext uri="{FF2B5EF4-FFF2-40B4-BE49-F238E27FC236}">
              <a16:creationId xmlns:a16="http://schemas.microsoft.com/office/drawing/2014/main" xmlns="" id="{00000000-0008-0000-0E00-00001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0</xdr:col>
      <xdr:colOff>123825</xdr:colOff>
      <xdr:row>80</xdr:row>
      <xdr:rowOff>38100</xdr:rowOff>
    </xdr:from>
    <xdr:to>
      <xdr:col>21</xdr:col>
      <xdr:colOff>0</xdr:colOff>
      <xdr:row>90</xdr:row>
      <xdr:rowOff>9525</xdr:rowOff>
    </xdr:to>
    <xdr:graphicFrame macro="">
      <xdr:nvGraphicFramePr>
        <xdr:cNvPr id="21" name="Chart 10">
          <a:extLst>
            <a:ext uri="{FF2B5EF4-FFF2-40B4-BE49-F238E27FC236}">
              <a16:creationId xmlns:a16="http://schemas.microsoft.com/office/drawing/2014/main" xmlns="" id="{00000000-0008-0000-0E00-00001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JOHN~1.JAP/AppData/Local/Temp/notes9CB204/10%20OCT.%20%202019%20HLP%20REPORT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~1/JEAN-N~1.BRA/LOCALS~1/Temp/notes5669A7/DAILY%20UTILITY%20REPORT%20DECEMBER%201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Shared%20files\HLP-REPORT%202010%20to%202019\HLP-REPORT-2019\10%20OCT.%20%202019%20HLP%20REPORT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04%20APRIL,%20HLP%20REPORT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/HLP-REPORT%202010%20to%202016/HLP-REPORT%202010%20to%202017/HLP-REPORT-2016/HLP/8%20AUGUST%202016%20HLP%20REPORT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/HLP-REPORT%202010%20to%202016/HLP-REPORT%202010%20to%202017/HLP-REPORT-2016/HLP/9%20SEPTEMBER%202016%20HLP%20REPORT%20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UTILITY REPORT 1"/>
      <sheetName val="Utility summery"/>
      <sheetName val="Utility report "/>
      <sheetName val="Kit report"/>
      <sheetName val="Summery Report"/>
      <sheetName val="Daily report Gen"/>
      <sheetName val="Gen"/>
      <sheetName val="Energy Graph"/>
      <sheetName val="Lpg (2)"/>
      <sheetName val="LPG_Graph"/>
      <sheetName val="Water-Meter"/>
      <sheetName val="Water_Graph "/>
      <sheetName val="Sheet1"/>
      <sheetName val="VODACOM AND AIRTEL"/>
      <sheetName val="FUEL METER READING"/>
      <sheetName val="Daily utility report "/>
      <sheetName val="Utility report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4">
          <cell r="C4" t="str">
            <v>Occ%</v>
          </cell>
        </row>
        <row r="5">
          <cell r="C5">
            <v>0.623</v>
          </cell>
          <cell r="F5">
            <v>5669</v>
          </cell>
        </row>
        <row r="6">
          <cell r="C6">
            <v>0.77900000000000003</v>
          </cell>
          <cell r="F6">
            <v>6159</v>
          </cell>
        </row>
        <row r="7">
          <cell r="C7">
            <v>0.53200000000000003</v>
          </cell>
          <cell r="F7">
            <v>6580</v>
          </cell>
        </row>
        <row r="8">
          <cell r="C8">
            <v>0.61</v>
          </cell>
          <cell r="F8">
            <v>6223</v>
          </cell>
        </row>
        <row r="9">
          <cell r="C9">
            <v>0.68799999999999994</v>
          </cell>
          <cell r="F9">
            <v>5984</v>
          </cell>
        </row>
        <row r="10">
          <cell r="C10">
            <v>0.53200000000000003</v>
          </cell>
          <cell r="F10">
            <v>6103</v>
          </cell>
        </row>
        <row r="11">
          <cell r="C11">
            <v>0.753</v>
          </cell>
          <cell r="F11">
            <v>5576</v>
          </cell>
        </row>
        <row r="12">
          <cell r="C12">
            <v>0.156</v>
          </cell>
          <cell r="F12">
            <v>5532</v>
          </cell>
        </row>
        <row r="13">
          <cell r="C13">
            <v>0.442</v>
          </cell>
          <cell r="F13">
            <v>6233</v>
          </cell>
        </row>
        <row r="14">
          <cell r="C14">
            <v>0.32500000000000001</v>
          </cell>
          <cell r="F14">
            <v>6063</v>
          </cell>
        </row>
        <row r="15">
          <cell r="C15">
            <v>0.45500000000000002</v>
          </cell>
          <cell r="F15">
            <v>5967</v>
          </cell>
        </row>
        <row r="16">
          <cell r="C16">
            <v>0.41599999999999998</v>
          </cell>
          <cell r="F16">
            <v>5863</v>
          </cell>
        </row>
        <row r="17">
          <cell r="C17">
            <v>0.39</v>
          </cell>
          <cell r="F17">
            <v>5720</v>
          </cell>
        </row>
        <row r="18">
          <cell r="C18">
            <v>0.63600000000000001</v>
          </cell>
          <cell r="F18">
            <v>6195</v>
          </cell>
        </row>
        <row r="19">
          <cell r="C19">
            <v>0.84399999999999997</v>
          </cell>
          <cell r="F19">
            <v>6450</v>
          </cell>
        </row>
        <row r="20">
          <cell r="C20">
            <v>0.81799999999999995</v>
          </cell>
          <cell r="F20">
            <v>6915</v>
          </cell>
        </row>
        <row r="21">
          <cell r="C21">
            <v>0.20799999999999999</v>
          </cell>
          <cell r="F21">
            <v>5962</v>
          </cell>
        </row>
        <row r="22">
          <cell r="C22">
            <v>0.221</v>
          </cell>
          <cell r="F22">
            <v>5257</v>
          </cell>
        </row>
        <row r="23">
          <cell r="C23">
            <v>0.11700000000000001</v>
          </cell>
          <cell r="F23">
            <v>4691</v>
          </cell>
        </row>
        <row r="24">
          <cell r="C24">
            <v>0.57099999999999995</v>
          </cell>
          <cell r="F24">
            <v>5712</v>
          </cell>
        </row>
        <row r="25">
          <cell r="C25">
            <v>0.55800000000000005</v>
          </cell>
          <cell r="F25">
            <v>5941</v>
          </cell>
        </row>
        <row r="26">
          <cell r="C26">
            <v>0.40300000000000002</v>
          </cell>
          <cell r="F26">
            <v>5400</v>
          </cell>
        </row>
        <row r="27">
          <cell r="C27">
            <v>0.24</v>
          </cell>
          <cell r="F27">
            <v>5371</v>
          </cell>
        </row>
        <row r="28">
          <cell r="C28">
            <v>0.09</v>
          </cell>
          <cell r="F28">
            <v>5296</v>
          </cell>
        </row>
        <row r="29">
          <cell r="C29">
            <v>0.28599999999999998</v>
          </cell>
          <cell r="F29">
            <v>5221</v>
          </cell>
        </row>
        <row r="30">
          <cell r="C30">
            <v>0.54500000000000004</v>
          </cell>
          <cell r="F30">
            <v>5665</v>
          </cell>
        </row>
        <row r="31">
          <cell r="C31">
            <v>0.67500000000000004</v>
          </cell>
          <cell r="F31">
            <v>6109</v>
          </cell>
        </row>
        <row r="32">
          <cell r="C32">
            <v>0.27300000000000002</v>
          </cell>
          <cell r="F32">
            <v>0</v>
          </cell>
        </row>
        <row r="33">
          <cell r="C33">
            <v>0</v>
          </cell>
          <cell r="F33">
            <v>0</v>
          </cell>
        </row>
        <row r="34">
          <cell r="C34">
            <v>0</v>
          </cell>
          <cell r="F34">
            <v>0</v>
          </cell>
        </row>
        <row r="35">
          <cell r="C35">
            <v>0</v>
          </cell>
          <cell r="F35">
            <v>0</v>
          </cell>
        </row>
      </sheetData>
      <sheetData sheetId="5" refreshError="1"/>
      <sheetData sheetId="6" refreshError="1">
        <row r="9">
          <cell r="C9">
            <v>35806.650000000031</v>
          </cell>
        </row>
        <row r="10">
          <cell r="AJ10">
            <v>0</v>
          </cell>
        </row>
        <row r="11">
          <cell r="A11">
            <v>43739</v>
          </cell>
          <cell r="B11">
            <v>0.623</v>
          </cell>
          <cell r="S11">
            <v>2179.4799999999996</v>
          </cell>
          <cell r="T11">
            <v>5669</v>
          </cell>
          <cell r="AT11">
            <v>47806.650000000031</v>
          </cell>
        </row>
        <row r="12">
          <cell r="A12">
            <v>43740</v>
          </cell>
          <cell r="B12">
            <v>0.77900000000000003</v>
          </cell>
          <cell r="S12">
            <v>2472.85</v>
          </cell>
          <cell r="T12">
            <v>6159</v>
          </cell>
          <cell r="AT12">
            <v>45423.890000000029</v>
          </cell>
        </row>
        <row r="13">
          <cell r="A13">
            <v>43741</v>
          </cell>
          <cell r="B13">
            <v>0.53200000000000003</v>
          </cell>
          <cell r="S13">
            <v>2554.3900000000003</v>
          </cell>
          <cell r="T13">
            <v>6580</v>
          </cell>
          <cell r="AT13">
            <v>42919.590000000026</v>
          </cell>
        </row>
        <row r="14">
          <cell r="A14">
            <v>43742</v>
          </cell>
          <cell r="B14">
            <v>0.61</v>
          </cell>
          <cell r="S14">
            <v>2441.42</v>
          </cell>
          <cell r="T14">
            <v>6223</v>
          </cell>
          <cell r="AT14">
            <v>40258.940000000024</v>
          </cell>
        </row>
        <row r="15">
          <cell r="A15">
            <v>43743</v>
          </cell>
          <cell r="B15">
            <v>0.68799999999999994</v>
          </cell>
          <cell r="S15">
            <v>2338.3599999999997</v>
          </cell>
          <cell r="T15">
            <v>5984</v>
          </cell>
          <cell r="AT15">
            <v>37525.210000000021</v>
          </cell>
        </row>
        <row r="16">
          <cell r="A16">
            <v>43744</v>
          </cell>
          <cell r="B16">
            <v>0.53200000000000003</v>
          </cell>
          <cell r="S16">
            <v>2478.9</v>
          </cell>
          <cell r="T16">
            <v>6103</v>
          </cell>
          <cell r="AT16">
            <v>35107.690000000024</v>
          </cell>
        </row>
        <row r="17">
          <cell r="A17">
            <v>43745</v>
          </cell>
          <cell r="B17">
            <v>0.753</v>
          </cell>
          <cell r="S17">
            <v>2276.44</v>
          </cell>
          <cell r="T17">
            <v>5576</v>
          </cell>
          <cell r="AT17">
            <v>47513.140000000029</v>
          </cell>
        </row>
        <row r="18">
          <cell r="A18">
            <v>43746</v>
          </cell>
          <cell r="B18">
            <v>0.156</v>
          </cell>
          <cell r="S18">
            <v>2242.4</v>
          </cell>
          <cell r="T18">
            <v>5532</v>
          </cell>
          <cell r="AT18">
            <v>45161.890000000029</v>
          </cell>
        </row>
        <row r="19">
          <cell r="A19">
            <v>43747</v>
          </cell>
          <cell r="B19">
            <v>0.442</v>
          </cell>
          <cell r="S19">
            <v>2430.2700000000004</v>
          </cell>
          <cell r="T19">
            <v>6233</v>
          </cell>
          <cell r="AT19">
            <v>42825.480000000025</v>
          </cell>
        </row>
        <row r="20">
          <cell r="A20">
            <v>43748</v>
          </cell>
          <cell r="B20">
            <v>0.32500000000000001</v>
          </cell>
          <cell r="S20">
            <v>2463.77</v>
          </cell>
          <cell r="T20">
            <v>6063</v>
          </cell>
          <cell r="AT20">
            <v>40110.380000000026</v>
          </cell>
        </row>
        <row r="21">
          <cell r="A21">
            <v>43749</v>
          </cell>
          <cell r="B21">
            <v>0.45500000000000002</v>
          </cell>
          <cell r="S21">
            <v>2310.19</v>
          </cell>
          <cell r="T21">
            <v>5967</v>
          </cell>
          <cell r="AT21">
            <v>37540.570000000029</v>
          </cell>
        </row>
        <row r="22">
          <cell r="A22">
            <v>43750</v>
          </cell>
          <cell r="B22">
            <v>0.41599999999999998</v>
          </cell>
          <cell r="S22">
            <v>2429.17</v>
          </cell>
          <cell r="T22">
            <v>5863</v>
          </cell>
          <cell r="AT22">
            <v>34967.29000000003</v>
          </cell>
        </row>
        <row r="23">
          <cell r="A23">
            <v>43751</v>
          </cell>
          <cell r="B23">
            <v>0.39</v>
          </cell>
          <cell r="S23">
            <v>2249.5299999999997</v>
          </cell>
          <cell r="T23">
            <v>5720</v>
          </cell>
          <cell r="AT23">
            <v>32228.760000000031</v>
          </cell>
        </row>
        <row r="24">
          <cell r="A24">
            <v>43752</v>
          </cell>
          <cell r="B24">
            <v>0.63600000000000001</v>
          </cell>
          <cell r="S24">
            <v>2420.41</v>
          </cell>
          <cell r="T24">
            <v>6195</v>
          </cell>
          <cell r="AT24">
            <v>29915.45000000003</v>
          </cell>
        </row>
        <row r="25">
          <cell r="A25">
            <v>43753</v>
          </cell>
          <cell r="B25">
            <v>0.84399999999999997</v>
          </cell>
          <cell r="S25">
            <v>2670.31</v>
          </cell>
          <cell r="T25">
            <v>6450</v>
          </cell>
          <cell r="AJ25">
            <v>80.56</v>
          </cell>
          <cell r="AT25">
            <v>42248.240000000034</v>
          </cell>
        </row>
        <row r="26">
          <cell r="A26">
            <v>43754</v>
          </cell>
          <cell r="B26">
            <v>0.81799999999999995</v>
          </cell>
          <cell r="S26">
            <v>2741.7</v>
          </cell>
          <cell r="T26">
            <v>6915</v>
          </cell>
          <cell r="AT26">
            <v>39497.370000000032</v>
          </cell>
        </row>
        <row r="27">
          <cell r="A27">
            <v>43755</v>
          </cell>
          <cell r="B27">
            <v>0.20799999999999999</v>
          </cell>
          <cell r="S27">
            <v>2321.11</v>
          </cell>
          <cell r="T27">
            <v>5962</v>
          </cell>
          <cell r="AJ27">
            <v>597.9</v>
          </cell>
          <cell r="AT27">
            <v>36688.350000000035</v>
          </cell>
        </row>
        <row r="28">
          <cell r="A28">
            <v>43756</v>
          </cell>
          <cell r="B28">
            <v>0.221</v>
          </cell>
          <cell r="S28">
            <v>2204.84</v>
          </cell>
          <cell r="T28">
            <v>5257</v>
          </cell>
          <cell r="AJ28">
            <v>227.73000000000002</v>
          </cell>
          <cell r="AT28">
            <v>33769.340000000033</v>
          </cell>
        </row>
        <row r="29">
          <cell r="A29">
            <v>43757</v>
          </cell>
          <cell r="B29">
            <v>0.11700000000000001</v>
          </cell>
          <cell r="S29">
            <v>1845.1800000000003</v>
          </cell>
          <cell r="T29">
            <v>4691</v>
          </cell>
          <cell r="AJ29">
            <v>88.289999999999992</v>
          </cell>
          <cell r="AT29">
            <v>31336.770000000033</v>
          </cell>
        </row>
        <row r="30">
          <cell r="A30">
            <v>43758</v>
          </cell>
          <cell r="B30">
            <v>0.57099999999999995</v>
          </cell>
          <cell r="S30">
            <v>2197.0099999999998</v>
          </cell>
          <cell r="T30">
            <v>5712</v>
          </cell>
          <cell r="AJ30">
            <v>783.92</v>
          </cell>
          <cell r="AT30">
            <v>29403.300000000032</v>
          </cell>
        </row>
        <row r="31">
          <cell r="A31">
            <v>43759</v>
          </cell>
          <cell r="B31">
            <v>0.55800000000000005</v>
          </cell>
          <cell r="S31">
            <v>2262.16</v>
          </cell>
          <cell r="T31">
            <v>5941</v>
          </cell>
          <cell r="AJ31">
            <v>172.05</v>
          </cell>
          <cell r="AT31">
            <v>41422.370000000032</v>
          </cell>
        </row>
        <row r="32">
          <cell r="A32">
            <v>43760</v>
          </cell>
          <cell r="B32">
            <v>0.40300000000000002</v>
          </cell>
          <cell r="S32">
            <v>2286.86</v>
          </cell>
          <cell r="T32">
            <v>5400</v>
          </cell>
          <cell r="AJ32">
            <v>18.63</v>
          </cell>
          <cell r="AT32">
            <v>38988.160000000033</v>
          </cell>
        </row>
        <row r="33">
          <cell r="A33">
            <v>43761</v>
          </cell>
          <cell r="B33">
            <v>0.24</v>
          </cell>
          <cell r="S33">
            <v>2148.2999999999997</v>
          </cell>
          <cell r="T33">
            <v>5371</v>
          </cell>
          <cell r="AJ33">
            <v>311.34000000000003</v>
          </cell>
          <cell r="AT33">
            <v>36682.670000000035</v>
          </cell>
        </row>
        <row r="34">
          <cell r="A34">
            <v>43762</v>
          </cell>
          <cell r="B34">
            <v>0.09</v>
          </cell>
          <cell r="S34">
            <v>2213.27</v>
          </cell>
          <cell r="T34">
            <v>5296</v>
          </cell>
          <cell r="AJ34">
            <v>380.7</v>
          </cell>
          <cell r="AT34">
            <v>44223.030000000035</v>
          </cell>
        </row>
        <row r="35">
          <cell r="A35">
            <v>43763</v>
          </cell>
          <cell r="B35">
            <v>0.28599999999999998</v>
          </cell>
          <cell r="S35">
            <v>2104.5200000000004</v>
          </cell>
          <cell r="T35">
            <v>5221</v>
          </cell>
          <cell r="AJ35">
            <v>273.37</v>
          </cell>
          <cell r="AT35">
            <v>41629.060000000034</v>
          </cell>
        </row>
        <row r="36">
          <cell r="A36">
            <v>43764</v>
          </cell>
          <cell r="B36">
            <v>0.54500000000000004</v>
          </cell>
          <cell r="S36">
            <v>2470.2400000000002</v>
          </cell>
          <cell r="T36">
            <v>5665</v>
          </cell>
          <cell r="AJ36">
            <v>396.56</v>
          </cell>
          <cell r="AT36">
            <v>39251.170000000035</v>
          </cell>
        </row>
        <row r="37">
          <cell r="A37">
            <v>43765</v>
          </cell>
          <cell r="B37">
            <v>0.67500000000000004</v>
          </cell>
          <cell r="S37">
            <v>2323.7399999999998</v>
          </cell>
          <cell r="T37">
            <v>6109</v>
          </cell>
          <cell r="AJ37">
            <v>280.63</v>
          </cell>
          <cell r="AT37">
            <v>36384.370000000032</v>
          </cell>
        </row>
        <row r="38">
          <cell r="A38">
            <v>43766</v>
          </cell>
          <cell r="B38">
            <v>0.27300000000000002</v>
          </cell>
          <cell r="S38">
            <v>0</v>
          </cell>
          <cell r="T38">
            <v>0</v>
          </cell>
          <cell r="AJ38">
            <v>0</v>
          </cell>
          <cell r="AT38">
            <v>33780.000000000029</v>
          </cell>
        </row>
        <row r="39">
          <cell r="A39">
            <v>43767</v>
          </cell>
          <cell r="S39">
            <v>0</v>
          </cell>
          <cell r="T39">
            <v>0</v>
          </cell>
          <cell r="AJ39">
            <v>0</v>
          </cell>
          <cell r="AT39">
            <v>33780.000000000029</v>
          </cell>
        </row>
        <row r="40">
          <cell r="A40">
            <v>43768</v>
          </cell>
          <cell r="S40">
            <v>0</v>
          </cell>
          <cell r="T40">
            <v>0</v>
          </cell>
          <cell r="AJ40">
            <v>0</v>
          </cell>
          <cell r="AT40">
            <v>33780.000000000029</v>
          </cell>
        </row>
        <row r="41">
          <cell r="A41">
            <v>43769</v>
          </cell>
          <cell r="S41">
            <v>0</v>
          </cell>
          <cell r="T41">
            <v>0</v>
          </cell>
          <cell r="AJ41">
            <v>0</v>
          </cell>
          <cell r="AT41">
            <v>33780.000000000029</v>
          </cell>
        </row>
      </sheetData>
      <sheetData sheetId="7" refreshError="1"/>
      <sheetData sheetId="8" refreshError="1">
        <row r="10">
          <cell r="B10">
            <v>85</v>
          </cell>
          <cell r="G10">
            <v>197.55999999997439</v>
          </cell>
        </row>
        <row r="11">
          <cell r="G11">
            <v>131.95600000002307</v>
          </cell>
        </row>
        <row r="12">
          <cell r="G12">
            <v>117.4799999999872</v>
          </cell>
        </row>
        <row r="13">
          <cell r="G13">
            <v>102.9599999999744</v>
          </cell>
        </row>
        <row r="14">
          <cell r="G14">
            <v>101.81599999999744</v>
          </cell>
        </row>
        <row r="15">
          <cell r="G15">
            <v>106.92000000001282</v>
          </cell>
        </row>
        <row r="16">
          <cell r="G16">
            <v>116.73199999999488</v>
          </cell>
        </row>
        <row r="17">
          <cell r="G17">
            <v>105.73199999999488</v>
          </cell>
        </row>
        <row r="18">
          <cell r="G18">
            <v>114.4</v>
          </cell>
        </row>
        <row r="19">
          <cell r="G19">
            <v>102.08000000005123</v>
          </cell>
        </row>
        <row r="20">
          <cell r="G20">
            <v>105.29199999996928</v>
          </cell>
        </row>
        <row r="21">
          <cell r="G21">
            <v>114.66399999998977</v>
          </cell>
        </row>
        <row r="22">
          <cell r="G22">
            <v>113.78400000000256</v>
          </cell>
        </row>
        <row r="23">
          <cell r="G23">
            <v>114.62000000001281</v>
          </cell>
        </row>
        <row r="24">
          <cell r="G24">
            <v>107.49199999996928</v>
          </cell>
        </row>
        <row r="25">
          <cell r="G25">
            <v>106.78800000001793</v>
          </cell>
        </row>
        <row r="26">
          <cell r="G26">
            <v>100.76000000003843</v>
          </cell>
        </row>
        <row r="27">
          <cell r="G27">
            <v>108.6799999999872</v>
          </cell>
        </row>
        <row r="28">
          <cell r="G28">
            <v>92.795999999984645</v>
          </cell>
        </row>
        <row r="29">
          <cell r="G29">
            <v>137.80800000003075</v>
          </cell>
        </row>
        <row r="30">
          <cell r="G30">
            <v>103.79599999998464</v>
          </cell>
        </row>
        <row r="31">
          <cell r="G31">
            <v>20.415999999997439</v>
          </cell>
        </row>
        <row r="32">
          <cell r="G32">
            <v>197.69199999996928</v>
          </cell>
        </row>
        <row r="33">
          <cell r="G33">
            <v>101.11200000004611</v>
          </cell>
        </row>
        <row r="34">
          <cell r="G34">
            <v>95.303999999951344</v>
          </cell>
        </row>
        <row r="35">
          <cell r="G35">
            <v>104.80800000003075</v>
          </cell>
        </row>
        <row r="36">
          <cell r="G36">
            <v>102.43199999999489</v>
          </cell>
        </row>
        <row r="37">
          <cell r="G37">
            <v>-295728.88400000002</v>
          </cell>
        </row>
        <row r="38">
          <cell r="G38">
            <v>0</v>
          </cell>
        </row>
        <row r="39">
          <cell r="G39">
            <v>0</v>
          </cell>
        </row>
        <row r="40">
          <cell r="G40">
            <v>0</v>
          </cell>
        </row>
      </sheetData>
      <sheetData sheetId="9" refreshError="1"/>
      <sheetData sheetId="10" refreshError="1">
        <row r="5">
          <cell r="G5">
            <v>36423</v>
          </cell>
        </row>
        <row r="10">
          <cell r="E10">
            <v>114</v>
          </cell>
        </row>
        <row r="11">
          <cell r="E11">
            <v>126</v>
          </cell>
        </row>
        <row r="12">
          <cell r="E12">
            <v>116</v>
          </cell>
        </row>
        <row r="13">
          <cell r="E13">
            <v>120</v>
          </cell>
        </row>
        <row r="14">
          <cell r="E14">
            <v>107</v>
          </cell>
        </row>
        <row r="15">
          <cell r="E15">
            <v>123</v>
          </cell>
        </row>
        <row r="16">
          <cell r="E16">
            <v>112</v>
          </cell>
        </row>
        <row r="17">
          <cell r="E17">
            <v>128</v>
          </cell>
        </row>
        <row r="18">
          <cell r="E18">
            <v>114</v>
          </cell>
        </row>
        <row r="19">
          <cell r="E19">
            <v>119</v>
          </cell>
        </row>
        <row r="20">
          <cell r="E20">
            <v>128</v>
          </cell>
        </row>
        <row r="21">
          <cell r="E21">
            <v>127</v>
          </cell>
        </row>
        <row r="22">
          <cell r="E22">
            <v>122</v>
          </cell>
        </row>
        <row r="24">
          <cell r="E24">
            <v>104</v>
          </cell>
        </row>
        <row r="25">
          <cell r="E25">
            <v>100</v>
          </cell>
        </row>
        <row r="26">
          <cell r="E26">
            <v>116</v>
          </cell>
        </row>
        <row r="27">
          <cell r="E27">
            <v>114</v>
          </cell>
        </row>
        <row r="28">
          <cell r="E28">
            <v>113</v>
          </cell>
        </row>
        <row r="29">
          <cell r="E29">
            <v>99</v>
          </cell>
        </row>
        <row r="30">
          <cell r="E30">
            <v>111</v>
          </cell>
        </row>
        <row r="31">
          <cell r="E31">
            <v>130</v>
          </cell>
        </row>
        <row r="32">
          <cell r="E32">
            <v>114</v>
          </cell>
        </row>
        <row r="33">
          <cell r="E33">
            <v>-215493</v>
          </cell>
        </row>
        <row r="34">
          <cell r="E34">
            <v>0</v>
          </cell>
        </row>
        <row r="35">
          <cell r="E35">
            <v>0</v>
          </cell>
        </row>
        <row r="36">
          <cell r="E36">
            <v>0</v>
          </cell>
        </row>
        <row r="37">
          <cell r="E37">
            <v>0</v>
          </cell>
        </row>
        <row r="38">
          <cell r="E38">
            <v>-212333</v>
          </cell>
          <cell r="R38">
            <v>-212333</v>
          </cell>
        </row>
      </sheetData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Sheet2"/>
      <sheetName val="Sheet3"/>
      <sheetName val="Utility summery"/>
      <sheetName val="Summery Report"/>
      <sheetName val="Energy Graph"/>
      <sheetName val="LPG_Graph"/>
      <sheetName val="Water_Graph "/>
    </sheetNames>
    <sheetDataSet>
      <sheetData sheetId="0" refreshError="1">
        <row r="36">
          <cell r="AA36">
            <v>950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Summery Report"/>
      <sheetName val="Energy Graph"/>
      <sheetName val="LPG_Graph"/>
      <sheetName val="Water_Graph 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UTILITY REPORT 1"/>
      <sheetName val="Utility summery"/>
      <sheetName val="Utility report "/>
      <sheetName val="Kit report"/>
      <sheetName val="Summery Report"/>
      <sheetName val="Daily report Gen"/>
      <sheetName val="Gen"/>
      <sheetName val="Energy Graph"/>
      <sheetName val="Lpg (2)"/>
      <sheetName val="LPG_Graph"/>
      <sheetName val="Water-Meter"/>
      <sheetName val="Water_Graph "/>
      <sheetName val="VODACOM AND AIRTEL"/>
      <sheetName val="FUEL METER READING"/>
      <sheetName val="Daily utility report 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>
        <row r="43">
          <cell r="D43">
            <v>43367.69</v>
          </cell>
        </row>
      </sheetData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Utility summery"/>
      <sheetName val="Utility report"/>
      <sheetName val="Kit report"/>
      <sheetName val="Summery Report"/>
      <sheetName val="Daily report Gen"/>
      <sheetName val="Gen"/>
      <sheetName val="Energy Graph"/>
      <sheetName val="Lpg (2)"/>
      <sheetName val="LPG_Graph"/>
      <sheetName val="LUB OIL-1"/>
      <sheetName val="Water-Meter"/>
      <sheetName val="Water_Graph "/>
      <sheetName val="WTL-Softner"/>
      <sheetName val="Sheet1"/>
      <sheetName val="PRINT"/>
      <sheetName val="VODACOM AND AIRTEL"/>
      <sheetName val="SABASABA GENERATOR "/>
      <sheetName val="FUEL METER READING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>
        <row r="43">
          <cell r="C43">
            <v>43914.400000000001</v>
          </cell>
        </row>
        <row r="45">
          <cell r="AR45">
            <v>72766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Utility summery"/>
      <sheetName val="Utility report"/>
      <sheetName val="Kit report"/>
      <sheetName val="Summery Report"/>
      <sheetName val="Daily report Gen"/>
      <sheetName val="Gen"/>
      <sheetName val="Energy Graph"/>
      <sheetName val="Lpg (2)"/>
      <sheetName val="LPG_Graph"/>
      <sheetName val="LUB OIL-1"/>
      <sheetName val="Water-Meter"/>
      <sheetName val="Water_Graph "/>
      <sheetName val="WTL-Softner"/>
      <sheetName val="Sheet1"/>
      <sheetName val="PRINT"/>
      <sheetName val="VODACOM AND AIRTEL"/>
      <sheetName val="SABASABA GENERATOR "/>
      <sheetName val="FUEL METER READING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>
        <row r="43">
          <cell r="C43">
            <v>45006.900000000016</v>
          </cell>
        </row>
        <row r="45">
          <cell r="AR45">
            <v>64036.499999999993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2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FFC000"/>
  </sheetPr>
  <dimension ref="A1:L39"/>
  <sheetViews>
    <sheetView workbookViewId="0">
      <selection activeCell="P11" sqref="P11"/>
    </sheetView>
  </sheetViews>
  <sheetFormatPr defaultColWidth="11.5703125" defaultRowHeight="12.75"/>
  <cols>
    <col min="1" max="1" width="12.42578125" style="12" customWidth="1"/>
    <col min="2" max="3" width="11.5703125" style="487"/>
    <col min="4" max="4" width="13.42578125" style="488" customWidth="1"/>
    <col min="5" max="5" width="12.5703125" style="489" customWidth="1"/>
    <col min="6" max="6" width="12.5703125" style="12" customWidth="1"/>
    <col min="7" max="7" width="11.5703125" style="12"/>
    <col min="8" max="8" width="11.5703125" style="500"/>
    <col min="9" max="9" width="11.5703125" style="12"/>
    <col min="10" max="10" width="11.5703125" style="500"/>
    <col min="11" max="11" width="11.5703125" style="489"/>
    <col min="12" max="12" width="0" hidden="1" customWidth="1"/>
    <col min="256" max="256" width="12.42578125" customWidth="1"/>
    <col min="259" max="259" width="13.42578125" customWidth="1"/>
    <col min="260" max="261" width="12.5703125" customWidth="1"/>
    <col min="268" max="268" width="0" hidden="1" customWidth="1"/>
    <col min="512" max="512" width="12.42578125" customWidth="1"/>
    <col min="515" max="515" width="13.42578125" customWidth="1"/>
    <col min="516" max="517" width="12.5703125" customWidth="1"/>
    <col min="524" max="524" width="0" hidden="1" customWidth="1"/>
    <col min="768" max="768" width="12.42578125" customWidth="1"/>
    <col min="771" max="771" width="13.42578125" customWidth="1"/>
    <col min="772" max="773" width="12.5703125" customWidth="1"/>
    <col min="780" max="780" width="0" hidden="1" customWidth="1"/>
    <col min="1024" max="1024" width="12.42578125" customWidth="1"/>
    <col min="1027" max="1027" width="13.42578125" customWidth="1"/>
    <col min="1028" max="1029" width="12.5703125" customWidth="1"/>
    <col min="1036" max="1036" width="0" hidden="1" customWidth="1"/>
    <col min="1280" max="1280" width="12.42578125" customWidth="1"/>
    <col min="1283" max="1283" width="13.42578125" customWidth="1"/>
    <col min="1284" max="1285" width="12.5703125" customWidth="1"/>
    <col min="1292" max="1292" width="0" hidden="1" customWidth="1"/>
    <col min="1536" max="1536" width="12.42578125" customWidth="1"/>
    <col min="1539" max="1539" width="13.42578125" customWidth="1"/>
    <col min="1540" max="1541" width="12.5703125" customWidth="1"/>
    <col min="1548" max="1548" width="0" hidden="1" customWidth="1"/>
    <col min="1792" max="1792" width="12.42578125" customWidth="1"/>
    <col min="1795" max="1795" width="13.42578125" customWidth="1"/>
    <col min="1796" max="1797" width="12.5703125" customWidth="1"/>
    <col min="1804" max="1804" width="0" hidden="1" customWidth="1"/>
    <col min="2048" max="2048" width="12.42578125" customWidth="1"/>
    <col min="2051" max="2051" width="13.42578125" customWidth="1"/>
    <col min="2052" max="2053" width="12.5703125" customWidth="1"/>
    <col min="2060" max="2060" width="0" hidden="1" customWidth="1"/>
    <col min="2304" max="2304" width="12.42578125" customWidth="1"/>
    <col min="2307" max="2307" width="13.42578125" customWidth="1"/>
    <col min="2308" max="2309" width="12.5703125" customWidth="1"/>
    <col min="2316" max="2316" width="0" hidden="1" customWidth="1"/>
    <col min="2560" max="2560" width="12.42578125" customWidth="1"/>
    <col min="2563" max="2563" width="13.42578125" customWidth="1"/>
    <col min="2564" max="2565" width="12.5703125" customWidth="1"/>
    <col min="2572" max="2572" width="0" hidden="1" customWidth="1"/>
    <col min="2816" max="2816" width="12.42578125" customWidth="1"/>
    <col min="2819" max="2819" width="13.42578125" customWidth="1"/>
    <col min="2820" max="2821" width="12.5703125" customWidth="1"/>
    <col min="2828" max="2828" width="0" hidden="1" customWidth="1"/>
    <col min="3072" max="3072" width="12.42578125" customWidth="1"/>
    <col min="3075" max="3075" width="13.42578125" customWidth="1"/>
    <col min="3076" max="3077" width="12.5703125" customWidth="1"/>
    <col min="3084" max="3084" width="0" hidden="1" customWidth="1"/>
    <col min="3328" max="3328" width="12.42578125" customWidth="1"/>
    <col min="3331" max="3331" width="13.42578125" customWidth="1"/>
    <col min="3332" max="3333" width="12.5703125" customWidth="1"/>
    <col min="3340" max="3340" width="0" hidden="1" customWidth="1"/>
    <col min="3584" max="3584" width="12.42578125" customWidth="1"/>
    <col min="3587" max="3587" width="13.42578125" customWidth="1"/>
    <col min="3588" max="3589" width="12.5703125" customWidth="1"/>
    <col min="3596" max="3596" width="0" hidden="1" customWidth="1"/>
    <col min="3840" max="3840" width="12.42578125" customWidth="1"/>
    <col min="3843" max="3843" width="13.42578125" customWidth="1"/>
    <col min="3844" max="3845" width="12.5703125" customWidth="1"/>
    <col min="3852" max="3852" width="0" hidden="1" customWidth="1"/>
    <col min="4096" max="4096" width="12.42578125" customWidth="1"/>
    <col min="4099" max="4099" width="13.42578125" customWidth="1"/>
    <col min="4100" max="4101" width="12.5703125" customWidth="1"/>
    <col min="4108" max="4108" width="0" hidden="1" customWidth="1"/>
    <col min="4352" max="4352" width="12.42578125" customWidth="1"/>
    <col min="4355" max="4355" width="13.42578125" customWidth="1"/>
    <col min="4356" max="4357" width="12.5703125" customWidth="1"/>
    <col min="4364" max="4364" width="0" hidden="1" customWidth="1"/>
    <col min="4608" max="4608" width="12.42578125" customWidth="1"/>
    <col min="4611" max="4611" width="13.42578125" customWidth="1"/>
    <col min="4612" max="4613" width="12.5703125" customWidth="1"/>
    <col min="4620" max="4620" width="0" hidden="1" customWidth="1"/>
    <col min="4864" max="4864" width="12.42578125" customWidth="1"/>
    <col min="4867" max="4867" width="13.42578125" customWidth="1"/>
    <col min="4868" max="4869" width="12.5703125" customWidth="1"/>
    <col min="4876" max="4876" width="0" hidden="1" customWidth="1"/>
    <col min="5120" max="5120" width="12.42578125" customWidth="1"/>
    <col min="5123" max="5123" width="13.42578125" customWidth="1"/>
    <col min="5124" max="5125" width="12.5703125" customWidth="1"/>
    <col min="5132" max="5132" width="0" hidden="1" customWidth="1"/>
    <col min="5376" max="5376" width="12.42578125" customWidth="1"/>
    <col min="5379" max="5379" width="13.42578125" customWidth="1"/>
    <col min="5380" max="5381" width="12.5703125" customWidth="1"/>
    <col min="5388" max="5388" width="0" hidden="1" customWidth="1"/>
    <col min="5632" max="5632" width="12.42578125" customWidth="1"/>
    <col min="5635" max="5635" width="13.42578125" customWidth="1"/>
    <col min="5636" max="5637" width="12.5703125" customWidth="1"/>
    <col min="5644" max="5644" width="0" hidden="1" customWidth="1"/>
    <col min="5888" max="5888" width="12.42578125" customWidth="1"/>
    <col min="5891" max="5891" width="13.42578125" customWidth="1"/>
    <col min="5892" max="5893" width="12.5703125" customWidth="1"/>
    <col min="5900" max="5900" width="0" hidden="1" customWidth="1"/>
    <col min="6144" max="6144" width="12.42578125" customWidth="1"/>
    <col min="6147" max="6147" width="13.42578125" customWidth="1"/>
    <col min="6148" max="6149" width="12.5703125" customWidth="1"/>
    <col min="6156" max="6156" width="0" hidden="1" customWidth="1"/>
    <col min="6400" max="6400" width="12.42578125" customWidth="1"/>
    <col min="6403" max="6403" width="13.42578125" customWidth="1"/>
    <col min="6404" max="6405" width="12.5703125" customWidth="1"/>
    <col min="6412" max="6412" width="0" hidden="1" customWidth="1"/>
    <col min="6656" max="6656" width="12.42578125" customWidth="1"/>
    <col min="6659" max="6659" width="13.42578125" customWidth="1"/>
    <col min="6660" max="6661" width="12.5703125" customWidth="1"/>
    <col min="6668" max="6668" width="0" hidden="1" customWidth="1"/>
    <col min="6912" max="6912" width="12.42578125" customWidth="1"/>
    <col min="6915" max="6915" width="13.42578125" customWidth="1"/>
    <col min="6916" max="6917" width="12.5703125" customWidth="1"/>
    <col min="6924" max="6924" width="0" hidden="1" customWidth="1"/>
    <col min="7168" max="7168" width="12.42578125" customWidth="1"/>
    <col min="7171" max="7171" width="13.42578125" customWidth="1"/>
    <col min="7172" max="7173" width="12.5703125" customWidth="1"/>
    <col min="7180" max="7180" width="0" hidden="1" customWidth="1"/>
    <col min="7424" max="7424" width="12.42578125" customWidth="1"/>
    <col min="7427" max="7427" width="13.42578125" customWidth="1"/>
    <col min="7428" max="7429" width="12.5703125" customWidth="1"/>
    <col min="7436" max="7436" width="0" hidden="1" customWidth="1"/>
    <col min="7680" max="7680" width="12.42578125" customWidth="1"/>
    <col min="7683" max="7683" width="13.42578125" customWidth="1"/>
    <col min="7684" max="7685" width="12.5703125" customWidth="1"/>
    <col min="7692" max="7692" width="0" hidden="1" customWidth="1"/>
    <col min="7936" max="7936" width="12.42578125" customWidth="1"/>
    <col min="7939" max="7939" width="13.42578125" customWidth="1"/>
    <col min="7940" max="7941" width="12.5703125" customWidth="1"/>
    <col min="7948" max="7948" width="0" hidden="1" customWidth="1"/>
    <col min="8192" max="8192" width="12.42578125" customWidth="1"/>
    <col min="8195" max="8195" width="13.42578125" customWidth="1"/>
    <col min="8196" max="8197" width="12.5703125" customWidth="1"/>
    <col min="8204" max="8204" width="0" hidden="1" customWidth="1"/>
    <col min="8448" max="8448" width="12.42578125" customWidth="1"/>
    <col min="8451" max="8451" width="13.42578125" customWidth="1"/>
    <col min="8452" max="8453" width="12.5703125" customWidth="1"/>
    <col min="8460" max="8460" width="0" hidden="1" customWidth="1"/>
    <col min="8704" max="8704" width="12.42578125" customWidth="1"/>
    <col min="8707" max="8707" width="13.42578125" customWidth="1"/>
    <col min="8708" max="8709" width="12.5703125" customWidth="1"/>
    <col min="8716" max="8716" width="0" hidden="1" customWidth="1"/>
    <col min="8960" max="8960" width="12.42578125" customWidth="1"/>
    <col min="8963" max="8963" width="13.42578125" customWidth="1"/>
    <col min="8964" max="8965" width="12.5703125" customWidth="1"/>
    <col min="8972" max="8972" width="0" hidden="1" customWidth="1"/>
    <col min="9216" max="9216" width="12.42578125" customWidth="1"/>
    <col min="9219" max="9219" width="13.42578125" customWidth="1"/>
    <col min="9220" max="9221" width="12.5703125" customWidth="1"/>
    <col min="9228" max="9228" width="0" hidden="1" customWidth="1"/>
    <col min="9472" max="9472" width="12.42578125" customWidth="1"/>
    <col min="9475" max="9475" width="13.42578125" customWidth="1"/>
    <col min="9476" max="9477" width="12.5703125" customWidth="1"/>
    <col min="9484" max="9484" width="0" hidden="1" customWidth="1"/>
    <col min="9728" max="9728" width="12.42578125" customWidth="1"/>
    <col min="9731" max="9731" width="13.42578125" customWidth="1"/>
    <col min="9732" max="9733" width="12.5703125" customWidth="1"/>
    <col min="9740" max="9740" width="0" hidden="1" customWidth="1"/>
    <col min="9984" max="9984" width="12.42578125" customWidth="1"/>
    <col min="9987" max="9987" width="13.42578125" customWidth="1"/>
    <col min="9988" max="9989" width="12.5703125" customWidth="1"/>
    <col min="9996" max="9996" width="0" hidden="1" customWidth="1"/>
    <col min="10240" max="10240" width="12.42578125" customWidth="1"/>
    <col min="10243" max="10243" width="13.42578125" customWidth="1"/>
    <col min="10244" max="10245" width="12.5703125" customWidth="1"/>
    <col min="10252" max="10252" width="0" hidden="1" customWidth="1"/>
    <col min="10496" max="10496" width="12.42578125" customWidth="1"/>
    <col min="10499" max="10499" width="13.42578125" customWidth="1"/>
    <col min="10500" max="10501" width="12.5703125" customWidth="1"/>
    <col min="10508" max="10508" width="0" hidden="1" customWidth="1"/>
    <col min="10752" max="10752" width="12.42578125" customWidth="1"/>
    <col min="10755" max="10755" width="13.42578125" customWidth="1"/>
    <col min="10756" max="10757" width="12.5703125" customWidth="1"/>
    <col min="10764" max="10764" width="0" hidden="1" customWidth="1"/>
    <col min="11008" max="11008" width="12.42578125" customWidth="1"/>
    <col min="11011" max="11011" width="13.42578125" customWidth="1"/>
    <col min="11012" max="11013" width="12.5703125" customWidth="1"/>
    <col min="11020" max="11020" width="0" hidden="1" customWidth="1"/>
    <col min="11264" max="11264" width="12.42578125" customWidth="1"/>
    <col min="11267" max="11267" width="13.42578125" customWidth="1"/>
    <col min="11268" max="11269" width="12.5703125" customWidth="1"/>
    <col min="11276" max="11276" width="0" hidden="1" customWidth="1"/>
    <col min="11520" max="11520" width="12.42578125" customWidth="1"/>
    <col min="11523" max="11523" width="13.42578125" customWidth="1"/>
    <col min="11524" max="11525" width="12.5703125" customWidth="1"/>
    <col min="11532" max="11532" width="0" hidden="1" customWidth="1"/>
    <col min="11776" max="11776" width="12.42578125" customWidth="1"/>
    <col min="11779" max="11779" width="13.42578125" customWidth="1"/>
    <col min="11780" max="11781" width="12.5703125" customWidth="1"/>
    <col min="11788" max="11788" width="0" hidden="1" customWidth="1"/>
    <col min="12032" max="12032" width="12.42578125" customWidth="1"/>
    <col min="12035" max="12035" width="13.42578125" customWidth="1"/>
    <col min="12036" max="12037" width="12.5703125" customWidth="1"/>
    <col min="12044" max="12044" width="0" hidden="1" customWidth="1"/>
    <col min="12288" max="12288" width="12.42578125" customWidth="1"/>
    <col min="12291" max="12291" width="13.42578125" customWidth="1"/>
    <col min="12292" max="12293" width="12.5703125" customWidth="1"/>
    <col min="12300" max="12300" width="0" hidden="1" customWidth="1"/>
    <col min="12544" max="12544" width="12.42578125" customWidth="1"/>
    <col min="12547" max="12547" width="13.42578125" customWidth="1"/>
    <col min="12548" max="12549" width="12.5703125" customWidth="1"/>
    <col min="12556" max="12556" width="0" hidden="1" customWidth="1"/>
    <col min="12800" max="12800" width="12.42578125" customWidth="1"/>
    <col min="12803" max="12803" width="13.42578125" customWidth="1"/>
    <col min="12804" max="12805" width="12.5703125" customWidth="1"/>
    <col min="12812" max="12812" width="0" hidden="1" customWidth="1"/>
    <col min="13056" max="13056" width="12.42578125" customWidth="1"/>
    <col min="13059" max="13059" width="13.42578125" customWidth="1"/>
    <col min="13060" max="13061" width="12.5703125" customWidth="1"/>
    <col min="13068" max="13068" width="0" hidden="1" customWidth="1"/>
    <col min="13312" max="13312" width="12.42578125" customWidth="1"/>
    <col min="13315" max="13315" width="13.42578125" customWidth="1"/>
    <col min="13316" max="13317" width="12.5703125" customWidth="1"/>
    <col min="13324" max="13324" width="0" hidden="1" customWidth="1"/>
    <col min="13568" max="13568" width="12.42578125" customWidth="1"/>
    <col min="13571" max="13571" width="13.42578125" customWidth="1"/>
    <col min="13572" max="13573" width="12.5703125" customWidth="1"/>
    <col min="13580" max="13580" width="0" hidden="1" customWidth="1"/>
    <col min="13824" max="13824" width="12.42578125" customWidth="1"/>
    <col min="13827" max="13827" width="13.42578125" customWidth="1"/>
    <col min="13828" max="13829" width="12.5703125" customWidth="1"/>
    <col min="13836" max="13836" width="0" hidden="1" customWidth="1"/>
    <col min="14080" max="14080" width="12.42578125" customWidth="1"/>
    <col min="14083" max="14083" width="13.42578125" customWidth="1"/>
    <col min="14084" max="14085" width="12.5703125" customWidth="1"/>
    <col min="14092" max="14092" width="0" hidden="1" customWidth="1"/>
    <col min="14336" max="14336" width="12.42578125" customWidth="1"/>
    <col min="14339" max="14339" width="13.42578125" customWidth="1"/>
    <col min="14340" max="14341" width="12.5703125" customWidth="1"/>
    <col min="14348" max="14348" width="0" hidden="1" customWidth="1"/>
    <col min="14592" max="14592" width="12.42578125" customWidth="1"/>
    <col min="14595" max="14595" width="13.42578125" customWidth="1"/>
    <col min="14596" max="14597" width="12.5703125" customWidth="1"/>
    <col min="14604" max="14604" width="0" hidden="1" customWidth="1"/>
    <col min="14848" max="14848" width="12.42578125" customWidth="1"/>
    <col min="14851" max="14851" width="13.42578125" customWidth="1"/>
    <col min="14852" max="14853" width="12.5703125" customWidth="1"/>
    <col min="14860" max="14860" width="0" hidden="1" customWidth="1"/>
    <col min="15104" max="15104" width="12.42578125" customWidth="1"/>
    <col min="15107" max="15107" width="13.42578125" customWidth="1"/>
    <col min="15108" max="15109" width="12.5703125" customWidth="1"/>
    <col min="15116" max="15116" width="0" hidden="1" customWidth="1"/>
    <col min="15360" max="15360" width="12.42578125" customWidth="1"/>
    <col min="15363" max="15363" width="13.42578125" customWidth="1"/>
    <col min="15364" max="15365" width="12.5703125" customWidth="1"/>
    <col min="15372" max="15372" width="0" hidden="1" customWidth="1"/>
    <col min="15616" max="15616" width="12.42578125" customWidth="1"/>
    <col min="15619" max="15619" width="13.42578125" customWidth="1"/>
    <col min="15620" max="15621" width="12.5703125" customWidth="1"/>
    <col min="15628" max="15628" width="0" hidden="1" customWidth="1"/>
    <col min="15872" max="15872" width="12.42578125" customWidth="1"/>
    <col min="15875" max="15875" width="13.42578125" customWidth="1"/>
    <col min="15876" max="15877" width="12.5703125" customWidth="1"/>
    <col min="15884" max="15884" width="0" hidden="1" customWidth="1"/>
    <col min="16128" max="16128" width="12.42578125" customWidth="1"/>
    <col min="16131" max="16131" width="13.42578125" customWidth="1"/>
    <col min="16132" max="16133" width="12.5703125" customWidth="1"/>
    <col min="16140" max="16140" width="0" hidden="1" customWidth="1"/>
  </cols>
  <sheetData>
    <row r="1" spans="1:12" s="485" customFormat="1" ht="60.75" thickBot="1">
      <c r="A1" s="479" t="s">
        <v>272</v>
      </c>
      <c r="B1" s="480" t="s">
        <v>273</v>
      </c>
      <c r="C1" s="480" t="s">
        <v>274</v>
      </c>
      <c r="D1" s="481" t="s">
        <v>275</v>
      </c>
      <c r="E1" s="482" t="s">
        <v>276</v>
      </c>
      <c r="F1" s="483" t="s">
        <v>277</v>
      </c>
      <c r="G1" s="483" t="s">
        <v>278</v>
      </c>
      <c r="H1" s="498" t="s">
        <v>279</v>
      </c>
      <c r="I1" s="483" t="s">
        <v>280</v>
      </c>
      <c r="J1" s="498" t="s">
        <v>281</v>
      </c>
      <c r="K1" s="482" t="s">
        <v>282</v>
      </c>
      <c r="L1" s="484" t="s">
        <v>283</v>
      </c>
    </row>
    <row r="2" spans="1:12">
      <c r="A2" s="486" t="s">
        <v>284</v>
      </c>
      <c r="B2" s="487">
        <v>1</v>
      </c>
      <c r="C2" s="487">
        <v>5</v>
      </c>
      <c r="D2" s="488">
        <v>2020</v>
      </c>
      <c r="E2" s="489">
        <f>'UTILITY REPORT 1'!F3</f>
        <v>1620</v>
      </c>
      <c r="F2" s="490">
        <f>('UTILITY REPORT 1'!E3*'UTILITY REPORT 1'!D3)/'UTILITY REPORT 1'!F3</f>
        <v>0.41856172839506167</v>
      </c>
      <c r="G2" s="490">
        <f>IF('Utility summery'!M6&lt;0,"0",'Utility summery'!M6)</f>
        <v>34.9799999999872</v>
      </c>
      <c r="H2" s="499">
        <v>0</v>
      </c>
      <c r="I2" s="490">
        <f>IF('UTILITY REPORT 1'!G3&lt;0,"0",'UTILITY REPORT 1'!G3)</f>
        <v>31</v>
      </c>
      <c r="J2" s="499">
        <v>0</v>
      </c>
      <c r="K2" s="489">
        <f>'UTILITY REPORT 1'!C3</f>
        <v>0</v>
      </c>
      <c r="L2" s="491" t="e">
        <f>E2*F2+G2*H2+#REF!*#REF!+I2*J2</f>
        <v>#REF!</v>
      </c>
    </row>
    <row r="3" spans="1:12">
      <c r="A3" s="486" t="s">
        <v>284</v>
      </c>
      <c r="B3" s="487">
        <f>B2+1</f>
        <v>2</v>
      </c>
      <c r="C3" s="487">
        <v>5</v>
      </c>
      <c r="D3" s="488">
        <v>2020</v>
      </c>
      <c r="E3" s="489">
        <f>'UTILITY REPORT 1'!F4</f>
        <v>1580</v>
      </c>
      <c r="F3" s="490">
        <f>('UTILITY REPORT 1'!E4*'UTILITY REPORT 1'!D4)/'UTILITY REPORT 1'!F4</f>
        <v>0.41750632911392405</v>
      </c>
      <c r="G3" s="490">
        <f>IF('Utility summery'!M7&lt;0,"0",'Utility summery'!M7)</f>
        <v>19.75600000002305</v>
      </c>
      <c r="H3" s="499">
        <v>0</v>
      </c>
      <c r="I3" s="490">
        <f>IF('UTILITY REPORT 1'!G4&lt;0,"0",'UTILITY REPORT 1'!G4)</f>
        <v>31</v>
      </c>
      <c r="J3" s="499">
        <v>0</v>
      </c>
      <c r="K3" s="489">
        <f>'UTILITY REPORT 1'!C4</f>
        <v>0</v>
      </c>
      <c r="L3" s="491" t="e">
        <f>E3*F3+G3*H3+#REF!*#REF!+I3*J3</f>
        <v>#REF!</v>
      </c>
    </row>
    <row r="4" spans="1:12">
      <c r="A4" s="486" t="s">
        <v>284</v>
      </c>
      <c r="B4" s="487">
        <f t="shared" ref="B4:B30" si="0">B3+1</f>
        <v>3</v>
      </c>
      <c r="C4" s="487">
        <v>5</v>
      </c>
      <c r="D4" s="488">
        <v>2020</v>
      </c>
      <c r="E4" s="489">
        <f>'UTILITY REPORT 1'!F5</f>
        <v>1625</v>
      </c>
      <c r="F4" s="490">
        <f>('UTILITY REPORT 1'!E5*'UTILITY REPORT 1'!D5)/'UTILITY REPORT 1'!F5</f>
        <v>0.40571692307692303</v>
      </c>
      <c r="G4" s="490">
        <f>IF('Utility summery'!M8&lt;0,"0",'Utility summery'!M8)</f>
        <v>26.97200000002049</v>
      </c>
      <c r="H4" s="499">
        <v>0</v>
      </c>
      <c r="I4" s="490">
        <f>IF('UTILITY REPORT 1'!G5&lt;0,"0",'UTILITY REPORT 1'!G5)</f>
        <v>47</v>
      </c>
      <c r="J4" s="499">
        <v>0</v>
      </c>
      <c r="K4" s="489">
        <f>'UTILITY REPORT 1'!C5</f>
        <v>0</v>
      </c>
      <c r="L4" s="491" t="e">
        <f>E4*F4+G4*H4+#REF!*#REF!+I4*J4</f>
        <v>#REF!</v>
      </c>
    </row>
    <row r="5" spans="1:12">
      <c r="A5" s="486" t="s">
        <v>284</v>
      </c>
      <c r="B5" s="487">
        <f t="shared" si="0"/>
        <v>4</v>
      </c>
      <c r="C5" s="487">
        <v>5</v>
      </c>
      <c r="D5" s="488">
        <v>2020</v>
      </c>
      <c r="E5" s="489">
        <f>'UTILITY REPORT 1'!F6</f>
        <v>1460</v>
      </c>
      <c r="F5" s="490">
        <f>('UTILITY REPORT 1'!E6*'UTILITY REPORT 1'!D6)/'UTILITY REPORT 1'!F6</f>
        <v>0.43419863013698629</v>
      </c>
      <c r="G5" s="490">
        <f>IF('Utility summery'!M9&lt;0,"0",'Utility summery'!M9)</f>
        <v>26.400000000000002</v>
      </c>
      <c r="H5" s="499">
        <v>0</v>
      </c>
      <c r="I5" s="490">
        <f>IF('UTILITY REPORT 1'!G6&lt;0,"0",'UTILITY REPORT 1'!G6)</f>
        <v>31</v>
      </c>
      <c r="J5" s="499">
        <v>0</v>
      </c>
      <c r="K5" s="489">
        <f>'UTILITY REPORT 1'!C6</f>
        <v>0</v>
      </c>
      <c r="L5" s="491" t="e">
        <f>E5*F5+G5*H5+#REF!*#REF!+I5*J5</f>
        <v>#REF!</v>
      </c>
    </row>
    <row r="6" spans="1:12">
      <c r="A6" s="486" t="s">
        <v>284</v>
      </c>
      <c r="B6" s="487">
        <f t="shared" si="0"/>
        <v>5</v>
      </c>
      <c r="C6" s="487">
        <v>5</v>
      </c>
      <c r="D6" s="488">
        <v>2020</v>
      </c>
      <c r="E6" s="489">
        <f>'UTILITY REPORT 1'!F7</f>
        <v>1531</v>
      </c>
      <c r="F6" s="490">
        <f>('UTILITY REPORT 1'!E7*'UTILITY REPORT 1'!D7)/'UTILITY REPORT 1'!F7</f>
        <v>0.42210320052253431</v>
      </c>
      <c r="G6" s="490">
        <f>IF('Utility summery'!M10&lt;0,"0",'Utility summery'!M10)</f>
        <v>22.439999999961586</v>
      </c>
      <c r="H6" s="499">
        <v>0</v>
      </c>
      <c r="I6" s="490">
        <f>IF('UTILITY REPORT 1'!G7&lt;0,"0",'UTILITY REPORT 1'!G7)</f>
        <v>30</v>
      </c>
      <c r="J6" s="499">
        <v>0</v>
      </c>
      <c r="K6" s="489">
        <f>'UTILITY REPORT 1'!C7</f>
        <v>0</v>
      </c>
      <c r="L6" s="491" t="e">
        <f>E6*F6+G6*H6+#REF!*#REF!+I6*J6</f>
        <v>#REF!</v>
      </c>
    </row>
    <row r="7" spans="1:12">
      <c r="A7" s="486" t="s">
        <v>284</v>
      </c>
      <c r="B7" s="487">
        <f t="shared" si="0"/>
        <v>6</v>
      </c>
      <c r="C7" s="487">
        <v>5</v>
      </c>
      <c r="D7" s="488">
        <v>2020</v>
      </c>
      <c r="E7" s="489">
        <f>'UTILITY REPORT 1'!F8</f>
        <v>0</v>
      </c>
      <c r="F7" s="490" t="e">
        <f>('UTILITY REPORT 1'!E8*'UTILITY REPORT 1'!D8)/'UTILITY REPORT 1'!F8</f>
        <v>#DIV/0!</v>
      </c>
      <c r="G7" s="490">
        <f>IF('Utility summery'!M11&lt;0,"0",'Utility summery'!M11)</f>
        <v>14.608000000030735</v>
      </c>
      <c r="H7" s="499">
        <v>0</v>
      </c>
      <c r="I7" s="490">
        <f>IF('UTILITY REPORT 1'!G8&lt;0,"0",'UTILITY REPORT 1'!G8)</f>
        <v>33</v>
      </c>
      <c r="J7" s="499">
        <v>0</v>
      </c>
      <c r="K7" s="489">
        <f>'UTILITY REPORT 1'!C8</f>
        <v>0</v>
      </c>
      <c r="L7" s="491" t="e">
        <f>E7*F7+G7*H7+#REF!*#REF!+I7*J7</f>
        <v>#DIV/0!</v>
      </c>
    </row>
    <row r="8" spans="1:12">
      <c r="A8" s="486" t="s">
        <v>284</v>
      </c>
      <c r="B8" s="487">
        <f t="shared" si="0"/>
        <v>7</v>
      </c>
      <c r="C8" s="487">
        <v>5</v>
      </c>
      <c r="D8" s="488">
        <v>2020</v>
      </c>
      <c r="E8" s="489">
        <f>'UTILITY REPORT 1'!F9</f>
        <v>1434</v>
      </c>
      <c r="F8" s="490">
        <f>('UTILITY REPORT 1'!E9*'UTILITY REPORT 1'!D9)/'UTILITY REPORT 1'!F9</f>
        <v>0.44457461645746166</v>
      </c>
      <c r="G8" s="490">
        <f>IF('Utility summery'!M12&lt;0,"0",'Utility summery'!M12)</f>
        <v>32.252000000007683</v>
      </c>
      <c r="H8" s="499">
        <v>0</v>
      </c>
      <c r="I8" s="490">
        <f>IF('UTILITY REPORT 1'!G9&lt;0,"0",'UTILITY REPORT 1'!G9)</f>
        <v>41</v>
      </c>
      <c r="J8" s="499">
        <v>0</v>
      </c>
      <c r="K8" s="489">
        <f>'UTILITY REPORT 1'!C9</f>
        <v>0</v>
      </c>
      <c r="L8" s="491" t="e">
        <f>E8*F8+G8*H8+#REF!*#REF!+I8*J8</f>
        <v>#REF!</v>
      </c>
    </row>
    <row r="9" spans="1:12">
      <c r="A9" s="486" t="s">
        <v>284</v>
      </c>
      <c r="B9" s="487">
        <f t="shared" si="0"/>
        <v>8</v>
      </c>
      <c r="C9" s="487">
        <v>5</v>
      </c>
      <c r="D9" s="488">
        <v>2020</v>
      </c>
      <c r="E9" s="489">
        <f>'UTILITY REPORT 1'!F10</f>
        <v>1432</v>
      </c>
      <c r="F9" s="490">
        <f>('UTILITY REPORT 1'!E10*'UTILITY REPORT 1'!D10)/'UTILITY REPORT 1'!F10</f>
        <v>0.48381983240223458</v>
      </c>
      <c r="G9" s="490">
        <f>IF('Utility summery'!M13&lt;0,"0",'Utility summery'!M13)</f>
        <v>35.551999999943661</v>
      </c>
      <c r="H9" s="499">
        <v>0</v>
      </c>
      <c r="I9" s="490">
        <f>IF('UTILITY REPORT 1'!G10&lt;0,"0",'UTILITY REPORT 1'!G10)</f>
        <v>37</v>
      </c>
      <c r="J9" s="499">
        <v>0</v>
      </c>
      <c r="K9" s="489">
        <f>'UTILITY REPORT 1'!C10</f>
        <v>0</v>
      </c>
      <c r="L9" s="491" t="e">
        <f>E9*F9+G9*H9+#REF!*#REF!+I9*J9</f>
        <v>#REF!</v>
      </c>
    </row>
    <row r="10" spans="1:12">
      <c r="A10" s="486" t="s">
        <v>284</v>
      </c>
      <c r="B10" s="487">
        <f t="shared" si="0"/>
        <v>9</v>
      </c>
      <c r="C10" s="487">
        <v>5</v>
      </c>
      <c r="D10" s="488">
        <v>2020</v>
      </c>
      <c r="E10" s="489">
        <f>'UTILITY REPORT 1'!F11</f>
        <v>1527</v>
      </c>
      <c r="F10" s="490">
        <f>('UTILITY REPORT 1'!E11*'UTILITY REPORT 1'!D11)/'UTILITY REPORT 1'!F11</f>
        <v>0.43359528487229865</v>
      </c>
      <c r="G10" s="490">
        <f>IF('Utility summery'!M14&lt;0,"0",'Utility summery'!M14)</f>
        <v>28.908000000030736</v>
      </c>
      <c r="H10" s="499">
        <v>0</v>
      </c>
      <c r="I10" s="490">
        <f>IF('UTILITY REPORT 1'!G11&lt;0,"0",'UTILITY REPORT 1'!G11)</f>
        <v>51</v>
      </c>
      <c r="J10" s="499">
        <v>0</v>
      </c>
      <c r="K10" s="489">
        <f>'UTILITY REPORT 1'!C11</f>
        <v>0</v>
      </c>
      <c r="L10" s="491" t="e">
        <f>E10*F10+G10*H10+#REF!*#REF!+I10*J10</f>
        <v>#REF!</v>
      </c>
    </row>
    <row r="11" spans="1:12">
      <c r="A11" s="486" t="s">
        <v>284</v>
      </c>
      <c r="B11" s="487">
        <f t="shared" si="0"/>
        <v>10</v>
      </c>
      <c r="C11" s="487">
        <v>5</v>
      </c>
      <c r="D11" s="488">
        <v>2020</v>
      </c>
      <c r="E11" s="489">
        <f>'UTILITY REPORT 1'!F12</f>
        <v>1451</v>
      </c>
      <c r="F11" s="490">
        <f>('UTILITY REPORT 1'!E12*'UTILITY REPORT 1'!D12)/'UTILITY REPORT 1'!F12</f>
        <v>0.4495727084769125</v>
      </c>
      <c r="G11" s="490">
        <f>IF('Utility summery'!M15&lt;0,"0",'Utility summery'!M15)</f>
        <v>45.143999999976955</v>
      </c>
      <c r="H11" s="499">
        <v>0</v>
      </c>
      <c r="I11" s="490">
        <f>IF('UTILITY REPORT 1'!G12&lt;0,"0",'UTILITY REPORT 1'!G12)</f>
        <v>51</v>
      </c>
      <c r="J11" s="499">
        <v>0</v>
      </c>
      <c r="K11" s="489">
        <f>'UTILITY REPORT 1'!C12</f>
        <v>0</v>
      </c>
      <c r="L11" s="491" t="e">
        <f>E11*F11+G11*H11+#REF!*#REF!+I11*J11</f>
        <v>#REF!</v>
      </c>
    </row>
    <row r="12" spans="1:12">
      <c r="A12" s="486" t="s">
        <v>284</v>
      </c>
      <c r="B12" s="487">
        <f t="shared" si="0"/>
        <v>11</v>
      </c>
      <c r="C12" s="487">
        <v>5</v>
      </c>
      <c r="D12" s="488">
        <v>2020</v>
      </c>
      <c r="E12" s="489">
        <f>'UTILITY REPORT 1'!F13</f>
        <v>1449</v>
      </c>
      <c r="F12" s="490">
        <f>('UTILITY REPORT 1'!E13*'UTILITY REPORT 1'!D13)/'UTILITY REPORT 1'!F13</f>
        <v>0.46610766045548652</v>
      </c>
      <c r="G12" s="490">
        <f>IF('Utility summery'!M16&lt;0,"0",'Utility summery'!M16)</f>
        <v>38.896000000048666</v>
      </c>
      <c r="H12" s="499">
        <v>0</v>
      </c>
      <c r="I12" s="490">
        <f>IF('UTILITY REPORT 1'!G13&lt;0,"0",'UTILITY REPORT 1'!G13)</f>
        <v>56</v>
      </c>
      <c r="J12" s="499">
        <v>0</v>
      </c>
      <c r="K12" s="489">
        <f>'UTILITY REPORT 1'!C13</f>
        <v>0</v>
      </c>
      <c r="L12" s="491" t="e">
        <f>E12*F12+G12*H12+#REF!*#REF!+I12*J12</f>
        <v>#REF!</v>
      </c>
    </row>
    <row r="13" spans="1:12">
      <c r="A13" s="486" t="s">
        <v>284</v>
      </c>
      <c r="B13" s="487">
        <f t="shared" si="0"/>
        <v>12</v>
      </c>
      <c r="C13" s="487">
        <v>5</v>
      </c>
      <c r="D13" s="488">
        <v>2020</v>
      </c>
      <c r="E13" s="489">
        <f>'UTILITY REPORT 1'!F14</f>
        <v>1623</v>
      </c>
      <c r="F13" s="490">
        <f>('UTILITY REPORT 1'!E14*'UTILITY REPORT 1'!D14)/'UTILITY REPORT 1'!F14</f>
        <v>0.4430129390018484</v>
      </c>
      <c r="G13" s="490">
        <f>IF('Utility summery'!M17&lt;0,"0",'Utility summery'!M17)</f>
        <v>27.01599999999744</v>
      </c>
      <c r="H13" s="499">
        <v>0</v>
      </c>
      <c r="I13" s="490">
        <f>IF('UTILITY REPORT 1'!G14&lt;0,"0",'UTILITY REPORT 1'!G14)</f>
        <v>58</v>
      </c>
      <c r="J13" s="499">
        <v>0</v>
      </c>
      <c r="K13" s="489">
        <f>'UTILITY REPORT 1'!C14</f>
        <v>0</v>
      </c>
      <c r="L13" s="491" t="e">
        <f>E13*F13+G13*H13+#REF!*#REF!+I13*J13</f>
        <v>#REF!</v>
      </c>
    </row>
    <row r="14" spans="1:12">
      <c r="A14" s="486" t="s">
        <v>284</v>
      </c>
      <c r="B14" s="487">
        <f t="shared" si="0"/>
        <v>13</v>
      </c>
      <c r="C14" s="487">
        <v>5</v>
      </c>
      <c r="D14" s="488">
        <v>2020</v>
      </c>
      <c r="E14" s="489">
        <f>'UTILITY REPORT 1'!F15</f>
        <v>1552</v>
      </c>
      <c r="F14" s="490">
        <f>('UTILITY REPORT 1'!E15*'UTILITY REPORT 1'!D15)/'UTILITY REPORT 1'!F15</f>
        <v>0.42280283505154642</v>
      </c>
      <c r="G14" s="490">
        <f>IF('Utility summery'!M18&lt;0,"0",'Utility summery'!M18)</f>
        <v>29.21599999999744</v>
      </c>
      <c r="H14" s="499">
        <v>0</v>
      </c>
      <c r="I14" s="490">
        <f>IF('UTILITY REPORT 1'!G15&lt;0,"0",'UTILITY REPORT 1'!G15)</f>
        <v>41</v>
      </c>
      <c r="J14" s="499">
        <v>0</v>
      </c>
      <c r="K14" s="489">
        <f>'UTILITY REPORT 1'!C15</f>
        <v>0</v>
      </c>
      <c r="L14" s="491" t="e">
        <f>E14*F14+G14*H14+#REF!*#REF!+I14*J14</f>
        <v>#REF!</v>
      </c>
    </row>
    <row r="15" spans="1:12">
      <c r="A15" s="486" t="s">
        <v>284</v>
      </c>
      <c r="B15" s="487">
        <f t="shared" si="0"/>
        <v>14</v>
      </c>
      <c r="C15" s="487">
        <v>5</v>
      </c>
      <c r="D15" s="488">
        <v>2020</v>
      </c>
      <c r="E15" s="489">
        <f>'UTILITY REPORT 1'!F16</f>
        <v>1480</v>
      </c>
      <c r="F15" s="490">
        <f>('UTILITY REPORT 1'!E16*'UTILITY REPORT 1'!D16)/'UTILITY REPORT 1'!F16</f>
        <v>0.42775675675675673</v>
      </c>
      <c r="G15" s="490">
        <f>IF('Utility summery'!M19&lt;0,"0",'Utility summery'!M19)</f>
        <v>37.179999999987196</v>
      </c>
      <c r="H15" s="499">
        <v>0</v>
      </c>
      <c r="I15" s="490">
        <f>IF('UTILITY REPORT 1'!G16&lt;0,"0",'UTILITY REPORT 1'!G16)</f>
        <v>33</v>
      </c>
      <c r="J15" s="499">
        <v>0</v>
      </c>
      <c r="K15" s="489">
        <f>'UTILITY REPORT 1'!C16</f>
        <v>0</v>
      </c>
      <c r="L15" s="491" t="e">
        <f>E15*F15+G15*H15+#REF!*#REF!+I15*J15</f>
        <v>#REF!</v>
      </c>
    </row>
    <row r="16" spans="1:12">
      <c r="A16" s="486" t="s">
        <v>284</v>
      </c>
      <c r="B16" s="487">
        <f t="shared" si="0"/>
        <v>15</v>
      </c>
      <c r="C16" s="487">
        <v>5</v>
      </c>
      <c r="D16" s="488">
        <v>2020</v>
      </c>
      <c r="E16" s="489">
        <f>'UTILITY REPORT 1'!F17</f>
        <v>0</v>
      </c>
      <c r="F16" s="490" t="e">
        <f>('UTILITY REPORT 1'!E17*'UTILITY REPORT 1'!D17)/'UTILITY REPORT 1'!F17</f>
        <v>#DIV/0!</v>
      </c>
      <c r="G16" s="490" t="str">
        <f>IF('Utility summery'!M20&lt;0,"0",'Utility summery'!M20)</f>
        <v>0</v>
      </c>
      <c r="H16" s="499">
        <v>0</v>
      </c>
      <c r="I16" s="490" t="str">
        <f>IF('UTILITY REPORT 1'!G17&lt;0,"0",'UTILITY REPORT 1'!G17)</f>
        <v>0</v>
      </c>
      <c r="J16" s="499">
        <v>0</v>
      </c>
      <c r="K16" s="489">
        <f>'UTILITY REPORT 1'!C17</f>
        <v>0</v>
      </c>
      <c r="L16" s="491" t="e">
        <f>E16*F16+G16*H16+#REF!*#REF!+I16*J16</f>
        <v>#DIV/0!</v>
      </c>
    </row>
    <row r="17" spans="1:12">
      <c r="A17" s="486" t="s">
        <v>284</v>
      </c>
      <c r="B17" s="487">
        <f t="shared" si="0"/>
        <v>16</v>
      </c>
      <c r="C17" s="487">
        <v>5</v>
      </c>
      <c r="D17" s="488">
        <v>2020</v>
      </c>
      <c r="E17" s="489">
        <f>'UTILITY REPORT 1'!F18</f>
        <v>0</v>
      </c>
      <c r="F17" s="490" t="e">
        <f>('UTILITY REPORT 1'!E18*'UTILITY REPORT 1'!D18)/'UTILITY REPORT 1'!F18</f>
        <v>#DIV/0!</v>
      </c>
      <c r="G17" s="490">
        <f>IF('Utility summery'!M21&lt;0,"0",'Utility summery'!M21)</f>
        <v>0</v>
      </c>
      <c r="H17" s="499">
        <v>0</v>
      </c>
      <c r="I17" s="490">
        <f>IF('UTILITY REPORT 1'!G18&lt;0,"0",'UTILITY REPORT 1'!G18)</f>
        <v>0</v>
      </c>
      <c r="J17" s="499">
        <v>0</v>
      </c>
      <c r="K17" s="489">
        <f>'UTILITY REPORT 1'!C18</f>
        <v>0</v>
      </c>
      <c r="L17" s="491" t="e">
        <f>E17*F17+G17*H17+#REF!*#REF!+I17*J17</f>
        <v>#DIV/0!</v>
      </c>
    </row>
    <row r="18" spans="1:12">
      <c r="A18" s="486" t="s">
        <v>284</v>
      </c>
      <c r="B18" s="487">
        <f t="shared" si="0"/>
        <v>17</v>
      </c>
      <c r="C18" s="487">
        <v>5</v>
      </c>
      <c r="D18" s="488">
        <v>2020</v>
      </c>
      <c r="E18" s="489">
        <f>'UTILITY REPORT 1'!F19</f>
        <v>0</v>
      </c>
      <c r="F18" s="490" t="e">
        <f>('UTILITY REPORT 1'!E19*'UTILITY REPORT 1'!D19)/'UTILITY REPORT 1'!F19</f>
        <v>#DIV/0!</v>
      </c>
      <c r="G18" s="490">
        <f>IF('Utility summery'!M22&lt;0,"0",'Utility summery'!M22)</f>
        <v>0</v>
      </c>
      <c r="H18" s="499">
        <v>0</v>
      </c>
      <c r="I18" s="490">
        <f>IF('UTILITY REPORT 1'!G19&lt;0,"0",'UTILITY REPORT 1'!G19)</f>
        <v>0</v>
      </c>
      <c r="J18" s="499">
        <v>0</v>
      </c>
      <c r="K18" s="489">
        <f>'UTILITY REPORT 1'!C19</f>
        <v>0</v>
      </c>
      <c r="L18" s="491" t="e">
        <f>E18*F18+G18*H18+#REF!*#REF!+I18*J18</f>
        <v>#DIV/0!</v>
      </c>
    </row>
    <row r="19" spans="1:12">
      <c r="A19" s="486" t="s">
        <v>284</v>
      </c>
      <c r="B19" s="487">
        <f t="shared" si="0"/>
        <v>18</v>
      </c>
      <c r="C19" s="487">
        <v>5</v>
      </c>
      <c r="D19" s="488">
        <v>2020</v>
      </c>
      <c r="E19" s="489">
        <f>'UTILITY REPORT 1'!F20</f>
        <v>0</v>
      </c>
      <c r="F19" s="490" t="e">
        <f>('UTILITY REPORT 1'!E20*'UTILITY REPORT 1'!D20)/'UTILITY REPORT 1'!F20</f>
        <v>#DIV/0!</v>
      </c>
      <c r="G19" s="490">
        <f>IF('Utility summery'!M23&lt;0,"0",'Utility summery'!M23)</f>
        <v>0</v>
      </c>
      <c r="H19" s="499">
        <v>0</v>
      </c>
      <c r="I19" s="490">
        <f>IF('UTILITY REPORT 1'!G20&lt;0,"0",'UTILITY REPORT 1'!G20)</f>
        <v>0</v>
      </c>
      <c r="J19" s="499">
        <v>0</v>
      </c>
      <c r="K19" s="489">
        <f>'UTILITY REPORT 1'!C20</f>
        <v>0</v>
      </c>
      <c r="L19" s="491" t="e">
        <f>E19*F19+G19*H19+#REF!*#REF!+I19*J19</f>
        <v>#DIV/0!</v>
      </c>
    </row>
    <row r="20" spans="1:12">
      <c r="A20" s="486" t="s">
        <v>284</v>
      </c>
      <c r="B20" s="487">
        <f t="shared" si="0"/>
        <v>19</v>
      </c>
      <c r="C20" s="487">
        <v>5</v>
      </c>
      <c r="D20" s="488">
        <v>2020</v>
      </c>
      <c r="E20" s="489">
        <f>'UTILITY REPORT 1'!F21</f>
        <v>0</v>
      </c>
      <c r="F20" s="490" t="e">
        <f>('UTILITY REPORT 1'!E21*'UTILITY REPORT 1'!D21)/'UTILITY REPORT 1'!F21</f>
        <v>#DIV/0!</v>
      </c>
      <c r="G20" s="490">
        <f>IF('Utility summery'!M24&lt;0,"0",'Utility summery'!M24)</f>
        <v>0</v>
      </c>
      <c r="H20" s="499">
        <v>0</v>
      </c>
      <c r="I20" s="490">
        <f>IF('UTILITY REPORT 1'!G21&lt;0,"0",'UTILITY REPORT 1'!G21)</f>
        <v>0</v>
      </c>
      <c r="J20" s="499">
        <v>0</v>
      </c>
      <c r="K20" s="489">
        <f>'UTILITY REPORT 1'!C21</f>
        <v>0</v>
      </c>
      <c r="L20" s="491" t="e">
        <f>E20*F20+G20*H20+#REF!*#REF!+I20*J20</f>
        <v>#DIV/0!</v>
      </c>
    </row>
    <row r="21" spans="1:12">
      <c r="A21" s="486" t="s">
        <v>284</v>
      </c>
      <c r="B21" s="487">
        <f t="shared" si="0"/>
        <v>20</v>
      </c>
      <c r="C21" s="487">
        <v>5</v>
      </c>
      <c r="D21" s="488">
        <v>2020</v>
      </c>
      <c r="E21" s="489">
        <f>'UTILITY REPORT 1'!F22</f>
        <v>0</v>
      </c>
      <c r="F21" s="490" t="e">
        <f>('UTILITY REPORT 1'!E22*'UTILITY REPORT 1'!D22)/'UTILITY REPORT 1'!F22</f>
        <v>#DIV/0!</v>
      </c>
      <c r="G21" s="490">
        <f>IF('Utility summery'!M25&lt;0,"0",'Utility summery'!M25)</f>
        <v>0</v>
      </c>
      <c r="H21" s="499">
        <v>0</v>
      </c>
      <c r="I21" s="490">
        <f>IF('UTILITY REPORT 1'!G22&lt;0,"0",'UTILITY REPORT 1'!G22)</f>
        <v>0</v>
      </c>
      <c r="J21" s="499">
        <v>0</v>
      </c>
      <c r="K21" s="489">
        <f>'UTILITY REPORT 1'!C22</f>
        <v>0</v>
      </c>
      <c r="L21" s="491" t="e">
        <f>E21*F21+G21*H21+#REF!*#REF!+I21*J21</f>
        <v>#DIV/0!</v>
      </c>
    </row>
    <row r="22" spans="1:12">
      <c r="A22" s="486" t="s">
        <v>284</v>
      </c>
      <c r="B22" s="487">
        <f t="shared" si="0"/>
        <v>21</v>
      </c>
      <c r="C22" s="487">
        <v>5</v>
      </c>
      <c r="D22" s="488">
        <v>2020</v>
      </c>
      <c r="E22" s="489">
        <f>'UTILITY REPORT 1'!F23</f>
        <v>0</v>
      </c>
      <c r="F22" s="490" t="e">
        <f>('UTILITY REPORT 1'!E23*'UTILITY REPORT 1'!D23)/'UTILITY REPORT 1'!F23</f>
        <v>#DIV/0!</v>
      </c>
      <c r="G22" s="490">
        <f>IF('Utility summery'!M26&lt;0,"0",'Utility summery'!M26)</f>
        <v>0</v>
      </c>
      <c r="H22" s="499">
        <v>0</v>
      </c>
      <c r="I22" s="490">
        <f>IF('UTILITY REPORT 1'!G23&lt;0,"0",'UTILITY REPORT 1'!G23)</f>
        <v>0</v>
      </c>
      <c r="J22" s="499">
        <v>0</v>
      </c>
      <c r="K22" s="489">
        <f>'UTILITY REPORT 1'!C23</f>
        <v>0</v>
      </c>
      <c r="L22" s="491" t="e">
        <f>E22*F22+G22*H22+#REF!*#REF!+I22*J22</f>
        <v>#DIV/0!</v>
      </c>
    </row>
    <row r="23" spans="1:12">
      <c r="A23" s="486" t="s">
        <v>284</v>
      </c>
      <c r="B23" s="487">
        <f t="shared" si="0"/>
        <v>22</v>
      </c>
      <c r="C23" s="487">
        <v>5</v>
      </c>
      <c r="D23" s="488">
        <v>2020</v>
      </c>
      <c r="E23" s="489">
        <f>'UTILITY REPORT 1'!F24</f>
        <v>0</v>
      </c>
      <c r="F23" s="490" t="e">
        <f>('UTILITY REPORT 1'!E24*'UTILITY REPORT 1'!D24)/'UTILITY REPORT 1'!F24</f>
        <v>#DIV/0!</v>
      </c>
      <c r="G23" s="490">
        <f>IF('Utility summery'!M27&lt;0,"0",'Utility summery'!M27)</f>
        <v>0</v>
      </c>
      <c r="H23" s="499">
        <v>0</v>
      </c>
      <c r="I23" s="490">
        <f>IF('UTILITY REPORT 1'!G24&lt;0,"0",'UTILITY REPORT 1'!G24)</f>
        <v>0</v>
      </c>
      <c r="J23" s="499">
        <v>0</v>
      </c>
      <c r="K23" s="489">
        <f>'UTILITY REPORT 1'!C24</f>
        <v>0</v>
      </c>
      <c r="L23" s="491" t="e">
        <f>E23*F23+G23*H23+#REF!*#REF!+I23*J23</f>
        <v>#DIV/0!</v>
      </c>
    </row>
    <row r="24" spans="1:12">
      <c r="A24" s="486" t="s">
        <v>284</v>
      </c>
      <c r="B24" s="487">
        <f t="shared" si="0"/>
        <v>23</v>
      </c>
      <c r="C24" s="487">
        <v>5</v>
      </c>
      <c r="D24" s="488">
        <v>2020</v>
      </c>
      <c r="E24" s="489">
        <f>'UTILITY REPORT 1'!F25</f>
        <v>0</v>
      </c>
      <c r="F24" s="490" t="e">
        <f>('UTILITY REPORT 1'!E25*'UTILITY REPORT 1'!D25)/'UTILITY REPORT 1'!F25</f>
        <v>#DIV/0!</v>
      </c>
      <c r="G24" s="490">
        <f>IF('Utility summery'!M28&lt;0,"0",'Utility summery'!M28)</f>
        <v>0</v>
      </c>
      <c r="H24" s="499">
        <v>0</v>
      </c>
      <c r="I24" s="490">
        <f>IF('UTILITY REPORT 1'!G25&lt;0,"0",'UTILITY REPORT 1'!G25)</f>
        <v>0</v>
      </c>
      <c r="J24" s="499">
        <v>0</v>
      </c>
      <c r="K24" s="489">
        <f>'UTILITY REPORT 1'!C25</f>
        <v>0</v>
      </c>
      <c r="L24" s="491" t="e">
        <f>E24*F24+G24*H24+#REF!*#REF!+I24*J24</f>
        <v>#DIV/0!</v>
      </c>
    </row>
    <row r="25" spans="1:12">
      <c r="A25" s="486" t="s">
        <v>284</v>
      </c>
      <c r="B25" s="487">
        <f t="shared" si="0"/>
        <v>24</v>
      </c>
      <c r="C25" s="487">
        <v>5</v>
      </c>
      <c r="D25" s="488">
        <v>2020</v>
      </c>
      <c r="E25" s="489">
        <f>'UTILITY REPORT 1'!F26</f>
        <v>0</v>
      </c>
      <c r="F25" s="490" t="e">
        <f>('UTILITY REPORT 1'!E26*'UTILITY REPORT 1'!D26)/'UTILITY REPORT 1'!F26</f>
        <v>#DIV/0!</v>
      </c>
      <c r="G25" s="490">
        <f>IF('Utility summery'!M29&lt;0,"0",'Utility summery'!M29)</f>
        <v>0</v>
      </c>
      <c r="H25" s="499">
        <v>0</v>
      </c>
      <c r="I25" s="490">
        <f>IF('UTILITY REPORT 1'!G26&lt;0,"0",'UTILITY REPORT 1'!G26)</f>
        <v>0</v>
      </c>
      <c r="J25" s="499">
        <v>0</v>
      </c>
      <c r="K25" s="489">
        <f>'UTILITY REPORT 1'!C26</f>
        <v>0</v>
      </c>
      <c r="L25" s="491" t="e">
        <f>E25*F25+G25*H25+#REF!*#REF!+I25*J25</f>
        <v>#DIV/0!</v>
      </c>
    </row>
    <row r="26" spans="1:12">
      <c r="A26" s="486" t="s">
        <v>284</v>
      </c>
      <c r="B26" s="487">
        <f>B25+1</f>
        <v>25</v>
      </c>
      <c r="C26" s="487">
        <v>5</v>
      </c>
      <c r="D26" s="488">
        <v>2020</v>
      </c>
      <c r="E26" s="489">
        <f>'UTILITY REPORT 1'!F27</f>
        <v>0</v>
      </c>
      <c r="F26" s="490" t="e">
        <f>('UTILITY REPORT 1'!E27*'UTILITY REPORT 1'!D27)/'UTILITY REPORT 1'!F27</f>
        <v>#DIV/0!</v>
      </c>
      <c r="G26" s="490">
        <f>IF('Utility summery'!M30&lt;0,"0",'Utility summery'!M30)</f>
        <v>0</v>
      </c>
      <c r="H26" s="499">
        <v>0</v>
      </c>
      <c r="I26" s="490">
        <f>IF('UTILITY REPORT 1'!G27&lt;0,"0",'UTILITY REPORT 1'!G27)</f>
        <v>0</v>
      </c>
      <c r="J26" s="499">
        <v>0</v>
      </c>
      <c r="K26" s="489">
        <f>'UTILITY REPORT 1'!C27</f>
        <v>0</v>
      </c>
      <c r="L26" s="491" t="e">
        <f>E26*F26+G26*H26+#REF!*#REF!+I26*J26</f>
        <v>#DIV/0!</v>
      </c>
    </row>
    <row r="27" spans="1:12">
      <c r="A27" s="486" t="s">
        <v>284</v>
      </c>
      <c r="B27" s="487">
        <f t="shared" si="0"/>
        <v>26</v>
      </c>
      <c r="C27" s="487">
        <v>5</v>
      </c>
      <c r="D27" s="488">
        <v>2020</v>
      </c>
      <c r="E27" s="489">
        <f>'UTILITY REPORT 1'!F28</f>
        <v>0</v>
      </c>
      <c r="F27" s="490" t="e">
        <f>('UTILITY REPORT 1'!E28*'UTILITY REPORT 1'!D28)/'UTILITY REPORT 1'!F28</f>
        <v>#DIV/0!</v>
      </c>
      <c r="G27" s="490">
        <f>IF('Utility summery'!M31&lt;0,"0",'Utility summery'!M31)</f>
        <v>0</v>
      </c>
      <c r="H27" s="499">
        <v>0</v>
      </c>
      <c r="I27" s="490">
        <f>IF('UTILITY REPORT 1'!G28&lt;0,"0",'UTILITY REPORT 1'!G28)</f>
        <v>0</v>
      </c>
      <c r="J27" s="499">
        <v>0</v>
      </c>
      <c r="K27" s="489">
        <f>'UTILITY REPORT 1'!C28</f>
        <v>0</v>
      </c>
      <c r="L27" s="491" t="e">
        <f>E27*F27+G27*H27+#REF!*#REF!+I27*J27</f>
        <v>#DIV/0!</v>
      </c>
    </row>
    <row r="28" spans="1:12">
      <c r="A28" s="486" t="s">
        <v>284</v>
      </c>
      <c r="B28" s="487">
        <f t="shared" si="0"/>
        <v>27</v>
      </c>
      <c r="C28" s="487">
        <v>5</v>
      </c>
      <c r="D28" s="488">
        <v>2020</v>
      </c>
      <c r="E28" s="489">
        <f>'UTILITY REPORT 1'!F29</f>
        <v>0</v>
      </c>
      <c r="F28" s="490" t="e">
        <f>('UTILITY REPORT 1'!E29*'UTILITY REPORT 1'!D29)/'UTILITY REPORT 1'!F29</f>
        <v>#DIV/0!</v>
      </c>
      <c r="G28" s="490">
        <f>IF('Utility summery'!M32&lt;0,"0",'Utility summery'!M32)</f>
        <v>0</v>
      </c>
      <c r="H28" s="499">
        <v>0</v>
      </c>
      <c r="I28" s="490">
        <f>IF('UTILITY REPORT 1'!G29&lt;0,"0",'UTILITY REPORT 1'!G29)</f>
        <v>0</v>
      </c>
      <c r="J28" s="499">
        <v>0</v>
      </c>
      <c r="K28" s="489">
        <f>'UTILITY REPORT 1'!C29</f>
        <v>0</v>
      </c>
      <c r="L28" s="491" t="e">
        <f>E28*F28+G28*H28+#REF!*#REF!+I28*J28</f>
        <v>#DIV/0!</v>
      </c>
    </row>
    <row r="29" spans="1:12">
      <c r="A29" s="486" t="s">
        <v>284</v>
      </c>
      <c r="B29" s="487">
        <f t="shared" si="0"/>
        <v>28</v>
      </c>
      <c r="C29" s="487">
        <v>5</v>
      </c>
      <c r="D29" s="488">
        <v>2020</v>
      </c>
      <c r="E29" s="489">
        <f>'UTILITY REPORT 1'!F30</f>
        <v>0</v>
      </c>
      <c r="F29" s="490" t="e">
        <f>('UTILITY REPORT 1'!E30*'UTILITY REPORT 1'!D30)/'UTILITY REPORT 1'!F30</f>
        <v>#DIV/0!</v>
      </c>
      <c r="G29" s="490">
        <f>IF('Utility summery'!M33&lt;0,"0",'Utility summery'!M33)</f>
        <v>0</v>
      </c>
      <c r="H29" s="499">
        <v>0</v>
      </c>
      <c r="I29" s="490">
        <f>IF('UTILITY REPORT 1'!G30&lt;0,"0",'UTILITY REPORT 1'!G30)</f>
        <v>0</v>
      </c>
      <c r="J29" s="499">
        <v>0</v>
      </c>
      <c r="K29" s="489">
        <f>'UTILITY REPORT 1'!C30</f>
        <v>0</v>
      </c>
      <c r="L29" s="491" t="e">
        <f>E29*F29+G29*H29+#REF!*#REF!+I29*J29</f>
        <v>#DIV/0!</v>
      </c>
    </row>
    <row r="30" spans="1:12">
      <c r="A30" s="486" t="s">
        <v>284</v>
      </c>
      <c r="B30" s="487">
        <f t="shared" si="0"/>
        <v>29</v>
      </c>
      <c r="C30" s="487">
        <v>5</v>
      </c>
      <c r="D30" s="488">
        <v>2020</v>
      </c>
      <c r="E30" s="489">
        <f>'UTILITY REPORT 1'!F31</f>
        <v>0</v>
      </c>
      <c r="F30" s="490" t="e">
        <f>('UTILITY REPORT 1'!E31*'UTILITY REPORT 1'!D31)/'UTILITY REPORT 1'!F31</f>
        <v>#DIV/0!</v>
      </c>
      <c r="G30" s="490">
        <f>IF('Utility summery'!M34&lt;0,"0",'Utility summery'!M34)</f>
        <v>0</v>
      </c>
      <c r="H30" s="499">
        <v>0</v>
      </c>
      <c r="I30" s="490">
        <f>IF('UTILITY REPORT 1'!G31&lt;0,"0",'UTILITY REPORT 1'!G31)</f>
        <v>0</v>
      </c>
      <c r="J30" s="499">
        <v>0</v>
      </c>
      <c r="K30" s="489">
        <f>'UTILITY REPORT 1'!C31</f>
        <v>0</v>
      </c>
      <c r="L30" s="491" t="e">
        <f>E30*F30+G30*H30+#REF!*#REF!+I30*J30</f>
        <v>#DIV/0!</v>
      </c>
    </row>
    <row r="31" spans="1:12">
      <c r="A31" s="486" t="s">
        <v>284</v>
      </c>
      <c r="B31" s="487">
        <v>30</v>
      </c>
      <c r="C31" s="487">
        <v>5</v>
      </c>
      <c r="D31" s="488">
        <v>2020</v>
      </c>
      <c r="E31" s="489">
        <f>'UTILITY REPORT 1'!F32</f>
        <v>0</v>
      </c>
      <c r="F31" s="490" t="e">
        <f>('UTILITY REPORT 1'!E32*'UTILITY REPORT 1'!D32)/'UTILITY REPORT 1'!F32</f>
        <v>#DIV/0!</v>
      </c>
      <c r="G31" s="490">
        <f>IF('Utility summery'!M35&lt;0,"0",'Utility summery'!M35)</f>
        <v>0</v>
      </c>
      <c r="H31" s="499">
        <v>0</v>
      </c>
      <c r="I31" s="490">
        <f>IF('UTILITY REPORT 1'!G32&lt;0,"0",'UTILITY REPORT 1'!G32)</f>
        <v>0</v>
      </c>
      <c r="J31" s="499">
        <v>0</v>
      </c>
      <c r="K31" s="489">
        <f>'UTILITY REPORT 1'!C32</f>
        <v>0</v>
      </c>
      <c r="L31" s="491" t="e">
        <f>E31*F31+G31*H31+#REF!*#REF!+I31*J31</f>
        <v>#DIV/0!</v>
      </c>
    </row>
    <row r="32" spans="1:12">
      <c r="A32" s="486" t="s">
        <v>284</v>
      </c>
      <c r="B32" s="487">
        <v>31</v>
      </c>
      <c r="C32" s="487">
        <v>5</v>
      </c>
      <c r="D32" s="488">
        <v>2020</v>
      </c>
      <c r="E32" s="489">
        <f>'UTILITY REPORT 1'!F33</f>
        <v>0</v>
      </c>
      <c r="F32" s="490" t="e">
        <f>('UTILITY REPORT 1'!E33*'UTILITY REPORT 1'!D33)/'UTILITY REPORT 1'!F33</f>
        <v>#DIV/0!</v>
      </c>
      <c r="G32" s="490">
        <f>IF('Utility summery'!M36&lt;0,"0",'Utility summery'!M36)</f>
        <v>0</v>
      </c>
      <c r="H32" s="499">
        <v>0</v>
      </c>
      <c r="I32" s="490">
        <f>IF('UTILITY REPORT 1'!G33&lt;0,"0",'UTILITY REPORT 1'!G33)</f>
        <v>0</v>
      </c>
      <c r="J32" s="499">
        <v>0</v>
      </c>
      <c r="K32" s="489">
        <f>'UTILITY REPORT 1'!C33</f>
        <v>0</v>
      </c>
    </row>
    <row r="33" spans="6:10">
      <c r="F33" s="490"/>
      <c r="G33" s="490"/>
      <c r="H33" s="499"/>
      <c r="I33" s="490" t="s">
        <v>254</v>
      </c>
      <c r="J33" s="499"/>
    </row>
    <row r="34" spans="6:10">
      <c r="F34" s="490"/>
      <c r="G34" s="490"/>
      <c r="H34" s="499"/>
      <c r="I34" s="490"/>
      <c r="J34" s="499"/>
    </row>
    <row r="35" spans="6:10">
      <c r="F35" s="490"/>
      <c r="G35" s="490"/>
      <c r="H35" s="499"/>
      <c r="I35" s="490"/>
      <c r="J35" s="499"/>
    </row>
    <row r="36" spans="6:10">
      <c r="F36" s="490"/>
      <c r="G36" s="490"/>
      <c r="H36" s="499"/>
      <c r="I36" s="490"/>
      <c r="J36" s="499"/>
    </row>
    <row r="37" spans="6:10">
      <c r="F37" s="490"/>
      <c r="G37" s="490"/>
      <c r="H37" s="499"/>
      <c r="I37" s="490"/>
      <c r="J37" s="499"/>
    </row>
    <row r="38" spans="6:10">
      <c r="F38" s="490"/>
      <c r="G38" s="490"/>
      <c r="H38" s="499"/>
      <c r="I38" s="490"/>
      <c r="J38" s="499"/>
    </row>
    <row r="39" spans="6:10">
      <c r="F39" s="490"/>
      <c r="G39" s="490"/>
      <c r="H39" s="499"/>
      <c r="I39" s="490"/>
      <c r="J39" s="499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FFC000"/>
  </sheetPr>
  <dimension ref="A1:X38"/>
  <sheetViews>
    <sheetView workbookViewId="0">
      <selection activeCell="D10" sqref="D10"/>
    </sheetView>
  </sheetViews>
  <sheetFormatPr defaultColWidth="11.5703125" defaultRowHeight="12.75"/>
  <cols>
    <col min="1" max="1" width="12.42578125" style="12" customWidth="1"/>
    <col min="2" max="3" width="11.5703125" style="487"/>
    <col min="4" max="4" width="13.42578125" style="488" customWidth="1"/>
    <col min="5" max="6" width="12.5703125" style="12" customWidth="1"/>
    <col min="7" max="7" width="12.5703125" style="489" customWidth="1"/>
    <col min="8" max="10" width="11.5703125" style="12"/>
    <col min="11" max="11" width="12.5703125" style="489" customWidth="1"/>
    <col min="12" max="12" width="11.5703125" style="12"/>
    <col min="13" max="14" width="11.5703125" style="489"/>
    <col min="15" max="15" width="0" style="12" hidden="1" customWidth="1"/>
    <col min="16" max="16" width="13.42578125" style="12" customWidth="1"/>
    <col min="17" max="22" width="11.5703125" style="12"/>
    <col min="259" max="259" width="12.42578125" customWidth="1"/>
    <col min="262" max="262" width="13.42578125" customWidth="1"/>
    <col min="263" max="264" width="12.5703125" customWidth="1"/>
    <col min="271" max="271" width="0" hidden="1" customWidth="1"/>
    <col min="515" max="515" width="12.42578125" customWidth="1"/>
    <col min="518" max="518" width="13.42578125" customWidth="1"/>
    <col min="519" max="520" width="12.5703125" customWidth="1"/>
    <col min="527" max="527" width="0" hidden="1" customWidth="1"/>
    <col min="771" max="771" width="12.42578125" customWidth="1"/>
    <col min="774" max="774" width="13.42578125" customWidth="1"/>
    <col min="775" max="776" width="12.5703125" customWidth="1"/>
    <col min="783" max="783" width="0" hidden="1" customWidth="1"/>
    <col min="1027" max="1027" width="12.42578125" customWidth="1"/>
    <col min="1030" max="1030" width="13.42578125" customWidth="1"/>
    <col min="1031" max="1032" width="12.5703125" customWidth="1"/>
    <col min="1039" max="1039" width="0" hidden="1" customWidth="1"/>
    <col min="1283" max="1283" width="12.42578125" customWidth="1"/>
    <col min="1286" max="1286" width="13.42578125" customWidth="1"/>
    <col min="1287" max="1288" width="12.5703125" customWidth="1"/>
    <col min="1295" max="1295" width="0" hidden="1" customWidth="1"/>
    <col min="1539" max="1539" width="12.42578125" customWidth="1"/>
    <col min="1542" max="1542" width="13.42578125" customWidth="1"/>
    <col min="1543" max="1544" width="12.5703125" customWidth="1"/>
    <col min="1551" max="1551" width="0" hidden="1" customWidth="1"/>
    <col min="1795" max="1795" width="12.42578125" customWidth="1"/>
    <col min="1798" max="1798" width="13.42578125" customWidth="1"/>
    <col min="1799" max="1800" width="12.5703125" customWidth="1"/>
    <col min="1807" max="1807" width="0" hidden="1" customWidth="1"/>
    <col min="2051" max="2051" width="12.42578125" customWidth="1"/>
    <col min="2054" max="2054" width="13.42578125" customWidth="1"/>
    <col min="2055" max="2056" width="12.5703125" customWidth="1"/>
    <col min="2063" max="2063" width="0" hidden="1" customWidth="1"/>
    <col min="2307" max="2307" width="12.42578125" customWidth="1"/>
    <col min="2310" max="2310" width="13.42578125" customWidth="1"/>
    <col min="2311" max="2312" width="12.5703125" customWidth="1"/>
    <col min="2319" max="2319" width="0" hidden="1" customWidth="1"/>
    <col min="2563" max="2563" width="12.42578125" customWidth="1"/>
    <col min="2566" max="2566" width="13.42578125" customWidth="1"/>
    <col min="2567" max="2568" width="12.5703125" customWidth="1"/>
    <col min="2575" max="2575" width="0" hidden="1" customWidth="1"/>
    <col min="2819" max="2819" width="12.42578125" customWidth="1"/>
    <col min="2822" max="2822" width="13.42578125" customWidth="1"/>
    <col min="2823" max="2824" width="12.5703125" customWidth="1"/>
    <col min="2831" max="2831" width="0" hidden="1" customWidth="1"/>
    <col min="3075" max="3075" width="12.42578125" customWidth="1"/>
    <col min="3078" max="3078" width="13.42578125" customWidth="1"/>
    <col min="3079" max="3080" width="12.5703125" customWidth="1"/>
    <col min="3087" max="3087" width="0" hidden="1" customWidth="1"/>
    <col min="3331" max="3331" width="12.42578125" customWidth="1"/>
    <col min="3334" max="3334" width="13.42578125" customWidth="1"/>
    <col min="3335" max="3336" width="12.5703125" customWidth="1"/>
    <col min="3343" max="3343" width="0" hidden="1" customWidth="1"/>
    <col min="3587" max="3587" width="12.42578125" customWidth="1"/>
    <col min="3590" max="3590" width="13.42578125" customWidth="1"/>
    <col min="3591" max="3592" width="12.5703125" customWidth="1"/>
    <col min="3599" max="3599" width="0" hidden="1" customWidth="1"/>
    <col min="3843" max="3843" width="12.42578125" customWidth="1"/>
    <col min="3846" max="3846" width="13.42578125" customWidth="1"/>
    <col min="3847" max="3848" width="12.5703125" customWidth="1"/>
    <col min="3855" max="3855" width="0" hidden="1" customWidth="1"/>
    <col min="4099" max="4099" width="12.42578125" customWidth="1"/>
    <col min="4102" max="4102" width="13.42578125" customWidth="1"/>
    <col min="4103" max="4104" width="12.5703125" customWidth="1"/>
    <col min="4111" max="4111" width="0" hidden="1" customWidth="1"/>
    <col min="4355" max="4355" width="12.42578125" customWidth="1"/>
    <col min="4358" max="4358" width="13.42578125" customWidth="1"/>
    <col min="4359" max="4360" width="12.5703125" customWidth="1"/>
    <col min="4367" max="4367" width="0" hidden="1" customWidth="1"/>
    <col min="4611" max="4611" width="12.42578125" customWidth="1"/>
    <col min="4614" max="4614" width="13.42578125" customWidth="1"/>
    <col min="4615" max="4616" width="12.5703125" customWidth="1"/>
    <col min="4623" max="4623" width="0" hidden="1" customWidth="1"/>
    <col min="4867" max="4867" width="12.42578125" customWidth="1"/>
    <col min="4870" max="4870" width="13.42578125" customWidth="1"/>
    <col min="4871" max="4872" width="12.5703125" customWidth="1"/>
    <col min="4879" max="4879" width="0" hidden="1" customWidth="1"/>
    <col min="5123" max="5123" width="12.42578125" customWidth="1"/>
    <col min="5126" max="5126" width="13.42578125" customWidth="1"/>
    <col min="5127" max="5128" width="12.5703125" customWidth="1"/>
    <col min="5135" max="5135" width="0" hidden="1" customWidth="1"/>
    <col min="5379" max="5379" width="12.42578125" customWidth="1"/>
    <col min="5382" max="5382" width="13.42578125" customWidth="1"/>
    <col min="5383" max="5384" width="12.5703125" customWidth="1"/>
    <col min="5391" max="5391" width="0" hidden="1" customWidth="1"/>
    <col min="5635" max="5635" width="12.42578125" customWidth="1"/>
    <col min="5638" max="5638" width="13.42578125" customWidth="1"/>
    <col min="5639" max="5640" width="12.5703125" customWidth="1"/>
    <col min="5647" max="5647" width="0" hidden="1" customWidth="1"/>
    <col min="5891" max="5891" width="12.42578125" customWidth="1"/>
    <col min="5894" max="5894" width="13.42578125" customWidth="1"/>
    <col min="5895" max="5896" width="12.5703125" customWidth="1"/>
    <col min="5903" max="5903" width="0" hidden="1" customWidth="1"/>
    <col min="6147" max="6147" width="12.42578125" customWidth="1"/>
    <col min="6150" max="6150" width="13.42578125" customWidth="1"/>
    <col min="6151" max="6152" width="12.5703125" customWidth="1"/>
    <col min="6159" max="6159" width="0" hidden="1" customWidth="1"/>
    <col min="6403" max="6403" width="12.42578125" customWidth="1"/>
    <col min="6406" max="6406" width="13.42578125" customWidth="1"/>
    <col min="6407" max="6408" width="12.5703125" customWidth="1"/>
    <col min="6415" max="6415" width="0" hidden="1" customWidth="1"/>
    <col min="6659" max="6659" width="12.42578125" customWidth="1"/>
    <col min="6662" max="6662" width="13.42578125" customWidth="1"/>
    <col min="6663" max="6664" width="12.5703125" customWidth="1"/>
    <col min="6671" max="6671" width="0" hidden="1" customWidth="1"/>
    <col min="6915" max="6915" width="12.42578125" customWidth="1"/>
    <col min="6918" max="6918" width="13.42578125" customWidth="1"/>
    <col min="6919" max="6920" width="12.5703125" customWidth="1"/>
    <col min="6927" max="6927" width="0" hidden="1" customWidth="1"/>
    <col min="7171" max="7171" width="12.42578125" customWidth="1"/>
    <col min="7174" max="7174" width="13.42578125" customWidth="1"/>
    <col min="7175" max="7176" width="12.5703125" customWidth="1"/>
    <col min="7183" max="7183" width="0" hidden="1" customWidth="1"/>
    <col min="7427" max="7427" width="12.42578125" customWidth="1"/>
    <col min="7430" max="7430" width="13.42578125" customWidth="1"/>
    <col min="7431" max="7432" width="12.5703125" customWidth="1"/>
    <col min="7439" max="7439" width="0" hidden="1" customWidth="1"/>
    <col min="7683" max="7683" width="12.42578125" customWidth="1"/>
    <col min="7686" max="7686" width="13.42578125" customWidth="1"/>
    <col min="7687" max="7688" width="12.5703125" customWidth="1"/>
    <col min="7695" max="7695" width="0" hidden="1" customWidth="1"/>
    <col min="7939" max="7939" width="12.42578125" customWidth="1"/>
    <col min="7942" max="7942" width="13.42578125" customWidth="1"/>
    <col min="7943" max="7944" width="12.5703125" customWidth="1"/>
    <col min="7951" max="7951" width="0" hidden="1" customWidth="1"/>
    <col min="8195" max="8195" width="12.42578125" customWidth="1"/>
    <col min="8198" max="8198" width="13.42578125" customWidth="1"/>
    <col min="8199" max="8200" width="12.5703125" customWidth="1"/>
    <col min="8207" max="8207" width="0" hidden="1" customWidth="1"/>
    <col min="8451" max="8451" width="12.42578125" customWidth="1"/>
    <col min="8454" max="8454" width="13.42578125" customWidth="1"/>
    <col min="8455" max="8456" width="12.5703125" customWidth="1"/>
    <col min="8463" max="8463" width="0" hidden="1" customWidth="1"/>
    <col min="8707" max="8707" width="12.42578125" customWidth="1"/>
    <col min="8710" max="8710" width="13.42578125" customWidth="1"/>
    <col min="8711" max="8712" width="12.5703125" customWidth="1"/>
    <col min="8719" max="8719" width="0" hidden="1" customWidth="1"/>
    <col min="8963" max="8963" width="12.42578125" customWidth="1"/>
    <col min="8966" max="8966" width="13.42578125" customWidth="1"/>
    <col min="8967" max="8968" width="12.5703125" customWidth="1"/>
    <col min="8975" max="8975" width="0" hidden="1" customWidth="1"/>
    <col min="9219" max="9219" width="12.42578125" customWidth="1"/>
    <col min="9222" max="9222" width="13.42578125" customWidth="1"/>
    <col min="9223" max="9224" width="12.5703125" customWidth="1"/>
    <col min="9231" max="9231" width="0" hidden="1" customWidth="1"/>
    <col min="9475" max="9475" width="12.42578125" customWidth="1"/>
    <col min="9478" max="9478" width="13.42578125" customWidth="1"/>
    <col min="9479" max="9480" width="12.5703125" customWidth="1"/>
    <col min="9487" max="9487" width="0" hidden="1" customWidth="1"/>
    <col min="9731" max="9731" width="12.42578125" customWidth="1"/>
    <col min="9734" max="9734" width="13.42578125" customWidth="1"/>
    <col min="9735" max="9736" width="12.5703125" customWidth="1"/>
    <col min="9743" max="9743" width="0" hidden="1" customWidth="1"/>
    <col min="9987" max="9987" width="12.42578125" customWidth="1"/>
    <col min="9990" max="9990" width="13.42578125" customWidth="1"/>
    <col min="9991" max="9992" width="12.5703125" customWidth="1"/>
    <col min="9999" max="9999" width="0" hidden="1" customWidth="1"/>
    <col min="10243" max="10243" width="12.42578125" customWidth="1"/>
    <col min="10246" max="10246" width="13.42578125" customWidth="1"/>
    <col min="10247" max="10248" width="12.5703125" customWidth="1"/>
    <col min="10255" max="10255" width="0" hidden="1" customWidth="1"/>
    <col min="10499" max="10499" width="12.42578125" customWidth="1"/>
    <col min="10502" max="10502" width="13.42578125" customWidth="1"/>
    <col min="10503" max="10504" width="12.5703125" customWidth="1"/>
    <col min="10511" max="10511" width="0" hidden="1" customWidth="1"/>
    <col min="10755" max="10755" width="12.42578125" customWidth="1"/>
    <col min="10758" max="10758" width="13.42578125" customWidth="1"/>
    <col min="10759" max="10760" width="12.5703125" customWidth="1"/>
    <col min="10767" max="10767" width="0" hidden="1" customWidth="1"/>
    <col min="11011" max="11011" width="12.42578125" customWidth="1"/>
    <col min="11014" max="11014" width="13.42578125" customWidth="1"/>
    <col min="11015" max="11016" width="12.5703125" customWidth="1"/>
    <col min="11023" max="11023" width="0" hidden="1" customWidth="1"/>
    <col min="11267" max="11267" width="12.42578125" customWidth="1"/>
    <col min="11270" max="11270" width="13.42578125" customWidth="1"/>
    <col min="11271" max="11272" width="12.5703125" customWidth="1"/>
    <col min="11279" max="11279" width="0" hidden="1" customWidth="1"/>
    <col min="11523" max="11523" width="12.42578125" customWidth="1"/>
    <col min="11526" max="11526" width="13.42578125" customWidth="1"/>
    <col min="11527" max="11528" width="12.5703125" customWidth="1"/>
    <col min="11535" max="11535" width="0" hidden="1" customWidth="1"/>
    <col min="11779" max="11779" width="12.42578125" customWidth="1"/>
    <col min="11782" max="11782" width="13.42578125" customWidth="1"/>
    <col min="11783" max="11784" width="12.5703125" customWidth="1"/>
    <col min="11791" max="11791" width="0" hidden="1" customWidth="1"/>
    <col min="12035" max="12035" width="12.42578125" customWidth="1"/>
    <col min="12038" max="12038" width="13.42578125" customWidth="1"/>
    <col min="12039" max="12040" width="12.5703125" customWidth="1"/>
    <col min="12047" max="12047" width="0" hidden="1" customWidth="1"/>
    <col min="12291" max="12291" width="12.42578125" customWidth="1"/>
    <col min="12294" max="12294" width="13.42578125" customWidth="1"/>
    <col min="12295" max="12296" width="12.5703125" customWidth="1"/>
    <col min="12303" max="12303" width="0" hidden="1" customWidth="1"/>
    <col min="12547" max="12547" width="12.42578125" customWidth="1"/>
    <col min="12550" max="12550" width="13.42578125" customWidth="1"/>
    <col min="12551" max="12552" width="12.5703125" customWidth="1"/>
    <col min="12559" max="12559" width="0" hidden="1" customWidth="1"/>
    <col min="12803" max="12803" width="12.42578125" customWidth="1"/>
    <col min="12806" max="12806" width="13.42578125" customWidth="1"/>
    <col min="12807" max="12808" width="12.5703125" customWidth="1"/>
    <col min="12815" max="12815" width="0" hidden="1" customWidth="1"/>
    <col min="13059" max="13059" width="12.42578125" customWidth="1"/>
    <col min="13062" max="13062" width="13.42578125" customWidth="1"/>
    <col min="13063" max="13064" width="12.5703125" customWidth="1"/>
    <col min="13071" max="13071" width="0" hidden="1" customWidth="1"/>
    <col min="13315" max="13315" width="12.42578125" customWidth="1"/>
    <col min="13318" max="13318" width="13.42578125" customWidth="1"/>
    <col min="13319" max="13320" width="12.5703125" customWidth="1"/>
    <col min="13327" max="13327" width="0" hidden="1" customWidth="1"/>
    <col min="13571" max="13571" width="12.42578125" customWidth="1"/>
    <col min="13574" max="13574" width="13.42578125" customWidth="1"/>
    <col min="13575" max="13576" width="12.5703125" customWidth="1"/>
    <col min="13583" max="13583" width="0" hidden="1" customWidth="1"/>
    <col min="13827" max="13827" width="12.42578125" customWidth="1"/>
    <col min="13830" max="13830" width="13.42578125" customWidth="1"/>
    <col min="13831" max="13832" width="12.5703125" customWidth="1"/>
    <col min="13839" max="13839" width="0" hidden="1" customWidth="1"/>
    <col min="14083" max="14083" width="12.42578125" customWidth="1"/>
    <col min="14086" max="14086" width="13.42578125" customWidth="1"/>
    <col min="14087" max="14088" width="12.5703125" customWidth="1"/>
    <col min="14095" max="14095" width="0" hidden="1" customWidth="1"/>
    <col min="14339" max="14339" width="12.42578125" customWidth="1"/>
    <col min="14342" max="14342" width="13.42578125" customWidth="1"/>
    <col min="14343" max="14344" width="12.5703125" customWidth="1"/>
    <col min="14351" max="14351" width="0" hidden="1" customWidth="1"/>
    <col min="14595" max="14595" width="12.42578125" customWidth="1"/>
    <col min="14598" max="14598" width="13.42578125" customWidth="1"/>
    <col min="14599" max="14600" width="12.5703125" customWidth="1"/>
    <col min="14607" max="14607" width="0" hidden="1" customWidth="1"/>
    <col min="14851" max="14851" width="12.42578125" customWidth="1"/>
    <col min="14854" max="14854" width="13.42578125" customWidth="1"/>
    <col min="14855" max="14856" width="12.5703125" customWidth="1"/>
    <col min="14863" max="14863" width="0" hidden="1" customWidth="1"/>
    <col min="15107" max="15107" width="12.42578125" customWidth="1"/>
    <col min="15110" max="15110" width="13.42578125" customWidth="1"/>
    <col min="15111" max="15112" width="12.5703125" customWidth="1"/>
    <col min="15119" max="15119" width="0" hidden="1" customWidth="1"/>
    <col min="15363" max="15363" width="12.42578125" customWidth="1"/>
    <col min="15366" max="15366" width="13.42578125" customWidth="1"/>
    <col min="15367" max="15368" width="12.5703125" customWidth="1"/>
    <col min="15375" max="15375" width="0" hidden="1" customWidth="1"/>
    <col min="15619" max="15619" width="12.42578125" customWidth="1"/>
    <col min="15622" max="15622" width="13.42578125" customWidth="1"/>
    <col min="15623" max="15624" width="12.5703125" customWidth="1"/>
    <col min="15631" max="15631" width="0" hidden="1" customWidth="1"/>
    <col min="15875" max="15875" width="12.42578125" customWidth="1"/>
    <col min="15878" max="15878" width="13.42578125" customWidth="1"/>
    <col min="15879" max="15880" width="12.5703125" customWidth="1"/>
    <col min="15887" max="15887" width="0" hidden="1" customWidth="1"/>
    <col min="16131" max="16131" width="12.42578125" customWidth="1"/>
    <col min="16134" max="16134" width="13.42578125" customWidth="1"/>
    <col min="16135" max="16136" width="12.5703125" customWidth="1"/>
    <col min="16143" max="16143" width="0" hidden="1" customWidth="1"/>
  </cols>
  <sheetData>
    <row r="1" spans="1:24" s="485" customFormat="1" ht="60.75" thickBot="1">
      <c r="A1" s="557" t="s">
        <v>272</v>
      </c>
      <c r="B1" s="558" t="s">
        <v>273</v>
      </c>
      <c r="C1" s="558" t="s">
        <v>274</v>
      </c>
      <c r="D1" s="559" t="s">
        <v>275</v>
      </c>
      <c r="E1" s="560" t="s">
        <v>288</v>
      </c>
      <c r="F1" s="560" t="s">
        <v>287</v>
      </c>
      <c r="G1" s="561" t="s">
        <v>276</v>
      </c>
      <c r="H1" s="560" t="s">
        <v>285</v>
      </c>
      <c r="I1" s="560" t="s">
        <v>286</v>
      </c>
      <c r="J1" s="560" t="s">
        <v>289</v>
      </c>
      <c r="K1" s="561" t="s">
        <v>267</v>
      </c>
      <c r="L1" s="560" t="s">
        <v>290</v>
      </c>
      <c r="M1" s="561" t="s">
        <v>291</v>
      </c>
      <c r="N1" s="561" t="s">
        <v>292</v>
      </c>
      <c r="O1" s="561" t="s">
        <v>292</v>
      </c>
      <c r="P1" s="561" t="s">
        <v>306</v>
      </c>
      <c r="Q1" s="561" t="s">
        <v>293</v>
      </c>
      <c r="R1" s="561" t="s">
        <v>294</v>
      </c>
      <c r="S1" s="561" t="s">
        <v>295</v>
      </c>
      <c r="T1" s="561" t="s">
        <v>296</v>
      </c>
      <c r="U1" s="561" t="s">
        <v>297</v>
      </c>
      <c r="V1" s="561" t="s">
        <v>298</v>
      </c>
      <c r="W1" s="564" t="s">
        <v>307</v>
      </c>
      <c r="X1" s="565" t="s">
        <v>282</v>
      </c>
    </row>
    <row r="2" spans="1:24">
      <c r="A2" s="552" t="s">
        <v>284</v>
      </c>
      <c r="B2" s="553">
        <v>1</v>
      </c>
      <c r="C2" s="553">
        <v>5</v>
      </c>
      <c r="D2" s="554">
        <v>2020</v>
      </c>
      <c r="E2" s="555">
        <f>'UTILITY REPORT 1'!I3</f>
        <v>0</v>
      </c>
      <c r="F2" s="555">
        <f>'UTILITY REPORT 1'!E3</f>
        <v>678.06999999999994</v>
      </c>
      <c r="G2" s="556">
        <f>'UTILITY REPORT 1'!F3</f>
        <v>1620</v>
      </c>
      <c r="H2" s="555">
        <f>IF('Kit report'!F4&lt;0,"0",'Kit report'!F4)</f>
        <v>107.99999999995634</v>
      </c>
      <c r="I2" s="555">
        <f>IF('Kit report'!X4&lt;0,"0",'Kit report'!X4)</f>
        <v>0</v>
      </c>
      <c r="J2" s="555">
        <f>IF('Utility summery'!H6&lt;0,"0",'Utility summery'!H6)</f>
        <v>65</v>
      </c>
      <c r="K2" s="556">
        <f>IF('UTILITY REPORT 1'!H3&lt;0,"0",'UTILITY REPORT 1'!H3)</f>
        <v>40</v>
      </c>
      <c r="L2" s="555">
        <f>'Water-Meter'!K6</f>
        <v>1</v>
      </c>
      <c r="M2" s="556">
        <f>'Water-Meter'!H6</f>
        <v>0</v>
      </c>
      <c r="N2" s="556">
        <f>'Water-Meter'!Q6</f>
        <v>1</v>
      </c>
      <c r="O2" s="555" t="e">
        <f>K2*E2+H2*I2+#REF!*#REF!+J2*L2</f>
        <v>#REF!</v>
      </c>
      <c r="P2" s="555">
        <f>'Water-Meter'!E6</f>
        <v>31</v>
      </c>
      <c r="Q2" s="477">
        <f>IF('Water-Meter'!U6&lt;0,"0",'Water-Meter'!U6)</f>
        <v>0</v>
      </c>
      <c r="R2" s="477">
        <f>IF('Water-Meter'!X6&lt;0,"0",'Water-Meter'!X6)</f>
        <v>0</v>
      </c>
      <c r="S2" s="477">
        <f>IF('Water-Meter'!AA6&lt;0,"0",'Water-Meter'!AA6)</f>
        <v>0</v>
      </c>
      <c r="T2" s="477">
        <f>IF('Water-Meter'!AD6&lt;0,"0",'Water-Meter'!AD6)</f>
        <v>21</v>
      </c>
      <c r="U2" s="477">
        <f>IF('Water-Meter'!AG6&lt;0,"0",'Water-Meter'!AG6)</f>
        <v>25</v>
      </c>
      <c r="V2" s="477">
        <f>IF('Water-Meter'!AJ6&lt;0,"0",'Water-Meter'!AJ6)</f>
        <v>0</v>
      </c>
      <c r="W2" s="31">
        <f>'Water-Meter'!AN6</f>
        <v>46</v>
      </c>
      <c r="X2" s="566">
        <f>Total!K2</f>
        <v>0</v>
      </c>
    </row>
    <row r="3" spans="1:24">
      <c r="A3" s="550" t="s">
        <v>284</v>
      </c>
      <c r="B3" s="547">
        <f>B2+1</f>
        <v>2</v>
      </c>
      <c r="C3" s="553">
        <v>5</v>
      </c>
      <c r="D3" s="554">
        <v>2020</v>
      </c>
      <c r="E3" s="548">
        <f>'UTILITY REPORT 1'!I4</f>
        <v>0</v>
      </c>
      <c r="F3" s="548">
        <f>'UTILITY REPORT 1'!E4</f>
        <v>659.66</v>
      </c>
      <c r="G3" s="549">
        <f>'UTILITY REPORT 1'!F4</f>
        <v>1580</v>
      </c>
      <c r="H3" s="548">
        <f>IF('Kit report'!F5&lt;0,"0",'Kit report'!F5)</f>
        <v>107.99999999995634</v>
      </c>
      <c r="I3" s="548">
        <f>IF('Kit report'!X5&lt;0,"0",'Kit report'!X5)</f>
        <v>20.00000000007276</v>
      </c>
      <c r="J3" s="548">
        <f>IF('Utility summery'!H7&lt;0,"0",'Utility summery'!H7)</f>
        <v>51</v>
      </c>
      <c r="K3" s="549">
        <f>IF('UTILITY REPORT 1'!H4&lt;0,"0",'UTILITY REPORT 1'!H4)</f>
        <v>12</v>
      </c>
      <c r="L3" s="548">
        <f>'Water-Meter'!K7</f>
        <v>0</v>
      </c>
      <c r="M3" s="549">
        <f>'Water-Meter'!H7</f>
        <v>0</v>
      </c>
      <c r="N3" s="549">
        <f>'Water-Meter'!Q7</f>
        <v>1</v>
      </c>
      <c r="O3" s="548" t="e">
        <f>K3*E3+H3*I3+#REF!*#REF!+J3*L3</f>
        <v>#REF!</v>
      </c>
      <c r="P3" s="555">
        <f>'Water-Meter'!E7</f>
        <v>31</v>
      </c>
      <c r="Q3" s="291">
        <f>IF('Water-Meter'!U7&lt;0,"0",'Water-Meter'!U7)</f>
        <v>0</v>
      </c>
      <c r="R3" s="291">
        <f>IF('Water-Meter'!X7&lt;0,"0",'Water-Meter'!X7)</f>
        <v>0</v>
      </c>
      <c r="S3" s="291">
        <f>IF('Water-Meter'!AA7&lt;0,"0",'Water-Meter'!AA7)</f>
        <v>0</v>
      </c>
      <c r="T3" s="291">
        <f>IF('Water-Meter'!AD7&lt;0,"0",'Water-Meter'!AD7)</f>
        <v>20</v>
      </c>
      <c r="U3" s="291">
        <f>IF('Water-Meter'!AG7&lt;0,"0",'Water-Meter'!AG7)</f>
        <v>26</v>
      </c>
      <c r="V3" s="291">
        <f>IF('Water-Meter'!AJ7&lt;0,"0",'Water-Meter'!AJ7)</f>
        <v>0</v>
      </c>
      <c r="W3" s="31">
        <f>'Water-Meter'!AN7</f>
        <v>46</v>
      </c>
      <c r="X3" s="566">
        <f>Total!K3</f>
        <v>0</v>
      </c>
    </row>
    <row r="4" spans="1:24">
      <c r="A4" s="550" t="s">
        <v>284</v>
      </c>
      <c r="B4" s="547">
        <f t="shared" ref="B4:B30" si="0">B3+1</f>
        <v>3</v>
      </c>
      <c r="C4" s="553">
        <v>5</v>
      </c>
      <c r="D4" s="554">
        <v>2020</v>
      </c>
      <c r="E4" s="548">
        <f>'UTILITY REPORT 1'!I5</f>
        <v>0</v>
      </c>
      <c r="F4" s="548">
        <f>'UTILITY REPORT 1'!E5</f>
        <v>659.29</v>
      </c>
      <c r="G4" s="549">
        <f>'UTILITY REPORT 1'!F5</f>
        <v>1625</v>
      </c>
      <c r="H4" s="548">
        <f>IF('Kit report'!F6&lt;0,"0",'Kit report'!F6)</f>
        <v>96.000000000130967</v>
      </c>
      <c r="I4" s="548">
        <f>IF('Kit report'!X6&lt;0,"0",'Kit report'!X6)</f>
        <v>0</v>
      </c>
      <c r="J4" s="548">
        <f>IF('Utility summery'!H8&lt;0,"0",'Utility summery'!H8)</f>
        <v>53</v>
      </c>
      <c r="K4" s="549">
        <f>IF('UTILITY REPORT 1'!H5&lt;0,"0",'UTILITY REPORT 1'!H5)</f>
        <v>77</v>
      </c>
      <c r="L4" s="548">
        <f>'Water-Meter'!K8</f>
        <v>1</v>
      </c>
      <c r="M4" s="549">
        <f>'Water-Meter'!H8</f>
        <v>0</v>
      </c>
      <c r="N4" s="549">
        <f>'Water-Meter'!Q8</f>
        <v>0</v>
      </c>
      <c r="O4" s="548" t="e">
        <f>K4*E4+H4*I4+#REF!*#REF!+J4*L4</f>
        <v>#REF!</v>
      </c>
      <c r="P4" s="555">
        <f>'Water-Meter'!E8</f>
        <v>47</v>
      </c>
      <c r="Q4" s="291">
        <f>IF('Water-Meter'!U8&lt;0,"0",'Water-Meter'!U8)</f>
        <v>0</v>
      </c>
      <c r="R4" s="291">
        <f>IF('Water-Meter'!X8&lt;0,"0",'Water-Meter'!X8)</f>
        <v>0</v>
      </c>
      <c r="S4" s="291">
        <f>IF('Water-Meter'!AA8&lt;0,"0",'Water-Meter'!AA8)</f>
        <v>0</v>
      </c>
      <c r="T4" s="291">
        <f>IF('Water-Meter'!AD8&lt;0,"0",'Water-Meter'!AD8)</f>
        <v>24</v>
      </c>
      <c r="U4" s="291">
        <f>IF('Water-Meter'!AG8&lt;0,"0",'Water-Meter'!AG8)</f>
        <v>25</v>
      </c>
      <c r="V4" s="291">
        <f>IF('Water-Meter'!AJ8&lt;0,"0",'Water-Meter'!AJ8)</f>
        <v>0</v>
      </c>
      <c r="W4" s="31">
        <f>'Water-Meter'!AN8</f>
        <v>49</v>
      </c>
      <c r="X4" s="566">
        <f>Total!K4</f>
        <v>0</v>
      </c>
    </row>
    <row r="5" spans="1:24">
      <c r="A5" s="550" t="s">
        <v>284</v>
      </c>
      <c r="B5" s="547">
        <f t="shared" si="0"/>
        <v>4</v>
      </c>
      <c r="C5" s="553">
        <v>5</v>
      </c>
      <c r="D5" s="554">
        <v>2020</v>
      </c>
      <c r="E5" s="548">
        <f>'UTILITY REPORT 1'!I6</f>
        <v>2.33</v>
      </c>
      <c r="F5" s="548">
        <f>'UTILITY REPORT 1'!E6</f>
        <v>633.92999999999995</v>
      </c>
      <c r="G5" s="549">
        <f>'UTILITY REPORT 1'!F6</f>
        <v>1460</v>
      </c>
      <c r="H5" s="548">
        <f>IF('Kit report'!F7&lt;0,"0",'Kit report'!F7)</f>
        <v>107.99999999995634</v>
      </c>
      <c r="I5" s="548">
        <f>IF('Kit report'!X7&lt;0,"0",'Kit report'!X7)</f>
        <v>19.999999999890861</v>
      </c>
      <c r="J5" s="548">
        <f>IF('Utility summery'!H9&lt;0,"0",'Utility summery'!H9)</f>
        <v>56</v>
      </c>
      <c r="K5" s="549">
        <f>IF('UTILITY REPORT 1'!H6&lt;0,"0",'UTILITY REPORT 1'!H6)</f>
        <v>0</v>
      </c>
      <c r="L5" s="548">
        <f>'Water-Meter'!K9</f>
        <v>0</v>
      </c>
      <c r="M5" s="549">
        <f>'Water-Meter'!H9</f>
        <v>0</v>
      </c>
      <c r="N5" s="549">
        <f>'Water-Meter'!Q9</f>
        <v>1</v>
      </c>
      <c r="O5" s="548" t="e">
        <f>K5*E5+H5*I5+#REF!*#REF!+J5*L5</f>
        <v>#REF!</v>
      </c>
      <c r="P5" s="555">
        <f>'Water-Meter'!E9</f>
        <v>31</v>
      </c>
      <c r="Q5" s="291">
        <f>IF('Water-Meter'!U9&lt;0,"0",'Water-Meter'!U9)</f>
        <v>0</v>
      </c>
      <c r="R5" s="291">
        <f>IF('Water-Meter'!X9&lt;0,"0",'Water-Meter'!X9)</f>
        <v>0</v>
      </c>
      <c r="S5" s="291">
        <f>IF('Water-Meter'!AA9&lt;0,"0",'Water-Meter'!AA9)</f>
        <v>0</v>
      </c>
      <c r="T5" s="291">
        <f>IF('Water-Meter'!AD9&lt;0,"0",'Water-Meter'!AD9)</f>
        <v>22</v>
      </c>
      <c r="U5" s="291">
        <f>IF('Water-Meter'!AG9&lt;0,"0",'Water-Meter'!AG9)</f>
        <v>20</v>
      </c>
      <c r="V5" s="291">
        <f>IF('Water-Meter'!AJ9&lt;0,"0",'Water-Meter'!AJ9)</f>
        <v>0</v>
      </c>
      <c r="W5" s="31">
        <f>'Water-Meter'!AN9</f>
        <v>42</v>
      </c>
      <c r="X5" s="566">
        <f>Total!K5</f>
        <v>0</v>
      </c>
    </row>
    <row r="6" spans="1:24">
      <c r="A6" s="550" t="s">
        <v>284</v>
      </c>
      <c r="B6" s="547">
        <f t="shared" si="0"/>
        <v>5</v>
      </c>
      <c r="C6" s="553">
        <v>5</v>
      </c>
      <c r="D6" s="554">
        <v>2020</v>
      </c>
      <c r="E6" s="548">
        <f>'UTILITY REPORT 1'!I7</f>
        <v>0</v>
      </c>
      <c r="F6" s="548">
        <f>'UTILITY REPORT 1'!E7</f>
        <v>646.24</v>
      </c>
      <c r="G6" s="549">
        <f>'UTILITY REPORT 1'!F7</f>
        <v>1531</v>
      </c>
      <c r="H6" s="548">
        <f>IF('Kit report'!F8&lt;0,"0",'Kit report'!F8)</f>
        <v>95.999999999912689</v>
      </c>
      <c r="I6" s="548">
        <f>IF('Kit report'!X8&lt;0,"0",'Kit report'!X8)</f>
        <v>0</v>
      </c>
      <c r="J6" s="548">
        <f>IF('Utility summery'!H10&lt;0,"0",'Utility summery'!H10)</f>
        <v>54</v>
      </c>
      <c r="K6" s="549">
        <f>IF('UTILITY REPORT 1'!H7&lt;0,"0",'UTILITY REPORT 1'!H7)</f>
        <v>68</v>
      </c>
      <c r="L6" s="548">
        <f>'Water-Meter'!K10</f>
        <v>1</v>
      </c>
      <c r="M6" s="549">
        <f>'Water-Meter'!H10</f>
        <v>0</v>
      </c>
      <c r="N6" s="549">
        <f>'Water-Meter'!Q10</f>
        <v>0</v>
      </c>
      <c r="O6" s="548" t="e">
        <f>K6*E6+H6*I6+#REF!*#REF!+J6*L6</f>
        <v>#REF!</v>
      </c>
      <c r="P6" s="555">
        <f>'Water-Meter'!E10</f>
        <v>30</v>
      </c>
      <c r="Q6" s="291">
        <f>IF('Water-Meter'!U10&lt;0,"0",'Water-Meter'!U10)</f>
        <v>70</v>
      </c>
      <c r="R6" s="291">
        <f>IF('Water-Meter'!X10&lt;0,"0",'Water-Meter'!X10)</f>
        <v>0</v>
      </c>
      <c r="S6" s="291">
        <f>IF('Water-Meter'!AA10&lt;0,"0",'Water-Meter'!AA10)</f>
        <v>0</v>
      </c>
      <c r="T6" s="291">
        <f>IF('Water-Meter'!AD10&lt;0,"0",'Water-Meter'!AD10)</f>
        <v>21</v>
      </c>
      <c r="U6" s="291">
        <f>IF('Water-Meter'!AG10&lt;0,"0",'Water-Meter'!AG10)</f>
        <v>0</v>
      </c>
      <c r="V6" s="291">
        <f>IF('Water-Meter'!AJ10&lt;0,"0",'Water-Meter'!AJ10)</f>
        <v>0</v>
      </c>
      <c r="W6" s="31">
        <f>'Water-Meter'!AN10</f>
        <v>91</v>
      </c>
      <c r="X6" s="566">
        <f>Total!K6</f>
        <v>0</v>
      </c>
    </row>
    <row r="7" spans="1:24">
      <c r="A7" s="550" t="s">
        <v>284</v>
      </c>
      <c r="B7" s="547">
        <f t="shared" si="0"/>
        <v>6</v>
      </c>
      <c r="C7" s="553">
        <v>5</v>
      </c>
      <c r="D7" s="554">
        <v>2020</v>
      </c>
      <c r="E7" s="548">
        <f>'UTILITY REPORT 1'!I8</f>
        <v>31.11</v>
      </c>
      <c r="F7" s="548">
        <f>'UTILITY REPORT 1'!E8</f>
        <v>627.88</v>
      </c>
      <c r="G7" s="549">
        <f>'UTILITY REPORT 1'!F8</f>
        <v>0</v>
      </c>
      <c r="H7" s="548">
        <f>IF('Kit report'!F9&lt;0,"0",'Kit report'!F9)</f>
        <v>84.000000000087311</v>
      </c>
      <c r="I7" s="548">
        <f>IF('Kit report'!X9&lt;0,"0",'Kit report'!X9)</f>
        <v>20.00000000007276</v>
      </c>
      <c r="J7" s="548">
        <f>IF('Utility summery'!H11&lt;0,"0",'Utility summery'!H11)</f>
        <v>27</v>
      </c>
      <c r="K7" s="549">
        <f>IF('UTILITY REPORT 1'!H8&lt;0,"0",'UTILITY REPORT 1'!H8)</f>
        <v>36</v>
      </c>
      <c r="L7" s="548">
        <f>'Water-Meter'!K11</f>
        <v>0</v>
      </c>
      <c r="M7" s="549">
        <f>'Water-Meter'!H11</f>
        <v>0</v>
      </c>
      <c r="N7" s="549">
        <f>'Water-Meter'!Q11</f>
        <v>1</v>
      </c>
      <c r="O7" s="548" t="e">
        <f>K7*E7+H7*I7+#REF!*#REF!+J7*L7</f>
        <v>#REF!</v>
      </c>
      <c r="P7" s="555">
        <f>'Water-Meter'!E11</f>
        <v>33</v>
      </c>
      <c r="Q7" s="291">
        <f>IF('Water-Meter'!U11&lt;0,"0",'Water-Meter'!U11)</f>
        <v>37</v>
      </c>
      <c r="R7" s="291">
        <f>IF('Water-Meter'!X11&lt;0,"0",'Water-Meter'!X11)</f>
        <v>0</v>
      </c>
      <c r="S7" s="291">
        <f>IF('Water-Meter'!AA11&lt;0,"0",'Water-Meter'!AA11)</f>
        <v>0</v>
      </c>
      <c r="T7" s="291">
        <f>IF('Water-Meter'!AD11&lt;0,"0",'Water-Meter'!AD11)</f>
        <v>22</v>
      </c>
      <c r="U7" s="291">
        <f>IF('Water-Meter'!AG11&lt;0,"0",'Water-Meter'!AG11)</f>
        <v>0</v>
      </c>
      <c r="V7" s="291">
        <f>IF('Water-Meter'!AJ11&lt;0,"0",'Water-Meter'!AJ11)</f>
        <v>0</v>
      </c>
      <c r="W7" s="31">
        <f>'Water-Meter'!AN11</f>
        <v>59</v>
      </c>
      <c r="X7" s="566">
        <f>Total!K7</f>
        <v>0</v>
      </c>
    </row>
    <row r="8" spans="1:24">
      <c r="A8" s="550" t="s">
        <v>284</v>
      </c>
      <c r="B8" s="547">
        <f t="shared" si="0"/>
        <v>7</v>
      </c>
      <c r="C8" s="553">
        <v>5</v>
      </c>
      <c r="D8" s="554">
        <v>2020</v>
      </c>
      <c r="E8" s="548">
        <f>'UTILITY REPORT 1'!I9</f>
        <v>22.97</v>
      </c>
      <c r="F8" s="548">
        <f>'UTILITY REPORT 1'!E9</f>
        <v>637.52</v>
      </c>
      <c r="G8" s="549">
        <f>'UTILITY REPORT 1'!F9</f>
        <v>1434</v>
      </c>
      <c r="H8" s="548">
        <f>IF('Kit report'!F10&lt;0,"0",'Kit report'!F10)</f>
        <v>95.999999999912689</v>
      </c>
      <c r="I8" s="548">
        <f>IF('Kit report'!X10&lt;0,"0",'Kit report'!X10)</f>
        <v>19.999999999890861</v>
      </c>
      <c r="J8" s="548">
        <f>IF('Utility summery'!H12&lt;0,"0",'Utility summery'!H12)</f>
        <v>38</v>
      </c>
      <c r="K8" s="549">
        <f>IF('UTILITY REPORT 1'!H9&lt;0,"0",'UTILITY REPORT 1'!H9)</f>
        <v>0</v>
      </c>
      <c r="L8" s="548">
        <f>'Water-Meter'!K12</f>
        <v>0</v>
      </c>
      <c r="M8" s="549">
        <f>'Water-Meter'!H12</f>
        <v>0</v>
      </c>
      <c r="N8" s="549">
        <f>'Water-Meter'!Q12</f>
        <v>0</v>
      </c>
      <c r="O8" s="548" t="e">
        <f>K8*E8+H8*I8+#REF!*#REF!+J8*L8</f>
        <v>#REF!</v>
      </c>
      <c r="P8" s="555">
        <f>'Water-Meter'!E12</f>
        <v>41</v>
      </c>
      <c r="Q8" s="291">
        <f>IF('Water-Meter'!U12&lt;0,"0",'Water-Meter'!U12)</f>
        <v>17</v>
      </c>
      <c r="R8" s="291">
        <f>IF('Water-Meter'!X12&lt;0,"0",'Water-Meter'!X12)</f>
        <v>0</v>
      </c>
      <c r="S8" s="291">
        <f>IF('Water-Meter'!AA12&lt;0,"0",'Water-Meter'!AA12)</f>
        <v>0</v>
      </c>
      <c r="T8" s="291">
        <f>IF('Water-Meter'!AD12&lt;0,"0",'Water-Meter'!AD12)</f>
        <v>21</v>
      </c>
      <c r="U8" s="291">
        <f>IF('Water-Meter'!AG12&lt;0,"0",'Water-Meter'!AG12)</f>
        <v>0</v>
      </c>
      <c r="V8" s="291">
        <f>IF('Water-Meter'!AJ12&lt;0,"0",'Water-Meter'!AJ12)</f>
        <v>0</v>
      </c>
      <c r="W8" s="31">
        <f>'Water-Meter'!AN12</f>
        <v>38</v>
      </c>
      <c r="X8" s="566">
        <f>Total!K8</f>
        <v>0</v>
      </c>
    </row>
    <row r="9" spans="1:24">
      <c r="A9" s="550" t="s">
        <v>284</v>
      </c>
      <c r="B9" s="547">
        <f t="shared" si="0"/>
        <v>8</v>
      </c>
      <c r="C9" s="553">
        <v>5</v>
      </c>
      <c r="D9" s="554">
        <v>2020</v>
      </c>
      <c r="E9" s="548">
        <f>'UTILITY REPORT 1'!I10</f>
        <v>80.099999999999994</v>
      </c>
      <c r="F9" s="548">
        <f>'UTILITY REPORT 1'!E10</f>
        <v>692.82999999999993</v>
      </c>
      <c r="G9" s="549">
        <f>'UTILITY REPORT 1'!F10</f>
        <v>1432</v>
      </c>
      <c r="H9" s="548">
        <f>IF('Kit report'!F11&lt;0,"0",'Kit report'!F11)</f>
        <v>107.99999999995634</v>
      </c>
      <c r="I9" s="548">
        <f>IF('Kit report'!X11&lt;0,"0",'Kit report'!X11)</f>
        <v>40.000000000145519</v>
      </c>
      <c r="J9" s="548">
        <f>IF('Utility summery'!H13&lt;0,"0",'Utility summery'!H13)</f>
        <v>41</v>
      </c>
      <c r="K9" s="549">
        <f>IF('UTILITY REPORT 1'!H10&lt;0,"0",'UTILITY REPORT 1'!H10)</f>
        <v>70</v>
      </c>
      <c r="L9" s="548">
        <f>'Water-Meter'!K13</f>
        <v>1</v>
      </c>
      <c r="M9" s="549">
        <f>'Water-Meter'!H13</f>
        <v>0</v>
      </c>
      <c r="N9" s="549">
        <f>'Water-Meter'!Q13</f>
        <v>1</v>
      </c>
      <c r="O9" s="548" t="e">
        <f>K9*E9+H9*I9+#REF!*#REF!+J9*L9</f>
        <v>#REF!</v>
      </c>
      <c r="P9" s="555">
        <f>'Water-Meter'!E13</f>
        <v>37</v>
      </c>
      <c r="Q9" s="291">
        <f>IF('Water-Meter'!U13&lt;0,"0",'Water-Meter'!U13)</f>
        <v>0</v>
      </c>
      <c r="R9" s="291">
        <f>IF('Water-Meter'!X13&lt;0,"0",'Water-Meter'!X13)</f>
        <v>0</v>
      </c>
      <c r="S9" s="291">
        <f>IF('Water-Meter'!AA13&lt;0,"0",'Water-Meter'!AA13)</f>
        <v>0</v>
      </c>
      <c r="T9" s="291">
        <f>IF('Water-Meter'!AD13&lt;0,"0",'Water-Meter'!AD13)</f>
        <v>22</v>
      </c>
      <c r="U9" s="291">
        <f>IF('Water-Meter'!AG13&lt;0,"0",'Water-Meter'!AG13)</f>
        <v>0</v>
      </c>
      <c r="V9" s="291">
        <f>IF('Water-Meter'!AJ13&lt;0,"0",'Water-Meter'!AJ13)</f>
        <v>0</v>
      </c>
      <c r="W9" s="31">
        <f>'Water-Meter'!AN13</f>
        <v>22</v>
      </c>
      <c r="X9" s="566">
        <f>Total!K9</f>
        <v>0</v>
      </c>
    </row>
    <row r="10" spans="1:24">
      <c r="A10" s="550" t="s">
        <v>284</v>
      </c>
      <c r="B10" s="547">
        <f t="shared" si="0"/>
        <v>9</v>
      </c>
      <c r="C10" s="553">
        <v>5</v>
      </c>
      <c r="D10" s="554">
        <v>2020</v>
      </c>
      <c r="E10" s="548">
        <f>'UTILITY REPORT 1'!I11</f>
        <v>0</v>
      </c>
      <c r="F10" s="548">
        <f>'UTILITY REPORT 1'!E11</f>
        <v>662.1</v>
      </c>
      <c r="G10" s="549">
        <f>'UTILITY REPORT 1'!F11</f>
        <v>1527</v>
      </c>
      <c r="H10" s="548">
        <f>IF('Kit report'!F12&lt;0,"0",'Kit report'!F12)</f>
        <v>96.000000000130967</v>
      </c>
      <c r="I10" s="548">
        <f>IF('Kit report'!X12&lt;0,"0",'Kit report'!X12)</f>
        <v>0</v>
      </c>
      <c r="J10" s="548">
        <f>IF('Utility summery'!H14&lt;0,"0",'Utility summery'!H14)</f>
        <v>40</v>
      </c>
      <c r="K10" s="549">
        <f>IF('UTILITY REPORT 1'!H11&lt;0,"0",'UTILITY REPORT 1'!H11)</f>
        <v>110</v>
      </c>
      <c r="L10" s="548">
        <f>'Water-Meter'!K14</f>
        <v>0</v>
      </c>
      <c r="M10" s="549">
        <f>'Water-Meter'!H14</f>
        <v>0</v>
      </c>
      <c r="N10" s="549">
        <f>'Water-Meter'!Q14</f>
        <v>1</v>
      </c>
      <c r="O10" s="548" t="e">
        <f>K10*E10+H10*I10+#REF!*#REF!+J10*L10</f>
        <v>#REF!</v>
      </c>
      <c r="P10" s="555">
        <f>'Water-Meter'!E14</f>
        <v>51</v>
      </c>
      <c r="Q10" s="291">
        <f>IF('Water-Meter'!U14&lt;0,"0",'Water-Meter'!U14)</f>
        <v>0</v>
      </c>
      <c r="R10" s="291">
        <f>IF('Water-Meter'!X14&lt;0,"0",'Water-Meter'!X14)</f>
        <v>0</v>
      </c>
      <c r="S10" s="291">
        <f>IF('Water-Meter'!AA14&lt;0,"0",'Water-Meter'!AA14)</f>
        <v>0</v>
      </c>
      <c r="T10" s="291">
        <f>IF('Water-Meter'!AD14&lt;0,"0",'Water-Meter'!AD14)</f>
        <v>22</v>
      </c>
      <c r="U10" s="291">
        <f>IF('Water-Meter'!AG14&lt;0,"0",'Water-Meter'!AG14)</f>
        <v>0</v>
      </c>
      <c r="V10" s="291">
        <f>IF('Water-Meter'!AJ14&lt;0,"0",'Water-Meter'!AJ14)</f>
        <v>0</v>
      </c>
      <c r="W10" s="31">
        <f>'Water-Meter'!AN14</f>
        <v>22</v>
      </c>
      <c r="X10" s="566">
        <f>Total!K10</f>
        <v>0</v>
      </c>
    </row>
    <row r="11" spans="1:24">
      <c r="A11" s="550" t="s">
        <v>284</v>
      </c>
      <c r="B11" s="547">
        <f t="shared" si="0"/>
        <v>10</v>
      </c>
      <c r="C11" s="553">
        <v>5</v>
      </c>
      <c r="D11" s="554">
        <v>2020</v>
      </c>
      <c r="E11" s="548">
        <f>'UTILITY REPORT 1'!I12</f>
        <v>0</v>
      </c>
      <c r="F11" s="548">
        <f>'UTILITY REPORT 1'!E12</f>
        <v>652.33000000000004</v>
      </c>
      <c r="G11" s="549">
        <f>'UTILITY REPORT 1'!F12</f>
        <v>1451</v>
      </c>
      <c r="H11" s="548">
        <f>IF('Kit report'!F13&lt;0,"0",'Kit report'!F13)</f>
        <v>95.999999999912689</v>
      </c>
      <c r="I11" s="548">
        <f>IF('Kit report'!X13&lt;0,"0",'Kit report'!X13)</f>
        <v>0</v>
      </c>
      <c r="J11" s="548">
        <f>IF('Utility summery'!H15&lt;0,"0",'Utility summery'!H15)</f>
        <v>35</v>
      </c>
      <c r="K11" s="549">
        <f>IF('UTILITY REPORT 1'!H12&lt;0,"0",'UTILITY REPORT 1'!H12)</f>
        <v>0</v>
      </c>
      <c r="L11" s="548">
        <f>'Water-Meter'!K15</f>
        <v>1</v>
      </c>
      <c r="M11" s="549">
        <f>'Water-Meter'!H15</f>
        <v>0</v>
      </c>
      <c r="N11" s="549">
        <f>'Water-Meter'!Q15</f>
        <v>0</v>
      </c>
      <c r="O11" s="548" t="e">
        <f>K11*E11+H11*I11+#REF!*#REF!+J11*L11</f>
        <v>#REF!</v>
      </c>
      <c r="P11" s="555">
        <f>'Water-Meter'!E15</f>
        <v>51</v>
      </c>
      <c r="Q11" s="291">
        <f>IF('Water-Meter'!U15&lt;0,"0",'Water-Meter'!U15)</f>
        <v>24</v>
      </c>
      <c r="R11" s="291">
        <f>IF('Water-Meter'!X15&lt;0,"0",'Water-Meter'!X15)</f>
        <v>0</v>
      </c>
      <c r="S11" s="291">
        <f>IF('Water-Meter'!AA15&lt;0,"0",'Water-Meter'!AA15)</f>
        <v>0</v>
      </c>
      <c r="T11" s="291">
        <f>IF('Water-Meter'!AD15&lt;0,"0",'Water-Meter'!AD15)</f>
        <v>22</v>
      </c>
      <c r="U11" s="291">
        <f>IF('Water-Meter'!AG15&lt;0,"0",'Water-Meter'!AG15)</f>
        <v>0</v>
      </c>
      <c r="V11" s="291">
        <f>IF('Water-Meter'!AJ15&lt;0,"0",'Water-Meter'!AJ15)</f>
        <v>0</v>
      </c>
      <c r="W11" s="31">
        <f>'Water-Meter'!AN15</f>
        <v>46</v>
      </c>
      <c r="X11" s="566">
        <f>Total!K11</f>
        <v>0</v>
      </c>
    </row>
    <row r="12" spans="1:24">
      <c r="A12" s="550" t="s">
        <v>284</v>
      </c>
      <c r="B12" s="547">
        <f t="shared" si="0"/>
        <v>11</v>
      </c>
      <c r="C12" s="553">
        <v>5</v>
      </c>
      <c r="D12" s="554">
        <v>2020</v>
      </c>
      <c r="E12" s="548">
        <f>'UTILITY REPORT 1'!I13</f>
        <v>0</v>
      </c>
      <c r="F12" s="548">
        <f>'UTILITY REPORT 1'!E13</f>
        <v>675.39</v>
      </c>
      <c r="G12" s="549">
        <f>'UTILITY REPORT 1'!F13</f>
        <v>1449</v>
      </c>
      <c r="H12" s="548">
        <f>IF('Kit report'!F14&lt;0,"0",'Kit report'!F14)</f>
        <v>107.99999999995634</v>
      </c>
      <c r="I12" s="548">
        <f>IF('Kit report'!X14&lt;0,"0",'Kit report'!X14)</f>
        <v>0</v>
      </c>
      <c r="J12" s="548">
        <f>IF('Utility summery'!H16&lt;0,"0",'Utility summery'!H16)</f>
        <v>38</v>
      </c>
      <c r="K12" s="549">
        <f>IF('UTILITY REPORT 1'!H13&lt;0,"0",'UTILITY REPORT 1'!H13)</f>
        <v>0</v>
      </c>
      <c r="L12" s="548">
        <f>'Water-Meter'!K16</f>
        <v>0</v>
      </c>
      <c r="M12" s="549">
        <f>'Water-Meter'!H16</f>
        <v>0</v>
      </c>
      <c r="N12" s="549">
        <f>'Water-Meter'!Q16</f>
        <v>0</v>
      </c>
      <c r="O12" s="548" t="e">
        <f>K12*E12+H12*I12+#REF!*#REF!+J12*L12</f>
        <v>#REF!</v>
      </c>
      <c r="P12" s="555">
        <f>'Water-Meter'!E16</f>
        <v>56</v>
      </c>
      <c r="Q12" s="291">
        <f>IF('Water-Meter'!U16&lt;0,"0",'Water-Meter'!U16)</f>
        <v>37</v>
      </c>
      <c r="R12" s="291">
        <f>IF('Water-Meter'!X16&lt;0,"0",'Water-Meter'!X16)</f>
        <v>0</v>
      </c>
      <c r="S12" s="291">
        <f>IF('Water-Meter'!AA16&lt;0,"0",'Water-Meter'!AA16)</f>
        <v>0</v>
      </c>
      <c r="T12" s="291">
        <f>IF('Water-Meter'!AD16&lt;0,"0",'Water-Meter'!AD16)</f>
        <v>22</v>
      </c>
      <c r="U12" s="291">
        <f>IF('Water-Meter'!AG16&lt;0,"0",'Water-Meter'!AG16)</f>
        <v>0</v>
      </c>
      <c r="V12" s="291">
        <f>IF('Water-Meter'!AJ16&lt;0,"0",'Water-Meter'!AJ16)</f>
        <v>0</v>
      </c>
      <c r="W12" s="31">
        <f>'Water-Meter'!AN16</f>
        <v>59</v>
      </c>
      <c r="X12" s="566">
        <f>Total!K12</f>
        <v>0</v>
      </c>
    </row>
    <row r="13" spans="1:24">
      <c r="A13" s="550" t="s">
        <v>284</v>
      </c>
      <c r="B13" s="547">
        <f t="shared" si="0"/>
        <v>12</v>
      </c>
      <c r="C13" s="553">
        <v>5</v>
      </c>
      <c r="D13" s="554">
        <v>2020</v>
      </c>
      <c r="E13" s="548">
        <f>'UTILITY REPORT 1'!I14</f>
        <v>106.89</v>
      </c>
      <c r="F13" s="548">
        <f>'UTILITY REPORT 1'!E14</f>
        <v>719.01</v>
      </c>
      <c r="G13" s="549">
        <f>'UTILITY REPORT 1'!F14</f>
        <v>1623</v>
      </c>
      <c r="H13" s="548">
        <f>IF('Kit report'!F15&lt;0,"0",'Kit report'!F15)</f>
        <v>96.000000000130967</v>
      </c>
      <c r="I13" s="548">
        <f>IF('Kit report'!X15&lt;0,"0",'Kit report'!X15)</f>
        <v>19.999999999890861</v>
      </c>
      <c r="J13" s="548">
        <f>IF('Utility summery'!H17&lt;0,"0",'Utility summery'!H17)</f>
        <v>43</v>
      </c>
      <c r="K13" s="549">
        <f>IF('UTILITY REPORT 1'!H14&lt;0,"0",'UTILITY REPORT 1'!H14)</f>
        <v>71</v>
      </c>
      <c r="L13" s="548">
        <f>'Water-Meter'!K17</f>
        <v>0</v>
      </c>
      <c r="M13" s="549">
        <f>'Water-Meter'!H17</f>
        <v>0</v>
      </c>
      <c r="N13" s="549">
        <f>'Water-Meter'!Q17</f>
        <v>1</v>
      </c>
      <c r="O13" s="548" t="e">
        <f>K13*E13+H13*I13+#REF!*#REF!+J13*L13</f>
        <v>#REF!</v>
      </c>
      <c r="P13" s="555">
        <f>'Water-Meter'!E17</f>
        <v>58</v>
      </c>
      <c r="Q13" s="291">
        <f>IF('Water-Meter'!U17&lt;0,"0",'Water-Meter'!U17)</f>
        <v>23</v>
      </c>
      <c r="R13" s="291">
        <f>IF('Water-Meter'!X17&lt;0,"0",'Water-Meter'!X17)</f>
        <v>0</v>
      </c>
      <c r="S13" s="291">
        <f>IF('Water-Meter'!AA17&lt;0,"0",'Water-Meter'!AA17)</f>
        <v>43</v>
      </c>
      <c r="T13" s="291">
        <f>IF('Water-Meter'!AD17&lt;0,"0",'Water-Meter'!AD17)</f>
        <v>22</v>
      </c>
      <c r="U13" s="291">
        <f>IF('Water-Meter'!AG17&lt;0,"0",'Water-Meter'!AG17)</f>
        <v>0</v>
      </c>
      <c r="V13" s="291">
        <f>IF('Water-Meter'!AJ17&lt;0,"0",'Water-Meter'!AJ17)</f>
        <v>0</v>
      </c>
      <c r="W13" s="31">
        <f>'Water-Meter'!AN17</f>
        <v>88</v>
      </c>
      <c r="X13" s="566">
        <f>Total!K13</f>
        <v>0</v>
      </c>
    </row>
    <row r="14" spans="1:24">
      <c r="A14" s="550" t="s">
        <v>284</v>
      </c>
      <c r="B14" s="547">
        <f t="shared" si="0"/>
        <v>13</v>
      </c>
      <c r="C14" s="553">
        <v>5</v>
      </c>
      <c r="D14" s="554">
        <v>2020</v>
      </c>
      <c r="E14" s="548">
        <f>'UTILITY REPORT 1'!I15</f>
        <v>0</v>
      </c>
      <c r="F14" s="548">
        <f>'UTILITY REPORT 1'!E15</f>
        <v>656.19</v>
      </c>
      <c r="G14" s="549">
        <f>'UTILITY REPORT 1'!F15</f>
        <v>1552</v>
      </c>
      <c r="H14" s="548">
        <f>IF('Kit report'!F16&lt;0,"0",'Kit report'!F16)</f>
        <v>107.99999999995634</v>
      </c>
      <c r="I14" s="548">
        <f>IF('Kit report'!X16&lt;0,"0",'Kit report'!X16)</f>
        <v>0</v>
      </c>
      <c r="J14" s="548">
        <f>IF('Utility summery'!H18&lt;0,"0",'Utility summery'!H18)</f>
        <v>32</v>
      </c>
      <c r="K14" s="549">
        <f>IF('UTILITY REPORT 1'!H15&lt;0,"0",'UTILITY REPORT 1'!H15)</f>
        <v>0</v>
      </c>
      <c r="L14" s="548">
        <f>'Water-Meter'!K18</f>
        <v>1</v>
      </c>
      <c r="M14" s="549">
        <f>'Water-Meter'!H18</f>
        <v>0</v>
      </c>
      <c r="N14" s="549">
        <f>'Water-Meter'!Q18</f>
        <v>0</v>
      </c>
      <c r="O14" s="548" t="e">
        <f>K14*E14+H14*I14+#REF!*#REF!+J14*L14</f>
        <v>#REF!</v>
      </c>
      <c r="P14" s="555">
        <f>'Water-Meter'!E18</f>
        <v>41</v>
      </c>
      <c r="Q14" s="291">
        <f>IF('Water-Meter'!U18&lt;0,"0",'Water-Meter'!U18)</f>
        <v>10</v>
      </c>
      <c r="R14" s="291">
        <f>IF('Water-Meter'!X18&lt;0,"0",'Water-Meter'!X18)</f>
        <v>0</v>
      </c>
      <c r="S14" s="291">
        <f>IF('Water-Meter'!AA18&lt;0,"0",'Water-Meter'!AA18)</f>
        <v>10</v>
      </c>
      <c r="T14" s="291">
        <f>IF('Water-Meter'!AD18&lt;0,"0",'Water-Meter'!AD18)</f>
        <v>4</v>
      </c>
      <c r="U14" s="291">
        <f>IF('Water-Meter'!AG18&lt;0,"0",'Water-Meter'!AG18)</f>
        <v>0</v>
      </c>
      <c r="V14" s="291">
        <f>IF('Water-Meter'!AJ18&lt;0,"0",'Water-Meter'!AJ18)</f>
        <v>0</v>
      </c>
      <c r="W14" s="31">
        <f>'Water-Meter'!AN18</f>
        <v>24</v>
      </c>
      <c r="X14" s="566">
        <f>Total!K14</f>
        <v>0</v>
      </c>
    </row>
    <row r="15" spans="1:24">
      <c r="A15" s="550" t="s">
        <v>284</v>
      </c>
      <c r="B15" s="547">
        <f t="shared" si="0"/>
        <v>14</v>
      </c>
      <c r="C15" s="553">
        <v>5</v>
      </c>
      <c r="D15" s="554">
        <v>2020</v>
      </c>
      <c r="E15" s="548">
        <f>'UTILITY REPORT 1'!I16</f>
        <v>0</v>
      </c>
      <c r="F15" s="548">
        <f>'UTILITY REPORT 1'!E16</f>
        <v>633.07999999999993</v>
      </c>
      <c r="G15" s="549">
        <f>'UTILITY REPORT 1'!F16</f>
        <v>1480</v>
      </c>
      <c r="H15" s="548">
        <f>IF('Kit report'!F17&lt;0,"0",'Kit report'!F17)</f>
        <v>107.99999999995634</v>
      </c>
      <c r="I15" s="548">
        <f>IF('Kit report'!X17&lt;0,"0",'Kit report'!X17)</f>
        <v>0</v>
      </c>
      <c r="J15" s="548">
        <f>IF('Utility summery'!H19&lt;0,"0",'Utility summery'!H19)</f>
        <v>36</v>
      </c>
      <c r="K15" s="549">
        <f>IF('UTILITY REPORT 1'!H16&lt;0,"0",'UTILITY REPORT 1'!H16)</f>
        <v>0</v>
      </c>
      <c r="L15" s="548">
        <f>'Water-Meter'!K19</f>
        <v>1</v>
      </c>
      <c r="M15" s="549">
        <f>'Water-Meter'!H19</f>
        <v>0</v>
      </c>
      <c r="N15" s="549">
        <f>'Water-Meter'!Q19</f>
        <v>0</v>
      </c>
      <c r="O15" s="548" t="e">
        <f>K15*E15+H15*I15+#REF!*#REF!+J15*L15</f>
        <v>#REF!</v>
      </c>
      <c r="P15" s="555">
        <f>'Water-Meter'!E19</f>
        <v>33</v>
      </c>
      <c r="Q15" s="291">
        <f>IF('Water-Meter'!U19&lt;0,"0",'Water-Meter'!U19)</f>
        <v>63</v>
      </c>
      <c r="R15" s="291">
        <f>IF('Water-Meter'!X19&lt;0,"0",'Water-Meter'!X19)</f>
        <v>0</v>
      </c>
      <c r="S15" s="291">
        <f>IF('Water-Meter'!AA19&lt;0,"0",'Water-Meter'!AA19)</f>
        <v>0</v>
      </c>
      <c r="T15" s="291">
        <f>IF('Water-Meter'!AD19&lt;0,"0",'Water-Meter'!AD19)</f>
        <v>0</v>
      </c>
      <c r="U15" s="291">
        <f>IF('Water-Meter'!AG19&lt;0,"0",'Water-Meter'!AG19)</f>
        <v>0</v>
      </c>
      <c r="V15" s="291" t="str">
        <f>IF('Water-Meter'!AJ19&lt;0,"0",'Water-Meter'!AJ19)</f>
        <v>0</v>
      </c>
      <c r="W15" s="31">
        <f>'Water-Meter'!AN19</f>
        <v>63</v>
      </c>
      <c r="X15" s="566">
        <f>Total!K15</f>
        <v>0</v>
      </c>
    </row>
    <row r="16" spans="1:24">
      <c r="A16" s="550" t="s">
        <v>284</v>
      </c>
      <c r="B16" s="547">
        <f t="shared" si="0"/>
        <v>15</v>
      </c>
      <c r="C16" s="553">
        <v>5</v>
      </c>
      <c r="D16" s="554">
        <v>2020</v>
      </c>
      <c r="E16" s="548">
        <f>'UTILITY REPORT 1'!I17</f>
        <v>0</v>
      </c>
      <c r="F16" s="548">
        <f>'UTILITY REPORT 1'!E17</f>
        <v>0</v>
      </c>
      <c r="G16" s="549">
        <f>'UTILITY REPORT 1'!F17</f>
        <v>0</v>
      </c>
      <c r="H16" s="548" t="str">
        <f>IF('Kit report'!F18&lt;0,"0",'Kit report'!F18)</f>
        <v>0</v>
      </c>
      <c r="I16" s="548" t="str">
        <f>IF('Kit report'!X18&lt;0,"0",'Kit report'!X18)</f>
        <v>0</v>
      </c>
      <c r="J16" s="548" t="str">
        <f>IF('Utility summery'!H20&lt;0,"0",'Utility summery'!H20)</f>
        <v>0</v>
      </c>
      <c r="K16" s="549">
        <f>IF('UTILITY REPORT 1'!H17&lt;0,"0",'UTILITY REPORT 1'!H17)</f>
        <v>0</v>
      </c>
      <c r="L16" s="548" t="str">
        <f>'Water-Meter'!K20</f>
        <v>0</v>
      </c>
      <c r="M16" s="549" t="str">
        <f>'Water-Meter'!H20</f>
        <v>0</v>
      </c>
      <c r="N16" s="549" t="str">
        <f>'Water-Meter'!Q20</f>
        <v>0</v>
      </c>
      <c r="O16" s="548" t="e">
        <f>K16*E16+H16*I16+#REF!*#REF!+J16*L16</f>
        <v>#REF!</v>
      </c>
      <c r="P16" s="555" t="str">
        <f>'Water-Meter'!E20</f>
        <v>0</v>
      </c>
      <c r="Q16" s="291" t="str">
        <f>IF('Water-Meter'!U20&lt;0,"0",'Water-Meter'!U20)</f>
        <v>0</v>
      </c>
      <c r="R16" s="291" t="str">
        <f>IF('Water-Meter'!X20&lt;0,"0",'Water-Meter'!X20)</f>
        <v>0</v>
      </c>
      <c r="S16" s="291" t="str">
        <f>IF('Water-Meter'!AA20&lt;0,"0",'Water-Meter'!AA20)</f>
        <v>0</v>
      </c>
      <c r="T16" s="291" t="str">
        <f>IF('Water-Meter'!AD20&lt;0,"0",'Water-Meter'!AD20)</f>
        <v>0</v>
      </c>
      <c r="U16" s="291" t="str">
        <f>IF('Water-Meter'!AG20&lt;0,"0",'Water-Meter'!AG20)</f>
        <v>0</v>
      </c>
      <c r="V16" s="291" t="str">
        <f>IF('Water-Meter'!AJ20&lt;0,"0",'Water-Meter'!AJ20)</f>
        <v>0</v>
      </c>
      <c r="W16" s="31">
        <f>'Water-Meter'!AN20</f>
        <v>0</v>
      </c>
      <c r="X16" s="566">
        <f>Total!K16</f>
        <v>0</v>
      </c>
    </row>
    <row r="17" spans="1:24">
      <c r="A17" s="550" t="s">
        <v>284</v>
      </c>
      <c r="B17" s="547">
        <f t="shared" si="0"/>
        <v>16</v>
      </c>
      <c r="C17" s="553">
        <v>5</v>
      </c>
      <c r="D17" s="554">
        <v>2020</v>
      </c>
      <c r="E17" s="548">
        <f>'UTILITY REPORT 1'!I18</f>
        <v>0</v>
      </c>
      <c r="F17" s="548">
        <f>'UTILITY REPORT 1'!E18</f>
        <v>0</v>
      </c>
      <c r="G17" s="549">
        <f>'UTILITY REPORT 1'!F18</f>
        <v>0</v>
      </c>
      <c r="H17" s="548">
        <f>IF('Kit report'!F19&lt;0,"0",'Kit report'!F19)</f>
        <v>0</v>
      </c>
      <c r="I17" s="548">
        <f>IF('Kit report'!X19&lt;0,"0",'Kit report'!X19)</f>
        <v>0</v>
      </c>
      <c r="J17" s="548">
        <f>IF('Utility summery'!H21&lt;0,"0",'Utility summery'!H21)</f>
        <v>0</v>
      </c>
      <c r="K17" s="549">
        <f>IF('UTILITY REPORT 1'!H18&lt;0,"0",'UTILITY REPORT 1'!H18)</f>
        <v>0</v>
      </c>
      <c r="L17" s="548">
        <f>'Water-Meter'!K21</f>
        <v>0</v>
      </c>
      <c r="M17" s="549">
        <f>'Water-Meter'!H21</f>
        <v>0</v>
      </c>
      <c r="N17" s="549">
        <f>'Water-Meter'!Q21</f>
        <v>0</v>
      </c>
      <c r="O17" s="548" t="e">
        <f>K17*E17+H17*I17+#REF!*#REF!+J17*L17</f>
        <v>#REF!</v>
      </c>
      <c r="P17" s="555">
        <f>'Water-Meter'!E21</f>
        <v>0</v>
      </c>
      <c r="Q17" s="291">
        <f>IF('Water-Meter'!U21&lt;0,"0",'Water-Meter'!U21)</f>
        <v>0</v>
      </c>
      <c r="R17" s="291">
        <f>IF('Water-Meter'!X21&lt;0,"0",'Water-Meter'!X21)</f>
        <v>0</v>
      </c>
      <c r="S17" s="291">
        <f>IF('Water-Meter'!AA21&lt;0,"0",'Water-Meter'!AA21)</f>
        <v>0</v>
      </c>
      <c r="T17" s="291">
        <f>IF('Water-Meter'!AD21&lt;0,"0",'Water-Meter'!AD21)</f>
        <v>0</v>
      </c>
      <c r="U17" s="291">
        <f>IF('Water-Meter'!AG21&lt;0,"0",'Water-Meter'!AG21)</f>
        <v>0</v>
      </c>
      <c r="V17" s="291">
        <f>IF('Water-Meter'!AJ21&lt;0,"0",'Water-Meter'!AJ21)</f>
        <v>0</v>
      </c>
      <c r="W17" s="31">
        <f>'Water-Meter'!AN21</f>
        <v>0</v>
      </c>
      <c r="X17" s="566">
        <f>Total!K17</f>
        <v>0</v>
      </c>
    </row>
    <row r="18" spans="1:24">
      <c r="A18" s="550" t="s">
        <v>284</v>
      </c>
      <c r="B18" s="547">
        <f t="shared" si="0"/>
        <v>17</v>
      </c>
      <c r="C18" s="553">
        <v>5</v>
      </c>
      <c r="D18" s="554">
        <v>2020</v>
      </c>
      <c r="E18" s="548">
        <f>'UTILITY REPORT 1'!I19</f>
        <v>0</v>
      </c>
      <c r="F18" s="548">
        <f>'UTILITY REPORT 1'!E19</f>
        <v>0</v>
      </c>
      <c r="G18" s="549">
        <f>'UTILITY REPORT 1'!F19</f>
        <v>0</v>
      </c>
      <c r="H18" s="548">
        <f>IF('Kit report'!F20&lt;0,"0",'Kit report'!F20)</f>
        <v>0</v>
      </c>
      <c r="I18" s="548">
        <f>IF('Kit report'!X20&lt;0,"0",'Kit report'!X20)</f>
        <v>0</v>
      </c>
      <c r="J18" s="548">
        <f>IF('Utility summery'!H22&lt;0,"0",'Utility summery'!H22)</f>
        <v>0</v>
      </c>
      <c r="K18" s="549">
        <f>IF('UTILITY REPORT 1'!H19&lt;0,"0",'UTILITY REPORT 1'!H19)</f>
        <v>0</v>
      </c>
      <c r="L18" s="548">
        <f>'Water-Meter'!K22</f>
        <v>0</v>
      </c>
      <c r="M18" s="549">
        <f>'Water-Meter'!H22</f>
        <v>0</v>
      </c>
      <c r="N18" s="549">
        <f>'Water-Meter'!Q22</f>
        <v>0</v>
      </c>
      <c r="O18" s="548" t="e">
        <f>K18*E18+H18*I18+#REF!*#REF!+J18*L18</f>
        <v>#REF!</v>
      </c>
      <c r="P18" s="555">
        <f>'Water-Meter'!E22</f>
        <v>0</v>
      </c>
      <c r="Q18" s="291">
        <f>IF('Water-Meter'!U22&lt;0,"0",'Water-Meter'!U22)</f>
        <v>0</v>
      </c>
      <c r="R18" s="291">
        <f>IF('Water-Meter'!X22&lt;0,"0",'Water-Meter'!X22)</f>
        <v>0</v>
      </c>
      <c r="S18" s="291">
        <f>IF('Water-Meter'!AA22&lt;0,"0",'Water-Meter'!AA22)</f>
        <v>0</v>
      </c>
      <c r="T18" s="291">
        <f>IF('Water-Meter'!AD22&lt;0,"0",'Water-Meter'!AD22)</f>
        <v>0</v>
      </c>
      <c r="U18" s="291">
        <f>IF('Water-Meter'!AG22&lt;0,"0",'Water-Meter'!AG22)</f>
        <v>0</v>
      </c>
      <c r="V18" s="291">
        <f>IF('Water-Meter'!AJ22&lt;0,"0",'Water-Meter'!AJ22)</f>
        <v>0</v>
      </c>
      <c r="W18" s="31">
        <f>'Water-Meter'!AN22</f>
        <v>0</v>
      </c>
      <c r="X18" s="566">
        <f>Total!K18</f>
        <v>0</v>
      </c>
    </row>
    <row r="19" spans="1:24">
      <c r="A19" s="550" t="s">
        <v>284</v>
      </c>
      <c r="B19" s="547">
        <f t="shared" si="0"/>
        <v>18</v>
      </c>
      <c r="C19" s="553">
        <v>5</v>
      </c>
      <c r="D19" s="554">
        <v>2020</v>
      </c>
      <c r="E19" s="548">
        <f>'UTILITY REPORT 1'!I20</f>
        <v>0</v>
      </c>
      <c r="F19" s="548">
        <f>'UTILITY REPORT 1'!E20</f>
        <v>0</v>
      </c>
      <c r="G19" s="549">
        <f>'UTILITY REPORT 1'!F20</f>
        <v>0</v>
      </c>
      <c r="H19" s="548">
        <f>IF('Kit report'!F21&lt;0,"0",'Kit report'!F21)</f>
        <v>0</v>
      </c>
      <c r="I19" s="548">
        <f>IF('Kit report'!X21&lt;0,"0",'Kit report'!X21)</f>
        <v>0</v>
      </c>
      <c r="J19" s="548">
        <f>IF('Utility summery'!H23&lt;0,"0",'Utility summery'!H23)</f>
        <v>0</v>
      </c>
      <c r="K19" s="549">
        <f>IF('UTILITY REPORT 1'!H20&lt;0,"0",'UTILITY REPORT 1'!H20)</f>
        <v>0</v>
      </c>
      <c r="L19" s="548">
        <f>'Water-Meter'!K23</f>
        <v>0</v>
      </c>
      <c r="M19" s="549">
        <f>'Water-Meter'!H23</f>
        <v>0</v>
      </c>
      <c r="N19" s="549">
        <f>'Water-Meter'!Q23</f>
        <v>0</v>
      </c>
      <c r="O19" s="548" t="e">
        <f>K19*E19+H19*I19+#REF!*#REF!+J19*L19</f>
        <v>#REF!</v>
      </c>
      <c r="P19" s="555">
        <f>'Water-Meter'!E23</f>
        <v>0</v>
      </c>
      <c r="Q19" s="291">
        <f>IF('Water-Meter'!U23&lt;0,"0",'Water-Meter'!U23)</f>
        <v>0</v>
      </c>
      <c r="R19" s="291">
        <f>IF('Water-Meter'!X23&lt;0,"0",'Water-Meter'!X23)</f>
        <v>0</v>
      </c>
      <c r="S19" s="291">
        <f>IF('Water-Meter'!AA23&lt;0,"0",'Water-Meter'!AA23)</f>
        <v>0</v>
      </c>
      <c r="T19" s="291">
        <f>IF('Water-Meter'!AD23&lt;0,"0",'Water-Meter'!AD23)</f>
        <v>0</v>
      </c>
      <c r="U19" s="291">
        <f>IF('Water-Meter'!AG23&lt;0,"0",'Water-Meter'!AG23)</f>
        <v>0</v>
      </c>
      <c r="V19" s="291">
        <f>IF('Water-Meter'!AJ23&lt;0,"0",'Water-Meter'!AJ23)</f>
        <v>0</v>
      </c>
      <c r="W19" s="31">
        <f>'Water-Meter'!AN23</f>
        <v>0</v>
      </c>
      <c r="X19" s="566">
        <f>Total!K19</f>
        <v>0</v>
      </c>
    </row>
    <row r="20" spans="1:24">
      <c r="A20" s="550" t="s">
        <v>284</v>
      </c>
      <c r="B20" s="547">
        <f t="shared" si="0"/>
        <v>19</v>
      </c>
      <c r="C20" s="553">
        <v>5</v>
      </c>
      <c r="D20" s="554">
        <v>2020</v>
      </c>
      <c r="E20" s="548">
        <f>'UTILITY REPORT 1'!I21</f>
        <v>0</v>
      </c>
      <c r="F20" s="548">
        <f>'UTILITY REPORT 1'!E21</f>
        <v>0</v>
      </c>
      <c r="G20" s="549">
        <f>'UTILITY REPORT 1'!F21</f>
        <v>0</v>
      </c>
      <c r="H20" s="548">
        <f>IF('Kit report'!F22&lt;0,"0",'Kit report'!F22)</f>
        <v>0</v>
      </c>
      <c r="I20" s="548">
        <f>IF('Kit report'!X22&lt;0,"0",'Kit report'!X22)</f>
        <v>0</v>
      </c>
      <c r="J20" s="548">
        <f>IF('Utility summery'!H24&lt;0,"0",'Utility summery'!H24)</f>
        <v>0</v>
      </c>
      <c r="K20" s="549">
        <f>IF('UTILITY REPORT 1'!H21&lt;0,"0",'UTILITY REPORT 1'!H21)</f>
        <v>0</v>
      </c>
      <c r="L20" s="548">
        <f>'Water-Meter'!K24</f>
        <v>0</v>
      </c>
      <c r="M20" s="549">
        <f>'Water-Meter'!H24</f>
        <v>0</v>
      </c>
      <c r="N20" s="549">
        <f>'Water-Meter'!Q24</f>
        <v>0</v>
      </c>
      <c r="O20" s="548" t="e">
        <f>K20*E20+H20*I20+#REF!*#REF!+J20*L20</f>
        <v>#REF!</v>
      </c>
      <c r="P20" s="555">
        <f>'Water-Meter'!E24</f>
        <v>0</v>
      </c>
      <c r="Q20" s="291">
        <f>IF('Water-Meter'!U24&lt;0,"0",'Water-Meter'!U24)</f>
        <v>0</v>
      </c>
      <c r="R20" s="291">
        <f>IF('Water-Meter'!X24&lt;0,"0",'Water-Meter'!X24)</f>
        <v>0</v>
      </c>
      <c r="S20" s="291">
        <f>IF('Water-Meter'!AA24&lt;0,"0",'Water-Meter'!AA24)</f>
        <v>0</v>
      </c>
      <c r="T20" s="291">
        <f>IF('Water-Meter'!AD24&lt;0,"0",'Water-Meter'!AD24)</f>
        <v>0</v>
      </c>
      <c r="U20" s="291">
        <f>IF('Water-Meter'!AG24&lt;0,"0",'Water-Meter'!AG24)</f>
        <v>0</v>
      </c>
      <c r="V20" s="291">
        <f>IF('Water-Meter'!AJ24&lt;0,"0",'Water-Meter'!AJ24)</f>
        <v>0</v>
      </c>
      <c r="W20" s="31">
        <f>'Water-Meter'!AN24</f>
        <v>0</v>
      </c>
      <c r="X20" s="566">
        <f>Total!K20</f>
        <v>0</v>
      </c>
    </row>
    <row r="21" spans="1:24">
      <c r="A21" s="550" t="s">
        <v>284</v>
      </c>
      <c r="B21" s="547">
        <f t="shared" si="0"/>
        <v>20</v>
      </c>
      <c r="C21" s="553">
        <v>5</v>
      </c>
      <c r="D21" s="554">
        <v>2020</v>
      </c>
      <c r="E21" s="548">
        <f>'UTILITY REPORT 1'!I22</f>
        <v>0</v>
      </c>
      <c r="F21" s="548">
        <f>'UTILITY REPORT 1'!E22</f>
        <v>0</v>
      </c>
      <c r="G21" s="549">
        <f>'UTILITY REPORT 1'!F22</f>
        <v>0</v>
      </c>
      <c r="H21" s="548">
        <f>IF('Kit report'!F23&lt;0,"0",'Kit report'!F23)</f>
        <v>0</v>
      </c>
      <c r="I21" s="548">
        <f>IF('Kit report'!X23&lt;0,"0",'Kit report'!X23)</f>
        <v>0</v>
      </c>
      <c r="J21" s="548">
        <f>IF('Utility summery'!H25&lt;0,"0",'Utility summery'!H25)</f>
        <v>0</v>
      </c>
      <c r="K21" s="549">
        <f>IF('UTILITY REPORT 1'!H22&lt;0,"0",'UTILITY REPORT 1'!H22)</f>
        <v>0</v>
      </c>
      <c r="L21" s="548">
        <f>'Water-Meter'!K25</f>
        <v>0</v>
      </c>
      <c r="M21" s="549">
        <f>'Water-Meter'!H25</f>
        <v>0</v>
      </c>
      <c r="N21" s="549">
        <f>'Water-Meter'!Q25</f>
        <v>0</v>
      </c>
      <c r="O21" s="548" t="e">
        <f>K21*E21+H21*I21+#REF!*#REF!+J21*L21</f>
        <v>#REF!</v>
      </c>
      <c r="P21" s="555">
        <f>'Water-Meter'!E25</f>
        <v>0</v>
      </c>
      <c r="Q21" s="291">
        <f>IF('Water-Meter'!U25&lt;0,"0",'Water-Meter'!U25)</f>
        <v>0</v>
      </c>
      <c r="R21" s="291">
        <f>IF('Water-Meter'!X25&lt;0,"0",'Water-Meter'!X25)</f>
        <v>0</v>
      </c>
      <c r="S21" s="291">
        <f>IF('Water-Meter'!AA25&lt;0,"0",'Water-Meter'!AA25)</f>
        <v>0</v>
      </c>
      <c r="T21" s="291">
        <f>IF('Water-Meter'!AD25&lt;0,"0",'Water-Meter'!AD25)</f>
        <v>0</v>
      </c>
      <c r="U21" s="291">
        <f>IF('Water-Meter'!AG25&lt;0,"0",'Water-Meter'!AG25)</f>
        <v>0</v>
      </c>
      <c r="V21" s="291">
        <f>IF('Water-Meter'!AJ25&lt;0,"0",'Water-Meter'!AJ25)</f>
        <v>0</v>
      </c>
      <c r="W21" s="31">
        <f>'Water-Meter'!AN25</f>
        <v>0</v>
      </c>
      <c r="X21" s="566">
        <f>Total!K21</f>
        <v>0</v>
      </c>
    </row>
    <row r="22" spans="1:24">
      <c r="A22" s="550" t="s">
        <v>284</v>
      </c>
      <c r="B22" s="547">
        <f t="shared" si="0"/>
        <v>21</v>
      </c>
      <c r="C22" s="553">
        <v>5</v>
      </c>
      <c r="D22" s="554">
        <v>2020</v>
      </c>
      <c r="E22" s="548">
        <f>'UTILITY REPORT 1'!I23</f>
        <v>0</v>
      </c>
      <c r="F22" s="548">
        <f>'UTILITY REPORT 1'!E23</f>
        <v>0</v>
      </c>
      <c r="G22" s="549">
        <f>'UTILITY REPORT 1'!F23</f>
        <v>0</v>
      </c>
      <c r="H22" s="548">
        <f>IF('Kit report'!F24&lt;0,"0",'Kit report'!F24)</f>
        <v>0</v>
      </c>
      <c r="I22" s="548">
        <f>IF('Kit report'!X24&lt;0,"0",'Kit report'!X24)</f>
        <v>0</v>
      </c>
      <c r="J22" s="548">
        <f>IF('Utility summery'!H26&lt;0,"0",'Utility summery'!H26)</f>
        <v>0</v>
      </c>
      <c r="K22" s="549">
        <f>IF('UTILITY REPORT 1'!H23&lt;0,"0",'UTILITY REPORT 1'!H23)</f>
        <v>0</v>
      </c>
      <c r="L22" s="548">
        <f>'Water-Meter'!K26</f>
        <v>0</v>
      </c>
      <c r="M22" s="549">
        <f>'Water-Meter'!H26</f>
        <v>0</v>
      </c>
      <c r="N22" s="549">
        <f>'Water-Meter'!Q26</f>
        <v>0</v>
      </c>
      <c r="O22" s="548" t="e">
        <f>K22*E22+H22*I22+#REF!*#REF!+J22*L22</f>
        <v>#REF!</v>
      </c>
      <c r="P22" s="555">
        <f>'Water-Meter'!E26</f>
        <v>0</v>
      </c>
      <c r="Q22" s="291">
        <f>IF('Water-Meter'!U26&lt;0,"0",'Water-Meter'!U26)</f>
        <v>0</v>
      </c>
      <c r="R22" s="291">
        <f>IF('Water-Meter'!X26&lt;0,"0",'Water-Meter'!X26)</f>
        <v>0</v>
      </c>
      <c r="S22" s="291">
        <f>IF('Water-Meter'!AA26&lt;0,"0",'Water-Meter'!AA26)</f>
        <v>0</v>
      </c>
      <c r="T22" s="291">
        <f>IF('Water-Meter'!AD26&lt;0,"0",'Water-Meter'!AD26)</f>
        <v>0</v>
      </c>
      <c r="U22" s="291">
        <f>IF('Water-Meter'!AG26&lt;0,"0",'Water-Meter'!AG26)</f>
        <v>0</v>
      </c>
      <c r="V22" s="291">
        <f>IF('Water-Meter'!AJ26&lt;0,"0",'Water-Meter'!AJ26)</f>
        <v>0</v>
      </c>
      <c r="W22" s="31">
        <f>'Water-Meter'!AN26</f>
        <v>0</v>
      </c>
      <c r="X22" s="566">
        <f>Total!K22</f>
        <v>0</v>
      </c>
    </row>
    <row r="23" spans="1:24">
      <c r="A23" s="550" t="s">
        <v>284</v>
      </c>
      <c r="B23" s="547">
        <f t="shared" si="0"/>
        <v>22</v>
      </c>
      <c r="C23" s="553">
        <v>5</v>
      </c>
      <c r="D23" s="554">
        <v>2020</v>
      </c>
      <c r="E23" s="548">
        <f>'UTILITY REPORT 1'!I24</f>
        <v>0</v>
      </c>
      <c r="F23" s="548">
        <f>'UTILITY REPORT 1'!E24</f>
        <v>0</v>
      </c>
      <c r="G23" s="549">
        <f>'UTILITY REPORT 1'!F24</f>
        <v>0</v>
      </c>
      <c r="H23" s="548">
        <f>IF('Kit report'!F25&lt;0,"0",'Kit report'!F25)</f>
        <v>0</v>
      </c>
      <c r="I23" s="548">
        <f>IF('Kit report'!X25&lt;0,"0",'Kit report'!X25)</f>
        <v>0</v>
      </c>
      <c r="J23" s="548">
        <f>IF('Utility summery'!H27&lt;0,"0",'Utility summery'!H27)</f>
        <v>0</v>
      </c>
      <c r="K23" s="549">
        <f>IF('UTILITY REPORT 1'!H24&lt;0,"0",'UTILITY REPORT 1'!H24)</f>
        <v>0</v>
      </c>
      <c r="L23" s="548">
        <f>'Water-Meter'!K27</f>
        <v>0</v>
      </c>
      <c r="M23" s="549">
        <f>'Water-Meter'!H27</f>
        <v>0</v>
      </c>
      <c r="N23" s="549">
        <f>'Water-Meter'!Q27</f>
        <v>0</v>
      </c>
      <c r="O23" s="548" t="e">
        <f>K23*E23+H23*I23+#REF!*#REF!+J23*L23</f>
        <v>#REF!</v>
      </c>
      <c r="P23" s="555">
        <f>'Water-Meter'!E27</f>
        <v>0</v>
      </c>
      <c r="Q23" s="291">
        <f>IF('Water-Meter'!U27&lt;0,"0",'Water-Meter'!U27)</f>
        <v>0</v>
      </c>
      <c r="R23" s="291">
        <f>IF('Water-Meter'!X27&lt;0,"0",'Water-Meter'!X27)</f>
        <v>0</v>
      </c>
      <c r="S23" s="291">
        <f>IF('Water-Meter'!AA27&lt;0,"0",'Water-Meter'!AA27)</f>
        <v>0</v>
      </c>
      <c r="T23" s="291">
        <f>IF('Water-Meter'!AD27&lt;0,"0",'Water-Meter'!AD27)</f>
        <v>0</v>
      </c>
      <c r="U23" s="291">
        <f>IF('Water-Meter'!AG27&lt;0,"0",'Water-Meter'!AG27)</f>
        <v>0</v>
      </c>
      <c r="V23" s="291">
        <f>IF('Water-Meter'!AJ27&lt;0,"0",'Water-Meter'!AJ27)</f>
        <v>0</v>
      </c>
      <c r="W23" s="31">
        <f>'Water-Meter'!AN27</f>
        <v>0</v>
      </c>
      <c r="X23" s="566">
        <f>Total!K23</f>
        <v>0</v>
      </c>
    </row>
    <row r="24" spans="1:24">
      <c r="A24" s="550" t="s">
        <v>284</v>
      </c>
      <c r="B24" s="547">
        <f t="shared" si="0"/>
        <v>23</v>
      </c>
      <c r="C24" s="553">
        <v>5</v>
      </c>
      <c r="D24" s="554">
        <v>2020</v>
      </c>
      <c r="E24" s="548">
        <f>'UTILITY REPORT 1'!I25</f>
        <v>0</v>
      </c>
      <c r="F24" s="548">
        <f>'UTILITY REPORT 1'!E25</f>
        <v>0</v>
      </c>
      <c r="G24" s="549">
        <f>'UTILITY REPORT 1'!F25</f>
        <v>0</v>
      </c>
      <c r="H24" s="548">
        <f>IF('Kit report'!F26&lt;0,"0",'Kit report'!F26)</f>
        <v>0</v>
      </c>
      <c r="I24" s="548">
        <f>IF('Kit report'!X26&lt;0,"0",'Kit report'!X26)</f>
        <v>0</v>
      </c>
      <c r="J24" s="548">
        <f>IF('Utility summery'!H28&lt;0,"0",'Utility summery'!H28)</f>
        <v>0</v>
      </c>
      <c r="K24" s="549">
        <f>IF('UTILITY REPORT 1'!H25&lt;0,"0",'UTILITY REPORT 1'!H25)</f>
        <v>0</v>
      </c>
      <c r="L24" s="548">
        <f>'Water-Meter'!K28</f>
        <v>0</v>
      </c>
      <c r="M24" s="549">
        <f>'Water-Meter'!H28</f>
        <v>0</v>
      </c>
      <c r="N24" s="549">
        <f>'Water-Meter'!Q28</f>
        <v>0</v>
      </c>
      <c r="O24" s="548" t="e">
        <f>K24*E24+H24*I24+#REF!*#REF!+J24*L24</f>
        <v>#REF!</v>
      </c>
      <c r="P24" s="555">
        <f>'Water-Meter'!E28</f>
        <v>0</v>
      </c>
      <c r="Q24" s="291">
        <f>IF('Water-Meter'!U28&lt;0,"0",'Water-Meter'!U28)</f>
        <v>0</v>
      </c>
      <c r="R24" s="291">
        <f>IF('Water-Meter'!X28&lt;0,"0",'Water-Meter'!X28)</f>
        <v>0</v>
      </c>
      <c r="S24" s="291">
        <f>IF('Water-Meter'!AA28&lt;0,"0",'Water-Meter'!AA28)</f>
        <v>0</v>
      </c>
      <c r="T24" s="291">
        <f>IF('Water-Meter'!AD28&lt;0,"0",'Water-Meter'!AD28)</f>
        <v>0</v>
      </c>
      <c r="U24" s="291">
        <f>IF('Water-Meter'!AG28&lt;0,"0",'Water-Meter'!AG28)</f>
        <v>0</v>
      </c>
      <c r="V24" s="291">
        <f>IF('Water-Meter'!AJ28&lt;0,"0",'Water-Meter'!AJ28)</f>
        <v>0</v>
      </c>
      <c r="W24" s="31">
        <f>'Water-Meter'!AN28</f>
        <v>0</v>
      </c>
      <c r="X24" s="566">
        <f>Total!K24</f>
        <v>0</v>
      </c>
    </row>
    <row r="25" spans="1:24">
      <c r="A25" s="550" t="s">
        <v>284</v>
      </c>
      <c r="B25" s="547">
        <f t="shared" si="0"/>
        <v>24</v>
      </c>
      <c r="C25" s="553">
        <v>5</v>
      </c>
      <c r="D25" s="554">
        <v>2020</v>
      </c>
      <c r="E25" s="548">
        <f>'UTILITY REPORT 1'!I26</f>
        <v>0</v>
      </c>
      <c r="F25" s="548">
        <f>'UTILITY REPORT 1'!E26</f>
        <v>0</v>
      </c>
      <c r="G25" s="549">
        <f>'UTILITY REPORT 1'!F26</f>
        <v>0</v>
      </c>
      <c r="H25" s="548">
        <f>IF('Kit report'!F27&lt;0,"0",'Kit report'!F27)</f>
        <v>0</v>
      </c>
      <c r="I25" s="548">
        <f>IF('Kit report'!X27&lt;0,"0",'Kit report'!X27)</f>
        <v>0</v>
      </c>
      <c r="J25" s="548">
        <f>IF('Utility summery'!H29&lt;0,"0",'Utility summery'!H29)</f>
        <v>0</v>
      </c>
      <c r="K25" s="549">
        <f>IF('UTILITY REPORT 1'!H26&lt;0,"0",'UTILITY REPORT 1'!H26)</f>
        <v>0</v>
      </c>
      <c r="L25" s="548">
        <f>'Water-Meter'!K29</f>
        <v>0</v>
      </c>
      <c r="M25" s="549">
        <f>'Water-Meter'!H29</f>
        <v>0</v>
      </c>
      <c r="N25" s="549">
        <f>'Water-Meter'!Q29</f>
        <v>0</v>
      </c>
      <c r="O25" s="548" t="e">
        <f>K25*E25+H25*I25+#REF!*#REF!+J25*L25</f>
        <v>#REF!</v>
      </c>
      <c r="P25" s="555">
        <f>'Water-Meter'!E29</f>
        <v>0</v>
      </c>
      <c r="Q25" s="291">
        <f>IF('Water-Meter'!U29&lt;0,"0",'Water-Meter'!U29)</f>
        <v>0</v>
      </c>
      <c r="R25" s="291">
        <f>IF('Water-Meter'!X29&lt;0,"0",'Water-Meter'!X29)</f>
        <v>0</v>
      </c>
      <c r="S25" s="291">
        <f>IF('Water-Meter'!AA29&lt;0,"0",'Water-Meter'!AA29)</f>
        <v>0</v>
      </c>
      <c r="T25" s="291">
        <f>IF('Water-Meter'!AD29&lt;0,"0",'Water-Meter'!AD29)</f>
        <v>0</v>
      </c>
      <c r="U25" s="291">
        <f>IF('Water-Meter'!AG29&lt;0,"0",'Water-Meter'!AG29)</f>
        <v>0</v>
      </c>
      <c r="V25" s="291">
        <f>IF('Water-Meter'!AJ29&lt;0,"0",'Water-Meter'!AJ29)</f>
        <v>0</v>
      </c>
      <c r="W25" s="31">
        <f>'Water-Meter'!AN29</f>
        <v>0</v>
      </c>
      <c r="X25" s="566">
        <f>Total!K25</f>
        <v>0</v>
      </c>
    </row>
    <row r="26" spans="1:24">
      <c r="A26" s="550" t="s">
        <v>284</v>
      </c>
      <c r="B26" s="547">
        <f>B25+1</f>
        <v>25</v>
      </c>
      <c r="C26" s="553">
        <v>5</v>
      </c>
      <c r="D26" s="554">
        <v>2020</v>
      </c>
      <c r="E26" s="548">
        <f>'UTILITY REPORT 1'!I27</f>
        <v>0</v>
      </c>
      <c r="F26" s="548">
        <f>'UTILITY REPORT 1'!E27</f>
        <v>0</v>
      </c>
      <c r="G26" s="549">
        <f>'UTILITY REPORT 1'!F27</f>
        <v>0</v>
      </c>
      <c r="H26" s="548">
        <f>IF('Kit report'!F28&lt;0,"0",'Kit report'!F28)</f>
        <v>0</v>
      </c>
      <c r="I26" s="548">
        <f>IF('Kit report'!X28&lt;0,"0",'Kit report'!X28)</f>
        <v>0</v>
      </c>
      <c r="J26" s="548">
        <f>IF('Utility summery'!H30&lt;0,"0",'Utility summery'!H30)</f>
        <v>0</v>
      </c>
      <c r="K26" s="549">
        <f>IF('UTILITY REPORT 1'!H27&lt;0,"0",'UTILITY REPORT 1'!H27)</f>
        <v>0</v>
      </c>
      <c r="L26" s="548">
        <f>'Water-Meter'!K30</f>
        <v>0</v>
      </c>
      <c r="M26" s="549">
        <f>'Water-Meter'!H30</f>
        <v>0</v>
      </c>
      <c r="N26" s="549">
        <f>'Water-Meter'!Q30</f>
        <v>0</v>
      </c>
      <c r="O26" s="548" t="e">
        <f>K26*E26+H26*I26+#REF!*#REF!+J26*L26</f>
        <v>#REF!</v>
      </c>
      <c r="P26" s="555">
        <f>'Water-Meter'!E30</f>
        <v>0</v>
      </c>
      <c r="Q26" s="291">
        <f>IF('Water-Meter'!U30&lt;0,"0",'Water-Meter'!U30)</f>
        <v>0</v>
      </c>
      <c r="R26" s="291">
        <f>IF('Water-Meter'!X30&lt;0,"0",'Water-Meter'!X30)</f>
        <v>0</v>
      </c>
      <c r="S26" s="291">
        <f>IF('Water-Meter'!AA30&lt;0,"0",'Water-Meter'!AA30)</f>
        <v>0</v>
      </c>
      <c r="T26" s="291">
        <f>IF('Water-Meter'!AD30&lt;0,"0",'Water-Meter'!AD30)</f>
        <v>0</v>
      </c>
      <c r="U26" s="291">
        <f>IF('Water-Meter'!AG30&lt;0,"0",'Water-Meter'!AG30)</f>
        <v>0</v>
      </c>
      <c r="V26" s="291">
        <f>IF('Water-Meter'!AJ30&lt;0,"0",'Water-Meter'!AJ30)</f>
        <v>0</v>
      </c>
      <c r="W26" s="31">
        <f>'Water-Meter'!AN30</f>
        <v>0</v>
      </c>
      <c r="X26" s="566">
        <f>Total!K26</f>
        <v>0</v>
      </c>
    </row>
    <row r="27" spans="1:24">
      <c r="A27" s="550" t="s">
        <v>284</v>
      </c>
      <c r="B27" s="547">
        <f t="shared" si="0"/>
        <v>26</v>
      </c>
      <c r="C27" s="553">
        <v>5</v>
      </c>
      <c r="D27" s="554">
        <v>2020</v>
      </c>
      <c r="E27" s="548">
        <f>'UTILITY REPORT 1'!I28</f>
        <v>0</v>
      </c>
      <c r="F27" s="548">
        <f>'UTILITY REPORT 1'!E28</f>
        <v>0</v>
      </c>
      <c r="G27" s="549">
        <f>'UTILITY REPORT 1'!F28</f>
        <v>0</v>
      </c>
      <c r="H27" s="548">
        <f>IF('Kit report'!F29&lt;0,"0",'Kit report'!F29)</f>
        <v>0</v>
      </c>
      <c r="I27" s="548">
        <f>IF('Kit report'!X29&lt;0,"0",'Kit report'!X29)</f>
        <v>0</v>
      </c>
      <c r="J27" s="548">
        <f>IF('Utility summery'!H31&lt;0,"0",'Utility summery'!H31)</f>
        <v>0</v>
      </c>
      <c r="K27" s="549">
        <f>IF('UTILITY REPORT 1'!H28&lt;0,"0",'UTILITY REPORT 1'!H28)</f>
        <v>0</v>
      </c>
      <c r="L27" s="548">
        <f>'Water-Meter'!K31</f>
        <v>0</v>
      </c>
      <c r="M27" s="549">
        <f>'Water-Meter'!H31</f>
        <v>0</v>
      </c>
      <c r="N27" s="549">
        <f>'Water-Meter'!Q31</f>
        <v>0</v>
      </c>
      <c r="O27" s="548" t="e">
        <f>K27*E27+H27*I27+#REF!*#REF!+J27*L27</f>
        <v>#REF!</v>
      </c>
      <c r="P27" s="555">
        <f>'Water-Meter'!E31</f>
        <v>0</v>
      </c>
      <c r="Q27" s="291">
        <f>IF('Water-Meter'!U31&lt;0,"0",'Water-Meter'!U31)</f>
        <v>0</v>
      </c>
      <c r="R27" s="291">
        <f>IF('Water-Meter'!X31&lt;0,"0",'Water-Meter'!X31)</f>
        <v>0</v>
      </c>
      <c r="S27" s="291">
        <f>IF('Water-Meter'!AA31&lt;0,"0",'Water-Meter'!AA31)</f>
        <v>0</v>
      </c>
      <c r="T27" s="291">
        <f>IF('Water-Meter'!AD31&lt;0,"0",'Water-Meter'!AD31)</f>
        <v>0</v>
      </c>
      <c r="U27" s="291">
        <f>IF('Water-Meter'!AG31&lt;0,"0",'Water-Meter'!AG31)</f>
        <v>0</v>
      </c>
      <c r="V27" s="291">
        <f>IF('Water-Meter'!AJ31&lt;0,"0",'Water-Meter'!AJ31)</f>
        <v>0</v>
      </c>
      <c r="W27" s="31">
        <f>'Water-Meter'!AN31</f>
        <v>0</v>
      </c>
      <c r="X27" s="566">
        <f>Total!K27</f>
        <v>0</v>
      </c>
    </row>
    <row r="28" spans="1:24">
      <c r="A28" s="550" t="s">
        <v>284</v>
      </c>
      <c r="B28" s="547">
        <f t="shared" si="0"/>
        <v>27</v>
      </c>
      <c r="C28" s="553">
        <v>5</v>
      </c>
      <c r="D28" s="554">
        <v>2020</v>
      </c>
      <c r="E28" s="548">
        <f>'UTILITY REPORT 1'!I29</f>
        <v>0</v>
      </c>
      <c r="F28" s="548">
        <f>'UTILITY REPORT 1'!E29</f>
        <v>0</v>
      </c>
      <c r="G28" s="549">
        <f>'UTILITY REPORT 1'!F29</f>
        <v>0</v>
      </c>
      <c r="H28" s="548">
        <f>IF('Kit report'!F30&lt;0,"0",'Kit report'!F30)</f>
        <v>0</v>
      </c>
      <c r="I28" s="548">
        <f>IF('Kit report'!X30&lt;0,"0",'Kit report'!X30)</f>
        <v>0</v>
      </c>
      <c r="J28" s="548">
        <f>IF('Utility summery'!H32&lt;0,"0",'Utility summery'!H32)</f>
        <v>0</v>
      </c>
      <c r="K28" s="549">
        <f>IF('UTILITY REPORT 1'!H29&lt;0,"0",'UTILITY REPORT 1'!H29)</f>
        <v>0</v>
      </c>
      <c r="L28" s="548">
        <f>'Water-Meter'!K32</f>
        <v>0</v>
      </c>
      <c r="M28" s="549">
        <f>'Water-Meter'!H32</f>
        <v>0</v>
      </c>
      <c r="N28" s="549">
        <f>'Water-Meter'!Q32</f>
        <v>0</v>
      </c>
      <c r="O28" s="548" t="e">
        <f>K28*E28+H28*I28+#REF!*#REF!+J28*L28</f>
        <v>#REF!</v>
      </c>
      <c r="P28" s="555">
        <f>'Water-Meter'!E32</f>
        <v>0</v>
      </c>
      <c r="Q28" s="291">
        <f>IF('Water-Meter'!U32&lt;0,"0",'Water-Meter'!U32)</f>
        <v>0</v>
      </c>
      <c r="R28" s="291">
        <f>IF('Water-Meter'!X32&lt;0,"0",'Water-Meter'!X32)</f>
        <v>0</v>
      </c>
      <c r="S28" s="291">
        <f>IF('Water-Meter'!AA32&lt;0,"0",'Water-Meter'!AA32)</f>
        <v>0</v>
      </c>
      <c r="T28" s="291">
        <f>IF('Water-Meter'!AD32&lt;0,"0",'Water-Meter'!AD32)</f>
        <v>0</v>
      </c>
      <c r="U28" s="291">
        <f>IF('Water-Meter'!AG32&lt;0,"0",'Water-Meter'!AG32)</f>
        <v>0</v>
      </c>
      <c r="V28" s="291">
        <f>IF('Water-Meter'!AJ32&lt;0,"0",'Water-Meter'!AJ32)</f>
        <v>0</v>
      </c>
      <c r="W28" s="31">
        <f>'Water-Meter'!AN32</f>
        <v>0</v>
      </c>
      <c r="X28" s="566">
        <f>Total!K28</f>
        <v>0</v>
      </c>
    </row>
    <row r="29" spans="1:24">
      <c r="A29" s="550" t="s">
        <v>284</v>
      </c>
      <c r="B29" s="547">
        <f t="shared" si="0"/>
        <v>28</v>
      </c>
      <c r="C29" s="553">
        <v>5</v>
      </c>
      <c r="D29" s="554">
        <v>2020</v>
      </c>
      <c r="E29" s="548">
        <f>'UTILITY REPORT 1'!I30</f>
        <v>0</v>
      </c>
      <c r="F29" s="548">
        <f>'UTILITY REPORT 1'!E30</f>
        <v>0</v>
      </c>
      <c r="G29" s="549">
        <f>'UTILITY REPORT 1'!F30</f>
        <v>0</v>
      </c>
      <c r="H29" s="548">
        <f>IF('Kit report'!F31&lt;0,"0",'Kit report'!F31)</f>
        <v>0</v>
      </c>
      <c r="I29" s="548">
        <f>IF('Kit report'!X31&lt;0,"0",'Kit report'!X31)</f>
        <v>0</v>
      </c>
      <c r="J29" s="548">
        <f>IF('Utility summery'!H33&lt;0,"0",'Utility summery'!H33)</f>
        <v>0</v>
      </c>
      <c r="K29" s="549">
        <f>IF('UTILITY REPORT 1'!H30&lt;0,"0",'UTILITY REPORT 1'!H30)</f>
        <v>0</v>
      </c>
      <c r="L29" s="548">
        <f>'Water-Meter'!K33</f>
        <v>0</v>
      </c>
      <c r="M29" s="549">
        <f>'Water-Meter'!H33</f>
        <v>0</v>
      </c>
      <c r="N29" s="549">
        <f>'Water-Meter'!Q33</f>
        <v>0</v>
      </c>
      <c r="O29" s="548" t="e">
        <f>K29*E29+H29*I29+#REF!*#REF!+J29*L29</f>
        <v>#REF!</v>
      </c>
      <c r="P29" s="555">
        <f>'Water-Meter'!E33</f>
        <v>0</v>
      </c>
      <c r="Q29" s="291">
        <f>IF('Water-Meter'!U33&lt;0,"0",'Water-Meter'!U33)</f>
        <v>0</v>
      </c>
      <c r="R29" s="291">
        <f>IF('Water-Meter'!X33&lt;0,"0",'Water-Meter'!X33)</f>
        <v>0</v>
      </c>
      <c r="S29" s="291">
        <f>IF('Water-Meter'!AA33&lt;0,"0",'Water-Meter'!AA33)</f>
        <v>0</v>
      </c>
      <c r="T29" s="291">
        <f>IF('Water-Meter'!AD33&lt;0,"0",'Water-Meter'!AD33)</f>
        <v>0</v>
      </c>
      <c r="U29" s="291">
        <f>IF('Water-Meter'!AG33&lt;0,"0",'Water-Meter'!AG33)</f>
        <v>0</v>
      </c>
      <c r="V29" s="291">
        <f>IF('Water-Meter'!AJ33&lt;0,"0",'Water-Meter'!AJ33)</f>
        <v>0</v>
      </c>
      <c r="W29" s="31">
        <f>'Water-Meter'!AN33</f>
        <v>0</v>
      </c>
      <c r="X29" s="566">
        <f>Total!K29</f>
        <v>0</v>
      </c>
    </row>
    <row r="30" spans="1:24">
      <c r="A30" s="550" t="s">
        <v>284</v>
      </c>
      <c r="B30" s="547">
        <f t="shared" si="0"/>
        <v>29</v>
      </c>
      <c r="C30" s="553">
        <v>5</v>
      </c>
      <c r="D30" s="554">
        <v>2020</v>
      </c>
      <c r="E30" s="548">
        <f>'UTILITY REPORT 1'!I31</f>
        <v>0</v>
      </c>
      <c r="F30" s="548">
        <f>'UTILITY REPORT 1'!E31</f>
        <v>0</v>
      </c>
      <c r="G30" s="549">
        <f>'UTILITY REPORT 1'!F31</f>
        <v>0</v>
      </c>
      <c r="H30" s="548">
        <f>IF('Kit report'!F32&lt;0,"0",'Kit report'!F32)</f>
        <v>0</v>
      </c>
      <c r="I30" s="548">
        <f>IF('Kit report'!X32&lt;0,"0",'Kit report'!X32)</f>
        <v>0</v>
      </c>
      <c r="J30" s="548">
        <f>IF('Utility summery'!H34&lt;0,"0",'Utility summery'!H34)</f>
        <v>0</v>
      </c>
      <c r="K30" s="549">
        <f>IF('UTILITY REPORT 1'!H31&lt;0,"0",'UTILITY REPORT 1'!H31)</f>
        <v>0</v>
      </c>
      <c r="L30" s="548">
        <f>'Water-Meter'!K34</f>
        <v>0</v>
      </c>
      <c r="M30" s="549">
        <f>'Water-Meter'!H34</f>
        <v>0</v>
      </c>
      <c r="N30" s="549">
        <f>'Water-Meter'!Q34</f>
        <v>0</v>
      </c>
      <c r="O30" s="548" t="e">
        <f>K30*E30+H30*I30+#REF!*#REF!+J30*L30</f>
        <v>#REF!</v>
      </c>
      <c r="P30" s="555">
        <f>'Water-Meter'!E34</f>
        <v>0</v>
      </c>
      <c r="Q30" s="291">
        <f>IF('Water-Meter'!U34&lt;0,"0",'Water-Meter'!U34)</f>
        <v>0</v>
      </c>
      <c r="R30" s="291">
        <f>IF('Water-Meter'!X34&lt;0,"0",'Water-Meter'!X34)</f>
        <v>0</v>
      </c>
      <c r="S30" s="291">
        <f>IF('Water-Meter'!AA34&lt;0,"0",'Water-Meter'!AA34)</f>
        <v>0</v>
      </c>
      <c r="T30" s="291">
        <f>IF('Water-Meter'!AD34&lt;0,"0",'Water-Meter'!AD34)</f>
        <v>0</v>
      </c>
      <c r="U30" s="291">
        <f>IF('Water-Meter'!AG34&lt;0,"0",'Water-Meter'!AG34)</f>
        <v>0</v>
      </c>
      <c r="V30" s="291">
        <f>IF('Water-Meter'!AJ34&lt;0,"0",'Water-Meter'!AJ34)</f>
        <v>0</v>
      </c>
      <c r="W30" s="31">
        <f>'Water-Meter'!AN34</f>
        <v>0</v>
      </c>
      <c r="X30" s="566">
        <f>Total!K30</f>
        <v>0</v>
      </c>
    </row>
    <row r="31" spans="1:24">
      <c r="A31" s="550" t="s">
        <v>284</v>
      </c>
      <c r="B31" s="547">
        <v>30</v>
      </c>
      <c r="C31" s="553">
        <v>5</v>
      </c>
      <c r="D31" s="554">
        <v>2020</v>
      </c>
      <c r="E31" s="548">
        <f>'UTILITY REPORT 1'!I32</f>
        <v>0</v>
      </c>
      <c r="F31" s="548">
        <f>'UTILITY REPORT 1'!E32</f>
        <v>0</v>
      </c>
      <c r="G31" s="549">
        <f>'UTILITY REPORT 1'!F32</f>
        <v>0</v>
      </c>
      <c r="H31" s="548">
        <f>IF('Kit report'!F33&lt;0,"0",'Kit report'!F33)</f>
        <v>0</v>
      </c>
      <c r="I31" s="548">
        <f>IF('Kit report'!X33&lt;0,"0",'Kit report'!X33)</f>
        <v>0</v>
      </c>
      <c r="J31" s="548">
        <f>IF('Utility summery'!H35&lt;0,"0",'Utility summery'!H35)</f>
        <v>0</v>
      </c>
      <c r="K31" s="549">
        <f>IF('UTILITY REPORT 1'!H32&lt;0,"0",'UTILITY REPORT 1'!H32)</f>
        <v>0</v>
      </c>
      <c r="L31" s="548">
        <f>'Water-Meter'!K35</f>
        <v>0</v>
      </c>
      <c r="M31" s="549">
        <f>'Water-Meter'!H35</f>
        <v>0</v>
      </c>
      <c r="N31" s="549">
        <f>'Water-Meter'!Q35</f>
        <v>0</v>
      </c>
      <c r="O31" s="548" t="e">
        <f>K31*E31+H31*I31+#REF!*#REF!+J31*L31</f>
        <v>#REF!</v>
      </c>
      <c r="P31" s="555">
        <f>'Water-Meter'!E35</f>
        <v>0</v>
      </c>
      <c r="Q31" s="291">
        <f>IF('Water-Meter'!U35&lt;0,"0",'Water-Meter'!U35)</f>
        <v>0</v>
      </c>
      <c r="R31" s="291">
        <f>IF('Water-Meter'!X35&lt;0,"0",'Water-Meter'!X35)</f>
        <v>0</v>
      </c>
      <c r="S31" s="291">
        <f>IF('Water-Meter'!AA35&lt;0,"0",'Water-Meter'!AA35)</f>
        <v>0</v>
      </c>
      <c r="T31" s="291">
        <f>IF('Water-Meter'!AD35&lt;0,"0",'Water-Meter'!AD35)</f>
        <v>0</v>
      </c>
      <c r="U31" s="291">
        <f>IF('Water-Meter'!AG35&lt;0,"0",'Water-Meter'!AG35)</f>
        <v>0</v>
      </c>
      <c r="V31" s="291">
        <f>IF('Water-Meter'!AJ35&lt;0,"0",'Water-Meter'!AJ35)</f>
        <v>0</v>
      </c>
      <c r="W31" s="31">
        <f>'Water-Meter'!AN35</f>
        <v>0</v>
      </c>
      <c r="X31" s="566">
        <f>Total!K31</f>
        <v>0</v>
      </c>
    </row>
    <row r="32" spans="1:24">
      <c r="A32" s="550" t="s">
        <v>284</v>
      </c>
      <c r="B32" s="547">
        <v>31</v>
      </c>
      <c r="C32" s="553">
        <v>5</v>
      </c>
      <c r="D32" s="554">
        <v>2020</v>
      </c>
      <c r="E32" s="548">
        <f>'UTILITY REPORT 1'!I33</f>
        <v>0</v>
      </c>
      <c r="F32" s="548">
        <f>'UTILITY REPORT 1'!E33</f>
        <v>0</v>
      </c>
      <c r="G32" s="549">
        <f>'UTILITY REPORT 1'!F33</f>
        <v>0</v>
      </c>
      <c r="H32" s="548">
        <f>IF('Kit report'!F34&lt;0,"0",'Kit report'!F34)</f>
        <v>0</v>
      </c>
      <c r="I32" s="548">
        <f>IF('Kit report'!X34&lt;0,"0",'Kit report'!X34)</f>
        <v>0</v>
      </c>
      <c r="J32" s="548">
        <f>IF('Utility summery'!H36&lt;0,"0",'Utility summery'!H36)</f>
        <v>0</v>
      </c>
      <c r="K32" s="549">
        <f>IF('UTILITY REPORT 1'!H33&lt;0,"0",'UTILITY REPORT 1'!H33)</f>
        <v>0</v>
      </c>
      <c r="L32" s="548">
        <f>'Water-Meter'!K36</f>
        <v>0</v>
      </c>
      <c r="M32" s="549">
        <f>'Water-Meter'!H36</f>
        <v>0</v>
      </c>
      <c r="N32" s="549">
        <f>'Water-Meter'!Q36</f>
        <v>0</v>
      </c>
      <c r="O32" s="291"/>
      <c r="P32" s="555">
        <f>'Water-Meter'!E36</f>
        <v>0</v>
      </c>
      <c r="Q32" s="291">
        <f>IF('Water-Meter'!U36&lt;0,"0",'Water-Meter'!U36)</f>
        <v>0</v>
      </c>
      <c r="R32" s="291">
        <f>IF('Water-Meter'!X36&lt;0,"0",'Water-Meter'!X36)</f>
        <v>0</v>
      </c>
      <c r="S32" s="291">
        <f>IF('Water-Meter'!AA36&lt;0,"0",'Water-Meter'!AA36)</f>
        <v>0</v>
      </c>
      <c r="T32" s="291">
        <f>IF('Water-Meter'!AD36&lt;0,"0",'Water-Meter'!AD36)</f>
        <v>0</v>
      </c>
      <c r="U32" s="291">
        <f>IF('Water-Meter'!AG36&lt;0,"0",'Water-Meter'!AG36)</f>
        <v>0</v>
      </c>
      <c r="V32" s="291">
        <f>IF('Water-Meter'!AJ36&lt;0,"0",'Water-Meter'!AJ36)</f>
        <v>0</v>
      </c>
      <c r="W32" s="31">
        <f>'Water-Meter'!AN36</f>
        <v>0</v>
      </c>
      <c r="X32" s="566">
        <f>Total!K32</f>
        <v>0</v>
      </c>
    </row>
    <row r="33" spans="5:12">
      <c r="E33" s="490"/>
      <c r="F33" s="490"/>
      <c r="H33" s="490"/>
      <c r="I33" s="490"/>
      <c r="J33" s="490"/>
      <c r="L33" s="490"/>
    </row>
    <row r="34" spans="5:12">
      <c r="E34" s="490"/>
      <c r="F34" s="490"/>
      <c r="H34" s="490"/>
      <c r="I34" s="490"/>
      <c r="J34" s="490"/>
      <c r="L34" s="490"/>
    </row>
    <row r="35" spans="5:12">
      <c r="E35" s="490"/>
      <c r="F35" s="490"/>
      <c r="H35" s="490"/>
      <c r="I35" s="490"/>
      <c r="J35" s="490"/>
      <c r="L35" s="490"/>
    </row>
    <row r="36" spans="5:12">
      <c r="E36" s="490"/>
      <c r="F36" s="490"/>
      <c r="H36" s="490"/>
      <c r="I36" s="490"/>
      <c r="J36" s="490"/>
      <c r="L36" s="490"/>
    </row>
    <row r="37" spans="5:12">
      <c r="E37" s="490"/>
      <c r="F37" s="490"/>
      <c r="H37" s="490"/>
      <c r="I37" s="490"/>
      <c r="J37" s="490"/>
      <c r="L37" s="490"/>
    </row>
    <row r="38" spans="5:12">
      <c r="E38" s="490"/>
      <c r="F38" s="490"/>
      <c r="H38" s="490"/>
      <c r="I38" s="490"/>
      <c r="J38" s="490"/>
      <c r="L38" s="490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34"/>
  <sheetViews>
    <sheetView topLeftCell="A19" workbookViewId="0">
      <selection activeCell="J20" sqref="J20"/>
    </sheetView>
  </sheetViews>
  <sheetFormatPr defaultRowHeight="12.75"/>
  <cols>
    <col min="3" max="3" width="12.140625" customWidth="1"/>
    <col min="4" max="4" width="13" customWidth="1"/>
    <col min="5" max="5" width="15" customWidth="1"/>
    <col min="6" max="6" width="12.85546875" customWidth="1"/>
    <col min="7" max="7" width="13.28515625" customWidth="1"/>
    <col min="8" max="8" width="13.140625" customWidth="1"/>
    <col min="9" max="9" width="13.42578125" customWidth="1"/>
  </cols>
  <sheetData>
    <row r="1" spans="1:9" ht="24" thickBot="1">
      <c r="A1" s="790" t="s">
        <v>305</v>
      </c>
      <c r="B1" s="790"/>
      <c r="C1" s="790"/>
      <c r="D1" s="790"/>
      <c r="E1" s="790"/>
      <c r="F1" s="790"/>
      <c r="G1" s="790"/>
      <c r="H1" s="790"/>
    </row>
    <row r="2" spans="1:9" ht="48" customHeight="1" thickBot="1">
      <c r="A2" s="290" t="s">
        <v>0</v>
      </c>
      <c r="B2" s="141" t="s">
        <v>1</v>
      </c>
      <c r="C2" s="475" t="s">
        <v>269</v>
      </c>
      <c r="D2" s="340" t="s">
        <v>270</v>
      </c>
      <c r="E2" s="473" t="s">
        <v>268</v>
      </c>
      <c r="F2" s="340" t="s">
        <v>265</v>
      </c>
      <c r="G2" s="340" t="s">
        <v>266</v>
      </c>
      <c r="H2" s="475" t="s">
        <v>267</v>
      </c>
      <c r="I2" s="340" t="s">
        <v>271</v>
      </c>
    </row>
    <row r="3" spans="1:9" ht="13.5">
      <c r="A3" s="474">
        <v>43862</v>
      </c>
      <c r="B3" s="476">
        <f>Gen!C11</f>
        <v>0</v>
      </c>
      <c r="C3" s="477">
        <f>'Summery Report'!E5</f>
        <v>0</v>
      </c>
      <c r="D3" s="478">
        <v>1</v>
      </c>
      <c r="E3" s="477">
        <f>Gen!T11</f>
        <v>678.06999999999994</v>
      </c>
      <c r="F3" s="477">
        <f>Gen!U11</f>
        <v>1620</v>
      </c>
      <c r="G3" s="477">
        <f>'Water-Meter'!E6</f>
        <v>31</v>
      </c>
      <c r="H3" s="477">
        <f>'Utility report '!AC6</f>
        <v>40</v>
      </c>
      <c r="I3" s="477">
        <f>Gen!AK11</f>
        <v>0</v>
      </c>
    </row>
    <row r="4" spans="1:9" ht="13.5">
      <c r="A4" s="474">
        <v>43863</v>
      </c>
      <c r="B4" s="476">
        <f>Gen!C12</f>
        <v>0</v>
      </c>
      <c r="C4" s="477">
        <f>'Summery Report'!E6</f>
        <v>0</v>
      </c>
      <c r="D4" s="478">
        <v>1</v>
      </c>
      <c r="E4" s="477">
        <f>Gen!T12</f>
        <v>659.66</v>
      </c>
      <c r="F4" s="477">
        <f>Gen!U12</f>
        <v>1580</v>
      </c>
      <c r="G4" s="477">
        <f>'Water-Meter'!E7</f>
        <v>31</v>
      </c>
      <c r="H4" s="477">
        <f>'Utility report '!AC7</f>
        <v>12</v>
      </c>
      <c r="I4" s="477">
        <f>Gen!AK12</f>
        <v>0</v>
      </c>
    </row>
    <row r="5" spans="1:9" ht="13.5">
      <c r="A5" s="474">
        <v>43864</v>
      </c>
      <c r="B5" s="476">
        <f>Gen!C13</f>
        <v>0</v>
      </c>
      <c r="C5" s="477">
        <f>'Summery Report'!E7</f>
        <v>0</v>
      </c>
      <c r="D5" s="478">
        <v>1</v>
      </c>
      <c r="E5" s="477">
        <f>Gen!T13</f>
        <v>659.29</v>
      </c>
      <c r="F5" s="477">
        <f>Gen!U13</f>
        <v>1625</v>
      </c>
      <c r="G5" s="477">
        <f>'Water-Meter'!E8</f>
        <v>47</v>
      </c>
      <c r="H5" s="477">
        <f>'Utility report '!AC8</f>
        <v>77</v>
      </c>
      <c r="I5" s="477">
        <f>Gen!AK13</f>
        <v>0</v>
      </c>
    </row>
    <row r="6" spans="1:9" ht="13.5">
      <c r="A6" s="474">
        <v>43865</v>
      </c>
      <c r="B6" s="476">
        <f>Gen!C14</f>
        <v>0</v>
      </c>
      <c r="C6" s="477">
        <f>'Summery Report'!E8</f>
        <v>0</v>
      </c>
      <c r="D6" s="478">
        <v>1</v>
      </c>
      <c r="E6" s="477">
        <f>Gen!T14</f>
        <v>633.92999999999995</v>
      </c>
      <c r="F6" s="477">
        <f>Gen!U14</f>
        <v>1460</v>
      </c>
      <c r="G6" s="477">
        <f>'Water-Meter'!E9</f>
        <v>31</v>
      </c>
      <c r="H6" s="477">
        <f>'Utility report '!AC9</f>
        <v>0</v>
      </c>
      <c r="I6" s="477">
        <f>Gen!AK14</f>
        <v>2.33</v>
      </c>
    </row>
    <row r="7" spans="1:9" ht="13.5">
      <c r="A7" s="474">
        <v>43866</v>
      </c>
      <c r="B7" s="476">
        <f>Gen!C15</f>
        <v>0</v>
      </c>
      <c r="C7" s="477">
        <f>'Summery Report'!E9</f>
        <v>0</v>
      </c>
      <c r="D7" s="478">
        <v>1</v>
      </c>
      <c r="E7" s="477">
        <f>Gen!T15</f>
        <v>646.24</v>
      </c>
      <c r="F7" s="477">
        <f>Gen!U15</f>
        <v>1531</v>
      </c>
      <c r="G7" s="477">
        <f>'Water-Meter'!E10</f>
        <v>30</v>
      </c>
      <c r="H7" s="477">
        <f>'Utility report '!AC10</f>
        <v>68</v>
      </c>
      <c r="I7" s="477">
        <f>Gen!AK15</f>
        <v>0</v>
      </c>
    </row>
    <row r="8" spans="1:9" ht="13.5">
      <c r="A8" s="474">
        <v>43867</v>
      </c>
      <c r="B8" s="476">
        <f>Gen!C16</f>
        <v>0</v>
      </c>
      <c r="C8" s="477">
        <f>'Summery Report'!E10</f>
        <v>0</v>
      </c>
      <c r="D8" s="478">
        <v>1</v>
      </c>
      <c r="E8" s="477">
        <f>Gen!T16</f>
        <v>627.88</v>
      </c>
      <c r="F8" s="477">
        <f>Gen!U16</f>
        <v>0</v>
      </c>
      <c r="G8" s="477">
        <f>'Water-Meter'!E11</f>
        <v>33</v>
      </c>
      <c r="H8" s="477">
        <f>'Utility report '!AC11</f>
        <v>36</v>
      </c>
      <c r="I8" s="477">
        <f>Gen!AK16</f>
        <v>31.11</v>
      </c>
    </row>
    <row r="9" spans="1:9" ht="13.5">
      <c r="A9" s="474">
        <v>43868</v>
      </c>
      <c r="B9" s="476">
        <f>Gen!C17</f>
        <v>0</v>
      </c>
      <c r="C9" s="477">
        <f>'Summery Report'!E11</f>
        <v>0</v>
      </c>
      <c r="D9" s="478">
        <v>1</v>
      </c>
      <c r="E9" s="477">
        <f>Gen!T17</f>
        <v>637.52</v>
      </c>
      <c r="F9" s="477">
        <f>Gen!U17</f>
        <v>1434</v>
      </c>
      <c r="G9" s="477">
        <f>'Water-Meter'!E12</f>
        <v>41</v>
      </c>
      <c r="H9" s="477">
        <f>'Utility report '!AC12</f>
        <v>0</v>
      </c>
      <c r="I9" s="477">
        <f>Gen!AK17</f>
        <v>22.97</v>
      </c>
    </row>
    <row r="10" spans="1:9" ht="13.5">
      <c r="A10" s="474">
        <v>43869</v>
      </c>
      <c r="B10" s="476">
        <f>Gen!C18</f>
        <v>0</v>
      </c>
      <c r="C10" s="477">
        <f>'Summery Report'!E12</f>
        <v>0</v>
      </c>
      <c r="D10" s="478">
        <v>1</v>
      </c>
      <c r="E10" s="477">
        <f>Gen!T18</f>
        <v>692.82999999999993</v>
      </c>
      <c r="F10" s="477">
        <f>Gen!U18</f>
        <v>1432</v>
      </c>
      <c r="G10" s="477">
        <f>'Water-Meter'!E13</f>
        <v>37</v>
      </c>
      <c r="H10" s="477">
        <f>'Utility report '!AC13</f>
        <v>70</v>
      </c>
      <c r="I10" s="477">
        <f>Gen!AK18</f>
        <v>80.099999999999994</v>
      </c>
    </row>
    <row r="11" spans="1:9" ht="13.5">
      <c r="A11" s="474">
        <v>43870</v>
      </c>
      <c r="B11" s="476">
        <f>Gen!C19</f>
        <v>0</v>
      </c>
      <c r="C11" s="477">
        <f>'Summery Report'!E13</f>
        <v>0</v>
      </c>
      <c r="D11" s="478">
        <v>1</v>
      </c>
      <c r="E11" s="477">
        <f>Gen!T19</f>
        <v>662.1</v>
      </c>
      <c r="F11" s="477">
        <f>Gen!U19</f>
        <v>1527</v>
      </c>
      <c r="G11" s="477">
        <f>'Water-Meter'!E14</f>
        <v>51</v>
      </c>
      <c r="H11" s="477">
        <f>'Utility report '!AC14</f>
        <v>110</v>
      </c>
      <c r="I11" s="477">
        <f>Gen!AK19</f>
        <v>0</v>
      </c>
    </row>
    <row r="12" spans="1:9" ht="13.5">
      <c r="A12" s="474">
        <v>43871</v>
      </c>
      <c r="B12" s="476">
        <f>Gen!C20</f>
        <v>0</v>
      </c>
      <c r="C12" s="477">
        <f>'Summery Report'!E14</f>
        <v>0</v>
      </c>
      <c r="D12" s="478">
        <v>1</v>
      </c>
      <c r="E12" s="477">
        <f>Gen!T20</f>
        <v>652.33000000000004</v>
      </c>
      <c r="F12" s="477">
        <f>Gen!U20</f>
        <v>1451</v>
      </c>
      <c r="G12" s="477">
        <f>'Water-Meter'!E15</f>
        <v>51</v>
      </c>
      <c r="H12" s="477">
        <f>'Utility report '!AC15</f>
        <v>0</v>
      </c>
      <c r="I12" s="477">
        <f>Gen!AK20</f>
        <v>0</v>
      </c>
    </row>
    <row r="13" spans="1:9" ht="13.5">
      <c r="A13" s="474">
        <v>43872</v>
      </c>
      <c r="B13" s="476">
        <f>Gen!C21</f>
        <v>0</v>
      </c>
      <c r="C13" s="477">
        <f>'Summery Report'!E15</f>
        <v>0</v>
      </c>
      <c r="D13" s="478">
        <v>1</v>
      </c>
      <c r="E13" s="477">
        <f>Gen!T21</f>
        <v>675.39</v>
      </c>
      <c r="F13" s="477">
        <f>Gen!U21</f>
        <v>1449</v>
      </c>
      <c r="G13" s="477">
        <f>'Water-Meter'!E16</f>
        <v>56</v>
      </c>
      <c r="H13" s="477">
        <f>'Utility report '!AC16</f>
        <v>0</v>
      </c>
      <c r="I13" s="477">
        <f>Gen!AK21</f>
        <v>0</v>
      </c>
    </row>
    <row r="14" spans="1:9" ht="13.5">
      <c r="A14" s="474">
        <v>43873</v>
      </c>
      <c r="B14" s="476">
        <f>Gen!C22</f>
        <v>0</v>
      </c>
      <c r="C14" s="477">
        <f>'Summery Report'!E16</f>
        <v>0</v>
      </c>
      <c r="D14" s="478">
        <v>1</v>
      </c>
      <c r="E14" s="477">
        <f>Gen!T22</f>
        <v>719.01</v>
      </c>
      <c r="F14" s="477">
        <f>Gen!U22</f>
        <v>1623</v>
      </c>
      <c r="G14" s="477">
        <f>'Water-Meter'!E17</f>
        <v>58</v>
      </c>
      <c r="H14" s="477">
        <f>'Utility report '!AC17</f>
        <v>71</v>
      </c>
      <c r="I14" s="477">
        <f>Gen!AK22</f>
        <v>106.89</v>
      </c>
    </row>
    <row r="15" spans="1:9" ht="13.5">
      <c r="A15" s="474">
        <v>43874</v>
      </c>
      <c r="B15" s="476">
        <f>Gen!C23</f>
        <v>0</v>
      </c>
      <c r="C15" s="477">
        <f>'Summery Report'!E17</f>
        <v>0</v>
      </c>
      <c r="D15" s="478">
        <v>1</v>
      </c>
      <c r="E15" s="477">
        <f>Gen!T23</f>
        <v>656.19</v>
      </c>
      <c r="F15" s="477">
        <f>Gen!U23</f>
        <v>1552</v>
      </c>
      <c r="G15" s="477">
        <f>'Water-Meter'!E18</f>
        <v>41</v>
      </c>
      <c r="H15" s="477">
        <f>'Utility report '!AC18</f>
        <v>0</v>
      </c>
      <c r="I15" s="477">
        <f>Gen!AK23</f>
        <v>0</v>
      </c>
    </row>
    <row r="16" spans="1:9" ht="13.5">
      <c r="A16" s="474">
        <v>43875</v>
      </c>
      <c r="B16" s="476">
        <f>Gen!C24</f>
        <v>0</v>
      </c>
      <c r="C16" s="477">
        <f>'Summery Report'!E18</f>
        <v>0</v>
      </c>
      <c r="D16" s="478">
        <v>1</v>
      </c>
      <c r="E16" s="477">
        <f>Gen!T24</f>
        <v>633.07999999999993</v>
      </c>
      <c r="F16" s="477">
        <f>Gen!U24</f>
        <v>1480</v>
      </c>
      <c r="G16" s="477">
        <f>'Water-Meter'!E19</f>
        <v>33</v>
      </c>
      <c r="H16" s="477">
        <f>'Utility report '!AC19</f>
        <v>0</v>
      </c>
      <c r="I16" s="477">
        <f>Gen!AK24</f>
        <v>0</v>
      </c>
    </row>
    <row r="17" spans="1:9" ht="13.5">
      <c r="A17" s="474">
        <v>43876</v>
      </c>
      <c r="B17" s="476">
        <f>Gen!C25</f>
        <v>0</v>
      </c>
      <c r="C17" s="477">
        <f>'Summery Report'!E19</f>
        <v>0</v>
      </c>
      <c r="D17" s="478">
        <v>1</v>
      </c>
      <c r="E17" s="477">
        <f>Gen!T25</f>
        <v>0</v>
      </c>
      <c r="F17" s="477">
        <f>Gen!U25</f>
        <v>0</v>
      </c>
      <c r="G17" s="477" t="str">
        <f>'Water-Meter'!E20</f>
        <v>0</v>
      </c>
      <c r="H17" s="477">
        <f>'Utility report '!AC20</f>
        <v>0</v>
      </c>
      <c r="I17" s="477">
        <f>Gen!AK25</f>
        <v>0</v>
      </c>
    </row>
    <row r="18" spans="1:9" ht="13.5">
      <c r="A18" s="474">
        <v>43877</v>
      </c>
      <c r="B18" s="476">
        <f>Gen!C26</f>
        <v>0</v>
      </c>
      <c r="C18" s="477">
        <f>'Summery Report'!E20</f>
        <v>0</v>
      </c>
      <c r="D18" s="478">
        <v>1</v>
      </c>
      <c r="E18" s="477">
        <f>Gen!T26</f>
        <v>0</v>
      </c>
      <c r="F18" s="477">
        <f>Gen!U26</f>
        <v>0</v>
      </c>
      <c r="G18" s="477">
        <f>'Water-Meter'!E21</f>
        <v>0</v>
      </c>
      <c r="H18" s="477">
        <f>'Utility report '!AC21</f>
        <v>0</v>
      </c>
      <c r="I18" s="477">
        <f>Gen!AK26</f>
        <v>0</v>
      </c>
    </row>
    <row r="19" spans="1:9" ht="13.5">
      <c r="A19" s="474">
        <v>43878</v>
      </c>
      <c r="B19" s="476">
        <f>Gen!C27</f>
        <v>0</v>
      </c>
      <c r="C19" s="477">
        <f>'Summery Report'!E21</f>
        <v>0</v>
      </c>
      <c r="D19" s="478">
        <v>1</v>
      </c>
      <c r="E19" s="477">
        <f>Gen!T27</f>
        <v>0</v>
      </c>
      <c r="F19" s="477">
        <f>Gen!U27</f>
        <v>0</v>
      </c>
      <c r="G19" s="477">
        <f>'Water-Meter'!E22</f>
        <v>0</v>
      </c>
      <c r="H19" s="477">
        <f>'Utility report '!AC22</f>
        <v>0</v>
      </c>
      <c r="I19" s="477">
        <f>Gen!AK27</f>
        <v>0</v>
      </c>
    </row>
    <row r="20" spans="1:9" ht="13.5">
      <c r="A20" s="474">
        <v>43879</v>
      </c>
      <c r="B20" s="476">
        <f>Gen!C28</f>
        <v>0</v>
      </c>
      <c r="C20" s="477">
        <f>'Summery Report'!E22</f>
        <v>0</v>
      </c>
      <c r="D20" s="478">
        <v>1</v>
      </c>
      <c r="E20" s="477">
        <f>Gen!T28</f>
        <v>0</v>
      </c>
      <c r="F20" s="477">
        <f>Gen!U28</f>
        <v>0</v>
      </c>
      <c r="G20" s="477">
        <f>'Water-Meter'!E23</f>
        <v>0</v>
      </c>
      <c r="H20" s="477">
        <f>'Utility report '!AC23</f>
        <v>0</v>
      </c>
      <c r="I20" s="477">
        <f>Gen!AK28</f>
        <v>0</v>
      </c>
    </row>
    <row r="21" spans="1:9" ht="13.5">
      <c r="A21" s="474">
        <v>43880</v>
      </c>
      <c r="B21" s="476">
        <f>Gen!C29</f>
        <v>0</v>
      </c>
      <c r="C21" s="477">
        <f>'Summery Report'!E23</f>
        <v>0</v>
      </c>
      <c r="D21" s="478">
        <v>1</v>
      </c>
      <c r="E21" s="477">
        <f>Gen!T29</f>
        <v>0</v>
      </c>
      <c r="F21" s="477">
        <f>Gen!U29</f>
        <v>0</v>
      </c>
      <c r="G21" s="477">
        <f>'Water-Meter'!E24</f>
        <v>0</v>
      </c>
      <c r="H21" s="477">
        <f>'Utility report '!AC24</f>
        <v>0</v>
      </c>
      <c r="I21" s="477">
        <f>Gen!AK29</f>
        <v>0</v>
      </c>
    </row>
    <row r="22" spans="1:9" ht="13.5">
      <c r="A22" s="474">
        <v>43881</v>
      </c>
      <c r="B22" s="476">
        <f>Gen!C30</f>
        <v>0</v>
      </c>
      <c r="C22" s="477">
        <f>'Summery Report'!E24</f>
        <v>0</v>
      </c>
      <c r="D22" s="478">
        <v>1</v>
      </c>
      <c r="E22" s="477">
        <f>Gen!T30</f>
        <v>0</v>
      </c>
      <c r="F22" s="477">
        <f>Gen!U30</f>
        <v>0</v>
      </c>
      <c r="G22" s="477">
        <f>'Water-Meter'!E25</f>
        <v>0</v>
      </c>
      <c r="H22" s="477">
        <f>'Utility report '!AC25</f>
        <v>0</v>
      </c>
      <c r="I22" s="477">
        <f>Gen!AK30</f>
        <v>0</v>
      </c>
    </row>
    <row r="23" spans="1:9" ht="13.5">
      <c r="A23" s="474">
        <v>43882</v>
      </c>
      <c r="B23" s="476">
        <f>Gen!C31</f>
        <v>0</v>
      </c>
      <c r="C23" s="477">
        <f>'Summery Report'!E25</f>
        <v>0</v>
      </c>
      <c r="D23" s="478">
        <v>1</v>
      </c>
      <c r="E23" s="477">
        <f>Gen!T31</f>
        <v>0</v>
      </c>
      <c r="F23" s="477">
        <f>Gen!U31</f>
        <v>0</v>
      </c>
      <c r="G23" s="477">
        <f>'Water-Meter'!E26</f>
        <v>0</v>
      </c>
      <c r="H23" s="477">
        <f>'Utility report '!AC26</f>
        <v>0</v>
      </c>
      <c r="I23" s="477">
        <f>Gen!AK31</f>
        <v>0</v>
      </c>
    </row>
    <row r="24" spans="1:9" ht="13.5">
      <c r="A24" s="474">
        <v>43883</v>
      </c>
      <c r="B24" s="476">
        <f>Gen!C32</f>
        <v>0</v>
      </c>
      <c r="C24" s="477">
        <f>'Summery Report'!E26</f>
        <v>0</v>
      </c>
      <c r="D24" s="478">
        <v>1</v>
      </c>
      <c r="E24" s="477">
        <f>Gen!T32</f>
        <v>0</v>
      </c>
      <c r="F24" s="477">
        <f>Gen!U32</f>
        <v>0</v>
      </c>
      <c r="G24" s="477">
        <f>'Water-Meter'!E27</f>
        <v>0</v>
      </c>
      <c r="H24" s="477">
        <f>'Utility report '!AC27</f>
        <v>0</v>
      </c>
      <c r="I24" s="477">
        <f>Gen!AK32</f>
        <v>0</v>
      </c>
    </row>
    <row r="25" spans="1:9" ht="13.5">
      <c r="A25" s="474">
        <v>43884</v>
      </c>
      <c r="B25" s="476">
        <f>Gen!C33</f>
        <v>0</v>
      </c>
      <c r="C25" s="477">
        <f>'Summery Report'!E27</f>
        <v>0</v>
      </c>
      <c r="D25" s="478">
        <v>1</v>
      </c>
      <c r="E25" s="477">
        <f>Gen!T33</f>
        <v>0</v>
      </c>
      <c r="F25" s="477">
        <f>Gen!U33</f>
        <v>0</v>
      </c>
      <c r="G25" s="477">
        <f>'Water-Meter'!E28</f>
        <v>0</v>
      </c>
      <c r="H25" s="477">
        <f>'Utility report '!AC28</f>
        <v>0</v>
      </c>
      <c r="I25" s="477">
        <f>Gen!AK33</f>
        <v>0</v>
      </c>
    </row>
    <row r="26" spans="1:9" ht="13.5">
      <c r="A26" s="474">
        <v>43885</v>
      </c>
      <c r="B26" s="476">
        <f>Gen!C34</f>
        <v>0</v>
      </c>
      <c r="C26" s="477">
        <f>'Summery Report'!E28</f>
        <v>0</v>
      </c>
      <c r="D26" s="478">
        <v>1</v>
      </c>
      <c r="E26" s="477">
        <f>Gen!T34</f>
        <v>0</v>
      </c>
      <c r="F26" s="477">
        <f>Gen!U34</f>
        <v>0</v>
      </c>
      <c r="G26" s="477">
        <f>'Water-Meter'!E29</f>
        <v>0</v>
      </c>
      <c r="H26" s="477">
        <f>'Utility report '!AC29</f>
        <v>0</v>
      </c>
      <c r="I26" s="477">
        <f>Gen!AK34</f>
        <v>0</v>
      </c>
    </row>
    <row r="27" spans="1:9" ht="13.5">
      <c r="A27" s="474">
        <v>43886</v>
      </c>
      <c r="B27" s="476">
        <f>Gen!C35</f>
        <v>0</v>
      </c>
      <c r="C27" s="477">
        <f>'Summery Report'!E29</f>
        <v>0</v>
      </c>
      <c r="D27" s="478">
        <v>1</v>
      </c>
      <c r="E27" s="477">
        <f>Gen!T35</f>
        <v>0</v>
      </c>
      <c r="F27" s="477">
        <f>Gen!U35</f>
        <v>0</v>
      </c>
      <c r="G27" s="477">
        <f>'Water-Meter'!E30</f>
        <v>0</v>
      </c>
      <c r="H27" s="477">
        <f>'Utility report '!AC30</f>
        <v>0</v>
      </c>
      <c r="I27" s="477">
        <f>Gen!AK35</f>
        <v>0</v>
      </c>
    </row>
    <row r="28" spans="1:9" ht="13.5">
      <c r="A28" s="474">
        <v>43887</v>
      </c>
      <c r="B28" s="476">
        <f>Gen!C36</f>
        <v>0</v>
      </c>
      <c r="C28" s="477">
        <f>'Summery Report'!E30</f>
        <v>0</v>
      </c>
      <c r="D28" s="478">
        <v>1</v>
      </c>
      <c r="E28" s="477">
        <f>Gen!T36</f>
        <v>0</v>
      </c>
      <c r="F28" s="477">
        <f>Gen!U36</f>
        <v>0</v>
      </c>
      <c r="G28" s="477">
        <f>'Water-Meter'!E31</f>
        <v>0</v>
      </c>
      <c r="H28" s="477">
        <f>'Utility report '!AC31</f>
        <v>0</v>
      </c>
      <c r="I28" s="477">
        <f>Gen!AK36</f>
        <v>0</v>
      </c>
    </row>
    <row r="29" spans="1:9" ht="13.5">
      <c r="A29" s="474">
        <v>43888</v>
      </c>
      <c r="B29" s="476">
        <f>Gen!C37</f>
        <v>0</v>
      </c>
      <c r="C29" s="477">
        <f>'Summery Report'!E31</f>
        <v>0</v>
      </c>
      <c r="D29" s="478">
        <v>1</v>
      </c>
      <c r="E29" s="477">
        <f>Gen!T37</f>
        <v>0</v>
      </c>
      <c r="F29" s="477">
        <f>Gen!U37</f>
        <v>0</v>
      </c>
      <c r="G29" s="477">
        <f>'Water-Meter'!E32</f>
        <v>0</v>
      </c>
      <c r="H29" s="477">
        <f>'Utility report '!AC32</f>
        <v>0</v>
      </c>
      <c r="I29" s="477">
        <f>Gen!AK37</f>
        <v>0</v>
      </c>
    </row>
    <row r="30" spans="1:9" ht="13.5">
      <c r="A30" s="474">
        <v>43889</v>
      </c>
      <c r="B30" s="476">
        <f>Gen!C38</f>
        <v>0</v>
      </c>
      <c r="C30" s="477">
        <f>'Summery Report'!E32</f>
        <v>0</v>
      </c>
      <c r="D30" s="478">
        <v>1</v>
      </c>
      <c r="E30" s="477">
        <f>Gen!T38</f>
        <v>0</v>
      </c>
      <c r="F30" s="477">
        <f>Gen!U38</f>
        <v>0</v>
      </c>
      <c r="G30" s="477">
        <f>'Water-Meter'!E33</f>
        <v>0</v>
      </c>
      <c r="H30" s="477">
        <f>'Utility report '!AC33</f>
        <v>0</v>
      </c>
      <c r="I30" s="477">
        <f>Gen!AK38</f>
        <v>0</v>
      </c>
    </row>
    <row r="31" spans="1:9" ht="13.5">
      <c r="A31" s="474">
        <v>43890</v>
      </c>
      <c r="B31" s="476">
        <f>Gen!C39</f>
        <v>0</v>
      </c>
      <c r="C31" s="477">
        <f>'Summery Report'!E33</f>
        <v>0</v>
      </c>
      <c r="D31" s="478">
        <v>1</v>
      </c>
      <c r="E31" s="477">
        <f>Gen!T39</f>
        <v>0</v>
      </c>
      <c r="F31" s="477">
        <f>Gen!U39</f>
        <v>0</v>
      </c>
      <c r="G31" s="477">
        <f>'Water-Meter'!E34</f>
        <v>0</v>
      </c>
      <c r="H31" s="477">
        <f>'Utility report '!AC34</f>
        <v>0</v>
      </c>
      <c r="I31" s="477">
        <f>Gen!AK39</f>
        <v>0</v>
      </c>
    </row>
    <row r="32" spans="1:9" ht="13.5">
      <c r="A32" s="474">
        <v>43891</v>
      </c>
      <c r="B32" s="476">
        <f>Gen!C40</f>
        <v>0</v>
      </c>
      <c r="C32" s="477">
        <f>'Summery Report'!E34</f>
        <v>0</v>
      </c>
      <c r="D32" s="478">
        <v>1</v>
      </c>
      <c r="E32" s="477">
        <f>Gen!T40</f>
        <v>0</v>
      </c>
      <c r="F32" s="477">
        <f>Gen!U40</f>
        <v>0</v>
      </c>
      <c r="G32" s="477">
        <f>'Water-Meter'!E35</f>
        <v>0</v>
      </c>
      <c r="H32" s="477">
        <f>'Utility report '!AC35</f>
        <v>0</v>
      </c>
      <c r="I32" s="477">
        <f>Gen!AK40</f>
        <v>0</v>
      </c>
    </row>
    <row r="33" spans="1:9" ht="13.5">
      <c r="A33" s="474">
        <v>43892</v>
      </c>
      <c r="B33" s="476">
        <f>Gen!C41</f>
        <v>0</v>
      </c>
      <c r="C33" s="477">
        <f>'Summery Report'!E35</f>
        <v>0</v>
      </c>
      <c r="D33" s="478">
        <v>1</v>
      </c>
      <c r="E33" s="477">
        <f>Gen!T41</f>
        <v>0</v>
      </c>
      <c r="F33" s="477">
        <f>Gen!U41</f>
        <v>0</v>
      </c>
      <c r="G33" s="477">
        <f>'Water-Meter'!E36</f>
        <v>0</v>
      </c>
      <c r="H33" s="477">
        <f>'Utility report '!AC36</f>
        <v>0</v>
      </c>
      <c r="I33" s="477">
        <f>Gen!AK41</f>
        <v>0</v>
      </c>
    </row>
    <row r="34" spans="1:9" ht="13.5">
      <c r="A34" s="474">
        <v>43893</v>
      </c>
      <c r="B34" s="476">
        <f>Gen!C42</f>
        <v>0</v>
      </c>
      <c r="C34" s="477">
        <f>'Summery Report'!E36</f>
        <v>0</v>
      </c>
      <c r="D34" s="478">
        <v>2</v>
      </c>
      <c r="E34" s="477">
        <f>Gen!T42</f>
        <v>0</v>
      </c>
      <c r="F34" s="477">
        <f>Gen!U42</f>
        <v>0</v>
      </c>
      <c r="G34" s="477">
        <f>'Water-Meter'!E37</f>
        <v>0</v>
      </c>
      <c r="H34" s="477">
        <f>'Utility report '!AC37</f>
        <v>0</v>
      </c>
      <c r="I34" s="477">
        <f>Gen!AK42</f>
        <v>0</v>
      </c>
    </row>
  </sheetData>
  <mergeCells count="1">
    <mergeCell ref="A1:H1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>
  <sheetPr>
    <pageSetUpPr fitToPage="1"/>
  </sheetPr>
  <dimension ref="A3:T43"/>
  <sheetViews>
    <sheetView zoomScale="85" zoomScaleNormal="85" workbookViewId="0">
      <selection activeCell="A8" sqref="A8"/>
    </sheetView>
  </sheetViews>
  <sheetFormatPr defaultRowHeight="12.75"/>
  <cols>
    <col min="1" max="1" width="14.5703125" customWidth="1"/>
    <col min="2" max="2" width="9" customWidth="1"/>
    <col min="3" max="3" width="12.5703125" customWidth="1"/>
    <col min="4" max="4" width="10.28515625" bestFit="1" customWidth="1"/>
    <col min="5" max="5" width="12.28515625" customWidth="1"/>
    <col min="6" max="6" width="14" customWidth="1"/>
    <col min="7" max="7" width="16" customWidth="1"/>
    <col min="8" max="8" width="10.85546875" customWidth="1"/>
    <col min="9" max="9" width="14.140625" customWidth="1"/>
    <col min="10" max="10" width="14.28515625" customWidth="1"/>
    <col min="11" max="11" width="10.140625" customWidth="1"/>
    <col min="12" max="12" width="10" customWidth="1"/>
    <col min="13" max="13" width="13" customWidth="1"/>
    <col min="14" max="14" width="10.28515625" customWidth="1"/>
    <col min="15" max="15" width="9.28515625" customWidth="1"/>
    <col min="16" max="16" width="13.7109375" customWidth="1"/>
    <col min="17" max="17" width="15.28515625" customWidth="1"/>
    <col min="18" max="18" width="18.85546875" customWidth="1"/>
    <col min="19" max="19" width="15.7109375" customWidth="1"/>
  </cols>
  <sheetData>
    <row r="3" spans="1:19" ht="13.5" thickBot="1"/>
    <row r="4" spans="1:19" ht="33.75">
      <c r="A4" s="537" t="s">
        <v>0</v>
      </c>
      <c r="B4" s="538" t="s">
        <v>141</v>
      </c>
      <c r="C4" s="539" t="s">
        <v>248</v>
      </c>
      <c r="D4" s="791" t="s">
        <v>135</v>
      </c>
      <c r="E4" s="791"/>
      <c r="F4" s="791"/>
      <c r="G4" s="792" t="s">
        <v>20</v>
      </c>
      <c r="H4" s="792"/>
      <c r="I4" s="792"/>
      <c r="J4" s="793" t="s">
        <v>54</v>
      </c>
      <c r="K4" s="793"/>
      <c r="L4" s="793"/>
      <c r="M4" s="793"/>
      <c r="N4" s="794" t="s">
        <v>143</v>
      </c>
      <c r="O4" s="794"/>
      <c r="P4" s="794"/>
      <c r="Q4" s="61"/>
      <c r="R4" s="61"/>
      <c r="S4" s="62"/>
    </row>
    <row r="5" spans="1:19" ht="25.5">
      <c r="A5" s="540"/>
      <c r="B5" s="322"/>
      <c r="C5" s="173"/>
      <c r="D5" s="178" t="s">
        <v>136</v>
      </c>
      <c r="E5" s="178" t="s">
        <v>137</v>
      </c>
      <c r="F5" s="178" t="s">
        <v>121</v>
      </c>
      <c r="G5" s="180" t="s">
        <v>138</v>
      </c>
      <c r="H5" s="180" t="s">
        <v>19</v>
      </c>
      <c r="I5" s="181" t="s">
        <v>139</v>
      </c>
      <c r="J5" s="183" t="s">
        <v>142</v>
      </c>
      <c r="K5" s="183" t="s">
        <v>140</v>
      </c>
      <c r="L5" s="183" t="s">
        <v>140</v>
      </c>
      <c r="M5" s="185" t="s">
        <v>18</v>
      </c>
      <c r="N5" s="174" t="s">
        <v>144</v>
      </c>
      <c r="O5" s="174" t="s">
        <v>146</v>
      </c>
      <c r="P5" s="175" t="s">
        <v>145</v>
      </c>
      <c r="Q5" s="186" t="s">
        <v>148</v>
      </c>
      <c r="R5" s="186" t="s">
        <v>147</v>
      </c>
      <c r="S5" s="541" t="s">
        <v>149</v>
      </c>
    </row>
    <row r="6" spans="1:19" ht="14.25">
      <c r="A6" s="542">
        <f>Gen!B11</f>
        <v>43952</v>
      </c>
      <c r="B6" s="6">
        <f>'Summery Report'!E5</f>
        <v>0</v>
      </c>
      <c r="C6" s="6">
        <f>Gen!U11</f>
        <v>1620</v>
      </c>
      <c r="D6" s="179">
        <f>Gen!T11</f>
        <v>678.06999999999994</v>
      </c>
      <c r="E6" s="179">
        <f>Gen!AK11</f>
        <v>0</v>
      </c>
      <c r="F6" s="179">
        <f>Gen!AS11</f>
        <v>678.06999999999994</v>
      </c>
      <c r="G6" s="182">
        <f>'Utility report '!AC6</f>
        <v>40</v>
      </c>
      <c r="H6" s="182">
        <f>'Utility report '!AE6</f>
        <v>65</v>
      </c>
      <c r="I6" s="352">
        <f>'Water-Meter'!E6</f>
        <v>31</v>
      </c>
      <c r="J6" s="184">
        <f>'Lpg (2)'!B10</f>
        <v>85</v>
      </c>
      <c r="K6" s="184">
        <f>'Lpg (2)'!C10</f>
        <v>83</v>
      </c>
      <c r="L6" s="184">
        <f>'Lpg (2)'!D10</f>
        <v>41</v>
      </c>
      <c r="M6" s="536">
        <f>'Lpg (2)'!G10</f>
        <v>34.9799999999872</v>
      </c>
      <c r="N6" s="6"/>
      <c r="O6" s="177">
        <f>E6</f>
        <v>0</v>
      </c>
      <c r="P6" s="176" t="e">
        <f>'[1]Lpg (2)'!#REF!</f>
        <v>#REF!</v>
      </c>
      <c r="Q6" s="177" t="e">
        <f>'[1]Summery Report'!#REF!</f>
        <v>#REF!</v>
      </c>
      <c r="R6" s="177" t="e">
        <f t="shared" ref="R6:R37" si="0">N6/B6</f>
        <v>#DIV/0!</v>
      </c>
      <c r="S6" s="543" t="e">
        <f t="shared" ref="S6:S37" si="1">Q6/B6</f>
        <v>#REF!</v>
      </c>
    </row>
    <row r="7" spans="1:19" ht="14.25">
      <c r="A7" s="542">
        <f>Gen!B12</f>
        <v>43953</v>
      </c>
      <c r="B7" s="6">
        <f>'Summery Report'!E6</f>
        <v>0</v>
      </c>
      <c r="C7" s="6">
        <f>Gen!U12</f>
        <v>1580</v>
      </c>
      <c r="D7" s="179">
        <f>Gen!T12</f>
        <v>659.66</v>
      </c>
      <c r="E7" s="179">
        <f>Gen!AK12</f>
        <v>0</v>
      </c>
      <c r="F7" s="179">
        <f>Gen!AS12</f>
        <v>659.66</v>
      </c>
      <c r="G7" s="182">
        <f>'Utility report '!AC7</f>
        <v>12</v>
      </c>
      <c r="H7" s="182">
        <f>'Utility report '!AE7</f>
        <v>51</v>
      </c>
      <c r="I7" s="352">
        <f>'Water-Meter'!E7</f>
        <v>31</v>
      </c>
      <c r="J7" s="184">
        <f>'Lpg (2)'!B11</f>
        <v>85</v>
      </c>
      <c r="K7" s="184">
        <f>'Lpg (2)'!C11</f>
        <v>83</v>
      </c>
      <c r="L7" s="184">
        <f>'Lpg (2)'!D11</f>
        <v>39</v>
      </c>
      <c r="M7" s="536">
        <f>'Lpg (2)'!G11</f>
        <v>19.75600000002305</v>
      </c>
      <c r="N7" s="177">
        <f>D7*1.4</f>
        <v>923.52399999999989</v>
      </c>
      <c r="O7" s="177">
        <f>E7*1.4</f>
        <v>0</v>
      </c>
      <c r="P7" s="176" t="e">
        <f>'[1]Lpg (2)'!#REF!</f>
        <v>#REF!</v>
      </c>
      <c r="Q7" s="177" t="e">
        <f>'[1]Summery Report'!#REF!</f>
        <v>#REF!</v>
      </c>
      <c r="R7" s="177" t="e">
        <f t="shared" si="0"/>
        <v>#DIV/0!</v>
      </c>
      <c r="S7" s="543" t="e">
        <f t="shared" si="1"/>
        <v>#REF!</v>
      </c>
    </row>
    <row r="8" spans="1:19" ht="14.25">
      <c r="A8" s="542">
        <f>Gen!B13</f>
        <v>43954</v>
      </c>
      <c r="B8" s="6">
        <f>'Summery Report'!E7</f>
        <v>0</v>
      </c>
      <c r="C8" s="6">
        <f>Gen!U13</f>
        <v>1625</v>
      </c>
      <c r="D8" s="179">
        <f>Gen!T13</f>
        <v>659.29</v>
      </c>
      <c r="E8" s="179">
        <f>Gen!AK13</f>
        <v>0</v>
      </c>
      <c r="F8" s="179">
        <f>Gen!AS13</f>
        <v>659.29</v>
      </c>
      <c r="G8" s="182">
        <f>'Utility report '!AC8</f>
        <v>77</v>
      </c>
      <c r="H8" s="182">
        <f>'Utility report '!AE8</f>
        <v>53</v>
      </c>
      <c r="I8" s="352">
        <f>'Water-Meter'!E8</f>
        <v>47</v>
      </c>
      <c r="J8" s="184">
        <f>'Lpg (2)'!B12</f>
        <v>85</v>
      </c>
      <c r="K8" s="184">
        <f>'Lpg (2)'!C12</f>
        <v>83</v>
      </c>
      <c r="L8" s="184">
        <f>'Lpg (2)'!D12</f>
        <v>37</v>
      </c>
      <c r="M8" s="536">
        <f>'Lpg (2)'!G12</f>
        <v>26.97200000002049</v>
      </c>
      <c r="N8" s="177">
        <f t="shared" ref="N8:O36" si="2">D8*1.4</f>
        <v>923.00599999999986</v>
      </c>
      <c r="O8" s="177">
        <f t="shared" si="2"/>
        <v>0</v>
      </c>
      <c r="P8" s="176" t="e">
        <f>'[1]Lpg (2)'!#REF!</f>
        <v>#REF!</v>
      </c>
      <c r="Q8" s="177" t="e">
        <f>'[1]Summery Report'!#REF!</f>
        <v>#REF!</v>
      </c>
      <c r="R8" s="177" t="e">
        <f t="shared" si="0"/>
        <v>#DIV/0!</v>
      </c>
      <c r="S8" s="543" t="e">
        <f t="shared" si="1"/>
        <v>#REF!</v>
      </c>
    </row>
    <row r="9" spans="1:19" ht="14.25">
      <c r="A9" s="542">
        <f>Gen!B14</f>
        <v>43955</v>
      </c>
      <c r="B9" s="6">
        <f>'Summery Report'!E8</f>
        <v>0</v>
      </c>
      <c r="C9" s="6">
        <f>Gen!U14</f>
        <v>1460</v>
      </c>
      <c r="D9" s="179">
        <f>Gen!T14</f>
        <v>633.92999999999995</v>
      </c>
      <c r="E9" s="179">
        <f>Gen!AK14</f>
        <v>2.33</v>
      </c>
      <c r="F9" s="179">
        <f>Gen!AS14</f>
        <v>636.26</v>
      </c>
      <c r="G9" s="182">
        <f>'Utility report '!AC9</f>
        <v>0</v>
      </c>
      <c r="H9" s="182">
        <f>'Utility report '!AE9</f>
        <v>56</v>
      </c>
      <c r="I9" s="352">
        <f>'Water-Meter'!E9</f>
        <v>31</v>
      </c>
      <c r="J9" s="184">
        <f>'Lpg (2)'!B13</f>
        <v>85</v>
      </c>
      <c r="K9" s="184">
        <f>'Lpg (2)'!C13</f>
        <v>83</v>
      </c>
      <c r="L9" s="184">
        <f>'Lpg (2)'!D13</f>
        <v>36</v>
      </c>
      <c r="M9" s="536">
        <f>'Lpg (2)'!G13</f>
        <v>26.400000000000002</v>
      </c>
      <c r="N9" s="177">
        <f t="shared" si="2"/>
        <v>887.50199999999984</v>
      </c>
      <c r="O9" s="177">
        <f t="shared" si="2"/>
        <v>3.262</v>
      </c>
      <c r="P9" s="176" t="e">
        <f>'[1]Lpg (2)'!#REF!</f>
        <v>#REF!</v>
      </c>
      <c r="Q9" s="177" t="e">
        <f>'[1]Summery Report'!#REF!</f>
        <v>#REF!</v>
      </c>
      <c r="R9" s="177" t="e">
        <f t="shared" si="0"/>
        <v>#DIV/0!</v>
      </c>
      <c r="S9" s="543" t="e">
        <f t="shared" si="1"/>
        <v>#REF!</v>
      </c>
    </row>
    <row r="10" spans="1:19" ht="14.25">
      <c r="A10" s="542">
        <f>Gen!B15</f>
        <v>43956</v>
      </c>
      <c r="B10" s="6">
        <f>'Summery Report'!E9</f>
        <v>0</v>
      </c>
      <c r="C10" s="6">
        <f>Gen!U15</f>
        <v>1531</v>
      </c>
      <c r="D10" s="179">
        <f>Gen!T15</f>
        <v>646.24</v>
      </c>
      <c r="E10" s="179">
        <f>Gen!AK15</f>
        <v>0</v>
      </c>
      <c r="F10" s="179">
        <f>Gen!AS15</f>
        <v>646.24</v>
      </c>
      <c r="G10" s="182">
        <f>'Utility report '!AC10</f>
        <v>68</v>
      </c>
      <c r="H10" s="182">
        <f>'Utility report '!AE10</f>
        <v>54</v>
      </c>
      <c r="I10" s="352">
        <f>'Water-Meter'!E10</f>
        <v>30</v>
      </c>
      <c r="J10" s="184">
        <f>'Lpg (2)'!B14</f>
        <v>85</v>
      </c>
      <c r="K10" s="184">
        <f>'Lpg (2)'!C14</f>
        <v>83</v>
      </c>
      <c r="L10" s="184">
        <f>'Lpg (2)'!D14</f>
        <v>35</v>
      </c>
      <c r="M10" s="536">
        <f>'Lpg (2)'!G14</f>
        <v>22.439999999961586</v>
      </c>
      <c r="N10" s="177">
        <f t="shared" si="2"/>
        <v>904.73599999999999</v>
      </c>
      <c r="O10" s="177">
        <f t="shared" si="2"/>
        <v>0</v>
      </c>
      <c r="P10" s="176" t="e">
        <f>'[1]Lpg (2)'!#REF!</f>
        <v>#REF!</v>
      </c>
      <c r="Q10" s="177" t="e">
        <f>'[1]Summery Report'!#REF!</f>
        <v>#REF!</v>
      </c>
      <c r="R10" s="177" t="e">
        <f t="shared" si="0"/>
        <v>#DIV/0!</v>
      </c>
      <c r="S10" s="543" t="e">
        <f t="shared" si="1"/>
        <v>#REF!</v>
      </c>
    </row>
    <row r="11" spans="1:19" ht="14.25">
      <c r="A11" s="542">
        <f>Gen!B16</f>
        <v>43957</v>
      </c>
      <c r="B11" s="6">
        <f>'Summery Report'!E10</f>
        <v>0</v>
      </c>
      <c r="C11" s="6">
        <f>Gen!U16</f>
        <v>0</v>
      </c>
      <c r="D11" s="179">
        <f>Gen!T16</f>
        <v>627.88</v>
      </c>
      <c r="E11" s="179">
        <f>Gen!AK16</f>
        <v>31.11</v>
      </c>
      <c r="F11" s="179">
        <f>Gen!AS16</f>
        <v>658.99</v>
      </c>
      <c r="G11" s="182">
        <f>'Utility report '!AC11</f>
        <v>36</v>
      </c>
      <c r="H11" s="182">
        <f>'Utility report '!AE11</f>
        <v>27</v>
      </c>
      <c r="I11" s="352">
        <f>'Water-Meter'!E11</f>
        <v>33</v>
      </c>
      <c r="J11" s="184">
        <f>'Lpg (2)'!B15</f>
        <v>85</v>
      </c>
      <c r="K11" s="184">
        <f>'Lpg (2)'!C15</f>
        <v>83</v>
      </c>
      <c r="L11" s="184">
        <f>'Lpg (2)'!D15</f>
        <v>34</v>
      </c>
      <c r="M11" s="536">
        <f>'Lpg (2)'!G15</f>
        <v>14.608000000030735</v>
      </c>
      <c r="N11" s="177">
        <f t="shared" si="2"/>
        <v>879.03199999999993</v>
      </c>
      <c r="O11" s="177">
        <f t="shared" si="2"/>
        <v>43.553999999999995</v>
      </c>
      <c r="P11" s="176" t="e">
        <f>'[1]Lpg (2)'!#REF!</f>
        <v>#REF!</v>
      </c>
      <c r="Q11" s="177" t="e">
        <f>'[1]Summery Report'!#REF!</f>
        <v>#REF!</v>
      </c>
      <c r="R11" s="177" t="e">
        <f t="shared" si="0"/>
        <v>#DIV/0!</v>
      </c>
      <c r="S11" s="543" t="e">
        <f t="shared" si="1"/>
        <v>#REF!</v>
      </c>
    </row>
    <row r="12" spans="1:19" ht="14.25">
      <c r="A12" s="542">
        <f>Gen!B17</f>
        <v>43958</v>
      </c>
      <c r="B12" s="6">
        <f>'Summery Report'!E11</f>
        <v>0</v>
      </c>
      <c r="C12" s="6">
        <f>Gen!U17</f>
        <v>1434</v>
      </c>
      <c r="D12" s="179">
        <f>Gen!T17</f>
        <v>637.52</v>
      </c>
      <c r="E12" s="179">
        <f>Gen!AK17</f>
        <v>22.97</v>
      </c>
      <c r="F12" s="179">
        <f>Gen!AS17</f>
        <v>660.49</v>
      </c>
      <c r="G12" s="182">
        <f>'Utility report '!AC12</f>
        <v>0</v>
      </c>
      <c r="H12" s="182">
        <f>'Utility report '!AE12</f>
        <v>38</v>
      </c>
      <c r="I12" s="352">
        <f>'Water-Meter'!E12</f>
        <v>41</v>
      </c>
      <c r="J12" s="184">
        <f>'Lpg (2)'!B16</f>
        <v>85</v>
      </c>
      <c r="K12" s="184">
        <f>'Lpg (2)'!C16</f>
        <v>83</v>
      </c>
      <c r="L12" s="184">
        <f>'Lpg (2)'!D16</f>
        <v>32</v>
      </c>
      <c r="M12" s="536">
        <f>'Lpg (2)'!G16</f>
        <v>32.252000000007683</v>
      </c>
      <c r="N12" s="177">
        <f t="shared" si="2"/>
        <v>892.52799999999991</v>
      </c>
      <c r="O12" s="177">
        <f t="shared" si="2"/>
        <v>32.157999999999994</v>
      </c>
      <c r="P12" s="176" t="e">
        <f>'[1]Lpg (2)'!#REF!</f>
        <v>#REF!</v>
      </c>
      <c r="Q12" s="177" t="e">
        <f>'[1]Summery Report'!#REF!</f>
        <v>#REF!</v>
      </c>
      <c r="R12" s="177" t="e">
        <f t="shared" si="0"/>
        <v>#DIV/0!</v>
      </c>
      <c r="S12" s="543" t="e">
        <f t="shared" si="1"/>
        <v>#REF!</v>
      </c>
    </row>
    <row r="13" spans="1:19" ht="14.25">
      <c r="A13" s="542">
        <f>Gen!B18</f>
        <v>43959</v>
      </c>
      <c r="B13" s="6">
        <f>'Summery Report'!E12</f>
        <v>0</v>
      </c>
      <c r="C13" s="6">
        <f>Gen!U18</f>
        <v>1432</v>
      </c>
      <c r="D13" s="179">
        <f>Gen!T18</f>
        <v>692.82999999999993</v>
      </c>
      <c r="E13" s="179">
        <f>Gen!AK18</f>
        <v>80.099999999999994</v>
      </c>
      <c r="F13" s="179">
        <f>Gen!AS18</f>
        <v>772.93</v>
      </c>
      <c r="G13" s="182">
        <f>'Utility report '!AC13</f>
        <v>70</v>
      </c>
      <c r="H13" s="182">
        <f>'Utility report '!AE13</f>
        <v>41</v>
      </c>
      <c r="I13" s="352">
        <f>'Water-Meter'!E13</f>
        <v>37</v>
      </c>
      <c r="J13" s="184">
        <f>'Lpg (2)'!B17</f>
        <v>85</v>
      </c>
      <c r="K13" s="184">
        <f>'Lpg (2)'!C17</f>
        <v>83</v>
      </c>
      <c r="L13" s="184">
        <f>'Lpg (2)'!D17</f>
        <v>30</v>
      </c>
      <c r="M13" s="536">
        <f>'Lpg (2)'!G17</f>
        <v>35.551999999943661</v>
      </c>
      <c r="N13" s="177">
        <f t="shared" si="2"/>
        <v>969.96199999999988</v>
      </c>
      <c r="O13" s="177">
        <f t="shared" si="2"/>
        <v>112.13999999999999</v>
      </c>
      <c r="P13" s="176" t="e">
        <f>'[1]Lpg (2)'!#REF!</f>
        <v>#REF!</v>
      </c>
      <c r="Q13" s="177" t="e">
        <f>'[1]Summery Report'!#REF!</f>
        <v>#REF!</v>
      </c>
      <c r="R13" s="177" t="e">
        <f t="shared" si="0"/>
        <v>#DIV/0!</v>
      </c>
      <c r="S13" s="543" t="e">
        <f t="shared" si="1"/>
        <v>#REF!</v>
      </c>
    </row>
    <row r="14" spans="1:19" ht="14.25">
      <c r="A14" s="542">
        <f>Gen!B19</f>
        <v>43960</v>
      </c>
      <c r="B14" s="6">
        <f>'Summery Report'!E13</f>
        <v>0</v>
      </c>
      <c r="C14" s="6">
        <f>Gen!U19</f>
        <v>1527</v>
      </c>
      <c r="D14" s="179">
        <f>Gen!T19</f>
        <v>662.1</v>
      </c>
      <c r="E14" s="179">
        <f>Gen!AK19</f>
        <v>0</v>
      </c>
      <c r="F14" s="179">
        <f>Gen!AS19</f>
        <v>662.1</v>
      </c>
      <c r="G14" s="182">
        <f>'Utility report '!AC14</f>
        <v>110</v>
      </c>
      <c r="H14" s="182">
        <f>'Utility report '!AE14</f>
        <v>40</v>
      </c>
      <c r="I14" s="352">
        <f>'Water-Meter'!E14</f>
        <v>51</v>
      </c>
      <c r="J14" s="184">
        <f>'Lpg (2)'!B18</f>
        <v>85</v>
      </c>
      <c r="K14" s="184">
        <f>'Lpg (2)'!C18</f>
        <v>83</v>
      </c>
      <c r="L14" s="184">
        <f>'Lpg (2)'!D18</f>
        <v>28</v>
      </c>
      <c r="M14" s="536">
        <f>'Lpg (2)'!G18</f>
        <v>28.908000000030736</v>
      </c>
      <c r="N14" s="177">
        <f t="shared" si="2"/>
        <v>926.93999999999994</v>
      </c>
      <c r="O14" s="177">
        <f t="shared" si="2"/>
        <v>0</v>
      </c>
      <c r="P14" s="176" t="e">
        <f>'[1]Lpg (2)'!#REF!</f>
        <v>#REF!</v>
      </c>
      <c r="Q14" s="177" t="e">
        <f>'[1]Summery Report'!#REF!</f>
        <v>#REF!</v>
      </c>
      <c r="R14" s="177" t="e">
        <f t="shared" si="0"/>
        <v>#DIV/0!</v>
      </c>
      <c r="S14" s="543" t="e">
        <f t="shared" si="1"/>
        <v>#REF!</v>
      </c>
    </row>
    <row r="15" spans="1:19" ht="14.25">
      <c r="A15" s="542">
        <f>Gen!B20</f>
        <v>43961</v>
      </c>
      <c r="B15" s="6">
        <f>'Summery Report'!E14</f>
        <v>0</v>
      </c>
      <c r="C15" s="6">
        <f>Gen!U20</f>
        <v>1451</v>
      </c>
      <c r="D15" s="179">
        <f>Gen!T20</f>
        <v>652.33000000000004</v>
      </c>
      <c r="E15" s="179">
        <f>Gen!AK20</f>
        <v>0</v>
      </c>
      <c r="F15" s="179">
        <f>Gen!AS20</f>
        <v>652.33000000000004</v>
      </c>
      <c r="G15" s="182">
        <f>'Utility report '!AC15</f>
        <v>0</v>
      </c>
      <c r="H15" s="182">
        <f>'Utility report '!AE15</f>
        <v>35</v>
      </c>
      <c r="I15" s="352">
        <f>'Water-Meter'!E15</f>
        <v>51</v>
      </c>
      <c r="J15" s="184">
        <f>'Lpg (2)'!B19</f>
        <v>85</v>
      </c>
      <c r="K15" s="184">
        <f>'Lpg (2)'!C19</f>
        <v>83</v>
      </c>
      <c r="L15" s="184">
        <f>'Lpg (2)'!D19</f>
        <v>25</v>
      </c>
      <c r="M15" s="536">
        <f>'Lpg (2)'!G19</f>
        <v>45.143999999976955</v>
      </c>
      <c r="N15" s="177">
        <f t="shared" si="2"/>
        <v>913.26199999999994</v>
      </c>
      <c r="O15" s="177">
        <f t="shared" si="2"/>
        <v>0</v>
      </c>
      <c r="P15" s="176" t="e">
        <f>'[1]Lpg (2)'!#REF!</f>
        <v>#REF!</v>
      </c>
      <c r="Q15" s="177" t="e">
        <f>'[1]Summery Report'!#REF!</f>
        <v>#REF!</v>
      </c>
      <c r="R15" s="177" t="e">
        <f t="shared" si="0"/>
        <v>#DIV/0!</v>
      </c>
      <c r="S15" s="543" t="e">
        <f t="shared" si="1"/>
        <v>#REF!</v>
      </c>
    </row>
    <row r="16" spans="1:19" ht="14.25">
      <c r="A16" s="542">
        <f>Gen!B21</f>
        <v>43962</v>
      </c>
      <c r="B16" s="6">
        <f>'Summery Report'!E15</f>
        <v>0</v>
      </c>
      <c r="C16" s="6">
        <f>Gen!U21</f>
        <v>1449</v>
      </c>
      <c r="D16" s="179">
        <f>Gen!T21</f>
        <v>675.39</v>
      </c>
      <c r="E16" s="179">
        <f>Gen!AK21</f>
        <v>0</v>
      </c>
      <c r="F16" s="179">
        <f>Gen!AS21</f>
        <v>675.39</v>
      </c>
      <c r="G16" s="182">
        <f>'Utility report '!AC16</f>
        <v>0</v>
      </c>
      <c r="H16" s="182">
        <f>'Utility report '!AE16</f>
        <v>38</v>
      </c>
      <c r="I16" s="352">
        <f>'Water-Meter'!E16</f>
        <v>56</v>
      </c>
      <c r="J16" s="184">
        <f>'Lpg (2)'!B20</f>
        <v>85</v>
      </c>
      <c r="K16" s="184">
        <f>'Lpg (2)'!C20</f>
        <v>83</v>
      </c>
      <c r="L16" s="184">
        <f>'Lpg (2)'!D20</f>
        <v>21</v>
      </c>
      <c r="M16" s="536">
        <f>'Lpg (2)'!G20</f>
        <v>38.896000000048666</v>
      </c>
      <c r="N16" s="177">
        <f t="shared" si="2"/>
        <v>945.54599999999994</v>
      </c>
      <c r="O16" s="177">
        <f t="shared" si="2"/>
        <v>0</v>
      </c>
      <c r="P16" s="176" t="e">
        <f>'[1]Lpg (2)'!#REF!</f>
        <v>#REF!</v>
      </c>
      <c r="Q16" s="177" t="e">
        <f>'[1]Summery Report'!#REF!</f>
        <v>#REF!</v>
      </c>
      <c r="R16" s="177" t="e">
        <f t="shared" si="0"/>
        <v>#DIV/0!</v>
      </c>
      <c r="S16" s="543" t="e">
        <f t="shared" si="1"/>
        <v>#REF!</v>
      </c>
    </row>
    <row r="17" spans="1:19" ht="14.25">
      <c r="A17" s="542">
        <f>Gen!B22</f>
        <v>43963</v>
      </c>
      <c r="B17" s="6">
        <f>'Summery Report'!E16</f>
        <v>0</v>
      </c>
      <c r="C17" s="6">
        <f>Gen!U22</f>
        <v>1623</v>
      </c>
      <c r="D17" s="179">
        <f>Gen!T22</f>
        <v>719.01</v>
      </c>
      <c r="E17" s="179">
        <f>Gen!AK22</f>
        <v>106.89</v>
      </c>
      <c r="F17" s="179">
        <f>Gen!AS22</f>
        <v>825.9</v>
      </c>
      <c r="G17" s="182">
        <f>'Utility report '!AC17</f>
        <v>71</v>
      </c>
      <c r="H17" s="182">
        <f>'Utility report '!AE17</f>
        <v>43</v>
      </c>
      <c r="I17" s="352">
        <f>'Water-Meter'!E17</f>
        <v>58</v>
      </c>
      <c r="J17" s="184">
        <f>'Lpg (2)'!B21</f>
        <v>85</v>
      </c>
      <c r="K17" s="184">
        <f>'Lpg (2)'!C22</f>
        <v>83</v>
      </c>
      <c r="L17" s="184">
        <f>'Lpg (2)'!D21</f>
        <v>20</v>
      </c>
      <c r="M17" s="536">
        <f>'Lpg (2)'!G21</f>
        <v>27.01599999999744</v>
      </c>
      <c r="N17" s="177">
        <f t="shared" si="2"/>
        <v>1006.6139999999999</v>
      </c>
      <c r="O17" s="177">
        <f t="shared" si="2"/>
        <v>149.64599999999999</v>
      </c>
      <c r="P17" s="176" t="e">
        <f>'[1]Lpg (2)'!#REF!</f>
        <v>#REF!</v>
      </c>
      <c r="Q17" s="177" t="e">
        <f>'[1]Summery Report'!#REF!</f>
        <v>#REF!</v>
      </c>
      <c r="R17" s="177" t="e">
        <f t="shared" si="0"/>
        <v>#DIV/0!</v>
      </c>
      <c r="S17" s="543" t="e">
        <f t="shared" si="1"/>
        <v>#REF!</v>
      </c>
    </row>
    <row r="18" spans="1:19" ht="14.25">
      <c r="A18" s="542">
        <f>Gen!B23</f>
        <v>43964</v>
      </c>
      <c r="B18" s="6">
        <f>'Summery Report'!E17</f>
        <v>0</v>
      </c>
      <c r="C18" s="6">
        <f>Gen!U23</f>
        <v>1552</v>
      </c>
      <c r="D18" s="179">
        <f>Gen!T23</f>
        <v>656.19</v>
      </c>
      <c r="E18" s="179">
        <f>Gen!AK23</f>
        <v>0</v>
      </c>
      <c r="F18" s="179">
        <f>Gen!AS23</f>
        <v>656.19</v>
      </c>
      <c r="G18" s="182">
        <f>'Utility report '!AC18</f>
        <v>0</v>
      </c>
      <c r="H18" s="182">
        <f>'Utility report '!AE18</f>
        <v>32</v>
      </c>
      <c r="I18" s="352">
        <f>'Water-Meter'!E18</f>
        <v>41</v>
      </c>
      <c r="J18" s="184">
        <f>'Lpg (2)'!B22</f>
        <v>85</v>
      </c>
      <c r="K18" s="184" t="e">
        <f>'Lpg (2)'!#REF!</f>
        <v>#REF!</v>
      </c>
      <c r="L18" s="184">
        <f>'Lpg (2)'!D22</f>
        <v>18</v>
      </c>
      <c r="M18" s="536">
        <f>'Lpg (2)'!G22</f>
        <v>29.21599999999744</v>
      </c>
      <c r="N18" s="177">
        <f t="shared" si="2"/>
        <v>918.66600000000005</v>
      </c>
      <c r="O18" s="177">
        <f t="shared" si="2"/>
        <v>0</v>
      </c>
      <c r="P18" s="176" t="e">
        <f>'[1]Lpg (2)'!#REF!</f>
        <v>#REF!</v>
      </c>
      <c r="Q18" s="177" t="e">
        <f>'[1]Summery Report'!#REF!</f>
        <v>#REF!</v>
      </c>
      <c r="R18" s="177" t="e">
        <f t="shared" si="0"/>
        <v>#DIV/0!</v>
      </c>
      <c r="S18" s="543" t="e">
        <f t="shared" si="1"/>
        <v>#REF!</v>
      </c>
    </row>
    <row r="19" spans="1:19" ht="14.25">
      <c r="A19" s="542">
        <f>Gen!B24</f>
        <v>43965</v>
      </c>
      <c r="B19" s="6">
        <f>'Summery Report'!E18</f>
        <v>0</v>
      </c>
      <c r="C19" s="6">
        <f>Gen!U24</f>
        <v>1480</v>
      </c>
      <c r="D19" s="179">
        <f>Gen!T24</f>
        <v>633.07999999999993</v>
      </c>
      <c r="E19" s="179">
        <f>Gen!AK24</f>
        <v>0</v>
      </c>
      <c r="F19" s="179">
        <f>Gen!AS24</f>
        <v>633.07999999999993</v>
      </c>
      <c r="G19" s="182">
        <f>'Utility report '!AC19</f>
        <v>0</v>
      </c>
      <c r="H19" s="182">
        <f>'Utility report '!AE19</f>
        <v>36</v>
      </c>
      <c r="I19" s="352">
        <f>'Water-Meter'!E19</f>
        <v>33</v>
      </c>
      <c r="J19" s="184">
        <f>'Lpg (2)'!B23</f>
        <v>85</v>
      </c>
      <c r="K19" s="184">
        <f>'Lpg (2)'!C23</f>
        <v>83</v>
      </c>
      <c r="L19" s="184">
        <f>'Lpg (2)'!D23</f>
        <v>16</v>
      </c>
      <c r="M19" s="536">
        <f>'Lpg (2)'!G23</f>
        <v>37.179999999987196</v>
      </c>
      <c r="N19" s="177">
        <f t="shared" si="2"/>
        <v>886.3119999999999</v>
      </c>
      <c r="O19" s="177">
        <f t="shared" si="2"/>
        <v>0</v>
      </c>
      <c r="P19" s="176" t="e">
        <f>'[1]Lpg (2)'!#REF!</f>
        <v>#REF!</v>
      </c>
      <c r="Q19" s="177" t="e">
        <f>'[1]Summery Report'!#REF!</f>
        <v>#REF!</v>
      </c>
      <c r="R19" s="177" t="e">
        <f t="shared" si="0"/>
        <v>#DIV/0!</v>
      </c>
      <c r="S19" s="543" t="e">
        <f t="shared" si="1"/>
        <v>#REF!</v>
      </c>
    </row>
    <row r="20" spans="1:19" ht="14.25">
      <c r="A20" s="542">
        <f>Gen!B25</f>
        <v>43966</v>
      </c>
      <c r="B20" s="6">
        <f>'Summery Report'!E19</f>
        <v>0</v>
      </c>
      <c r="C20" s="6">
        <f>Gen!U25</f>
        <v>0</v>
      </c>
      <c r="D20" s="179">
        <f>Gen!T25</f>
        <v>0</v>
      </c>
      <c r="E20" s="179">
        <f>Gen!AK25</f>
        <v>0</v>
      </c>
      <c r="F20" s="179">
        <f>Gen!AS25</f>
        <v>0</v>
      </c>
      <c r="G20" s="182">
        <f>'Utility report '!AC20</f>
        <v>0</v>
      </c>
      <c r="H20" s="182">
        <f>'Utility report '!AE20</f>
        <v>-201347</v>
      </c>
      <c r="I20" s="352" t="str">
        <f>'Water-Meter'!E20</f>
        <v>0</v>
      </c>
      <c r="J20" s="184">
        <f>'Lpg (2)'!B24</f>
        <v>0</v>
      </c>
      <c r="K20" s="184">
        <f>'Lpg (2)'!C24</f>
        <v>0</v>
      </c>
      <c r="L20" s="184">
        <f>'Lpg (2)'!D24</f>
        <v>0</v>
      </c>
      <c r="M20" s="536">
        <f>'Lpg (2)'!G24</f>
        <v>-313549.85200000001</v>
      </c>
      <c r="N20" s="177">
        <f t="shared" si="2"/>
        <v>0</v>
      </c>
      <c r="O20" s="177">
        <f t="shared" si="2"/>
        <v>0</v>
      </c>
      <c r="P20" s="176" t="e">
        <f>'[1]Lpg (2)'!#REF!</f>
        <v>#REF!</v>
      </c>
      <c r="Q20" s="177" t="e">
        <f>'[1]Summery Report'!#REF!</f>
        <v>#REF!</v>
      </c>
      <c r="R20" s="177" t="e">
        <f t="shared" si="0"/>
        <v>#DIV/0!</v>
      </c>
      <c r="S20" s="543" t="e">
        <f t="shared" si="1"/>
        <v>#REF!</v>
      </c>
    </row>
    <row r="21" spans="1:19" ht="14.25">
      <c r="A21" s="542">
        <f>Gen!B26</f>
        <v>43967</v>
      </c>
      <c r="B21" s="6">
        <f>'Summery Report'!E20</f>
        <v>0</v>
      </c>
      <c r="C21" s="6">
        <f>Gen!U26</f>
        <v>0</v>
      </c>
      <c r="D21" s="179">
        <f>Gen!T26</f>
        <v>0</v>
      </c>
      <c r="E21" s="179">
        <f>Gen!AK26</f>
        <v>0</v>
      </c>
      <c r="F21" s="179">
        <f>Gen!AS26</f>
        <v>0</v>
      </c>
      <c r="G21" s="182">
        <f>'Utility report '!AC21</f>
        <v>0</v>
      </c>
      <c r="H21" s="182">
        <f>'Utility report '!AE21</f>
        <v>0</v>
      </c>
      <c r="I21" s="352">
        <f>'Water-Meter'!E21</f>
        <v>0</v>
      </c>
      <c r="J21" s="184">
        <f>'Lpg (2)'!B25</f>
        <v>0</v>
      </c>
      <c r="K21" s="184">
        <f>'Lpg (2)'!C25</f>
        <v>0</v>
      </c>
      <c r="L21" s="184">
        <f>'Lpg (2)'!D25</f>
        <v>0</v>
      </c>
      <c r="M21" s="536">
        <f>'Lpg (2)'!G25</f>
        <v>0</v>
      </c>
      <c r="N21" s="177">
        <f t="shared" si="2"/>
        <v>0</v>
      </c>
      <c r="O21" s="177">
        <f t="shared" si="2"/>
        <v>0</v>
      </c>
      <c r="P21" s="176" t="e">
        <f>'[1]Lpg (2)'!#REF!</f>
        <v>#REF!</v>
      </c>
      <c r="Q21" s="177" t="e">
        <f>'[1]Summery Report'!#REF!</f>
        <v>#REF!</v>
      </c>
      <c r="R21" s="177" t="e">
        <f t="shared" si="0"/>
        <v>#DIV/0!</v>
      </c>
      <c r="S21" s="543" t="e">
        <f t="shared" si="1"/>
        <v>#REF!</v>
      </c>
    </row>
    <row r="22" spans="1:19" ht="14.25">
      <c r="A22" s="542">
        <f>Gen!B27</f>
        <v>43968</v>
      </c>
      <c r="B22" s="6">
        <f>'Summery Report'!E21</f>
        <v>0</v>
      </c>
      <c r="C22" s="6">
        <f>Gen!U27</f>
        <v>0</v>
      </c>
      <c r="D22" s="179">
        <f>Gen!T27</f>
        <v>0</v>
      </c>
      <c r="E22" s="179">
        <f>Gen!AK27</f>
        <v>0</v>
      </c>
      <c r="F22" s="179">
        <f>Gen!AS27</f>
        <v>0</v>
      </c>
      <c r="G22" s="182">
        <f>'Utility report '!AC22</f>
        <v>0</v>
      </c>
      <c r="H22" s="182">
        <f>'Utility report '!AE22</f>
        <v>0</v>
      </c>
      <c r="I22" s="352">
        <f>'Water-Meter'!E22</f>
        <v>0</v>
      </c>
      <c r="J22" s="184">
        <f>'Lpg (2)'!B26</f>
        <v>0</v>
      </c>
      <c r="K22" s="184">
        <f>'Lpg (2)'!C26</f>
        <v>0</v>
      </c>
      <c r="L22" s="184">
        <f>'Lpg (2)'!D26</f>
        <v>0</v>
      </c>
      <c r="M22" s="536">
        <f>'Lpg (2)'!G26</f>
        <v>0</v>
      </c>
      <c r="N22" s="177">
        <f t="shared" si="2"/>
        <v>0</v>
      </c>
      <c r="O22" s="177">
        <f t="shared" si="2"/>
        <v>0</v>
      </c>
      <c r="P22" s="176" t="e">
        <f>'[1]Lpg (2)'!#REF!</f>
        <v>#REF!</v>
      </c>
      <c r="Q22" s="177" t="e">
        <f>'[1]Summery Report'!#REF!</f>
        <v>#REF!</v>
      </c>
      <c r="R22" s="177" t="e">
        <f t="shared" si="0"/>
        <v>#DIV/0!</v>
      </c>
      <c r="S22" s="543" t="e">
        <f t="shared" si="1"/>
        <v>#REF!</v>
      </c>
    </row>
    <row r="23" spans="1:19" ht="14.25">
      <c r="A23" s="542">
        <f>Gen!B28</f>
        <v>43969</v>
      </c>
      <c r="B23" s="6">
        <f>'Summery Report'!E22</f>
        <v>0</v>
      </c>
      <c r="C23" s="6">
        <f>Gen!U28</f>
        <v>0</v>
      </c>
      <c r="D23" s="179">
        <f>Gen!T28</f>
        <v>0</v>
      </c>
      <c r="E23" s="179">
        <f>Gen!AK28</f>
        <v>0</v>
      </c>
      <c r="F23" s="179">
        <f>Gen!AS28</f>
        <v>0</v>
      </c>
      <c r="G23" s="182">
        <f>'Utility report '!AC23</f>
        <v>0</v>
      </c>
      <c r="H23" s="182">
        <f>'Utility report '!AE23</f>
        <v>0</v>
      </c>
      <c r="I23" s="352">
        <f>'Water-Meter'!E23</f>
        <v>0</v>
      </c>
      <c r="J23" s="184">
        <f>'Lpg (2)'!B27</f>
        <v>0</v>
      </c>
      <c r="K23" s="184">
        <f>'Lpg (2)'!C27</f>
        <v>0</v>
      </c>
      <c r="L23" s="184">
        <f>'Lpg (2)'!D27</f>
        <v>0</v>
      </c>
      <c r="M23" s="536">
        <f>'Lpg (2)'!G27</f>
        <v>0</v>
      </c>
      <c r="N23" s="177">
        <f t="shared" si="2"/>
        <v>0</v>
      </c>
      <c r="O23" s="177">
        <f t="shared" si="2"/>
        <v>0</v>
      </c>
      <c r="P23" s="176" t="e">
        <f>'[1]Lpg (2)'!#REF!</f>
        <v>#REF!</v>
      </c>
      <c r="Q23" s="177" t="e">
        <f>'[1]Summery Report'!#REF!</f>
        <v>#REF!</v>
      </c>
      <c r="R23" s="177" t="e">
        <f t="shared" si="0"/>
        <v>#DIV/0!</v>
      </c>
      <c r="S23" s="543" t="e">
        <f t="shared" si="1"/>
        <v>#REF!</v>
      </c>
    </row>
    <row r="24" spans="1:19" ht="14.25">
      <c r="A24" s="542">
        <f>Gen!B29</f>
        <v>43970</v>
      </c>
      <c r="B24" s="6">
        <f>'Summery Report'!E23</f>
        <v>0</v>
      </c>
      <c r="C24" s="6">
        <f>Gen!U29</f>
        <v>0</v>
      </c>
      <c r="D24" s="179">
        <f>Gen!T29</f>
        <v>0</v>
      </c>
      <c r="E24" s="179">
        <f>Gen!AK29</f>
        <v>0</v>
      </c>
      <c r="F24" s="179">
        <f>Gen!AS29</f>
        <v>0</v>
      </c>
      <c r="G24" s="182">
        <f>'Utility report '!AC24</f>
        <v>0</v>
      </c>
      <c r="H24" s="182">
        <f>'Utility report '!AE24</f>
        <v>0</v>
      </c>
      <c r="I24" s="352">
        <f>'Water-Meter'!E24</f>
        <v>0</v>
      </c>
      <c r="J24" s="184">
        <f>'Lpg (2)'!B28</f>
        <v>0</v>
      </c>
      <c r="K24" s="184">
        <f>'Lpg (2)'!C28</f>
        <v>0</v>
      </c>
      <c r="L24" s="184">
        <f>'Lpg (2)'!D28</f>
        <v>0</v>
      </c>
      <c r="M24" s="536">
        <f>'Lpg (2)'!G28</f>
        <v>0</v>
      </c>
      <c r="N24" s="177">
        <f t="shared" si="2"/>
        <v>0</v>
      </c>
      <c r="O24" s="177">
        <f t="shared" si="2"/>
        <v>0</v>
      </c>
      <c r="P24" s="176" t="e">
        <f>'[1]Lpg (2)'!#REF!</f>
        <v>#REF!</v>
      </c>
      <c r="Q24" s="177" t="e">
        <f>'[1]Summery Report'!#REF!</f>
        <v>#REF!</v>
      </c>
      <c r="R24" s="177" t="e">
        <f t="shared" si="0"/>
        <v>#DIV/0!</v>
      </c>
      <c r="S24" s="543" t="e">
        <f t="shared" si="1"/>
        <v>#REF!</v>
      </c>
    </row>
    <row r="25" spans="1:19" ht="14.25">
      <c r="A25" s="542">
        <f>Gen!B30</f>
        <v>43971</v>
      </c>
      <c r="B25" s="6">
        <f>'Summery Report'!E24</f>
        <v>0</v>
      </c>
      <c r="C25" s="6">
        <f>Gen!U30</f>
        <v>0</v>
      </c>
      <c r="D25" s="179">
        <f>Gen!T30</f>
        <v>0</v>
      </c>
      <c r="E25" s="179">
        <f>Gen!AK30</f>
        <v>0</v>
      </c>
      <c r="F25" s="179">
        <f>Gen!AS30</f>
        <v>0</v>
      </c>
      <c r="G25" s="182">
        <f>'Utility report '!AC25</f>
        <v>0</v>
      </c>
      <c r="H25" s="182">
        <f>'Utility report '!AE25</f>
        <v>0</v>
      </c>
      <c r="I25" s="352">
        <f>'Water-Meter'!E25</f>
        <v>0</v>
      </c>
      <c r="J25" s="184">
        <f>'Lpg (2)'!B29</f>
        <v>0</v>
      </c>
      <c r="K25" s="184">
        <f>'Lpg (2)'!C29</f>
        <v>0</v>
      </c>
      <c r="L25" s="184">
        <f>'Lpg (2)'!D29</f>
        <v>0</v>
      </c>
      <c r="M25" s="536">
        <f>'Lpg (2)'!G29</f>
        <v>0</v>
      </c>
      <c r="N25" s="177">
        <f t="shared" si="2"/>
        <v>0</v>
      </c>
      <c r="O25" s="177">
        <f t="shared" si="2"/>
        <v>0</v>
      </c>
      <c r="P25" s="176" t="e">
        <f>'[1]Lpg (2)'!#REF!</f>
        <v>#REF!</v>
      </c>
      <c r="Q25" s="177" t="e">
        <f>'[1]Summery Report'!#REF!</f>
        <v>#REF!</v>
      </c>
      <c r="R25" s="177" t="e">
        <f t="shared" si="0"/>
        <v>#DIV/0!</v>
      </c>
      <c r="S25" s="543" t="e">
        <f t="shared" si="1"/>
        <v>#REF!</v>
      </c>
    </row>
    <row r="26" spans="1:19" ht="14.25">
      <c r="A26" s="542">
        <f>Gen!B31</f>
        <v>43972</v>
      </c>
      <c r="B26" s="6">
        <f>'Summery Report'!E25</f>
        <v>0</v>
      </c>
      <c r="C26" s="6">
        <f>Gen!U31</f>
        <v>0</v>
      </c>
      <c r="D26" s="179">
        <f>Gen!T31</f>
        <v>0</v>
      </c>
      <c r="E26" s="179">
        <f>Gen!AK31</f>
        <v>0</v>
      </c>
      <c r="F26" s="179">
        <f>Gen!AS31</f>
        <v>0</v>
      </c>
      <c r="G26" s="182">
        <f>'Utility report '!AC26</f>
        <v>0</v>
      </c>
      <c r="H26" s="182">
        <f>'Utility report '!AE26</f>
        <v>0</v>
      </c>
      <c r="I26" s="352">
        <f>'Water-Meter'!E26</f>
        <v>0</v>
      </c>
      <c r="J26" s="184">
        <f>'Lpg (2)'!B30</f>
        <v>0</v>
      </c>
      <c r="K26" s="184">
        <f>'Lpg (2)'!C30</f>
        <v>0</v>
      </c>
      <c r="L26" s="184">
        <f>'Lpg (2)'!D30</f>
        <v>0</v>
      </c>
      <c r="M26" s="536">
        <f>'Lpg (2)'!G30</f>
        <v>0</v>
      </c>
      <c r="N26" s="177">
        <f t="shared" si="2"/>
        <v>0</v>
      </c>
      <c r="O26" s="177">
        <f t="shared" si="2"/>
        <v>0</v>
      </c>
      <c r="P26" s="176" t="e">
        <f>'[1]Lpg (2)'!#REF!</f>
        <v>#REF!</v>
      </c>
      <c r="Q26" s="177" t="e">
        <f>'[1]Summery Report'!#REF!</f>
        <v>#REF!</v>
      </c>
      <c r="R26" s="177" t="e">
        <f t="shared" si="0"/>
        <v>#DIV/0!</v>
      </c>
      <c r="S26" s="543" t="e">
        <f t="shared" si="1"/>
        <v>#REF!</v>
      </c>
    </row>
    <row r="27" spans="1:19" ht="14.25">
      <c r="A27" s="542">
        <f>Gen!B32</f>
        <v>43973</v>
      </c>
      <c r="B27" s="6">
        <f>'Summery Report'!E26</f>
        <v>0</v>
      </c>
      <c r="C27" s="6">
        <f>Gen!U32</f>
        <v>0</v>
      </c>
      <c r="D27" s="179">
        <f>Gen!T32</f>
        <v>0</v>
      </c>
      <c r="E27" s="179">
        <f>Gen!AK32</f>
        <v>0</v>
      </c>
      <c r="F27" s="179">
        <f>Gen!AS32</f>
        <v>0</v>
      </c>
      <c r="G27" s="182">
        <f>'Utility report '!AC27</f>
        <v>0</v>
      </c>
      <c r="H27" s="182">
        <f>'Utility report '!AE27</f>
        <v>0</v>
      </c>
      <c r="I27" s="352">
        <f>'Water-Meter'!E27</f>
        <v>0</v>
      </c>
      <c r="J27" s="184">
        <f>'Lpg (2)'!B31</f>
        <v>0</v>
      </c>
      <c r="K27" s="184">
        <f>'Lpg (2)'!C31</f>
        <v>0</v>
      </c>
      <c r="L27" s="184">
        <f>'Lpg (2)'!D31</f>
        <v>0</v>
      </c>
      <c r="M27" s="536">
        <f>'Lpg (2)'!G31</f>
        <v>0</v>
      </c>
      <c r="N27" s="177">
        <f t="shared" si="2"/>
        <v>0</v>
      </c>
      <c r="O27" s="177">
        <f t="shared" si="2"/>
        <v>0</v>
      </c>
      <c r="P27" s="176" t="e">
        <f>'[1]Lpg (2)'!#REF!</f>
        <v>#REF!</v>
      </c>
      <c r="Q27" s="177" t="e">
        <f>'[1]Summery Report'!#REF!</f>
        <v>#REF!</v>
      </c>
      <c r="R27" s="177" t="e">
        <f t="shared" si="0"/>
        <v>#DIV/0!</v>
      </c>
      <c r="S27" s="543" t="e">
        <f t="shared" si="1"/>
        <v>#REF!</v>
      </c>
    </row>
    <row r="28" spans="1:19" ht="14.25">
      <c r="A28" s="542">
        <f>Gen!B33</f>
        <v>43974</v>
      </c>
      <c r="B28" s="6">
        <f>'Summery Report'!E27</f>
        <v>0</v>
      </c>
      <c r="C28" s="6">
        <f>Gen!U33</f>
        <v>0</v>
      </c>
      <c r="D28" s="179">
        <f>Gen!T33</f>
        <v>0</v>
      </c>
      <c r="E28" s="179">
        <f>Gen!AK33</f>
        <v>0</v>
      </c>
      <c r="F28" s="179">
        <f>Gen!AS33</f>
        <v>0</v>
      </c>
      <c r="G28" s="182">
        <f>'Utility report '!AC28</f>
        <v>0</v>
      </c>
      <c r="H28" s="182">
        <f>'Utility report '!AE28</f>
        <v>0</v>
      </c>
      <c r="I28" s="352">
        <f>'Water-Meter'!E28</f>
        <v>0</v>
      </c>
      <c r="J28" s="184">
        <f>'Lpg (2)'!B32</f>
        <v>0</v>
      </c>
      <c r="K28" s="184">
        <f>'Lpg (2)'!C32</f>
        <v>0</v>
      </c>
      <c r="L28" s="184">
        <f>'Lpg (2)'!D32</f>
        <v>0</v>
      </c>
      <c r="M28" s="536">
        <f>'Lpg (2)'!G32</f>
        <v>0</v>
      </c>
      <c r="N28" s="177">
        <f t="shared" si="2"/>
        <v>0</v>
      </c>
      <c r="O28" s="177">
        <f t="shared" si="2"/>
        <v>0</v>
      </c>
      <c r="P28" s="176" t="e">
        <f>'[1]Lpg (2)'!#REF!</f>
        <v>#REF!</v>
      </c>
      <c r="Q28" s="177" t="e">
        <f>'[1]Summery Report'!#REF!</f>
        <v>#REF!</v>
      </c>
      <c r="R28" s="177" t="e">
        <f t="shared" si="0"/>
        <v>#DIV/0!</v>
      </c>
      <c r="S28" s="543" t="e">
        <f t="shared" si="1"/>
        <v>#REF!</v>
      </c>
    </row>
    <row r="29" spans="1:19" ht="14.25">
      <c r="A29" s="542">
        <f>Gen!B34</f>
        <v>43975</v>
      </c>
      <c r="B29" s="6">
        <f>'Summery Report'!E28</f>
        <v>0</v>
      </c>
      <c r="C29" s="6">
        <f>Gen!U34</f>
        <v>0</v>
      </c>
      <c r="D29" s="179">
        <f>Gen!T34</f>
        <v>0</v>
      </c>
      <c r="E29" s="179">
        <f>Gen!AK34</f>
        <v>0</v>
      </c>
      <c r="F29" s="179">
        <f>Gen!AS34</f>
        <v>0</v>
      </c>
      <c r="G29" s="182">
        <f>'Utility report '!AC29</f>
        <v>0</v>
      </c>
      <c r="H29" s="182">
        <f>'Utility report '!AE29</f>
        <v>0</v>
      </c>
      <c r="I29" s="352">
        <f>'Water-Meter'!E29</f>
        <v>0</v>
      </c>
      <c r="J29" s="184">
        <f>'Lpg (2)'!B33</f>
        <v>0</v>
      </c>
      <c r="K29" s="184">
        <f>'Lpg (2)'!C33</f>
        <v>0</v>
      </c>
      <c r="L29" s="184">
        <f>'Lpg (2)'!D33</f>
        <v>0</v>
      </c>
      <c r="M29" s="536">
        <f>'Lpg (2)'!G33</f>
        <v>0</v>
      </c>
      <c r="N29" s="177">
        <f t="shared" si="2"/>
        <v>0</v>
      </c>
      <c r="O29" s="177">
        <f t="shared" si="2"/>
        <v>0</v>
      </c>
      <c r="P29" s="176" t="e">
        <f>'[1]Lpg (2)'!#REF!</f>
        <v>#REF!</v>
      </c>
      <c r="Q29" s="177" t="e">
        <f>'[1]Summery Report'!#REF!</f>
        <v>#REF!</v>
      </c>
      <c r="R29" s="177" t="e">
        <f t="shared" si="0"/>
        <v>#DIV/0!</v>
      </c>
      <c r="S29" s="543" t="e">
        <f t="shared" si="1"/>
        <v>#REF!</v>
      </c>
    </row>
    <row r="30" spans="1:19" ht="14.25">
      <c r="A30" s="542">
        <f>Gen!B35</f>
        <v>43976</v>
      </c>
      <c r="B30" s="6">
        <f>'Summery Report'!E29</f>
        <v>0</v>
      </c>
      <c r="C30" s="6">
        <f>Gen!U35</f>
        <v>0</v>
      </c>
      <c r="D30" s="179">
        <f>Gen!T35</f>
        <v>0</v>
      </c>
      <c r="E30" s="179">
        <f>Gen!AK35</f>
        <v>0</v>
      </c>
      <c r="F30" s="179">
        <f>Gen!AS35</f>
        <v>0</v>
      </c>
      <c r="G30" s="182">
        <f>'Utility report '!AC30</f>
        <v>0</v>
      </c>
      <c r="H30" s="182">
        <f>'Utility report '!AE30</f>
        <v>0</v>
      </c>
      <c r="I30" s="352">
        <f>'Water-Meter'!E30</f>
        <v>0</v>
      </c>
      <c r="J30" s="184">
        <f>'Lpg (2)'!B34</f>
        <v>0</v>
      </c>
      <c r="K30" s="184">
        <f>'Lpg (2)'!C34</f>
        <v>0</v>
      </c>
      <c r="L30" s="184">
        <f>'Lpg (2)'!D34</f>
        <v>0</v>
      </c>
      <c r="M30" s="536">
        <f>'Lpg (2)'!G34</f>
        <v>0</v>
      </c>
      <c r="N30" s="177">
        <f t="shared" si="2"/>
        <v>0</v>
      </c>
      <c r="O30" s="177">
        <f t="shared" si="2"/>
        <v>0</v>
      </c>
      <c r="P30" s="176" t="e">
        <f>'[1]Lpg (2)'!#REF!</f>
        <v>#REF!</v>
      </c>
      <c r="Q30" s="177" t="e">
        <f>'[1]Summery Report'!#REF!</f>
        <v>#REF!</v>
      </c>
      <c r="R30" s="177" t="e">
        <f t="shared" si="0"/>
        <v>#DIV/0!</v>
      </c>
      <c r="S30" s="543" t="e">
        <f t="shared" si="1"/>
        <v>#REF!</v>
      </c>
    </row>
    <row r="31" spans="1:19" ht="14.25">
      <c r="A31" s="542">
        <f>Gen!B36</f>
        <v>43977</v>
      </c>
      <c r="B31" s="6">
        <f>'Summery Report'!E30</f>
        <v>0</v>
      </c>
      <c r="C31" s="6">
        <f>Gen!U36</f>
        <v>0</v>
      </c>
      <c r="D31" s="179">
        <f>Gen!T36</f>
        <v>0</v>
      </c>
      <c r="E31" s="179">
        <f>Gen!AK36</f>
        <v>0</v>
      </c>
      <c r="F31" s="179">
        <f>Gen!AS36</f>
        <v>0</v>
      </c>
      <c r="G31" s="182">
        <f>'Utility report '!AC31</f>
        <v>0</v>
      </c>
      <c r="H31" s="182">
        <f>'Utility report '!AE31</f>
        <v>0</v>
      </c>
      <c r="I31" s="352">
        <f>'Water-Meter'!E31</f>
        <v>0</v>
      </c>
      <c r="J31" s="184">
        <f>'Lpg (2)'!B35</f>
        <v>0</v>
      </c>
      <c r="K31" s="184">
        <f>'Lpg (2)'!C35</f>
        <v>0</v>
      </c>
      <c r="L31" s="184">
        <f>'Lpg (2)'!D35</f>
        <v>0</v>
      </c>
      <c r="M31" s="536">
        <f>'Lpg (2)'!G35</f>
        <v>0</v>
      </c>
      <c r="N31" s="177">
        <f t="shared" si="2"/>
        <v>0</v>
      </c>
      <c r="O31" s="177">
        <f t="shared" si="2"/>
        <v>0</v>
      </c>
      <c r="P31" s="176" t="e">
        <f>'[1]Lpg (2)'!#REF!</f>
        <v>#REF!</v>
      </c>
      <c r="Q31" s="177" t="e">
        <f>'[1]Summery Report'!#REF!</f>
        <v>#REF!</v>
      </c>
      <c r="R31" s="177" t="e">
        <f t="shared" si="0"/>
        <v>#DIV/0!</v>
      </c>
      <c r="S31" s="543" t="e">
        <f t="shared" si="1"/>
        <v>#REF!</v>
      </c>
    </row>
    <row r="32" spans="1:19" ht="14.25">
      <c r="A32" s="542">
        <f>Gen!B37</f>
        <v>43978</v>
      </c>
      <c r="B32" s="6">
        <f>'Summery Report'!E31</f>
        <v>0</v>
      </c>
      <c r="C32" s="6">
        <f>Gen!U37</f>
        <v>0</v>
      </c>
      <c r="D32" s="179">
        <f>Gen!T37</f>
        <v>0</v>
      </c>
      <c r="E32" s="179">
        <f>Gen!AK37</f>
        <v>0</v>
      </c>
      <c r="F32" s="179">
        <f>Gen!AS37</f>
        <v>0</v>
      </c>
      <c r="G32" s="182">
        <f>'Utility report '!AC32</f>
        <v>0</v>
      </c>
      <c r="H32" s="182">
        <f>'Utility report '!AE32</f>
        <v>0</v>
      </c>
      <c r="I32" s="352">
        <f>'Water-Meter'!E32</f>
        <v>0</v>
      </c>
      <c r="J32" s="184">
        <f>'Lpg (2)'!B36</f>
        <v>0</v>
      </c>
      <c r="K32" s="184">
        <f>'Lpg (2)'!C36</f>
        <v>0</v>
      </c>
      <c r="L32" s="184">
        <f>'Lpg (2)'!D36</f>
        <v>0</v>
      </c>
      <c r="M32" s="536">
        <f>'Lpg (2)'!G36</f>
        <v>0</v>
      </c>
      <c r="N32" s="177">
        <f t="shared" si="2"/>
        <v>0</v>
      </c>
      <c r="O32" s="177">
        <f t="shared" si="2"/>
        <v>0</v>
      </c>
      <c r="P32" s="176" t="e">
        <f>'[1]Lpg (2)'!#REF!</f>
        <v>#REF!</v>
      </c>
      <c r="Q32" s="177" t="e">
        <f>'[1]Summery Report'!#REF!</f>
        <v>#REF!</v>
      </c>
      <c r="R32" s="177" t="e">
        <f t="shared" si="0"/>
        <v>#DIV/0!</v>
      </c>
      <c r="S32" s="543" t="e">
        <f t="shared" si="1"/>
        <v>#REF!</v>
      </c>
    </row>
    <row r="33" spans="1:20" ht="14.25">
      <c r="A33" s="542">
        <f>Gen!B38</f>
        <v>43979</v>
      </c>
      <c r="B33" s="6">
        <f>'Summery Report'!E32</f>
        <v>0</v>
      </c>
      <c r="C33" s="6">
        <f>Gen!U38</f>
        <v>0</v>
      </c>
      <c r="D33" s="179">
        <f>Gen!T38</f>
        <v>0</v>
      </c>
      <c r="E33" s="179">
        <f>Gen!AK38</f>
        <v>0</v>
      </c>
      <c r="F33" s="179">
        <f>Gen!AS38</f>
        <v>0</v>
      </c>
      <c r="G33" s="182">
        <f>'Utility report '!AC33</f>
        <v>0</v>
      </c>
      <c r="H33" s="182">
        <f>'Utility report '!AE33</f>
        <v>0</v>
      </c>
      <c r="I33" s="352">
        <f>'Water-Meter'!E33</f>
        <v>0</v>
      </c>
      <c r="J33" s="184">
        <f>'Lpg (2)'!B37</f>
        <v>0</v>
      </c>
      <c r="K33" s="184">
        <f>'Lpg (2)'!C37</f>
        <v>0</v>
      </c>
      <c r="L33" s="184">
        <f>'Lpg (2)'!D37</f>
        <v>0</v>
      </c>
      <c r="M33" s="536">
        <f>'Lpg (2)'!G37</f>
        <v>0</v>
      </c>
      <c r="N33" s="177">
        <f t="shared" si="2"/>
        <v>0</v>
      </c>
      <c r="O33" s="177">
        <f t="shared" si="2"/>
        <v>0</v>
      </c>
      <c r="P33" s="176" t="e">
        <f>'[1]Lpg (2)'!#REF!</f>
        <v>#REF!</v>
      </c>
      <c r="Q33" s="177" t="e">
        <f>'[1]Summery Report'!#REF!</f>
        <v>#REF!</v>
      </c>
      <c r="R33" s="177" t="e">
        <f t="shared" si="0"/>
        <v>#DIV/0!</v>
      </c>
      <c r="S33" s="543" t="e">
        <f t="shared" si="1"/>
        <v>#REF!</v>
      </c>
      <c r="T33">
        <f>3124/13</f>
        <v>240.30769230769232</v>
      </c>
    </row>
    <row r="34" spans="1:20" ht="14.25">
      <c r="A34" s="542">
        <f>Gen!B39</f>
        <v>43980</v>
      </c>
      <c r="B34" s="6">
        <f>'Summery Report'!E33</f>
        <v>0</v>
      </c>
      <c r="C34" s="6">
        <f>Gen!U39</f>
        <v>0</v>
      </c>
      <c r="D34" s="179">
        <f>Gen!T39</f>
        <v>0</v>
      </c>
      <c r="E34" s="179">
        <f>Gen!AK39</f>
        <v>0</v>
      </c>
      <c r="F34" s="179">
        <f>Gen!AS39</f>
        <v>0</v>
      </c>
      <c r="G34" s="182">
        <f>'Utility report '!AC34</f>
        <v>0</v>
      </c>
      <c r="H34" s="182">
        <f>'Utility report '!AE34</f>
        <v>0</v>
      </c>
      <c r="I34" s="352">
        <f>'Water-Meter'!E34</f>
        <v>0</v>
      </c>
      <c r="J34" s="184">
        <f>'Lpg (2)'!B38</f>
        <v>0</v>
      </c>
      <c r="K34" s="184">
        <f>'Lpg (2)'!C38</f>
        <v>0</v>
      </c>
      <c r="L34" s="184">
        <f>'Lpg (2)'!D38</f>
        <v>0</v>
      </c>
      <c r="M34" s="536">
        <f>'Lpg (2)'!G38</f>
        <v>0</v>
      </c>
      <c r="N34" s="177">
        <f t="shared" si="2"/>
        <v>0</v>
      </c>
      <c r="O34" s="177">
        <f t="shared" si="2"/>
        <v>0</v>
      </c>
      <c r="P34" s="176" t="e">
        <f>'[1]Lpg (2)'!#REF!</f>
        <v>#REF!</v>
      </c>
      <c r="Q34" s="177" t="e">
        <f>'[1]Summery Report'!#REF!</f>
        <v>#REF!</v>
      </c>
      <c r="R34" s="177" t="e">
        <f t="shared" si="0"/>
        <v>#DIV/0!</v>
      </c>
      <c r="S34" s="543" t="e">
        <f t="shared" si="1"/>
        <v>#REF!</v>
      </c>
    </row>
    <row r="35" spans="1:20" ht="14.25">
      <c r="A35" s="542">
        <f>Gen!B40</f>
        <v>43981</v>
      </c>
      <c r="B35" s="6">
        <f>'Summery Report'!E34</f>
        <v>0</v>
      </c>
      <c r="C35" s="6">
        <f>Gen!U40</f>
        <v>0</v>
      </c>
      <c r="D35" s="179">
        <f>Gen!T40</f>
        <v>0</v>
      </c>
      <c r="E35" s="179">
        <f>Gen!AK40</f>
        <v>0</v>
      </c>
      <c r="F35" s="179">
        <f>Gen!AS40</f>
        <v>0</v>
      </c>
      <c r="G35" s="182">
        <f>'Utility report '!AC35</f>
        <v>0</v>
      </c>
      <c r="H35" s="182">
        <f>'Utility report '!AE35</f>
        <v>0</v>
      </c>
      <c r="I35" s="352">
        <f>'Water-Meter'!E35</f>
        <v>0</v>
      </c>
      <c r="J35" s="184">
        <f>'Lpg (2)'!B39</f>
        <v>0</v>
      </c>
      <c r="K35" s="184">
        <f>'Lpg (2)'!C39</f>
        <v>0</v>
      </c>
      <c r="L35" s="184">
        <f>'Lpg (2)'!D39</f>
        <v>0</v>
      </c>
      <c r="M35" s="536">
        <f>'Lpg (2)'!G39</f>
        <v>0</v>
      </c>
      <c r="N35" s="177">
        <f t="shared" si="2"/>
        <v>0</v>
      </c>
      <c r="O35" s="177">
        <f t="shared" si="2"/>
        <v>0</v>
      </c>
      <c r="P35" s="176" t="e">
        <f>'[1]Lpg (2)'!#REF!</f>
        <v>#REF!</v>
      </c>
      <c r="Q35" s="177" t="e">
        <f>'[1]Summery Report'!#REF!</f>
        <v>#REF!</v>
      </c>
      <c r="R35" s="177" t="e">
        <f t="shared" si="0"/>
        <v>#DIV/0!</v>
      </c>
      <c r="S35" s="543" t="e">
        <f t="shared" si="1"/>
        <v>#REF!</v>
      </c>
    </row>
    <row r="36" spans="1:20" ht="14.25">
      <c r="A36" s="542">
        <f>Gen!B41</f>
        <v>43982</v>
      </c>
      <c r="B36" s="6">
        <f>'Summery Report'!E35</f>
        <v>0</v>
      </c>
      <c r="C36" s="6">
        <f>Gen!U41</f>
        <v>0</v>
      </c>
      <c r="D36" s="179">
        <f>Gen!T41</f>
        <v>0</v>
      </c>
      <c r="E36" s="179">
        <f>Gen!AK41</f>
        <v>0</v>
      </c>
      <c r="F36" s="179">
        <f>Gen!AS41</f>
        <v>0</v>
      </c>
      <c r="G36" s="182">
        <f>'Utility report '!AC36</f>
        <v>0</v>
      </c>
      <c r="H36" s="182">
        <f>'Utility report '!AE36</f>
        <v>0</v>
      </c>
      <c r="I36" s="352">
        <f>'Water-Meter'!E36</f>
        <v>0</v>
      </c>
      <c r="J36" s="184">
        <f>'Lpg (2)'!B40</f>
        <v>0</v>
      </c>
      <c r="K36" s="184">
        <f>'Lpg (2)'!C40</f>
        <v>0</v>
      </c>
      <c r="L36" s="184">
        <f>'Lpg (2)'!D40</f>
        <v>0</v>
      </c>
      <c r="M36" s="536">
        <f>'Lpg (2)'!G40</f>
        <v>0</v>
      </c>
      <c r="N36" s="177">
        <f t="shared" si="2"/>
        <v>0</v>
      </c>
      <c r="O36" s="177">
        <f t="shared" si="2"/>
        <v>0</v>
      </c>
      <c r="P36" s="176" t="e">
        <f>'[1]Lpg (2)'!#REF!</f>
        <v>#REF!</v>
      </c>
      <c r="Q36" s="177" t="e">
        <f>'[1]Summery Report'!#REF!</f>
        <v>#REF!</v>
      </c>
      <c r="R36" s="177" t="e">
        <f t="shared" si="0"/>
        <v>#DIV/0!</v>
      </c>
      <c r="S36" s="543" t="e">
        <f t="shared" si="1"/>
        <v>#REF!</v>
      </c>
    </row>
    <row r="37" spans="1:20" ht="14.25">
      <c r="A37" s="542">
        <f>Gen!B42</f>
        <v>43983</v>
      </c>
      <c r="B37" s="6">
        <f>'Summery Report'!E36</f>
        <v>0</v>
      </c>
      <c r="C37" s="6">
        <f>Gen!U42</f>
        <v>0</v>
      </c>
      <c r="D37" s="179">
        <f>Gen!T42</f>
        <v>0</v>
      </c>
      <c r="E37" s="179">
        <f>Gen!AK42</f>
        <v>0</v>
      </c>
      <c r="F37" s="179">
        <f>Gen!AS42</f>
        <v>0</v>
      </c>
      <c r="G37" s="182">
        <f>'Utility report '!AC37</f>
        <v>0</v>
      </c>
      <c r="H37" s="182">
        <f>'Utility report '!AE37</f>
        <v>0</v>
      </c>
      <c r="I37" s="352">
        <f>'Water-Meter'!E37</f>
        <v>0</v>
      </c>
      <c r="J37" s="184">
        <f>'Lpg (2)'!B41</f>
        <v>0</v>
      </c>
      <c r="K37" s="184">
        <f>'Lpg (2)'!C41</f>
        <v>0</v>
      </c>
      <c r="L37" s="184">
        <f>'Lpg (2)'!D41</f>
        <v>0</v>
      </c>
      <c r="M37" s="536">
        <f>'Lpg (2)'!G41</f>
        <v>0</v>
      </c>
      <c r="N37" s="6"/>
      <c r="O37" s="6"/>
      <c r="P37" s="6"/>
      <c r="Q37" s="177" t="e">
        <f>'[1]Summery Report'!#REF!</f>
        <v>#REF!</v>
      </c>
      <c r="R37" s="177" t="e">
        <f t="shared" si="0"/>
        <v>#DIV/0!</v>
      </c>
      <c r="S37" s="543" t="e">
        <f t="shared" si="1"/>
        <v>#REF!</v>
      </c>
    </row>
    <row r="38" spans="1:20" ht="14.25">
      <c r="A38" s="542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544"/>
    </row>
    <row r="39" spans="1:20" ht="13.5" thickBot="1">
      <c r="A39" s="55" t="s">
        <v>13</v>
      </c>
      <c r="B39" s="545">
        <f>SUM(B7:B37)</f>
        <v>0</v>
      </c>
      <c r="C39" s="545">
        <f>SUM(C7:C35)</f>
        <v>18144</v>
      </c>
      <c r="D39" s="545">
        <f>SUM(D7:D35)</f>
        <v>8555.4500000000007</v>
      </c>
      <c r="E39" s="545">
        <f t="shared" ref="E39:S39" si="3">SUM(E7:E35)</f>
        <v>243.39999999999998</v>
      </c>
      <c r="F39" s="545">
        <f t="shared" si="3"/>
        <v>8798.85</v>
      </c>
      <c r="G39" s="545">
        <f t="shared" si="3"/>
        <v>444</v>
      </c>
      <c r="H39" s="545">
        <f t="shared" si="3"/>
        <v>-200803</v>
      </c>
      <c r="I39" s="545">
        <f t="shared" si="3"/>
        <v>540</v>
      </c>
      <c r="J39" s="545">
        <f t="shared" si="3"/>
        <v>1105</v>
      </c>
      <c r="K39" s="545" t="e">
        <f t="shared" si="3"/>
        <v>#REF!</v>
      </c>
      <c r="L39" s="545">
        <f t="shared" si="3"/>
        <v>371</v>
      </c>
      <c r="M39" s="545">
        <f t="shared" si="3"/>
        <v>-313165.51199999999</v>
      </c>
      <c r="N39" s="545">
        <f t="shared" si="3"/>
        <v>11977.629999999997</v>
      </c>
      <c r="O39" s="545">
        <f t="shared" si="3"/>
        <v>340.76</v>
      </c>
      <c r="P39" s="545" t="e">
        <f t="shared" si="3"/>
        <v>#REF!</v>
      </c>
      <c r="Q39" s="545" t="e">
        <f t="shared" si="3"/>
        <v>#REF!</v>
      </c>
      <c r="R39" s="545" t="e">
        <f t="shared" si="3"/>
        <v>#DIV/0!</v>
      </c>
      <c r="S39" s="546" t="e">
        <f t="shared" si="3"/>
        <v>#REF!</v>
      </c>
    </row>
    <row r="42" spans="1:20">
      <c r="I42" s="642"/>
    </row>
    <row r="43" spans="1:20">
      <c r="I43" s="642"/>
    </row>
  </sheetData>
  <mergeCells count="4">
    <mergeCell ref="D4:F4"/>
    <mergeCell ref="G4:I4"/>
    <mergeCell ref="J4:M4"/>
    <mergeCell ref="N4:P4"/>
  </mergeCells>
  <pageMargins left="0.45" right="0.45" top="0.5" bottom="0.75" header="0.3" footer="0.3"/>
  <pageSetup scale="52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00B050"/>
    <pageSetUpPr fitToPage="1"/>
  </sheetPr>
  <dimension ref="A1:AK74"/>
  <sheetViews>
    <sheetView tabSelected="1" view="pageLayout" topLeftCell="D10" zoomScale="85" zoomScalePageLayoutView="85" workbookViewId="0">
      <selection activeCell="AD22" sqref="AD22"/>
    </sheetView>
  </sheetViews>
  <sheetFormatPr defaultRowHeight="12.75"/>
  <cols>
    <col min="1" max="1" width="13.28515625" customWidth="1"/>
    <col min="2" max="2" width="9" customWidth="1"/>
    <col min="3" max="3" width="10.85546875" customWidth="1"/>
    <col min="4" max="4" width="8.5703125" customWidth="1"/>
    <col min="5" max="5" width="8.42578125" customWidth="1"/>
    <col min="6" max="6" width="10.5703125" bestFit="1" customWidth="1"/>
    <col min="7" max="7" width="13.42578125" customWidth="1"/>
    <col min="8" max="8" width="16.28515625" bestFit="1" customWidth="1"/>
    <col min="9" max="9" width="12" customWidth="1"/>
    <col min="10" max="11" width="11.7109375" customWidth="1"/>
    <col min="12" max="12" width="12.5703125" customWidth="1"/>
    <col min="14" max="14" width="10.85546875" customWidth="1"/>
    <col min="15" max="15" width="5.85546875" customWidth="1"/>
    <col min="16" max="16" width="11.7109375" bestFit="1" customWidth="1"/>
    <col min="17" max="17" width="9.5703125" customWidth="1"/>
    <col min="18" max="18" width="9.7109375" customWidth="1"/>
    <col min="19" max="19" width="6.140625" customWidth="1"/>
    <col min="20" max="20" width="10.5703125" customWidth="1"/>
    <col min="21" max="22" width="9.28515625" bestFit="1" customWidth="1"/>
    <col min="23" max="23" width="7.140625" customWidth="1"/>
    <col min="24" max="24" width="11" bestFit="1" customWidth="1"/>
    <col min="25" max="26" width="9.42578125" bestFit="1" customWidth="1"/>
    <col min="27" max="27" width="12.5703125" bestFit="1" customWidth="1"/>
    <col min="28" max="30" width="8.7109375" customWidth="1"/>
    <col min="31" max="31" width="12.28515625" bestFit="1" customWidth="1"/>
    <col min="32" max="33" width="9.28515625" bestFit="1" customWidth="1"/>
    <col min="34" max="34" width="8.5703125" bestFit="1" customWidth="1"/>
    <col min="35" max="35" width="11.28515625" bestFit="1" customWidth="1"/>
    <col min="36" max="36" width="11.85546875" bestFit="1" customWidth="1"/>
    <col min="37" max="37" width="6.85546875" bestFit="1" customWidth="1"/>
  </cols>
  <sheetData>
    <row r="1" spans="1:37" ht="24" thickBot="1">
      <c r="A1" s="803" t="s">
        <v>318</v>
      </c>
      <c r="B1" s="804"/>
      <c r="C1" s="804"/>
      <c r="D1" s="804"/>
      <c r="E1" s="804"/>
      <c r="F1" s="804"/>
      <c r="G1" s="804"/>
      <c r="H1" s="804"/>
      <c r="I1" s="804"/>
      <c r="J1" s="804"/>
      <c r="K1" s="804"/>
      <c r="L1" s="804"/>
      <c r="M1" s="804"/>
      <c r="N1" s="804"/>
      <c r="O1" s="804"/>
      <c r="P1" s="804"/>
      <c r="Q1" s="804"/>
      <c r="R1" s="804"/>
      <c r="S1" s="804"/>
      <c r="T1" s="804"/>
      <c r="U1" s="804"/>
      <c r="V1" s="804"/>
      <c r="W1" s="804"/>
      <c r="X1" s="804"/>
      <c r="Y1" s="804"/>
      <c r="Z1" s="804"/>
      <c r="AA1" s="804"/>
      <c r="AB1" s="804"/>
      <c r="AC1" s="804"/>
      <c r="AD1" s="804"/>
      <c r="AE1" s="804"/>
      <c r="AF1" s="804"/>
      <c r="AG1" s="804"/>
      <c r="AH1" s="804"/>
      <c r="AI1" s="804"/>
      <c r="AJ1" s="804"/>
      <c r="AK1" s="805"/>
    </row>
    <row r="2" spans="1:37" ht="61.5" customHeight="1" thickBot="1">
      <c r="A2" s="150" t="s">
        <v>98</v>
      </c>
      <c r="B2" s="806" t="s">
        <v>99</v>
      </c>
      <c r="C2" s="807"/>
      <c r="D2" s="808"/>
      <c r="E2" s="151"/>
      <c r="F2" s="151"/>
      <c r="G2" s="151"/>
      <c r="H2" s="148" t="s">
        <v>124</v>
      </c>
      <c r="I2" s="338" t="s">
        <v>100</v>
      </c>
      <c r="J2" s="811" t="s">
        <v>122</v>
      </c>
      <c r="K2" s="493"/>
      <c r="L2" s="813" t="s">
        <v>123</v>
      </c>
      <c r="M2" s="492" t="s">
        <v>101</v>
      </c>
      <c r="N2" s="811" t="s">
        <v>102</v>
      </c>
      <c r="O2" s="795" t="s">
        <v>103</v>
      </c>
      <c r="P2" s="796"/>
      <c r="Q2" s="796"/>
      <c r="R2" s="796"/>
      <c r="S2" s="796"/>
      <c r="T2" s="796"/>
      <c r="U2" s="796"/>
      <c r="V2" s="796"/>
      <c r="W2" s="796"/>
      <c r="X2" s="796"/>
      <c r="Y2" s="796"/>
      <c r="Z2" s="796"/>
      <c r="AA2" s="339" t="s">
        <v>104</v>
      </c>
      <c r="AB2" s="806" t="s">
        <v>164</v>
      </c>
      <c r="AC2" s="808"/>
      <c r="AD2" s="147">
        <v>0</v>
      </c>
      <c r="AE2" s="472" t="s">
        <v>19</v>
      </c>
      <c r="AF2" s="152" t="s">
        <v>105</v>
      </c>
      <c r="AG2" s="148" t="s">
        <v>106</v>
      </c>
      <c r="AH2" s="152" t="s">
        <v>107</v>
      </c>
      <c r="AI2" s="148" t="s">
        <v>108</v>
      </c>
      <c r="AJ2" s="149" t="s">
        <v>109</v>
      </c>
      <c r="AK2" s="148" t="s">
        <v>110</v>
      </c>
    </row>
    <row r="3" spans="1:37" ht="44.25" customHeight="1" thickBot="1">
      <c r="A3" s="155" t="s">
        <v>125</v>
      </c>
      <c r="B3" s="156">
        <v>1640</v>
      </c>
      <c r="C3" s="154" t="s">
        <v>126</v>
      </c>
      <c r="D3" s="156">
        <v>2175</v>
      </c>
      <c r="E3" s="157"/>
      <c r="F3" s="809">
        <f>SUM(D3/B3)</f>
        <v>1.3262195121951219</v>
      </c>
      <c r="G3" s="810"/>
      <c r="H3" s="131">
        <f>Gen!D11</f>
        <v>43367.69</v>
      </c>
      <c r="I3" s="141"/>
      <c r="J3" s="811"/>
      <c r="K3" s="493" t="s">
        <v>165</v>
      </c>
      <c r="L3" s="813"/>
      <c r="M3" s="340" t="s">
        <v>111</v>
      </c>
      <c r="N3" s="811"/>
      <c r="O3" s="795" t="s">
        <v>112</v>
      </c>
      <c r="P3" s="796"/>
      <c r="Q3" s="796"/>
      <c r="R3" s="796"/>
      <c r="S3" s="797" t="s">
        <v>113</v>
      </c>
      <c r="T3" s="798"/>
      <c r="U3" s="798"/>
      <c r="V3" s="799"/>
      <c r="W3" s="800" t="s">
        <v>114</v>
      </c>
      <c r="X3" s="801"/>
      <c r="Y3" s="801"/>
      <c r="Z3" s="802"/>
      <c r="AA3" s="341" t="s">
        <v>115</v>
      </c>
      <c r="AB3" s="130" t="s">
        <v>111</v>
      </c>
      <c r="AC3" s="130" t="s">
        <v>116</v>
      </c>
      <c r="AD3" s="130">
        <v>0</v>
      </c>
      <c r="AE3" s="130" t="s">
        <v>116</v>
      </c>
      <c r="AF3" s="132" t="s">
        <v>117</v>
      </c>
      <c r="AG3" s="133" t="s">
        <v>117</v>
      </c>
      <c r="AH3" s="134" t="s">
        <v>117</v>
      </c>
      <c r="AI3" s="135" t="s">
        <v>118</v>
      </c>
      <c r="AJ3" s="136" t="s">
        <v>115</v>
      </c>
      <c r="AK3" s="137" t="s">
        <v>115</v>
      </c>
    </row>
    <row r="4" spans="1:37" ht="75.75" thickBot="1">
      <c r="A4" s="204"/>
      <c r="B4" s="205" t="s">
        <v>130</v>
      </c>
      <c r="C4" s="206" t="s">
        <v>1</v>
      </c>
      <c r="D4" s="207" t="s">
        <v>127</v>
      </c>
      <c r="E4" s="208"/>
      <c r="F4" s="208" t="s">
        <v>128</v>
      </c>
      <c r="G4" s="208" t="s">
        <v>129</v>
      </c>
      <c r="H4" s="209"/>
      <c r="I4" s="209"/>
      <c r="J4" s="811"/>
      <c r="K4" s="493"/>
      <c r="L4" s="813"/>
      <c r="M4" s="143"/>
      <c r="N4" s="812"/>
      <c r="O4" s="342" t="s">
        <v>173</v>
      </c>
      <c r="P4" s="343" t="s">
        <v>171</v>
      </c>
      <c r="Q4" s="343" t="s">
        <v>120</v>
      </c>
      <c r="R4" s="207" t="s">
        <v>172</v>
      </c>
      <c r="S4" s="342" t="s">
        <v>173</v>
      </c>
      <c r="T4" s="343" t="s">
        <v>171</v>
      </c>
      <c r="U4" s="343" t="s">
        <v>120</v>
      </c>
      <c r="V4" s="207" t="s">
        <v>172</v>
      </c>
      <c r="W4" s="342" t="s">
        <v>173</v>
      </c>
      <c r="X4" s="344" t="s">
        <v>309</v>
      </c>
      <c r="Y4" s="344" t="s">
        <v>120</v>
      </c>
      <c r="Z4" s="343" t="s">
        <v>172</v>
      </c>
      <c r="AA4" s="345" t="s">
        <v>119</v>
      </c>
      <c r="AB4" s="224"/>
      <c r="AC4" s="215" t="s">
        <v>119</v>
      </c>
      <c r="AD4" s="224"/>
      <c r="AE4" s="215" t="s">
        <v>119</v>
      </c>
      <c r="AF4" s="216">
        <v>2000</v>
      </c>
      <c r="AG4" s="217">
        <v>1000</v>
      </c>
      <c r="AH4" s="218">
        <v>1000</v>
      </c>
      <c r="AI4" s="219">
        <f>SUM([2]Sheet1!$AA$36)</f>
        <v>950</v>
      </c>
      <c r="AJ4" s="220" t="s">
        <v>10</v>
      </c>
      <c r="AK4" s="219" t="s">
        <v>119</v>
      </c>
    </row>
    <row r="5" spans="1:37" ht="19.5" thickBot="1">
      <c r="A5" s="210"/>
      <c r="B5" s="211"/>
      <c r="C5" s="212"/>
      <c r="D5" s="211"/>
      <c r="E5" s="211"/>
      <c r="F5" s="211"/>
      <c r="G5" s="211"/>
      <c r="H5" s="213"/>
      <c r="I5" s="213"/>
      <c r="J5" s="214"/>
      <c r="K5" s="214"/>
      <c r="L5" s="214"/>
      <c r="M5" s="143"/>
      <c r="N5" s="214"/>
      <c r="O5" s="214"/>
      <c r="P5" s="452">
        <v>19030</v>
      </c>
      <c r="Q5" s="76"/>
      <c r="R5" s="214"/>
      <c r="S5" s="214"/>
      <c r="T5" s="575">
        <v>24476</v>
      </c>
      <c r="U5" s="214"/>
      <c r="V5" s="214"/>
      <c r="W5" s="214"/>
      <c r="X5" s="575">
        <v>16177</v>
      </c>
      <c r="Y5" s="214"/>
      <c r="Z5" s="214"/>
      <c r="AA5" s="214"/>
      <c r="AB5" s="574">
        <v>31534</v>
      </c>
      <c r="AC5" s="138"/>
      <c r="AD5" s="452">
        <v>200738</v>
      </c>
      <c r="AE5" s="210"/>
      <c r="AF5" s="223">
        <v>0.85</v>
      </c>
      <c r="AG5" s="223">
        <v>0.85</v>
      </c>
      <c r="AH5" s="223">
        <v>0.85</v>
      </c>
      <c r="AI5" s="214"/>
      <c r="AJ5" s="214"/>
      <c r="AK5" s="214"/>
    </row>
    <row r="6" spans="1:37" ht="19.5" thickBot="1">
      <c r="A6" s="95">
        <f>Gen!B11</f>
        <v>43952</v>
      </c>
      <c r="B6" s="501">
        <f>'Summery Report'!E5</f>
        <v>0</v>
      </c>
      <c r="C6" s="158">
        <f>Gen!C11</f>
        <v>0</v>
      </c>
      <c r="D6" s="502">
        <f>'Summery Report'!E5</f>
        <v>0</v>
      </c>
      <c r="E6" s="503">
        <f>SUM(F3)</f>
        <v>1.3262195121951219</v>
      </c>
      <c r="F6" s="504" t="e">
        <f>SUM(J6*E6)/D6</f>
        <v>#DIV/0!</v>
      </c>
      <c r="G6" s="504" t="e">
        <f t="shared" ref="G6:G36" si="0">SUM(L6*E6)/D6</f>
        <v>#DIV/0!</v>
      </c>
      <c r="H6" s="503">
        <f>Gen!D11</f>
        <v>43367.69</v>
      </c>
      <c r="I6" s="505">
        <f>Gen!F11</f>
        <v>0</v>
      </c>
      <c r="J6" s="142">
        <f>Gen!T11</f>
        <v>678.06999999999994</v>
      </c>
      <c r="K6" s="142">
        <f>Gen!AK11</f>
        <v>0</v>
      </c>
      <c r="L6" s="142">
        <f t="shared" ref="L6:L37" si="1">SUM(J6:K6)</f>
        <v>678.06999999999994</v>
      </c>
      <c r="M6" s="535">
        <f>'Water-Meter'!K46</f>
        <v>573.91480598971293</v>
      </c>
      <c r="N6" s="203">
        <f>'Water-Meter'!E6</f>
        <v>31</v>
      </c>
      <c r="O6" s="214"/>
      <c r="P6" s="452">
        <v>19030</v>
      </c>
      <c r="Q6" s="506">
        <f t="shared" ref="Q6:Q36" si="2">SUM(P6-P5)</f>
        <v>0</v>
      </c>
      <c r="R6" s="507">
        <f>SUM(Q6*O6)</f>
        <v>0</v>
      </c>
      <c r="S6" s="452">
        <v>2.4</v>
      </c>
      <c r="T6" s="575">
        <v>24494</v>
      </c>
      <c r="U6" s="506">
        <f>T6-T5</f>
        <v>18</v>
      </c>
      <c r="V6" s="508" t="s">
        <v>246</v>
      </c>
      <c r="W6" s="214"/>
      <c r="X6" s="573">
        <v>16177</v>
      </c>
      <c r="Y6" s="506">
        <f>X6-X5</f>
        <v>0</v>
      </c>
      <c r="Z6" s="506">
        <f t="shared" ref="Z6:AA6" si="3">Y6-Y5</f>
        <v>0</v>
      </c>
      <c r="AA6" s="506">
        <f t="shared" si="3"/>
        <v>0</v>
      </c>
      <c r="AB6" s="574">
        <v>31574</v>
      </c>
      <c r="AC6" s="138">
        <f>AB6-AB5</f>
        <v>40</v>
      </c>
      <c r="AD6" s="452">
        <v>200803</v>
      </c>
      <c r="AE6" s="221">
        <f>AD6-AD5</f>
        <v>65</v>
      </c>
      <c r="AF6" s="317">
        <f>'Lpg (2)'!B10*2000/85</f>
        <v>2000</v>
      </c>
      <c r="AG6" s="318">
        <f>'Lpg (2)'!C10*1000/85</f>
        <v>976.47058823529414</v>
      </c>
      <c r="AH6" s="319">
        <f>'Lpg (2)'!D10*1000/85</f>
        <v>482.35294117647061</v>
      </c>
      <c r="AI6" s="509">
        <f>SUM(AF6*2000)+(AG6*1000)+(AH6*1000)</f>
        <v>5458823.5294117648</v>
      </c>
      <c r="AJ6" s="510">
        <f t="shared" ref="AJ6:AJ36" si="4">SUM(AI5-AI6)</f>
        <v>-5458823.5294117648</v>
      </c>
      <c r="AK6" s="222"/>
    </row>
    <row r="7" spans="1:37" ht="19.5" thickBot="1">
      <c r="A7" s="95">
        <f>Gen!B12</f>
        <v>43953</v>
      </c>
      <c r="B7" s="501">
        <f>'Summery Report'!E6</f>
        <v>0</v>
      </c>
      <c r="C7" s="158">
        <f>Gen!C12</f>
        <v>0</v>
      </c>
      <c r="D7" s="502">
        <f>'Summery Report'!E6</f>
        <v>0</v>
      </c>
      <c r="E7" s="503">
        <f>SUM(E6)</f>
        <v>1.3262195121951219</v>
      </c>
      <c r="F7" s="504" t="e">
        <f>SUM(J7*E7)/D7</f>
        <v>#DIV/0!</v>
      </c>
      <c r="G7" s="504" t="e">
        <f t="shared" si="0"/>
        <v>#DIV/0!</v>
      </c>
      <c r="H7" s="503">
        <f>Gen!D12</f>
        <v>42689.62</v>
      </c>
      <c r="I7" s="505">
        <f>Gen!F12</f>
        <v>0</v>
      </c>
      <c r="J7" s="142">
        <f>Gen!T12</f>
        <v>659.66</v>
      </c>
      <c r="K7" s="142">
        <f>Gen!AK12</f>
        <v>0</v>
      </c>
      <c r="L7" s="142">
        <f t="shared" si="1"/>
        <v>659.66</v>
      </c>
      <c r="M7" s="535">
        <f>'Water-Meter'!K47</f>
        <v>575.50603999219538</v>
      </c>
      <c r="N7" s="203">
        <f>'Water-Meter'!E7</f>
        <v>31</v>
      </c>
      <c r="O7" s="214"/>
      <c r="P7" s="452">
        <v>19030</v>
      </c>
      <c r="Q7" s="506">
        <f t="shared" si="2"/>
        <v>0</v>
      </c>
      <c r="R7" s="507">
        <f t="shared" ref="R7:R36" si="5">SUM(Q7*O7)</f>
        <v>0</v>
      </c>
      <c r="S7" s="452">
        <v>2.2999999999999998</v>
      </c>
      <c r="T7" s="575">
        <v>24499</v>
      </c>
      <c r="U7" s="506">
        <f t="shared" ref="U7:U36" si="6">T7-T6</f>
        <v>5</v>
      </c>
      <c r="V7" s="508">
        <f t="shared" ref="V7:V9" si="7">SUM(U7*S7)</f>
        <v>11.5</v>
      </c>
      <c r="W7" s="214"/>
      <c r="X7" s="573">
        <v>16177</v>
      </c>
      <c r="Y7" s="506">
        <f t="shared" ref="Y7:Y36" si="8">X7-X6</f>
        <v>0</v>
      </c>
      <c r="Z7" s="508">
        <f t="shared" ref="Z7:Z36" si="9">SUM(Y7*W7)</f>
        <v>0</v>
      </c>
      <c r="AA7" s="508">
        <f t="shared" ref="AA7:AA36" si="10">SUM(Z7*X9)</f>
        <v>0</v>
      </c>
      <c r="AB7" s="574">
        <v>31586</v>
      </c>
      <c r="AC7" s="138">
        <f t="shared" ref="AC7:AC27" si="11">AB7-AB6</f>
        <v>12</v>
      </c>
      <c r="AD7" s="452">
        <v>200854</v>
      </c>
      <c r="AE7" s="221">
        <f>AD7-AD6</f>
        <v>51</v>
      </c>
      <c r="AF7" s="317">
        <f>'Lpg (2)'!B11*2000/85</f>
        <v>2000</v>
      </c>
      <c r="AG7" s="318">
        <f>'Lpg (2)'!C11*1000/85</f>
        <v>976.47058823529414</v>
      </c>
      <c r="AH7" s="319">
        <f>'Lpg (2)'!D11*1000/85</f>
        <v>458.8235294117647</v>
      </c>
      <c r="AI7" s="511">
        <f t="shared" ref="AI7:AI14" si="12">SUM(AF6*2000)+(AG7*1000)+(AH7*1000)</f>
        <v>5435294.1176470593</v>
      </c>
      <c r="AJ7" s="510">
        <f t="shared" si="4"/>
        <v>23529.411764705554</v>
      </c>
      <c r="AK7" s="144"/>
    </row>
    <row r="8" spans="1:37" ht="19.5" thickBot="1">
      <c r="A8" s="95">
        <f>Gen!B13</f>
        <v>43954</v>
      </c>
      <c r="B8" s="501">
        <f>'Summery Report'!E7</f>
        <v>0</v>
      </c>
      <c r="C8" s="158">
        <f>Gen!C13</f>
        <v>0</v>
      </c>
      <c r="D8" s="502">
        <f>'Summery Report'!E7</f>
        <v>0</v>
      </c>
      <c r="E8" s="503">
        <f t="shared" ref="E8:E36" si="13">SUM(E7)</f>
        <v>1.3262195121951219</v>
      </c>
      <c r="F8" s="504" t="e">
        <f t="shared" ref="F8:F36" si="14">SUM(J8*E8)/D8</f>
        <v>#DIV/0!</v>
      </c>
      <c r="G8" s="504" t="e">
        <f t="shared" si="0"/>
        <v>#DIV/0!</v>
      </c>
      <c r="H8" s="503">
        <f>Gen!D13</f>
        <v>42029.96</v>
      </c>
      <c r="I8" s="505">
        <f>Gen!F13</f>
        <v>0</v>
      </c>
      <c r="J8" s="142">
        <f>Gen!T13</f>
        <v>659.29</v>
      </c>
      <c r="K8" s="142">
        <f>Gen!AK13</f>
        <v>0</v>
      </c>
      <c r="L8" s="142">
        <f t="shared" si="1"/>
        <v>659.29</v>
      </c>
      <c r="M8" s="535">
        <f>'Water-Meter'!K48</f>
        <v>580.47194976405694</v>
      </c>
      <c r="N8" s="203">
        <f>'Water-Meter'!E8</f>
        <v>47</v>
      </c>
      <c r="O8" s="214"/>
      <c r="P8" s="452">
        <v>19030</v>
      </c>
      <c r="Q8" s="506">
        <f t="shared" si="2"/>
        <v>0</v>
      </c>
      <c r="R8" s="507">
        <f t="shared" si="5"/>
        <v>0</v>
      </c>
      <c r="S8" s="452"/>
      <c r="T8" s="575">
        <v>24499</v>
      </c>
      <c r="U8" s="506">
        <f t="shared" si="6"/>
        <v>0</v>
      </c>
      <c r="V8" s="508">
        <f t="shared" si="7"/>
        <v>0</v>
      </c>
      <c r="W8" s="452">
        <v>8.1999999999999993</v>
      </c>
      <c r="X8" s="573">
        <v>16186</v>
      </c>
      <c r="Y8" s="506">
        <f t="shared" si="8"/>
        <v>9</v>
      </c>
      <c r="Z8" s="508">
        <f t="shared" si="9"/>
        <v>73.8</v>
      </c>
      <c r="AA8" s="508">
        <f t="shared" si="10"/>
        <v>1195117.2</v>
      </c>
      <c r="AB8" s="574">
        <v>31663</v>
      </c>
      <c r="AC8" s="138">
        <f t="shared" si="11"/>
        <v>77</v>
      </c>
      <c r="AD8" s="452">
        <v>200907</v>
      </c>
      <c r="AE8" s="221">
        <f t="shared" ref="AE8:AE37" si="15">AD8-AD7</f>
        <v>53</v>
      </c>
      <c r="AF8" s="317">
        <f>'Lpg (2)'!B12*2000/85</f>
        <v>2000</v>
      </c>
      <c r="AG8" s="318">
        <f>'Lpg (2)'!C12*1000/85</f>
        <v>976.47058823529414</v>
      </c>
      <c r="AH8" s="319">
        <f>'Lpg (2)'!D12*1000/85</f>
        <v>435.29411764705884</v>
      </c>
      <c r="AI8" s="511">
        <f t="shared" si="12"/>
        <v>5411764.7058823537</v>
      </c>
      <c r="AJ8" s="510">
        <f t="shared" si="4"/>
        <v>23529.411764705554</v>
      </c>
      <c r="AK8" s="144"/>
    </row>
    <row r="9" spans="1:37" ht="19.5" thickBot="1">
      <c r="A9" s="95">
        <f>Gen!B14</f>
        <v>43955</v>
      </c>
      <c r="B9" s="501">
        <f>'Summery Report'!E8</f>
        <v>0</v>
      </c>
      <c r="C9" s="158">
        <f>Gen!C14</f>
        <v>0</v>
      </c>
      <c r="D9" s="502">
        <f>'Summery Report'!E8</f>
        <v>0</v>
      </c>
      <c r="E9" s="503">
        <f t="shared" si="13"/>
        <v>1.3262195121951219</v>
      </c>
      <c r="F9" s="504" t="e">
        <f t="shared" si="14"/>
        <v>#DIV/0!</v>
      </c>
      <c r="G9" s="504" t="e">
        <f t="shared" si="0"/>
        <v>#DIV/0!</v>
      </c>
      <c r="H9" s="503">
        <f>Gen!D14</f>
        <v>41370.67</v>
      </c>
      <c r="I9" s="505">
        <f>Gen!F14</f>
        <v>0</v>
      </c>
      <c r="J9" s="142">
        <f>Gen!T14</f>
        <v>633.92999999999995</v>
      </c>
      <c r="K9" s="142">
        <f>Gen!AK14</f>
        <v>2.33</v>
      </c>
      <c r="L9" s="142">
        <f t="shared" si="1"/>
        <v>636.26</v>
      </c>
      <c r="M9" s="535">
        <f>'Water-Meter'!K49</f>
        <v>625.62925832888163</v>
      </c>
      <c r="N9" s="203">
        <f>'Water-Meter'!E9</f>
        <v>31</v>
      </c>
      <c r="O9" s="214"/>
      <c r="P9" s="452">
        <v>19030</v>
      </c>
      <c r="Q9" s="506">
        <f t="shared" si="2"/>
        <v>0</v>
      </c>
      <c r="R9" s="507">
        <f t="shared" si="5"/>
        <v>0</v>
      </c>
      <c r="S9" s="452"/>
      <c r="T9" s="575">
        <v>24499</v>
      </c>
      <c r="U9" s="506">
        <f t="shared" si="6"/>
        <v>0</v>
      </c>
      <c r="V9" s="508">
        <f t="shared" si="7"/>
        <v>0</v>
      </c>
      <c r="W9" s="452"/>
      <c r="X9" s="573">
        <v>16186</v>
      </c>
      <c r="Y9" s="506">
        <f t="shared" si="8"/>
        <v>0</v>
      </c>
      <c r="Z9" s="508">
        <f t="shared" si="9"/>
        <v>0</v>
      </c>
      <c r="AA9" s="508">
        <f t="shared" si="10"/>
        <v>0</v>
      </c>
      <c r="AB9" s="574">
        <v>31663</v>
      </c>
      <c r="AC9" s="138">
        <f t="shared" si="11"/>
        <v>0</v>
      </c>
      <c r="AD9" s="452">
        <v>200963</v>
      </c>
      <c r="AE9" s="221">
        <f t="shared" si="15"/>
        <v>56</v>
      </c>
      <c r="AF9" s="317">
        <f>'Lpg (2)'!B13*2000/85</f>
        <v>2000</v>
      </c>
      <c r="AG9" s="318">
        <f>'Lpg (2)'!C13*1000/85</f>
        <v>976.47058823529414</v>
      </c>
      <c r="AH9" s="319">
        <f>'Lpg (2)'!D13*1000/85</f>
        <v>423.52941176470586</v>
      </c>
      <c r="AI9" s="511">
        <f t="shared" si="12"/>
        <v>5400000</v>
      </c>
      <c r="AJ9" s="510">
        <f t="shared" si="4"/>
        <v>11764.705882353708</v>
      </c>
      <c r="AK9" s="144"/>
    </row>
    <row r="10" spans="1:37" ht="19.5" thickBot="1">
      <c r="A10" s="95">
        <f>Gen!B15</f>
        <v>43956</v>
      </c>
      <c r="B10" s="501">
        <f>'Summery Report'!E9</f>
        <v>0</v>
      </c>
      <c r="C10" s="158">
        <f>Gen!C15</f>
        <v>0</v>
      </c>
      <c r="D10" s="502">
        <f>'Summery Report'!E9</f>
        <v>0</v>
      </c>
      <c r="E10" s="503">
        <f t="shared" si="13"/>
        <v>1.3262195121951219</v>
      </c>
      <c r="F10" s="504" t="e">
        <f t="shared" si="14"/>
        <v>#DIV/0!</v>
      </c>
      <c r="G10" s="504" t="e">
        <f t="shared" si="0"/>
        <v>#DIV/0!</v>
      </c>
      <c r="H10" s="503">
        <f>Gen!D15</f>
        <v>40734.409999999996</v>
      </c>
      <c r="I10" s="505">
        <f>Gen!F15</f>
        <v>0</v>
      </c>
      <c r="J10" s="142">
        <f>Gen!T15</f>
        <v>646.24</v>
      </c>
      <c r="K10" s="142">
        <f>Gen!AK15</f>
        <v>0</v>
      </c>
      <c r="L10" s="142">
        <f t="shared" si="1"/>
        <v>646.24</v>
      </c>
      <c r="M10" s="535">
        <f>'Water-Meter'!K50</f>
        <v>536.43442179173678</v>
      </c>
      <c r="N10" s="203">
        <f>'Water-Meter'!E10</f>
        <v>30</v>
      </c>
      <c r="O10" s="214"/>
      <c r="P10" s="452">
        <v>19030</v>
      </c>
      <c r="Q10" s="506">
        <f t="shared" si="2"/>
        <v>0</v>
      </c>
      <c r="R10" s="507">
        <f t="shared" si="5"/>
        <v>0</v>
      </c>
      <c r="S10" s="452"/>
      <c r="T10" s="575">
        <v>24499</v>
      </c>
      <c r="U10" s="506">
        <f t="shared" si="6"/>
        <v>0</v>
      </c>
      <c r="V10" s="508">
        <f t="shared" ref="V10:V16" si="16">SUM(U10*S10)</f>
        <v>0</v>
      </c>
      <c r="W10" s="452"/>
      <c r="X10" s="573">
        <v>16194</v>
      </c>
      <c r="Y10" s="506">
        <f t="shared" si="8"/>
        <v>8</v>
      </c>
      <c r="Z10" s="508">
        <f t="shared" si="9"/>
        <v>0</v>
      </c>
      <c r="AA10" s="508">
        <f t="shared" si="10"/>
        <v>0</v>
      </c>
      <c r="AB10" s="574">
        <v>31731</v>
      </c>
      <c r="AC10" s="138">
        <f t="shared" si="11"/>
        <v>68</v>
      </c>
      <c r="AD10" s="452">
        <v>201017</v>
      </c>
      <c r="AE10" s="221">
        <f t="shared" si="15"/>
        <v>54</v>
      </c>
      <c r="AF10" s="317">
        <f>'Lpg (2)'!B14*2000/85</f>
        <v>2000</v>
      </c>
      <c r="AG10" s="318">
        <f>'Lpg (2)'!C14*1000/85</f>
        <v>976.47058823529414</v>
      </c>
      <c r="AH10" s="319">
        <f>'Lpg (2)'!D14*1000/85</f>
        <v>411.76470588235293</v>
      </c>
      <c r="AI10" s="511">
        <f t="shared" si="12"/>
        <v>5388235.2941176472</v>
      </c>
      <c r="AJ10" s="510">
        <f t="shared" si="4"/>
        <v>11764.705882352777</v>
      </c>
      <c r="AK10" s="144"/>
    </row>
    <row r="11" spans="1:37" ht="19.5" thickBot="1">
      <c r="A11" s="95">
        <f>Gen!B16</f>
        <v>43957</v>
      </c>
      <c r="B11" s="501">
        <f>'Summery Report'!E10</f>
        <v>0</v>
      </c>
      <c r="C11" s="158">
        <f>Gen!C16</f>
        <v>0</v>
      </c>
      <c r="D11" s="502">
        <f>'Summery Report'!E10</f>
        <v>0</v>
      </c>
      <c r="E11" s="503">
        <f t="shared" si="13"/>
        <v>1.3262195121951219</v>
      </c>
      <c r="F11" s="504" t="e">
        <f t="shared" si="14"/>
        <v>#DIV/0!</v>
      </c>
      <c r="G11" s="504" t="e">
        <f t="shared" si="0"/>
        <v>#DIV/0!</v>
      </c>
      <c r="H11" s="503">
        <f>Gen!D16</f>
        <v>40088.17</v>
      </c>
      <c r="I11" s="505">
        <f>Gen!F16</f>
        <v>0</v>
      </c>
      <c r="J11" s="142">
        <f>Gen!T16</f>
        <v>627.88</v>
      </c>
      <c r="K11" s="142">
        <f>Gen!AK16</f>
        <v>31.11</v>
      </c>
      <c r="L11" s="142">
        <f t="shared" si="1"/>
        <v>658.99</v>
      </c>
      <c r="M11" s="535">
        <f>'Water-Meter'!K51</f>
        <v>558.95226621885013</v>
      </c>
      <c r="N11" s="203">
        <f>'Water-Meter'!E11</f>
        <v>33</v>
      </c>
      <c r="O11" s="214"/>
      <c r="P11" s="452">
        <v>19030</v>
      </c>
      <c r="Q11" s="506">
        <f t="shared" si="2"/>
        <v>0</v>
      </c>
      <c r="R11" s="507">
        <f t="shared" si="5"/>
        <v>0</v>
      </c>
      <c r="S11" s="452"/>
      <c r="T11" s="575">
        <v>24499</v>
      </c>
      <c r="U11" s="506">
        <f t="shared" si="6"/>
        <v>0</v>
      </c>
      <c r="V11" s="508">
        <f t="shared" si="16"/>
        <v>0</v>
      </c>
      <c r="W11" s="452"/>
      <c r="X11" s="573">
        <v>16198</v>
      </c>
      <c r="Y11" s="506">
        <f t="shared" si="8"/>
        <v>4</v>
      </c>
      <c r="Z11" s="508">
        <f t="shared" si="9"/>
        <v>0</v>
      </c>
      <c r="AA11" s="508">
        <f t="shared" si="10"/>
        <v>0</v>
      </c>
      <c r="AB11" s="574">
        <v>31767</v>
      </c>
      <c r="AC11" s="138">
        <f t="shared" si="11"/>
        <v>36</v>
      </c>
      <c r="AD11" s="452">
        <v>201044</v>
      </c>
      <c r="AE11" s="221">
        <f t="shared" si="15"/>
        <v>27</v>
      </c>
      <c r="AF11" s="317">
        <f>'Lpg (2)'!B15*2000/85</f>
        <v>2000</v>
      </c>
      <c r="AG11" s="318">
        <f>'Lpg (2)'!C15*1000/85</f>
        <v>976.47058823529414</v>
      </c>
      <c r="AH11" s="319">
        <f>'Lpg (2)'!D15*1000/85</f>
        <v>400</v>
      </c>
      <c r="AI11" s="511">
        <f t="shared" si="12"/>
        <v>5376470.5882352944</v>
      </c>
      <c r="AJ11" s="510">
        <f t="shared" si="4"/>
        <v>11764.705882352777</v>
      </c>
      <c r="AK11" s="144"/>
    </row>
    <row r="12" spans="1:37" ht="19.5" thickBot="1">
      <c r="A12" s="95">
        <f>Gen!B17</f>
        <v>43958</v>
      </c>
      <c r="B12" s="501">
        <f>'Summery Report'!E11</f>
        <v>0</v>
      </c>
      <c r="C12" s="158">
        <f>Gen!C17</f>
        <v>0</v>
      </c>
      <c r="D12" s="502">
        <f>'Summery Report'!E11</f>
        <v>0</v>
      </c>
      <c r="E12" s="503">
        <f t="shared" si="13"/>
        <v>1.3262195121951219</v>
      </c>
      <c r="F12" s="504" t="e">
        <f t="shared" si="14"/>
        <v>#DIV/0!</v>
      </c>
      <c r="G12" s="504" t="e">
        <f t="shared" si="0"/>
        <v>#DIV/0!</v>
      </c>
      <c r="H12" s="503">
        <f>Gen!D17</f>
        <v>39429.18</v>
      </c>
      <c r="I12" s="505">
        <f>Gen!F17</f>
        <v>0</v>
      </c>
      <c r="J12" s="142">
        <f>Gen!T17</f>
        <v>637.52</v>
      </c>
      <c r="K12" s="142">
        <f>Gen!AK17</f>
        <v>22.97</v>
      </c>
      <c r="L12" s="142">
        <f t="shared" si="1"/>
        <v>660.49</v>
      </c>
      <c r="M12" s="535">
        <f>'Water-Meter'!K52</f>
        <v>534.91910412419975</v>
      </c>
      <c r="N12" s="203">
        <f>'Water-Meter'!E12</f>
        <v>41</v>
      </c>
      <c r="O12" s="214"/>
      <c r="P12" s="452">
        <v>19030</v>
      </c>
      <c r="Q12" s="506">
        <f t="shared" si="2"/>
        <v>0</v>
      </c>
      <c r="R12" s="507">
        <f t="shared" si="5"/>
        <v>0</v>
      </c>
      <c r="S12" s="452"/>
      <c r="T12" s="575">
        <v>24499</v>
      </c>
      <c r="U12" s="506">
        <f t="shared" si="6"/>
        <v>0</v>
      </c>
      <c r="V12" s="508">
        <f t="shared" si="16"/>
        <v>0</v>
      </c>
      <c r="W12" s="452"/>
      <c r="X12" s="573">
        <v>16198</v>
      </c>
      <c r="Y12" s="506">
        <f t="shared" si="8"/>
        <v>0</v>
      </c>
      <c r="Z12" s="508">
        <f t="shared" si="9"/>
        <v>0</v>
      </c>
      <c r="AA12" s="508">
        <f t="shared" si="10"/>
        <v>0</v>
      </c>
      <c r="AB12" s="574">
        <v>31767</v>
      </c>
      <c r="AC12" s="138">
        <f t="shared" si="11"/>
        <v>0</v>
      </c>
      <c r="AD12" s="452">
        <v>201082</v>
      </c>
      <c r="AE12" s="221">
        <f t="shared" si="15"/>
        <v>38</v>
      </c>
      <c r="AF12" s="317">
        <f>'Lpg (2)'!B16*2000/85</f>
        <v>2000</v>
      </c>
      <c r="AG12" s="318">
        <f>'Lpg (2)'!C16*1000/85</f>
        <v>976.47058823529414</v>
      </c>
      <c r="AH12" s="319">
        <f>'Lpg (2)'!D16*1000/85</f>
        <v>376.47058823529414</v>
      </c>
      <c r="AI12" s="511">
        <f t="shared" si="12"/>
        <v>5352941.1764705889</v>
      </c>
      <c r="AJ12" s="510">
        <f t="shared" si="4"/>
        <v>23529.411764705554</v>
      </c>
      <c r="AK12" s="144"/>
    </row>
    <row r="13" spans="1:37" ht="19.5" thickBot="1">
      <c r="A13" s="95">
        <f>Gen!B18</f>
        <v>43959</v>
      </c>
      <c r="B13" s="501">
        <f>'Summery Report'!E12</f>
        <v>0</v>
      </c>
      <c r="C13" s="158">
        <f>Gen!C18</f>
        <v>0</v>
      </c>
      <c r="D13" s="502">
        <f>'Summery Report'!E12</f>
        <v>0</v>
      </c>
      <c r="E13" s="503">
        <f t="shared" si="13"/>
        <v>1.3262195121951219</v>
      </c>
      <c r="F13" s="504" t="e">
        <f t="shared" si="14"/>
        <v>#DIV/0!</v>
      </c>
      <c r="G13" s="504" t="e">
        <f t="shared" si="0"/>
        <v>#DIV/0!</v>
      </c>
      <c r="H13" s="503">
        <f>Gen!D18</f>
        <v>38768.69</v>
      </c>
      <c r="I13" s="505">
        <f>Gen!F18</f>
        <v>0</v>
      </c>
      <c r="J13" s="142">
        <f>Gen!T18</f>
        <v>692.82999999999993</v>
      </c>
      <c r="K13" s="142">
        <f>Gen!AK18</f>
        <v>80.099999999999994</v>
      </c>
      <c r="L13" s="142">
        <f t="shared" si="1"/>
        <v>772.93</v>
      </c>
      <c r="M13" s="535">
        <f>'Water-Meter'!K53</f>
        <v>530.8681596385893</v>
      </c>
      <c r="N13" s="203">
        <f>'Water-Meter'!E13</f>
        <v>37</v>
      </c>
      <c r="O13" s="214"/>
      <c r="P13" s="452">
        <v>19030</v>
      </c>
      <c r="Q13" s="506">
        <f t="shared" si="2"/>
        <v>0</v>
      </c>
      <c r="R13" s="507">
        <f t="shared" si="5"/>
        <v>0</v>
      </c>
      <c r="S13" s="452"/>
      <c r="T13" s="575">
        <v>24499</v>
      </c>
      <c r="U13" s="506">
        <f t="shared" si="6"/>
        <v>0</v>
      </c>
      <c r="V13" s="508">
        <f t="shared" si="16"/>
        <v>0</v>
      </c>
      <c r="W13" s="452"/>
      <c r="X13" s="573">
        <v>16206</v>
      </c>
      <c r="Y13" s="506">
        <f t="shared" si="8"/>
        <v>8</v>
      </c>
      <c r="Z13" s="508">
        <f t="shared" si="9"/>
        <v>0</v>
      </c>
      <c r="AA13" s="508">
        <f t="shared" si="10"/>
        <v>0</v>
      </c>
      <c r="AB13" s="574">
        <v>31837</v>
      </c>
      <c r="AC13" s="138">
        <f t="shared" si="11"/>
        <v>70</v>
      </c>
      <c r="AD13" s="452">
        <v>201123</v>
      </c>
      <c r="AE13" s="221">
        <f t="shared" si="15"/>
        <v>41</v>
      </c>
      <c r="AF13" s="317">
        <f>'Lpg (2)'!B17*2000/85</f>
        <v>2000</v>
      </c>
      <c r="AG13" s="318">
        <f>'Lpg (2)'!C17*1000/85</f>
        <v>976.47058823529414</v>
      </c>
      <c r="AH13" s="319">
        <f>'Lpg (2)'!D17*1000/85</f>
        <v>352.94117647058823</v>
      </c>
      <c r="AI13" s="511">
        <f t="shared" si="12"/>
        <v>5329411.7647058824</v>
      </c>
      <c r="AJ13" s="510">
        <f t="shared" si="4"/>
        <v>23529.411764706485</v>
      </c>
      <c r="AK13" s="145"/>
    </row>
    <row r="14" spans="1:37" ht="19.5" thickBot="1">
      <c r="A14" s="95">
        <f>Gen!B19</f>
        <v>43960</v>
      </c>
      <c r="B14" s="501">
        <f>'Summery Report'!E13</f>
        <v>0</v>
      </c>
      <c r="C14" s="158">
        <f>Gen!C19</f>
        <v>0</v>
      </c>
      <c r="D14" s="502">
        <f>'Summery Report'!E13</f>
        <v>0</v>
      </c>
      <c r="E14" s="503">
        <f t="shared" si="13"/>
        <v>1.3262195121951219</v>
      </c>
      <c r="F14" s="504" t="e">
        <f t="shared" si="14"/>
        <v>#DIV/0!</v>
      </c>
      <c r="G14" s="504" t="e">
        <f t="shared" si="0"/>
        <v>#DIV/0!</v>
      </c>
      <c r="H14" s="503">
        <f>Gen!D19</f>
        <v>37995.760000000002</v>
      </c>
      <c r="I14" s="505">
        <f>Gen!F19</f>
        <v>0</v>
      </c>
      <c r="J14" s="142">
        <f>Gen!T19</f>
        <v>662.1</v>
      </c>
      <c r="K14" s="142">
        <f>Gen!AK19</f>
        <v>0</v>
      </c>
      <c r="L14" s="142">
        <f t="shared" si="1"/>
        <v>662.1</v>
      </c>
      <c r="M14" s="535">
        <f>'Water-Meter'!K54</f>
        <v>520.96975255764801</v>
      </c>
      <c r="N14" s="203">
        <f>'Water-Meter'!E14</f>
        <v>51</v>
      </c>
      <c r="O14" s="214"/>
      <c r="P14" s="452">
        <v>19030</v>
      </c>
      <c r="Q14" s="506">
        <f t="shared" si="2"/>
        <v>0</v>
      </c>
      <c r="R14" s="507">
        <f t="shared" si="5"/>
        <v>0</v>
      </c>
      <c r="S14" s="452"/>
      <c r="T14" s="575">
        <v>24499</v>
      </c>
      <c r="U14" s="506">
        <f t="shared" si="6"/>
        <v>0</v>
      </c>
      <c r="V14" s="508">
        <f t="shared" si="16"/>
        <v>0</v>
      </c>
      <c r="W14" s="452"/>
      <c r="X14" s="573">
        <v>16219</v>
      </c>
      <c r="Y14" s="506">
        <f t="shared" si="8"/>
        <v>13</v>
      </c>
      <c r="Z14" s="508">
        <f t="shared" si="9"/>
        <v>0</v>
      </c>
      <c r="AA14" s="508">
        <f t="shared" si="10"/>
        <v>0</v>
      </c>
      <c r="AB14" s="574">
        <v>31947</v>
      </c>
      <c r="AC14" s="138">
        <f t="shared" si="11"/>
        <v>110</v>
      </c>
      <c r="AD14" s="452">
        <v>201163</v>
      </c>
      <c r="AE14" s="221">
        <f t="shared" si="15"/>
        <v>40</v>
      </c>
      <c r="AF14" s="317">
        <f>'Lpg (2)'!B18*2000/85</f>
        <v>2000</v>
      </c>
      <c r="AG14" s="318">
        <f>'Lpg (2)'!C18*1000/85</f>
        <v>976.47058823529414</v>
      </c>
      <c r="AH14" s="319">
        <f>'Lpg (2)'!D18*1000/85</f>
        <v>329.41176470588238</v>
      </c>
      <c r="AI14" s="511">
        <f t="shared" si="12"/>
        <v>5305882.3529411769</v>
      </c>
      <c r="AJ14" s="510">
        <f t="shared" si="4"/>
        <v>23529.411764705554</v>
      </c>
      <c r="AK14" s="144"/>
    </row>
    <row r="15" spans="1:37" ht="19.5" thickBot="1">
      <c r="A15" s="95">
        <f>Gen!B20</f>
        <v>43961</v>
      </c>
      <c r="B15" s="501">
        <f>'Summery Report'!E14</f>
        <v>0</v>
      </c>
      <c r="C15" s="158">
        <f>Gen!C20</f>
        <v>0</v>
      </c>
      <c r="D15" s="502">
        <f>'Summery Report'!E14</f>
        <v>0</v>
      </c>
      <c r="E15" s="503">
        <f t="shared" si="13"/>
        <v>1.3262195121951219</v>
      </c>
      <c r="F15" s="504" t="e">
        <f t="shared" si="14"/>
        <v>#DIV/0!</v>
      </c>
      <c r="G15" s="504" t="e">
        <f t="shared" si="0"/>
        <v>#DIV/0!</v>
      </c>
      <c r="H15" s="503">
        <f>Gen!D20</f>
        <v>37333.660000000003</v>
      </c>
      <c r="I15" s="505">
        <f>Gen!F20</f>
        <v>0</v>
      </c>
      <c r="J15" s="142">
        <f>Gen!T20</f>
        <v>652.33000000000004</v>
      </c>
      <c r="K15" s="142">
        <f>Gen!AK20</f>
        <v>0</v>
      </c>
      <c r="L15" s="142">
        <f t="shared" si="1"/>
        <v>652.33000000000004</v>
      </c>
      <c r="M15" s="535">
        <f>'Water-Meter'!K55</f>
        <v>451.94849247329876</v>
      </c>
      <c r="N15" s="203">
        <f>'Water-Meter'!E15</f>
        <v>51</v>
      </c>
      <c r="O15" s="214"/>
      <c r="P15" s="452">
        <v>19030</v>
      </c>
      <c r="Q15" s="506">
        <f t="shared" si="2"/>
        <v>0</v>
      </c>
      <c r="R15" s="507">
        <f t="shared" si="5"/>
        <v>0</v>
      </c>
      <c r="S15" s="452"/>
      <c r="T15" s="575">
        <v>24499</v>
      </c>
      <c r="U15" s="506">
        <f t="shared" si="6"/>
        <v>0</v>
      </c>
      <c r="V15" s="508">
        <f t="shared" si="16"/>
        <v>0</v>
      </c>
      <c r="W15" s="452"/>
      <c r="X15" s="573">
        <v>16219</v>
      </c>
      <c r="Y15" s="506">
        <f t="shared" si="8"/>
        <v>0</v>
      </c>
      <c r="Z15" s="508">
        <f t="shared" si="9"/>
        <v>0</v>
      </c>
      <c r="AA15" s="508">
        <f t="shared" si="10"/>
        <v>0</v>
      </c>
      <c r="AB15" s="574">
        <v>31947</v>
      </c>
      <c r="AC15" s="138">
        <f t="shared" si="11"/>
        <v>0</v>
      </c>
      <c r="AD15" s="452">
        <v>201198</v>
      </c>
      <c r="AE15" s="221">
        <f>AD15-AD14</f>
        <v>35</v>
      </c>
      <c r="AF15" s="317">
        <f>'Lpg (2)'!B19*2000/85</f>
        <v>2000</v>
      </c>
      <c r="AG15" s="318">
        <f>'Lpg (2)'!C19*1000/85</f>
        <v>976.47058823529414</v>
      </c>
      <c r="AH15" s="319">
        <f>'Lpg (2)'!D19*1000/85</f>
        <v>294.11764705882354</v>
      </c>
      <c r="AI15" s="511">
        <f t="shared" ref="AI15:AI35" si="17">SUM(AF15*2000)+(AG15*1000)+(AH15*1000)</f>
        <v>5270588.2352941176</v>
      </c>
      <c r="AJ15" s="510">
        <f t="shared" si="4"/>
        <v>35294.117647059262</v>
      </c>
      <c r="AK15" s="144"/>
    </row>
    <row r="16" spans="1:37" ht="19.5" thickBot="1">
      <c r="A16" s="95">
        <f>Gen!B21</f>
        <v>43962</v>
      </c>
      <c r="B16" s="501">
        <f>'Summery Report'!E15</f>
        <v>0</v>
      </c>
      <c r="C16" s="158">
        <f>Gen!C21</f>
        <v>0</v>
      </c>
      <c r="D16" s="502">
        <f>'Summery Report'!E15</f>
        <v>0</v>
      </c>
      <c r="E16" s="503">
        <f t="shared" si="13"/>
        <v>1.3262195121951219</v>
      </c>
      <c r="F16" s="504" t="e">
        <f t="shared" si="14"/>
        <v>#DIV/0!</v>
      </c>
      <c r="G16" s="504" t="e">
        <f t="shared" si="0"/>
        <v>#DIV/0!</v>
      </c>
      <c r="H16" s="503">
        <f>Gen!D21</f>
        <v>36681.33</v>
      </c>
      <c r="I16" s="505">
        <f>Gen!F21</f>
        <v>0</v>
      </c>
      <c r="J16" s="142">
        <f>Gen!T21</f>
        <v>675.39</v>
      </c>
      <c r="K16" s="142">
        <f>Gen!AK21</f>
        <v>0</v>
      </c>
      <c r="L16" s="142">
        <f t="shared" si="1"/>
        <v>675.39</v>
      </c>
      <c r="M16" s="535">
        <f>'Water-Meter'!K56</f>
        <v>434.37855279734322</v>
      </c>
      <c r="N16" s="203">
        <f>'Water-Meter'!E16</f>
        <v>56</v>
      </c>
      <c r="O16" s="214"/>
      <c r="P16" s="452">
        <v>19030</v>
      </c>
      <c r="Q16" s="506">
        <f t="shared" si="2"/>
        <v>0</v>
      </c>
      <c r="R16" s="507">
        <f t="shared" si="5"/>
        <v>0</v>
      </c>
      <c r="S16" s="452"/>
      <c r="T16" s="575">
        <v>24499</v>
      </c>
      <c r="U16" s="506">
        <f t="shared" si="6"/>
        <v>0</v>
      </c>
      <c r="V16" s="508">
        <f t="shared" si="16"/>
        <v>0</v>
      </c>
      <c r="W16" s="452"/>
      <c r="X16" s="573">
        <v>16219</v>
      </c>
      <c r="Y16" s="506">
        <f t="shared" si="8"/>
        <v>0</v>
      </c>
      <c r="Z16" s="508">
        <f t="shared" si="9"/>
        <v>0</v>
      </c>
      <c r="AA16" s="508">
        <f t="shared" si="10"/>
        <v>0</v>
      </c>
      <c r="AB16" s="574">
        <v>31947</v>
      </c>
      <c r="AC16" s="138">
        <f t="shared" si="11"/>
        <v>0</v>
      </c>
      <c r="AD16" s="452">
        <v>201236</v>
      </c>
      <c r="AE16" s="221">
        <f t="shared" si="15"/>
        <v>38</v>
      </c>
      <c r="AF16" s="317">
        <f>'Lpg (2)'!B20*2000/85</f>
        <v>2000</v>
      </c>
      <c r="AG16" s="318">
        <f>'Lpg (2)'!C20*1000/85</f>
        <v>976.47058823529414</v>
      </c>
      <c r="AH16" s="319">
        <f>'Lpg (2)'!D20*1000/85</f>
        <v>247.05882352941177</v>
      </c>
      <c r="AI16" s="511">
        <f t="shared" si="17"/>
        <v>5223529.4117647065</v>
      </c>
      <c r="AJ16" s="510">
        <f t="shared" si="4"/>
        <v>47058.823529411107</v>
      </c>
      <c r="AK16" s="144"/>
    </row>
    <row r="17" spans="1:37" ht="19.5" thickBot="1">
      <c r="A17" s="95">
        <f>Gen!B22</f>
        <v>43963</v>
      </c>
      <c r="B17" s="501">
        <f>'Summery Report'!E16</f>
        <v>0</v>
      </c>
      <c r="C17" s="158">
        <f>Gen!C22</f>
        <v>0</v>
      </c>
      <c r="D17" s="502">
        <f>'Summery Report'!E16</f>
        <v>0</v>
      </c>
      <c r="E17" s="503">
        <f t="shared" si="13"/>
        <v>1.3262195121951219</v>
      </c>
      <c r="F17" s="504" t="e">
        <f t="shared" si="14"/>
        <v>#DIV/0!</v>
      </c>
      <c r="G17" s="504" t="e">
        <f t="shared" si="0"/>
        <v>#DIV/0!</v>
      </c>
      <c r="H17" s="503">
        <f>Gen!D22</f>
        <v>46005.94</v>
      </c>
      <c r="I17" s="505">
        <f>Gen!F22</f>
        <v>10000</v>
      </c>
      <c r="J17" s="142">
        <f>Gen!T22</f>
        <v>719.01</v>
      </c>
      <c r="K17" s="142">
        <f>Gen!AK22</f>
        <v>106.89</v>
      </c>
      <c r="L17" s="142">
        <f t="shared" si="1"/>
        <v>825.9</v>
      </c>
      <c r="M17" s="535">
        <f>'Water-Meter'!K57</f>
        <v>473.35906902596753</v>
      </c>
      <c r="N17" s="203">
        <f>'Water-Meter'!E17</f>
        <v>58</v>
      </c>
      <c r="O17" s="214"/>
      <c r="P17" s="452">
        <v>19030</v>
      </c>
      <c r="Q17" s="506">
        <f>SUM(P18-P16)</f>
        <v>0</v>
      </c>
      <c r="R17" s="507">
        <f t="shared" si="5"/>
        <v>0</v>
      </c>
      <c r="S17" s="452"/>
      <c r="T17" s="575">
        <v>24506</v>
      </c>
      <c r="U17" s="506">
        <f t="shared" si="6"/>
        <v>7</v>
      </c>
      <c r="V17" s="508">
        <f t="shared" ref="V17:V36" si="18">SUM(U17*S17)</f>
        <v>0</v>
      </c>
      <c r="W17" s="452"/>
      <c r="X17" s="573">
        <v>16225</v>
      </c>
      <c r="Y17" s="506">
        <f t="shared" si="8"/>
        <v>6</v>
      </c>
      <c r="Z17" s="508">
        <f t="shared" si="9"/>
        <v>0</v>
      </c>
      <c r="AA17" s="508">
        <f t="shared" si="10"/>
        <v>0</v>
      </c>
      <c r="AB17" s="574">
        <v>32018</v>
      </c>
      <c r="AC17" s="138">
        <f t="shared" si="11"/>
        <v>71</v>
      </c>
      <c r="AD17" s="452">
        <v>201279</v>
      </c>
      <c r="AE17" s="221">
        <f t="shared" si="15"/>
        <v>43</v>
      </c>
      <c r="AF17" s="317">
        <f>'Lpg (2)'!B21*2000/85</f>
        <v>2000</v>
      </c>
      <c r="AG17" s="318">
        <f>'Lpg (2)'!C22*1000/85</f>
        <v>976.47058823529414</v>
      </c>
      <c r="AH17" s="319">
        <f>'Lpg (2)'!D21*1000/85</f>
        <v>235.29411764705881</v>
      </c>
      <c r="AI17" s="511">
        <f t="shared" si="17"/>
        <v>5211764.7058823537</v>
      </c>
      <c r="AJ17" s="510">
        <f t="shared" si="4"/>
        <v>11764.705882352777</v>
      </c>
      <c r="AK17" s="144"/>
    </row>
    <row r="18" spans="1:37" ht="19.5" thickBot="1">
      <c r="A18" s="95">
        <f>Gen!B23</f>
        <v>43964</v>
      </c>
      <c r="B18" s="501">
        <f>'Summery Report'!E17</f>
        <v>0</v>
      </c>
      <c r="C18" s="158">
        <f>Gen!C23</f>
        <v>0</v>
      </c>
      <c r="D18" s="502">
        <f>'Summery Report'!E17</f>
        <v>0</v>
      </c>
      <c r="E18" s="503">
        <f t="shared" si="13"/>
        <v>1.3262195121951219</v>
      </c>
      <c r="F18" s="504" t="e">
        <f t="shared" si="14"/>
        <v>#DIV/0!</v>
      </c>
      <c r="G18" s="504" t="e">
        <f t="shared" si="0"/>
        <v>#DIV/0!</v>
      </c>
      <c r="H18" s="503">
        <f>Gen!D23</f>
        <v>45180.04</v>
      </c>
      <c r="I18" s="505">
        <f>Gen!F23</f>
        <v>0</v>
      </c>
      <c r="J18" s="142">
        <f>Gen!T23</f>
        <v>656.19</v>
      </c>
      <c r="K18" s="142">
        <f>Gen!AK23</f>
        <v>0</v>
      </c>
      <c r="L18" s="142">
        <f t="shared" si="1"/>
        <v>656.19</v>
      </c>
      <c r="M18" s="535">
        <f>'Water-Meter'!K58</f>
        <v>521.36044011204308</v>
      </c>
      <c r="N18" s="203">
        <f>'Water-Meter'!E18</f>
        <v>41</v>
      </c>
      <c r="O18" s="214"/>
      <c r="P18" s="452">
        <v>19030</v>
      </c>
      <c r="Q18" s="506"/>
      <c r="R18" s="507">
        <f t="shared" si="5"/>
        <v>0</v>
      </c>
      <c r="S18" s="452"/>
      <c r="T18" s="575">
        <v>24506</v>
      </c>
      <c r="U18" s="506">
        <f t="shared" si="6"/>
        <v>0</v>
      </c>
      <c r="V18" s="508">
        <f t="shared" si="18"/>
        <v>0</v>
      </c>
      <c r="W18" s="452"/>
      <c r="X18" s="573">
        <v>16225</v>
      </c>
      <c r="Y18" s="506">
        <f t="shared" si="8"/>
        <v>0</v>
      </c>
      <c r="Z18" s="508">
        <f t="shared" si="9"/>
        <v>0</v>
      </c>
      <c r="AA18" s="508">
        <f t="shared" si="10"/>
        <v>0</v>
      </c>
      <c r="AB18" s="574">
        <v>32018</v>
      </c>
      <c r="AC18" s="138">
        <f t="shared" si="11"/>
        <v>0</v>
      </c>
      <c r="AD18" s="452">
        <v>201311</v>
      </c>
      <c r="AE18" s="221">
        <f t="shared" si="15"/>
        <v>32</v>
      </c>
      <c r="AF18" s="317">
        <f>'Lpg (2)'!B22*2000/85</f>
        <v>2000</v>
      </c>
      <c r="AG18" s="318" t="e">
        <f>'Lpg (2)'!#REF!*1000/85</f>
        <v>#REF!</v>
      </c>
      <c r="AH18" s="319">
        <f>'Lpg (2)'!D22*1000/85</f>
        <v>211.76470588235293</v>
      </c>
      <c r="AI18" s="511" t="e">
        <f t="shared" si="17"/>
        <v>#REF!</v>
      </c>
      <c r="AJ18" s="510" t="e">
        <f t="shared" si="4"/>
        <v>#REF!</v>
      </c>
      <c r="AK18" s="144"/>
    </row>
    <row r="19" spans="1:37" ht="19.5" thickBot="1">
      <c r="A19" s="95">
        <f>Gen!B24</f>
        <v>43965</v>
      </c>
      <c r="B19" s="501">
        <f>'Summery Report'!E18</f>
        <v>0</v>
      </c>
      <c r="C19" s="158">
        <f>Gen!C24</f>
        <v>0</v>
      </c>
      <c r="D19" s="502">
        <f>'Summery Report'!E18</f>
        <v>0</v>
      </c>
      <c r="E19" s="503">
        <f t="shared" si="13"/>
        <v>1.3262195121951219</v>
      </c>
      <c r="F19" s="504" t="e">
        <f t="shared" si="14"/>
        <v>#DIV/0!</v>
      </c>
      <c r="G19" s="504" t="e">
        <f t="shared" si="0"/>
        <v>#DIV/0!</v>
      </c>
      <c r="H19" s="503">
        <f>Gen!D24</f>
        <v>44523.85</v>
      </c>
      <c r="I19" s="505">
        <f>Gen!F24</f>
        <v>0</v>
      </c>
      <c r="J19" s="142">
        <f>Gen!T24</f>
        <v>633.07999999999993</v>
      </c>
      <c r="K19" s="142">
        <f>Gen!AK24</f>
        <v>0</v>
      </c>
      <c r="L19" s="142">
        <f t="shared" si="1"/>
        <v>633.07999999999993</v>
      </c>
      <c r="M19" s="535">
        <f>'Water-Meter'!K59</f>
        <v>486.76278002198683</v>
      </c>
      <c r="N19" s="203">
        <f>'Water-Meter'!E19</f>
        <v>33</v>
      </c>
      <c r="O19" s="214"/>
      <c r="P19" s="452">
        <v>19030</v>
      </c>
      <c r="Q19" s="506"/>
      <c r="R19" s="507">
        <f t="shared" si="5"/>
        <v>0</v>
      </c>
      <c r="S19" s="452"/>
      <c r="T19" s="575">
        <v>24506</v>
      </c>
      <c r="U19" s="506">
        <f t="shared" si="6"/>
        <v>0</v>
      </c>
      <c r="V19" s="508">
        <f t="shared" si="18"/>
        <v>0</v>
      </c>
      <c r="W19" s="452"/>
      <c r="X19" s="573">
        <v>16225</v>
      </c>
      <c r="Y19" s="506">
        <f t="shared" si="8"/>
        <v>0</v>
      </c>
      <c r="Z19" s="508">
        <f t="shared" si="9"/>
        <v>0</v>
      </c>
      <c r="AA19" s="508">
        <f t="shared" si="10"/>
        <v>0</v>
      </c>
      <c r="AB19" s="574">
        <v>32018</v>
      </c>
      <c r="AC19" s="138">
        <f t="shared" si="11"/>
        <v>0</v>
      </c>
      <c r="AD19" s="452">
        <v>201347</v>
      </c>
      <c r="AE19" s="221">
        <f t="shared" si="15"/>
        <v>36</v>
      </c>
      <c r="AF19" s="317">
        <f>'Lpg (2)'!B23*2000/85</f>
        <v>2000</v>
      </c>
      <c r="AG19" s="318">
        <f>'Lpg (2)'!C23*1000/85</f>
        <v>976.47058823529414</v>
      </c>
      <c r="AH19" s="319">
        <f>'Lpg (2)'!D23*1000/85</f>
        <v>188.23529411764707</v>
      </c>
      <c r="AI19" s="511">
        <f t="shared" si="17"/>
        <v>5164705.8823529417</v>
      </c>
      <c r="AJ19" s="510" t="e">
        <f t="shared" si="4"/>
        <v>#REF!</v>
      </c>
      <c r="AK19" s="144"/>
    </row>
    <row r="20" spans="1:37" ht="19.5" thickBot="1">
      <c r="A20" s="95">
        <f>Gen!B25</f>
        <v>43966</v>
      </c>
      <c r="B20" s="501">
        <f>'Summery Report'!E19</f>
        <v>0</v>
      </c>
      <c r="C20" s="158">
        <f>Gen!C25</f>
        <v>0</v>
      </c>
      <c r="D20" s="502">
        <f>'Summery Report'!E19</f>
        <v>0</v>
      </c>
      <c r="E20" s="503">
        <f t="shared" si="13"/>
        <v>1.3262195121951219</v>
      </c>
      <c r="F20" s="504" t="e">
        <f t="shared" si="14"/>
        <v>#DIV/0!</v>
      </c>
      <c r="G20" s="504" t="e">
        <f t="shared" si="0"/>
        <v>#DIV/0!</v>
      </c>
      <c r="H20" s="503">
        <f>Gen!D25</f>
        <v>43890.77</v>
      </c>
      <c r="I20" s="505">
        <f>Gen!F25</f>
        <v>0</v>
      </c>
      <c r="J20" s="142">
        <f>Gen!T25</f>
        <v>0</v>
      </c>
      <c r="K20" s="142">
        <f>Gen!AK25</f>
        <v>0</v>
      </c>
      <c r="L20" s="142">
        <f t="shared" si="1"/>
        <v>0</v>
      </c>
      <c r="M20" s="535">
        <f>'Water-Meter'!K60</f>
        <v>558.51086745368093</v>
      </c>
      <c r="N20" s="203" t="str">
        <f>'Water-Meter'!E20</f>
        <v>0</v>
      </c>
      <c r="O20" s="214"/>
      <c r="P20" s="452"/>
      <c r="Q20" s="506">
        <f t="shared" si="2"/>
        <v>-19030</v>
      </c>
      <c r="R20" s="507">
        <f t="shared" si="5"/>
        <v>0</v>
      </c>
      <c r="S20" s="452"/>
      <c r="T20" s="575"/>
      <c r="U20" s="506">
        <f t="shared" si="6"/>
        <v>-24506</v>
      </c>
      <c r="V20" s="508">
        <f t="shared" si="18"/>
        <v>0</v>
      </c>
      <c r="W20" s="452"/>
      <c r="X20" s="573"/>
      <c r="Y20" s="506">
        <f t="shared" si="8"/>
        <v>-16225</v>
      </c>
      <c r="Z20" s="508">
        <f t="shared" si="9"/>
        <v>0</v>
      </c>
      <c r="AA20" s="508">
        <f t="shared" si="10"/>
        <v>0</v>
      </c>
      <c r="AB20" s="574"/>
      <c r="AC20" s="138"/>
      <c r="AD20" s="452"/>
      <c r="AE20" s="221">
        <f t="shared" si="15"/>
        <v>-201347</v>
      </c>
      <c r="AF20" s="317">
        <f>'Lpg (2)'!B24*2000/85</f>
        <v>0</v>
      </c>
      <c r="AG20" s="318">
        <f>'Lpg (2)'!C24*1000/85</f>
        <v>0</v>
      </c>
      <c r="AH20" s="319">
        <f>'Lpg (2)'!D24*1000/85</f>
        <v>0</v>
      </c>
      <c r="AI20" s="511">
        <f t="shared" si="17"/>
        <v>0</v>
      </c>
      <c r="AJ20" s="510">
        <f t="shared" si="4"/>
        <v>5164705.8823529417</v>
      </c>
      <c r="AK20" s="144"/>
    </row>
    <row r="21" spans="1:37" ht="19.5" thickBot="1">
      <c r="A21" s="95">
        <f>Gen!B26</f>
        <v>43967</v>
      </c>
      <c r="B21" s="501">
        <f>'Summery Report'!E20</f>
        <v>0</v>
      </c>
      <c r="C21" s="158">
        <f>Gen!C26</f>
        <v>0</v>
      </c>
      <c r="D21" s="502">
        <f>'Summery Report'!E20</f>
        <v>0</v>
      </c>
      <c r="E21" s="503">
        <f t="shared" si="13"/>
        <v>1.3262195121951219</v>
      </c>
      <c r="F21" s="504" t="e">
        <f t="shared" si="14"/>
        <v>#DIV/0!</v>
      </c>
      <c r="G21" s="504" t="e">
        <f t="shared" si="0"/>
        <v>#DIV/0!</v>
      </c>
      <c r="H21" s="503">
        <f>Gen!D26</f>
        <v>43890.77</v>
      </c>
      <c r="I21" s="505">
        <f>Gen!F26</f>
        <v>0</v>
      </c>
      <c r="J21" s="142">
        <f>Gen!T26</f>
        <v>0</v>
      </c>
      <c r="K21" s="142">
        <f>Gen!AK26</f>
        <v>0</v>
      </c>
      <c r="L21" s="142">
        <f t="shared" si="1"/>
        <v>0</v>
      </c>
      <c r="M21" s="535">
        <f>'Water-Meter'!K61</f>
        <v>0</v>
      </c>
      <c r="N21" s="203">
        <f>'Water-Meter'!E21</f>
        <v>0</v>
      </c>
      <c r="O21" s="214"/>
      <c r="P21" s="452"/>
      <c r="Q21" s="506">
        <f t="shared" si="2"/>
        <v>0</v>
      </c>
      <c r="R21" s="507">
        <f t="shared" si="5"/>
        <v>0</v>
      </c>
      <c r="S21" s="452"/>
      <c r="T21" s="575"/>
      <c r="U21" s="506">
        <f>T22-T20</f>
        <v>0</v>
      </c>
      <c r="V21" s="508">
        <f t="shared" si="18"/>
        <v>0</v>
      </c>
      <c r="W21" s="452"/>
      <c r="X21" s="573"/>
      <c r="Y21" s="506">
        <f t="shared" si="8"/>
        <v>0</v>
      </c>
      <c r="Z21" s="508">
        <f t="shared" si="9"/>
        <v>0</v>
      </c>
      <c r="AA21" s="508">
        <f t="shared" si="10"/>
        <v>0</v>
      </c>
      <c r="AB21" s="574"/>
      <c r="AC21" s="138">
        <f t="shared" si="11"/>
        <v>0</v>
      </c>
      <c r="AD21" s="452"/>
      <c r="AE21" s="221">
        <f t="shared" si="15"/>
        <v>0</v>
      </c>
      <c r="AF21" s="317">
        <f>'Lpg (2)'!B25*2000/85</f>
        <v>0</v>
      </c>
      <c r="AG21" s="318">
        <f>'Lpg (2)'!C25*1000/85</f>
        <v>0</v>
      </c>
      <c r="AH21" s="319">
        <f>'Lpg (2)'!D25*1000/85</f>
        <v>0</v>
      </c>
      <c r="AI21" s="511">
        <f t="shared" si="17"/>
        <v>0</v>
      </c>
      <c r="AJ21" s="510">
        <f t="shared" si="4"/>
        <v>0</v>
      </c>
      <c r="AK21" s="144"/>
    </row>
    <row r="22" spans="1:37" ht="19.5" thickBot="1">
      <c r="A22" s="95">
        <f>Gen!B27</f>
        <v>43968</v>
      </c>
      <c r="B22" s="501">
        <f>'Summery Report'!E21</f>
        <v>0</v>
      </c>
      <c r="C22" s="158">
        <f>Gen!C27</f>
        <v>0</v>
      </c>
      <c r="D22" s="502">
        <f>'Summery Report'!E21</f>
        <v>0</v>
      </c>
      <c r="E22" s="503">
        <f t="shared" si="13"/>
        <v>1.3262195121951219</v>
      </c>
      <c r="F22" s="504" t="e">
        <f t="shared" si="14"/>
        <v>#DIV/0!</v>
      </c>
      <c r="G22" s="504" t="e">
        <f t="shared" si="0"/>
        <v>#DIV/0!</v>
      </c>
      <c r="H22" s="503">
        <f>Gen!D27</f>
        <v>43890.77</v>
      </c>
      <c r="I22" s="505">
        <f>Gen!F27</f>
        <v>0</v>
      </c>
      <c r="J22" s="142">
        <f>Gen!T27</f>
        <v>0</v>
      </c>
      <c r="K22" s="142">
        <f>Gen!AK27</f>
        <v>0</v>
      </c>
      <c r="L22" s="142">
        <f t="shared" si="1"/>
        <v>0</v>
      </c>
      <c r="M22" s="535">
        <f>'Water-Meter'!K62</f>
        <v>0</v>
      </c>
      <c r="N22" s="203">
        <f>'Water-Meter'!E22</f>
        <v>0</v>
      </c>
      <c r="O22" s="214"/>
      <c r="P22" s="452"/>
      <c r="Q22" s="506">
        <f t="shared" si="2"/>
        <v>0</v>
      </c>
      <c r="R22" s="507">
        <f t="shared" si="5"/>
        <v>0</v>
      </c>
      <c r="S22" s="452"/>
      <c r="T22" s="575"/>
      <c r="U22" s="506" t="e">
        <f>#REF!-T22</f>
        <v>#REF!</v>
      </c>
      <c r="V22" s="508" t="e">
        <f t="shared" si="18"/>
        <v>#REF!</v>
      </c>
      <c r="W22" s="452"/>
      <c r="X22" s="573"/>
      <c r="Y22" s="506">
        <f t="shared" si="8"/>
        <v>0</v>
      </c>
      <c r="Z22" s="508">
        <f t="shared" si="9"/>
        <v>0</v>
      </c>
      <c r="AA22" s="508">
        <f t="shared" si="10"/>
        <v>0</v>
      </c>
      <c r="AB22" s="574"/>
      <c r="AC22" s="138">
        <f t="shared" si="11"/>
        <v>0</v>
      </c>
      <c r="AD22" s="452"/>
      <c r="AE22" s="221">
        <f t="shared" si="15"/>
        <v>0</v>
      </c>
      <c r="AF22" s="317">
        <f>'Lpg (2)'!B26*2000/85</f>
        <v>0</v>
      </c>
      <c r="AG22" s="318">
        <f>'Lpg (2)'!C26*1000/85</f>
        <v>0</v>
      </c>
      <c r="AH22" s="319">
        <f>'Lpg (2)'!D26*1000/85</f>
        <v>0</v>
      </c>
      <c r="AI22" s="511">
        <f t="shared" si="17"/>
        <v>0</v>
      </c>
      <c r="AJ22" s="510">
        <f t="shared" si="4"/>
        <v>0</v>
      </c>
      <c r="AK22" s="144"/>
    </row>
    <row r="23" spans="1:37" ht="19.5" thickBot="1">
      <c r="A23" s="95">
        <f>Gen!B28</f>
        <v>43969</v>
      </c>
      <c r="B23" s="501">
        <f>'Summery Report'!E22</f>
        <v>0</v>
      </c>
      <c r="C23" s="158">
        <f>Gen!C28</f>
        <v>0</v>
      </c>
      <c r="D23" s="502">
        <f>'Summery Report'!E22</f>
        <v>0</v>
      </c>
      <c r="E23" s="503">
        <f t="shared" si="13"/>
        <v>1.3262195121951219</v>
      </c>
      <c r="F23" s="504" t="e">
        <f t="shared" si="14"/>
        <v>#DIV/0!</v>
      </c>
      <c r="G23" s="504" t="e">
        <f t="shared" si="0"/>
        <v>#DIV/0!</v>
      </c>
      <c r="H23" s="503">
        <f>Gen!D28</f>
        <v>43890.77</v>
      </c>
      <c r="I23" s="505">
        <f>Gen!F28</f>
        <v>0</v>
      </c>
      <c r="J23" s="142">
        <f>Gen!T28</f>
        <v>0</v>
      </c>
      <c r="K23" s="142">
        <f>Gen!AK28</f>
        <v>0</v>
      </c>
      <c r="L23" s="142">
        <f t="shared" si="1"/>
        <v>0</v>
      </c>
      <c r="M23" s="535">
        <f>'Water-Meter'!K63</f>
        <v>0</v>
      </c>
      <c r="N23" s="203">
        <f>'Water-Meter'!E23</f>
        <v>0</v>
      </c>
      <c r="O23" s="214"/>
      <c r="P23" s="452"/>
      <c r="Q23" s="506">
        <f t="shared" si="2"/>
        <v>0</v>
      </c>
      <c r="R23" s="507">
        <f t="shared" si="5"/>
        <v>0</v>
      </c>
      <c r="S23" s="452"/>
      <c r="T23" s="575"/>
      <c r="U23" s="506" t="e">
        <f>T23-#REF!</f>
        <v>#REF!</v>
      </c>
      <c r="V23" s="508" t="e">
        <f t="shared" si="18"/>
        <v>#REF!</v>
      </c>
      <c r="W23" s="452"/>
      <c r="X23" s="573"/>
      <c r="Y23" s="506">
        <f t="shared" si="8"/>
        <v>0</v>
      </c>
      <c r="Z23" s="508">
        <f t="shared" si="9"/>
        <v>0</v>
      </c>
      <c r="AA23" s="508">
        <f t="shared" si="10"/>
        <v>0</v>
      </c>
      <c r="AB23" s="574"/>
      <c r="AC23" s="138">
        <f t="shared" si="11"/>
        <v>0</v>
      </c>
      <c r="AD23" s="452"/>
      <c r="AE23" s="221">
        <f t="shared" si="15"/>
        <v>0</v>
      </c>
      <c r="AF23" s="317">
        <f>'Lpg (2)'!B27*2000/85</f>
        <v>0</v>
      </c>
      <c r="AG23" s="318">
        <f>'Lpg (2)'!C27*1000/85</f>
        <v>0</v>
      </c>
      <c r="AH23" s="319">
        <f>'Lpg (2)'!D27*1000/85</f>
        <v>0</v>
      </c>
      <c r="AI23" s="511">
        <f t="shared" si="17"/>
        <v>0</v>
      </c>
      <c r="AJ23" s="510">
        <f t="shared" si="4"/>
        <v>0</v>
      </c>
      <c r="AK23" s="144"/>
    </row>
    <row r="24" spans="1:37" ht="19.5" thickBot="1">
      <c r="A24" s="95">
        <f>Gen!B29</f>
        <v>43970</v>
      </c>
      <c r="B24" s="501">
        <f>'Summery Report'!E23</f>
        <v>0</v>
      </c>
      <c r="C24" s="158">
        <f>Gen!C29</f>
        <v>0</v>
      </c>
      <c r="D24" s="502">
        <f>'Summery Report'!E23</f>
        <v>0</v>
      </c>
      <c r="E24" s="503">
        <f t="shared" si="13"/>
        <v>1.3262195121951219</v>
      </c>
      <c r="F24" s="504" t="e">
        <f t="shared" si="14"/>
        <v>#DIV/0!</v>
      </c>
      <c r="G24" s="504" t="e">
        <f t="shared" si="0"/>
        <v>#DIV/0!</v>
      </c>
      <c r="H24" s="503">
        <f>Gen!D29</f>
        <v>43890.77</v>
      </c>
      <c r="I24" s="505">
        <f>Gen!F29</f>
        <v>0</v>
      </c>
      <c r="J24" s="142">
        <f>Gen!T29</f>
        <v>0</v>
      </c>
      <c r="K24" s="142">
        <f>Gen!AK29</f>
        <v>0</v>
      </c>
      <c r="L24" s="142">
        <f t="shared" si="1"/>
        <v>0</v>
      </c>
      <c r="M24" s="535">
        <f>'Water-Meter'!K64</f>
        <v>0</v>
      </c>
      <c r="N24" s="203">
        <f>'Water-Meter'!E24</f>
        <v>0</v>
      </c>
      <c r="O24" s="214"/>
      <c r="P24" s="452"/>
      <c r="Q24" s="506">
        <f t="shared" si="2"/>
        <v>0</v>
      </c>
      <c r="R24" s="507">
        <f t="shared" si="5"/>
        <v>0</v>
      </c>
      <c r="S24" s="452"/>
      <c r="T24" s="575"/>
      <c r="U24" s="506">
        <f t="shared" si="6"/>
        <v>0</v>
      </c>
      <c r="V24" s="508">
        <f t="shared" si="18"/>
        <v>0</v>
      </c>
      <c r="W24" s="452"/>
      <c r="X24" s="573"/>
      <c r="Y24" s="506">
        <f t="shared" si="8"/>
        <v>0</v>
      </c>
      <c r="Z24" s="508">
        <f t="shared" si="9"/>
        <v>0</v>
      </c>
      <c r="AA24" s="508">
        <f t="shared" si="10"/>
        <v>0</v>
      </c>
      <c r="AB24" s="574"/>
      <c r="AC24" s="138">
        <f t="shared" si="11"/>
        <v>0</v>
      </c>
      <c r="AD24" s="452"/>
      <c r="AE24" s="221">
        <f t="shared" si="15"/>
        <v>0</v>
      </c>
      <c r="AF24" s="317">
        <f>'Lpg (2)'!B28*2000/85</f>
        <v>0</v>
      </c>
      <c r="AG24" s="318">
        <f>'Lpg (2)'!C28*1000/85</f>
        <v>0</v>
      </c>
      <c r="AH24" s="319">
        <f>'Lpg (2)'!D28*1000/85</f>
        <v>0</v>
      </c>
      <c r="AI24" s="511">
        <f t="shared" si="17"/>
        <v>0</v>
      </c>
      <c r="AJ24" s="510">
        <f t="shared" si="4"/>
        <v>0</v>
      </c>
      <c r="AK24" s="144"/>
    </row>
    <row r="25" spans="1:37" ht="19.5" thickBot="1">
      <c r="A25" s="95">
        <f>Gen!B30</f>
        <v>43971</v>
      </c>
      <c r="B25" s="501">
        <f>'Summery Report'!E24</f>
        <v>0</v>
      </c>
      <c r="C25" s="158">
        <f>Gen!C30</f>
        <v>0</v>
      </c>
      <c r="D25" s="502">
        <f>'Summery Report'!E24</f>
        <v>0</v>
      </c>
      <c r="E25" s="503">
        <f t="shared" si="13"/>
        <v>1.3262195121951219</v>
      </c>
      <c r="F25" s="504" t="e">
        <f t="shared" si="14"/>
        <v>#DIV/0!</v>
      </c>
      <c r="G25" s="504" t="e">
        <f t="shared" si="0"/>
        <v>#DIV/0!</v>
      </c>
      <c r="H25" s="503">
        <f>Gen!D30</f>
        <v>43890.77</v>
      </c>
      <c r="I25" s="505">
        <f>Gen!F30</f>
        <v>0</v>
      </c>
      <c r="J25" s="142">
        <f>Gen!T30</f>
        <v>0</v>
      </c>
      <c r="K25" s="142">
        <f>Gen!AK30</f>
        <v>0</v>
      </c>
      <c r="L25" s="142">
        <f t="shared" si="1"/>
        <v>0</v>
      </c>
      <c r="M25" s="535">
        <f>'Water-Meter'!K65</f>
        <v>0</v>
      </c>
      <c r="N25" s="203">
        <f>'Water-Meter'!E25</f>
        <v>0</v>
      </c>
      <c r="O25" s="214"/>
      <c r="P25" s="452"/>
      <c r="Q25" s="506">
        <f t="shared" si="2"/>
        <v>0</v>
      </c>
      <c r="R25" s="507">
        <f t="shared" si="5"/>
        <v>0</v>
      </c>
      <c r="S25" s="452"/>
      <c r="T25" s="575"/>
      <c r="U25" s="506">
        <f t="shared" si="6"/>
        <v>0</v>
      </c>
      <c r="V25" s="508">
        <f t="shared" si="18"/>
        <v>0</v>
      </c>
      <c r="W25" s="452"/>
      <c r="X25" s="573"/>
      <c r="Y25" s="506">
        <f t="shared" si="8"/>
        <v>0</v>
      </c>
      <c r="Z25" s="508">
        <f t="shared" si="9"/>
        <v>0</v>
      </c>
      <c r="AA25" s="508">
        <f t="shared" si="10"/>
        <v>0</v>
      </c>
      <c r="AB25" s="574"/>
      <c r="AC25" s="138">
        <f t="shared" si="11"/>
        <v>0</v>
      </c>
      <c r="AD25" s="452"/>
      <c r="AE25" s="221">
        <f t="shared" si="15"/>
        <v>0</v>
      </c>
      <c r="AF25" s="317">
        <f>'Lpg (2)'!B29*2000/85</f>
        <v>0</v>
      </c>
      <c r="AG25" s="318">
        <f>'Lpg (2)'!C29*1000/85</f>
        <v>0</v>
      </c>
      <c r="AH25" s="319">
        <f>'Lpg (2)'!D29*1000/85</f>
        <v>0</v>
      </c>
      <c r="AI25" s="511">
        <f t="shared" si="17"/>
        <v>0</v>
      </c>
      <c r="AJ25" s="510">
        <f t="shared" si="4"/>
        <v>0</v>
      </c>
      <c r="AK25" s="144"/>
    </row>
    <row r="26" spans="1:37" ht="19.5" thickBot="1">
      <c r="A26" s="95">
        <f>Gen!B31</f>
        <v>43972</v>
      </c>
      <c r="B26" s="501">
        <f>'Summery Report'!E25</f>
        <v>0</v>
      </c>
      <c r="C26" s="158">
        <f>Gen!C31</f>
        <v>0</v>
      </c>
      <c r="D26" s="502">
        <f>'Summery Report'!E25</f>
        <v>0</v>
      </c>
      <c r="E26" s="503">
        <f t="shared" si="13"/>
        <v>1.3262195121951219</v>
      </c>
      <c r="F26" s="504" t="e">
        <f>SUM(J26*E26)/D26</f>
        <v>#DIV/0!</v>
      </c>
      <c r="G26" s="504" t="e">
        <f t="shared" si="0"/>
        <v>#DIV/0!</v>
      </c>
      <c r="H26" s="503">
        <f>Gen!D31</f>
        <v>43890.77</v>
      </c>
      <c r="I26" s="505">
        <f>Gen!F31</f>
        <v>0</v>
      </c>
      <c r="J26" s="142">
        <f>Gen!T31</f>
        <v>0</v>
      </c>
      <c r="K26" s="142">
        <f>Gen!AK31</f>
        <v>0</v>
      </c>
      <c r="L26" s="142">
        <f t="shared" si="1"/>
        <v>0</v>
      </c>
      <c r="M26" s="535">
        <f>'Water-Meter'!K66</f>
        <v>0</v>
      </c>
      <c r="N26" s="203">
        <f>'Water-Meter'!E26</f>
        <v>0</v>
      </c>
      <c r="O26" s="214"/>
      <c r="P26" s="452"/>
      <c r="Q26" s="506">
        <f t="shared" si="2"/>
        <v>0</v>
      </c>
      <c r="R26" s="507">
        <f t="shared" si="5"/>
        <v>0</v>
      </c>
      <c r="S26" s="452"/>
      <c r="T26" s="575"/>
      <c r="U26" s="506">
        <f t="shared" si="6"/>
        <v>0</v>
      </c>
      <c r="V26" s="508">
        <f t="shared" si="18"/>
        <v>0</v>
      </c>
      <c r="W26" s="452"/>
      <c r="X26" s="573"/>
      <c r="Y26" s="506">
        <f t="shared" si="8"/>
        <v>0</v>
      </c>
      <c r="Z26" s="508">
        <f t="shared" si="9"/>
        <v>0</v>
      </c>
      <c r="AA26" s="508">
        <f t="shared" si="10"/>
        <v>0</v>
      </c>
      <c r="AB26" s="574"/>
      <c r="AC26" s="138">
        <f t="shared" si="11"/>
        <v>0</v>
      </c>
      <c r="AD26" s="452"/>
      <c r="AE26" s="221">
        <f t="shared" si="15"/>
        <v>0</v>
      </c>
      <c r="AF26" s="317">
        <f>'Lpg (2)'!B30*2000/85</f>
        <v>0</v>
      </c>
      <c r="AG26" s="318">
        <f>'Lpg (2)'!C30*1000/85</f>
        <v>0</v>
      </c>
      <c r="AH26" s="319">
        <f>'Lpg (2)'!D30*1000/85</f>
        <v>0</v>
      </c>
      <c r="AI26" s="511">
        <f t="shared" si="17"/>
        <v>0</v>
      </c>
      <c r="AJ26" s="510">
        <f t="shared" si="4"/>
        <v>0</v>
      </c>
      <c r="AK26" s="144"/>
    </row>
    <row r="27" spans="1:37" ht="19.5" thickBot="1">
      <c r="A27" s="95">
        <f>Gen!B32</f>
        <v>43973</v>
      </c>
      <c r="B27" s="501">
        <f>'Summery Report'!E26</f>
        <v>0</v>
      </c>
      <c r="C27" s="158">
        <f>Gen!C32</f>
        <v>0</v>
      </c>
      <c r="D27" s="502">
        <f>'Summery Report'!E26</f>
        <v>0</v>
      </c>
      <c r="E27" s="503">
        <f t="shared" si="13"/>
        <v>1.3262195121951219</v>
      </c>
      <c r="F27" s="504" t="e">
        <f t="shared" si="14"/>
        <v>#DIV/0!</v>
      </c>
      <c r="G27" s="504" t="e">
        <f t="shared" si="0"/>
        <v>#DIV/0!</v>
      </c>
      <c r="H27" s="503">
        <f>Gen!D32</f>
        <v>43890.77</v>
      </c>
      <c r="I27" s="505">
        <f>Gen!F32</f>
        <v>0</v>
      </c>
      <c r="J27" s="142">
        <f>Gen!T32</f>
        <v>0</v>
      </c>
      <c r="K27" s="142">
        <f>Gen!AK32</f>
        <v>0</v>
      </c>
      <c r="L27" s="142">
        <f t="shared" si="1"/>
        <v>0</v>
      </c>
      <c r="M27" s="535">
        <f>'Water-Meter'!K67</f>
        <v>0</v>
      </c>
      <c r="N27" s="203">
        <f>'Water-Meter'!E27</f>
        <v>0</v>
      </c>
      <c r="O27" s="214"/>
      <c r="P27" s="452"/>
      <c r="Q27" s="506">
        <f t="shared" si="2"/>
        <v>0</v>
      </c>
      <c r="R27" s="507">
        <f t="shared" si="5"/>
        <v>0</v>
      </c>
      <c r="S27" s="452"/>
      <c r="T27" s="575"/>
      <c r="U27" s="506">
        <f t="shared" si="6"/>
        <v>0</v>
      </c>
      <c r="V27" s="508">
        <f t="shared" si="18"/>
        <v>0</v>
      </c>
      <c r="W27" s="452"/>
      <c r="X27" s="573"/>
      <c r="Y27" s="506">
        <f t="shared" si="8"/>
        <v>0</v>
      </c>
      <c r="Z27" s="508">
        <f t="shared" si="9"/>
        <v>0</v>
      </c>
      <c r="AA27" s="508">
        <f t="shared" si="10"/>
        <v>0</v>
      </c>
      <c r="AB27" s="574"/>
      <c r="AC27" s="138">
        <f t="shared" si="11"/>
        <v>0</v>
      </c>
      <c r="AD27" s="452"/>
      <c r="AE27" s="221">
        <f t="shared" si="15"/>
        <v>0</v>
      </c>
      <c r="AF27" s="317">
        <f>'Lpg (2)'!B31*2000/85</f>
        <v>0</v>
      </c>
      <c r="AG27" s="318">
        <f>'Lpg (2)'!C31*1000/85</f>
        <v>0</v>
      </c>
      <c r="AH27" s="319">
        <f>'Lpg (2)'!D31*1000/85</f>
        <v>0</v>
      </c>
      <c r="AI27" s="511">
        <f t="shared" si="17"/>
        <v>0</v>
      </c>
      <c r="AJ27" s="510">
        <f t="shared" si="4"/>
        <v>0</v>
      </c>
      <c r="AK27" s="144"/>
    </row>
    <row r="28" spans="1:37" ht="19.5" thickBot="1">
      <c r="A28" s="95">
        <f>Gen!B33</f>
        <v>43974</v>
      </c>
      <c r="B28" s="501">
        <f>'Summery Report'!E27</f>
        <v>0</v>
      </c>
      <c r="C28" s="158">
        <f>Gen!C33</f>
        <v>0</v>
      </c>
      <c r="D28" s="502">
        <f>'Summery Report'!E27</f>
        <v>0</v>
      </c>
      <c r="E28" s="503">
        <f t="shared" si="13"/>
        <v>1.3262195121951219</v>
      </c>
      <c r="F28" s="504" t="e">
        <f t="shared" si="14"/>
        <v>#DIV/0!</v>
      </c>
      <c r="G28" s="504" t="e">
        <f t="shared" si="0"/>
        <v>#DIV/0!</v>
      </c>
      <c r="H28" s="503">
        <f>Gen!D33</f>
        <v>43890.77</v>
      </c>
      <c r="I28" s="505">
        <f>Gen!F33</f>
        <v>0</v>
      </c>
      <c r="J28" s="142">
        <f>Gen!T33</f>
        <v>0</v>
      </c>
      <c r="K28" s="142">
        <f>Gen!AK33</f>
        <v>0</v>
      </c>
      <c r="L28" s="142">
        <f t="shared" si="1"/>
        <v>0</v>
      </c>
      <c r="M28" s="535">
        <f>'Water-Meter'!K68</f>
        <v>0</v>
      </c>
      <c r="N28" s="203">
        <f>'Water-Meter'!E28</f>
        <v>0</v>
      </c>
      <c r="O28" s="214"/>
      <c r="P28" s="452"/>
      <c r="Q28" s="506">
        <f t="shared" si="2"/>
        <v>0</v>
      </c>
      <c r="R28" s="507">
        <f t="shared" si="5"/>
        <v>0</v>
      </c>
      <c r="S28" s="452"/>
      <c r="T28" s="575"/>
      <c r="U28" s="506">
        <f t="shared" si="6"/>
        <v>0</v>
      </c>
      <c r="V28" s="508">
        <f t="shared" si="18"/>
        <v>0</v>
      </c>
      <c r="W28" s="452"/>
      <c r="X28" s="573"/>
      <c r="Y28" s="506">
        <f t="shared" si="8"/>
        <v>0</v>
      </c>
      <c r="Z28" s="508">
        <f t="shared" si="9"/>
        <v>0</v>
      </c>
      <c r="AA28" s="508">
        <f t="shared" si="10"/>
        <v>0</v>
      </c>
      <c r="AB28" s="574"/>
      <c r="AC28" s="138">
        <f t="shared" ref="AC28:AC37" si="19">SUM(AB28-AB27)</f>
        <v>0</v>
      </c>
      <c r="AD28" s="452"/>
      <c r="AE28" s="221">
        <f t="shared" si="15"/>
        <v>0</v>
      </c>
      <c r="AF28" s="317">
        <f>'Lpg (2)'!B32*2000/85</f>
        <v>0</v>
      </c>
      <c r="AG28" s="318">
        <f>'Lpg (2)'!C32*1000/85</f>
        <v>0</v>
      </c>
      <c r="AH28" s="319">
        <f>'Lpg (2)'!D32*1000/85</f>
        <v>0</v>
      </c>
      <c r="AI28" s="511">
        <f t="shared" si="17"/>
        <v>0</v>
      </c>
      <c r="AJ28" s="510">
        <f t="shared" si="4"/>
        <v>0</v>
      </c>
      <c r="AK28" s="144"/>
    </row>
    <row r="29" spans="1:37" ht="19.5" thickBot="1">
      <c r="A29" s="95">
        <f>Gen!B34</f>
        <v>43975</v>
      </c>
      <c r="B29" s="501">
        <f>'Summery Report'!E28</f>
        <v>0</v>
      </c>
      <c r="C29" s="158">
        <f>Gen!C34</f>
        <v>0</v>
      </c>
      <c r="D29" s="502">
        <f>'Summery Report'!E28</f>
        <v>0</v>
      </c>
      <c r="E29" s="503">
        <f t="shared" si="13"/>
        <v>1.3262195121951219</v>
      </c>
      <c r="F29" s="504" t="e">
        <f t="shared" si="14"/>
        <v>#DIV/0!</v>
      </c>
      <c r="G29" s="504" t="e">
        <f t="shared" si="0"/>
        <v>#DIV/0!</v>
      </c>
      <c r="H29" s="503">
        <f>Gen!D34</f>
        <v>43890.77</v>
      </c>
      <c r="I29" s="505">
        <f>Gen!F34</f>
        <v>0</v>
      </c>
      <c r="J29" s="142">
        <f>Gen!T34</f>
        <v>0</v>
      </c>
      <c r="K29" s="142">
        <f>Gen!AK34</f>
        <v>0</v>
      </c>
      <c r="L29" s="142">
        <f t="shared" si="1"/>
        <v>0</v>
      </c>
      <c r="M29" s="535">
        <f>'Water-Meter'!K69</f>
        <v>0</v>
      </c>
      <c r="N29" s="203">
        <f>'Water-Meter'!E29</f>
        <v>0</v>
      </c>
      <c r="O29" s="214"/>
      <c r="P29" s="452"/>
      <c r="Q29" s="506">
        <f t="shared" si="2"/>
        <v>0</v>
      </c>
      <c r="R29" s="507">
        <f t="shared" si="5"/>
        <v>0</v>
      </c>
      <c r="S29" s="452"/>
      <c r="T29" s="575"/>
      <c r="U29" s="506">
        <f t="shared" si="6"/>
        <v>0</v>
      </c>
      <c r="V29" s="508">
        <f t="shared" si="18"/>
        <v>0</v>
      </c>
      <c r="W29" s="452"/>
      <c r="X29" s="573"/>
      <c r="Y29" s="506">
        <f t="shared" si="8"/>
        <v>0</v>
      </c>
      <c r="Z29" s="508">
        <f t="shared" si="9"/>
        <v>0</v>
      </c>
      <c r="AA29" s="508">
        <f t="shared" si="10"/>
        <v>0</v>
      </c>
      <c r="AB29" s="574"/>
      <c r="AC29" s="138">
        <f t="shared" si="19"/>
        <v>0</v>
      </c>
      <c r="AD29" s="452"/>
      <c r="AE29" s="221">
        <f t="shared" si="15"/>
        <v>0</v>
      </c>
      <c r="AF29" s="317">
        <f>'Lpg (2)'!B33*2000/85</f>
        <v>0</v>
      </c>
      <c r="AG29" s="318">
        <f>'Lpg (2)'!C33*1000/85</f>
        <v>0</v>
      </c>
      <c r="AH29" s="319">
        <f>'Lpg (2)'!D33*1000/85</f>
        <v>0</v>
      </c>
      <c r="AI29" s="511">
        <f t="shared" si="17"/>
        <v>0</v>
      </c>
      <c r="AJ29" s="510">
        <f t="shared" si="4"/>
        <v>0</v>
      </c>
      <c r="AK29" s="144"/>
    </row>
    <row r="30" spans="1:37" ht="19.5" thickBot="1">
      <c r="A30" s="95">
        <f>Gen!B35</f>
        <v>43976</v>
      </c>
      <c r="B30" s="501">
        <f>'Summery Report'!E29</f>
        <v>0</v>
      </c>
      <c r="C30" s="158">
        <f>Gen!C35</f>
        <v>0</v>
      </c>
      <c r="D30" s="502">
        <f>'Summery Report'!E29</f>
        <v>0</v>
      </c>
      <c r="E30" s="503">
        <f t="shared" si="13"/>
        <v>1.3262195121951219</v>
      </c>
      <c r="F30" s="504" t="e">
        <f t="shared" si="14"/>
        <v>#DIV/0!</v>
      </c>
      <c r="G30" s="504" t="e">
        <f t="shared" si="0"/>
        <v>#DIV/0!</v>
      </c>
      <c r="H30" s="503">
        <f>Gen!D35</f>
        <v>43890.77</v>
      </c>
      <c r="I30" s="505">
        <f>Gen!F35</f>
        <v>0</v>
      </c>
      <c r="J30" s="142">
        <f>Gen!T35</f>
        <v>0</v>
      </c>
      <c r="K30" s="142">
        <f>Gen!AK35</f>
        <v>0</v>
      </c>
      <c r="L30" s="142">
        <f t="shared" si="1"/>
        <v>0</v>
      </c>
      <c r="M30" s="535">
        <f>'Water-Meter'!K70</f>
        <v>0</v>
      </c>
      <c r="N30" s="203">
        <f>'Water-Meter'!E30</f>
        <v>0</v>
      </c>
      <c r="O30" s="214"/>
      <c r="P30" s="452"/>
      <c r="Q30" s="506">
        <f t="shared" si="2"/>
        <v>0</v>
      </c>
      <c r="R30" s="507">
        <f t="shared" si="5"/>
        <v>0</v>
      </c>
      <c r="S30" s="452"/>
      <c r="T30" s="575"/>
      <c r="U30" s="506">
        <f t="shared" si="6"/>
        <v>0</v>
      </c>
      <c r="V30" s="508">
        <f t="shared" si="18"/>
        <v>0</v>
      </c>
      <c r="W30" s="452"/>
      <c r="X30" s="573"/>
      <c r="Y30" s="506">
        <f t="shared" si="8"/>
        <v>0</v>
      </c>
      <c r="Z30" s="508">
        <f t="shared" si="9"/>
        <v>0</v>
      </c>
      <c r="AA30" s="508">
        <f t="shared" si="10"/>
        <v>0</v>
      </c>
      <c r="AB30" s="574"/>
      <c r="AC30" s="138">
        <f t="shared" si="19"/>
        <v>0</v>
      </c>
      <c r="AD30" s="452"/>
      <c r="AE30" s="221">
        <f t="shared" si="15"/>
        <v>0</v>
      </c>
      <c r="AF30" s="317">
        <f>'Lpg (2)'!B34*2000/85</f>
        <v>0</v>
      </c>
      <c r="AG30" s="318">
        <f>'Lpg (2)'!C34*1000/85</f>
        <v>0</v>
      </c>
      <c r="AH30" s="319">
        <f>'Lpg (2)'!D34*1000/85</f>
        <v>0</v>
      </c>
      <c r="AI30" s="511">
        <f t="shared" si="17"/>
        <v>0</v>
      </c>
      <c r="AJ30" s="510">
        <f t="shared" si="4"/>
        <v>0</v>
      </c>
      <c r="AK30" s="144"/>
    </row>
    <row r="31" spans="1:37" ht="19.5" thickBot="1">
      <c r="A31" s="95">
        <f>Gen!B36</f>
        <v>43977</v>
      </c>
      <c r="B31" s="501">
        <f>'Summery Report'!E30</f>
        <v>0</v>
      </c>
      <c r="C31" s="158">
        <f>Gen!C36</f>
        <v>0</v>
      </c>
      <c r="D31" s="502">
        <f>'Summery Report'!E30</f>
        <v>0</v>
      </c>
      <c r="E31" s="503">
        <f t="shared" si="13"/>
        <v>1.3262195121951219</v>
      </c>
      <c r="F31" s="504" t="e">
        <f t="shared" si="14"/>
        <v>#DIV/0!</v>
      </c>
      <c r="G31" s="504" t="e">
        <f t="shared" si="0"/>
        <v>#DIV/0!</v>
      </c>
      <c r="H31" s="503">
        <f>Gen!D36</f>
        <v>43890.77</v>
      </c>
      <c r="I31" s="505">
        <f>Gen!F36</f>
        <v>0</v>
      </c>
      <c r="J31" s="142">
        <f>Gen!T36</f>
        <v>0</v>
      </c>
      <c r="K31" s="142">
        <f>Gen!AK36</f>
        <v>0</v>
      </c>
      <c r="L31" s="142">
        <f t="shared" si="1"/>
        <v>0</v>
      </c>
      <c r="M31" s="535">
        <f>'Water-Meter'!K71</f>
        <v>0</v>
      </c>
      <c r="N31" s="203">
        <f>'Water-Meter'!E31</f>
        <v>0</v>
      </c>
      <c r="O31" s="214"/>
      <c r="P31" s="452"/>
      <c r="Q31" s="506">
        <f t="shared" si="2"/>
        <v>0</v>
      </c>
      <c r="R31" s="507">
        <f t="shared" si="5"/>
        <v>0</v>
      </c>
      <c r="S31" s="452"/>
      <c r="T31" s="575"/>
      <c r="U31" s="506">
        <f t="shared" si="6"/>
        <v>0</v>
      </c>
      <c r="V31" s="508">
        <f t="shared" si="18"/>
        <v>0</v>
      </c>
      <c r="W31" s="452"/>
      <c r="X31" s="576"/>
      <c r="Y31" s="506">
        <f t="shared" si="8"/>
        <v>0</v>
      </c>
      <c r="Z31" s="508">
        <f t="shared" si="9"/>
        <v>0</v>
      </c>
      <c r="AA31" s="508">
        <f t="shared" si="10"/>
        <v>0</v>
      </c>
      <c r="AB31" s="574"/>
      <c r="AC31" s="138">
        <f t="shared" si="19"/>
        <v>0</v>
      </c>
      <c r="AD31" s="452"/>
      <c r="AE31" s="221">
        <f t="shared" si="15"/>
        <v>0</v>
      </c>
      <c r="AF31" s="317">
        <f>'Lpg (2)'!B35*2000/85</f>
        <v>0</v>
      </c>
      <c r="AG31" s="318">
        <f>'Lpg (2)'!C35*1000/85</f>
        <v>0</v>
      </c>
      <c r="AH31" s="319">
        <f>'Lpg (2)'!D35*1000/85</f>
        <v>0</v>
      </c>
      <c r="AI31" s="511">
        <f t="shared" si="17"/>
        <v>0</v>
      </c>
      <c r="AJ31" s="510">
        <f t="shared" si="4"/>
        <v>0</v>
      </c>
      <c r="AK31" s="144"/>
    </row>
    <row r="32" spans="1:37" ht="19.5" thickBot="1">
      <c r="A32" s="95">
        <f>Gen!B37</f>
        <v>43978</v>
      </c>
      <c r="B32" s="501">
        <f>'Summery Report'!E31</f>
        <v>0</v>
      </c>
      <c r="C32" s="158">
        <f>Gen!C37</f>
        <v>0</v>
      </c>
      <c r="D32" s="502">
        <f>'Summery Report'!E31</f>
        <v>0</v>
      </c>
      <c r="E32" s="503">
        <f t="shared" si="13"/>
        <v>1.3262195121951219</v>
      </c>
      <c r="F32" s="504" t="e">
        <f t="shared" si="14"/>
        <v>#DIV/0!</v>
      </c>
      <c r="G32" s="504" t="e">
        <f t="shared" si="0"/>
        <v>#DIV/0!</v>
      </c>
      <c r="H32" s="503">
        <f>Gen!D37</f>
        <v>43890.77</v>
      </c>
      <c r="I32" s="505">
        <f>Gen!F37</f>
        <v>0</v>
      </c>
      <c r="J32" s="142">
        <f>Gen!T37</f>
        <v>0</v>
      </c>
      <c r="K32" s="142">
        <f>Gen!AK37</f>
        <v>0</v>
      </c>
      <c r="L32" s="142">
        <f t="shared" si="1"/>
        <v>0</v>
      </c>
      <c r="M32" s="535">
        <f>'Water-Meter'!K72</f>
        <v>0</v>
      </c>
      <c r="N32" s="203">
        <f>'Water-Meter'!E32</f>
        <v>0</v>
      </c>
      <c r="O32" s="214"/>
      <c r="P32" s="452"/>
      <c r="Q32" s="506">
        <f t="shared" si="2"/>
        <v>0</v>
      </c>
      <c r="R32" s="507">
        <f t="shared" si="5"/>
        <v>0</v>
      </c>
      <c r="S32" s="452"/>
      <c r="T32" s="575"/>
      <c r="U32" s="506">
        <f t="shared" si="6"/>
        <v>0</v>
      </c>
      <c r="V32" s="508">
        <f t="shared" si="18"/>
        <v>0</v>
      </c>
      <c r="W32" s="452"/>
      <c r="X32" s="573"/>
      <c r="Y32" s="506">
        <f t="shared" si="8"/>
        <v>0</v>
      </c>
      <c r="Z32" s="508">
        <f t="shared" si="9"/>
        <v>0</v>
      </c>
      <c r="AA32" s="508">
        <f t="shared" si="10"/>
        <v>0</v>
      </c>
      <c r="AB32" s="574"/>
      <c r="AC32" s="138">
        <f t="shared" si="19"/>
        <v>0</v>
      </c>
      <c r="AD32" s="452"/>
      <c r="AE32" s="221">
        <f t="shared" si="15"/>
        <v>0</v>
      </c>
      <c r="AF32" s="317">
        <f>'Lpg (2)'!B36*2000/85</f>
        <v>0</v>
      </c>
      <c r="AG32" s="318">
        <f>'Lpg (2)'!C36*1000/85</f>
        <v>0</v>
      </c>
      <c r="AH32" s="319">
        <f>'Lpg (2)'!D36*1000/85</f>
        <v>0</v>
      </c>
      <c r="AI32" s="511">
        <f t="shared" si="17"/>
        <v>0</v>
      </c>
      <c r="AJ32" s="510">
        <f t="shared" si="4"/>
        <v>0</v>
      </c>
      <c r="AK32" s="144"/>
    </row>
    <row r="33" spans="1:37" ht="19.5" thickBot="1">
      <c r="A33" s="95">
        <f>Gen!B38</f>
        <v>43979</v>
      </c>
      <c r="B33" s="501">
        <f>'Summery Report'!E32</f>
        <v>0</v>
      </c>
      <c r="C33" s="158">
        <f>Gen!C38</f>
        <v>0</v>
      </c>
      <c r="D33" s="502">
        <f>'Summery Report'!E32</f>
        <v>0</v>
      </c>
      <c r="E33" s="503">
        <f t="shared" si="13"/>
        <v>1.3262195121951219</v>
      </c>
      <c r="F33" s="504" t="e">
        <f t="shared" si="14"/>
        <v>#DIV/0!</v>
      </c>
      <c r="G33" s="504" t="e">
        <f t="shared" si="0"/>
        <v>#DIV/0!</v>
      </c>
      <c r="H33" s="503">
        <f>Gen!D38</f>
        <v>43890.77</v>
      </c>
      <c r="I33" s="505">
        <f>Gen!F38</f>
        <v>0</v>
      </c>
      <c r="J33" s="142">
        <f>Gen!T38</f>
        <v>0</v>
      </c>
      <c r="K33" s="142">
        <f>Gen!AK38</f>
        <v>0</v>
      </c>
      <c r="L33" s="142">
        <f t="shared" si="1"/>
        <v>0</v>
      </c>
      <c r="M33" s="535">
        <f>'Water-Meter'!K73</f>
        <v>0</v>
      </c>
      <c r="N33" s="203">
        <f>'Water-Meter'!E33</f>
        <v>0</v>
      </c>
      <c r="O33" s="214"/>
      <c r="P33" s="452"/>
      <c r="Q33" s="506">
        <f t="shared" si="2"/>
        <v>0</v>
      </c>
      <c r="R33" s="507">
        <f t="shared" si="5"/>
        <v>0</v>
      </c>
      <c r="S33" s="452"/>
      <c r="T33" s="575"/>
      <c r="U33" s="506">
        <f t="shared" si="6"/>
        <v>0</v>
      </c>
      <c r="V33" s="508">
        <f t="shared" si="18"/>
        <v>0</v>
      </c>
      <c r="W33" s="452"/>
      <c r="X33" s="573"/>
      <c r="Y33" s="506">
        <f t="shared" si="8"/>
        <v>0</v>
      </c>
      <c r="Z33" s="508">
        <f t="shared" si="9"/>
        <v>0</v>
      </c>
      <c r="AA33" s="508">
        <f t="shared" si="10"/>
        <v>0</v>
      </c>
      <c r="AB33" s="574"/>
      <c r="AC33" s="138">
        <f t="shared" si="19"/>
        <v>0</v>
      </c>
      <c r="AD33" s="452"/>
      <c r="AE33" s="221">
        <f t="shared" si="15"/>
        <v>0</v>
      </c>
      <c r="AF33" s="317">
        <f>'Lpg (2)'!B37*2000/85</f>
        <v>0</v>
      </c>
      <c r="AG33" s="318">
        <f>'Lpg (2)'!C37*1000/85</f>
        <v>0</v>
      </c>
      <c r="AH33" s="319">
        <f>'Lpg (2)'!D37*1000/85</f>
        <v>0</v>
      </c>
      <c r="AI33" s="511">
        <f t="shared" si="17"/>
        <v>0</v>
      </c>
      <c r="AJ33" s="510">
        <f t="shared" si="4"/>
        <v>0</v>
      </c>
      <c r="AK33" s="144"/>
    </row>
    <row r="34" spans="1:37" ht="19.5" thickBot="1">
      <c r="A34" s="95">
        <f>Gen!B39</f>
        <v>43980</v>
      </c>
      <c r="B34" s="501">
        <f>'Summery Report'!E33</f>
        <v>0</v>
      </c>
      <c r="C34" s="158">
        <f>Gen!C39</f>
        <v>0</v>
      </c>
      <c r="D34" s="502">
        <f>'Summery Report'!E33</f>
        <v>0</v>
      </c>
      <c r="E34" s="503">
        <f t="shared" si="13"/>
        <v>1.3262195121951219</v>
      </c>
      <c r="F34" s="504" t="e">
        <f t="shared" si="14"/>
        <v>#DIV/0!</v>
      </c>
      <c r="G34" s="504" t="e">
        <f t="shared" si="0"/>
        <v>#DIV/0!</v>
      </c>
      <c r="H34" s="503">
        <f>Gen!D39</f>
        <v>43890.77</v>
      </c>
      <c r="I34" s="505">
        <f>Gen!F39</f>
        <v>0</v>
      </c>
      <c r="J34" s="142">
        <f>Gen!T39</f>
        <v>0</v>
      </c>
      <c r="K34" s="142">
        <f>Gen!AK39</f>
        <v>0</v>
      </c>
      <c r="L34" s="142">
        <f t="shared" si="1"/>
        <v>0</v>
      </c>
      <c r="M34" s="535">
        <f>'Water-Meter'!K74</f>
        <v>0</v>
      </c>
      <c r="N34" s="203">
        <f>'Water-Meter'!E34</f>
        <v>0</v>
      </c>
      <c r="O34" s="214"/>
      <c r="P34" s="452"/>
      <c r="Q34" s="506">
        <f t="shared" si="2"/>
        <v>0</v>
      </c>
      <c r="R34" s="507">
        <f t="shared" si="5"/>
        <v>0</v>
      </c>
      <c r="S34" s="452"/>
      <c r="T34" s="575"/>
      <c r="U34" s="506">
        <f t="shared" si="6"/>
        <v>0</v>
      </c>
      <c r="V34" s="508">
        <f t="shared" si="18"/>
        <v>0</v>
      </c>
      <c r="W34" s="452"/>
      <c r="X34" s="573"/>
      <c r="Y34" s="506">
        <f t="shared" si="8"/>
        <v>0</v>
      </c>
      <c r="Z34" s="508">
        <f t="shared" si="9"/>
        <v>0</v>
      </c>
      <c r="AA34" s="508">
        <f t="shared" si="10"/>
        <v>0</v>
      </c>
      <c r="AB34" s="574"/>
      <c r="AC34" s="138">
        <f t="shared" si="19"/>
        <v>0</v>
      </c>
      <c r="AD34" s="452"/>
      <c r="AE34" s="221">
        <f t="shared" si="15"/>
        <v>0</v>
      </c>
      <c r="AF34" s="317">
        <f>'Lpg (2)'!B38*2000/85</f>
        <v>0</v>
      </c>
      <c r="AG34" s="318">
        <f>'Lpg (2)'!C38*1000/85</f>
        <v>0</v>
      </c>
      <c r="AH34" s="319">
        <f>'Lpg (2)'!D38*1000/85</f>
        <v>0</v>
      </c>
      <c r="AI34" s="511">
        <f t="shared" si="17"/>
        <v>0</v>
      </c>
      <c r="AJ34" s="510">
        <f t="shared" si="4"/>
        <v>0</v>
      </c>
      <c r="AK34" s="144"/>
    </row>
    <row r="35" spans="1:37" ht="19.5" thickBot="1">
      <c r="A35" s="95">
        <f>Gen!B40</f>
        <v>43981</v>
      </c>
      <c r="B35" s="501">
        <f>'Summery Report'!E34</f>
        <v>0</v>
      </c>
      <c r="C35" s="158">
        <f>Gen!C40</f>
        <v>0</v>
      </c>
      <c r="D35" s="502">
        <f>'Summery Report'!E34</f>
        <v>0</v>
      </c>
      <c r="E35" s="503">
        <f t="shared" si="13"/>
        <v>1.3262195121951219</v>
      </c>
      <c r="F35" s="504" t="e">
        <f t="shared" si="14"/>
        <v>#DIV/0!</v>
      </c>
      <c r="G35" s="504" t="e">
        <f t="shared" si="0"/>
        <v>#DIV/0!</v>
      </c>
      <c r="H35" s="503">
        <f>Gen!D40</f>
        <v>43890.77</v>
      </c>
      <c r="I35" s="505">
        <f>Gen!F40</f>
        <v>15000</v>
      </c>
      <c r="J35" s="142">
        <f>Gen!T40</f>
        <v>0</v>
      </c>
      <c r="K35" s="142">
        <f>Gen!AK40</f>
        <v>0</v>
      </c>
      <c r="L35" s="142">
        <f t="shared" si="1"/>
        <v>0</v>
      </c>
      <c r="M35" s="535">
        <f>'Water-Meter'!K75</f>
        <v>0</v>
      </c>
      <c r="N35" s="203">
        <f>'Water-Meter'!E35</f>
        <v>0</v>
      </c>
      <c r="O35" s="214"/>
      <c r="P35" s="452"/>
      <c r="Q35" s="506">
        <f t="shared" si="2"/>
        <v>0</v>
      </c>
      <c r="R35" s="507">
        <f t="shared" si="5"/>
        <v>0</v>
      </c>
      <c r="S35" s="452"/>
      <c r="T35" s="575"/>
      <c r="U35" s="506">
        <f t="shared" si="6"/>
        <v>0</v>
      </c>
      <c r="V35" s="508">
        <f t="shared" si="18"/>
        <v>0</v>
      </c>
      <c r="W35" s="452"/>
      <c r="X35" s="573"/>
      <c r="Y35" s="506">
        <f t="shared" si="8"/>
        <v>0</v>
      </c>
      <c r="Z35" s="508">
        <f t="shared" si="9"/>
        <v>0</v>
      </c>
      <c r="AA35" s="508">
        <f t="shared" si="10"/>
        <v>0</v>
      </c>
      <c r="AB35" s="574"/>
      <c r="AC35" s="138">
        <f t="shared" si="19"/>
        <v>0</v>
      </c>
      <c r="AD35" s="452"/>
      <c r="AE35" s="221">
        <f t="shared" si="15"/>
        <v>0</v>
      </c>
      <c r="AF35" s="317">
        <f>'Lpg (2)'!B39*2000/85</f>
        <v>0</v>
      </c>
      <c r="AG35" s="318">
        <f>'Lpg (2)'!C39*1000/85</f>
        <v>0</v>
      </c>
      <c r="AH35" s="319">
        <f>'Lpg (2)'!D39*1000/85</f>
        <v>0</v>
      </c>
      <c r="AI35" s="511">
        <f t="shared" si="17"/>
        <v>0</v>
      </c>
      <c r="AJ35" s="510">
        <f t="shared" si="4"/>
        <v>0</v>
      </c>
      <c r="AK35" s="146"/>
    </row>
    <row r="36" spans="1:37" ht="19.5" thickBot="1">
      <c r="A36" s="95">
        <f>Gen!B41</f>
        <v>43982</v>
      </c>
      <c r="B36" s="501">
        <f>'Summery Report'!E35</f>
        <v>0</v>
      </c>
      <c r="C36" s="158">
        <f>Gen!C41</f>
        <v>0</v>
      </c>
      <c r="D36" s="502">
        <f>'Summery Report'!E35</f>
        <v>0</v>
      </c>
      <c r="E36" s="503">
        <f t="shared" si="13"/>
        <v>1.3262195121951219</v>
      </c>
      <c r="F36" s="504" t="e">
        <f t="shared" si="14"/>
        <v>#DIV/0!</v>
      </c>
      <c r="G36" s="504" t="e">
        <f t="shared" si="0"/>
        <v>#DIV/0!</v>
      </c>
      <c r="H36" s="503">
        <f>Gen!D41</f>
        <v>43890.77</v>
      </c>
      <c r="I36" s="505">
        <f>Gen!F41</f>
        <v>0</v>
      </c>
      <c r="J36" s="142">
        <f>Gen!T41</f>
        <v>0</v>
      </c>
      <c r="K36" s="142">
        <f>Gen!AK41</f>
        <v>0</v>
      </c>
      <c r="L36" s="142">
        <f t="shared" si="1"/>
        <v>0</v>
      </c>
      <c r="M36" s="535">
        <f>'Water-Meter'!K76</f>
        <v>0</v>
      </c>
      <c r="N36" s="203">
        <f>'Water-Meter'!E36</f>
        <v>0</v>
      </c>
      <c r="O36" s="214"/>
      <c r="P36" s="452"/>
      <c r="Q36" s="506">
        <f t="shared" si="2"/>
        <v>0</v>
      </c>
      <c r="R36" s="507">
        <f t="shared" si="5"/>
        <v>0</v>
      </c>
      <c r="S36" s="452"/>
      <c r="T36" s="575"/>
      <c r="U36" s="506">
        <f t="shared" si="6"/>
        <v>0</v>
      </c>
      <c r="V36" s="508">
        <f t="shared" si="18"/>
        <v>0</v>
      </c>
      <c r="W36" s="452"/>
      <c r="X36" s="573"/>
      <c r="Y36" s="506">
        <f t="shared" si="8"/>
        <v>0</v>
      </c>
      <c r="Z36" s="508">
        <f t="shared" si="9"/>
        <v>0</v>
      </c>
      <c r="AA36" s="508">
        <f t="shared" si="10"/>
        <v>0</v>
      </c>
      <c r="AB36" s="574"/>
      <c r="AC36" s="138">
        <f t="shared" si="19"/>
        <v>0</v>
      </c>
      <c r="AD36" s="452"/>
      <c r="AE36" s="221">
        <f t="shared" si="15"/>
        <v>0</v>
      </c>
      <c r="AF36" s="317">
        <f>'Lpg (2)'!B40*2000/85</f>
        <v>0</v>
      </c>
      <c r="AG36" s="318">
        <f>'Lpg (2)'!C40*1000/85</f>
        <v>0</v>
      </c>
      <c r="AH36" s="319">
        <f>'Lpg (2)'!D40*1000/85</f>
        <v>0</v>
      </c>
      <c r="AI36" s="512">
        <f>SUM(AF36*1000)+(AG36*1000)+(AH36*2000)</f>
        <v>0</v>
      </c>
      <c r="AJ36" s="513">
        <f t="shared" si="4"/>
        <v>0</v>
      </c>
      <c r="AK36" s="146"/>
    </row>
    <row r="37" spans="1:37" s="9" customFormat="1" ht="15.75" thickBot="1">
      <c r="A37" s="95">
        <f>Gen!B42</f>
        <v>43983</v>
      </c>
      <c r="B37" s="161">
        <v>0</v>
      </c>
      <c r="C37" s="162"/>
      <c r="D37" s="162"/>
      <c r="E37" s="162"/>
      <c r="F37" s="162"/>
      <c r="G37" s="162"/>
      <c r="H37" s="163"/>
      <c r="I37" s="164"/>
      <c r="J37" s="165">
        <f>SUM(J6:J36)</f>
        <v>9233.52</v>
      </c>
      <c r="K37" s="165"/>
      <c r="L37" s="142">
        <f t="shared" si="1"/>
        <v>9233.52</v>
      </c>
      <c r="M37" s="166"/>
      <c r="N37" s="203">
        <f>'Water-Meter'!E37</f>
        <v>0</v>
      </c>
      <c r="O37" s="166"/>
      <c r="P37" s="166"/>
      <c r="Q37" s="166"/>
      <c r="R37" s="166"/>
      <c r="S37" s="166"/>
      <c r="T37" s="166"/>
      <c r="U37" s="336"/>
      <c r="V37" s="166"/>
      <c r="W37" s="166"/>
      <c r="X37" s="166"/>
      <c r="Y37" s="166"/>
      <c r="Z37" s="166"/>
      <c r="AA37" s="514"/>
      <c r="AB37" s="167"/>
      <c r="AC37" s="138">
        <f t="shared" si="19"/>
        <v>0</v>
      </c>
      <c r="AD37" s="214"/>
      <c r="AE37" s="221">
        <f t="shared" si="15"/>
        <v>0</v>
      </c>
      <c r="AF37" s="166"/>
      <c r="AG37" s="166"/>
      <c r="AH37" s="166"/>
      <c r="AI37" s="163"/>
      <c r="AJ37" s="168" t="e">
        <f>SUM(AJ6:AJ36)</f>
        <v>#REF!</v>
      </c>
      <c r="AK37" s="169">
        <f>SUM(AK6:AK36)</f>
        <v>0</v>
      </c>
    </row>
    <row r="38" spans="1:37" s="75" customFormat="1">
      <c r="A38" s="332"/>
      <c r="B38" s="333"/>
      <c r="C38" s="334"/>
      <c r="D38" s="334"/>
      <c r="E38" s="334"/>
      <c r="F38" s="334"/>
      <c r="G38" s="334"/>
      <c r="H38" s="333"/>
      <c r="I38" s="333"/>
      <c r="J38" s="335"/>
      <c r="K38" s="335"/>
      <c r="L38" s="335"/>
      <c r="M38" s="336"/>
      <c r="N38" s="336"/>
      <c r="O38" s="336"/>
      <c r="P38" s="336"/>
      <c r="Q38" s="336"/>
      <c r="R38" s="336"/>
      <c r="S38" s="336"/>
      <c r="T38" s="336"/>
      <c r="U38" s="336"/>
      <c r="V38" s="336"/>
      <c r="W38" s="336"/>
      <c r="X38" s="159"/>
      <c r="Y38" s="159"/>
      <c r="Z38" s="159"/>
      <c r="AA38" s="139"/>
      <c r="AB38" s="139"/>
      <c r="AC38" s="160"/>
      <c r="AD38" s="139"/>
      <c r="AE38" s="160"/>
      <c r="AF38" s="159"/>
      <c r="AG38" s="159"/>
      <c r="AH38" s="159"/>
      <c r="AI38" s="139"/>
      <c r="AJ38" s="139"/>
      <c r="AK38" s="159"/>
    </row>
    <row r="39" spans="1:37">
      <c r="C39" s="140"/>
      <c r="J39" s="140"/>
      <c r="X39" s="140"/>
      <c r="AF39" s="140"/>
      <c r="AH39" s="139"/>
    </row>
    <row r="40" spans="1:37" ht="30.75" customHeight="1">
      <c r="C40" s="140"/>
      <c r="J40" s="140"/>
      <c r="X40" s="140"/>
    </row>
    <row r="41" spans="1:37">
      <c r="C41" s="140"/>
      <c r="J41" s="140"/>
    </row>
    <row r="42" spans="1:37">
      <c r="C42" s="140"/>
      <c r="J42" s="140"/>
    </row>
    <row r="43" spans="1:37" ht="15">
      <c r="C43" s="140"/>
      <c r="J43" s="140"/>
      <c r="X43" s="515"/>
    </row>
    <row r="44" spans="1:37" ht="15">
      <c r="C44" s="140"/>
      <c r="J44" s="140"/>
      <c r="X44" s="516"/>
    </row>
    <row r="45" spans="1:37" ht="15">
      <c r="C45" s="140"/>
      <c r="J45" s="140"/>
      <c r="X45" s="515"/>
    </row>
    <row r="46" spans="1:37" ht="15">
      <c r="C46" s="140"/>
      <c r="J46" s="140"/>
      <c r="X46" s="516"/>
    </row>
    <row r="47" spans="1:37">
      <c r="C47" s="140"/>
      <c r="J47" s="140"/>
    </row>
    <row r="48" spans="1:37">
      <c r="C48" s="140"/>
      <c r="J48" s="140"/>
    </row>
    <row r="49" spans="3:10">
      <c r="C49" s="140"/>
      <c r="J49" s="140"/>
    </row>
    <row r="50" spans="3:10">
      <c r="C50" s="140"/>
      <c r="J50" s="140"/>
    </row>
    <row r="51" spans="3:10">
      <c r="C51" s="140"/>
      <c r="J51" s="140"/>
    </row>
    <row r="52" spans="3:10">
      <c r="C52" s="140"/>
      <c r="J52" s="140"/>
    </row>
    <row r="53" spans="3:10">
      <c r="C53" s="140"/>
      <c r="J53" s="140"/>
    </row>
    <row r="54" spans="3:10">
      <c r="C54" s="140"/>
      <c r="J54" s="140"/>
    </row>
    <row r="55" spans="3:10">
      <c r="C55" s="140"/>
      <c r="J55" s="140"/>
    </row>
    <row r="56" spans="3:10">
      <c r="C56" s="140"/>
      <c r="J56" s="140"/>
    </row>
    <row r="57" spans="3:10">
      <c r="C57" s="140"/>
      <c r="J57" s="140"/>
    </row>
    <row r="58" spans="3:10">
      <c r="C58" s="140"/>
      <c r="J58" s="140"/>
    </row>
    <row r="59" spans="3:10">
      <c r="C59" s="140"/>
      <c r="J59" s="140"/>
    </row>
    <row r="60" spans="3:10">
      <c r="C60" s="140"/>
      <c r="J60" s="140"/>
    </row>
    <row r="61" spans="3:10">
      <c r="C61" s="140"/>
      <c r="J61" s="140"/>
    </row>
    <row r="62" spans="3:10">
      <c r="C62" s="140"/>
      <c r="J62" s="140"/>
    </row>
    <row r="63" spans="3:10">
      <c r="C63" s="140"/>
      <c r="J63" s="140"/>
    </row>
    <row r="64" spans="3:10">
      <c r="C64" s="140"/>
      <c r="J64" s="140"/>
    </row>
    <row r="65" spans="3:24">
      <c r="C65" s="140"/>
      <c r="J65" s="140"/>
    </row>
    <row r="66" spans="3:24" ht="15">
      <c r="C66" s="140"/>
      <c r="J66" s="140"/>
      <c r="X66" s="517"/>
    </row>
    <row r="67" spans="3:24" ht="15">
      <c r="C67" s="140"/>
      <c r="J67" s="140"/>
      <c r="X67" s="518"/>
    </row>
    <row r="68" spans="3:24" ht="15">
      <c r="C68" s="140"/>
      <c r="J68" s="140"/>
      <c r="X68" s="518"/>
    </row>
    <row r="69" spans="3:24" ht="15">
      <c r="C69" s="140"/>
      <c r="J69" s="140"/>
      <c r="X69" s="518"/>
    </row>
    <row r="70" spans="3:24" ht="15">
      <c r="C70" s="140"/>
      <c r="J70" s="140"/>
      <c r="X70" s="518"/>
    </row>
    <row r="71" spans="3:24" ht="15">
      <c r="C71" s="140"/>
      <c r="J71" s="140"/>
      <c r="X71" s="518"/>
    </row>
    <row r="72" spans="3:24">
      <c r="C72" s="140"/>
      <c r="J72" s="140"/>
      <c r="X72" s="20"/>
    </row>
    <row r="73" spans="3:24">
      <c r="C73" s="140"/>
      <c r="J73" s="140"/>
      <c r="X73" s="20"/>
    </row>
    <row r="74" spans="3:24">
      <c r="C74" s="140"/>
      <c r="J74" s="140"/>
    </row>
  </sheetData>
  <mergeCells count="11">
    <mergeCell ref="O3:R3"/>
    <mergeCell ref="S3:V3"/>
    <mergeCell ref="W3:Z3"/>
    <mergeCell ref="O2:Z2"/>
    <mergeCell ref="A1:AK1"/>
    <mergeCell ref="B2:D2"/>
    <mergeCell ref="F3:G3"/>
    <mergeCell ref="AB2:AC2"/>
    <mergeCell ref="N2:N4"/>
    <mergeCell ref="J2:J4"/>
    <mergeCell ref="L2:L4"/>
  </mergeCells>
  <pageMargins left="0.7" right="0.7" top="0.75" bottom="0.75" header="0.3" footer="0.3"/>
  <pageSetup paperSize="9" scale="35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>
  <sheetPr>
    <pageSetUpPr fitToPage="1"/>
  </sheetPr>
  <dimension ref="A1:AC53"/>
  <sheetViews>
    <sheetView zoomScale="70" zoomScaleNormal="70" workbookViewId="0">
      <selection activeCell="E21" sqref="E21"/>
    </sheetView>
  </sheetViews>
  <sheetFormatPr defaultRowHeight="12.75"/>
  <cols>
    <col min="1" max="1" width="9.140625" style="51" customWidth="1"/>
    <col min="2" max="2" width="14.28515625" bestFit="1" customWidth="1"/>
    <col min="3" max="3" width="9.140625" hidden="1" customWidth="1"/>
    <col min="4" max="4" width="12.5703125" customWidth="1"/>
    <col min="5" max="5" width="13.28515625" customWidth="1"/>
    <col min="6" max="6" width="12.5703125" customWidth="1"/>
    <col min="7" max="7" width="6.28515625" hidden="1" customWidth="1"/>
    <col min="8" max="8" width="14.28515625" bestFit="1" customWidth="1"/>
    <col min="9" max="9" width="9.140625" hidden="1" customWidth="1"/>
    <col min="10" max="10" width="10.85546875" customWidth="1"/>
    <col min="11" max="11" width="13" customWidth="1"/>
    <col min="12" max="12" width="12" customWidth="1"/>
    <col min="13" max="13" width="15" customWidth="1"/>
    <col min="14" max="14" width="10.28515625" customWidth="1"/>
    <col min="15" max="15" width="11.5703125" customWidth="1"/>
    <col min="16" max="16" width="12.7109375" customWidth="1"/>
    <col min="17" max="17" width="12.28515625" customWidth="1"/>
    <col min="18" max="18" width="16.5703125" customWidth="1"/>
    <col min="19" max="19" width="12.5703125" style="16" customWidth="1"/>
    <col min="20" max="20" width="14.28515625" bestFit="1" customWidth="1"/>
    <col min="21" max="21" width="9.140625" hidden="1" customWidth="1"/>
    <col min="22" max="22" width="13" customWidth="1"/>
    <col min="23" max="23" width="11.85546875" customWidth="1"/>
    <col min="24" max="24" width="13.5703125" customWidth="1"/>
    <col min="25" max="25" width="14.28515625" bestFit="1" customWidth="1"/>
    <col min="26" max="26" width="9.140625" hidden="1" customWidth="1"/>
    <col min="27" max="27" width="12.7109375" customWidth="1"/>
    <col min="28" max="28" width="14.85546875" customWidth="1"/>
    <col min="29" max="29" width="11.140625" customWidth="1"/>
  </cols>
  <sheetData>
    <row r="1" spans="1:29" ht="19.5" customHeight="1" thickBot="1">
      <c r="B1" s="814" t="s">
        <v>150</v>
      </c>
      <c r="C1" s="815"/>
      <c r="D1" s="815"/>
      <c r="E1" s="815"/>
      <c r="F1" s="816"/>
      <c r="G1" s="189"/>
      <c r="H1" s="814" t="s">
        <v>151</v>
      </c>
      <c r="I1" s="815"/>
      <c r="J1" s="815"/>
      <c r="K1" s="815"/>
      <c r="L1" s="816"/>
      <c r="M1" s="814" t="s">
        <v>170</v>
      </c>
      <c r="N1" s="815"/>
      <c r="O1" s="815"/>
      <c r="P1" s="815"/>
      <c r="Q1" s="816"/>
      <c r="R1" s="189"/>
      <c r="T1" s="814" t="s">
        <v>166</v>
      </c>
      <c r="U1" s="815"/>
      <c r="V1" s="815"/>
      <c r="W1" s="815"/>
      <c r="X1" s="816"/>
      <c r="Y1" s="814" t="s">
        <v>169</v>
      </c>
      <c r="Z1" s="815"/>
      <c r="AA1" s="815"/>
      <c r="AB1" s="815"/>
      <c r="AC1" s="816"/>
    </row>
    <row r="2" spans="1:29" ht="45.75" thickBot="1">
      <c r="A2" s="733" t="s">
        <v>24</v>
      </c>
      <c r="B2" s="190" t="s">
        <v>152</v>
      </c>
      <c r="C2" s="191" t="s">
        <v>153</v>
      </c>
      <c r="D2" s="192" t="s">
        <v>154</v>
      </c>
      <c r="E2" s="192" t="s">
        <v>155</v>
      </c>
      <c r="F2" s="193" t="s">
        <v>159</v>
      </c>
      <c r="G2" s="194"/>
      <c r="H2" s="190" t="s">
        <v>152</v>
      </c>
      <c r="I2" s="191" t="s">
        <v>153</v>
      </c>
      <c r="J2" s="192" t="s">
        <v>163</v>
      </c>
      <c r="K2" s="192" t="s">
        <v>162</v>
      </c>
      <c r="L2" s="199" t="s">
        <v>160</v>
      </c>
      <c r="M2" s="190" t="s">
        <v>152</v>
      </c>
      <c r="N2" s="191" t="s">
        <v>153</v>
      </c>
      <c r="O2" s="192" t="s">
        <v>163</v>
      </c>
      <c r="P2" s="192" t="s">
        <v>162</v>
      </c>
      <c r="Q2" s="199" t="s">
        <v>160</v>
      </c>
      <c r="R2" s="404" t="s">
        <v>161</v>
      </c>
      <c r="S2" s="768" t="s">
        <v>158</v>
      </c>
      <c r="T2" s="190" t="s">
        <v>152</v>
      </c>
      <c r="U2" s="191" t="s">
        <v>153</v>
      </c>
      <c r="V2" s="192" t="s">
        <v>168</v>
      </c>
      <c r="W2" s="192" t="s">
        <v>167</v>
      </c>
      <c r="X2" s="193" t="s">
        <v>159</v>
      </c>
      <c r="Y2" s="190" t="s">
        <v>152</v>
      </c>
      <c r="Z2" s="191" t="s">
        <v>153</v>
      </c>
      <c r="AA2" s="192" t="s">
        <v>163</v>
      </c>
      <c r="AB2" s="192" t="s">
        <v>162</v>
      </c>
      <c r="AC2" s="193" t="s">
        <v>160</v>
      </c>
    </row>
    <row r="3" spans="1:29" ht="31.5" customHeight="1" thickBot="1">
      <c r="A3" s="734">
        <v>43770</v>
      </c>
      <c r="B3" s="817" t="s">
        <v>156</v>
      </c>
      <c r="C3" s="818"/>
      <c r="D3" s="198"/>
      <c r="E3" s="735">
        <v>8666.6</v>
      </c>
      <c r="F3" s="736" t="s">
        <v>157</v>
      </c>
      <c r="G3" s="737"/>
      <c r="H3" s="817" t="s">
        <v>156</v>
      </c>
      <c r="I3" s="818"/>
      <c r="J3" s="290"/>
      <c r="K3" s="738">
        <f>'Water-Meter'!G5</f>
        <v>38000</v>
      </c>
      <c r="L3" s="290"/>
      <c r="M3" s="817" t="s">
        <v>156</v>
      </c>
      <c r="N3" s="818"/>
      <c r="O3" s="198"/>
      <c r="P3" s="739">
        <f>'Water-Meter'!J5</f>
        <v>7903</v>
      </c>
      <c r="Q3" s="197"/>
      <c r="R3" s="724"/>
      <c r="S3" s="725"/>
      <c r="T3" s="817" t="s">
        <v>156</v>
      </c>
      <c r="U3" s="818"/>
      <c r="V3" s="198"/>
      <c r="W3" s="740">
        <v>7804.5</v>
      </c>
      <c r="X3" s="741">
        <f t="shared" ref="X3:X35" si="0">(W3-V3)*200</f>
        <v>1560900</v>
      </c>
      <c r="Y3" s="817" t="s">
        <v>156</v>
      </c>
      <c r="Z3" s="818"/>
      <c r="AA3" s="198"/>
      <c r="AB3" s="201">
        <f>'Water-Meter'!P5</f>
        <v>20131</v>
      </c>
      <c r="AC3" s="202"/>
    </row>
    <row r="4" spans="1:29" ht="18.75">
      <c r="A4" s="742">
        <f>Gen!C11</f>
        <v>0</v>
      </c>
      <c r="B4" s="746">
        <f>Gen!B11</f>
        <v>43952</v>
      </c>
      <c r="C4" s="747"/>
      <c r="D4" s="748">
        <f t="shared" ref="D4:D23" si="1">E3</f>
        <v>8666.6</v>
      </c>
      <c r="E4" s="749">
        <v>8667.5</v>
      </c>
      <c r="F4" s="748">
        <f t="shared" ref="F4:F15" si="2">SUM(E4-D4)*120</f>
        <v>107.99999999995634</v>
      </c>
      <c r="G4" s="747"/>
      <c r="H4" s="750">
        <f>B4</f>
        <v>43952</v>
      </c>
      <c r="I4" s="775"/>
      <c r="J4" s="747">
        <f t="shared" ref="J4:J30" si="3">SUM(K3)</f>
        <v>38000</v>
      </c>
      <c r="K4" s="776">
        <f>'Water-Meter'!G6</f>
        <v>38000</v>
      </c>
      <c r="L4" s="777">
        <f t="shared" ref="L4:L34" si="4">SUM(K4-J4)</f>
        <v>0</v>
      </c>
      <c r="M4" s="759">
        <f>H4</f>
        <v>43952</v>
      </c>
      <c r="N4" s="747"/>
      <c r="O4" s="747">
        <f t="shared" ref="O4:O33" si="5">SUM(P3)</f>
        <v>7903</v>
      </c>
      <c r="P4" s="760">
        <f>'Water-Meter'!J6</f>
        <v>7904</v>
      </c>
      <c r="Q4" s="777">
        <f t="shared" ref="Q4:Q34" si="6">SUM(P4-O4)</f>
        <v>1</v>
      </c>
      <c r="R4" s="782">
        <f t="shared" ref="R4:R20" si="7">SUM(Q4/1615)</f>
        <v>6.1919504643962852E-4</v>
      </c>
      <c r="S4" s="783">
        <f>Gen!T11</f>
        <v>678.06999999999994</v>
      </c>
      <c r="T4" s="780">
        <f>M4</f>
        <v>43952</v>
      </c>
      <c r="U4" s="747"/>
      <c r="V4" s="748">
        <f t="shared" ref="V4:V33" si="8">W3</f>
        <v>7804.5</v>
      </c>
      <c r="W4" s="770">
        <v>7804.5</v>
      </c>
      <c r="X4" s="771">
        <f t="shared" si="0"/>
        <v>0</v>
      </c>
      <c r="Y4" s="759">
        <f>T4</f>
        <v>43952</v>
      </c>
      <c r="Z4" s="747"/>
      <c r="AA4" s="747">
        <v>3397.9</v>
      </c>
      <c r="AB4" s="760">
        <f>'Water-Meter'!P6</f>
        <v>20132</v>
      </c>
      <c r="AC4" s="761">
        <f t="shared" ref="AC4:AC34" si="9">SUM(AB4-AA4)</f>
        <v>16734.099999999999</v>
      </c>
    </row>
    <row r="5" spans="1:29" ht="18.75">
      <c r="A5" s="743">
        <f>Gen!C12</f>
        <v>0</v>
      </c>
      <c r="B5" s="751">
        <f>Gen!B12</f>
        <v>43953</v>
      </c>
      <c r="C5" s="726"/>
      <c r="D5" s="732">
        <f t="shared" si="1"/>
        <v>8667.5</v>
      </c>
      <c r="E5" s="727">
        <v>8668.4</v>
      </c>
      <c r="F5" s="732">
        <f t="shared" si="2"/>
        <v>107.99999999995634</v>
      </c>
      <c r="G5" s="726"/>
      <c r="H5" s="752">
        <f t="shared" ref="H5:H35" si="10">B5</f>
        <v>43953</v>
      </c>
      <c r="I5" s="744"/>
      <c r="J5" s="726">
        <f t="shared" si="3"/>
        <v>38000</v>
      </c>
      <c r="K5" s="731">
        <f>'Water-Meter'!G7</f>
        <v>38000</v>
      </c>
      <c r="L5" s="758">
        <f t="shared" si="4"/>
        <v>0</v>
      </c>
      <c r="M5" s="762">
        <f t="shared" ref="M5:M35" si="11">H5</f>
        <v>43953</v>
      </c>
      <c r="N5" s="726"/>
      <c r="O5" s="726">
        <f t="shared" si="5"/>
        <v>7904</v>
      </c>
      <c r="P5" s="730">
        <f>'Water-Meter'!J7</f>
        <v>7904</v>
      </c>
      <c r="Q5" s="758">
        <f t="shared" si="6"/>
        <v>0</v>
      </c>
      <c r="R5" s="784">
        <f t="shared" si="7"/>
        <v>0</v>
      </c>
      <c r="S5" s="785">
        <f>Gen!T12</f>
        <v>659.66</v>
      </c>
      <c r="T5" s="769">
        <f t="shared" ref="T5:T30" si="12">M5</f>
        <v>43953</v>
      </c>
      <c r="U5" s="726"/>
      <c r="V5" s="732">
        <f t="shared" si="8"/>
        <v>7804.5</v>
      </c>
      <c r="W5" s="728">
        <v>7804.6</v>
      </c>
      <c r="X5" s="772">
        <f t="shared" si="0"/>
        <v>20.00000000007276</v>
      </c>
      <c r="Y5" s="762">
        <f t="shared" ref="Y5:Y30" si="13">T5</f>
        <v>43953</v>
      </c>
      <c r="Z5" s="726"/>
      <c r="AA5" s="726">
        <f t="shared" ref="AA5:AA35" si="14">SUM(AB4)</f>
        <v>20132</v>
      </c>
      <c r="AB5" s="730">
        <f>'Water-Meter'!P7</f>
        <v>20133</v>
      </c>
      <c r="AC5" s="763">
        <f t="shared" si="9"/>
        <v>1</v>
      </c>
    </row>
    <row r="6" spans="1:29" ht="18.75">
      <c r="A6" s="743">
        <f>Gen!C13</f>
        <v>0</v>
      </c>
      <c r="B6" s="751">
        <f>Gen!B13</f>
        <v>43954</v>
      </c>
      <c r="C6" s="726"/>
      <c r="D6" s="732">
        <f t="shared" si="1"/>
        <v>8668.4</v>
      </c>
      <c r="E6" s="727">
        <v>8669.2000000000007</v>
      </c>
      <c r="F6" s="732">
        <f t="shared" si="2"/>
        <v>96.000000000130967</v>
      </c>
      <c r="G6" s="726"/>
      <c r="H6" s="752">
        <f t="shared" si="10"/>
        <v>43954</v>
      </c>
      <c r="I6" s="744"/>
      <c r="J6" s="726">
        <f t="shared" si="3"/>
        <v>38000</v>
      </c>
      <c r="K6" s="731">
        <f>'Water-Meter'!G8</f>
        <v>38000</v>
      </c>
      <c r="L6" s="758">
        <f t="shared" si="4"/>
        <v>0</v>
      </c>
      <c r="M6" s="762">
        <f t="shared" si="11"/>
        <v>43954</v>
      </c>
      <c r="N6" s="726"/>
      <c r="O6" s="726">
        <f t="shared" si="5"/>
        <v>7904</v>
      </c>
      <c r="P6" s="730">
        <f>'Water-Meter'!J8</f>
        <v>7905</v>
      </c>
      <c r="Q6" s="758">
        <f t="shared" si="6"/>
        <v>1</v>
      </c>
      <c r="R6" s="784">
        <f t="shared" si="7"/>
        <v>6.1919504643962852E-4</v>
      </c>
      <c r="S6" s="785">
        <f>Gen!T13</f>
        <v>659.29</v>
      </c>
      <c r="T6" s="769">
        <f t="shared" si="12"/>
        <v>43954</v>
      </c>
      <c r="U6" s="726"/>
      <c r="V6" s="732">
        <f t="shared" si="8"/>
        <v>7804.6</v>
      </c>
      <c r="W6" s="728">
        <v>7804.6</v>
      </c>
      <c r="X6" s="772">
        <f t="shared" si="0"/>
        <v>0</v>
      </c>
      <c r="Y6" s="762">
        <f t="shared" si="13"/>
        <v>43954</v>
      </c>
      <c r="Z6" s="726"/>
      <c r="AA6" s="726">
        <f t="shared" si="14"/>
        <v>20133</v>
      </c>
      <c r="AB6" s="730">
        <f>'Water-Meter'!P8</f>
        <v>20133</v>
      </c>
      <c r="AC6" s="763">
        <f t="shared" si="9"/>
        <v>0</v>
      </c>
    </row>
    <row r="7" spans="1:29" ht="18.75">
      <c r="A7" s="743">
        <f>Gen!C14</f>
        <v>0</v>
      </c>
      <c r="B7" s="751">
        <f>Gen!B14</f>
        <v>43955</v>
      </c>
      <c r="C7" s="726"/>
      <c r="D7" s="732">
        <f t="shared" si="1"/>
        <v>8669.2000000000007</v>
      </c>
      <c r="E7" s="727">
        <v>8670.1</v>
      </c>
      <c r="F7" s="732">
        <f t="shared" si="2"/>
        <v>107.99999999995634</v>
      </c>
      <c r="G7" s="726"/>
      <c r="H7" s="752">
        <f t="shared" si="10"/>
        <v>43955</v>
      </c>
      <c r="I7" s="744"/>
      <c r="J7" s="726">
        <f t="shared" si="3"/>
        <v>38000</v>
      </c>
      <c r="K7" s="731">
        <f>'Water-Meter'!G9</f>
        <v>38000</v>
      </c>
      <c r="L7" s="758">
        <f t="shared" si="4"/>
        <v>0</v>
      </c>
      <c r="M7" s="762">
        <f t="shared" si="11"/>
        <v>43955</v>
      </c>
      <c r="N7" s="726"/>
      <c r="O7" s="726">
        <f t="shared" si="5"/>
        <v>7905</v>
      </c>
      <c r="P7" s="730">
        <f>'Water-Meter'!J9</f>
        <v>7905</v>
      </c>
      <c r="Q7" s="758">
        <f t="shared" si="6"/>
        <v>0</v>
      </c>
      <c r="R7" s="784">
        <f t="shared" si="7"/>
        <v>0</v>
      </c>
      <c r="S7" s="785">
        <f>Gen!T14</f>
        <v>633.92999999999995</v>
      </c>
      <c r="T7" s="769">
        <f t="shared" si="12"/>
        <v>43955</v>
      </c>
      <c r="U7" s="726"/>
      <c r="V7" s="732">
        <f t="shared" si="8"/>
        <v>7804.6</v>
      </c>
      <c r="W7" s="728">
        <v>7804.7</v>
      </c>
      <c r="X7" s="772">
        <f t="shared" si="0"/>
        <v>19.999999999890861</v>
      </c>
      <c r="Y7" s="762">
        <f t="shared" si="13"/>
        <v>43955</v>
      </c>
      <c r="Z7" s="726"/>
      <c r="AA7" s="726">
        <f t="shared" si="14"/>
        <v>20133</v>
      </c>
      <c r="AB7" s="730">
        <f>'Water-Meter'!P9</f>
        <v>20134</v>
      </c>
      <c r="AC7" s="763">
        <f t="shared" si="9"/>
        <v>1</v>
      </c>
    </row>
    <row r="8" spans="1:29" ht="18.75">
      <c r="A8" s="743">
        <f>Gen!C15</f>
        <v>0</v>
      </c>
      <c r="B8" s="751">
        <f>Gen!B15</f>
        <v>43956</v>
      </c>
      <c r="C8" s="726"/>
      <c r="D8" s="732">
        <f t="shared" si="1"/>
        <v>8670.1</v>
      </c>
      <c r="E8" s="727">
        <v>8670.9</v>
      </c>
      <c r="F8" s="732">
        <f t="shared" si="2"/>
        <v>95.999999999912689</v>
      </c>
      <c r="G8" s="726"/>
      <c r="H8" s="752">
        <f t="shared" si="10"/>
        <v>43956</v>
      </c>
      <c r="I8" s="744"/>
      <c r="J8" s="726">
        <f t="shared" si="3"/>
        <v>38000</v>
      </c>
      <c r="K8" s="731">
        <f>'Water-Meter'!G10</f>
        <v>38000</v>
      </c>
      <c r="L8" s="758">
        <f t="shared" si="4"/>
        <v>0</v>
      </c>
      <c r="M8" s="762">
        <f t="shared" si="11"/>
        <v>43956</v>
      </c>
      <c r="N8" s="726"/>
      <c r="O8" s="726">
        <f t="shared" si="5"/>
        <v>7905</v>
      </c>
      <c r="P8" s="730">
        <f>'Water-Meter'!J10</f>
        <v>7906</v>
      </c>
      <c r="Q8" s="758">
        <f t="shared" si="6"/>
        <v>1</v>
      </c>
      <c r="R8" s="784">
        <f t="shared" si="7"/>
        <v>6.1919504643962852E-4</v>
      </c>
      <c r="S8" s="785">
        <f>Gen!T15</f>
        <v>646.24</v>
      </c>
      <c r="T8" s="769">
        <f t="shared" si="12"/>
        <v>43956</v>
      </c>
      <c r="U8" s="726"/>
      <c r="V8" s="732">
        <f t="shared" si="8"/>
        <v>7804.7</v>
      </c>
      <c r="W8" s="728">
        <v>7804.7</v>
      </c>
      <c r="X8" s="772">
        <f t="shared" si="0"/>
        <v>0</v>
      </c>
      <c r="Y8" s="762">
        <f t="shared" si="13"/>
        <v>43956</v>
      </c>
      <c r="Z8" s="726"/>
      <c r="AA8" s="726">
        <f t="shared" si="14"/>
        <v>20134</v>
      </c>
      <c r="AB8" s="730">
        <f>'Water-Meter'!P10</f>
        <v>20134</v>
      </c>
      <c r="AC8" s="763">
        <f t="shared" si="9"/>
        <v>0</v>
      </c>
    </row>
    <row r="9" spans="1:29" ht="18.75">
      <c r="A9" s="743">
        <f>Gen!C16</f>
        <v>0</v>
      </c>
      <c r="B9" s="751">
        <f>Gen!B16</f>
        <v>43957</v>
      </c>
      <c r="C9" s="726"/>
      <c r="D9" s="732">
        <f t="shared" si="1"/>
        <v>8670.9</v>
      </c>
      <c r="E9" s="727">
        <v>8671.6</v>
      </c>
      <c r="F9" s="732">
        <f t="shared" si="2"/>
        <v>84.000000000087311</v>
      </c>
      <c r="G9" s="726"/>
      <c r="H9" s="752">
        <f t="shared" si="10"/>
        <v>43957</v>
      </c>
      <c r="I9" s="744"/>
      <c r="J9" s="726">
        <f t="shared" si="3"/>
        <v>38000</v>
      </c>
      <c r="K9" s="731">
        <f>'Water-Meter'!G11</f>
        <v>38000</v>
      </c>
      <c r="L9" s="758">
        <f t="shared" si="4"/>
        <v>0</v>
      </c>
      <c r="M9" s="762">
        <f t="shared" si="11"/>
        <v>43957</v>
      </c>
      <c r="N9" s="726"/>
      <c r="O9" s="726">
        <f t="shared" si="5"/>
        <v>7906</v>
      </c>
      <c r="P9" s="730">
        <f>'Water-Meter'!J11</f>
        <v>7906</v>
      </c>
      <c r="Q9" s="758">
        <f t="shared" si="6"/>
        <v>0</v>
      </c>
      <c r="R9" s="784">
        <f t="shared" si="7"/>
        <v>0</v>
      </c>
      <c r="S9" s="785">
        <f>Gen!T16</f>
        <v>627.88</v>
      </c>
      <c r="T9" s="769">
        <f t="shared" si="12"/>
        <v>43957</v>
      </c>
      <c r="U9" s="726"/>
      <c r="V9" s="732">
        <f t="shared" si="8"/>
        <v>7804.7</v>
      </c>
      <c r="W9" s="728">
        <v>7804.8</v>
      </c>
      <c r="X9" s="772">
        <f t="shared" si="0"/>
        <v>20.00000000007276</v>
      </c>
      <c r="Y9" s="762">
        <f t="shared" si="13"/>
        <v>43957</v>
      </c>
      <c r="Z9" s="726"/>
      <c r="AA9" s="726">
        <f t="shared" si="14"/>
        <v>20134</v>
      </c>
      <c r="AB9" s="730">
        <f>'Water-Meter'!P11</f>
        <v>20135</v>
      </c>
      <c r="AC9" s="763">
        <f t="shared" si="9"/>
        <v>1</v>
      </c>
    </row>
    <row r="10" spans="1:29" ht="18.75">
      <c r="A10" s="743">
        <f>Gen!C17</f>
        <v>0</v>
      </c>
      <c r="B10" s="751">
        <f>Gen!B17</f>
        <v>43958</v>
      </c>
      <c r="C10" s="726"/>
      <c r="D10" s="732">
        <f t="shared" si="1"/>
        <v>8671.6</v>
      </c>
      <c r="E10" s="727">
        <v>8672.4</v>
      </c>
      <c r="F10" s="732">
        <f t="shared" si="2"/>
        <v>95.999999999912689</v>
      </c>
      <c r="G10" s="726"/>
      <c r="H10" s="752">
        <f t="shared" si="10"/>
        <v>43958</v>
      </c>
      <c r="I10" s="744"/>
      <c r="J10" s="726">
        <f t="shared" si="3"/>
        <v>38000</v>
      </c>
      <c r="K10" s="731">
        <f>'Water-Meter'!G12</f>
        <v>38000</v>
      </c>
      <c r="L10" s="758">
        <f t="shared" si="4"/>
        <v>0</v>
      </c>
      <c r="M10" s="762">
        <f t="shared" si="11"/>
        <v>43958</v>
      </c>
      <c r="N10" s="726"/>
      <c r="O10" s="726">
        <f t="shared" si="5"/>
        <v>7906</v>
      </c>
      <c r="P10" s="730">
        <f>'Water-Meter'!J12</f>
        <v>7906</v>
      </c>
      <c r="Q10" s="758">
        <f t="shared" si="6"/>
        <v>0</v>
      </c>
      <c r="R10" s="784">
        <f t="shared" si="7"/>
        <v>0</v>
      </c>
      <c r="S10" s="785">
        <f>Gen!T17</f>
        <v>637.52</v>
      </c>
      <c r="T10" s="769">
        <f t="shared" si="12"/>
        <v>43958</v>
      </c>
      <c r="U10" s="726"/>
      <c r="V10" s="732">
        <f t="shared" si="8"/>
        <v>7804.8</v>
      </c>
      <c r="W10" s="728">
        <v>7804.9</v>
      </c>
      <c r="X10" s="772">
        <f t="shared" si="0"/>
        <v>19.999999999890861</v>
      </c>
      <c r="Y10" s="762">
        <f t="shared" si="13"/>
        <v>43958</v>
      </c>
      <c r="Z10" s="726"/>
      <c r="AA10" s="726">
        <f t="shared" si="14"/>
        <v>20135</v>
      </c>
      <c r="AB10" s="730">
        <f>'Water-Meter'!P12</f>
        <v>20135</v>
      </c>
      <c r="AC10" s="763">
        <f t="shared" si="9"/>
        <v>0</v>
      </c>
    </row>
    <row r="11" spans="1:29" ht="18.75">
      <c r="A11" s="743">
        <f>Gen!C18</f>
        <v>0</v>
      </c>
      <c r="B11" s="751">
        <f>Gen!B18</f>
        <v>43959</v>
      </c>
      <c r="C11" s="726"/>
      <c r="D11" s="732">
        <f t="shared" si="1"/>
        <v>8672.4</v>
      </c>
      <c r="E11" s="727">
        <v>8673.2999999999993</v>
      </c>
      <c r="F11" s="732">
        <f t="shared" si="2"/>
        <v>107.99999999995634</v>
      </c>
      <c r="G11" s="726"/>
      <c r="H11" s="752">
        <f t="shared" si="10"/>
        <v>43959</v>
      </c>
      <c r="I11" s="744"/>
      <c r="J11" s="726">
        <f t="shared" si="3"/>
        <v>38000</v>
      </c>
      <c r="K11" s="731">
        <f>'Water-Meter'!G13</f>
        <v>38000</v>
      </c>
      <c r="L11" s="758">
        <f t="shared" si="4"/>
        <v>0</v>
      </c>
      <c r="M11" s="762">
        <f t="shared" si="11"/>
        <v>43959</v>
      </c>
      <c r="N11" s="726"/>
      <c r="O11" s="726">
        <f t="shared" si="5"/>
        <v>7906</v>
      </c>
      <c r="P11" s="730">
        <f>'Water-Meter'!J13</f>
        <v>7907</v>
      </c>
      <c r="Q11" s="758">
        <f t="shared" si="6"/>
        <v>1</v>
      </c>
      <c r="R11" s="784">
        <f t="shared" si="7"/>
        <v>6.1919504643962852E-4</v>
      </c>
      <c r="S11" s="785">
        <f>Gen!T18</f>
        <v>692.82999999999993</v>
      </c>
      <c r="T11" s="769">
        <f t="shared" si="12"/>
        <v>43959</v>
      </c>
      <c r="U11" s="726"/>
      <c r="V11" s="732">
        <f t="shared" si="8"/>
        <v>7804.9</v>
      </c>
      <c r="W11" s="728">
        <v>7805.1</v>
      </c>
      <c r="X11" s="772">
        <f t="shared" si="0"/>
        <v>40.000000000145519</v>
      </c>
      <c r="Y11" s="762">
        <f t="shared" si="13"/>
        <v>43959</v>
      </c>
      <c r="Z11" s="726"/>
      <c r="AA11" s="726">
        <f t="shared" si="14"/>
        <v>20135</v>
      </c>
      <c r="AB11" s="730">
        <f>'Water-Meter'!P13</f>
        <v>20136</v>
      </c>
      <c r="AC11" s="763">
        <f t="shared" si="9"/>
        <v>1</v>
      </c>
    </row>
    <row r="12" spans="1:29" ht="18.75">
      <c r="A12" s="743">
        <f>Gen!C19</f>
        <v>0</v>
      </c>
      <c r="B12" s="751">
        <f>Gen!B19</f>
        <v>43960</v>
      </c>
      <c r="C12" s="726"/>
      <c r="D12" s="732">
        <f t="shared" si="1"/>
        <v>8673.2999999999993</v>
      </c>
      <c r="E12" s="727">
        <v>8674.1</v>
      </c>
      <c r="F12" s="732">
        <f t="shared" si="2"/>
        <v>96.000000000130967</v>
      </c>
      <c r="G12" s="726"/>
      <c r="H12" s="752">
        <f t="shared" si="10"/>
        <v>43960</v>
      </c>
      <c r="I12" s="744"/>
      <c r="J12" s="726">
        <f t="shared" si="3"/>
        <v>38000</v>
      </c>
      <c r="K12" s="731">
        <f>'Water-Meter'!G14</f>
        <v>38000</v>
      </c>
      <c r="L12" s="758">
        <f t="shared" si="4"/>
        <v>0</v>
      </c>
      <c r="M12" s="762">
        <f t="shared" si="11"/>
        <v>43960</v>
      </c>
      <c r="N12" s="726"/>
      <c r="O12" s="726">
        <f t="shared" si="5"/>
        <v>7907</v>
      </c>
      <c r="P12" s="730">
        <f>'Water-Meter'!J14</f>
        <v>7907</v>
      </c>
      <c r="Q12" s="758">
        <f t="shared" si="6"/>
        <v>0</v>
      </c>
      <c r="R12" s="784">
        <f t="shared" si="7"/>
        <v>0</v>
      </c>
      <c r="S12" s="785">
        <f>Gen!T19</f>
        <v>662.1</v>
      </c>
      <c r="T12" s="769">
        <f t="shared" si="12"/>
        <v>43960</v>
      </c>
      <c r="U12" s="726"/>
      <c r="V12" s="732">
        <f t="shared" si="8"/>
        <v>7805.1</v>
      </c>
      <c r="W12" s="728">
        <v>7805.1</v>
      </c>
      <c r="X12" s="772">
        <f t="shared" si="0"/>
        <v>0</v>
      </c>
      <c r="Y12" s="762">
        <f t="shared" si="13"/>
        <v>43960</v>
      </c>
      <c r="Z12" s="726"/>
      <c r="AA12" s="726">
        <f t="shared" si="14"/>
        <v>20136</v>
      </c>
      <c r="AB12" s="730">
        <f>'Water-Meter'!P14</f>
        <v>20137</v>
      </c>
      <c r="AC12" s="763">
        <f t="shared" si="9"/>
        <v>1</v>
      </c>
    </row>
    <row r="13" spans="1:29" ht="18.75">
      <c r="A13" s="743">
        <f>Gen!C20</f>
        <v>0</v>
      </c>
      <c r="B13" s="751">
        <f>Gen!B20</f>
        <v>43961</v>
      </c>
      <c r="C13" s="726"/>
      <c r="D13" s="732">
        <f t="shared" si="1"/>
        <v>8674.1</v>
      </c>
      <c r="E13" s="727">
        <v>8674.9</v>
      </c>
      <c r="F13" s="732">
        <f t="shared" si="2"/>
        <v>95.999999999912689</v>
      </c>
      <c r="G13" s="726"/>
      <c r="H13" s="752">
        <f t="shared" si="10"/>
        <v>43961</v>
      </c>
      <c r="I13" s="744"/>
      <c r="J13" s="726">
        <f t="shared" si="3"/>
        <v>38000</v>
      </c>
      <c r="K13" s="731">
        <f>'Water-Meter'!G15</f>
        <v>38000</v>
      </c>
      <c r="L13" s="758">
        <f t="shared" si="4"/>
        <v>0</v>
      </c>
      <c r="M13" s="762">
        <f t="shared" si="11"/>
        <v>43961</v>
      </c>
      <c r="N13" s="726"/>
      <c r="O13" s="726">
        <f t="shared" si="5"/>
        <v>7907</v>
      </c>
      <c r="P13" s="730">
        <f>'Water-Meter'!J15</f>
        <v>7908</v>
      </c>
      <c r="Q13" s="758">
        <f t="shared" si="6"/>
        <v>1</v>
      </c>
      <c r="R13" s="784">
        <f t="shared" si="7"/>
        <v>6.1919504643962852E-4</v>
      </c>
      <c r="S13" s="785">
        <f>Gen!T20</f>
        <v>652.33000000000004</v>
      </c>
      <c r="T13" s="769">
        <f t="shared" si="12"/>
        <v>43961</v>
      </c>
      <c r="U13" s="726"/>
      <c r="V13" s="732">
        <f t="shared" si="8"/>
        <v>7805.1</v>
      </c>
      <c r="W13" s="728">
        <v>7805.1</v>
      </c>
      <c r="X13" s="772">
        <f t="shared" si="0"/>
        <v>0</v>
      </c>
      <c r="Y13" s="762">
        <f t="shared" si="13"/>
        <v>43961</v>
      </c>
      <c r="Z13" s="726"/>
      <c r="AA13" s="726">
        <f t="shared" si="14"/>
        <v>20137</v>
      </c>
      <c r="AB13" s="730">
        <f>'Water-Meter'!P15</f>
        <v>20137</v>
      </c>
      <c r="AC13" s="763">
        <f t="shared" si="9"/>
        <v>0</v>
      </c>
    </row>
    <row r="14" spans="1:29" ht="18.75">
      <c r="A14" s="743">
        <f>Gen!C21</f>
        <v>0</v>
      </c>
      <c r="B14" s="751">
        <f>Gen!B21</f>
        <v>43962</v>
      </c>
      <c r="C14" s="726"/>
      <c r="D14" s="732">
        <f t="shared" si="1"/>
        <v>8674.9</v>
      </c>
      <c r="E14" s="727">
        <v>8675.7999999999993</v>
      </c>
      <c r="F14" s="732">
        <f t="shared" si="2"/>
        <v>107.99999999995634</v>
      </c>
      <c r="G14" s="726"/>
      <c r="H14" s="752">
        <f t="shared" si="10"/>
        <v>43962</v>
      </c>
      <c r="I14" s="744"/>
      <c r="J14" s="726">
        <f t="shared" si="3"/>
        <v>38000</v>
      </c>
      <c r="K14" s="731">
        <f>'Water-Meter'!G16</f>
        <v>38000</v>
      </c>
      <c r="L14" s="758">
        <f t="shared" si="4"/>
        <v>0</v>
      </c>
      <c r="M14" s="762">
        <f t="shared" si="11"/>
        <v>43962</v>
      </c>
      <c r="N14" s="726"/>
      <c r="O14" s="726">
        <f t="shared" si="5"/>
        <v>7908</v>
      </c>
      <c r="P14" s="730">
        <f>'Water-Meter'!J16</f>
        <v>7908</v>
      </c>
      <c r="Q14" s="758">
        <f t="shared" si="6"/>
        <v>0</v>
      </c>
      <c r="R14" s="784">
        <f t="shared" si="7"/>
        <v>0</v>
      </c>
      <c r="S14" s="785">
        <f>Gen!T21</f>
        <v>675.39</v>
      </c>
      <c r="T14" s="769">
        <f t="shared" si="12"/>
        <v>43962</v>
      </c>
      <c r="U14" s="726"/>
      <c r="V14" s="732">
        <f t="shared" si="8"/>
        <v>7805.1</v>
      </c>
      <c r="W14" s="728">
        <v>7805.1</v>
      </c>
      <c r="X14" s="772">
        <f t="shared" si="0"/>
        <v>0</v>
      </c>
      <c r="Y14" s="762">
        <f t="shared" si="13"/>
        <v>43962</v>
      </c>
      <c r="Z14" s="726"/>
      <c r="AA14" s="726">
        <f t="shared" si="14"/>
        <v>20137</v>
      </c>
      <c r="AB14" s="730">
        <f>'Water-Meter'!P16</f>
        <v>20137</v>
      </c>
      <c r="AC14" s="763">
        <f t="shared" si="9"/>
        <v>0</v>
      </c>
    </row>
    <row r="15" spans="1:29" ht="18.75">
      <c r="A15" s="743">
        <f>Gen!C22</f>
        <v>0</v>
      </c>
      <c r="B15" s="751">
        <f>Gen!B22</f>
        <v>43963</v>
      </c>
      <c r="C15" s="726"/>
      <c r="D15" s="732">
        <f t="shared" si="1"/>
        <v>8675.7999999999993</v>
      </c>
      <c r="E15" s="727">
        <v>8676.6</v>
      </c>
      <c r="F15" s="732">
        <f t="shared" si="2"/>
        <v>96.000000000130967</v>
      </c>
      <c r="G15" s="726"/>
      <c r="H15" s="752">
        <f t="shared" si="10"/>
        <v>43963</v>
      </c>
      <c r="I15" s="744"/>
      <c r="J15" s="726">
        <f t="shared" si="3"/>
        <v>38000</v>
      </c>
      <c r="K15" s="731">
        <f>'Water-Meter'!G17</f>
        <v>38000</v>
      </c>
      <c r="L15" s="758">
        <f t="shared" si="4"/>
        <v>0</v>
      </c>
      <c r="M15" s="762">
        <f t="shared" si="11"/>
        <v>43963</v>
      </c>
      <c r="N15" s="726"/>
      <c r="O15" s="726">
        <f t="shared" si="5"/>
        <v>7908</v>
      </c>
      <c r="P15" s="730">
        <f>'Water-Meter'!J17</f>
        <v>7908</v>
      </c>
      <c r="Q15" s="758">
        <f t="shared" si="6"/>
        <v>0</v>
      </c>
      <c r="R15" s="784">
        <f t="shared" si="7"/>
        <v>0</v>
      </c>
      <c r="S15" s="785">
        <f>Gen!T22</f>
        <v>719.01</v>
      </c>
      <c r="T15" s="769">
        <f t="shared" si="12"/>
        <v>43963</v>
      </c>
      <c r="U15" s="726"/>
      <c r="V15" s="732">
        <f t="shared" si="8"/>
        <v>7805.1</v>
      </c>
      <c r="W15" s="728">
        <v>7805.2</v>
      </c>
      <c r="X15" s="772">
        <f t="shared" si="0"/>
        <v>19.999999999890861</v>
      </c>
      <c r="Y15" s="762">
        <f t="shared" si="13"/>
        <v>43963</v>
      </c>
      <c r="Z15" s="726"/>
      <c r="AA15" s="726">
        <f t="shared" si="14"/>
        <v>20137</v>
      </c>
      <c r="AB15" s="730">
        <f>'Water-Meter'!P17</f>
        <v>20138</v>
      </c>
      <c r="AC15" s="763">
        <f t="shared" si="9"/>
        <v>1</v>
      </c>
    </row>
    <row r="16" spans="1:29" ht="18.75">
      <c r="A16" s="743">
        <f>Gen!C23</f>
        <v>0</v>
      </c>
      <c r="B16" s="751">
        <f>Gen!B23</f>
        <v>43964</v>
      </c>
      <c r="C16" s="726"/>
      <c r="D16" s="732">
        <f t="shared" si="1"/>
        <v>8676.6</v>
      </c>
      <c r="E16" s="727">
        <v>8677.5</v>
      </c>
      <c r="F16" s="732">
        <f>SUM(E16-D16)*120</f>
        <v>107.99999999995634</v>
      </c>
      <c r="G16" s="726"/>
      <c r="H16" s="752">
        <f t="shared" si="10"/>
        <v>43964</v>
      </c>
      <c r="I16" s="744"/>
      <c r="J16" s="726">
        <f t="shared" si="3"/>
        <v>38000</v>
      </c>
      <c r="K16" s="731">
        <f>'Water-Meter'!G18</f>
        <v>38000</v>
      </c>
      <c r="L16" s="758">
        <f t="shared" si="4"/>
        <v>0</v>
      </c>
      <c r="M16" s="762">
        <f t="shared" si="11"/>
        <v>43964</v>
      </c>
      <c r="N16" s="726"/>
      <c r="O16" s="726">
        <f t="shared" si="5"/>
        <v>7908</v>
      </c>
      <c r="P16" s="730">
        <f>'Water-Meter'!J18</f>
        <v>7909</v>
      </c>
      <c r="Q16" s="758">
        <f t="shared" si="6"/>
        <v>1</v>
      </c>
      <c r="R16" s="784">
        <f t="shared" si="7"/>
        <v>6.1919504643962852E-4</v>
      </c>
      <c r="S16" s="785">
        <f>Gen!T23</f>
        <v>656.19</v>
      </c>
      <c r="T16" s="769">
        <f t="shared" si="12"/>
        <v>43964</v>
      </c>
      <c r="U16" s="726"/>
      <c r="V16" s="732">
        <f t="shared" si="8"/>
        <v>7805.2</v>
      </c>
      <c r="W16" s="728">
        <v>7805.2</v>
      </c>
      <c r="X16" s="772">
        <f t="shared" si="0"/>
        <v>0</v>
      </c>
      <c r="Y16" s="762">
        <f t="shared" si="13"/>
        <v>43964</v>
      </c>
      <c r="Z16" s="726"/>
      <c r="AA16" s="726">
        <f t="shared" si="14"/>
        <v>20138</v>
      </c>
      <c r="AB16" s="730">
        <f>'Water-Meter'!P18</f>
        <v>20138</v>
      </c>
      <c r="AC16" s="763">
        <f t="shared" si="9"/>
        <v>0</v>
      </c>
    </row>
    <row r="17" spans="1:29" ht="18.75">
      <c r="A17" s="743">
        <f>Gen!C24</f>
        <v>0</v>
      </c>
      <c r="B17" s="751">
        <f>Gen!B24</f>
        <v>43965</v>
      </c>
      <c r="C17" s="726"/>
      <c r="D17" s="732">
        <f t="shared" si="1"/>
        <v>8677.5</v>
      </c>
      <c r="E17" s="727">
        <v>8678.4</v>
      </c>
      <c r="F17" s="732">
        <f>SUM(E17-D17)*120</f>
        <v>107.99999999995634</v>
      </c>
      <c r="G17" s="726"/>
      <c r="H17" s="752">
        <f t="shared" si="10"/>
        <v>43965</v>
      </c>
      <c r="I17" s="744"/>
      <c r="J17" s="726">
        <f t="shared" si="3"/>
        <v>38000</v>
      </c>
      <c r="K17" s="731">
        <f>'Water-Meter'!G19</f>
        <v>38000</v>
      </c>
      <c r="L17" s="758">
        <f t="shared" si="4"/>
        <v>0</v>
      </c>
      <c r="M17" s="762">
        <f t="shared" si="11"/>
        <v>43965</v>
      </c>
      <c r="N17" s="726"/>
      <c r="O17" s="726">
        <f t="shared" si="5"/>
        <v>7909</v>
      </c>
      <c r="P17" s="730">
        <f>'Water-Meter'!J19</f>
        <v>7910</v>
      </c>
      <c r="Q17" s="758">
        <f t="shared" si="6"/>
        <v>1</v>
      </c>
      <c r="R17" s="784">
        <f t="shared" si="7"/>
        <v>6.1919504643962852E-4</v>
      </c>
      <c r="S17" s="785">
        <f>Gen!T24</f>
        <v>633.07999999999993</v>
      </c>
      <c r="T17" s="769">
        <f t="shared" si="12"/>
        <v>43965</v>
      </c>
      <c r="U17" s="726"/>
      <c r="V17" s="732">
        <f t="shared" si="8"/>
        <v>7805.2</v>
      </c>
      <c r="W17" s="728">
        <v>7805.2</v>
      </c>
      <c r="X17" s="772">
        <f t="shared" si="0"/>
        <v>0</v>
      </c>
      <c r="Y17" s="762">
        <f t="shared" si="13"/>
        <v>43965</v>
      </c>
      <c r="Z17" s="726"/>
      <c r="AA17" s="726">
        <f t="shared" si="14"/>
        <v>20138</v>
      </c>
      <c r="AB17" s="730">
        <f>'Water-Meter'!P19</f>
        <v>20138</v>
      </c>
      <c r="AC17" s="763">
        <f t="shared" si="9"/>
        <v>0</v>
      </c>
    </row>
    <row r="18" spans="1:29" ht="18.75">
      <c r="A18" s="743">
        <f>Gen!C25</f>
        <v>0</v>
      </c>
      <c r="B18" s="751">
        <f>Gen!B25</f>
        <v>43966</v>
      </c>
      <c r="C18" s="726"/>
      <c r="D18" s="732">
        <f t="shared" si="1"/>
        <v>8678.4</v>
      </c>
      <c r="E18" s="727"/>
      <c r="F18" s="732">
        <f t="shared" ref="F18:F22" si="15">SUM(E18-D18)*120</f>
        <v>-1041408</v>
      </c>
      <c r="G18" s="726"/>
      <c r="H18" s="752">
        <f t="shared" si="10"/>
        <v>43966</v>
      </c>
      <c r="I18" s="744"/>
      <c r="J18" s="726">
        <f t="shared" si="3"/>
        <v>38000</v>
      </c>
      <c r="K18" s="731">
        <f>'Water-Meter'!G20</f>
        <v>0</v>
      </c>
      <c r="L18" s="758">
        <f t="shared" si="4"/>
        <v>-38000</v>
      </c>
      <c r="M18" s="762">
        <f t="shared" si="11"/>
        <v>43966</v>
      </c>
      <c r="N18" s="726"/>
      <c r="O18" s="726">
        <f t="shared" si="5"/>
        <v>7910</v>
      </c>
      <c r="P18" s="730">
        <f>'Water-Meter'!J20</f>
        <v>0</v>
      </c>
      <c r="Q18" s="758">
        <f t="shared" si="6"/>
        <v>-7910</v>
      </c>
      <c r="R18" s="784">
        <f t="shared" si="7"/>
        <v>-4.897832817337461</v>
      </c>
      <c r="S18" s="785">
        <f>Gen!T25</f>
        <v>0</v>
      </c>
      <c r="T18" s="769">
        <f t="shared" si="12"/>
        <v>43966</v>
      </c>
      <c r="U18" s="726"/>
      <c r="V18" s="732">
        <f t="shared" si="8"/>
        <v>7805.2</v>
      </c>
      <c r="W18" s="728"/>
      <c r="X18" s="772">
        <f t="shared" si="0"/>
        <v>-1561040</v>
      </c>
      <c r="Y18" s="762">
        <f t="shared" si="13"/>
        <v>43966</v>
      </c>
      <c r="Z18" s="726"/>
      <c r="AA18" s="726">
        <f t="shared" si="14"/>
        <v>20138</v>
      </c>
      <c r="AB18" s="730">
        <f>'Water-Meter'!P20</f>
        <v>0</v>
      </c>
      <c r="AC18" s="763">
        <f>SUM(AB18-AA18)</f>
        <v>-20138</v>
      </c>
    </row>
    <row r="19" spans="1:29" ht="18.75">
      <c r="A19" s="743">
        <f>Gen!C26</f>
        <v>0</v>
      </c>
      <c r="B19" s="751">
        <f>Gen!B26</f>
        <v>43967</v>
      </c>
      <c r="C19" s="729"/>
      <c r="D19" s="732">
        <f t="shared" si="1"/>
        <v>0</v>
      </c>
      <c r="E19" s="727"/>
      <c r="F19" s="732">
        <f t="shared" si="15"/>
        <v>0</v>
      </c>
      <c r="G19" s="726"/>
      <c r="H19" s="752">
        <f t="shared" si="10"/>
        <v>43967</v>
      </c>
      <c r="I19" s="745"/>
      <c r="J19" s="726">
        <f t="shared" si="3"/>
        <v>0</v>
      </c>
      <c r="K19" s="731">
        <f>'Water-Meter'!G21</f>
        <v>0</v>
      </c>
      <c r="L19" s="758">
        <f t="shared" si="4"/>
        <v>0</v>
      </c>
      <c r="M19" s="762">
        <f t="shared" si="11"/>
        <v>43967</v>
      </c>
      <c r="N19" s="729"/>
      <c r="O19" s="726">
        <f t="shared" si="5"/>
        <v>0</v>
      </c>
      <c r="P19" s="730">
        <f>'Water-Meter'!J21</f>
        <v>0</v>
      </c>
      <c r="Q19" s="758">
        <f t="shared" si="6"/>
        <v>0</v>
      </c>
      <c r="R19" s="784">
        <f t="shared" si="7"/>
        <v>0</v>
      </c>
      <c r="S19" s="785">
        <f>Gen!T26</f>
        <v>0</v>
      </c>
      <c r="T19" s="769">
        <f t="shared" si="12"/>
        <v>43967</v>
      </c>
      <c r="U19" s="729"/>
      <c r="V19" s="732">
        <f t="shared" si="8"/>
        <v>0</v>
      </c>
      <c r="W19" s="728"/>
      <c r="X19" s="772">
        <f t="shared" si="0"/>
        <v>0</v>
      </c>
      <c r="Y19" s="762">
        <f t="shared" si="13"/>
        <v>43967</v>
      </c>
      <c r="Z19" s="729"/>
      <c r="AA19" s="726">
        <f t="shared" si="14"/>
        <v>0</v>
      </c>
      <c r="AB19" s="730">
        <f>'Water-Meter'!P21</f>
        <v>0</v>
      </c>
      <c r="AC19" s="763">
        <f t="shared" si="9"/>
        <v>0</v>
      </c>
    </row>
    <row r="20" spans="1:29" ht="18.75">
      <c r="A20" s="743">
        <f>Gen!C27</f>
        <v>0</v>
      </c>
      <c r="B20" s="751">
        <f>Gen!B27</f>
        <v>43968</v>
      </c>
      <c r="C20" s="729"/>
      <c r="D20" s="732">
        <f t="shared" si="1"/>
        <v>0</v>
      </c>
      <c r="E20" s="727"/>
      <c r="F20" s="732">
        <f t="shared" si="15"/>
        <v>0</v>
      </c>
      <c r="G20" s="726"/>
      <c r="H20" s="752">
        <f t="shared" si="10"/>
        <v>43968</v>
      </c>
      <c r="I20" s="745"/>
      <c r="J20" s="726">
        <f t="shared" si="3"/>
        <v>0</v>
      </c>
      <c r="K20" s="731">
        <f>'Water-Meter'!G22</f>
        <v>0</v>
      </c>
      <c r="L20" s="758">
        <f t="shared" si="4"/>
        <v>0</v>
      </c>
      <c r="M20" s="762">
        <f t="shared" si="11"/>
        <v>43968</v>
      </c>
      <c r="N20" s="729"/>
      <c r="O20" s="726">
        <f t="shared" si="5"/>
        <v>0</v>
      </c>
      <c r="P20" s="730">
        <f>'Water-Meter'!J22</f>
        <v>0</v>
      </c>
      <c r="Q20" s="758">
        <f t="shared" si="6"/>
        <v>0</v>
      </c>
      <c r="R20" s="784">
        <f t="shared" si="7"/>
        <v>0</v>
      </c>
      <c r="S20" s="785">
        <f>Gen!T27</f>
        <v>0</v>
      </c>
      <c r="T20" s="769">
        <f t="shared" si="12"/>
        <v>43968</v>
      </c>
      <c r="U20" s="729"/>
      <c r="V20" s="732">
        <f t="shared" si="8"/>
        <v>0</v>
      </c>
      <c r="W20" s="728"/>
      <c r="X20" s="772">
        <f t="shared" si="0"/>
        <v>0</v>
      </c>
      <c r="Y20" s="762">
        <f t="shared" si="13"/>
        <v>43968</v>
      </c>
      <c r="Z20" s="729"/>
      <c r="AA20" s="726">
        <f t="shared" si="14"/>
        <v>0</v>
      </c>
      <c r="AB20" s="730">
        <f>'Water-Meter'!P22</f>
        <v>0</v>
      </c>
      <c r="AC20" s="763">
        <f t="shared" si="9"/>
        <v>0</v>
      </c>
    </row>
    <row r="21" spans="1:29" ht="18.75">
      <c r="A21" s="743">
        <f>Gen!C28</f>
        <v>0</v>
      </c>
      <c r="B21" s="751">
        <f>Gen!B28</f>
        <v>43969</v>
      </c>
      <c r="C21" s="729"/>
      <c r="D21" s="732">
        <f t="shared" si="1"/>
        <v>0</v>
      </c>
      <c r="E21" s="727"/>
      <c r="F21" s="732">
        <f t="shared" si="15"/>
        <v>0</v>
      </c>
      <c r="G21" s="726"/>
      <c r="H21" s="752">
        <f t="shared" si="10"/>
        <v>43969</v>
      </c>
      <c r="I21" s="745"/>
      <c r="J21" s="726">
        <f t="shared" si="3"/>
        <v>0</v>
      </c>
      <c r="K21" s="731">
        <f>'Water-Meter'!G23</f>
        <v>0</v>
      </c>
      <c r="L21" s="758">
        <f t="shared" si="4"/>
        <v>0</v>
      </c>
      <c r="M21" s="762">
        <f t="shared" si="11"/>
        <v>43969</v>
      </c>
      <c r="N21" s="729"/>
      <c r="O21" s="726">
        <f t="shared" si="5"/>
        <v>0</v>
      </c>
      <c r="P21" s="730">
        <f>'Water-Meter'!J23</f>
        <v>0</v>
      </c>
      <c r="Q21" s="758">
        <f t="shared" si="6"/>
        <v>0</v>
      </c>
      <c r="R21" s="784">
        <f t="shared" ref="R21:R35" si="16">SUM(Q21/1615)</f>
        <v>0</v>
      </c>
      <c r="S21" s="785">
        <f>Gen!T28</f>
        <v>0</v>
      </c>
      <c r="T21" s="769">
        <f t="shared" si="12"/>
        <v>43969</v>
      </c>
      <c r="U21" s="729"/>
      <c r="V21" s="732">
        <f t="shared" si="8"/>
        <v>0</v>
      </c>
      <c r="W21" s="728"/>
      <c r="X21" s="772">
        <f t="shared" si="0"/>
        <v>0</v>
      </c>
      <c r="Y21" s="762">
        <f t="shared" si="13"/>
        <v>43969</v>
      </c>
      <c r="Z21" s="729"/>
      <c r="AA21" s="726">
        <f t="shared" si="14"/>
        <v>0</v>
      </c>
      <c r="AB21" s="730">
        <f>'Water-Meter'!P23</f>
        <v>0</v>
      </c>
      <c r="AC21" s="763">
        <f t="shared" si="9"/>
        <v>0</v>
      </c>
    </row>
    <row r="22" spans="1:29" ht="18.75">
      <c r="A22" s="743">
        <f>Gen!C29</f>
        <v>0</v>
      </c>
      <c r="B22" s="751">
        <f>Gen!B29</f>
        <v>43970</v>
      </c>
      <c r="C22" s="726"/>
      <c r="D22" s="732">
        <f t="shared" si="1"/>
        <v>0</v>
      </c>
      <c r="E22" s="727"/>
      <c r="F22" s="732">
        <f t="shared" si="15"/>
        <v>0</v>
      </c>
      <c r="G22" s="726"/>
      <c r="H22" s="752">
        <f t="shared" si="10"/>
        <v>43970</v>
      </c>
      <c r="I22" s="744"/>
      <c r="J22" s="726">
        <f t="shared" si="3"/>
        <v>0</v>
      </c>
      <c r="K22" s="731">
        <f>'Water-Meter'!G24</f>
        <v>0</v>
      </c>
      <c r="L22" s="758">
        <f t="shared" si="4"/>
        <v>0</v>
      </c>
      <c r="M22" s="762">
        <f t="shared" si="11"/>
        <v>43970</v>
      </c>
      <c r="N22" s="726"/>
      <c r="O22" s="726">
        <f t="shared" si="5"/>
        <v>0</v>
      </c>
      <c r="P22" s="730">
        <f>'Water-Meter'!J24</f>
        <v>0</v>
      </c>
      <c r="Q22" s="758">
        <f t="shared" si="6"/>
        <v>0</v>
      </c>
      <c r="R22" s="784">
        <f t="shared" si="16"/>
        <v>0</v>
      </c>
      <c r="S22" s="785">
        <f>Gen!T29</f>
        <v>0</v>
      </c>
      <c r="T22" s="769">
        <f t="shared" si="12"/>
        <v>43970</v>
      </c>
      <c r="U22" s="726"/>
      <c r="V22" s="732">
        <f t="shared" si="8"/>
        <v>0</v>
      </c>
      <c r="W22" s="728"/>
      <c r="X22" s="772">
        <f t="shared" si="0"/>
        <v>0</v>
      </c>
      <c r="Y22" s="762">
        <f t="shared" si="13"/>
        <v>43970</v>
      </c>
      <c r="Z22" s="726"/>
      <c r="AA22" s="726">
        <f t="shared" si="14"/>
        <v>0</v>
      </c>
      <c r="AB22" s="730">
        <f>'Water-Meter'!P24</f>
        <v>0</v>
      </c>
      <c r="AC22" s="763">
        <f t="shared" si="9"/>
        <v>0</v>
      </c>
    </row>
    <row r="23" spans="1:29" ht="18.75">
      <c r="A23" s="743">
        <f>Gen!C30</f>
        <v>0</v>
      </c>
      <c r="B23" s="751">
        <f>Gen!B30</f>
        <v>43971</v>
      </c>
      <c r="C23" s="729"/>
      <c r="D23" s="732">
        <f t="shared" si="1"/>
        <v>0</v>
      </c>
      <c r="E23" s="727"/>
      <c r="F23" s="732">
        <f t="shared" ref="F23:F34" si="17">SUM(E23-D23)*120</f>
        <v>0</v>
      </c>
      <c r="G23" s="726"/>
      <c r="H23" s="752">
        <f t="shared" si="10"/>
        <v>43971</v>
      </c>
      <c r="I23" s="745"/>
      <c r="J23" s="726">
        <f t="shared" si="3"/>
        <v>0</v>
      </c>
      <c r="K23" s="731">
        <f>'Water-Meter'!G25</f>
        <v>0</v>
      </c>
      <c r="L23" s="758">
        <f t="shared" si="4"/>
        <v>0</v>
      </c>
      <c r="M23" s="762">
        <f t="shared" si="11"/>
        <v>43971</v>
      </c>
      <c r="N23" s="729"/>
      <c r="O23" s="726">
        <f t="shared" si="5"/>
        <v>0</v>
      </c>
      <c r="P23" s="730">
        <f>'Water-Meter'!J25</f>
        <v>0</v>
      </c>
      <c r="Q23" s="758">
        <f t="shared" si="6"/>
        <v>0</v>
      </c>
      <c r="R23" s="784">
        <f t="shared" si="16"/>
        <v>0</v>
      </c>
      <c r="S23" s="785">
        <f>Gen!T30</f>
        <v>0</v>
      </c>
      <c r="T23" s="769">
        <f t="shared" si="12"/>
        <v>43971</v>
      </c>
      <c r="U23" s="729"/>
      <c r="V23" s="732">
        <f t="shared" si="8"/>
        <v>0</v>
      </c>
      <c r="W23" s="728"/>
      <c r="X23" s="772">
        <f t="shared" si="0"/>
        <v>0</v>
      </c>
      <c r="Y23" s="762">
        <f t="shared" si="13"/>
        <v>43971</v>
      </c>
      <c r="Z23" s="729"/>
      <c r="AA23" s="726">
        <f t="shared" si="14"/>
        <v>0</v>
      </c>
      <c r="AB23" s="730">
        <f>'Water-Meter'!P25</f>
        <v>0</v>
      </c>
      <c r="AC23" s="763">
        <f t="shared" si="9"/>
        <v>0</v>
      </c>
    </row>
    <row r="24" spans="1:29" ht="18.75">
      <c r="A24" s="743">
        <f>Gen!C31</f>
        <v>0</v>
      </c>
      <c r="B24" s="751">
        <f>Gen!B31</f>
        <v>43972</v>
      </c>
      <c r="C24" s="729"/>
      <c r="D24" s="732">
        <f t="shared" ref="D24:D35" si="18">SUM(E23)</f>
        <v>0</v>
      </c>
      <c r="E24" s="727"/>
      <c r="F24" s="732">
        <f t="shared" si="17"/>
        <v>0</v>
      </c>
      <c r="G24" s="726"/>
      <c r="H24" s="752">
        <f t="shared" si="10"/>
        <v>43972</v>
      </c>
      <c r="I24" s="745"/>
      <c r="J24" s="726">
        <f t="shared" si="3"/>
        <v>0</v>
      </c>
      <c r="K24" s="731">
        <f>'Water-Meter'!G26</f>
        <v>0</v>
      </c>
      <c r="L24" s="758">
        <f t="shared" si="4"/>
        <v>0</v>
      </c>
      <c r="M24" s="762">
        <f t="shared" si="11"/>
        <v>43972</v>
      </c>
      <c r="N24" s="729"/>
      <c r="O24" s="726">
        <f t="shared" si="5"/>
        <v>0</v>
      </c>
      <c r="P24" s="730">
        <f>'Water-Meter'!J26</f>
        <v>0</v>
      </c>
      <c r="Q24" s="758">
        <f t="shared" si="6"/>
        <v>0</v>
      </c>
      <c r="R24" s="784">
        <f t="shared" si="16"/>
        <v>0</v>
      </c>
      <c r="S24" s="785">
        <f>Gen!T31</f>
        <v>0</v>
      </c>
      <c r="T24" s="769">
        <v>5835.7</v>
      </c>
      <c r="U24" s="729"/>
      <c r="V24" s="732">
        <f t="shared" si="8"/>
        <v>0</v>
      </c>
      <c r="W24" s="728"/>
      <c r="X24" s="772">
        <f t="shared" si="0"/>
        <v>0</v>
      </c>
      <c r="Y24" s="762">
        <f t="shared" si="13"/>
        <v>5835.7</v>
      </c>
      <c r="Z24" s="729"/>
      <c r="AA24" s="726">
        <f t="shared" si="14"/>
        <v>0</v>
      </c>
      <c r="AB24" s="730">
        <f>'Water-Meter'!P26</f>
        <v>0</v>
      </c>
      <c r="AC24" s="763">
        <f t="shared" si="9"/>
        <v>0</v>
      </c>
    </row>
    <row r="25" spans="1:29" ht="18.75">
      <c r="A25" s="743">
        <f>Gen!C32</f>
        <v>0</v>
      </c>
      <c r="B25" s="751">
        <f>Gen!B32</f>
        <v>43973</v>
      </c>
      <c r="C25" s="729"/>
      <c r="D25" s="732">
        <f t="shared" si="18"/>
        <v>0</v>
      </c>
      <c r="E25" s="727"/>
      <c r="F25" s="732">
        <f t="shared" si="17"/>
        <v>0</v>
      </c>
      <c r="G25" s="726"/>
      <c r="H25" s="752">
        <f t="shared" si="10"/>
        <v>43973</v>
      </c>
      <c r="I25" s="745"/>
      <c r="J25" s="726">
        <f t="shared" si="3"/>
        <v>0</v>
      </c>
      <c r="K25" s="731">
        <f>'Water-Meter'!G27</f>
        <v>0</v>
      </c>
      <c r="L25" s="758">
        <f t="shared" si="4"/>
        <v>0</v>
      </c>
      <c r="M25" s="762">
        <f t="shared" si="11"/>
        <v>43973</v>
      </c>
      <c r="N25" s="729"/>
      <c r="O25" s="726">
        <f t="shared" si="5"/>
        <v>0</v>
      </c>
      <c r="P25" s="730">
        <f>'Water-Meter'!J27</f>
        <v>0</v>
      </c>
      <c r="Q25" s="758">
        <f t="shared" si="6"/>
        <v>0</v>
      </c>
      <c r="R25" s="784">
        <f t="shared" si="16"/>
        <v>0</v>
      </c>
      <c r="S25" s="785">
        <f>Gen!T32</f>
        <v>0</v>
      </c>
      <c r="T25" s="769">
        <f t="shared" si="12"/>
        <v>43973</v>
      </c>
      <c r="U25" s="729"/>
      <c r="V25" s="732">
        <f t="shared" si="8"/>
        <v>0</v>
      </c>
      <c r="W25" s="728"/>
      <c r="X25" s="772">
        <f t="shared" si="0"/>
        <v>0</v>
      </c>
      <c r="Y25" s="762">
        <f t="shared" si="13"/>
        <v>43973</v>
      </c>
      <c r="Z25" s="729"/>
      <c r="AA25" s="726">
        <f t="shared" si="14"/>
        <v>0</v>
      </c>
      <c r="AB25" s="730">
        <f>'Water-Meter'!P27</f>
        <v>0</v>
      </c>
      <c r="AC25" s="763">
        <f t="shared" si="9"/>
        <v>0</v>
      </c>
    </row>
    <row r="26" spans="1:29" ht="18.75">
      <c r="A26" s="743">
        <f>Gen!C33</f>
        <v>0</v>
      </c>
      <c r="B26" s="751">
        <f>Gen!B33</f>
        <v>43974</v>
      </c>
      <c r="C26" s="729"/>
      <c r="D26" s="732">
        <f t="shared" si="18"/>
        <v>0</v>
      </c>
      <c r="E26" s="727"/>
      <c r="F26" s="732">
        <f t="shared" si="17"/>
        <v>0</v>
      </c>
      <c r="G26" s="726"/>
      <c r="H26" s="752">
        <f t="shared" si="10"/>
        <v>43974</v>
      </c>
      <c r="I26" s="745"/>
      <c r="J26" s="726">
        <f t="shared" si="3"/>
        <v>0</v>
      </c>
      <c r="K26" s="731">
        <f>'Water-Meter'!G28</f>
        <v>0</v>
      </c>
      <c r="L26" s="758">
        <f t="shared" si="4"/>
        <v>0</v>
      </c>
      <c r="M26" s="762">
        <f t="shared" si="11"/>
        <v>43974</v>
      </c>
      <c r="N26" s="729"/>
      <c r="O26" s="726">
        <f t="shared" si="5"/>
        <v>0</v>
      </c>
      <c r="P26" s="730">
        <f>'Water-Meter'!J28</f>
        <v>0</v>
      </c>
      <c r="Q26" s="758">
        <f t="shared" si="6"/>
        <v>0</v>
      </c>
      <c r="R26" s="784">
        <f t="shared" si="16"/>
        <v>0</v>
      </c>
      <c r="S26" s="785">
        <f>Gen!T33</f>
        <v>0</v>
      </c>
      <c r="T26" s="769">
        <f t="shared" si="12"/>
        <v>43974</v>
      </c>
      <c r="U26" s="729"/>
      <c r="V26" s="732">
        <f t="shared" si="8"/>
        <v>0</v>
      </c>
      <c r="W26" s="728"/>
      <c r="X26" s="772">
        <f t="shared" si="0"/>
        <v>0</v>
      </c>
      <c r="Y26" s="762">
        <f t="shared" si="13"/>
        <v>43974</v>
      </c>
      <c r="Z26" s="729"/>
      <c r="AA26" s="726">
        <f t="shared" si="14"/>
        <v>0</v>
      </c>
      <c r="AB26" s="730">
        <f>'Water-Meter'!P28</f>
        <v>0</v>
      </c>
      <c r="AC26" s="763">
        <f t="shared" si="9"/>
        <v>0</v>
      </c>
    </row>
    <row r="27" spans="1:29" ht="18.75">
      <c r="A27" s="743">
        <f>Gen!C34</f>
        <v>0</v>
      </c>
      <c r="B27" s="751">
        <f>Gen!B34</f>
        <v>43975</v>
      </c>
      <c r="C27" s="729"/>
      <c r="D27" s="732">
        <f t="shared" si="18"/>
        <v>0</v>
      </c>
      <c r="E27" s="727"/>
      <c r="F27" s="732">
        <f t="shared" si="17"/>
        <v>0</v>
      </c>
      <c r="G27" s="726"/>
      <c r="H27" s="752">
        <f t="shared" si="10"/>
        <v>43975</v>
      </c>
      <c r="I27" s="745"/>
      <c r="J27" s="726">
        <f t="shared" si="3"/>
        <v>0</v>
      </c>
      <c r="K27" s="731">
        <f>'Water-Meter'!G29</f>
        <v>0</v>
      </c>
      <c r="L27" s="758">
        <f t="shared" si="4"/>
        <v>0</v>
      </c>
      <c r="M27" s="762">
        <f t="shared" si="11"/>
        <v>43975</v>
      </c>
      <c r="N27" s="729"/>
      <c r="O27" s="726">
        <f t="shared" si="5"/>
        <v>0</v>
      </c>
      <c r="P27" s="730">
        <f>'Water-Meter'!J29</f>
        <v>0</v>
      </c>
      <c r="Q27" s="758">
        <f t="shared" si="6"/>
        <v>0</v>
      </c>
      <c r="R27" s="784">
        <f t="shared" si="16"/>
        <v>0</v>
      </c>
      <c r="S27" s="785">
        <f>Gen!T34</f>
        <v>0</v>
      </c>
      <c r="T27" s="769">
        <f t="shared" si="12"/>
        <v>43975</v>
      </c>
      <c r="U27" s="729"/>
      <c r="V27" s="732">
        <f t="shared" si="8"/>
        <v>0</v>
      </c>
      <c r="W27" s="728"/>
      <c r="X27" s="772">
        <f t="shared" si="0"/>
        <v>0</v>
      </c>
      <c r="Y27" s="762">
        <f t="shared" si="13"/>
        <v>43975</v>
      </c>
      <c r="Z27" s="729"/>
      <c r="AA27" s="726">
        <f t="shared" si="14"/>
        <v>0</v>
      </c>
      <c r="AB27" s="730">
        <f>'Water-Meter'!P29</f>
        <v>0</v>
      </c>
      <c r="AC27" s="763">
        <f t="shared" si="9"/>
        <v>0</v>
      </c>
    </row>
    <row r="28" spans="1:29" ht="18.75">
      <c r="A28" s="743">
        <f>Gen!C35</f>
        <v>0</v>
      </c>
      <c r="B28" s="751">
        <f>Gen!B35</f>
        <v>43976</v>
      </c>
      <c r="C28" s="729"/>
      <c r="D28" s="732">
        <f t="shared" si="18"/>
        <v>0</v>
      </c>
      <c r="E28" s="727"/>
      <c r="F28" s="732">
        <f t="shared" si="17"/>
        <v>0</v>
      </c>
      <c r="G28" s="726"/>
      <c r="H28" s="752">
        <f t="shared" si="10"/>
        <v>43976</v>
      </c>
      <c r="I28" s="745"/>
      <c r="J28" s="726">
        <f t="shared" si="3"/>
        <v>0</v>
      </c>
      <c r="K28" s="731">
        <f>'Water-Meter'!G30</f>
        <v>0</v>
      </c>
      <c r="L28" s="758">
        <f t="shared" si="4"/>
        <v>0</v>
      </c>
      <c r="M28" s="762">
        <f t="shared" si="11"/>
        <v>43976</v>
      </c>
      <c r="N28" s="729"/>
      <c r="O28" s="726">
        <f t="shared" si="5"/>
        <v>0</v>
      </c>
      <c r="P28" s="730">
        <f>'Water-Meter'!J30</f>
        <v>0</v>
      </c>
      <c r="Q28" s="758">
        <f t="shared" si="6"/>
        <v>0</v>
      </c>
      <c r="R28" s="784">
        <f t="shared" si="16"/>
        <v>0</v>
      </c>
      <c r="S28" s="785">
        <f>Gen!T35</f>
        <v>0</v>
      </c>
      <c r="T28" s="769">
        <f t="shared" si="12"/>
        <v>43976</v>
      </c>
      <c r="U28" s="729"/>
      <c r="V28" s="732">
        <f t="shared" si="8"/>
        <v>0</v>
      </c>
      <c r="W28" s="728"/>
      <c r="X28" s="772">
        <f t="shared" si="0"/>
        <v>0</v>
      </c>
      <c r="Y28" s="762">
        <f t="shared" si="13"/>
        <v>43976</v>
      </c>
      <c r="Z28" s="729"/>
      <c r="AA28" s="726">
        <f t="shared" si="14"/>
        <v>0</v>
      </c>
      <c r="AB28" s="730">
        <f>'Water-Meter'!P30</f>
        <v>0</v>
      </c>
      <c r="AC28" s="763">
        <f t="shared" si="9"/>
        <v>0</v>
      </c>
    </row>
    <row r="29" spans="1:29" ht="18.75">
      <c r="A29" s="743">
        <f>Gen!C36</f>
        <v>0</v>
      </c>
      <c r="B29" s="751">
        <f>Gen!B36</f>
        <v>43977</v>
      </c>
      <c r="C29" s="729"/>
      <c r="D29" s="732">
        <f t="shared" si="18"/>
        <v>0</v>
      </c>
      <c r="E29" s="727"/>
      <c r="F29" s="732">
        <f t="shared" si="17"/>
        <v>0</v>
      </c>
      <c r="G29" s="726"/>
      <c r="H29" s="752">
        <f t="shared" si="10"/>
        <v>43977</v>
      </c>
      <c r="I29" s="745"/>
      <c r="J29" s="726">
        <f t="shared" si="3"/>
        <v>0</v>
      </c>
      <c r="K29" s="731">
        <f>'Water-Meter'!G31</f>
        <v>0</v>
      </c>
      <c r="L29" s="758">
        <f t="shared" si="4"/>
        <v>0</v>
      </c>
      <c r="M29" s="762">
        <f t="shared" si="11"/>
        <v>43977</v>
      </c>
      <c r="N29" s="729"/>
      <c r="O29" s="726">
        <f t="shared" si="5"/>
        <v>0</v>
      </c>
      <c r="P29" s="730">
        <f>'Water-Meter'!J31</f>
        <v>0</v>
      </c>
      <c r="Q29" s="758">
        <f t="shared" si="6"/>
        <v>0</v>
      </c>
      <c r="R29" s="784">
        <f t="shared" si="16"/>
        <v>0</v>
      </c>
      <c r="S29" s="785">
        <f>Gen!T36</f>
        <v>0</v>
      </c>
      <c r="T29" s="769">
        <f t="shared" si="12"/>
        <v>43977</v>
      </c>
      <c r="U29" s="729"/>
      <c r="V29" s="732">
        <f t="shared" si="8"/>
        <v>0</v>
      </c>
      <c r="W29" s="728"/>
      <c r="X29" s="772">
        <f t="shared" si="0"/>
        <v>0</v>
      </c>
      <c r="Y29" s="762">
        <f t="shared" si="13"/>
        <v>43977</v>
      </c>
      <c r="Z29" s="729"/>
      <c r="AA29" s="726">
        <f t="shared" si="14"/>
        <v>0</v>
      </c>
      <c r="AB29" s="730">
        <f>'Water-Meter'!P31</f>
        <v>0</v>
      </c>
      <c r="AC29" s="763">
        <f t="shared" si="9"/>
        <v>0</v>
      </c>
    </row>
    <row r="30" spans="1:29" ht="18.75">
      <c r="A30" s="743">
        <f>Gen!C37</f>
        <v>0</v>
      </c>
      <c r="B30" s="751">
        <f>Gen!B37</f>
        <v>43978</v>
      </c>
      <c r="C30" s="729"/>
      <c r="D30" s="732">
        <f t="shared" si="18"/>
        <v>0</v>
      </c>
      <c r="E30" s="727"/>
      <c r="F30" s="732">
        <f t="shared" si="17"/>
        <v>0</v>
      </c>
      <c r="G30" s="726"/>
      <c r="H30" s="752">
        <f t="shared" si="10"/>
        <v>43978</v>
      </c>
      <c r="I30" s="745"/>
      <c r="J30" s="726">
        <f t="shared" si="3"/>
        <v>0</v>
      </c>
      <c r="K30" s="731">
        <f>'Water-Meter'!G32</f>
        <v>0</v>
      </c>
      <c r="L30" s="758">
        <f t="shared" si="4"/>
        <v>0</v>
      </c>
      <c r="M30" s="762">
        <f t="shared" si="11"/>
        <v>43978</v>
      </c>
      <c r="N30" s="729"/>
      <c r="O30" s="726">
        <f t="shared" si="5"/>
        <v>0</v>
      </c>
      <c r="P30" s="730">
        <f>'Water-Meter'!J32</f>
        <v>0</v>
      </c>
      <c r="Q30" s="758">
        <f t="shared" si="6"/>
        <v>0</v>
      </c>
      <c r="R30" s="784">
        <f t="shared" si="16"/>
        <v>0</v>
      </c>
      <c r="S30" s="785">
        <f>Gen!T37</f>
        <v>0</v>
      </c>
      <c r="T30" s="769">
        <f t="shared" si="12"/>
        <v>43978</v>
      </c>
      <c r="U30" s="729"/>
      <c r="V30" s="732">
        <f t="shared" si="8"/>
        <v>0</v>
      </c>
      <c r="W30" s="728"/>
      <c r="X30" s="772">
        <f t="shared" si="0"/>
        <v>0</v>
      </c>
      <c r="Y30" s="762">
        <f t="shared" si="13"/>
        <v>43978</v>
      </c>
      <c r="Z30" s="729"/>
      <c r="AA30" s="726">
        <f t="shared" si="14"/>
        <v>0</v>
      </c>
      <c r="AB30" s="730">
        <f>'Water-Meter'!P32</f>
        <v>0</v>
      </c>
      <c r="AC30" s="763">
        <f t="shared" si="9"/>
        <v>0</v>
      </c>
    </row>
    <row r="31" spans="1:29" ht="18.75">
      <c r="A31" s="743">
        <f>Gen!C38</f>
        <v>0</v>
      </c>
      <c r="B31" s="751">
        <f>Gen!B38</f>
        <v>43979</v>
      </c>
      <c r="C31" s="729"/>
      <c r="D31" s="732">
        <f t="shared" si="18"/>
        <v>0</v>
      </c>
      <c r="E31" s="727"/>
      <c r="F31" s="732">
        <f t="shared" si="17"/>
        <v>0</v>
      </c>
      <c r="G31" s="726"/>
      <c r="H31" s="752">
        <f t="shared" si="10"/>
        <v>43979</v>
      </c>
      <c r="I31" s="745"/>
      <c r="J31" s="726">
        <f t="shared" ref="J31:J35" si="19">SUM(K30)</f>
        <v>0</v>
      </c>
      <c r="K31" s="731">
        <f>'Water-Meter'!G33</f>
        <v>0</v>
      </c>
      <c r="L31" s="758">
        <f t="shared" si="4"/>
        <v>0</v>
      </c>
      <c r="M31" s="762">
        <f t="shared" si="11"/>
        <v>43979</v>
      </c>
      <c r="N31" s="729"/>
      <c r="O31" s="726">
        <f t="shared" si="5"/>
        <v>0</v>
      </c>
      <c r="P31" s="730">
        <f>'Water-Meter'!J33</f>
        <v>0</v>
      </c>
      <c r="Q31" s="758">
        <f t="shared" si="6"/>
        <v>0</v>
      </c>
      <c r="R31" s="784">
        <f t="shared" si="16"/>
        <v>0</v>
      </c>
      <c r="S31" s="785">
        <f>Gen!T38</f>
        <v>0</v>
      </c>
      <c r="T31" s="769">
        <f>M31</f>
        <v>43979</v>
      </c>
      <c r="U31" s="729"/>
      <c r="V31" s="732">
        <f t="shared" si="8"/>
        <v>0</v>
      </c>
      <c r="W31" s="728"/>
      <c r="X31" s="772">
        <f t="shared" si="0"/>
        <v>0</v>
      </c>
      <c r="Y31" s="762">
        <f>T31</f>
        <v>43979</v>
      </c>
      <c r="Z31" s="729"/>
      <c r="AA31" s="726">
        <f t="shared" si="14"/>
        <v>0</v>
      </c>
      <c r="AB31" s="730">
        <f>'Water-Meter'!P33</f>
        <v>0</v>
      </c>
      <c r="AC31" s="763">
        <f t="shared" si="9"/>
        <v>0</v>
      </c>
    </row>
    <row r="32" spans="1:29" ht="18.75">
      <c r="A32" s="743">
        <f>Gen!C39</f>
        <v>0</v>
      </c>
      <c r="B32" s="751">
        <f>Gen!B39</f>
        <v>43980</v>
      </c>
      <c r="C32" s="729"/>
      <c r="D32" s="732">
        <f t="shared" si="18"/>
        <v>0</v>
      </c>
      <c r="E32" s="727"/>
      <c r="F32" s="732">
        <f t="shared" si="17"/>
        <v>0</v>
      </c>
      <c r="G32" s="726"/>
      <c r="H32" s="752">
        <f t="shared" si="10"/>
        <v>43980</v>
      </c>
      <c r="I32" s="745"/>
      <c r="J32" s="726">
        <f t="shared" si="19"/>
        <v>0</v>
      </c>
      <c r="K32" s="731">
        <f>'Water-Meter'!G34</f>
        <v>0</v>
      </c>
      <c r="L32" s="758">
        <f t="shared" si="4"/>
        <v>0</v>
      </c>
      <c r="M32" s="762">
        <f t="shared" si="11"/>
        <v>43980</v>
      </c>
      <c r="N32" s="729"/>
      <c r="O32" s="726">
        <f t="shared" si="5"/>
        <v>0</v>
      </c>
      <c r="P32" s="730">
        <f>'Water-Meter'!J34</f>
        <v>0</v>
      </c>
      <c r="Q32" s="758">
        <f t="shared" si="6"/>
        <v>0</v>
      </c>
      <c r="R32" s="784">
        <f t="shared" si="16"/>
        <v>0</v>
      </c>
      <c r="S32" s="785">
        <f>Gen!T39</f>
        <v>0</v>
      </c>
      <c r="T32" s="769">
        <f t="shared" ref="T32:T35" si="20">M32</f>
        <v>43980</v>
      </c>
      <c r="U32" s="729"/>
      <c r="V32" s="732">
        <f t="shared" si="8"/>
        <v>0</v>
      </c>
      <c r="W32" s="728"/>
      <c r="X32" s="772">
        <f t="shared" si="0"/>
        <v>0</v>
      </c>
      <c r="Y32" s="762">
        <f t="shared" ref="Y32:Y35" si="21">T32</f>
        <v>43980</v>
      </c>
      <c r="Z32" s="729"/>
      <c r="AA32" s="726">
        <f t="shared" si="14"/>
        <v>0</v>
      </c>
      <c r="AB32" s="730">
        <f>'Water-Meter'!P34</f>
        <v>0</v>
      </c>
      <c r="AC32" s="763">
        <f t="shared" si="9"/>
        <v>0</v>
      </c>
    </row>
    <row r="33" spans="1:29" ht="18.75">
      <c r="A33" s="743">
        <f>Gen!C40</f>
        <v>0</v>
      </c>
      <c r="B33" s="751">
        <f>Gen!B40</f>
        <v>43981</v>
      </c>
      <c r="C33" s="729"/>
      <c r="D33" s="732">
        <f t="shared" si="18"/>
        <v>0</v>
      </c>
      <c r="E33" s="727"/>
      <c r="F33" s="732">
        <f t="shared" si="17"/>
        <v>0</v>
      </c>
      <c r="G33" s="726"/>
      <c r="H33" s="752">
        <f t="shared" si="10"/>
        <v>43981</v>
      </c>
      <c r="I33" s="745"/>
      <c r="J33" s="726">
        <f t="shared" si="19"/>
        <v>0</v>
      </c>
      <c r="K33" s="731">
        <f>'Water-Meter'!G35</f>
        <v>0</v>
      </c>
      <c r="L33" s="758">
        <f t="shared" si="4"/>
        <v>0</v>
      </c>
      <c r="M33" s="762">
        <f t="shared" si="11"/>
        <v>43981</v>
      </c>
      <c r="N33" s="729"/>
      <c r="O33" s="726">
        <f t="shared" si="5"/>
        <v>0</v>
      </c>
      <c r="P33" s="730">
        <f>'Water-Meter'!J35</f>
        <v>0</v>
      </c>
      <c r="Q33" s="758">
        <f t="shared" si="6"/>
        <v>0</v>
      </c>
      <c r="R33" s="784">
        <f t="shared" si="16"/>
        <v>0</v>
      </c>
      <c r="S33" s="785">
        <f>Gen!T40</f>
        <v>0</v>
      </c>
      <c r="T33" s="769">
        <f t="shared" si="20"/>
        <v>43981</v>
      </c>
      <c r="U33" s="729"/>
      <c r="V33" s="732">
        <f t="shared" si="8"/>
        <v>0</v>
      </c>
      <c r="W33" s="728"/>
      <c r="X33" s="772">
        <f t="shared" si="0"/>
        <v>0</v>
      </c>
      <c r="Y33" s="762">
        <f t="shared" si="21"/>
        <v>43981</v>
      </c>
      <c r="Z33" s="729"/>
      <c r="AA33" s="726">
        <f t="shared" si="14"/>
        <v>0</v>
      </c>
      <c r="AB33" s="730">
        <f>'Water-Meter'!P35</f>
        <v>0</v>
      </c>
      <c r="AC33" s="763">
        <f t="shared" si="9"/>
        <v>0</v>
      </c>
    </row>
    <row r="34" spans="1:29" ht="18.75">
      <c r="A34" s="743">
        <f>Gen!C41</f>
        <v>0</v>
      </c>
      <c r="B34" s="751">
        <f>Gen!B41</f>
        <v>43982</v>
      </c>
      <c r="C34" s="6"/>
      <c r="D34" s="732">
        <f t="shared" si="18"/>
        <v>0</v>
      </c>
      <c r="E34" s="727"/>
      <c r="F34" s="732">
        <f t="shared" si="17"/>
        <v>0</v>
      </c>
      <c r="G34" s="6"/>
      <c r="H34" s="752">
        <f t="shared" si="10"/>
        <v>43982</v>
      </c>
      <c r="I34" s="17"/>
      <c r="J34" s="726">
        <f t="shared" si="19"/>
        <v>0</v>
      </c>
      <c r="K34" s="731">
        <f>'Water-Meter'!G36</f>
        <v>0</v>
      </c>
      <c r="L34" s="758">
        <f t="shared" si="4"/>
        <v>0</v>
      </c>
      <c r="M34" s="762">
        <f t="shared" si="11"/>
        <v>43982</v>
      </c>
      <c r="N34" s="6"/>
      <c r="O34" s="726">
        <f t="shared" ref="O34:O35" si="22">SUM(P33)</f>
        <v>0</v>
      </c>
      <c r="P34" s="730">
        <f>'Water-Meter'!J36</f>
        <v>0</v>
      </c>
      <c r="Q34" s="758">
        <f t="shared" si="6"/>
        <v>0</v>
      </c>
      <c r="R34" s="784">
        <f t="shared" si="16"/>
        <v>0</v>
      </c>
      <c r="S34" s="785">
        <f>Gen!T41</f>
        <v>0</v>
      </c>
      <c r="T34" s="769">
        <f t="shared" si="20"/>
        <v>43982</v>
      </c>
      <c r="U34" s="6"/>
      <c r="V34" s="732">
        <f t="shared" ref="V34:V35" si="23">SUM(W33)</f>
        <v>0</v>
      </c>
      <c r="W34" s="728"/>
      <c r="X34" s="772">
        <f t="shared" si="0"/>
        <v>0</v>
      </c>
      <c r="Y34" s="762">
        <f t="shared" si="21"/>
        <v>43982</v>
      </c>
      <c r="Z34" s="6"/>
      <c r="AA34" s="726">
        <f t="shared" si="14"/>
        <v>0</v>
      </c>
      <c r="AB34" s="730">
        <f>'Water-Meter'!P36</f>
        <v>0</v>
      </c>
      <c r="AC34" s="763">
        <f t="shared" si="9"/>
        <v>0</v>
      </c>
    </row>
    <row r="35" spans="1:29" ht="20.25" customHeight="1" thickBot="1">
      <c r="A35" s="743" t="e">
        <f>[1]Gen!B42</f>
        <v>#REF!</v>
      </c>
      <c r="B35" s="753" t="e">
        <f>[1]Gen!A42</f>
        <v>#REF!</v>
      </c>
      <c r="C35" s="8"/>
      <c r="D35" s="754">
        <f t="shared" si="18"/>
        <v>0</v>
      </c>
      <c r="E35" s="755"/>
      <c r="F35" s="756">
        <f>SUM(F4:F6)</f>
        <v>312.00000000004366</v>
      </c>
      <c r="G35" s="8"/>
      <c r="H35" s="757" t="e">
        <f t="shared" si="10"/>
        <v>#REF!</v>
      </c>
      <c r="I35" s="83"/>
      <c r="J35" s="765">
        <f t="shared" si="19"/>
        <v>0</v>
      </c>
      <c r="K35" s="778">
        <f>'Water-Meter'!G37</f>
        <v>0</v>
      </c>
      <c r="L35" s="779">
        <f>SUM(L5:L34)</f>
        <v>-38000</v>
      </c>
      <c r="M35" s="764" t="e">
        <f t="shared" si="11"/>
        <v>#REF!</v>
      </c>
      <c r="N35" s="8"/>
      <c r="O35" s="765">
        <f t="shared" si="22"/>
        <v>0</v>
      </c>
      <c r="P35" s="766">
        <f>'Water-Meter'!J37</f>
        <v>0</v>
      </c>
      <c r="Q35" s="779">
        <f>SUM(Q5:Q34)</f>
        <v>-7904</v>
      </c>
      <c r="R35" s="786">
        <f t="shared" si="16"/>
        <v>-4.8941176470588239</v>
      </c>
      <c r="S35" s="787">
        <f>Gen!T42</f>
        <v>0</v>
      </c>
      <c r="T35" s="781" t="e">
        <f t="shared" si="20"/>
        <v>#REF!</v>
      </c>
      <c r="U35" s="8"/>
      <c r="V35" s="754">
        <f t="shared" si="23"/>
        <v>0</v>
      </c>
      <c r="W35" s="773"/>
      <c r="X35" s="774">
        <f t="shared" si="0"/>
        <v>0</v>
      </c>
      <c r="Y35" s="764" t="e">
        <f t="shared" si="21"/>
        <v>#REF!</v>
      </c>
      <c r="Z35" s="8"/>
      <c r="AA35" s="765">
        <f t="shared" si="14"/>
        <v>0</v>
      </c>
      <c r="AB35" s="766">
        <f>'Water-Meter'!P37</f>
        <v>0</v>
      </c>
      <c r="AC35" s="767">
        <f>SUM(AC5:AC34)</f>
        <v>-20132</v>
      </c>
    </row>
    <row r="36" spans="1:29" ht="24.75" customHeight="1">
      <c r="D36" s="20"/>
      <c r="E36" s="461"/>
      <c r="L36" s="153"/>
      <c r="Q36" s="153"/>
      <c r="R36" s="200"/>
      <c r="X36" s="459">
        <f>SUM(X4:X6)</f>
        <v>20.00000000007276</v>
      </c>
      <c r="AC36" s="153"/>
    </row>
    <row r="37" spans="1:29" ht="12.75" customHeight="1">
      <c r="D37" s="20"/>
      <c r="E37" s="461"/>
      <c r="G37" s="20"/>
    </row>
    <row r="38" spans="1:29" ht="12.75" customHeight="1">
      <c r="E38" s="195"/>
      <c r="G38" s="20"/>
      <c r="K38" s="195"/>
      <c r="W38" s="195"/>
      <c r="AB38" s="195"/>
    </row>
    <row r="39" spans="1:29" ht="12.75" customHeight="1">
      <c r="E39" s="461"/>
      <c r="G39" s="20"/>
    </row>
    <row r="40" spans="1:29" ht="12.75" customHeight="1">
      <c r="D40" s="153"/>
      <c r="E40" s="195"/>
      <c r="G40" s="20"/>
      <c r="V40" s="153"/>
      <c r="W40" s="195"/>
    </row>
    <row r="41" spans="1:29" ht="12.75" customHeight="1">
      <c r="E41" s="461"/>
      <c r="G41" s="20"/>
    </row>
    <row r="42" spans="1:29" ht="12.75" customHeight="1">
      <c r="C42" s="196"/>
      <c r="E42" s="462"/>
      <c r="G42" s="20"/>
      <c r="U42" s="196"/>
    </row>
    <row r="43" spans="1:29" ht="18.75">
      <c r="E43" s="461"/>
    </row>
    <row r="44" spans="1:29">
      <c r="E44" s="462"/>
    </row>
    <row r="45" spans="1:29" ht="18.75">
      <c r="E45" s="461"/>
    </row>
    <row r="46" spans="1:29">
      <c r="E46" s="462"/>
    </row>
    <row r="47" spans="1:29" ht="18.75">
      <c r="E47" s="461"/>
    </row>
    <row r="48" spans="1:29">
      <c r="E48" s="462"/>
    </row>
    <row r="49" spans="5:5" ht="18.75">
      <c r="E49" s="461"/>
    </row>
    <row r="50" spans="5:5">
      <c r="E50" s="462"/>
    </row>
    <row r="51" spans="5:5" ht="18.75">
      <c r="E51" s="461"/>
    </row>
    <row r="52" spans="5:5">
      <c r="E52" s="462"/>
    </row>
    <row r="53" spans="5:5" ht="18.75">
      <c r="E53" s="461"/>
    </row>
  </sheetData>
  <mergeCells count="10">
    <mergeCell ref="Y1:AC1"/>
    <mergeCell ref="Y3:Z3"/>
    <mergeCell ref="M1:Q1"/>
    <mergeCell ref="M3:N3"/>
    <mergeCell ref="B1:F1"/>
    <mergeCell ref="H1:L1"/>
    <mergeCell ref="B3:C3"/>
    <mergeCell ref="H3:I3"/>
    <mergeCell ref="T1:X1"/>
    <mergeCell ref="T3:U3"/>
  </mergeCells>
  <pageMargins left="0.7" right="0.7" top="0.75" bottom="0.75" header="0.3" footer="0.3"/>
  <pageSetup paperSize="9" scale="3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M39"/>
  <sheetViews>
    <sheetView workbookViewId="0">
      <selection activeCell="F25" sqref="F25"/>
    </sheetView>
  </sheetViews>
  <sheetFormatPr defaultRowHeight="12.75"/>
  <cols>
    <col min="1" max="1" width="10" bestFit="1" customWidth="1"/>
    <col min="2" max="2" width="10.85546875" customWidth="1"/>
    <col min="3" max="3" width="8.85546875" customWidth="1"/>
    <col min="4" max="4" width="8.28515625" customWidth="1"/>
    <col min="5" max="5" width="7.42578125" customWidth="1"/>
    <col min="6" max="6" width="8.28515625" customWidth="1"/>
    <col min="7" max="7" width="12.5703125" customWidth="1"/>
    <col min="8" max="8" width="12.28515625" customWidth="1"/>
    <col min="9" max="9" width="12" customWidth="1"/>
    <col min="10" max="10" width="9.5703125" customWidth="1"/>
    <col min="11" max="11" width="11.85546875" bestFit="1" customWidth="1"/>
    <col min="12" max="12" width="12.5703125" customWidth="1"/>
    <col min="13" max="13" width="9.140625" hidden="1" customWidth="1"/>
  </cols>
  <sheetData>
    <row r="1" spans="1:13" ht="13.5" thickBot="1"/>
    <row r="2" spans="1:13">
      <c r="A2" s="819" t="s">
        <v>316</v>
      </c>
      <c r="B2" s="820"/>
      <c r="C2" s="820"/>
      <c r="D2" s="820"/>
      <c r="E2" s="821"/>
      <c r="F2" s="121"/>
      <c r="G2" s="121"/>
      <c r="H2" s="121"/>
      <c r="I2" s="121"/>
      <c r="J2" s="121"/>
      <c r="K2" s="121"/>
      <c r="L2" s="121"/>
    </row>
    <row r="3" spans="1:13" ht="50.25" customHeight="1">
      <c r="A3" s="63"/>
      <c r="B3" s="17"/>
      <c r="C3" s="6"/>
      <c r="D3" s="6"/>
      <c r="E3" s="6"/>
      <c r="F3" s="6"/>
      <c r="G3" s="6"/>
      <c r="H3" s="6"/>
      <c r="I3" s="6"/>
      <c r="J3" s="6"/>
      <c r="K3" s="6"/>
      <c r="L3" s="6"/>
    </row>
    <row r="4" spans="1:13" s="51" customFormat="1" ht="50.25" customHeight="1">
      <c r="A4" s="64" t="s">
        <v>0</v>
      </c>
      <c r="B4" s="82" t="s">
        <v>66</v>
      </c>
      <c r="C4" s="357" t="s">
        <v>50</v>
      </c>
      <c r="D4" s="53" t="s">
        <v>64</v>
      </c>
      <c r="E4" s="53" t="s">
        <v>65</v>
      </c>
      <c r="F4" s="74" t="s">
        <v>42</v>
      </c>
      <c r="G4" s="53" t="s">
        <v>203</v>
      </c>
      <c r="H4" s="53" t="s">
        <v>206</v>
      </c>
      <c r="I4" s="53" t="s">
        <v>204</v>
      </c>
      <c r="J4" s="53" t="s">
        <v>205</v>
      </c>
      <c r="K4" s="74" t="s">
        <v>51</v>
      </c>
      <c r="L4" s="74" t="s">
        <v>76</v>
      </c>
    </row>
    <row r="5" spans="1:13">
      <c r="A5" s="54">
        <f>Gen!B11</f>
        <v>43952</v>
      </c>
      <c r="B5" s="378">
        <f>'Daily report Gen'!Z6</f>
        <v>24</v>
      </c>
      <c r="C5" s="89">
        <f>Gen!C11</f>
        <v>0</v>
      </c>
      <c r="D5" s="519">
        <f t="shared" ref="D5:D36" si="0">E5</f>
        <v>0</v>
      </c>
      <c r="E5" s="76"/>
      <c r="F5" s="72">
        <f>Gen!U9</f>
        <v>0</v>
      </c>
      <c r="G5" s="87">
        <f>Gen!T9</f>
        <v>0</v>
      </c>
      <c r="H5" s="87">
        <f>Gen!AK11</f>
        <v>0</v>
      </c>
      <c r="I5" s="87">
        <f t="shared" ref="I5:I36" si="1">SUM(G5:H5)</f>
        <v>0</v>
      </c>
      <c r="J5" s="533">
        <f>Gen!D11</f>
        <v>43367.69</v>
      </c>
      <c r="K5" s="351">
        <f>'Water-Meter'!E6</f>
        <v>31</v>
      </c>
      <c r="L5" s="534">
        <f>'Lpg (2)'!G10</f>
        <v>34.9799999999872</v>
      </c>
      <c r="M5" s="81" t="e">
        <f>SUM(#REF!-#REF!)</f>
        <v>#REF!</v>
      </c>
    </row>
    <row r="6" spans="1:13">
      <c r="A6" s="54">
        <f>Gen!B12</f>
        <v>43953</v>
      </c>
      <c r="B6" s="378">
        <f>'Daily report Gen'!Z7</f>
        <v>24</v>
      </c>
      <c r="C6" s="89">
        <f>Gen!C12</f>
        <v>0</v>
      </c>
      <c r="D6" s="519">
        <f t="shared" si="0"/>
        <v>0</v>
      </c>
      <c r="E6" s="76"/>
      <c r="F6" s="72">
        <f>Gen!U10</f>
        <v>0</v>
      </c>
      <c r="G6" s="87">
        <f>Gen!T10</f>
        <v>0</v>
      </c>
      <c r="H6" s="87">
        <f>Gen!AK12</f>
        <v>0</v>
      </c>
      <c r="I6" s="87">
        <f t="shared" si="1"/>
        <v>0</v>
      </c>
      <c r="J6" s="533">
        <f>Gen!D12</f>
        <v>42689.62</v>
      </c>
      <c r="K6" s="351">
        <f>'Water-Meter'!E7</f>
        <v>31</v>
      </c>
      <c r="L6" s="534">
        <f>'Lpg (2)'!G11</f>
        <v>19.75600000002305</v>
      </c>
      <c r="M6" s="81" t="e">
        <f>SUM(#REF!-#REF!)</f>
        <v>#REF!</v>
      </c>
    </row>
    <row r="7" spans="1:13">
      <c r="A7" s="54">
        <f>Gen!B13</f>
        <v>43954</v>
      </c>
      <c r="B7" s="378">
        <f>'Daily report Gen'!Z8</f>
        <v>26</v>
      </c>
      <c r="C7" s="89">
        <f>Gen!C13</f>
        <v>0</v>
      </c>
      <c r="D7" s="519">
        <f t="shared" si="0"/>
        <v>0</v>
      </c>
      <c r="E7" s="76"/>
      <c r="F7" s="72">
        <f>Gen!U11</f>
        <v>1620</v>
      </c>
      <c r="G7" s="87">
        <f>Gen!T11</f>
        <v>678.06999999999994</v>
      </c>
      <c r="H7" s="87">
        <f>Gen!AK13</f>
        <v>0</v>
      </c>
      <c r="I7" s="87">
        <f t="shared" si="1"/>
        <v>678.06999999999994</v>
      </c>
      <c r="J7" s="533">
        <f>Gen!D13</f>
        <v>42029.96</v>
      </c>
      <c r="K7" s="351">
        <f>'Water-Meter'!E8</f>
        <v>47</v>
      </c>
      <c r="L7" s="534">
        <f>'Lpg (2)'!G12</f>
        <v>26.97200000002049</v>
      </c>
      <c r="M7" s="81" t="e">
        <f>SUM(#REF!-#REF!)</f>
        <v>#REF!</v>
      </c>
    </row>
    <row r="8" spans="1:13">
      <c r="A8" s="54">
        <f>Gen!B14</f>
        <v>43955</v>
      </c>
      <c r="B8" s="378">
        <f>'Daily report Gen'!Z9</f>
        <v>23</v>
      </c>
      <c r="C8" s="89">
        <f>Gen!C14</f>
        <v>0</v>
      </c>
      <c r="D8" s="519">
        <f>E8</f>
        <v>0</v>
      </c>
      <c r="E8" s="76"/>
      <c r="F8" s="72">
        <f>Gen!U12</f>
        <v>1580</v>
      </c>
      <c r="G8" s="87">
        <f>Gen!T12</f>
        <v>659.66</v>
      </c>
      <c r="H8" s="87">
        <f>Gen!AK14</f>
        <v>2.33</v>
      </c>
      <c r="I8" s="87">
        <f t="shared" si="1"/>
        <v>661.99</v>
      </c>
      <c r="J8" s="533">
        <f>Gen!D14</f>
        <v>41370.67</v>
      </c>
      <c r="K8" s="351">
        <f>'Water-Meter'!E9</f>
        <v>31</v>
      </c>
      <c r="L8" s="534">
        <f>'Lpg (2)'!G13</f>
        <v>26.400000000000002</v>
      </c>
      <c r="M8" s="81" t="e">
        <f>SUM(#REF!-#REF!)</f>
        <v>#REF!</v>
      </c>
    </row>
    <row r="9" spans="1:13">
      <c r="A9" s="54">
        <f>Gen!B15</f>
        <v>43956</v>
      </c>
      <c r="B9" s="378">
        <f>'Daily report Gen'!Z10</f>
        <v>24</v>
      </c>
      <c r="C9" s="89">
        <f>Gen!C15</f>
        <v>0</v>
      </c>
      <c r="D9" s="519">
        <f t="shared" si="0"/>
        <v>0</v>
      </c>
      <c r="E9" s="76"/>
      <c r="F9" s="72">
        <f>Gen!U13</f>
        <v>1625</v>
      </c>
      <c r="G9" s="87">
        <f>Gen!T13</f>
        <v>659.29</v>
      </c>
      <c r="H9" s="87">
        <f>Gen!AK15</f>
        <v>0</v>
      </c>
      <c r="I9" s="87">
        <f t="shared" si="1"/>
        <v>659.29</v>
      </c>
      <c r="J9" s="533">
        <f>Gen!D15</f>
        <v>40734.409999999996</v>
      </c>
      <c r="K9" s="351">
        <f>'Water-Meter'!E10</f>
        <v>30</v>
      </c>
      <c r="L9" s="534">
        <f>'Lpg (2)'!G14</f>
        <v>22.439999999961586</v>
      </c>
      <c r="M9" s="81" t="e">
        <f>SUM(#REF!-#REF!)</f>
        <v>#REF!</v>
      </c>
    </row>
    <row r="10" spans="1:13">
      <c r="A10" s="54">
        <f>Gen!B16</f>
        <v>43957</v>
      </c>
      <c r="B10" s="378">
        <f>'Daily report Gen'!Z11</f>
        <v>24</v>
      </c>
      <c r="C10" s="89">
        <f>Gen!C16</f>
        <v>0</v>
      </c>
      <c r="D10" s="519">
        <f t="shared" si="0"/>
        <v>0</v>
      </c>
      <c r="E10" s="76"/>
      <c r="F10" s="72">
        <f>Gen!U14</f>
        <v>1460</v>
      </c>
      <c r="G10" s="87">
        <f>Gen!T14</f>
        <v>633.92999999999995</v>
      </c>
      <c r="H10" s="87">
        <f>Gen!AK16</f>
        <v>31.11</v>
      </c>
      <c r="I10" s="87">
        <f t="shared" si="1"/>
        <v>665.04</v>
      </c>
      <c r="J10" s="533">
        <f>Gen!D16</f>
        <v>40088.17</v>
      </c>
      <c r="K10" s="351">
        <f>'Water-Meter'!E11</f>
        <v>33</v>
      </c>
      <c r="L10" s="534">
        <f>'Lpg (2)'!G15</f>
        <v>14.608000000030735</v>
      </c>
      <c r="M10" s="81" t="e">
        <f>SUM(#REF!-#REF!)</f>
        <v>#REF!</v>
      </c>
    </row>
    <row r="11" spans="1:13">
      <c r="A11" s="54">
        <f>Gen!B17</f>
        <v>43958</v>
      </c>
      <c r="B11" s="378">
        <f>'Daily report Gen'!Z12</f>
        <v>24</v>
      </c>
      <c r="C11" s="89">
        <f>Gen!C17</f>
        <v>0</v>
      </c>
      <c r="D11" s="519">
        <f t="shared" si="0"/>
        <v>0</v>
      </c>
      <c r="E11" s="76"/>
      <c r="F11" s="72">
        <f>Gen!U15</f>
        <v>1531</v>
      </c>
      <c r="G11" s="87">
        <f>Gen!T15</f>
        <v>646.24</v>
      </c>
      <c r="H11" s="87">
        <f>Gen!AK17</f>
        <v>22.97</v>
      </c>
      <c r="I11" s="87">
        <f t="shared" si="1"/>
        <v>669.21</v>
      </c>
      <c r="J11" s="533">
        <f>Gen!D17</f>
        <v>39429.18</v>
      </c>
      <c r="K11" s="351">
        <f>'Water-Meter'!E12</f>
        <v>41</v>
      </c>
      <c r="L11" s="534">
        <f>'Lpg (2)'!G16</f>
        <v>32.252000000007683</v>
      </c>
      <c r="M11" s="81" t="e">
        <f>SUM(#REF!-#REF!)</f>
        <v>#REF!</v>
      </c>
    </row>
    <row r="12" spans="1:13">
      <c r="A12" s="54">
        <f>Gen!B18</f>
        <v>43959</v>
      </c>
      <c r="B12" s="378">
        <f>'Daily report Gen'!Z13</f>
        <v>25</v>
      </c>
      <c r="C12" s="89">
        <f>Gen!C18</f>
        <v>0</v>
      </c>
      <c r="D12" s="519">
        <f t="shared" si="0"/>
        <v>0</v>
      </c>
      <c r="E12" s="76"/>
      <c r="F12" s="72">
        <f>Gen!U16</f>
        <v>0</v>
      </c>
      <c r="G12" s="87">
        <f>Gen!T16</f>
        <v>627.88</v>
      </c>
      <c r="H12" s="87">
        <f>Gen!AK18</f>
        <v>80.099999999999994</v>
      </c>
      <c r="I12" s="87">
        <f t="shared" si="1"/>
        <v>707.98</v>
      </c>
      <c r="J12" s="533">
        <f>Gen!D18</f>
        <v>38768.69</v>
      </c>
      <c r="K12" s="351">
        <f>'Water-Meter'!E13</f>
        <v>37</v>
      </c>
      <c r="L12" s="534">
        <f>'Lpg (2)'!G17</f>
        <v>35.551999999943661</v>
      </c>
      <c r="M12" s="81" t="e">
        <f>SUM(#REF!-#REF!)</f>
        <v>#REF!</v>
      </c>
    </row>
    <row r="13" spans="1:13">
      <c r="A13" s="54">
        <f>Gen!B19</f>
        <v>43960</v>
      </c>
      <c r="B13" s="378">
        <f>'Daily report Gen'!Z14</f>
        <v>25</v>
      </c>
      <c r="C13" s="89">
        <f>Gen!C19</f>
        <v>0</v>
      </c>
      <c r="D13" s="519">
        <f t="shared" si="0"/>
        <v>0</v>
      </c>
      <c r="E13" s="76"/>
      <c r="F13" s="72">
        <f>Gen!U17</f>
        <v>1434</v>
      </c>
      <c r="G13" s="87">
        <f>Gen!T17</f>
        <v>637.52</v>
      </c>
      <c r="H13" s="87">
        <f>Gen!AK19</f>
        <v>0</v>
      </c>
      <c r="I13" s="87">
        <f t="shared" si="1"/>
        <v>637.52</v>
      </c>
      <c r="J13" s="533">
        <f>Gen!D19</f>
        <v>37995.760000000002</v>
      </c>
      <c r="K13" s="351">
        <f>'Water-Meter'!E14</f>
        <v>51</v>
      </c>
      <c r="L13" s="534">
        <f>'Lpg (2)'!G18</f>
        <v>28.908000000030736</v>
      </c>
      <c r="M13" s="81" t="e">
        <f>SUM(#REF!-#REF!)</f>
        <v>#REF!</v>
      </c>
    </row>
    <row r="14" spans="1:13">
      <c r="A14" s="54">
        <f>Gen!B20</f>
        <v>43961</v>
      </c>
      <c r="B14" s="378">
        <f>'Daily report Gen'!Z15</f>
        <v>25</v>
      </c>
      <c r="C14" s="89">
        <f>Gen!C20</f>
        <v>0</v>
      </c>
      <c r="D14" s="519">
        <f t="shared" si="0"/>
        <v>0</v>
      </c>
      <c r="E14" s="76"/>
      <c r="F14" s="72">
        <f>Gen!U18</f>
        <v>1432</v>
      </c>
      <c r="G14" s="87">
        <f>Gen!T18</f>
        <v>692.82999999999993</v>
      </c>
      <c r="H14" s="87">
        <f>Gen!AK20</f>
        <v>0</v>
      </c>
      <c r="I14" s="87">
        <f t="shared" si="1"/>
        <v>692.82999999999993</v>
      </c>
      <c r="J14" s="533">
        <f>Gen!D20</f>
        <v>37333.660000000003</v>
      </c>
      <c r="K14" s="351">
        <f>'Water-Meter'!E15</f>
        <v>51</v>
      </c>
      <c r="L14" s="534">
        <f>'Lpg (2)'!G19</f>
        <v>45.143999999976955</v>
      </c>
      <c r="M14" s="81" t="e">
        <f>SUM(#REF!-#REF!)</f>
        <v>#REF!</v>
      </c>
    </row>
    <row r="15" spans="1:13">
      <c r="A15" s="54">
        <f>Gen!B21</f>
        <v>43962</v>
      </c>
      <c r="B15" s="378">
        <f>'Daily report Gen'!Z16</f>
        <v>24</v>
      </c>
      <c r="C15" s="89">
        <f>Gen!C21</f>
        <v>0</v>
      </c>
      <c r="D15" s="519">
        <f t="shared" si="0"/>
        <v>0</v>
      </c>
      <c r="E15" s="76"/>
      <c r="F15" s="72">
        <f>Gen!U19</f>
        <v>1527</v>
      </c>
      <c r="G15" s="87">
        <f>Gen!T19</f>
        <v>662.1</v>
      </c>
      <c r="H15" s="87">
        <f>Gen!AK21</f>
        <v>0</v>
      </c>
      <c r="I15" s="87">
        <f t="shared" si="1"/>
        <v>662.1</v>
      </c>
      <c r="J15" s="533">
        <f>Gen!D21</f>
        <v>36681.33</v>
      </c>
      <c r="K15" s="351">
        <f>'Water-Meter'!E16</f>
        <v>56</v>
      </c>
      <c r="L15" s="534">
        <f>'Lpg (2)'!G20</f>
        <v>38.896000000048666</v>
      </c>
      <c r="M15" s="81" t="e">
        <f>SUM(#REF!-#REF!)</f>
        <v>#REF!</v>
      </c>
    </row>
    <row r="16" spans="1:13">
      <c r="A16" s="54">
        <f>Gen!B22</f>
        <v>43963</v>
      </c>
      <c r="B16" s="378">
        <f>'Daily report Gen'!Z17</f>
        <v>24</v>
      </c>
      <c r="C16" s="89">
        <f>Gen!C22</f>
        <v>0</v>
      </c>
      <c r="D16" s="519">
        <f t="shared" si="0"/>
        <v>0</v>
      </c>
      <c r="E16" s="76"/>
      <c r="F16" s="72">
        <f>Gen!U20</f>
        <v>1451</v>
      </c>
      <c r="G16" s="87">
        <f>Gen!T20</f>
        <v>652.33000000000004</v>
      </c>
      <c r="H16" s="87">
        <f>Gen!AK22</f>
        <v>106.89</v>
      </c>
      <c r="I16" s="87">
        <f t="shared" si="1"/>
        <v>759.22</v>
      </c>
      <c r="J16" s="533">
        <f>Gen!D22</f>
        <v>46005.94</v>
      </c>
      <c r="K16" s="351">
        <f>'Water-Meter'!E17</f>
        <v>58</v>
      </c>
      <c r="L16" s="534">
        <f>'Lpg (2)'!G21</f>
        <v>27.01599999999744</v>
      </c>
      <c r="M16" s="81" t="e">
        <f>SUM(#REF!-#REF!)</f>
        <v>#REF!</v>
      </c>
    </row>
    <row r="17" spans="1:13">
      <c r="A17" s="54">
        <f>Gen!B23</f>
        <v>43964</v>
      </c>
      <c r="B17" s="378">
        <f>'Daily report Gen'!Z18</f>
        <v>11</v>
      </c>
      <c r="C17" s="89">
        <f>Gen!C23</f>
        <v>0</v>
      </c>
      <c r="D17" s="519">
        <f t="shared" si="0"/>
        <v>0</v>
      </c>
      <c r="E17" s="76"/>
      <c r="F17" s="72">
        <f>Gen!U21</f>
        <v>1449</v>
      </c>
      <c r="G17" s="87">
        <f>Gen!T21</f>
        <v>675.39</v>
      </c>
      <c r="H17" s="87">
        <f>Gen!AK23</f>
        <v>0</v>
      </c>
      <c r="I17" s="87">
        <f t="shared" si="1"/>
        <v>675.39</v>
      </c>
      <c r="J17" s="533">
        <f>Gen!D23</f>
        <v>45180.04</v>
      </c>
      <c r="K17" s="351">
        <f>'Water-Meter'!E18</f>
        <v>41</v>
      </c>
      <c r="L17" s="534">
        <f>'Lpg (2)'!G22</f>
        <v>29.21599999999744</v>
      </c>
      <c r="M17" s="81" t="e">
        <f>SUM(#REF!-#REF!)</f>
        <v>#REF!</v>
      </c>
    </row>
    <row r="18" spans="1:13">
      <c r="A18" s="54">
        <f>Gen!B24</f>
        <v>43965</v>
      </c>
      <c r="B18" s="378">
        <f>'Daily report Gen'!Z19</f>
        <v>24</v>
      </c>
      <c r="C18" s="89">
        <f>Gen!C24</f>
        <v>0</v>
      </c>
      <c r="D18" s="519">
        <f t="shared" si="0"/>
        <v>0</v>
      </c>
      <c r="E18" s="76"/>
      <c r="F18" s="72">
        <f>Gen!U22</f>
        <v>1623</v>
      </c>
      <c r="G18" s="87">
        <f>Gen!T22</f>
        <v>719.01</v>
      </c>
      <c r="H18" s="87">
        <f>Gen!AK24</f>
        <v>0</v>
      </c>
      <c r="I18" s="87">
        <f t="shared" si="1"/>
        <v>719.01</v>
      </c>
      <c r="J18" s="533">
        <f>Gen!D24</f>
        <v>44523.85</v>
      </c>
      <c r="K18" s="351">
        <f>'Water-Meter'!E19</f>
        <v>33</v>
      </c>
      <c r="L18" s="534">
        <f>'Lpg (2)'!G23</f>
        <v>37.179999999987196</v>
      </c>
      <c r="M18" s="81" t="e">
        <f>SUM(#REF!-#REF!)</f>
        <v>#REF!</v>
      </c>
    </row>
    <row r="19" spans="1:13">
      <c r="A19" s="54">
        <f>Gen!B25</f>
        <v>43966</v>
      </c>
      <c r="B19" s="378">
        <f>'Daily report Gen'!Z20</f>
        <v>-150948</v>
      </c>
      <c r="C19" s="89">
        <f>Gen!C25</f>
        <v>0</v>
      </c>
      <c r="D19" s="519">
        <f t="shared" si="0"/>
        <v>0</v>
      </c>
      <c r="E19" s="76"/>
      <c r="F19" s="72">
        <f>Gen!U23</f>
        <v>1552</v>
      </c>
      <c r="G19" s="87">
        <f>Gen!T23</f>
        <v>656.19</v>
      </c>
      <c r="H19" s="87">
        <f>Gen!AK25</f>
        <v>0</v>
      </c>
      <c r="I19" s="87">
        <f t="shared" si="1"/>
        <v>656.19</v>
      </c>
      <c r="J19" s="533">
        <f>Gen!D25</f>
        <v>43890.77</v>
      </c>
      <c r="K19" s="351" t="str">
        <f>'Water-Meter'!E20</f>
        <v>0</v>
      </c>
      <c r="L19" s="534">
        <f>'Lpg (2)'!G24</f>
        <v>-313549.85200000001</v>
      </c>
      <c r="M19" s="81" t="e">
        <f>SUM(#REF!-#REF!)</f>
        <v>#REF!</v>
      </c>
    </row>
    <row r="20" spans="1:13">
      <c r="A20" s="54">
        <f>Gen!B26</f>
        <v>43967</v>
      </c>
      <c r="B20" s="378">
        <f>'Daily report Gen'!Z21</f>
        <v>0</v>
      </c>
      <c r="C20" s="89">
        <f>Gen!C26</f>
        <v>0</v>
      </c>
      <c r="D20" s="519">
        <f t="shared" si="0"/>
        <v>0</v>
      </c>
      <c r="E20" s="76"/>
      <c r="F20" s="72">
        <f>Gen!U24</f>
        <v>1480</v>
      </c>
      <c r="G20" s="87">
        <f>Gen!T24</f>
        <v>633.07999999999993</v>
      </c>
      <c r="H20" s="87">
        <f>Gen!AK26</f>
        <v>0</v>
      </c>
      <c r="I20" s="87">
        <f t="shared" si="1"/>
        <v>633.07999999999993</v>
      </c>
      <c r="J20" s="533">
        <f>Gen!D26</f>
        <v>43890.77</v>
      </c>
      <c r="K20" s="351">
        <f>'Water-Meter'!E21</f>
        <v>0</v>
      </c>
      <c r="L20" s="534">
        <f>'Lpg (2)'!G25</f>
        <v>0</v>
      </c>
      <c r="M20" s="81" t="e">
        <f>SUM(#REF!-#REF!)</f>
        <v>#REF!</v>
      </c>
    </row>
    <row r="21" spans="1:13">
      <c r="A21" s="54">
        <f>Gen!B27</f>
        <v>43968</v>
      </c>
      <c r="B21" s="378">
        <f>'Daily report Gen'!Z22</f>
        <v>0</v>
      </c>
      <c r="C21" s="89">
        <f>Gen!C27</f>
        <v>0</v>
      </c>
      <c r="D21" s="519">
        <f t="shared" si="0"/>
        <v>0</v>
      </c>
      <c r="E21" s="76"/>
      <c r="F21" s="72">
        <f>Gen!U25</f>
        <v>0</v>
      </c>
      <c r="G21" s="87">
        <f>Gen!T25</f>
        <v>0</v>
      </c>
      <c r="H21" s="87">
        <f>Gen!AK27</f>
        <v>0</v>
      </c>
      <c r="I21" s="87">
        <f t="shared" si="1"/>
        <v>0</v>
      </c>
      <c r="J21" s="533">
        <f>Gen!D27</f>
        <v>43890.77</v>
      </c>
      <c r="K21" s="351">
        <f>'Water-Meter'!E22</f>
        <v>0</v>
      </c>
      <c r="L21" s="534">
        <f>'Lpg (2)'!G26</f>
        <v>0</v>
      </c>
      <c r="M21" s="81" t="e">
        <f>SUM(#REF!-#REF!)</f>
        <v>#REF!</v>
      </c>
    </row>
    <row r="22" spans="1:13">
      <c r="A22" s="54">
        <f>Gen!B28</f>
        <v>43969</v>
      </c>
      <c r="B22" s="378">
        <f>'Daily report Gen'!Z23</f>
        <v>0</v>
      </c>
      <c r="C22" s="89">
        <f>Gen!C28</f>
        <v>0</v>
      </c>
      <c r="D22" s="519">
        <f t="shared" si="0"/>
        <v>0</v>
      </c>
      <c r="E22" s="76"/>
      <c r="F22" s="72">
        <f>Gen!U26</f>
        <v>0</v>
      </c>
      <c r="G22" s="87">
        <f>Gen!T26</f>
        <v>0</v>
      </c>
      <c r="H22" s="87">
        <f>Gen!AK28</f>
        <v>0</v>
      </c>
      <c r="I22" s="87">
        <f t="shared" si="1"/>
        <v>0</v>
      </c>
      <c r="J22" s="533">
        <f>Gen!D28</f>
        <v>43890.77</v>
      </c>
      <c r="K22" s="351">
        <f>'Water-Meter'!E23</f>
        <v>0</v>
      </c>
      <c r="L22" s="534">
        <f>'Lpg (2)'!G27</f>
        <v>0</v>
      </c>
      <c r="M22" s="81" t="e">
        <f>SUM(#REF!-#REF!)</f>
        <v>#REF!</v>
      </c>
    </row>
    <row r="23" spans="1:13">
      <c r="A23" s="54">
        <f>Gen!B29</f>
        <v>43970</v>
      </c>
      <c r="B23" s="378">
        <f>'Daily report Gen'!Z24</f>
        <v>0</v>
      </c>
      <c r="C23" s="89">
        <f>Gen!C29</f>
        <v>0</v>
      </c>
      <c r="D23" s="519">
        <f t="shared" si="0"/>
        <v>0</v>
      </c>
      <c r="E23" s="76"/>
      <c r="F23" s="72">
        <f>Gen!U27</f>
        <v>0</v>
      </c>
      <c r="G23" s="87">
        <f>Gen!T27</f>
        <v>0</v>
      </c>
      <c r="H23" s="87">
        <f>Gen!AK29</f>
        <v>0</v>
      </c>
      <c r="I23" s="87">
        <f t="shared" si="1"/>
        <v>0</v>
      </c>
      <c r="J23" s="533">
        <f>Gen!D29</f>
        <v>43890.77</v>
      </c>
      <c r="K23" s="351">
        <f>'Water-Meter'!E24</f>
        <v>0</v>
      </c>
      <c r="L23" s="534">
        <f>'Lpg (2)'!G28</f>
        <v>0</v>
      </c>
      <c r="M23" s="81" t="e">
        <f>SUM(#REF!-#REF!)</f>
        <v>#REF!</v>
      </c>
    </row>
    <row r="24" spans="1:13">
      <c r="A24" s="54">
        <f>Gen!B30</f>
        <v>43971</v>
      </c>
      <c r="B24" s="378">
        <f>'Daily report Gen'!Z25</f>
        <v>0</v>
      </c>
      <c r="C24" s="89">
        <f>Gen!C30</f>
        <v>0</v>
      </c>
      <c r="D24" s="519">
        <f t="shared" si="0"/>
        <v>0</v>
      </c>
      <c r="E24" s="76"/>
      <c r="F24" s="72">
        <f>Gen!U28</f>
        <v>0</v>
      </c>
      <c r="G24" s="87">
        <f>Gen!T28</f>
        <v>0</v>
      </c>
      <c r="H24" s="87">
        <f>Gen!AK30</f>
        <v>0</v>
      </c>
      <c r="I24" s="87">
        <f t="shared" si="1"/>
        <v>0</v>
      </c>
      <c r="J24" s="533">
        <f>Gen!D30</f>
        <v>43890.77</v>
      </c>
      <c r="K24" s="351">
        <f>'Water-Meter'!E25</f>
        <v>0</v>
      </c>
      <c r="L24" s="534">
        <f>'Lpg (2)'!G29</f>
        <v>0</v>
      </c>
      <c r="M24" s="81" t="e">
        <f>SUM(#REF!-#REF!)</f>
        <v>#REF!</v>
      </c>
    </row>
    <row r="25" spans="1:13">
      <c r="A25" s="54">
        <f>Gen!B31</f>
        <v>43972</v>
      </c>
      <c r="B25" s="378">
        <f>'Daily report Gen'!Z26</f>
        <v>0</v>
      </c>
      <c r="C25" s="89">
        <f>Gen!C31</f>
        <v>0</v>
      </c>
      <c r="D25" s="519">
        <f t="shared" si="0"/>
        <v>0</v>
      </c>
      <c r="E25" s="76"/>
      <c r="F25" s="72">
        <f>Gen!U29</f>
        <v>0</v>
      </c>
      <c r="G25" s="87">
        <f>Gen!T29</f>
        <v>0</v>
      </c>
      <c r="H25" s="87">
        <f>Gen!AK31</f>
        <v>0</v>
      </c>
      <c r="I25" s="87">
        <f t="shared" si="1"/>
        <v>0</v>
      </c>
      <c r="J25" s="533">
        <f>Gen!D31</f>
        <v>43890.77</v>
      </c>
      <c r="K25" s="351">
        <f>'Water-Meter'!E26</f>
        <v>0</v>
      </c>
      <c r="L25" s="534">
        <f>'Lpg (2)'!G30</f>
        <v>0</v>
      </c>
      <c r="M25" s="81" t="e">
        <f>SUM(#REF!-#REF!)</f>
        <v>#REF!</v>
      </c>
    </row>
    <row r="26" spans="1:13">
      <c r="A26" s="54">
        <f>Gen!B32</f>
        <v>43973</v>
      </c>
      <c r="B26" s="378">
        <f>'Daily report Gen'!Z27</f>
        <v>0</v>
      </c>
      <c r="C26" s="89">
        <f>Gen!C32</f>
        <v>0</v>
      </c>
      <c r="D26" s="519">
        <f t="shared" si="0"/>
        <v>0</v>
      </c>
      <c r="E26" s="76"/>
      <c r="F26" s="72">
        <f>Gen!U30</f>
        <v>0</v>
      </c>
      <c r="G26" s="87">
        <f>Gen!T30</f>
        <v>0</v>
      </c>
      <c r="H26" s="87">
        <f>Gen!AK32</f>
        <v>0</v>
      </c>
      <c r="I26" s="87">
        <f t="shared" si="1"/>
        <v>0</v>
      </c>
      <c r="J26" s="533">
        <f>Gen!D32</f>
        <v>43890.77</v>
      </c>
      <c r="K26" s="351">
        <f>'Water-Meter'!E27</f>
        <v>0</v>
      </c>
      <c r="L26" s="534">
        <f>'Lpg (2)'!G31</f>
        <v>0</v>
      </c>
      <c r="M26" s="81" t="e">
        <f>SUM(#REF!-#REF!)</f>
        <v>#REF!</v>
      </c>
    </row>
    <row r="27" spans="1:13">
      <c r="A27" s="54">
        <f>Gen!B33</f>
        <v>43974</v>
      </c>
      <c r="B27" s="378">
        <f>'Daily report Gen'!Z28</f>
        <v>0</v>
      </c>
      <c r="C27" s="89">
        <f>Gen!C33</f>
        <v>0</v>
      </c>
      <c r="D27" s="519">
        <f t="shared" si="0"/>
        <v>0</v>
      </c>
      <c r="E27" s="76"/>
      <c r="F27" s="72">
        <f>Gen!U31</f>
        <v>0</v>
      </c>
      <c r="G27" s="87">
        <f>Gen!T31</f>
        <v>0</v>
      </c>
      <c r="H27" s="87">
        <f>Gen!AK33</f>
        <v>0</v>
      </c>
      <c r="I27" s="87">
        <f t="shared" si="1"/>
        <v>0</v>
      </c>
      <c r="J27" s="533">
        <f>Gen!D33</f>
        <v>43890.77</v>
      </c>
      <c r="K27" s="351">
        <f>'Water-Meter'!E28</f>
        <v>0</v>
      </c>
      <c r="L27" s="534">
        <f>'Lpg (2)'!G32</f>
        <v>0</v>
      </c>
      <c r="M27" s="81" t="e">
        <f>SUM(#REF!-#REF!)</f>
        <v>#REF!</v>
      </c>
    </row>
    <row r="28" spans="1:13">
      <c r="A28" s="54">
        <f>Gen!B34</f>
        <v>43975</v>
      </c>
      <c r="B28" s="378">
        <f>'Daily report Gen'!Z29</f>
        <v>0</v>
      </c>
      <c r="C28" s="89">
        <f>Gen!C34</f>
        <v>0</v>
      </c>
      <c r="D28" s="519">
        <f t="shared" si="0"/>
        <v>0</v>
      </c>
      <c r="E28" s="76"/>
      <c r="F28" s="72">
        <f>Gen!U32</f>
        <v>0</v>
      </c>
      <c r="G28" s="87">
        <f>Gen!T32</f>
        <v>0</v>
      </c>
      <c r="H28" s="87">
        <f>Gen!AK34</f>
        <v>0</v>
      </c>
      <c r="I28" s="87">
        <f t="shared" si="1"/>
        <v>0</v>
      </c>
      <c r="J28" s="533">
        <f>Gen!D34</f>
        <v>43890.77</v>
      </c>
      <c r="K28" s="351">
        <f>'Water-Meter'!E29</f>
        <v>0</v>
      </c>
      <c r="L28" s="534">
        <f>'Lpg (2)'!G33</f>
        <v>0</v>
      </c>
      <c r="M28" s="81" t="e">
        <f>SUM(#REF!-#REF!)</f>
        <v>#REF!</v>
      </c>
    </row>
    <row r="29" spans="1:13">
      <c r="A29" s="54">
        <f>Gen!B35</f>
        <v>43976</v>
      </c>
      <c r="B29" s="378">
        <f>'Daily report Gen'!Z30</f>
        <v>0</v>
      </c>
      <c r="C29" s="89">
        <f>Gen!C35</f>
        <v>0</v>
      </c>
      <c r="D29" s="519">
        <f t="shared" si="0"/>
        <v>0</v>
      </c>
      <c r="E29" s="76"/>
      <c r="F29" s="72">
        <f>Gen!U33</f>
        <v>0</v>
      </c>
      <c r="G29" s="87">
        <f>Gen!T33</f>
        <v>0</v>
      </c>
      <c r="H29" s="87">
        <f>Gen!AK35</f>
        <v>0</v>
      </c>
      <c r="I29" s="87">
        <f t="shared" si="1"/>
        <v>0</v>
      </c>
      <c r="J29" s="533">
        <f>Gen!D35</f>
        <v>43890.77</v>
      </c>
      <c r="K29" s="351">
        <f>'Water-Meter'!E30</f>
        <v>0</v>
      </c>
      <c r="L29" s="534">
        <f>'Lpg (2)'!G34</f>
        <v>0</v>
      </c>
      <c r="M29" s="81" t="e">
        <f>SUM(#REF!-#REF!)</f>
        <v>#REF!</v>
      </c>
    </row>
    <row r="30" spans="1:13">
      <c r="A30" s="54">
        <f>Gen!B36</f>
        <v>43977</v>
      </c>
      <c r="B30" s="378">
        <f>'Daily report Gen'!Z31</f>
        <v>0</v>
      </c>
      <c r="C30" s="89">
        <f>Gen!C36</f>
        <v>0</v>
      </c>
      <c r="D30" s="519">
        <f t="shared" si="0"/>
        <v>0</v>
      </c>
      <c r="E30" s="76"/>
      <c r="F30" s="72">
        <f>Gen!U34</f>
        <v>0</v>
      </c>
      <c r="G30" s="87">
        <f>Gen!T34</f>
        <v>0</v>
      </c>
      <c r="H30" s="87">
        <f>Gen!AK36</f>
        <v>0</v>
      </c>
      <c r="I30" s="87">
        <f t="shared" si="1"/>
        <v>0</v>
      </c>
      <c r="J30" s="533">
        <f>Gen!D36</f>
        <v>43890.77</v>
      </c>
      <c r="K30" s="351">
        <f>'Water-Meter'!E31</f>
        <v>0</v>
      </c>
      <c r="L30" s="534">
        <f>'Lpg (2)'!G35</f>
        <v>0</v>
      </c>
      <c r="M30" s="81" t="e">
        <f>SUM(#REF!-#REF!)</f>
        <v>#REF!</v>
      </c>
    </row>
    <row r="31" spans="1:13">
      <c r="A31" s="54">
        <f>Gen!B37</f>
        <v>43978</v>
      </c>
      <c r="B31" s="378">
        <f>'Daily report Gen'!Z32</f>
        <v>0</v>
      </c>
      <c r="C31" s="89">
        <f>Gen!C37</f>
        <v>0</v>
      </c>
      <c r="D31" s="519">
        <f t="shared" si="0"/>
        <v>0</v>
      </c>
      <c r="E31" s="76"/>
      <c r="F31" s="72">
        <f>Gen!U35</f>
        <v>0</v>
      </c>
      <c r="G31" s="87">
        <f>Gen!T35</f>
        <v>0</v>
      </c>
      <c r="H31" s="87">
        <f>Gen!AK37</f>
        <v>0</v>
      </c>
      <c r="I31" s="87">
        <f t="shared" si="1"/>
        <v>0</v>
      </c>
      <c r="J31" s="533">
        <f>Gen!D37</f>
        <v>43890.77</v>
      </c>
      <c r="K31" s="351">
        <f>'Water-Meter'!E32</f>
        <v>0</v>
      </c>
      <c r="L31" s="534">
        <f>'Lpg (2)'!G36</f>
        <v>0</v>
      </c>
      <c r="M31" s="81" t="e">
        <f>SUM(#REF!-#REF!)</f>
        <v>#REF!</v>
      </c>
    </row>
    <row r="32" spans="1:13">
      <c r="A32" s="54">
        <f>Gen!B38</f>
        <v>43979</v>
      </c>
      <c r="B32" s="378">
        <f>'Daily report Gen'!Z33</f>
        <v>0</v>
      </c>
      <c r="C32" s="89">
        <f>Gen!C38</f>
        <v>0</v>
      </c>
      <c r="D32" s="519">
        <f t="shared" si="0"/>
        <v>0</v>
      </c>
      <c r="E32" s="76"/>
      <c r="F32" s="72">
        <f>Gen!U36</f>
        <v>0</v>
      </c>
      <c r="G32" s="87">
        <f>Gen!T36</f>
        <v>0</v>
      </c>
      <c r="H32" s="87">
        <f>Gen!AK38</f>
        <v>0</v>
      </c>
      <c r="I32" s="87">
        <f t="shared" si="1"/>
        <v>0</v>
      </c>
      <c r="J32" s="533">
        <f>Gen!D38</f>
        <v>43890.77</v>
      </c>
      <c r="K32" s="351">
        <f>'Water-Meter'!E33</f>
        <v>0</v>
      </c>
      <c r="L32" s="534">
        <f>'Lpg (2)'!G37</f>
        <v>0</v>
      </c>
      <c r="M32" s="81" t="e">
        <f>SUM(#REF!-#REF!)</f>
        <v>#REF!</v>
      </c>
    </row>
    <row r="33" spans="1:13">
      <c r="A33" s="54">
        <f>Gen!B39</f>
        <v>43980</v>
      </c>
      <c r="B33" s="378">
        <f>'Daily report Gen'!Z34</f>
        <v>0</v>
      </c>
      <c r="C33" s="89">
        <f>Gen!C39</f>
        <v>0</v>
      </c>
      <c r="D33" s="519">
        <f t="shared" si="0"/>
        <v>0</v>
      </c>
      <c r="E33" s="76"/>
      <c r="F33" s="72">
        <f>Gen!U37</f>
        <v>0</v>
      </c>
      <c r="G33" s="87">
        <f>Gen!T37</f>
        <v>0</v>
      </c>
      <c r="H33" s="87">
        <f>Gen!AK39</f>
        <v>0</v>
      </c>
      <c r="I33" s="87">
        <f t="shared" si="1"/>
        <v>0</v>
      </c>
      <c r="J33" s="533">
        <f>Gen!D39</f>
        <v>43890.77</v>
      </c>
      <c r="K33" s="351">
        <f>'Water-Meter'!E34</f>
        <v>0</v>
      </c>
      <c r="L33" s="534">
        <f>'Lpg (2)'!G38</f>
        <v>0</v>
      </c>
      <c r="M33" s="81" t="e">
        <f>SUM(#REF!-#REF!)</f>
        <v>#REF!</v>
      </c>
    </row>
    <row r="34" spans="1:13">
      <c r="A34" s="54">
        <f>Gen!B40</f>
        <v>43981</v>
      </c>
      <c r="B34" s="378">
        <f>'Daily report Gen'!Z35</f>
        <v>0</v>
      </c>
      <c r="C34" s="89">
        <f>Gen!C40</f>
        <v>0</v>
      </c>
      <c r="D34" s="519">
        <f t="shared" si="0"/>
        <v>0</v>
      </c>
      <c r="E34" s="76"/>
      <c r="F34" s="72">
        <f>Gen!U38</f>
        <v>0</v>
      </c>
      <c r="G34" s="87">
        <f>Gen!T38</f>
        <v>0</v>
      </c>
      <c r="H34" s="87">
        <f>Gen!AK40</f>
        <v>0</v>
      </c>
      <c r="I34" s="87">
        <f t="shared" si="1"/>
        <v>0</v>
      </c>
      <c r="J34" s="533">
        <f>Gen!D40</f>
        <v>43890.77</v>
      </c>
      <c r="K34" s="351">
        <f>'Water-Meter'!E35</f>
        <v>0</v>
      </c>
      <c r="L34" s="534">
        <f>'Lpg (2)'!G39</f>
        <v>0</v>
      </c>
      <c r="M34" s="81" t="e">
        <f>SUM(#REF!-#REF!)</f>
        <v>#REF!</v>
      </c>
    </row>
    <row r="35" spans="1:13">
      <c r="A35" s="54">
        <f>Gen!B41</f>
        <v>43982</v>
      </c>
      <c r="B35" s="378">
        <f>'Daily report Gen'!Z36</f>
        <v>0</v>
      </c>
      <c r="C35" s="89">
        <f>Gen!C41</f>
        <v>0</v>
      </c>
      <c r="D35" s="519">
        <f t="shared" si="0"/>
        <v>0</v>
      </c>
      <c r="E35" s="76"/>
      <c r="F35" s="72">
        <f>Gen!U39</f>
        <v>0</v>
      </c>
      <c r="G35" s="87">
        <f>Gen!T39</f>
        <v>0</v>
      </c>
      <c r="H35" s="87">
        <f>Gen!AK41</f>
        <v>0</v>
      </c>
      <c r="I35" s="87">
        <f t="shared" si="1"/>
        <v>0</v>
      </c>
      <c r="J35" s="533">
        <f>Gen!D41</f>
        <v>43890.77</v>
      </c>
      <c r="K35" s="351">
        <f>'Water-Meter'!E36</f>
        <v>0</v>
      </c>
      <c r="L35" s="534">
        <f>'Lpg (2)'!G40</f>
        <v>0</v>
      </c>
      <c r="M35" s="81" t="e">
        <f>SUM(#REF!-#REF!)</f>
        <v>#REF!</v>
      </c>
    </row>
    <row r="36" spans="1:13">
      <c r="A36" s="54">
        <f>Gen!B42</f>
        <v>43983</v>
      </c>
      <c r="B36" s="378">
        <f>'Daily report Gen'!Z37</f>
        <v>0</v>
      </c>
      <c r="C36" s="89">
        <f>Gen!C42</f>
        <v>0</v>
      </c>
      <c r="D36" s="519">
        <f t="shared" si="0"/>
        <v>0</v>
      </c>
      <c r="E36" s="76"/>
      <c r="F36" s="72">
        <f>Gen!U40</f>
        <v>0</v>
      </c>
      <c r="G36" s="87">
        <f>Gen!T40</f>
        <v>0</v>
      </c>
      <c r="H36" s="87">
        <f>Gen!AK42</f>
        <v>0</v>
      </c>
      <c r="I36" s="87">
        <f t="shared" si="1"/>
        <v>0</v>
      </c>
      <c r="J36" s="533">
        <f>Gen!D42</f>
        <v>43890.77</v>
      </c>
      <c r="K36" s="351">
        <f>'Water-Meter'!E37</f>
        <v>0</v>
      </c>
      <c r="L36" s="534">
        <f>'Lpg (2)'!G41</f>
        <v>0</v>
      </c>
    </row>
    <row r="38" spans="1:13">
      <c r="B38" s="85"/>
      <c r="D38" s="89"/>
    </row>
    <row r="39" spans="1:13">
      <c r="B39" s="85"/>
      <c r="C39" s="85"/>
    </row>
  </sheetData>
  <mergeCells count="1">
    <mergeCell ref="A2:E2"/>
  </mergeCells>
  <pageMargins left="0.7" right="0.7" top="0.75" bottom="0.75" header="0.3" footer="0.3"/>
  <pageSetup paperSize="9" scale="61" fitToHeight="2" orientation="landscape" verticalDpi="300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>
  <dimension ref="A1:AC38"/>
  <sheetViews>
    <sheetView topLeftCell="E1" workbookViewId="0">
      <selection activeCell="X24" sqref="X24"/>
    </sheetView>
  </sheetViews>
  <sheetFormatPr defaultRowHeight="12.75"/>
  <cols>
    <col min="1" max="1" width="14.140625" customWidth="1"/>
    <col min="2" max="2" width="8.85546875" customWidth="1"/>
    <col min="3" max="3" width="13.5703125" customWidth="1"/>
    <col min="4" max="5" width="13" customWidth="1"/>
    <col min="6" max="6" width="12.42578125" customWidth="1"/>
    <col min="7" max="7" width="9.5703125" customWidth="1"/>
    <col min="8" max="8" width="10" customWidth="1"/>
    <col min="9" max="9" width="12.42578125" customWidth="1"/>
    <col min="10" max="10" width="13.42578125" customWidth="1"/>
    <col min="11" max="11" width="10.85546875" customWidth="1"/>
    <col min="12" max="12" width="12.5703125" customWidth="1"/>
    <col min="13" max="13" width="9" customWidth="1"/>
    <col min="14" max="14" width="10.28515625" customWidth="1"/>
    <col min="15" max="15" width="11.7109375" customWidth="1"/>
    <col min="16" max="16" width="8.28515625" customWidth="1"/>
    <col min="17" max="17" width="10.140625" customWidth="1"/>
    <col min="18" max="18" width="12.28515625" customWidth="1"/>
    <col min="19" max="19" width="9.140625" customWidth="1"/>
    <col min="20" max="20" width="10.42578125" customWidth="1"/>
    <col min="21" max="21" width="12.140625" customWidth="1"/>
    <col min="22" max="22" width="8.42578125" customWidth="1"/>
    <col min="23" max="23" width="10.42578125" customWidth="1"/>
    <col min="24" max="24" width="12.140625" customWidth="1"/>
    <col min="25" max="25" width="7.85546875" customWidth="1"/>
    <col min="26" max="26" width="9.140625" customWidth="1"/>
    <col min="27" max="27" width="10.85546875" customWidth="1"/>
    <col min="28" max="28" width="10.42578125" customWidth="1"/>
    <col min="29" max="29" width="11.7109375" customWidth="1"/>
  </cols>
  <sheetData>
    <row r="1" spans="1:29" ht="12.75" customHeight="1">
      <c r="A1" s="822">
        <v>43952</v>
      </c>
      <c r="B1" s="823"/>
      <c r="C1" s="823"/>
      <c r="D1" s="823"/>
      <c r="E1" s="823"/>
      <c r="F1" s="823"/>
      <c r="G1" s="823"/>
      <c r="H1" s="823"/>
      <c r="I1" s="823"/>
      <c r="J1" s="823"/>
      <c r="K1" s="823"/>
      <c r="L1" s="823"/>
      <c r="M1" s="823"/>
      <c r="N1" s="823"/>
      <c r="O1" s="823"/>
      <c r="P1" s="823"/>
      <c r="Q1" s="823"/>
      <c r="R1" s="823"/>
      <c r="S1" s="823"/>
      <c r="T1" s="823"/>
      <c r="U1" s="823"/>
      <c r="V1" s="823"/>
      <c r="W1" s="823"/>
      <c r="X1" s="823"/>
      <c r="Y1" s="823"/>
      <c r="Z1" s="823"/>
      <c r="AA1" s="823"/>
      <c r="AB1" s="823"/>
      <c r="AC1" s="20"/>
    </row>
    <row r="2" spans="1:29" ht="12" customHeight="1" thickBot="1">
      <c r="A2" s="823"/>
      <c r="B2" s="823"/>
      <c r="C2" s="823"/>
      <c r="D2" s="823"/>
      <c r="E2" s="823"/>
      <c r="F2" s="823"/>
      <c r="G2" s="823"/>
      <c r="H2" s="823"/>
      <c r="I2" s="823"/>
      <c r="J2" s="823"/>
      <c r="K2" s="823"/>
      <c r="L2" s="823"/>
      <c r="M2" s="823"/>
      <c r="N2" s="823"/>
      <c r="O2" s="823"/>
      <c r="P2" s="823"/>
      <c r="Q2" s="823"/>
      <c r="R2" s="823"/>
      <c r="S2" s="823"/>
      <c r="T2" s="823"/>
      <c r="U2" s="823"/>
      <c r="V2" s="823"/>
      <c r="W2" s="823"/>
      <c r="X2" s="823"/>
      <c r="Y2" s="823"/>
      <c r="Z2" s="823"/>
      <c r="AA2" s="823"/>
      <c r="AB2" s="823"/>
      <c r="AC2" s="20"/>
    </row>
    <row r="3" spans="1:29" ht="27.75" customHeight="1" thickBot="1">
      <c r="A3" s="20"/>
      <c r="B3" s="20"/>
      <c r="C3" s="20"/>
      <c r="D3" s="20"/>
      <c r="E3" s="20"/>
      <c r="F3" s="20"/>
      <c r="G3" s="20"/>
      <c r="H3" s="20"/>
      <c r="I3" s="40"/>
      <c r="J3" s="20"/>
      <c r="K3" s="824" t="s">
        <v>299</v>
      </c>
      <c r="L3" s="825"/>
      <c r="M3" s="826"/>
      <c r="N3" s="824" t="s">
        <v>300</v>
      </c>
      <c r="O3" s="825"/>
      <c r="P3" s="826"/>
      <c r="Q3" s="824" t="s">
        <v>301</v>
      </c>
      <c r="R3" s="825"/>
      <c r="S3" s="826"/>
      <c r="T3" s="824" t="s">
        <v>302</v>
      </c>
      <c r="U3" s="825"/>
      <c r="V3" s="826"/>
      <c r="W3" s="824" t="s">
        <v>303</v>
      </c>
      <c r="X3" s="825"/>
      <c r="Y3" s="826"/>
      <c r="Z3" s="362"/>
      <c r="AA3" s="20"/>
      <c r="AB3" s="20"/>
      <c r="AC3" s="20"/>
    </row>
    <row r="4" spans="1:29" ht="35.25" customHeight="1" thickBot="1">
      <c r="A4" s="311" t="s">
        <v>86</v>
      </c>
      <c r="B4" s="397" t="s">
        <v>87</v>
      </c>
      <c r="C4" s="397" t="s">
        <v>88</v>
      </c>
      <c r="D4" s="397" t="s">
        <v>89</v>
      </c>
      <c r="E4" s="397" t="s">
        <v>90</v>
      </c>
      <c r="F4" s="397" t="s">
        <v>242</v>
      </c>
      <c r="G4" s="398" t="s">
        <v>91</v>
      </c>
      <c r="H4" s="397" t="s">
        <v>92</v>
      </c>
      <c r="I4" s="398" t="s">
        <v>93</v>
      </c>
      <c r="J4" s="399" t="s">
        <v>94</v>
      </c>
      <c r="K4" s="400" t="s">
        <v>191</v>
      </c>
      <c r="L4" s="398" t="s">
        <v>192</v>
      </c>
      <c r="M4" s="398" t="s">
        <v>202</v>
      </c>
      <c r="N4" s="400" t="s">
        <v>191</v>
      </c>
      <c r="O4" s="398" t="s">
        <v>192</v>
      </c>
      <c r="P4" s="398" t="s">
        <v>202</v>
      </c>
      <c r="Q4" s="400" t="s">
        <v>191</v>
      </c>
      <c r="R4" s="398" t="s">
        <v>192</v>
      </c>
      <c r="S4" s="398" t="s">
        <v>202</v>
      </c>
      <c r="T4" s="400" t="s">
        <v>191</v>
      </c>
      <c r="U4" s="398" t="s">
        <v>192</v>
      </c>
      <c r="V4" s="398" t="s">
        <v>202</v>
      </c>
      <c r="W4" s="400" t="s">
        <v>191</v>
      </c>
      <c r="X4" s="398" t="s">
        <v>192</v>
      </c>
      <c r="Y4" s="399" t="s">
        <v>202</v>
      </c>
      <c r="Z4" s="401" t="s">
        <v>193</v>
      </c>
      <c r="AA4" s="397" t="s">
        <v>174</v>
      </c>
      <c r="AB4" s="402" t="s">
        <v>95</v>
      </c>
      <c r="AC4" s="403" t="s">
        <v>195</v>
      </c>
    </row>
    <row r="5" spans="1:29" ht="18.75" customHeight="1">
      <c r="A5" s="394"/>
      <c r="B5" s="396"/>
      <c r="C5" s="396"/>
      <c r="D5" s="396"/>
      <c r="E5" s="396"/>
      <c r="F5" s="396"/>
      <c r="G5" s="396"/>
      <c r="H5" s="396"/>
      <c r="I5" s="364"/>
      <c r="J5" s="364"/>
      <c r="K5" s="563"/>
      <c r="L5" s="364">
        <v>34300</v>
      </c>
      <c r="M5" s="563"/>
      <c r="N5" s="364"/>
      <c r="O5" s="364">
        <v>29391</v>
      </c>
      <c r="P5" s="395"/>
      <c r="Q5" s="364"/>
      <c r="R5" s="364">
        <v>34808</v>
      </c>
      <c r="S5" s="395"/>
      <c r="T5" s="364"/>
      <c r="U5" s="364">
        <v>32182</v>
      </c>
      <c r="V5" s="395"/>
      <c r="W5" s="364"/>
      <c r="X5" s="364">
        <v>19940</v>
      </c>
      <c r="Y5" s="395"/>
      <c r="Z5" s="395"/>
      <c r="AA5" s="128"/>
      <c r="AB5" s="128"/>
      <c r="AC5" s="395"/>
    </row>
    <row r="6" spans="1:29" ht="20.100000000000001" customHeight="1">
      <c r="A6" s="310">
        <f>Gen!B11</f>
        <v>43952</v>
      </c>
      <c r="B6" s="396">
        <f>Gen!C11</f>
        <v>0</v>
      </c>
      <c r="C6" s="364">
        <v>17371.490000000002</v>
      </c>
      <c r="D6" s="364">
        <v>25996.2</v>
      </c>
      <c r="E6" s="364"/>
      <c r="F6" s="364"/>
      <c r="G6" s="364"/>
      <c r="H6" s="364"/>
      <c r="I6" s="364">
        <v>30628.6</v>
      </c>
      <c r="J6" s="364">
        <v>20267.3</v>
      </c>
      <c r="K6" s="363">
        <f>L5</f>
        <v>34300</v>
      </c>
      <c r="L6" s="364">
        <v>34312</v>
      </c>
      <c r="M6" s="363">
        <f>L6-K6</f>
        <v>12</v>
      </c>
      <c r="N6" s="365">
        <f>O5</f>
        <v>29391</v>
      </c>
      <c r="O6" s="364">
        <v>29403</v>
      </c>
      <c r="P6" s="363">
        <f>O6-N6</f>
        <v>12</v>
      </c>
      <c r="Q6" s="363">
        <f>R5</f>
        <v>34808</v>
      </c>
      <c r="R6" s="364">
        <v>34808</v>
      </c>
      <c r="S6" s="363">
        <f>R6-Q6</f>
        <v>0</v>
      </c>
      <c r="T6" s="363">
        <f>U5</f>
        <v>32182</v>
      </c>
      <c r="U6" s="364">
        <v>32182</v>
      </c>
      <c r="V6" s="363">
        <f>U6-T6</f>
        <v>0</v>
      </c>
      <c r="W6" s="365">
        <f>X5</f>
        <v>19940</v>
      </c>
      <c r="X6" s="364">
        <v>19940</v>
      </c>
      <c r="Y6" s="363">
        <f>X6-W6</f>
        <v>0</v>
      </c>
      <c r="Z6" s="366">
        <f>Y6+V6+S6+P6+M6</f>
        <v>24</v>
      </c>
      <c r="AA6" s="128">
        <v>167</v>
      </c>
      <c r="AB6" s="128">
        <v>70</v>
      </c>
      <c r="AC6" s="315">
        <f>Gen!T11</f>
        <v>678.06999999999994</v>
      </c>
    </row>
    <row r="7" spans="1:29" ht="20.100000000000001" customHeight="1">
      <c r="A7" s="310">
        <f>Gen!B12</f>
        <v>43953</v>
      </c>
      <c r="B7" s="396">
        <f>Gen!C12</f>
        <v>0</v>
      </c>
      <c r="C7" s="364">
        <v>16693.419999999998</v>
      </c>
      <c r="D7" s="364">
        <v>25996.2</v>
      </c>
      <c r="E7" s="364"/>
      <c r="F7" s="364"/>
      <c r="G7" s="364"/>
      <c r="H7" s="364"/>
      <c r="I7" s="364">
        <v>30630.9</v>
      </c>
      <c r="J7" s="364">
        <v>20269.2</v>
      </c>
      <c r="K7" s="363">
        <f t="shared" ref="K7:K37" si="0">L6</f>
        <v>34312</v>
      </c>
      <c r="L7" s="364">
        <v>34312</v>
      </c>
      <c r="M7" s="363">
        <f t="shared" ref="M7:M37" si="1">L7-K7</f>
        <v>0</v>
      </c>
      <c r="N7" s="365">
        <f t="shared" ref="N7:N37" si="2">O6</f>
        <v>29403</v>
      </c>
      <c r="O7" s="364">
        <v>29414</v>
      </c>
      <c r="P7" s="363">
        <f t="shared" ref="P7:P37" si="3">O7-N7</f>
        <v>11</v>
      </c>
      <c r="Q7" s="363">
        <f t="shared" ref="Q7:Q37" si="4">R6</f>
        <v>34808</v>
      </c>
      <c r="R7" s="364">
        <v>34808</v>
      </c>
      <c r="S7" s="363">
        <f t="shared" ref="S7:S37" si="5">R7-Q7</f>
        <v>0</v>
      </c>
      <c r="T7" s="363">
        <f t="shared" ref="T7:T37" si="6">U6</f>
        <v>32182</v>
      </c>
      <c r="U7" s="364">
        <v>32182</v>
      </c>
      <c r="V7" s="363">
        <f t="shared" ref="V7:V37" si="7">U7-T7</f>
        <v>0</v>
      </c>
      <c r="W7" s="365">
        <f t="shared" ref="W7:W37" si="8">X6</f>
        <v>19940</v>
      </c>
      <c r="X7" s="364">
        <v>19953</v>
      </c>
      <c r="Y7" s="363">
        <f t="shared" ref="Y7:Y37" si="9">X7-W7</f>
        <v>13</v>
      </c>
      <c r="Z7" s="366">
        <f t="shared" ref="Z7:Z37" si="10">Y7+V7+S7+P7+M7</f>
        <v>24</v>
      </c>
      <c r="AA7" s="128">
        <v>168</v>
      </c>
      <c r="AB7" s="128">
        <v>75</v>
      </c>
      <c r="AC7" s="315">
        <f>Gen!T12</f>
        <v>659.66</v>
      </c>
    </row>
    <row r="8" spans="1:29" ht="20.100000000000001" customHeight="1">
      <c r="A8" s="310">
        <f>Gen!B13</f>
        <v>43954</v>
      </c>
      <c r="B8" s="396">
        <f>Gen!C13</f>
        <v>0</v>
      </c>
      <c r="C8" s="364">
        <v>16033.76</v>
      </c>
      <c r="D8" s="364">
        <v>25996.2</v>
      </c>
      <c r="E8" s="364"/>
      <c r="F8" s="364"/>
      <c r="G8" s="364"/>
      <c r="H8" s="364"/>
      <c r="I8" s="364">
        <v>30633.200000000001</v>
      </c>
      <c r="J8" s="364">
        <v>20271.2</v>
      </c>
      <c r="K8" s="363">
        <f t="shared" si="0"/>
        <v>34312</v>
      </c>
      <c r="L8" s="364">
        <v>34325</v>
      </c>
      <c r="M8" s="363">
        <f t="shared" si="1"/>
        <v>13</v>
      </c>
      <c r="N8" s="365">
        <f t="shared" si="2"/>
        <v>29414</v>
      </c>
      <c r="O8" s="364">
        <v>29427</v>
      </c>
      <c r="P8" s="363">
        <f t="shared" si="3"/>
        <v>13</v>
      </c>
      <c r="Q8" s="363">
        <f t="shared" si="4"/>
        <v>34808</v>
      </c>
      <c r="R8" s="364">
        <v>34808</v>
      </c>
      <c r="S8" s="363">
        <f t="shared" si="5"/>
        <v>0</v>
      </c>
      <c r="T8" s="363">
        <f t="shared" si="6"/>
        <v>32182</v>
      </c>
      <c r="U8" s="364">
        <v>32182</v>
      </c>
      <c r="V8" s="363">
        <f t="shared" si="7"/>
        <v>0</v>
      </c>
      <c r="W8" s="365">
        <f t="shared" si="8"/>
        <v>19953</v>
      </c>
      <c r="X8" s="364">
        <v>19953</v>
      </c>
      <c r="Y8" s="363">
        <f t="shared" si="9"/>
        <v>0</v>
      </c>
      <c r="Z8" s="366">
        <f t="shared" si="10"/>
        <v>26</v>
      </c>
      <c r="AA8" s="128">
        <v>167</v>
      </c>
      <c r="AB8" s="128">
        <v>70</v>
      </c>
      <c r="AC8" s="315">
        <f>Gen!T13</f>
        <v>659.29</v>
      </c>
    </row>
    <row r="9" spans="1:29" ht="20.100000000000001" customHeight="1">
      <c r="A9" s="310">
        <f>Gen!B14</f>
        <v>43955</v>
      </c>
      <c r="B9" s="396">
        <f>Gen!C14</f>
        <v>0</v>
      </c>
      <c r="C9" s="364">
        <v>15374.47</v>
      </c>
      <c r="D9" s="364">
        <v>25996.2</v>
      </c>
      <c r="E9" s="364"/>
      <c r="F9" s="364"/>
      <c r="G9" s="364"/>
      <c r="H9" s="364"/>
      <c r="I9" s="364">
        <v>30635.4</v>
      </c>
      <c r="J9" s="364">
        <v>20272.900000000001</v>
      </c>
      <c r="K9" s="363">
        <f t="shared" si="0"/>
        <v>34325</v>
      </c>
      <c r="L9" s="364">
        <v>34336</v>
      </c>
      <c r="M9" s="363">
        <f t="shared" si="1"/>
        <v>11</v>
      </c>
      <c r="N9" s="365">
        <f t="shared" si="2"/>
        <v>29427</v>
      </c>
      <c r="O9" s="364">
        <v>29427</v>
      </c>
      <c r="P9" s="363">
        <f t="shared" si="3"/>
        <v>0</v>
      </c>
      <c r="Q9" s="363">
        <f t="shared" si="4"/>
        <v>34808</v>
      </c>
      <c r="R9" s="364">
        <v>34808</v>
      </c>
      <c r="S9" s="363">
        <f t="shared" si="5"/>
        <v>0</v>
      </c>
      <c r="T9" s="363">
        <f t="shared" si="6"/>
        <v>32182</v>
      </c>
      <c r="U9" s="364">
        <v>32182</v>
      </c>
      <c r="V9" s="363">
        <f t="shared" si="7"/>
        <v>0</v>
      </c>
      <c r="W9" s="365">
        <f t="shared" si="8"/>
        <v>19953</v>
      </c>
      <c r="X9" s="364">
        <v>19965</v>
      </c>
      <c r="Y9" s="363">
        <f t="shared" si="9"/>
        <v>12</v>
      </c>
      <c r="Z9" s="366">
        <f t="shared" si="10"/>
        <v>23</v>
      </c>
      <c r="AA9" s="128">
        <v>165</v>
      </c>
      <c r="AB9" s="128">
        <v>69</v>
      </c>
      <c r="AC9" s="315">
        <f>Gen!T14</f>
        <v>633.92999999999995</v>
      </c>
    </row>
    <row r="10" spans="1:29" ht="20.100000000000001" customHeight="1">
      <c r="A10" s="310">
        <f>Gen!B15</f>
        <v>43956</v>
      </c>
      <c r="B10" s="396">
        <f>Gen!C15</f>
        <v>0</v>
      </c>
      <c r="C10" s="364">
        <v>14740.54</v>
      </c>
      <c r="D10" s="364">
        <v>25996.2</v>
      </c>
      <c r="E10" s="364"/>
      <c r="F10" s="364"/>
      <c r="G10" s="364"/>
      <c r="H10" s="364"/>
      <c r="I10" s="364">
        <v>30637.599999999999</v>
      </c>
      <c r="J10" s="364">
        <v>20274.8</v>
      </c>
      <c r="K10" s="363">
        <f t="shared" si="0"/>
        <v>34336</v>
      </c>
      <c r="L10" s="364">
        <v>34337</v>
      </c>
      <c r="M10" s="363">
        <f t="shared" si="1"/>
        <v>1</v>
      </c>
      <c r="N10" s="365">
        <f t="shared" si="2"/>
        <v>29427</v>
      </c>
      <c r="O10" s="364">
        <v>29442</v>
      </c>
      <c r="P10" s="363">
        <f t="shared" si="3"/>
        <v>15</v>
      </c>
      <c r="Q10" s="363">
        <f t="shared" si="4"/>
        <v>34808</v>
      </c>
      <c r="R10" s="364">
        <v>34808</v>
      </c>
      <c r="S10" s="363">
        <f t="shared" si="5"/>
        <v>0</v>
      </c>
      <c r="T10" s="363">
        <f t="shared" si="6"/>
        <v>32182</v>
      </c>
      <c r="U10" s="364">
        <v>32182</v>
      </c>
      <c r="V10" s="363">
        <f t="shared" si="7"/>
        <v>0</v>
      </c>
      <c r="W10" s="365">
        <f t="shared" si="8"/>
        <v>19965</v>
      </c>
      <c r="X10" s="364">
        <v>19973</v>
      </c>
      <c r="Y10" s="363">
        <f t="shared" si="9"/>
        <v>8</v>
      </c>
      <c r="Z10" s="366">
        <f t="shared" si="10"/>
        <v>24</v>
      </c>
      <c r="AA10" s="128">
        <v>168</v>
      </c>
      <c r="AB10" s="128">
        <v>70</v>
      </c>
      <c r="AC10" s="315">
        <f>Gen!T15</f>
        <v>646.24</v>
      </c>
    </row>
    <row r="11" spans="1:29" ht="20.100000000000001" customHeight="1">
      <c r="A11" s="310">
        <f>Gen!B16</f>
        <v>43957</v>
      </c>
      <c r="B11" s="396">
        <f>Gen!C16</f>
        <v>0</v>
      </c>
      <c r="C11" s="364">
        <v>14091.97</v>
      </c>
      <c r="D11" s="364">
        <v>25996.2</v>
      </c>
      <c r="E11" s="364"/>
      <c r="F11" s="364"/>
      <c r="G11" s="364"/>
      <c r="H11" s="364"/>
      <c r="I11" s="364">
        <v>30639.599999999999</v>
      </c>
      <c r="J11" s="364">
        <v>20276.599999999999</v>
      </c>
      <c r="K11" s="363">
        <f t="shared" si="0"/>
        <v>34337</v>
      </c>
      <c r="L11" s="364">
        <v>34349</v>
      </c>
      <c r="M11" s="363">
        <f t="shared" si="1"/>
        <v>12</v>
      </c>
      <c r="N11" s="365">
        <f t="shared" si="2"/>
        <v>29442</v>
      </c>
      <c r="O11" s="364">
        <v>29454</v>
      </c>
      <c r="P11" s="363">
        <f t="shared" si="3"/>
        <v>12</v>
      </c>
      <c r="Q11" s="363">
        <f t="shared" si="4"/>
        <v>34808</v>
      </c>
      <c r="R11" s="364">
        <v>34808</v>
      </c>
      <c r="S11" s="363">
        <f t="shared" si="5"/>
        <v>0</v>
      </c>
      <c r="T11" s="363">
        <f t="shared" si="6"/>
        <v>32182</v>
      </c>
      <c r="U11" s="364">
        <v>32182</v>
      </c>
      <c r="V11" s="363">
        <f t="shared" si="7"/>
        <v>0</v>
      </c>
      <c r="W11" s="365">
        <f t="shared" si="8"/>
        <v>19973</v>
      </c>
      <c r="X11" s="364">
        <v>19973</v>
      </c>
      <c r="Y11" s="363">
        <f t="shared" si="9"/>
        <v>0</v>
      </c>
      <c r="Z11" s="366">
        <f t="shared" si="10"/>
        <v>24</v>
      </c>
      <c r="AA11" s="128">
        <v>169</v>
      </c>
      <c r="AB11" s="128">
        <v>78</v>
      </c>
      <c r="AC11" s="315">
        <f>Gen!T16</f>
        <v>627.88</v>
      </c>
    </row>
    <row r="12" spans="1:29" ht="20.100000000000001" customHeight="1">
      <c r="A12" s="310">
        <f>Gen!B17</f>
        <v>43958</v>
      </c>
      <c r="B12" s="396">
        <f>Gen!C17</f>
        <v>0</v>
      </c>
      <c r="C12" s="364">
        <v>13432.98</v>
      </c>
      <c r="D12" s="364">
        <v>25996.2</v>
      </c>
      <c r="E12" s="364"/>
      <c r="F12" s="364"/>
      <c r="G12" s="364"/>
      <c r="H12" s="364"/>
      <c r="I12" s="364">
        <v>30641.8</v>
      </c>
      <c r="J12" s="364">
        <v>20278.2</v>
      </c>
      <c r="K12" s="363">
        <f t="shared" si="0"/>
        <v>34349</v>
      </c>
      <c r="L12" s="364">
        <v>34361</v>
      </c>
      <c r="M12" s="363">
        <f t="shared" si="1"/>
        <v>12</v>
      </c>
      <c r="N12" s="365">
        <f t="shared" si="2"/>
        <v>29454</v>
      </c>
      <c r="O12" s="364">
        <v>29466</v>
      </c>
      <c r="P12" s="363">
        <f t="shared" si="3"/>
        <v>12</v>
      </c>
      <c r="Q12" s="363">
        <f t="shared" si="4"/>
        <v>34808</v>
      </c>
      <c r="R12" s="364">
        <v>34808</v>
      </c>
      <c r="S12" s="363">
        <f t="shared" si="5"/>
        <v>0</v>
      </c>
      <c r="T12" s="363">
        <f t="shared" si="6"/>
        <v>32182</v>
      </c>
      <c r="U12" s="364">
        <v>32182</v>
      </c>
      <c r="V12" s="363">
        <f t="shared" si="7"/>
        <v>0</v>
      </c>
      <c r="W12" s="365">
        <f t="shared" si="8"/>
        <v>19973</v>
      </c>
      <c r="X12" s="364">
        <v>19973</v>
      </c>
      <c r="Y12" s="363">
        <f t="shared" si="9"/>
        <v>0</v>
      </c>
      <c r="Z12" s="366">
        <f t="shared" si="10"/>
        <v>24</v>
      </c>
      <c r="AA12" s="128">
        <v>168</v>
      </c>
      <c r="AB12" s="128">
        <v>77</v>
      </c>
      <c r="AC12" s="315">
        <f>Gen!T17</f>
        <v>637.52</v>
      </c>
    </row>
    <row r="13" spans="1:29" ht="20.100000000000001" customHeight="1">
      <c r="A13" s="310">
        <f>Gen!B18</f>
        <v>43959</v>
      </c>
      <c r="B13" s="396">
        <f>Gen!C18</f>
        <v>0</v>
      </c>
      <c r="C13" s="364">
        <v>12772.49</v>
      </c>
      <c r="D13" s="364">
        <v>25996.2</v>
      </c>
      <c r="E13" s="364"/>
      <c r="F13" s="364"/>
      <c r="G13" s="364"/>
      <c r="H13" s="364"/>
      <c r="I13" s="364">
        <v>30644.1</v>
      </c>
      <c r="J13" s="364">
        <v>20279.900000000001</v>
      </c>
      <c r="K13" s="363">
        <f t="shared" si="0"/>
        <v>34361</v>
      </c>
      <c r="L13" s="364">
        <v>34367</v>
      </c>
      <c r="M13" s="363">
        <f t="shared" si="1"/>
        <v>6</v>
      </c>
      <c r="N13" s="365">
        <f t="shared" si="2"/>
        <v>29466</v>
      </c>
      <c r="O13" s="364">
        <v>29474</v>
      </c>
      <c r="P13" s="363">
        <f t="shared" si="3"/>
        <v>8</v>
      </c>
      <c r="Q13" s="363">
        <f t="shared" si="4"/>
        <v>34808</v>
      </c>
      <c r="R13" s="364">
        <v>34808</v>
      </c>
      <c r="S13" s="363">
        <f t="shared" si="5"/>
        <v>0</v>
      </c>
      <c r="T13" s="363">
        <f t="shared" si="6"/>
        <v>32182</v>
      </c>
      <c r="U13" s="364">
        <v>32182</v>
      </c>
      <c r="V13" s="363">
        <f t="shared" si="7"/>
        <v>0</v>
      </c>
      <c r="W13" s="365">
        <f t="shared" si="8"/>
        <v>19973</v>
      </c>
      <c r="X13" s="364">
        <v>19984</v>
      </c>
      <c r="Y13" s="363">
        <f t="shared" si="9"/>
        <v>11</v>
      </c>
      <c r="Z13" s="366">
        <f t="shared" si="10"/>
        <v>25</v>
      </c>
      <c r="AA13" s="128">
        <v>150</v>
      </c>
      <c r="AB13" s="128">
        <v>79</v>
      </c>
      <c r="AC13" s="315">
        <f>Gen!T18</f>
        <v>692.82999999999993</v>
      </c>
    </row>
    <row r="14" spans="1:29" ht="20.100000000000001" customHeight="1">
      <c r="A14" s="310">
        <f>Gen!B19</f>
        <v>43960</v>
      </c>
      <c r="B14" s="396">
        <f>Gen!C19</f>
        <v>0</v>
      </c>
      <c r="C14" s="364">
        <v>11999.56</v>
      </c>
      <c r="D14" s="364">
        <v>25996.2</v>
      </c>
      <c r="E14" s="364"/>
      <c r="F14" s="364"/>
      <c r="G14" s="364"/>
      <c r="H14" s="364"/>
      <c r="I14" s="364">
        <v>30646.2</v>
      </c>
      <c r="J14" s="364">
        <v>20281.900000000001</v>
      </c>
      <c r="K14" s="363">
        <f t="shared" si="0"/>
        <v>34367</v>
      </c>
      <c r="L14" s="364">
        <v>34367</v>
      </c>
      <c r="M14" s="363">
        <f t="shared" si="1"/>
        <v>0</v>
      </c>
      <c r="N14" s="365">
        <f t="shared" si="2"/>
        <v>29474</v>
      </c>
      <c r="O14" s="364">
        <v>29486</v>
      </c>
      <c r="P14" s="363">
        <f t="shared" si="3"/>
        <v>12</v>
      </c>
      <c r="Q14" s="363">
        <f t="shared" si="4"/>
        <v>34808</v>
      </c>
      <c r="R14" s="364">
        <v>34808</v>
      </c>
      <c r="S14" s="363">
        <f t="shared" si="5"/>
        <v>0</v>
      </c>
      <c r="T14" s="363">
        <f t="shared" si="6"/>
        <v>32182</v>
      </c>
      <c r="U14" s="364">
        <v>32182</v>
      </c>
      <c r="V14" s="363">
        <f t="shared" si="7"/>
        <v>0</v>
      </c>
      <c r="W14" s="365">
        <f t="shared" si="8"/>
        <v>19984</v>
      </c>
      <c r="X14" s="364">
        <v>19997</v>
      </c>
      <c r="Y14" s="363">
        <f t="shared" si="9"/>
        <v>13</v>
      </c>
      <c r="Z14" s="366">
        <f t="shared" si="10"/>
        <v>25</v>
      </c>
      <c r="AA14" s="128">
        <v>165</v>
      </c>
      <c r="AB14" s="128">
        <v>76</v>
      </c>
      <c r="AC14" s="315">
        <f>Gen!T19</f>
        <v>662.1</v>
      </c>
    </row>
    <row r="15" spans="1:29" ht="20.100000000000001" customHeight="1">
      <c r="A15" s="310">
        <f>Gen!B20</f>
        <v>43961</v>
      </c>
      <c r="B15" s="396">
        <f>Gen!C20</f>
        <v>0</v>
      </c>
      <c r="C15" s="364">
        <v>11337.49</v>
      </c>
      <c r="D15" s="364">
        <v>25996.2</v>
      </c>
      <c r="E15" s="364"/>
      <c r="F15" s="364"/>
      <c r="G15" s="364"/>
      <c r="H15" s="364"/>
      <c r="I15" s="364">
        <v>30648.2</v>
      </c>
      <c r="J15" s="364">
        <v>20283.5</v>
      </c>
      <c r="K15" s="363">
        <f t="shared" si="0"/>
        <v>34367</v>
      </c>
      <c r="L15" s="364">
        <v>34378</v>
      </c>
      <c r="M15" s="363">
        <f t="shared" si="1"/>
        <v>11</v>
      </c>
      <c r="N15" s="365">
        <f t="shared" si="2"/>
        <v>29486</v>
      </c>
      <c r="O15" s="364">
        <v>29486</v>
      </c>
      <c r="P15" s="363">
        <f t="shared" si="3"/>
        <v>0</v>
      </c>
      <c r="Q15" s="363">
        <f t="shared" si="4"/>
        <v>34808</v>
      </c>
      <c r="R15" s="364">
        <v>34808</v>
      </c>
      <c r="S15" s="363">
        <f t="shared" si="5"/>
        <v>0</v>
      </c>
      <c r="T15" s="363">
        <f t="shared" si="6"/>
        <v>32182</v>
      </c>
      <c r="U15" s="364">
        <v>32182</v>
      </c>
      <c r="V15" s="363">
        <f t="shared" si="7"/>
        <v>0</v>
      </c>
      <c r="W15" s="365">
        <f t="shared" si="8"/>
        <v>19997</v>
      </c>
      <c r="X15" s="364">
        <v>20011</v>
      </c>
      <c r="Y15" s="363">
        <f t="shared" si="9"/>
        <v>14</v>
      </c>
      <c r="Z15" s="366">
        <f t="shared" si="10"/>
        <v>25</v>
      </c>
      <c r="AA15" s="128">
        <v>165</v>
      </c>
      <c r="AB15" s="128">
        <v>70</v>
      </c>
      <c r="AC15" s="315">
        <f>Gen!T20</f>
        <v>652.33000000000004</v>
      </c>
    </row>
    <row r="16" spans="1:29" ht="20.100000000000001" customHeight="1">
      <c r="A16" s="310">
        <f>Gen!B21</f>
        <v>43962</v>
      </c>
      <c r="B16" s="396">
        <f>Gen!C21</f>
        <v>0</v>
      </c>
      <c r="C16" s="364">
        <v>10685.13</v>
      </c>
      <c r="D16" s="364">
        <v>25996.2</v>
      </c>
      <c r="E16" s="364"/>
      <c r="F16" s="364"/>
      <c r="G16" s="364"/>
      <c r="H16" s="364"/>
      <c r="I16" s="364">
        <v>30650.6</v>
      </c>
      <c r="J16" s="364">
        <v>20285.3</v>
      </c>
      <c r="K16" s="363">
        <f t="shared" si="0"/>
        <v>34378</v>
      </c>
      <c r="L16" s="364">
        <v>34378</v>
      </c>
      <c r="M16" s="363">
        <f t="shared" si="1"/>
        <v>0</v>
      </c>
      <c r="N16" s="365">
        <f t="shared" si="2"/>
        <v>29486</v>
      </c>
      <c r="O16" s="364">
        <v>29499</v>
      </c>
      <c r="P16" s="363">
        <f t="shared" si="3"/>
        <v>13</v>
      </c>
      <c r="Q16" s="363">
        <f t="shared" si="4"/>
        <v>34808</v>
      </c>
      <c r="R16" s="364">
        <v>34808</v>
      </c>
      <c r="S16" s="363">
        <f t="shared" si="5"/>
        <v>0</v>
      </c>
      <c r="T16" s="363">
        <f t="shared" si="6"/>
        <v>32182</v>
      </c>
      <c r="U16" s="364">
        <v>32182</v>
      </c>
      <c r="V16" s="363">
        <f t="shared" si="7"/>
        <v>0</v>
      </c>
      <c r="W16" s="365">
        <f t="shared" si="8"/>
        <v>20011</v>
      </c>
      <c r="X16" s="364">
        <v>20022</v>
      </c>
      <c r="Y16" s="363">
        <f t="shared" si="9"/>
        <v>11</v>
      </c>
      <c r="Z16" s="366">
        <f t="shared" si="10"/>
        <v>24</v>
      </c>
      <c r="AA16" s="128">
        <v>160</v>
      </c>
      <c r="AB16" s="128">
        <v>89</v>
      </c>
      <c r="AC16" s="315">
        <f>Gen!T21</f>
        <v>675.39</v>
      </c>
    </row>
    <row r="17" spans="1:29" ht="20.100000000000001" customHeight="1">
      <c r="A17" s="310">
        <f>Gen!B22</f>
        <v>43963</v>
      </c>
      <c r="B17" s="396">
        <f>Gen!C22</f>
        <v>0</v>
      </c>
      <c r="C17" s="364">
        <v>10009.74</v>
      </c>
      <c r="D17" s="364">
        <v>25996.2</v>
      </c>
      <c r="E17" s="610"/>
      <c r="F17" s="364"/>
      <c r="G17" s="364"/>
      <c r="H17" s="364"/>
      <c r="I17" s="364">
        <v>30652.9</v>
      </c>
      <c r="J17" s="364">
        <v>20287.5</v>
      </c>
      <c r="K17" s="363">
        <f t="shared" si="0"/>
        <v>34378</v>
      </c>
      <c r="L17" s="364">
        <v>34378</v>
      </c>
      <c r="M17" s="363">
        <f t="shared" si="1"/>
        <v>0</v>
      </c>
      <c r="N17" s="365">
        <f t="shared" si="2"/>
        <v>29499</v>
      </c>
      <c r="O17" s="364">
        <v>29510</v>
      </c>
      <c r="P17" s="363">
        <f t="shared" si="3"/>
        <v>11</v>
      </c>
      <c r="Q17" s="363">
        <f t="shared" si="4"/>
        <v>34808</v>
      </c>
      <c r="R17" s="364">
        <v>34808</v>
      </c>
      <c r="S17" s="363">
        <f t="shared" si="5"/>
        <v>0</v>
      </c>
      <c r="T17" s="363">
        <f t="shared" si="6"/>
        <v>32182</v>
      </c>
      <c r="U17" s="364">
        <v>32182</v>
      </c>
      <c r="V17" s="363">
        <f t="shared" si="7"/>
        <v>0</v>
      </c>
      <c r="W17" s="365">
        <f t="shared" si="8"/>
        <v>20022</v>
      </c>
      <c r="X17" s="364">
        <v>20035</v>
      </c>
      <c r="Y17" s="363">
        <f t="shared" si="9"/>
        <v>13</v>
      </c>
      <c r="Z17" s="366">
        <f t="shared" si="10"/>
        <v>24</v>
      </c>
      <c r="AA17" s="128">
        <v>165</v>
      </c>
      <c r="AB17" s="128">
        <v>78</v>
      </c>
      <c r="AC17" s="315">
        <f>Gen!T22</f>
        <v>719.01</v>
      </c>
    </row>
    <row r="18" spans="1:29" ht="20.100000000000001" customHeight="1">
      <c r="A18" s="310">
        <f>Gen!B23</f>
        <v>43964</v>
      </c>
      <c r="B18" s="396">
        <f>Gen!C23</f>
        <v>0</v>
      </c>
      <c r="C18" s="364">
        <v>19183.84</v>
      </c>
      <c r="D18" s="364">
        <v>25996.2</v>
      </c>
      <c r="E18" s="364"/>
      <c r="F18" s="364"/>
      <c r="G18" s="364"/>
      <c r="H18" s="364"/>
      <c r="I18" s="364">
        <v>30655.3</v>
      </c>
      <c r="J18" s="364">
        <v>20289.3</v>
      </c>
      <c r="K18" s="363">
        <f t="shared" si="0"/>
        <v>34378</v>
      </c>
      <c r="L18" s="364">
        <v>34389</v>
      </c>
      <c r="M18" s="363">
        <f t="shared" si="1"/>
        <v>11</v>
      </c>
      <c r="N18" s="365">
        <f t="shared" si="2"/>
        <v>29510</v>
      </c>
      <c r="O18" s="364">
        <v>29510</v>
      </c>
      <c r="P18" s="363">
        <f t="shared" si="3"/>
        <v>0</v>
      </c>
      <c r="Q18" s="363">
        <f t="shared" si="4"/>
        <v>34808</v>
      </c>
      <c r="R18" s="364">
        <v>34808</v>
      </c>
      <c r="S18" s="363">
        <f t="shared" si="5"/>
        <v>0</v>
      </c>
      <c r="T18" s="363">
        <f t="shared" si="6"/>
        <v>32182</v>
      </c>
      <c r="U18" s="364">
        <v>32182</v>
      </c>
      <c r="V18" s="363">
        <f t="shared" si="7"/>
        <v>0</v>
      </c>
      <c r="W18" s="365">
        <f t="shared" si="8"/>
        <v>20035</v>
      </c>
      <c r="X18" s="364">
        <v>20035</v>
      </c>
      <c r="Y18" s="363">
        <f t="shared" si="9"/>
        <v>0</v>
      </c>
      <c r="Z18" s="366">
        <f t="shared" si="10"/>
        <v>11</v>
      </c>
      <c r="AA18" s="128">
        <v>160</v>
      </c>
      <c r="AB18" s="128">
        <v>75</v>
      </c>
      <c r="AC18" s="315">
        <f>Gen!T23</f>
        <v>656.19</v>
      </c>
    </row>
    <row r="19" spans="1:29" ht="20.100000000000001" customHeight="1">
      <c r="A19" s="310">
        <f>Gen!B24</f>
        <v>43965</v>
      </c>
      <c r="B19" s="396">
        <f>Gen!C24</f>
        <v>0</v>
      </c>
      <c r="C19" s="364">
        <v>18527.650000000001</v>
      </c>
      <c r="D19" s="364">
        <v>25996.2</v>
      </c>
      <c r="E19" s="364"/>
      <c r="F19" s="364"/>
      <c r="G19" s="364"/>
      <c r="H19" s="364"/>
      <c r="I19" s="364">
        <v>30657.5</v>
      </c>
      <c r="J19" s="364">
        <v>20291.099999999999</v>
      </c>
      <c r="K19" s="363">
        <f t="shared" si="0"/>
        <v>34389</v>
      </c>
      <c r="L19" s="364">
        <v>34401</v>
      </c>
      <c r="M19" s="363">
        <f t="shared" si="1"/>
        <v>12</v>
      </c>
      <c r="N19" s="365">
        <f t="shared" si="2"/>
        <v>29510</v>
      </c>
      <c r="O19" s="364">
        <v>29522</v>
      </c>
      <c r="P19" s="363">
        <f t="shared" si="3"/>
        <v>12</v>
      </c>
      <c r="Q19" s="363">
        <f t="shared" si="4"/>
        <v>34808</v>
      </c>
      <c r="R19" s="364">
        <v>34808</v>
      </c>
      <c r="S19" s="363">
        <f t="shared" si="5"/>
        <v>0</v>
      </c>
      <c r="T19" s="363">
        <f t="shared" si="6"/>
        <v>32182</v>
      </c>
      <c r="U19" s="364">
        <v>32182</v>
      </c>
      <c r="V19" s="363">
        <f t="shared" si="7"/>
        <v>0</v>
      </c>
      <c r="W19" s="365">
        <f t="shared" si="8"/>
        <v>20035</v>
      </c>
      <c r="X19" s="364">
        <v>20035</v>
      </c>
      <c r="Y19" s="363">
        <f t="shared" si="9"/>
        <v>0</v>
      </c>
      <c r="Z19" s="366">
        <f t="shared" si="10"/>
        <v>24</v>
      </c>
      <c r="AA19" s="128">
        <v>161</v>
      </c>
      <c r="AB19" s="128">
        <v>76</v>
      </c>
      <c r="AC19" s="315">
        <f>Gen!T24</f>
        <v>633.07999999999993</v>
      </c>
    </row>
    <row r="20" spans="1:29" ht="20.100000000000001" customHeight="1">
      <c r="A20" s="310">
        <f>Gen!B25</f>
        <v>43966</v>
      </c>
      <c r="B20" s="396">
        <f>Gen!C25</f>
        <v>0</v>
      </c>
      <c r="C20" s="364">
        <v>17894.57</v>
      </c>
      <c r="D20" s="364">
        <v>25996.2</v>
      </c>
      <c r="E20" s="364"/>
      <c r="F20" s="364"/>
      <c r="G20" s="364"/>
      <c r="H20" s="364"/>
      <c r="I20" s="364"/>
      <c r="J20" s="364"/>
      <c r="K20" s="363">
        <f t="shared" si="0"/>
        <v>34401</v>
      </c>
      <c r="L20" s="364"/>
      <c r="M20" s="363">
        <f t="shared" si="1"/>
        <v>-34401</v>
      </c>
      <c r="N20" s="365">
        <f t="shared" si="2"/>
        <v>29522</v>
      </c>
      <c r="O20" s="364"/>
      <c r="P20" s="363">
        <f t="shared" si="3"/>
        <v>-29522</v>
      </c>
      <c r="Q20" s="363">
        <f t="shared" si="4"/>
        <v>34808</v>
      </c>
      <c r="R20" s="364"/>
      <c r="S20" s="363">
        <f t="shared" si="5"/>
        <v>-34808</v>
      </c>
      <c r="T20" s="363">
        <f t="shared" si="6"/>
        <v>32182</v>
      </c>
      <c r="U20" s="364"/>
      <c r="V20" s="363">
        <f t="shared" si="7"/>
        <v>-32182</v>
      </c>
      <c r="W20" s="365">
        <f t="shared" si="8"/>
        <v>20035</v>
      </c>
      <c r="X20" s="364"/>
      <c r="Y20" s="363">
        <f t="shared" si="9"/>
        <v>-20035</v>
      </c>
      <c r="Z20" s="366">
        <f t="shared" si="10"/>
        <v>-150948</v>
      </c>
      <c r="AA20" s="128"/>
      <c r="AB20" s="128"/>
      <c r="AC20" s="315">
        <f>Gen!T25</f>
        <v>0</v>
      </c>
    </row>
    <row r="21" spans="1:29" ht="20.100000000000001" customHeight="1">
      <c r="A21" s="310">
        <f>Gen!B26</f>
        <v>43967</v>
      </c>
      <c r="B21" s="396">
        <f>Gen!C26</f>
        <v>0</v>
      </c>
      <c r="C21" s="364"/>
      <c r="D21" s="364"/>
      <c r="E21" s="364"/>
      <c r="F21" s="364"/>
      <c r="G21" s="364"/>
      <c r="H21" s="364"/>
      <c r="I21" s="364"/>
      <c r="J21" s="364"/>
      <c r="K21" s="363">
        <f t="shared" si="0"/>
        <v>0</v>
      </c>
      <c r="L21" s="364"/>
      <c r="M21" s="363">
        <f t="shared" si="1"/>
        <v>0</v>
      </c>
      <c r="N21" s="365">
        <f t="shared" si="2"/>
        <v>0</v>
      </c>
      <c r="O21" s="364"/>
      <c r="P21" s="363">
        <f t="shared" si="3"/>
        <v>0</v>
      </c>
      <c r="Q21" s="363">
        <f t="shared" si="4"/>
        <v>0</v>
      </c>
      <c r="R21" s="364"/>
      <c r="S21" s="363">
        <f t="shared" si="5"/>
        <v>0</v>
      </c>
      <c r="T21" s="363">
        <f t="shared" si="6"/>
        <v>0</v>
      </c>
      <c r="U21" s="364"/>
      <c r="V21" s="363">
        <f t="shared" si="7"/>
        <v>0</v>
      </c>
      <c r="W21" s="365">
        <f t="shared" si="8"/>
        <v>0</v>
      </c>
      <c r="X21" s="364"/>
      <c r="Y21" s="363">
        <f t="shared" si="9"/>
        <v>0</v>
      </c>
      <c r="Z21" s="366">
        <f t="shared" si="10"/>
        <v>0</v>
      </c>
      <c r="AA21" s="128"/>
      <c r="AB21" s="128"/>
      <c r="AC21" s="315">
        <f>Gen!T26</f>
        <v>0</v>
      </c>
    </row>
    <row r="22" spans="1:29" ht="18.75" customHeight="1">
      <c r="A22" s="310">
        <f>Gen!B27</f>
        <v>43968</v>
      </c>
      <c r="B22" s="396">
        <f>Gen!C27</f>
        <v>0</v>
      </c>
      <c r="C22" s="364"/>
      <c r="D22" s="364"/>
      <c r="E22" s="364"/>
      <c r="F22" s="364"/>
      <c r="G22" s="364"/>
      <c r="H22" s="364"/>
      <c r="I22" s="364"/>
      <c r="J22" s="364"/>
      <c r="K22" s="363">
        <f t="shared" si="0"/>
        <v>0</v>
      </c>
      <c r="L22" s="364"/>
      <c r="M22" s="363">
        <f t="shared" si="1"/>
        <v>0</v>
      </c>
      <c r="N22" s="365">
        <f t="shared" si="2"/>
        <v>0</v>
      </c>
      <c r="O22" s="364"/>
      <c r="P22" s="363">
        <f t="shared" si="3"/>
        <v>0</v>
      </c>
      <c r="Q22" s="363">
        <f t="shared" si="4"/>
        <v>0</v>
      </c>
      <c r="R22" s="364"/>
      <c r="S22" s="363">
        <f t="shared" si="5"/>
        <v>0</v>
      </c>
      <c r="T22" s="363">
        <f t="shared" si="6"/>
        <v>0</v>
      </c>
      <c r="U22" s="364"/>
      <c r="V22" s="363">
        <f t="shared" si="7"/>
        <v>0</v>
      </c>
      <c r="W22" s="365">
        <f t="shared" si="8"/>
        <v>0</v>
      </c>
      <c r="X22" s="364"/>
      <c r="Y22" s="363">
        <f t="shared" si="9"/>
        <v>0</v>
      </c>
      <c r="Z22" s="366">
        <f t="shared" si="10"/>
        <v>0</v>
      </c>
      <c r="AA22" s="128"/>
      <c r="AB22" s="128"/>
      <c r="AC22" s="315">
        <f>Gen!T27</f>
        <v>0</v>
      </c>
    </row>
    <row r="23" spans="1:29" ht="20.100000000000001" customHeight="1">
      <c r="A23" s="310">
        <f>Gen!B28</f>
        <v>43969</v>
      </c>
      <c r="B23" s="396">
        <f>Gen!C28</f>
        <v>0</v>
      </c>
      <c r="C23" s="364"/>
      <c r="D23" s="364"/>
      <c r="E23" s="610"/>
      <c r="F23" s="364"/>
      <c r="G23" s="364"/>
      <c r="H23" s="364"/>
      <c r="I23" s="364"/>
      <c r="J23" s="364"/>
      <c r="K23" s="363">
        <f t="shared" si="0"/>
        <v>0</v>
      </c>
      <c r="L23" s="364"/>
      <c r="M23" s="363">
        <f t="shared" si="1"/>
        <v>0</v>
      </c>
      <c r="N23" s="365">
        <f t="shared" si="2"/>
        <v>0</v>
      </c>
      <c r="O23" s="364"/>
      <c r="P23" s="363">
        <f t="shared" si="3"/>
        <v>0</v>
      </c>
      <c r="Q23" s="363">
        <f t="shared" si="4"/>
        <v>0</v>
      </c>
      <c r="R23" s="364"/>
      <c r="S23" s="363">
        <f t="shared" si="5"/>
        <v>0</v>
      </c>
      <c r="T23" s="363">
        <f t="shared" si="6"/>
        <v>0</v>
      </c>
      <c r="U23" s="364"/>
      <c r="V23" s="363">
        <f t="shared" si="7"/>
        <v>0</v>
      </c>
      <c r="W23" s="365">
        <f t="shared" si="8"/>
        <v>0</v>
      </c>
      <c r="X23" s="364"/>
      <c r="Y23" s="363">
        <f t="shared" si="9"/>
        <v>0</v>
      </c>
      <c r="Z23" s="366">
        <f t="shared" si="10"/>
        <v>0</v>
      </c>
      <c r="AA23" s="128"/>
      <c r="AB23" s="128"/>
      <c r="AC23" s="315">
        <f>Gen!T28</f>
        <v>0</v>
      </c>
    </row>
    <row r="24" spans="1:29" ht="20.100000000000001" customHeight="1">
      <c r="A24" s="310">
        <f>Gen!B29</f>
        <v>43970</v>
      </c>
      <c r="B24" s="396">
        <f>Gen!C29</f>
        <v>0</v>
      </c>
      <c r="C24" s="364"/>
      <c r="D24" s="364"/>
      <c r="E24" s="364"/>
      <c r="F24" s="364"/>
      <c r="G24" s="364"/>
      <c r="H24" s="364"/>
      <c r="I24" s="364"/>
      <c r="J24" s="364"/>
      <c r="K24" s="363">
        <f t="shared" si="0"/>
        <v>0</v>
      </c>
      <c r="L24" s="364"/>
      <c r="M24" s="363">
        <f t="shared" si="1"/>
        <v>0</v>
      </c>
      <c r="N24" s="365">
        <f t="shared" si="2"/>
        <v>0</v>
      </c>
      <c r="O24" s="364"/>
      <c r="P24" s="363">
        <f t="shared" si="3"/>
        <v>0</v>
      </c>
      <c r="Q24" s="363">
        <f t="shared" si="4"/>
        <v>0</v>
      </c>
      <c r="R24" s="364"/>
      <c r="S24" s="363">
        <f t="shared" si="5"/>
        <v>0</v>
      </c>
      <c r="T24" s="363">
        <f t="shared" si="6"/>
        <v>0</v>
      </c>
      <c r="U24" s="364"/>
      <c r="V24" s="363">
        <f t="shared" si="7"/>
        <v>0</v>
      </c>
      <c r="W24" s="365">
        <f t="shared" si="8"/>
        <v>0</v>
      </c>
      <c r="X24" s="364"/>
      <c r="Y24" s="363">
        <f t="shared" si="9"/>
        <v>0</v>
      </c>
      <c r="Z24" s="366">
        <f t="shared" si="10"/>
        <v>0</v>
      </c>
      <c r="AA24" s="128"/>
      <c r="AB24" s="128"/>
      <c r="AC24" s="315">
        <f>Gen!T29</f>
        <v>0</v>
      </c>
    </row>
    <row r="25" spans="1:29" ht="18.75" customHeight="1">
      <c r="A25" s="310">
        <f>Gen!B30</f>
        <v>43971</v>
      </c>
      <c r="B25" s="396">
        <f>Gen!C30</f>
        <v>0</v>
      </c>
      <c r="C25" s="364"/>
      <c r="D25" s="364"/>
      <c r="E25" s="364"/>
      <c r="F25" s="364"/>
      <c r="G25" s="364"/>
      <c r="H25" s="364"/>
      <c r="I25" s="364"/>
      <c r="J25" s="364"/>
      <c r="K25" s="363">
        <f t="shared" si="0"/>
        <v>0</v>
      </c>
      <c r="L25" s="364"/>
      <c r="M25" s="363">
        <f t="shared" si="1"/>
        <v>0</v>
      </c>
      <c r="N25" s="365">
        <f t="shared" si="2"/>
        <v>0</v>
      </c>
      <c r="O25" s="364"/>
      <c r="P25" s="363">
        <f t="shared" si="3"/>
        <v>0</v>
      </c>
      <c r="Q25" s="363">
        <f t="shared" si="4"/>
        <v>0</v>
      </c>
      <c r="R25" s="364"/>
      <c r="S25" s="363">
        <f t="shared" si="5"/>
        <v>0</v>
      </c>
      <c r="T25" s="363">
        <f t="shared" si="6"/>
        <v>0</v>
      </c>
      <c r="U25" s="364"/>
      <c r="V25" s="363">
        <f t="shared" si="7"/>
        <v>0</v>
      </c>
      <c r="W25" s="365">
        <f t="shared" si="8"/>
        <v>0</v>
      </c>
      <c r="X25" s="364"/>
      <c r="Y25" s="363">
        <f t="shared" si="9"/>
        <v>0</v>
      </c>
      <c r="Z25" s="366">
        <f t="shared" si="10"/>
        <v>0</v>
      </c>
      <c r="AA25" s="128"/>
      <c r="AB25" s="128"/>
      <c r="AC25" s="315">
        <f>Gen!T30</f>
        <v>0</v>
      </c>
    </row>
    <row r="26" spans="1:29" ht="20.100000000000001" customHeight="1">
      <c r="A26" s="310">
        <f>Gen!B31</f>
        <v>43972</v>
      </c>
      <c r="B26" s="396">
        <f>Gen!C31</f>
        <v>0</v>
      </c>
      <c r="C26" s="364"/>
      <c r="D26" s="364"/>
      <c r="E26" s="364"/>
      <c r="F26" s="364"/>
      <c r="G26" s="364"/>
      <c r="H26" s="364"/>
      <c r="I26" s="364"/>
      <c r="J26" s="364"/>
      <c r="K26" s="363">
        <f t="shared" si="0"/>
        <v>0</v>
      </c>
      <c r="L26" s="364"/>
      <c r="M26" s="363">
        <f t="shared" si="1"/>
        <v>0</v>
      </c>
      <c r="N26" s="365">
        <f t="shared" si="2"/>
        <v>0</v>
      </c>
      <c r="O26" s="364"/>
      <c r="P26" s="363">
        <f t="shared" si="3"/>
        <v>0</v>
      </c>
      <c r="Q26" s="363">
        <f t="shared" si="4"/>
        <v>0</v>
      </c>
      <c r="R26" s="364"/>
      <c r="S26" s="363">
        <f t="shared" si="5"/>
        <v>0</v>
      </c>
      <c r="T26" s="363">
        <f t="shared" si="6"/>
        <v>0</v>
      </c>
      <c r="U26" s="364"/>
      <c r="V26" s="363">
        <f t="shared" si="7"/>
        <v>0</v>
      </c>
      <c r="W26" s="365">
        <f t="shared" si="8"/>
        <v>0</v>
      </c>
      <c r="X26" s="364"/>
      <c r="Y26" s="363">
        <f t="shared" si="9"/>
        <v>0</v>
      </c>
      <c r="Z26" s="366">
        <f t="shared" si="10"/>
        <v>0</v>
      </c>
      <c r="AA26" s="128"/>
      <c r="AB26" s="128"/>
      <c r="AC26" s="315">
        <f>Gen!T31</f>
        <v>0</v>
      </c>
    </row>
    <row r="27" spans="1:29" ht="20.100000000000001" customHeight="1">
      <c r="A27" s="310">
        <f>Gen!B32</f>
        <v>43973</v>
      </c>
      <c r="B27" s="396">
        <f>Gen!C32</f>
        <v>0</v>
      </c>
      <c r="C27" s="364"/>
      <c r="D27" s="364"/>
      <c r="E27" s="364"/>
      <c r="F27" s="364"/>
      <c r="G27" s="364"/>
      <c r="H27" s="364"/>
      <c r="I27" s="364"/>
      <c r="J27" s="364"/>
      <c r="K27" s="363">
        <f t="shared" si="0"/>
        <v>0</v>
      </c>
      <c r="L27" s="364"/>
      <c r="M27" s="363">
        <f t="shared" si="1"/>
        <v>0</v>
      </c>
      <c r="N27" s="365">
        <f t="shared" si="2"/>
        <v>0</v>
      </c>
      <c r="O27" s="364"/>
      <c r="P27" s="363">
        <f t="shared" si="3"/>
        <v>0</v>
      </c>
      <c r="Q27" s="363">
        <f t="shared" si="4"/>
        <v>0</v>
      </c>
      <c r="R27" s="364"/>
      <c r="S27" s="363">
        <f t="shared" si="5"/>
        <v>0</v>
      </c>
      <c r="T27" s="363">
        <f t="shared" si="6"/>
        <v>0</v>
      </c>
      <c r="U27" s="364"/>
      <c r="V27" s="363">
        <f t="shared" si="7"/>
        <v>0</v>
      </c>
      <c r="W27" s="365">
        <f t="shared" si="8"/>
        <v>0</v>
      </c>
      <c r="X27" s="364"/>
      <c r="Y27" s="363">
        <f t="shared" si="9"/>
        <v>0</v>
      </c>
      <c r="Z27" s="366">
        <f t="shared" si="10"/>
        <v>0</v>
      </c>
      <c r="AA27" s="128"/>
      <c r="AB27" s="128"/>
      <c r="AC27" s="315">
        <f>Gen!T32</f>
        <v>0</v>
      </c>
    </row>
    <row r="28" spans="1:29" ht="20.100000000000001" customHeight="1">
      <c r="A28" s="310">
        <f>Gen!B33</f>
        <v>43974</v>
      </c>
      <c r="B28" s="396">
        <f>Gen!C33</f>
        <v>0</v>
      </c>
      <c r="C28" s="364"/>
      <c r="D28" s="364"/>
      <c r="E28" s="364"/>
      <c r="F28" s="364"/>
      <c r="G28" s="364"/>
      <c r="H28" s="364"/>
      <c r="I28" s="364"/>
      <c r="J28" s="364"/>
      <c r="K28" s="363">
        <f t="shared" si="0"/>
        <v>0</v>
      </c>
      <c r="L28" s="364"/>
      <c r="M28" s="363">
        <f t="shared" si="1"/>
        <v>0</v>
      </c>
      <c r="N28" s="365">
        <f t="shared" si="2"/>
        <v>0</v>
      </c>
      <c r="O28" s="364"/>
      <c r="P28" s="363">
        <f t="shared" si="3"/>
        <v>0</v>
      </c>
      <c r="Q28" s="363">
        <f t="shared" si="4"/>
        <v>0</v>
      </c>
      <c r="R28" s="364"/>
      <c r="S28" s="363">
        <f t="shared" si="5"/>
        <v>0</v>
      </c>
      <c r="T28" s="363">
        <f t="shared" si="6"/>
        <v>0</v>
      </c>
      <c r="U28" s="364"/>
      <c r="V28" s="363">
        <f t="shared" si="7"/>
        <v>0</v>
      </c>
      <c r="W28" s="365">
        <f t="shared" si="8"/>
        <v>0</v>
      </c>
      <c r="X28" s="364"/>
      <c r="Y28" s="363">
        <f t="shared" si="9"/>
        <v>0</v>
      </c>
      <c r="Z28" s="366">
        <f t="shared" si="10"/>
        <v>0</v>
      </c>
      <c r="AA28" s="128"/>
      <c r="AB28" s="128"/>
      <c r="AC28" s="315">
        <f>Gen!T33</f>
        <v>0</v>
      </c>
    </row>
    <row r="29" spans="1:29" ht="20.100000000000001" customHeight="1">
      <c r="A29" s="310">
        <f>Gen!B34</f>
        <v>43975</v>
      </c>
      <c r="B29" s="396">
        <f>Gen!C34</f>
        <v>0</v>
      </c>
      <c r="C29" s="364"/>
      <c r="D29" s="364"/>
      <c r="E29" s="364"/>
      <c r="F29" s="364"/>
      <c r="G29" s="364"/>
      <c r="H29" s="364"/>
      <c r="I29" s="364"/>
      <c r="J29" s="364"/>
      <c r="K29" s="363">
        <f t="shared" si="0"/>
        <v>0</v>
      </c>
      <c r="L29" s="364"/>
      <c r="M29" s="363">
        <f t="shared" si="1"/>
        <v>0</v>
      </c>
      <c r="N29" s="365">
        <f t="shared" si="2"/>
        <v>0</v>
      </c>
      <c r="O29" s="364"/>
      <c r="P29" s="363">
        <f t="shared" si="3"/>
        <v>0</v>
      </c>
      <c r="Q29" s="363">
        <f t="shared" si="4"/>
        <v>0</v>
      </c>
      <c r="R29" s="364"/>
      <c r="S29" s="363">
        <f t="shared" si="5"/>
        <v>0</v>
      </c>
      <c r="T29" s="363">
        <f t="shared" si="6"/>
        <v>0</v>
      </c>
      <c r="U29" s="364"/>
      <c r="V29" s="363">
        <f t="shared" si="7"/>
        <v>0</v>
      </c>
      <c r="W29" s="365">
        <f t="shared" si="8"/>
        <v>0</v>
      </c>
      <c r="X29" s="364"/>
      <c r="Y29" s="363">
        <f t="shared" si="9"/>
        <v>0</v>
      </c>
      <c r="Z29" s="366">
        <f t="shared" si="10"/>
        <v>0</v>
      </c>
      <c r="AA29" s="128"/>
      <c r="AB29" s="128"/>
      <c r="AC29" s="315">
        <f>Gen!T34</f>
        <v>0</v>
      </c>
    </row>
    <row r="30" spans="1:29" ht="20.100000000000001" customHeight="1">
      <c r="A30" s="310">
        <f>Gen!B35</f>
        <v>43976</v>
      </c>
      <c r="B30" s="396">
        <f>Gen!C35</f>
        <v>0</v>
      </c>
      <c r="C30" s="364"/>
      <c r="D30" s="364"/>
      <c r="E30" s="364"/>
      <c r="F30" s="364"/>
      <c r="G30" s="364"/>
      <c r="H30" s="364"/>
      <c r="I30" s="364"/>
      <c r="J30" s="364"/>
      <c r="K30" s="363">
        <f t="shared" si="0"/>
        <v>0</v>
      </c>
      <c r="L30" s="364"/>
      <c r="M30" s="363">
        <f t="shared" si="1"/>
        <v>0</v>
      </c>
      <c r="N30" s="365">
        <f t="shared" si="2"/>
        <v>0</v>
      </c>
      <c r="O30" s="364"/>
      <c r="P30" s="363">
        <f t="shared" si="3"/>
        <v>0</v>
      </c>
      <c r="Q30" s="363">
        <f t="shared" si="4"/>
        <v>0</v>
      </c>
      <c r="R30" s="364"/>
      <c r="S30" s="363">
        <f t="shared" si="5"/>
        <v>0</v>
      </c>
      <c r="T30" s="363">
        <f t="shared" si="6"/>
        <v>0</v>
      </c>
      <c r="U30" s="364"/>
      <c r="V30" s="363">
        <f t="shared" si="7"/>
        <v>0</v>
      </c>
      <c r="W30" s="365">
        <f t="shared" si="8"/>
        <v>0</v>
      </c>
      <c r="X30" s="364"/>
      <c r="Y30" s="363">
        <f t="shared" si="9"/>
        <v>0</v>
      </c>
      <c r="Z30" s="366">
        <f t="shared" si="10"/>
        <v>0</v>
      </c>
      <c r="AA30" s="128"/>
      <c r="AB30" s="128"/>
      <c r="AC30" s="315">
        <f>Gen!T35</f>
        <v>0</v>
      </c>
    </row>
    <row r="31" spans="1:29" ht="20.100000000000001" customHeight="1">
      <c r="A31" s="310">
        <f>Gen!B36</f>
        <v>43977</v>
      </c>
      <c r="B31" s="396">
        <f>Gen!C36</f>
        <v>0</v>
      </c>
      <c r="C31" s="364"/>
      <c r="D31" s="364"/>
      <c r="E31" s="364"/>
      <c r="F31" s="364"/>
      <c r="G31" s="364"/>
      <c r="H31" s="364"/>
      <c r="I31" s="364"/>
      <c r="J31" s="364"/>
      <c r="K31" s="363">
        <f t="shared" si="0"/>
        <v>0</v>
      </c>
      <c r="L31" s="364"/>
      <c r="M31" s="363">
        <f t="shared" si="1"/>
        <v>0</v>
      </c>
      <c r="N31" s="365">
        <f t="shared" si="2"/>
        <v>0</v>
      </c>
      <c r="O31" s="364"/>
      <c r="P31" s="363">
        <f t="shared" si="3"/>
        <v>0</v>
      </c>
      <c r="Q31" s="363">
        <f t="shared" si="4"/>
        <v>0</v>
      </c>
      <c r="R31" s="364"/>
      <c r="S31" s="363">
        <f t="shared" si="5"/>
        <v>0</v>
      </c>
      <c r="T31" s="363">
        <f t="shared" si="6"/>
        <v>0</v>
      </c>
      <c r="U31" s="364"/>
      <c r="V31" s="363">
        <f t="shared" si="7"/>
        <v>0</v>
      </c>
      <c r="W31" s="365">
        <f t="shared" si="8"/>
        <v>0</v>
      </c>
      <c r="X31" s="364"/>
      <c r="Y31" s="363">
        <f t="shared" si="9"/>
        <v>0</v>
      </c>
      <c r="Z31" s="366">
        <f t="shared" si="10"/>
        <v>0</v>
      </c>
      <c r="AA31" s="128"/>
      <c r="AB31" s="128"/>
      <c r="AC31" s="315">
        <f>Gen!T36</f>
        <v>0</v>
      </c>
    </row>
    <row r="32" spans="1:29" ht="20.100000000000001" customHeight="1">
      <c r="A32" s="310">
        <f>Gen!B37</f>
        <v>43978</v>
      </c>
      <c r="B32" s="396">
        <f>Gen!C37</f>
        <v>0</v>
      </c>
      <c r="C32" s="364"/>
      <c r="D32" s="364"/>
      <c r="E32" s="364"/>
      <c r="F32" s="364"/>
      <c r="G32" s="364"/>
      <c r="H32" s="364"/>
      <c r="I32" s="364"/>
      <c r="J32" s="364"/>
      <c r="K32" s="363">
        <f t="shared" si="0"/>
        <v>0</v>
      </c>
      <c r="L32" s="364"/>
      <c r="M32" s="363">
        <f t="shared" si="1"/>
        <v>0</v>
      </c>
      <c r="N32" s="365">
        <f t="shared" si="2"/>
        <v>0</v>
      </c>
      <c r="O32" s="364"/>
      <c r="P32" s="363">
        <f t="shared" si="3"/>
        <v>0</v>
      </c>
      <c r="Q32" s="363">
        <f t="shared" si="4"/>
        <v>0</v>
      </c>
      <c r="R32" s="364"/>
      <c r="S32" s="363">
        <f t="shared" si="5"/>
        <v>0</v>
      </c>
      <c r="T32" s="363">
        <f t="shared" si="6"/>
        <v>0</v>
      </c>
      <c r="U32" s="364"/>
      <c r="V32" s="363">
        <f t="shared" si="7"/>
        <v>0</v>
      </c>
      <c r="W32" s="365">
        <f t="shared" si="8"/>
        <v>0</v>
      </c>
      <c r="X32" s="364"/>
      <c r="Y32" s="363">
        <f t="shared" si="9"/>
        <v>0</v>
      </c>
      <c r="Z32" s="366">
        <f t="shared" si="10"/>
        <v>0</v>
      </c>
      <c r="AA32" s="128"/>
      <c r="AB32" s="128"/>
      <c r="AC32" s="315">
        <f>Gen!T37</f>
        <v>0</v>
      </c>
    </row>
    <row r="33" spans="1:29" ht="20.100000000000001" customHeight="1">
      <c r="A33" s="310">
        <f>Gen!B38</f>
        <v>43979</v>
      </c>
      <c r="B33" s="396">
        <f>Gen!C38</f>
        <v>0</v>
      </c>
      <c r="C33" s="364"/>
      <c r="D33" s="364"/>
      <c r="E33" s="364"/>
      <c r="F33" s="364"/>
      <c r="G33" s="364"/>
      <c r="H33" s="364"/>
      <c r="I33" s="364"/>
      <c r="J33" s="364"/>
      <c r="K33" s="363">
        <f t="shared" si="0"/>
        <v>0</v>
      </c>
      <c r="L33" s="364"/>
      <c r="M33" s="363">
        <f t="shared" si="1"/>
        <v>0</v>
      </c>
      <c r="N33" s="365">
        <f t="shared" si="2"/>
        <v>0</v>
      </c>
      <c r="O33" s="364"/>
      <c r="P33" s="363">
        <f t="shared" si="3"/>
        <v>0</v>
      </c>
      <c r="Q33" s="363">
        <f t="shared" si="4"/>
        <v>0</v>
      </c>
      <c r="R33" s="364"/>
      <c r="S33" s="363">
        <f t="shared" si="5"/>
        <v>0</v>
      </c>
      <c r="T33" s="363">
        <f t="shared" si="6"/>
        <v>0</v>
      </c>
      <c r="U33" s="364"/>
      <c r="V33" s="363">
        <f t="shared" si="7"/>
        <v>0</v>
      </c>
      <c r="W33" s="365">
        <f t="shared" si="8"/>
        <v>0</v>
      </c>
      <c r="X33" s="364"/>
      <c r="Y33" s="363">
        <f t="shared" si="9"/>
        <v>0</v>
      </c>
      <c r="Z33" s="366">
        <f t="shared" si="10"/>
        <v>0</v>
      </c>
      <c r="AA33" s="128"/>
      <c r="AB33" s="128"/>
      <c r="AC33" s="315">
        <f>Gen!T38</f>
        <v>0</v>
      </c>
    </row>
    <row r="34" spans="1:29" ht="20.100000000000001" customHeight="1">
      <c r="A34" s="310">
        <f>Gen!B39</f>
        <v>43980</v>
      </c>
      <c r="B34" s="396">
        <f>Gen!C39</f>
        <v>0</v>
      </c>
      <c r="C34" s="364"/>
      <c r="D34" s="364"/>
      <c r="E34" s="364"/>
      <c r="F34" s="364"/>
      <c r="G34" s="364"/>
      <c r="H34" s="364"/>
      <c r="I34" s="364"/>
      <c r="J34" s="364"/>
      <c r="K34" s="363">
        <f t="shared" si="0"/>
        <v>0</v>
      </c>
      <c r="L34" s="364"/>
      <c r="M34" s="363">
        <f t="shared" si="1"/>
        <v>0</v>
      </c>
      <c r="N34" s="365">
        <f t="shared" si="2"/>
        <v>0</v>
      </c>
      <c r="O34" s="364"/>
      <c r="P34" s="363">
        <f t="shared" si="3"/>
        <v>0</v>
      </c>
      <c r="Q34" s="363">
        <f t="shared" si="4"/>
        <v>0</v>
      </c>
      <c r="R34" s="364"/>
      <c r="S34" s="363">
        <f t="shared" si="5"/>
        <v>0</v>
      </c>
      <c r="T34" s="363">
        <f t="shared" si="6"/>
        <v>0</v>
      </c>
      <c r="U34" s="364"/>
      <c r="V34" s="363">
        <f t="shared" si="7"/>
        <v>0</v>
      </c>
      <c r="W34" s="365">
        <f t="shared" si="8"/>
        <v>0</v>
      </c>
      <c r="X34" s="364"/>
      <c r="Y34" s="363">
        <f t="shared" si="9"/>
        <v>0</v>
      </c>
      <c r="Z34" s="366">
        <f t="shared" si="10"/>
        <v>0</v>
      </c>
      <c r="AA34" s="128"/>
      <c r="AB34" s="128"/>
      <c r="AC34" s="315">
        <f>Gen!T39</f>
        <v>0</v>
      </c>
    </row>
    <row r="35" spans="1:29" ht="20.100000000000001" customHeight="1">
      <c r="A35" s="310">
        <f>Gen!B40</f>
        <v>43981</v>
      </c>
      <c r="B35" s="396">
        <f>Gen!C40</f>
        <v>0</v>
      </c>
      <c r="C35" s="364"/>
      <c r="D35" s="364"/>
      <c r="E35" s="364"/>
      <c r="F35" s="364"/>
      <c r="G35" s="364"/>
      <c r="H35" s="364"/>
      <c r="I35" s="364"/>
      <c r="J35" s="364"/>
      <c r="K35" s="363">
        <f t="shared" si="0"/>
        <v>0</v>
      </c>
      <c r="L35" s="364"/>
      <c r="M35" s="363">
        <f t="shared" si="1"/>
        <v>0</v>
      </c>
      <c r="N35" s="365">
        <f t="shared" si="2"/>
        <v>0</v>
      </c>
      <c r="O35" s="364"/>
      <c r="P35" s="363">
        <f t="shared" si="3"/>
        <v>0</v>
      </c>
      <c r="Q35" s="363">
        <f t="shared" si="4"/>
        <v>0</v>
      </c>
      <c r="R35" s="364"/>
      <c r="S35" s="363">
        <f t="shared" si="5"/>
        <v>0</v>
      </c>
      <c r="T35" s="363">
        <f t="shared" si="6"/>
        <v>0</v>
      </c>
      <c r="U35" s="364"/>
      <c r="V35" s="363">
        <f t="shared" si="7"/>
        <v>0</v>
      </c>
      <c r="W35" s="365">
        <f t="shared" si="8"/>
        <v>0</v>
      </c>
      <c r="X35" s="364"/>
      <c r="Y35" s="363">
        <f t="shared" si="9"/>
        <v>0</v>
      </c>
      <c r="Z35" s="366">
        <f t="shared" si="10"/>
        <v>0</v>
      </c>
      <c r="AA35" s="128"/>
      <c r="AB35" s="128"/>
      <c r="AC35" s="315">
        <f>Gen!T40</f>
        <v>0</v>
      </c>
    </row>
    <row r="36" spans="1:29" ht="20.100000000000001" customHeight="1">
      <c r="A36" s="310">
        <f>Gen!B41</f>
        <v>43982</v>
      </c>
      <c r="B36" s="396">
        <f>Gen!C41</f>
        <v>0</v>
      </c>
      <c r="C36" s="364"/>
      <c r="D36" s="364"/>
      <c r="E36" s="364"/>
      <c r="F36" s="364"/>
      <c r="G36" s="364"/>
      <c r="H36" s="364"/>
      <c r="I36" s="364"/>
      <c r="J36" s="364"/>
      <c r="K36" s="363">
        <f t="shared" si="0"/>
        <v>0</v>
      </c>
      <c r="L36" s="364"/>
      <c r="M36" s="363">
        <f t="shared" si="1"/>
        <v>0</v>
      </c>
      <c r="N36" s="365">
        <f t="shared" si="2"/>
        <v>0</v>
      </c>
      <c r="O36" s="364"/>
      <c r="P36" s="363">
        <f t="shared" si="3"/>
        <v>0</v>
      </c>
      <c r="Q36" s="363">
        <f t="shared" si="4"/>
        <v>0</v>
      </c>
      <c r="R36" s="364"/>
      <c r="S36" s="363">
        <f t="shared" si="5"/>
        <v>0</v>
      </c>
      <c r="T36" s="363">
        <f t="shared" si="6"/>
        <v>0</v>
      </c>
      <c r="U36" s="364"/>
      <c r="V36" s="363">
        <f t="shared" si="7"/>
        <v>0</v>
      </c>
      <c r="W36" s="365">
        <f t="shared" si="8"/>
        <v>0</v>
      </c>
      <c r="X36" s="364"/>
      <c r="Y36" s="363">
        <f t="shared" si="9"/>
        <v>0</v>
      </c>
      <c r="Z36" s="366">
        <f t="shared" si="10"/>
        <v>0</v>
      </c>
      <c r="AA36" s="128"/>
      <c r="AB36" s="128"/>
      <c r="AC36" s="315">
        <f>Gen!T41</f>
        <v>0</v>
      </c>
    </row>
    <row r="37" spans="1:29" ht="21" customHeight="1">
      <c r="A37" s="310">
        <f>Gen!B42</f>
        <v>43983</v>
      </c>
      <c r="B37" s="396">
        <f>Gen!C42</f>
        <v>0</v>
      </c>
      <c r="C37" s="364"/>
      <c r="D37" s="364"/>
      <c r="E37" s="364"/>
      <c r="F37" s="364"/>
      <c r="G37" s="364"/>
      <c r="H37" s="364"/>
      <c r="I37" s="364"/>
      <c r="J37" s="364"/>
      <c r="K37" s="363">
        <f t="shared" si="0"/>
        <v>0</v>
      </c>
      <c r="L37" s="364"/>
      <c r="M37" s="363">
        <f t="shared" si="1"/>
        <v>0</v>
      </c>
      <c r="N37" s="365">
        <f t="shared" si="2"/>
        <v>0</v>
      </c>
      <c r="O37" s="364"/>
      <c r="P37" s="363">
        <f t="shared" si="3"/>
        <v>0</v>
      </c>
      <c r="Q37" s="363">
        <f t="shared" si="4"/>
        <v>0</v>
      </c>
      <c r="R37" s="364"/>
      <c r="S37" s="363">
        <f t="shared" si="5"/>
        <v>0</v>
      </c>
      <c r="T37" s="363">
        <f t="shared" si="6"/>
        <v>0</v>
      </c>
      <c r="U37" s="364"/>
      <c r="V37" s="363">
        <f t="shared" si="7"/>
        <v>0</v>
      </c>
      <c r="W37" s="365">
        <f t="shared" si="8"/>
        <v>0</v>
      </c>
      <c r="X37" s="364"/>
      <c r="Y37" s="363">
        <f t="shared" si="9"/>
        <v>0</v>
      </c>
      <c r="Z37" s="366">
        <f t="shared" si="10"/>
        <v>0</v>
      </c>
      <c r="AA37" s="128"/>
      <c r="AB37" s="128"/>
      <c r="AC37" s="315">
        <f>Gen!T42</f>
        <v>0</v>
      </c>
    </row>
    <row r="38" spans="1:29">
      <c r="A38" s="310"/>
      <c r="B38" s="310"/>
      <c r="C38" s="310"/>
      <c r="D38" s="310"/>
    </row>
  </sheetData>
  <mergeCells count="6">
    <mergeCell ref="A1:AB2"/>
    <mergeCell ref="K3:M3"/>
    <mergeCell ref="N3:P3"/>
    <mergeCell ref="Q3:S3"/>
    <mergeCell ref="T3:V3"/>
    <mergeCell ref="W3:Y3"/>
  </mergeCells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>
  <sheetPr>
    <tabColor rgb="FFFF0000"/>
    <pageSetUpPr fitToPage="1"/>
  </sheetPr>
  <dimension ref="B1:AV99"/>
  <sheetViews>
    <sheetView topLeftCell="A4" zoomScale="110" zoomScaleNormal="110" workbookViewId="0">
      <pane xSplit="2" topLeftCell="C1" activePane="topRight" state="frozen"/>
      <selection pane="topRight" activeCell="P24" sqref="P24"/>
    </sheetView>
  </sheetViews>
  <sheetFormatPr defaultColWidth="9.140625" defaultRowHeight="11.25"/>
  <cols>
    <col min="1" max="1" width="9.140625" style="225"/>
    <col min="2" max="2" width="9.85546875" style="497" customWidth="1"/>
    <col min="3" max="3" width="8.85546875" style="497" customWidth="1"/>
    <col min="4" max="4" width="9" style="497" customWidth="1"/>
    <col min="5" max="5" width="9.140625" style="497" customWidth="1"/>
    <col min="6" max="6" width="10.140625" style="497" bestFit="1" customWidth="1"/>
    <col min="7" max="7" width="10.7109375" style="497" customWidth="1"/>
    <col min="8" max="8" width="11.28515625" style="497" customWidth="1"/>
    <col min="9" max="9" width="9.7109375" style="497" customWidth="1"/>
    <col min="10" max="10" width="8" style="497" customWidth="1"/>
    <col min="11" max="11" width="8.7109375" style="497" customWidth="1"/>
    <col min="12" max="12" width="8.28515625" style="497" customWidth="1"/>
    <col min="13" max="13" width="10.140625" style="497" customWidth="1"/>
    <col min="14" max="14" width="10.85546875" style="497" customWidth="1"/>
    <col min="15" max="15" width="11.42578125" style="497" customWidth="1"/>
    <col min="16" max="16" width="10.140625" style="497" customWidth="1"/>
    <col min="17" max="17" width="14.42578125" style="497" customWidth="1"/>
    <col min="18" max="18" width="10.7109375" style="497" customWidth="1"/>
    <col min="19" max="19" width="13.140625" style="497" customWidth="1"/>
    <col min="20" max="20" width="11.7109375" style="227" customWidth="1"/>
    <col min="21" max="21" width="13" style="227" customWidth="1"/>
    <col min="22" max="22" width="13.140625" style="227" customWidth="1"/>
    <col min="23" max="23" width="13.5703125" style="227" bestFit="1" customWidth="1"/>
    <col min="24" max="24" width="13" style="227" customWidth="1"/>
    <col min="25" max="25" width="15.7109375" style="227" customWidth="1"/>
    <col min="26" max="26" width="13.7109375" style="227" customWidth="1"/>
    <col min="27" max="27" width="12" style="227" bestFit="1" customWidth="1"/>
    <col min="28" max="28" width="9.5703125" style="227" bestFit="1" customWidth="1"/>
    <col min="29" max="29" width="8.28515625" style="227" bestFit="1" customWidth="1"/>
    <col min="30" max="30" width="9.42578125" style="227" bestFit="1" customWidth="1"/>
    <col min="31" max="31" width="8.140625" style="227" bestFit="1" customWidth="1"/>
    <col min="32" max="32" width="8" style="227" bestFit="1" customWidth="1"/>
    <col min="33" max="33" width="9.28515625" style="227" bestFit="1" customWidth="1"/>
    <col min="34" max="34" width="11.42578125" style="227" customWidth="1"/>
    <col min="35" max="35" width="9.85546875" style="227" bestFit="1" customWidth="1"/>
    <col min="36" max="36" width="9.5703125" style="227" bestFit="1" customWidth="1"/>
    <col min="37" max="37" width="12" style="227" bestFit="1" customWidth="1"/>
    <col min="38" max="43" width="9.140625" style="227" hidden="1" customWidth="1"/>
    <col min="44" max="44" width="5.42578125" style="227" customWidth="1"/>
    <col min="45" max="45" width="15" style="227" bestFit="1" customWidth="1"/>
    <col min="46" max="46" width="10.7109375" style="227" bestFit="1" customWidth="1"/>
    <col min="47" max="47" width="9.7109375" style="227" bestFit="1" customWidth="1"/>
    <col min="48" max="48" width="8" style="225" bestFit="1" customWidth="1"/>
    <col min="49" max="16384" width="9.140625" style="225"/>
  </cols>
  <sheetData>
    <row r="1" spans="2:47">
      <c r="B1" s="833"/>
      <c r="C1" s="833"/>
    </row>
    <row r="2" spans="2:47" ht="26.25">
      <c r="B2" s="833"/>
      <c r="C2" s="833"/>
      <c r="E2" s="834" t="s">
        <v>314</v>
      </c>
      <c r="F2" s="834"/>
      <c r="G2" s="835"/>
      <c r="H2" s="835"/>
      <c r="I2" s="835"/>
      <c r="J2" s="835"/>
      <c r="K2" s="835"/>
      <c r="L2" s="835"/>
      <c r="M2" s="835"/>
      <c r="N2" s="835"/>
      <c r="O2" s="835"/>
      <c r="P2" s="835"/>
      <c r="Q2" s="835"/>
      <c r="R2" s="835"/>
      <c r="S2" s="835"/>
      <c r="T2" s="835"/>
      <c r="U2" s="835"/>
      <c r="V2" s="835"/>
      <c r="W2" s="835"/>
      <c r="X2" s="835"/>
      <c r="Y2" s="835"/>
      <c r="Z2" s="835"/>
      <c r="AA2" s="835"/>
      <c r="AB2" s="835"/>
      <c r="AC2" s="835"/>
      <c r="AD2" s="835"/>
      <c r="AE2" s="835"/>
      <c r="AF2" s="835"/>
      <c r="AG2" s="835"/>
      <c r="AH2" s="835"/>
      <c r="AI2" s="835"/>
      <c r="AJ2" s="835"/>
      <c r="AK2" s="835"/>
      <c r="AL2" s="835"/>
      <c r="AM2" s="835"/>
      <c r="AN2" s="835"/>
      <c r="AO2" s="835"/>
      <c r="AP2" s="835"/>
      <c r="AQ2" s="835"/>
      <c r="AR2" s="835"/>
      <c r="AS2" s="835"/>
      <c r="AT2" s="835"/>
      <c r="AU2" s="835"/>
    </row>
    <row r="3" spans="2:47">
      <c r="B3" s="833"/>
      <c r="C3" s="833"/>
      <c r="L3" s="226"/>
      <c r="R3" s="226"/>
    </row>
    <row r="4" spans="2:47">
      <c r="B4" s="833"/>
      <c r="C4" s="833"/>
      <c r="L4" s="226"/>
      <c r="R4" s="226"/>
    </row>
    <row r="5" spans="2:47" ht="12" thickBot="1">
      <c r="B5" s="833"/>
      <c r="C5" s="833"/>
      <c r="M5" s="228"/>
      <c r="S5" s="228"/>
      <c r="T5" s="229"/>
      <c r="U5" s="229"/>
      <c r="V5" s="229"/>
      <c r="W5" s="230"/>
      <c r="X5" s="230"/>
      <c r="Y5" s="230"/>
      <c r="Z5" s="230"/>
      <c r="AA5" s="230"/>
      <c r="AB5" s="230"/>
      <c r="AC5" s="230"/>
      <c r="AD5" s="230"/>
      <c r="AE5" s="230"/>
      <c r="AF5" s="230"/>
      <c r="AG5" s="230"/>
      <c r="AH5" s="230"/>
      <c r="AI5" s="230"/>
      <c r="AJ5" s="230"/>
      <c r="AK5" s="230"/>
      <c r="AL5" s="230"/>
      <c r="AM5" s="230"/>
      <c r="AN5" s="230"/>
      <c r="AO5" s="230"/>
      <c r="AP5" s="230"/>
      <c r="AQ5" s="230"/>
      <c r="AR5" s="230"/>
      <c r="AS5" s="230"/>
      <c r="AT5" s="230"/>
      <c r="AU5" s="230"/>
    </row>
    <row r="6" spans="2:47" ht="21" thickBot="1">
      <c r="B6" s="833"/>
      <c r="C6" s="833"/>
      <c r="D6" s="231"/>
      <c r="G6" s="842" t="s">
        <v>57</v>
      </c>
      <c r="H6" s="843"/>
      <c r="I6" s="843"/>
      <c r="J6" s="843"/>
      <c r="K6" s="843"/>
      <c r="L6" s="843"/>
      <c r="M6" s="844"/>
      <c r="N6" s="228"/>
      <c r="O6" s="228"/>
      <c r="P6" s="228"/>
      <c r="Q6" s="228"/>
      <c r="R6" s="228"/>
      <c r="S6" s="228"/>
      <c r="T6" s="229"/>
      <c r="U6" s="229"/>
      <c r="V6" s="229"/>
      <c r="W6" s="232">
        <v>1</v>
      </c>
      <c r="X6" s="232">
        <v>2</v>
      </c>
      <c r="Y6" s="232">
        <v>3</v>
      </c>
      <c r="Z6" s="232">
        <v>4</v>
      </c>
      <c r="AA6" s="232">
        <v>5</v>
      </c>
      <c r="AB6" s="232">
        <v>6</v>
      </c>
      <c r="AC6" s="232">
        <v>7</v>
      </c>
      <c r="AD6" s="232">
        <v>8</v>
      </c>
      <c r="AE6" s="232">
        <v>9</v>
      </c>
      <c r="AF6" s="232">
        <v>10</v>
      </c>
      <c r="AG6" s="232">
        <v>11</v>
      </c>
      <c r="AH6" s="232"/>
      <c r="AI6" s="232"/>
      <c r="AJ6" s="232"/>
      <c r="AS6" s="232"/>
      <c r="AT6" s="229"/>
    </row>
    <row r="7" spans="2:47" ht="21" thickBot="1">
      <c r="D7" s="233"/>
      <c r="E7" s="233"/>
      <c r="F7" s="233"/>
      <c r="G7" s="836" t="s">
        <v>201</v>
      </c>
      <c r="H7" s="837"/>
      <c r="I7" s="837"/>
      <c r="J7" s="837"/>
      <c r="K7" s="837"/>
      <c r="L7" s="837"/>
      <c r="M7" s="838"/>
      <c r="N7" s="839" t="s">
        <v>40</v>
      </c>
      <c r="O7" s="840"/>
      <c r="P7" s="840"/>
      <c r="Q7" s="840"/>
      <c r="R7" s="840"/>
      <c r="S7" s="841"/>
      <c r="T7" s="415"/>
      <c r="U7" s="416"/>
      <c r="V7" s="417"/>
      <c r="W7" s="418" t="s">
        <v>80</v>
      </c>
      <c r="X7" s="419" t="s">
        <v>80</v>
      </c>
      <c r="Y7" s="419" t="s">
        <v>5</v>
      </c>
      <c r="Z7" s="419" t="s">
        <v>81</v>
      </c>
      <c r="AA7" s="419" t="s">
        <v>83</v>
      </c>
      <c r="AB7" s="419" t="s">
        <v>82</v>
      </c>
      <c r="AC7" s="419" t="s">
        <v>82</v>
      </c>
      <c r="AD7" s="420" t="s">
        <v>199</v>
      </c>
      <c r="AE7" s="419" t="s">
        <v>30</v>
      </c>
      <c r="AF7" s="419" t="s">
        <v>97</v>
      </c>
      <c r="AG7" s="421" t="s">
        <v>22</v>
      </c>
      <c r="AH7" s="422" t="s">
        <v>29</v>
      </c>
      <c r="AI7" s="419" t="s">
        <v>84</v>
      </c>
      <c r="AJ7" s="423" t="s">
        <v>190</v>
      </c>
      <c r="AK7" s="434" t="s">
        <v>26</v>
      </c>
      <c r="AL7" s="234"/>
      <c r="AM7" s="234"/>
      <c r="AN7" s="234"/>
      <c r="AO7" s="234"/>
      <c r="AP7" s="234"/>
      <c r="AQ7" s="234"/>
      <c r="AR7" s="234"/>
      <c r="AS7" s="235"/>
      <c r="AT7" s="236"/>
      <c r="AU7" s="234"/>
    </row>
    <row r="8" spans="2:47" s="238" customFormat="1" ht="30" customHeight="1" thickBot="1">
      <c r="B8" s="447" t="s">
        <v>0</v>
      </c>
      <c r="C8" s="448" t="s">
        <v>313</v>
      </c>
      <c r="D8" s="449" t="s">
        <v>2</v>
      </c>
      <c r="E8" s="450" t="s">
        <v>38</v>
      </c>
      <c r="F8" s="450" t="s">
        <v>96</v>
      </c>
      <c r="G8" s="451" t="s">
        <v>308</v>
      </c>
      <c r="H8" s="612">
        <v>1</v>
      </c>
      <c r="I8" s="441">
        <v>2</v>
      </c>
      <c r="J8" s="441">
        <v>3</v>
      </c>
      <c r="K8" s="441">
        <v>4</v>
      </c>
      <c r="L8" s="441">
        <v>5</v>
      </c>
      <c r="M8" s="442">
        <v>6</v>
      </c>
      <c r="N8" s="443">
        <v>1</v>
      </c>
      <c r="O8" s="444">
        <v>2</v>
      </c>
      <c r="P8" s="444">
        <v>3</v>
      </c>
      <c r="Q8" s="444">
        <v>4</v>
      </c>
      <c r="R8" s="444">
        <v>5</v>
      </c>
      <c r="S8" s="444">
        <v>6</v>
      </c>
      <c r="T8" s="445" t="s">
        <v>39</v>
      </c>
      <c r="U8" s="445" t="s">
        <v>41</v>
      </c>
      <c r="V8" s="446" t="s">
        <v>198</v>
      </c>
      <c r="W8" s="425" t="s">
        <v>33</v>
      </c>
      <c r="X8" s="426" t="s">
        <v>32</v>
      </c>
      <c r="Y8" s="426" t="s">
        <v>35</v>
      </c>
      <c r="Z8" s="427" t="s">
        <v>208</v>
      </c>
      <c r="AA8" s="427" t="s">
        <v>207</v>
      </c>
      <c r="AB8" s="427" t="s">
        <v>209</v>
      </c>
      <c r="AC8" s="426" t="s">
        <v>249</v>
      </c>
      <c r="AD8" s="428" t="s">
        <v>34</v>
      </c>
      <c r="AE8" s="426" t="s">
        <v>31</v>
      </c>
      <c r="AF8" s="426" t="s">
        <v>210</v>
      </c>
      <c r="AG8" s="426" t="s">
        <v>211</v>
      </c>
      <c r="AH8" s="429" t="s">
        <v>85</v>
      </c>
      <c r="AI8" s="430" t="s">
        <v>28</v>
      </c>
      <c r="AJ8" s="431" t="s">
        <v>28</v>
      </c>
      <c r="AK8" s="433"/>
      <c r="AL8" s="326"/>
      <c r="AM8" s="52"/>
      <c r="AN8" s="52"/>
      <c r="AO8" s="52"/>
      <c r="AP8" s="52"/>
      <c r="AQ8" s="237"/>
      <c r="AR8" s="436"/>
      <c r="AS8" s="437" t="s">
        <v>200</v>
      </c>
      <c r="AT8" s="437" t="s">
        <v>43</v>
      </c>
      <c r="AU8" s="436" t="s">
        <v>3</v>
      </c>
    </row>
    <row r="9" spans="2:47" ht="14.25">
      <c r="B9" s="613"/>
      <c r="C9" s="239"/>
      <c r="D9" s="714">
        <f>[4]Gen!$D$43</f>
        <v>43367.69</v>
      </c>
      <c r="E9" s="715"/>
      <c r="F9" s="716"/>
      <c r="G9" s="438"/>
      <c r="H9" s="685"/>
      <c r="I9" s="686"/>
      <c r="J9" s="687"/>
      <c r="K9" s="688"/>
      <c r="L9" s="689"/>
      <c r="M9" s="690"/>
      <c r="N9" s="439"/>
      <c r="O9" s="440"/>
      <c r="P9" s="440"/>
      <c r="Q9" s="440"/>
      <c r="R9" s="440"/>
      <c r="S9" s="695"/>
      <c r="T9" s="701">
        <f t="shared" ref="T9:T45" si="0">SUM(G9:M9)</f>
        <v>0</v>
      </c>
      <c r="U9" s="702">
        <f t="shared" ref="U9:U43" si="1">SUM(N9:S9)</f>
        <v>0</v>
      </c>
      <c r="V9" s="703"/>
      <c r="W9" s="699"/>
      <c r="X9" s="244"/>
      <c r="Y9" s="424"/>
      <c r="Z9" s="424"/>
      <c r="AA9" s="424"/>
      <c r="AB9" s="244"/>
      <c r="AC9" s="242"/>
      <c r="AD9" s="244"/>
      <c r="AE9" s="245"/>
      <c r="AF9" s="245"/>
      <c r="AG9" s="246"/>
      <c r="AH9" s="242"/>
      <c r="AI9" s="244"/>
      <c r="AJ9" s="457"/>
      <c r="AK9" s="432"/>
      <c r="AL9" s="247"/>
      <c r="AM9" s="247"/>
      <c r="AN9" s="247"/>
      <c r="AO9" s="247"/>
      <c r="AP9" s="247"/>
      <c r="AQ9" s="247"/>
      <c r="AR9" s="247"/>
      <c r="AS9" s="435">
        <f t="shared" ref="AS9:AS43" si="2">SUM(AK9+T9)</f>
        <v>0</v>
      </c>
      <c r="AT9" s="248"/>
      <c r="AU9" s="249">
        <v>38784.699999999997</v>
      </c>
    </row>
    <row r="10" spans="2:47" ht="13.5" customHeight="1">
      <c r="B10" s="614"/>
      <c r="C10" s="709"/>
      <c r="D10" s="717"/>
      <c r="E10" s="240"/>
      <c r="F10" s="718"/>
      <c r="G10" s="355"/>
      <c r="H10" s="691"/>
      <c r="I10" s="252"/>
      <c r="J10" s="253"/>
      <c r="K10" s="252"/>
      <c r="L10" s="252"/>
      <c r="M10" s="355"/>
      <c r="N10" s="354"/>
      <c r="O10" s="255"/>
      <c r="P10" s="254"/>
      <c r="Q10" s="254"/>
      <c r="R10" s="254"/>
      <c r="S10" s="696"/>
      <c r="T10" s="704">
        <f t="shared" si="0"/>
        <v>0</v>
      </c>
      <c r="U10" s="266">
        <f t="shared" si="1"/>
        <v>0</v>
      </c>
      <c r="V10" s="705">
        <f>SUM(O10:T10)</f>
        <v>0</v>
      </c>
      <c r="W10" s="259"/>
      <c r="X10" s="267"/>
      <c r="Y10" s="243"/>
      <c r="Z10" s="257"/>
      <c r="AA10" s="252"/>
      <c r="AB10" s="257"/>
      <c r="AC10" s="258"/>
      <c r="AD10" s="257"/>
      <c r="AE10" s="259"/>
      <c r="AF10" s="259"/>
      <c r="AG10" s="257"/>
      <c r="AH10" s="260"/>
      <c r="AI10" s="267"/>
      <c r="AJ10" s="457"/>
      <c r="AK10" s="325">
        <f t="shared" ref="AK10:AK44" si="3">SUM(W10:AJ10)</f>
        <v>0</v>
      </c>
      <c r="AL10" s="261"/>
      <c r="AM10" s="261"/>
      <c r="AN10" s="261"/>
      <c r="AO10" s="261"/>
      <c r="AP10" s="261"/>
      <c r="AQ10" s="261"/>
      <c r="AR10" s="262"/>
      <c r="AS10" s="263">
        <f t="shared" si="2"/>
        <v>0</v>
      </c>
      <c r="AT10" s="264"/>
      <c r="AU10" s="337"/>
    </row>
    <row r="11" spans="2:47" s="270" customFormat="1" ht="13.5" customHeight="1">
      <c r="B11" s="723">
        <v>43952</v>
      </c>
      <c r="C11" s="710"/>
      <c r="D11" s="719">
        <f>SUM(D9+E11)</f>
        <v>43367.69</v>
      </c>
      <c r="E11" s="271"/>
      <c r="F11" s="718"/>
      <c r="G11" s="355"/>
      <c r="H11" s="691">
        <v>331.94</v>
      </c>
      <c r="I11" s="252">
        <v>346.13</v>
      </c>
      <c r="J11" s="253"/>
      <c r="K11" s="252"/>
      <c r="L11" s="252"/>
      <c r="M11" s="355"/>
      <c r="N11" s="354">
        <v>812</v>
      </c>
      <c r="O11" s="254">
        <v>808</v>
      </c>
      <c r="P11" s="254"/>
      <c r="Q11" s="254"/>
      <c r="R11" s="254"/>
      <c r="S11" s="696"/>
      <c r="T11" s="704">
        <f t="shared" si="0"/>
        <v>678.06999999999994</v>
      </c>
      <c r="U11" s="266">
        <f t="shared" si="1"/>
        <v>1620</v>
      </c>
      <c r="V11" s="705">
        <f t="shared" ref="V11:V41" si="4">T11/U11</f>
        <v>0.41856172839506167</v>
      </c>
      <c r="W11" s="259"/>
      <c r="X11" s="257"/>
      <c r="Y11" s="257"/>
      <c r="Z11" s="257"/>
      <c r="AA11" s="257"/>
      <c r="AB11" s="257"/>
      <c r="AC11" s="257"/>
      <c r="AD11" s="257"/>
      <c r="AE11" s="257"/>
      <c r="AF11" s="257"/>
      <c r="AG11" s="257"/>
      <c r="AH11" s="257"/>
      <c r="AI11" s="257"/>
      <c r="AJ11" s="457"/>
      <c r="AK11" s="325">
        <f t="shared" si="3"/>
        <v>0</v>
      </c>
      <c r="AL11" s="268"/>
      <c r="AM11" s="268"/>
      <c r="AN11" s="268"/>
      <c r="AO11" s="268"/>
      <c r="AP11" s="268"/>
      <c r="AQ11" s="268"/>
      <c r="AR11" s="268"/>
      <c r="AS11" s="263">
        <f t="shared" si="2"/>
        <v>678.06999999999994</v>
      </c>
      <c r="AT11" s="269">
        <f>AS11*AV11</f>
        <v>0</v>
      </c>
      <c r="AU11" s="337">
        <f t="shared" ref="AU11:AU43" si="5">D11</f>
        <v>43367.69</v>
      </c>
    </row>
    <row r="12" spans="2:47" ht="13.5" customHeight="1">
      <c r="B12" s="723">
        <v>43953</v>
      </c>
      <c r="C12" s="710"/>
      <c r="D12" s="719">
        <f t="shared" ref="D12:D43" si="6">SUM(D11-AS11+E12)</f>
        <v>42689.62</v>
      </c>
      <c r="E12" s="271"/>
      <c r="F12" s="718"/>
      <c r="G12" s="355"/>
      <c r="H12" s="691"/>
      <c r="I12" s="252">
        <v>311.45999999999998</v>
      </c>
      <c r="J12" s="272"/>
      <c r="K12" s="252"/>
      <c r="L12" s="252"/>
      <c r="M12" s="355">
        <v>348.2</v>
      </c>
      <c r="N12" s="354"/>
      <c r="O12" s="254">
        <v>744</v>
      </c>
      <c r="P12" s="254"/>
      <c r="Q12" s="254"/>
      <c r="R12" s="254"/>
      <c r="S12" s="696">
        <v>836</v>
      </c>
      <c r="T12" s="704">
        <f t="shared" si="0"/>
        <v>659.66</v>
      </c>
      <c r="U12" s="266">
        <f t="shared" si="1"/>
        <v>1580</v>
      </c>
      <c r="V12" s="705">
        <f t="shared" si="4"/>
        <v>0.41750632911392405</v>
      </c>
      <c r="W12" s="259"/>
      <c r="X12" s="257"/>
      <c r="Y12" s="257"/>
      <c r="Z12" s="257"/>
      <c r="AA12" s="257"/>
      <c r="AB12" s="257"/>
      <c r="AC12" s="257"/>
      <c r="AD12" s="257"/>
      <c r="AE12" s="257"/>
      <c r="AF12" s="257"/>
      <c r="AG12" s="257"/>
      <c r="AH12" s="257"/>
      <c r="AI12" s="257"/>
      <c r="AJ12" s="457"/>
      <c r="AK12" s="325">
        <f t="shared" si="3"/>
        <v>0</v>
      </c>
      <c r="AL12" s="261"/>
      <c r="AM12" s="261"/>
      <c r="AN12" s="261"/>
      <c r="AO12" s="261"/>
      <c r="AP12" s="261"/>
      <c r="AQ12" s="261"/>
      <c r="AR12" s="261"/>
      <c r="AS12" s="263">
        <f t="shared" si="2"/>
        <v>659.66</v>
      </c>
      <c r="AT12" s="269">
        <f t="shared" ref="AT12:AT44" si="7">AS12*AV12</f>
        <v>0</v>
      </c>
      <c r="AU12" s="337">
        <f t="shared" si="5"/>
        <v>42689.62</v>
      </c>
    </row>
    <row r="13" spans="2:47" ht="13.5" customHeight="1">
      <c r="B13" s="723">
        <v>43954</v>
      </c>
      <c r="C13" s="710"/>
      <c r="D13" s="719">
        <f t="shared" si="6"/>
        <v>42029.96</v>
      </c>
      <c r="E13" s="271"/>
      <c r="F13" s="718"/>
      <c r="G13" s="712"/>
      <c r="H13" s="691">
        <v>354.88</v>
      </c>
      <c r="I13" s="252">
        <v>304.41000000000003</v>
      </c>
      <c r="J13" s="272"/>
      <c r="K13" s="252"/>
      <c r="L13" s="252"/>
      <c r="M13" s="355"/>
      <c r="N13" s="354">
        <v>851</v>
      </c>
      <c r="O13" s="254">
        <v>774</v>
      </c>
      <c r="P13" s="254"/>
      <c r="Q13" s="254"/>
      <c r="R13" s="254"/>
      <c r="S13" s="696"/>
      <c r="T13" s="704">
        <f t="shared" si="0"/>
        <v>659.29</v>
      </c>
      <c r="U13" s="266">
        <f t="shared" si="1"/>
        <v>1625</v>
      </c>
      <c r="V13" s="705">
        <f t="shared" si="4"/>
        <v>0.40571692307692303</v>
      </c>
      <c r="W13" s="259"/>
      <c r="X13" s="267"/>
      <c r="Y13" s="609"/>
      <c r="Z13" s="609"/>
      <c r="AA13" s="252"/>
      <c r="AB13" s="327"/>
      <c r="AC13" s="267"/>
      <c r="AD13" s="267"/>
      <c r="AE13" s="267"/>
      <c r="AF13" s="267"/>
      <c r="AG13" s="267"/>
      <c r="AH13" s="267"/>
      <c r="AI13" s="267"/>
      <c r="AJ13" s="457"/>
      <c r="AK13" s="325">
        <f t="shared" si="3"/>
        <v>0</v>
      </c>
      <c r="AL13" s="273"/>
      <c r="AM13" s="273"/>
      <c r="AN13" s="273"/>
      <c r="AO13" s="273"/>
      <c r="AP13" s="273"/>
      <c r="AQ13" s="273"/>
      <c r="AR13" s="273"/>
      <c r="AS13" s="263">
        <f t="shared" si="2"/>
        <v>659.29</v>
      </c>
      <c r="AT13" s="269">
        <f t="shared" si="7"/>
        <v>0</v>
      </c>
      <c r="AU13" s="337">
        <f t="shared" si="5"/>
        <v>42029.96</v>
      </c>
    </row>
    <row r="14" spans="2:47" ht="13.5" customHeight="1">
      <c r="B14" s="723">
        <v>43955</v>
      </c>
      <c r="C14" s="710"/>
      <c r="D14" s="719">
        <f t="shared" si="6"/>
        <v>41370.67</v>
      </c>
      <c r="E14" s="271"/>
      <c r="F14" s="718"/>
      <c r="G14" s="712"/>
      <c r="H14" s="691">
        <v>307.89999999999998</v>
      </c>
      <c r="I14" s="252"/>
      <c r="J14" s="272"/>
      <c r="K14" s="252"/>
      <c r="L14" s="252"/>
      <c r="M14" s="355">
        <v>326.02999999999997</v>
      </c>
      <c r="N14" s="354">
        <v>685</v>
      </c>
      <c r="O14" s="254"/>
      <c r="P14" s="254"/>
      <c r="Q14" s="254"/>
      <c r="R14" s="254"/>
      <c r="S14" s="696">
        <v>775</v>
      </c>
      <c r="T14" s="704">
        <f t="shared" si="0"/>
        <v>633.92999999999995</v>
      </c>
      <c r="U14" s="266">
        <f t="shared" si="1"/>
        <v>1460</v>
      </c>
      <c r="V14" s="705">
        <f t="shared" si="4"/>
        <v>0.43419863013698629</v>
      </c>
      <c r="W14" s="259"/>
      <c r="X14" s="267"/>
      <c r="Z14" s="609">
        <v>2.33</v>
      </c>
      <c r="AA14" s="252"/>
      <c r="AB14" s="327"/>
      <c r="AC14" s="267"/>
      <c r="AD14" s="267"/>
      <c r="AE14" s="267"/>
      <c r="AF14" s="267"/>
      <c r="AG14" s="267"/>
      <c r="AH14" s="267"/>
      <c r="AI14" s="267"/>
      <c r="AJ14" s="457"/>
      <c r="AK14" s="325">
        <f t="shared" si="3"/>
        <v>2.33</v>
      </c>
      <c r="AL14" s="268"/>
      <c r="AM14" s="268"/>
      <c r="AN14" s="268"/>
      <c r="AO14" s="268"/>
      <c r="AP14" s="268"/>
      <c r="AQ14" s="268"/>
      <c r="AR14" s="268"/>
      <c r="AS14" s="263">
        <f t="shared" si="2"/>
        <v>636.26</v>
      </c>
      <c r="AT14" s="269">
        <f t="shared" si="7"/>
        <v>0</v>
      </c>
      <c r="AU14" s="337">
        <f t="shared" si="5"/>
        <v>41370.67</v>
      </c>
    </row>
    <row r="15" spans="2:47" ht="13.5" customHeight="1">
      <c r="B15" s="723">
        <v>43956</v>
      </c>
      <c r="C15" s="710"/>
      <c r="D15" s="719">
        <f t="shared" si="6"/>
        <v>40734.409999999996</v>
      </c>
      <c r="E15" s="271"/>
      <c r="F15" s="718"/>
      <c r="G15" s="712"/>
      <c r="H15" s="691"/>
      <c r="I15" s="252">
        <v>444.75</v>
      </c>
      <c r="J15" s="272"/>
      <c r="K15" s="252"/>
      <c r="L15" s="252"/>
      <c r="M15" s="355">
        <v>201.49</v>
      </c>
      <c r="N15" s="354">
        <v>1021</v>
      </c>
      <c r="O15" s="254"/>
      <c r="P15" s="254"/>
      <c r="Q15" s="254"/>
      <c r="R15" s="254"/>
      <c r="S15" s="696">
        <v>510</v>
      </c>
      <c r="T15" s="704">
        <f t="shared" si="0"/>
        <v>646.24</v>
      </c>
      <c r="U15" s="266">
        <f t="shared" si="1"/>
        <v>1531</v>
      </c>
      <c r="V15" s="705">
        <f t="shared" si="4"/>
        <v>0.42210320052253431</v>
      </c>
      <c r="W15" s="259"/>
      <c r="X15" s="267"/>
      <c r="Y15" s="243"/>
      <c r="Z15" s="267"/>
      <c r="AA15" s="252"/>
      <c r="AB15" s="327"/>
      <c r="AC15" s="267"/>
      <c r="AD15" s="267"/>
      <c r="AE15" s="267"/>
      <c r="AF15" s="267"/>
      <c r="AG15" s="267"/>
      <c r="AH15" s="267"/>
      <c r="AI15" s="267"/>
      <c r="AJ15" s="457"/>
      <c r="AK15" s="325">
        <f t="shared" si="3"/>
        <v>0</v>
      </c>
      <c r="AL15" s="268"/>
      <c r="AM15" s="268"/>
      <c r="AN15" s="268"/>
      <c r="AO15" s="268"/>
      <c r="AP15" s="268"/>
      <c r="AQ15" s="268"/>
      <c r="AR15" s="268"/>
      <c r="AS15" s="263">
        <f t="shared" si="2"/>
        <v>646.24</v>
      </c>
      <c r="AT15" s="269">
        <f t="shared" si="7"/>
        <v>0</v>
      </c>
      <c r="AU15" s="337">
        <f t="shared" si="5"/>
        <v>40734.409999999996</v>
      </c>
    </row>
    <row r="16" spans="2:47" ht="13.5" customHeight="1">
      <c r="B16" s="723">
        <v>43957</v>
      </c>
      <c r="C16" s="710"/>
      <c r="D16" s="719">
        <f t="shared" si="6"/>
        <v>40088.17</v>
      </c>
      <c r="E16" s="271"/>
      <c r="F16" s="718"/>
      <c r="G16" s="712"/>
      <c r="H16" s="691">
        <v>323.5</v>
      </c>
      <c r="I16" s="252">
        <v>304.38</v>
      </c>
      <c r="J16" s="272"/>
      <c r="K16" s="252"/>
      <c r="L16" s="252"/>
      <c r="M16" s="355"/>
      <c r="N16" s="789"/>
      <c r="O16" s="789"/>
      <c r="P16" s="254"/>
      <c r="Q16" s="254"/>
      <c r="R16" s="254"/>
      <c r="S16" s="696"/>
      <c r="T16" s="704">
        <f t="shared" si="0"/>
        <v>627.88</v>
      </c>
      <c r="U16" s="266">
        <f t="shared" si="1"/>
        <v>0</v>
      </c>
      <c r="V16" s="705" t="e">
        <f t="shared" si="4"/>
        <v>#DIV/0!</v>
      </c>
      <c r="W16" s="259"/>
      <c r="X16" s="267"/>
      <c r="Y16" s="243">
        <v>31.11</v>
      </c>
      <c r="Z16" s="267"/>
      <c r="AA16" s="252"/>
      <c r="AB16" s="327"/>
      <c r="AC16" s="267"/>
      <c r="AD16" s="267"/>
      <c r="AE16" s="267"/>
      <c r="AF16" s="267"/>
      <c r="AG16" s="267"/>
      <c r="AH16" s="267"/>
      <c r="AI16" s="267"/>
      <c r="AJ16" s="457"/>
      <c r="AK16" s="325">
        <f t="shared" si="3"/>
        <v>31.11</v>
      </c>
      <c r="AL16" s="268"/>
      <c r="AM16" s="268"/>
      <c r="AN16" s="268"/>
      <c r="AO16" s="268"/>
      <c r="AP16" s="268"/>
      <c r="AQ16" s="268"/>
      <c r="AR16" s="268"/>
      <c r="AS16" s="263">
        <f t="shared" si="2"/>
        <v>658.99</v>
      </c>
      <c r="AT16" s="269">
        <f t="shared" si="7"/>
        <v>0</v>
      </c>
      <c r="AU16" s="337">
        <f t="shared" si="5"/>
        <v>40088.17</v>
      </c>
    </row>
    <row r="17" spans="2:47" ht="13.5" customHeight="1">
      <c r="B17" s="723">
        <v>43958</v>
      </c>
      <c r="C17" s="710"/>
      <c r="D17" s="719">
        <f t="shared" si="6"/>
        <v>39429.18</v>
      </c>
      <c r="E17" s="271"/>
      <c r="F17" s="718"/>
      <c r="G17" s="712"/>
      <c r="H17" s="691">
        <v>308.52999999999997</v>
      </c>
      <c r="I17" s="252">
        <v>328.99</v>
      </c>
      <c r="J17" s="272"/>
      <c r="K17" s="252"/>
      <c r="L17" s="252"/>
      <c r="M17" s="355"/>
      <c r="N17" s="354">
        <v>728</v>
      </c>
      <c r="O17" s="254">
        <v>706</v>
      </c>
      <c r="P17" s="254"/>
      <c r="Q17" s="254"/>
      <c r="R17" s="254"/>
      <c r="S17" s="696"/>
      <c r="T17" s="704">
        <f t="shared" si="0"/>
        <v>637.52</v>
      </c>
      <c r="U17" s="266">
        <f t="shared" si="1"/>
        <v>1434</v>
      </c>
      <c r="V17" s="705">
        <f t="shared" si="4"/>
        <v>0.44457461645746166</v>
      </c>
      <c r="W17" s="259"/>
      <c r="X17" s="267"/>
      <c r="Y17" s="243">
        <v>22.97</v>
      </c>
      <c r="Z17" s="267"/>
      <c r="AA17" s="252"/>
      <c r="AB17" s="327"/>
      <c r="AC17" s="267"/>
      <c r="AD17" s="267"/>
      <c r="AE17" s="267"/>
      <c r="AF17" s="267"/>
      <c r="AG17" s="267"/>
      <c r="AH17" s="267"/>
      <c r="AI17" s="267"/>
      <c r="AJ17" s="457"/>
      <c r="AK17" s="325">
        <f t="shared" si="3"/>
        <v>22.97</v>
      </c>
      <c r="AL17" s="268"/>
      <c r="AM17" s="268"/>
      <c r="AN17" s="268"/>
      <c r="AO17" s="268"/>
      <c r="AP17" s="268"/>
      <c r="AQ17" s="268"/>
      <c r="AR17" s="268"/>
      <c r="AS17" s="263">
        <f t="shared" si="2"/>
        <v>660.49</v>
      </c>
      <c r="AT17" s="269">
        <f t="shared" si="7"/>
        <v>0</v>
      </c>
      <c r="AU17" s="337">
        <f t="shared" si="5"/>
        <v>39429.18</v>
      </c>
    </row>
    <row r="18" spans="2:47" ht="13.5" customHeight="1">
      <c r="B18" s="723">
        <v>43959</v>
      </c>
      <c r="C18" s="710"/>
      <c r="D18" s="719">
        <f t="shared" si="6"/>
        <v>38768.69</v>
      </c>
      <c r="E18" s="271"/>
      <c r="F18" s="718"/>
      <c r="G18" s="712"/>
      <c r="H18" s="691">
        <v>209.5</v>
      </c>
      <c r="I18" s="252">
        <v>174.54</v>
      </c>
      <c r="J18" s="272"/>
      <c r="K18" s="252"/>
      <c r="L18" s="252"/>
      <c r="M18" s="355">
        <v>308.79000000000002</v>
      </c>
      <c r="N18" s="354">
        <v>367</v>
      </c>
      <c r="O18" s="254">
        <v>462</v>
      </c>
      <c r="P18" s="254"/>
      <c r="Q18" s="254"/>
      <c r="R18" s="254"/>
      <c r="S18" s="696">
        <v>603</v>
      </c>
      <c r="T18" s="704">
        <f t="shared" si="0"/>
        <v>692.82999999999993</v>
      </c>
      <c r="U18" s="266">
        <f t="shared" si="1"/>
        <v>1432</v>
      </c>
      <c r="V18" s="705">
        <f t="shared" si="4"/>
        <v>0.48381983240223458</v>
      </c>
      <c r="W18" s="259"/>
      <c r="X18" s="267"/>
      <c r="Y18" s="243"/>
      <c r="Z18" s="252"/>
      <c r="AA18" s="252">
        <v>80.099999999999994</v>
      </c>
      <c r="AB18" s="327"/>
      <c r="AC18" s="267"/>
      <c r="AD18" s="267"/>
      <c r="AE18" s="267"/>
      <c r="AF18" s="267"/>
      <c r="AG18" s="267"/>
      <c r="AH18" s="267"/>
      <c r="AI18" s="267"/>
      <c r="AJ18" s="457"/>
      <c r="AK18" s="325">
        <f t="shared" si="3"/>
        <v>80.099999999999994</v>
      </c>
      <c r="AL18" s="268"/>
      <c r="AM18" s="268"/>
      <c r="AN18" s="268"/>
      <c r="AO18" s="268"/>
      <c r="AP18" s="268"/>
      <c r="AQ18" s="268"/>
      <c r="AR18" s="268"/>
      <c r="AS18" s="263">
        <f t="shared" si="2"/>
        <v>772.93</v>
      </c>
      <c r="AT18" s="269">
        <f t="shared" si="7"/>
        <v>0</v>
      </c>
      <c r="AU18" s="337">
        <f t="shared" si="5"/>
        <v>38768.69</v>
      </c>
    </row>
    <row r="19" spans="2:47" ht="13.5" customHeight="1">
      <c r="B19" s="723">
        <v>43960</v>
      </c>
      <c r="C19" s="710"/>
      <c r="D19" s="719">
        <f t="shared" si="6"/>
        <v>37995.760000000002</v>
      </c>
      <c r="E19" s="271"/>
      <c r="F19" s="718"/>
      <c r="G19" s="712"/>
      <c r="H19" s="691"/>
      <c r="I19" s="252">
        <v>513.1</v>
      </c>
      <c r="J19" s="272"/>
      <c r="K19" s="252"/>
      <c r="L19" s="252"/>
      <c r="M19" s="355">
        <v>149</v>
      </c>
      <c r="N19" s="354"/>
      <c r="O19" s="254">
        <v>774</v>
      </c>
      <c r="P19" s="254"/>
      <c r="Q19" s="254"/>
      <c r="R19" s="254"/>
      <c r="S19" s="696">
        <v>753</v>
      </c>
      <c r="T19" s="704">
        <f t="shared" si="0"/>
        <v>662.1</v>
      </c>
      <c r="U19" s="266">
        <f t="shared" si="1"/>
        <v>1527</v>
      </c>
      <c r="V19" s="705">
        <f t="shared" si="4"/>
        <v>0.43359528487229865</v>
      </c>
      <c r="W19" s="259"/>
      <c r="X19" s="267"/>
      <c r="Y19" s="243"/>
      <c r="Z19" s="267"/>
      <c r="AA19" s="252"/>
      <c r="AB19" s="327"/>
      <c r="AC19" s="267"/>
      <c r="AD19" s="267"/>
      <c r="AE19" s="267"/>
      <c r="AF19" s="267"/>
      <c r="AG19" s="267"/>
      <c r="AH19" s="267"/>
      <c r="AI19" s="267"/>
      <c r="AJ19" s="457"/>
      <c r="AK19" s="325">
        <f t="shared" si="3"/>
        <v>0</v>
      </c>
      <c r="AL19" s="268"/>
      <c r="AM19" s="262"/>
      <c r="AN19" s="268"/>
      <c r="AO19" s="274"/>
      <c r="AP19" s="274"/>
      <c r="AQ19" s="274"/>
      <c r="AR19" s="275"/>
      <c r="AS19" s="263">
        <f t="shared" si="2"/>
        <v>662.1</v>
      </c>
      <c r="AT19" s="269">
        <f t="shared" si="7"/>
        <v>0</v>
      </c>
      <c r="AU19" s="337">
        <f t="shared" si="5"/>
        <v>37995.760000000002</v>
      </c>
    </row>
    <row r="20" spans="2:47" ht="14.25">
      <c r="B20" s="723">
        <v>43961</v>
      </c>
      <c r="C20" s="710"/>
      <c r="D20" s="719">
        <f t="shared" si="6"/>
        <v>37333.660000000003</v>
      </c>
      <c r="E20" s="271"/>
      <c r="F20" s="718"/>
      <c r="G20" s="712"/>
      <c r="H20" s="691">
        <v>201.21</v>
      </c>
      <c r="I20" s="267"/>
      <c r="J20" s="272"/>
      <c r="K20" s="252"/>
      <c r="L20" s="252"/>
      <c r="M20" s="654">
        <v>451.12</v>
      </c>
      <c r="N20" s="354">
        <v>636</v>
      </c>
      <c r="O20" s="254"/>
      <c r="P20" s="254"/>
      <c r="Q20" s="254"/>
      <c r="R20" s="254"/>
      <c r="S20" s="697">
        <v>815</v>
      </c>
      <c r="T20" s="704">
        <f t="shared" si="0"/>
        <v>652.33000000000004</v>
      </c>
      <c r="U20" s="266">
        <f t="shared" si="1"/>
        <v>1451</v>
      </c>
      <c r="V20" s="705">
        <f t="shared" si="4"/>
        <v>0.4495727084769125</v>
      </c>
      <c r="W20" s="259"/>
      <c r="X20" s="267"/>
      <c r="Y20" s="243"/>
      <c r="Z20" s="267"/>
      <c r="AA20" s="252"/>
      <c r="AB20" s="327"/>
      <c r="AC20" s="267"/>
      <c r="AD20" s="267"/>
      <c r="AE20" s="267"/>
      <c r="AF20" s="267"/>
      <c r="AG20" s="267"/>
      <c r="AH20" s="267"/>
      <c r="AI20" s="267"/>
      <c r="AJ20" s="457"/>
      <c r="AK20" s="325">
        <f t="shared" si="3"/>
        <v>0</v>
      </c>
      <c r="AL20" s="268"/>
      <c r="AM20" s="262"/>
      <c r="AN20" s="268"/>
      <c r="AO20" s="274"/>
      <c r="AP20" s="274"/>
      <c r="AQ20" s="274"/>
      <c r="AR20" s="275"/>
      <c r="AS20" s="263">
        <f t="shared" si="2"/>
        <v>652.33000000000004</v>
      </c>
      <c r="AT20" s="269">
        <f t="shared" si="7"/>
        <v>0</v>
      </c>
      <c r="AU20" s="337">
        <f t="shared" si="5"/>
        <v>37333.660000000003</v>
      </c>
    </row>
    <row r="21" spans="2:47" ht="14.25">
      <c r="B21" s="723">
        <v>43962</v>
      </c>
      <c r="C21" s="710"/>
      <c r="D21" s="719">
        <f t="shared" si="6"/>
        <v>36681.33</v>
      </c>
      <c r="E21" s="271"/>
      <c r="F21" s="718"/>
      <c r="G21" s="712"/>
      <c r="H21" s="691"/>
      <c r="I21" s="267">
        <v>370.95</v>
      </c>
      <c r="J21" s="272"/>
      <c r="K21" s="252"/>
      <c r="L21" s="252"/>
      <c r="M21" s="615">
        <v>304.44</v>
      </c>
      <c r="N21" s="354"/>
      <c r="O21" s="354">
        <v>783</v>
      </c>
      <c r="P21" s="254"/>
      <c r="Q21" s="254"/>
      <c r="R21" s="254"/>
      <c r="S21" s="696">
        <v>666</v>
      </c>
      <c r="T21" s="704">
        <f t="shared" si="0"/>
        <v>675.39</v>
      </c>
      <c r="U21" s="266">
        <f t="shared" si="1"/>
        <v>1449</v>
      </c>
      <c r="V21" s="705">
        <f t="shared" si="4"/>
        <v>0.46610766045548652</v>
      </c>
      <c r="W21" s="259"/>
      <c r="X21" s="267"/>
      <c r="Y21" s="243"/>
      <c r="Z21" s="267"/>
      <c r="AA21" s="252"/>
      <c r="AB21" s="327"/>
      <c r="AC21" s="267"/>
      <c r="AD21" s="267"/>
      <c r="AE21" s="267"/>
      <c r="AF21" s="267"/>
      <c r="AG21" s="267"/>
      <c r="AH21" s="267"/>
      <c r="AI21" s="267"/>
      <c r="AJ21" s="457"/>
      <c r="AK21" s="325">
        <f t="shared" si="3"/>
        <v>0</v>
      </c>
      <c r="AL21" s="261"/>
      <c r="AM21" s="262"/>
      <c r="AN21" s="268"/>
      <c r="AO21" s="274"/>
      <c r="AP21" s="274"/>
      <c r="AQ21" s="274"/>
      <c r="AR21" s="275"/>
      <c r="AS21" s="263">
        <f>SUM(AK21+T21)</f>
        <v>675.39</v>
      </c>
      <c r="AT21" s="269">
        <f t="shared" si="7"/>
        <v>0</v>
      </c>
      <c r="AU21" s="337">
        <f t="shared" si="5"/>
        <v>36681.33</v>
      </c>
    </row>
    <row r="22" spans="2:47" ht="14.25">
      <c r="B22" s="723">
        <v>43963</v>
      </c>
      <c r="C22" s="710"/>
      <c r="D22" s="719">
        <f t="shared" si="6"/>
        <v>46005.94</v>
      </c>
      <c r="E22" s="271">
        <v>10000</v>
      </c>
      <c r="F22" s="718">
        <v>10000</v>
      </c>
      <c r="G22" s="788" t="s">
        <v>312</v>
      </c>
      <c r="H22" s="691"/>
      <c r="I22" s="252">
        <v>318.31</v>
      </c>
      <c r="J22" s="272"/>
      <c r="K22" s="252"/>
      <c r="L22" s="252"/>
      <c r="M22" s="654">
        <v>400.7</v>
      </c>
      <c r="N22" s="354"/>
      <c r="O22" s="354">
        <v>765</v>
      </c>
      <c r="P22" s="254"/>
      <c r="Q22" s="254"/>
      <c r="R22" s="254"/>
      <c r="S22" s="696">
        <v>858</v>
      </c>
      <c r="T22" s="704">
        <f t="shared" si="0"/>
        <v>719.01</v>
      </c>
      <c r="U22" s="266">
        <f t="shared" si="1"/>
        <v>1623</v>
      </c>
      <c r="V22" s="705">
        <f t="shared" si="4"/>
        <v>0.4430129390018484</v>
      </c>
      <c r="W22" s="259"/>
      <c r="X22" s="267"/>
      <c r="Y22" s="243">
        <v>24.77</v>
      </c>
      <c r="Z22" s="267">
        <v>56.92</v>
      </c>
      <c r="AA22" s="252">
        <v>25.2</v>
      </c>
      <c r="AB22" s="327"/>
      <c r="AC22" s="267"/>
      <c r="AD22" s="267"/>
      <c r="AE22" s="267"/>
      <c r="AF22" s="267"/>
      <c r="AG22" s="267"/>
      <c r="AH22" s="267"/>
      <c r="AI22" s="267"/>
      <c r="AJ22" s="457"/>
      <c r="AK22" s="325">
        <f t="shared" si="3"/>
        <v>106.89</v>
      </c>
      <c r="AL22" s="261"/>
      <c r="AM22" s="262"/>
      <c r="AN22" s="268"/>
      <c r="AO22" s="274"/>
      <c r="AP22" s="274"/>
      <c r="AQ22" s="274"/>
      <c r="AR22" s="275"/>
      <c r="AS22" s="263">
        <f t="shared" si="2"/>
        <v>825.9</v>
      </c>
      <c r="AT22" s="269">
        <f t="shared" si="7"/>
        <v>0</v>
      </c>
      <c r="AU22" s="337">
        <f t="shared" si="5"/>
        <v>46005.94</v>
      </c>
    </row>
    <row r="23" spans="2:47" ht="14.25">
      <c r="B23" s="723">
        <v>43964</v>
      </c>
      <c r="C23" s="710"/>
      <c r="D23" s="719">
        <f t="shared" si="6"/>
        <v>45180.04</v>
      </c>
      <c r="E23" s="271"/>
      <c r="F23" s="718"/>
      <c r="G23" s="712"/>
      <c r="H23" s="691">
        <v>326.19</v>
      </c>
      <c r="I23" s="267"/>
      <c r="J23" s="272"/>
      <c r="K23" s="252"/>
      <c r="L23" s="252"/>
      <c r="M23" s="654">
        <v>330</v>
      </c>
      <c r="N23" s="354">
        <v>694</v>
      </c>
      <c r="O23" s="254"/>
      <c r="P23" s="254"/>
      <c r="Q23" s="254"/>
      <c r="R23" s="254"/>
      <c r="S23" s="696">
        <v>858</v>
      </c>
      <c r="T23" s="704">
        <f t="shared" si="0"/>
        <v>656.19</v>
      </c>
      <c r="U23" s="266">
        <f t="shared" si="1"/>
        <v>1552</v>
      </c>
      <c r="V23" s="705">
        <f t="shared" si="4"/>
        <v>0.42280283505154642</v>
      </c>
      <c r="W23" s="259"/>
      <c r="X23" s="267"/>
      <c r="Y23" s="243"/>
      <c r="Z23" s="267"/>
      <c r="AA23" s="252"/>
      <c r="AB23" s="327"/>
      <c r="AC23" s="267"/>
      <c r="AD23" s="267"/>
      <c r="AE23" s="267"/>
      <c r="AF23" s="267"/>
      <c r="AG23" s="267"/>
      <c r="AH23" s="267"/>
      <c r="AI23" s="267"/>
      <c r="AJ23" s="457"/>
      <c r="AK23" s="325">
        <f t="shared" si="3"/>
        <v>0</v>
      </c>
      <c r="AL23" s="261"/>
      <c r="AM23" s="261"/>
      <c r="AN23" s="261"/>
      <c r="AO23" s="261"/>
      <c r="AP23" s="261"/>
      <c r="AQ23" s="261"/>
      <c r="AR23" s="261"/>
      <c r="AS23" s="263">
        <f t="shared" si="2"/>
        <v>656.19</v>
      </c>
      <c r="AT23" s="269">
        <f t="shared" si="7"/>
        <v>0</v>
      </c>
      <c r="AU23" s="337">
        <f t="shared" si="5"/>
        <v>45180.04</v>
      </c>
    </row>
    <row r="24" spans="2:47" ht="14.25">
      <c r="B24" s="723">
        <v>43965</v>
      </c>
      <c r="C24" s="710"/>
      <c r="D24" s="719">
        <f t="shared" si="6"/>
        <v>44523.85</v>
      </c>
      <c r="E24" s="251"/>
      <c r="F24" s="718"/>
      <c r="G24" s="712"/>
      <c r="H24" s="691">
        <v>327.68</v>
      </c>
      <c r="I24" s="267">
        <v>305.39999999999998</v>
      </c>
      <c r="J24" s="272"/>
      <c r="K24" s="252"/>
      <c r="L24" s="252"/>
      <c r="M24" s="654"/>
      <c r="N24" s="354">
        <v>782</v>
      </c>
      <c r="O24" s="354">
        <v>698</v>
      </c>
      <c r="P24" s="254"/>
      <c r="Q24" s="254"/>
      <c r="R24" s="254"/>
      <c r="S24" s="696"/>
      <c r="T24" s="704">
        <f t="shared" si="0"/>
        <v>633.07999999999993</v>
      </c>
      <c r="U24" s="266">
        <f t="shared" si="1"/>
        <v>1480</v>
      </c>
      <c r="V24" s="705">
        <f t="shared" si="4"/>
        <v>0.42775675675675673</v>
      </c>
      <c r="W24" s="259"/>
      <c r="X24" s="267"/>
      <c r="Y24" s="243"/>
      <c r="Z24" s="267"/>
      <c r="AA24" s="252"/>
      <c r="AB24" s="327"/>
      <c r="AC24" s="267"/>
      <c r="AD24" s="267"/>
      <c r="AE24" s="267"/>
      <c r="AF24" s="267"/>
      <c r="AG24" s="267"/>
      <c r="AH24" s="267"/>
      <c r="AI24" s="267"/>
      <c r="AJ24" s="457"/>
      <c r="AK24" s="325">
        <f t="shared" si="3"/>
        <v>0</v>
      </c>
      <c r="AL24" s="261"/>
      <c r="AM24" s="261"/>
      <c r="AN24" s="261"/>
      <c r="AO24" s="261"/>
      <c r="AP24" s="261"/>
      <c r="AQ24" s="261"/>
      <c r="AR24" s="261"/>
      <c r="AS24" s="263">
        <f t="shared" si="2"/>
        <v>633.07999999999993</v>
      </c>
      <c r="AT24" s="269">
        <f t="shared" si="7"/>
        <v>0</v>
      </c>
      <c r="AU24" s="337">
        <f t="shared" si="5"/>
        <v>44523.85</v>
      </c>
    </row>
    <row r="25" spans="2:47" ht="14.25">
      <c r="B25" s="723">
        <v>43966</v>
      </c>
      <c r="C25" s="710"/>
      <c r="D25" s="719">
        <f t="shared" si="6"/>
        <v>43890.77</v>
      </c>
      <c r="E25" s="271"/>
      <c r="F25" s="718"/>
      <c r="G25" s="712"/>
      <c r="H25" s="691"/>
      <c r="I25" s="267"/>
      <c r="J25" s="272"/>
      <c r="K25" s="252"/>
      <c r="L25" s="252"/>
      <c r="M25" s="654"/>
      <c r="N25" s="354"/>
      <c r="O25" s="254"/>
      <c r="P25" s="254"/>
      <c r="Q25" s="254"/>
      <c r="R25" s="254"/>
      <c r="S25" s="696"/>
      <c r="T25" s="704">
        <f t="shared" si="0"/>
        <v>0</v>
      </c>
      <c r="U25" s="266">
        <f t="shared" si="1"/>
        <v>0</v>
      </c>
      <c r="V25" s="705" t="e">
        <f t="shared" si="4"/>
        <v>#DIV/0!</v>
      </c>
      <c r="W25" s="259"/>
      <c r="X25" s="267"/>
      <c r="Y25" s="243"/>
      <c r="Z25" s="267"/>
      <c r="AA25" s="252"/>
      <c r="AB25" s="327"/>
      <c r="AC25" s="267"/>
      <c r="AD25" s="267"/>
      <c r="AE25" s="267"/>
      <c r="AF25" s="267"/>
      <c r="AG25" s="267"/>
      <c r="AH25" s="267"/>
      <c r="AI25" s="267"/>
      <c r="AJ25" s="457"/>
      <c r="AK25" s="325">
        <f t="shared" si="3"/>
        <v>0</v>
      </c>
      <c r="AL25" s="261"/>
      <c r="AM25" s="261"/>
      <c r="AN25" s="261"/>
      <c r="AO25" s="261"/>
      <c r="AP25" s="261"/>
      <c r="AQ25" s="261"/>
      <c r="AR25" s="261"/>
      <c r="AS25" s="263">
        <f t="shared" si="2"/>
        <v>0</v>
      </c>
      <c r="AT25" s="269">
        <f t="shared" si="7"/>
        <v>0</v>
      </c>
      <c r="AU25" s="337">
        <f t="shared" si="5"/>
        <v>43890.77</v>
      </c>
    </row>
    <row r="26" spans="2:47" ht="14.25">
      <c r="B26" s="723">
        <v>43967</v>
      </c>
      <c r="C26" s="710"/>
      <c r="D26" s="719">
        <f t="shared" si="6"/>
        <v>43890.77</v>
      </c>
      <c r="E26" s="271"/>
      <c r="F26" s="718"/>
      <c r="G26" s="712"/>
      <c r="H26" s="691"/>
      <c r="I26" s="267"/>
      <c r="J26" s="272"/>
      <c r="K26" s="252"/>
      <c r="L26" s="252"/>
      <c r="M26" s="654"/>
      <c r="N26" s="354"/>
      <c r="O26" s="254"/>
      <c r="P26" s="254"/>
      <c r="Q26" s="254"/>
      <c r="R26" s="254"/>
      <c r="S26" s="696"/>
      <c r="T26" s="704">
        <f t="shared" si="0"/>
        <v>0</v>
      </c>
      <c r="U26" s="266">
        <f t="shared" si="1"/>
        <v>0</v>
      </c>
      <c r="V26" s="705" t="e">
        <f t="shared" si="4"/>
        <v>#DIV/0!</v>
      </c>
      <c r="W26" s="259"/>
      <c r="X26" s="267"/>
      <c r="Y26" s="243"/>
      <c r="Z26" s="267"/>
      <c r="AA26" s="267"/>
      <c r="AB26" s="327"/>
      <c r="AC26" s="267"/>
      <c r="AD26" s="267"/>
      <c r="AE26" s="267"/>
      <c r="AF26" s="267"/>
      <c r="AG26" s="267"/>
      <c r="AH26" s="267"/>
      <c r="AI26" s="267"/>
      <c r="AJ26" s="457"/>
      <c r="AK26" s="325">
        <f t="shared" si="3"/>
        <v>0</v>
      </c>
      <c r="AL26" s="261"/>
      <c r="AM26" s="261"/>
      <c r="AN26" s="261"/>
      <c r="AO26" s="261"/>
      <c r="AP26" s="261"/>
      <c r="AQ26" s="261"/>
      <c r="AR26" s="261"/>
      <c r="AS26" s="263">
        <f t="shared" si="2"/>
        <v>0</v>
      </c>
      <c r="AT26" s="269">
        <f t="shared" si="7"/>
        <v>0</v>
      </c>
      <c r="AU26" s="337">
        <f t="shared" si="5"/>
        <v>43890.77</v>
      </c>
    </row>
    <row r="27" spans="2:47" ht="14.25">
      <c r="B27" s="723">
        <v>43968</v>
      </c>
      <c r="C27" s="710"/>
      <c r="D27" s="719">
        <f t="shared" si="6"/>
        <v>43890.77</v>
      </c>
      <c r="E27" s="271"/>
      <c r="F27" s="718"/>
      <c r="G27" s="712"/>
      <c r="H27" s="691"/>
      <c r="I27" s="267"/>
      <c r="J27" s="272"/>
      <c r="K27" s="252"/>
      <c r="L27" s="252"/>
      <c r="M27" s="654"/>
      <c r="N27" s="354"/>
      <c r="O27" s="254"/>
      <c r="P27" s="254"/>
      <c r="Q27" s="254"/>
      <c r="R27" s="254"/>
      <c r="S27" s="696"/>
      <c r="T27" s="704">
        <f t="shared" si="0"/>
        <v>0</v>
      </c>
      <c r="U27" s="266">
        <f t="shared" si="1"/>
        <v>0</v>
      </c>
      <c r="V27" s="705" t="e">
        <f t="shared" si="4"/>
        <v>#DIV/0!</v>
      </c>
      <c r="W27" s="259"/>
      <c r="X27" s="267"/>
      <c r="Y27" s="243"/>
      <c r="Z27" s="267"/>
      <c r="AA27" s="252"/>
      <c r="AB27" s="327"/>
      <c r="AC27" s="267"/>
      <c r="AD27" s="267"/>
      <c r="AE27" s="267"/>
      <c r="AF27" s="267"/>
      <c r="AG27" s="267"/>
      <c r="AH27" s="267"/>
      <c r="AI27" s="267"/>
      <c r="AJ27" s="457"/>
      <c r="AK27" s="325">
        <f t="shared" si="3"/>
        <v>0</v>
      </c>
      <c r="AL27" s="261"/>
      <c r="AM27" s="261"/>
      <c r="AN27" s="261"/>
      <c r="AO27" s="261"/>
      <c r="AP27" s="261"/>
      <c r="AQ27" s="261"/>
      <c r="AR27" s="261"/>
      <c r="AS27" s="263">
        <f t="shared" si="2"/>
        <v>0</v>
      </c>
      <c r="AT27" s="269">
        <f t="shared" si="7"/>
        <v>0</v>
      </c>
      <c r="AU27" s="337">
        <f t="shared" si="5"/>
        <v>43890.77</v>
      </c>
    </row>
    <row r="28" spans="2:47" ht="14.25">
      <c r="B28" s="723">
        <v>43969</v>
      </c>
      <c r="C28" s="710"/>
      <c r="D28" s="719">
        <f t="shared" si="6"/>
        <v>43890.77</v>
      </c>
      <c r="E28" s="271"/>
      <c r="F28" s="718"/>
      <c r="G28" s="712"/>
      <c r="H28" s="691"/>
      <c r="I28" s="267"/>
      <c r="J28" s="253"/>
      <c r="K28" s="252"/>
      <c r="L28" s="252"/>
      <c r="M28" s="654"/>
      <c r="N28" s="354"/>
      <c r="O28" s="254"/>
      <c r="P28" s="254"/>
      <c r="Q28" s="254"/>
      <c r="R28" s="254"/>
      <c r="S28" s="696"/>
      <c r="T28" s="704">
        <f t="shared" si="0"/>
        <v>0</v>
      </c>
      <c r="U28" s="266">
        <f t="shared" si="1"/>
        <v>0</v>
      </c>
      <c r="V28" s="705" t="e">
        <f t="shared" si="4"/>
        <v>#DIV/0!</v>
      </c>
      <c r="W28" s="259"/>
      <c r="X28" s="267"/>
      <c r="Y28" s="243"/>
      <c r="Z28" s="267"/>
      <c r="AA28" s="252"/>
      <c r="AB28" s="327"/>
      <c r="AC28" s="267"/>
      <c r="AD28" s="267"/>
      <c r="AE28" s="267"/>
      <c r="AF28" s="267"/>
      <c r="AG28" s="267"/>
      <c r="AH28" s="267"/>
      <c r="AI28" s="267"/>
      <c r="AJ28" s="457"/>
      <c r="AK28" s="325">
        <f>SUM(W28:AJ28)</f>
        <v>0</v>
      </c>
      <c r="AL28" s="261"/>
      <c r="AM28" s="261"/>
      <c r="AN28" s="261"/>
      <c r="AO28" s="261"/>
      <c r="AP28" s="261"/>
      <c r="AQ28" s="261"/>
      <c r="AR28" s="261"/>
      <c r="AS28" s="263">
        <f t="shared" si="2"/>
        <v>0</v>
      </c>
      <c r="AT28" s="269">
        <f t="shared" si="7"/>
        <v>0</v>
      </c>
      <c r="AU28" s="337">
        <f t="shared" si="5"/>
        <v>43890.77</v>
      </c>
    </row>
    <row r="29" spans="2:47" ht="14.25">
      <c r="B29" s="723">
        <v>43970</v>
      </c>
      <c r="C29" s="710"/>
      <c r="D29" s="719">
        <f t="shared" si="6"/>
        <v>43890.77</v>
      </c>
      <c r="E29" s="271"/>
      <c r="F29" s="718"/>
      <c r="G29" s="712"/>
      <c r="H29" s="691"/>
      <c r="I29" s="267"/>
      <c r="J29" s="253"/>
      <c r="K29" s="252"/>
      <c r="L29" s="252"/>
      <c r="M29" s="654"/>
      <c r="N29" s="354"/>
      <c r="O29" s="254"/>
      <c r="P29" s="254"/>
      <c r="Q29" s="254"/>
      <c r="R29" s="254"/>
      <c r="S29" s="696"/>
      <c r="T29" s="704">
        <f t="shared" si="0"/>
        <v>0</v>
      </c>
      <c r="U29" s="266">
        <f t="shared" si="1"/>
        <v>0</v>
      </c>
      <c r="V29" s="705" t="e">
        <f t="shared" si="4"/>
        <v>#DIV/0!</v>
      </c>
      <c r="W29" s="259"/>
      <c r="X29" s="267"/>
      <c r="Y29" s="243"/>
      <c r="Z29" s="267"/>
      <c r="AA29" s="252"/>
      <c r="AB29" s="327"/>
      <c r="AC29" s="267"/>
      <c r="AD29" s="267"/>
      <c r="AE29" s="267"/>
      <c r="AF29" s="267"/>
      <c r="AG29" s="267"/>
      <c r="AH29" s="267"/>
      <c r="AI29" s="267"/>
      <c r="AJ29" s="457"/>
      <c r="AK29" s="325">
        <f t="shared" si="3"/>
        <v>0</v>
      </c>
      <c r="AL29" s="261"/>
      <c r="AM29" s="261"/>
      <c r="AN29" s="261"/>
      <c r="AO29" s="261"/>
      <c r="AP29" s="261"/>
      <c r="AQ29" s="261"/>
      <c r="AR29" s="261"/>
      <c r="AS29" s="263">
        <f t="shared" si="2"/>
        <v>0</v>
      </c>
      <c r="AT29" s="269">
        <f t="shared" si="7"/>
        <v>0</v>
      </c>
      <c r="AU29" s="337">
        <f t="shared" si="5"/>
        <v>43890.77</v>
      </c>
    </row>
    <row r="30" spans="2:47" ht="14.25">
      <c r="B30" s="723">
        <v>43971</v>
      </c>
      <c r="C30" s="710"/>
      <c r="D30" s="719">
        <f t="shared" si="6"/>
        <v>43890.77</v>
      </c>
      <c r="E30" s="271"/>
      <c r="F30" s="718"/>
      <c r="G30" s="712"/>
      <c r="H30" s="691"/>
      <c r="I30" s="267"/>
      <c r="J30" s="253"/>
      <c r="K30" s="252"/>
      <c r="L30" s="252"/>
      <c r="M30" s="654"/>
      <c r="N30" s="354"/>
      <c r="O30" s="254"/>
      <c r="P30" s="254"/>
      <c r="Q30" s="254"/>
      <c r="R30" s="254"/>
      <c r="S30" s="696"/>
      <c r="T30" s="704">
        <f t="shared" si="0"/>
        <v>0</v>
      </c>
      <c r="U30" s="266">
        <f t="shared" si="1"/>
        <v>0</v>
      </c>
      <c r="V30" s="705" t="e">
        <f t="shared" si="4"/>
        <v>#DIV/0!</v>
      </c>
      <c r="W30" s="259"/>
      <c r="X30" s="267"/>
      <c r="Y30" s="243"/>
      <c r="Z30" s="267"/>
      <c r="AA30" s="252"/>
      <c r="AB30" s="327"/>
      <c r="AC30" s="267"/>
      <c r="AD30" s="267"/>
      <c r="AE30" s="267"/>
      <c r="AF30" s="267"/>
      <c r="AG30" s="267"/>
      <c r="AH30" s="267"/>
      <c r="AI30" s="267"/>
      <c r="AJ30" s="457"/>
      <c r="AK30" s="325">
        <f t="shared" si="3"/>
        <v>0</v>
      </c>
      <c r="AL30" s="261"/>
      <c r="AM30" s="261"/>
      <c r="AN30" s="261"/>
      <c r="AO30" s="261"/>
      <c r="AP30" s="261"/>
      <c r="AQ30" s="261"/>
      <c r="AR30" s="261"/>
      <c r="AS30" s="263">
        <f t="shared" si="2"/>
        <v>0</v>
      </c>
      <c r="AT30" s="269">
        <f t="shared" si="7"/>
        <v>0</v>
      </c>
      <c r="AU30" s="337">
        <f t="shared" si="5"/>
        <v>43890.77</v>
      </c>
    </row>
    <row r="31" spans="2:47" ht="14.25">
      <c r="B31" s="723">
        <v>43972</v>
      </c>
      <c r="C31" s="710"/>
      <c r="D31" s="719">
        <f t="shared" si="6"/>
        <v>43890.77</v>
      </c>
      <c r="E31" s="271"/>
      <c r="F31" s="718"/>
      <c r="G31" s="712"/>
      <c r="H31" s="691"/>
      <c r="I31" s="267"/>
      <c r="J31" s="253"/>
      <c r="K31" s="252"/>
      <c r="L31" s="252"/>
      <c r="M31" s="654"/>
      <c r="N31" s="354"/>
      <c r="O31" s="254"/>
      <c r="P31" s="254"/>
      <c r="Q31" s="254"/>
      <c r="R31" s="254"/>
      <c r="S31" s="696"/>
      <c r="T31" s="704">
        <f t="shared" si="0"/>
        <v>0</v>
      </c>
      <c r="U31" s="266">
        <f t="shared" si="1"/>
        <v>0</v>
      </c>
      <c r="V31" s="705" t="e">
        <f t="shared" si="4"/>
        <v>#DIV/0!</v>
      </c>
      <c r="W31" s="259"/>
      <c r="X31" s="267"/>
      <c r="Y31" s="243"/>
      <c r="Z31" s="267"/>
      <c r="AA31" s="252"/>
      <c r="AB31" s="327"/>
      <c r="AC31" s="267"/>
      <c r="AD31" s="267"/>
      <c r="AE31" s="267"/>
      <c r="AF31" s="267"/>
      <c r="AG31" s="267"/>
      <c r="AH31" s="267"/>
      <c r="AI31" s="267"/>
      <c r="AJ31" s="457"/>
      <c r="AK31" s="325">
        <f t="shared" si="3"/>
        <v>0</v>
      </c>
      <c r="AL31" s="261"/>
      <c r="AM31" s="261"/>
      <c r="AN31" s="261"/>
      <c r="AO31" s="261"/>
      <c r="AP31" s="261"/>
      <c r="AQ31" s="261"/>
      <c r="AR31" s="261"/>
      <c r="AS31" s="263">
        <f t="shared" si="2"/>
        <v>0</v>
      </c>
      <c r="AT31" s="269">
        <f t="shared" si="7"/>
        <v>0</v>
      </c>
      <c r="AU31" s="337">
        <f t="shared" si="5"/>
        <v>43890.77</v>
      </c>
    </row>
    <row r="32" spans="2:47" ht="14.25">
      <c r="B32" s="723">
        <v>43973</v>
      </c>
      <c r="C32" s="710"/>
      <c r="D32" s="719">
        <f t="shared" si="6"/>
        <v>43890.77</v>
      </c>
      <c r="E32" s="271"/>
      <c r="F32" s="718"/>
      <c r="G32" s="712"/>
      <c r="H32" s="691"/>
      <c r="I32" s="267"/>
      <c r="J32" s="253"/>
      <c r="K32" s="252"/>
      <c r="L32" s="252"/>
      <c r="M32" s="654"/>
      <c r="N32" s="354"/>
      <c r="O32" s="254"/>
      <c r="P32" s="254"/>
      <c r="Q32" s="254"/>
      <c r="R32" s="254"/>
      <c r="S32" s="696"/>
      <c r="T32" s="704">
        <f t="shared" si="0"/>
        <v>0</v>
      </c>
      <c r="U32" s="266">
        <f t="shared" si="1"/>
        <v>0</v>
      </c>
      <c r="V32" s="705" t="e">
        <f t="shared" si="4"/>
        <v>#DIV/0!</v>
      </c>
      <c r="W32" s="259"/>
      <c r="X32" s="267"/>
      <c r="Y32" s="243"/>
      <c r="Z32" s="267"/>
      <c r="AA32" s="252"/>
      <c r="AB32" s="327"/>
      <c r="AC32" s="267"/>
      <c r="AD32" s="267"/>
      <c r="AE32" s="267"/>
      <c r="AF32" s="267"/>
      <c r="AG32" s="267"/>
      <c r="AH32" s="267"/>
      <c r="AI32" s="267"/>
      <c r="AJ32" s="457"/>
      <c r="AK32" s="325">
        <f t="shared" si="3"/>
        <v>0</v>
      </c>
      <c r="AL32" s="261"/>
      <c r="AM32" s="261"/>
      <c r="AN32" s="261"/>
      <c r="AO32" s="261"/>
      <c r="AP32" s="261"/>
      <c r="AQ32" s="261"/>
      <c r="AR32" s="261"/>
      <c r="AS32" s="263">
        <f t="shared" si="2"/>
        <v>0</v>
      </c>
      <c r="AT32" s="269">
        <f t="shared" si="7"/>
        <v>0</v>
      </c>
      <c r="AU32" s="337">
        <f t="shared" si="5"/>
        <v>43890.77</v>
      </c>
    </row>
    <row r="33" spans="2:48" ht="14.25">
      <c r="B33" s="723">
        <v>43974</v>
      </c>
      <c r="C33" s="710"/>
      <c r="D33" s="719">
        <f t="shared" si="6"/>
        <v>43890.77</v>
      </c>
      <c r="E33" s="271"/>
      <c r="F33" s="718"/>
      <c r="G33" s="712"/>
      <c r="H33" s="691"/>
      <c r="I33" s="267"/>
      <c r="J33" s="253"/>
      <c r="K33" s="252"/>
      <c r="L33" s="252"/>
      <c r="M33" s="654"/>
      <c r="N33" s="354"/>
      <c r="O33" s="254"/>
      <c r="P33" s="254"/>
      <c r="Q33" s="254"/>
      <c r="R33" s="254"/>
      <c r="S33" s="696"/>
      <c r="T33" s="704">
        <f t="shared" si="0"/>
        <v>0</v>
      </c>
      <c r="U33" s="266">
        <f t="shared" si="1"/>
        <v>0</v>
      </c>
      <c r="V33" s="705" t="e">
        <f t="shared" si="4"/>
        <v>#DIV/0!</v>
      </c>
      <c r="W33" s="259"/>
      <c r="X33" s="267"/>
      <c r="Y33" s="243"/>
      <c r="Z33" s="267"/>
      <c r="AA33" s="252"/>
      <c r="AB33" s="327"/>
      <c r="AC33" s="267"/>
      <c r="AD33" s="267"/>
      <c r="AE33" s="267"/>
      <c r="AF33" s="267"/>
      <c r="AG33" s="267"/>
      <c r="AH33" s="267"/>
      <c r="AI33" s="267"/>
      <c r="AJ33" s="457"/>
      <c r="AK33" s="325">
        <f t="shared" si="3"/>
        <v>0</v>
      </c>
      <c r="AL33" s="261"/>
      <c r="AM33" s="261"/>
      <c r="AN33" s="261"/>
      <c r="AO33" s="261"/>
      <c r="AP33" s="261"/>
      <c r="AQ33" s="261"/>
      <c r="AR33" s="261"/>
      <c r="AS33" s="263">
        <f t="shared" si="2"/>
        <v>0</v>
      </c>
      <c r="AT33" s="269">
        <f t="shared" si="7"/>
        <v>0</v>
      </c>
      <c r="AU33" s="337">
        <f t="shared" si="5"/>
        <v>43890.77</v>
      </c>
      <c r="AV33" s="225">
        <f t="shared" ref="AV33:AV41" si="8">SUM(AV32)</f>
        <v>0</v>
      </c>
    </row>
    <row r="34" spans="2:48" ht="14.25">
      <c r="B34" s="723">
        <v>43975</v>
      </c>
      <c r="C34" s="710"/>
      <c r="D34" s="719">
        <f t="shared" si="6"/>
        <v>43890.77</v>
      </c>
      <c r="E34" s="271"/>
      <c r="F34" s="718"/>
      <c r="G34" s="654"/>
      <c r="H34" s="691"/>
      <c r="I34" s="267"/>
      <c r="J34" s="253"/>
      <c r="K34" s="252"/>
      <c r="L34" s="252"/>
      <c r="M34" s="654"/>
      <c r="N34" s="354"/>
      <c r="O34" s="254"/>
      <c r="P34" s="254"/>
      <c r="Q34" s="254"/>
      <c r="R34" s="254"/>
      <c r="S34" s="696"/>
      <c r="T34" s="704">
        <f t="shared" si="0"/>
        <v>0</v>
      </c>
      <c r="U34" s="266">
        <f t="shared" si="1"/>
        <v>0</v>
      </c>
      <c r="V34" s="705" t="e">
        <f t="shared" si="4"/>
        <v>#DIV/0!</v>
      </c>
      <c r="W34" s="259"/>
      <c r="X34" s="267"/>
      <c r="Y34" s="243"/>
      <c r="Z34" s="267"/>
      <c r="AA34" s="252"/>
      <c r="AB34" s="327"/>
      <c r="AC34" s="267"/>
      <c r="AD34" s="267"/>
      <c r="AE34" s="267"/>
      <c r="AF34" s="267"/>
      <c r="AG34" s="267"/>
      <c r="AH34" s="267"/>
      <c r="AI34" s="267"/>
      <c r="AJ34" s="457"/>
      <c r="AK34" s="325">
        <f t="shared" si="3"/>
        <v>0</v>
      </c>
      <c r="AL34" s="261"/>
      <c r="AM34" s="261"/>
      <c r="AN34" s="261"/>
      <c r="AO34" s="261"/>
      <c r="AP34" s="261"/>
      <c r="AQ34" s="261"/>
      <c r="AR34" s="261"/>
      <c r="AS34" s="263">
        <f t="shared" si="2"/>
        <v>0</v>
      </c>
      <c r="AT34" s="269">
        <f t="shared" si="7"/>
        <v>0</v>
      </c>
      <c r="AU34" s="337">
        <f t="shared" si="5"/>
        <v>43890.77</v>
      </c>
      <c r="AV34" s="225">
        <f t="shared" si="8"/>
        <v>0</v>
      </c>
    </row>
    <row r="35" spans="2:48" ht="14.25">
      <c r="B35" s="723">
        <v>43976</v>
      </c>
      <c r="C35" s="710"/>
      <c r="D35" s="719">
        <f t="shared" si="6"/>
        <v>43890.77</v>
      </c>
      <c r="E35" s="271"/>
      <c r="F35" s="718"/>
      <c r="G35" s="712"/>
      <c r="H35" s="691"/>
      <c r="I35" s="267"/>
      <c r="J35" s="253"/>
      <c r="K35" s="252"/>
      <c r="L35" s="252"/>
      <c r="M35" s="654"/>
      <c r="N35" s="354"/>
      <c r="O35" s="254"/>
      <c r="P35" s="254"/>
      <c r="Q35" s="254"/>
      <c r="R35" s="254"/>
      <c r="S35" s="696"/>
      <c r="T35" s="704">
        <f t="shared" si="0"/>
        <v>0</v>
      </c>
      <c r="U35" s="266">
        <f t="shared" si="1"/>
        <v>0</v>
      </c>
      <c r="V35" s="705" t="e">
        <f t="shared" si="4"/>
        <v>#DIV/0!</v>
      </c>
      <c r="W35" s="259"/>
      <c r="X35" s="267"/>
      <c r="Y35" s="243"/>
      <c r="Z35" s="267"/>
      <c r="AA35" s="252"/>
      <c r="AB35" s="327"/>
      <c r="AC35" s="267"/>
      <c r="AD35" s="267"/>
      <c r="AE35" s="267"/>
      <c r="AF35" s="267"/>
      <c r="AG35" s="267"/>
      <c r="AH35" s="267"/>
      <c r="AI35" s="267"/>
      <c r="AJ35" s="457"/>
      <c r="AK35" s="325">
        <f t="shared" si="3"/>
        <v>0</v>
      </c>
      <c r="AL35" s="261"/>
      <c r="AM35" s="261"/>
      <c r="AN35" s="261"/>
      <c r="AO35" s="261"/>
      <c r="AP35" s="261"/>
      <c r="AQ35" s="261"/>
      <c r="AR35" s="261"/>
      <c r="AS35" s="263">
        <f t="shared" si="2"/>
        <v>0</v>
      </c>
      <c r="AT35" s="269">
        <f t="shared" si="7"/>
        <v>0</v>
      </c>
      <c r="AU35" s="337">
        <f t="shared" si="5"/>
        <v>43890.77</v>
      </c>
      <c r="AV35" s="225">
        <f t="shared" si="8"/>
        <v>0</v>
      </c>
    </row>
    <row r="36" spans="2:48" ht="14.25">
      <c r="B36" s="723">
        <v>43977</v>
      </c>
      <c r="C36" s="710"/>
      <c r="D36" s="719">
        <f t="shared" si="6"/>
        <v>43890.77</v>
      </c>
      <c r="E36" s="271"/>
      <c r="F36" s="718"/>
      <c r="G36" s="654"/>
      <c r="H36" s="691"/>
      <c r="I36" s="267"/>
      <c r="J36" s="253"/>
      <c r="K36" s="252"/>
      <c r="L36" s="252"/>
      <c r="M36" s="654"/>
      <c r="N36" s="354"/>
      <c r="O36" s="254"/>
      <c r="P36" s="254"/>
      <c r="Q36" s="254"/>
      <c r="R36" s="254"/>
      <c r="S36" s="696"/>
      <c r="T36" s="704">
        <f t="shared" si="0"/>
        <v>0</v>
      </c>
      <c r="U36" s="266">
        <f t="shared" si="1"/>
        <v>0</v>
      </c>
      <c r="V36" s="705" t="e">
        <f t="shared" si="4"/>
        <v>#DIV/0!</v>
      </c>
      <c r="W36" s="259"/>
      <c r="X36" s="267"/>
      <c r="Y36" s="243"/>
      <c r="Z36" s="267"/>
      <c r="AA36" s="252"/>
      <c r="AB36" s="327"/>
      <c r="AC36" s="267"/>
      <c r="AD36" s="267"/>
      <c r="AE36" s="267"/>
      <c r="AF36" s="267"/>
      <c r="AG36" s="267"/>
      <c r="AH36" s="267"/>
      <c r="AI36" s="267"/>
      <c r="AJ36" s="457"/>
      <c r="AK36" s="325">
        <f t="shared" si="3"/>
        <v>0</v>
      </c>
      <c r="AL36" s="261"/>
      <c r="AM36" s="261"/>
      <c r="AN36" s="261"/>
      <c r="AO36" s="261"/>
      <c r="AP36" s="261"/>
      <c r="AQ36" s="261"/>
      <c r="AR36" s="261"/>
      <c r="AS36" s="263">
        <f t="shared" si="2"/>
        <v>0</v>
      </c>
      <c r="AT36" s="269">
        <f t="shared" si="7"/>
        <v>0</v>
      </c>
      <c r="AU36" s="337">
        <f t="shared" si="5"/>
        <v>43890.77</v>
      </c>
      <c r="AV36" s="225">
        <f t="shared" si="8"/>
        <v>0</v>
      </c>
    </row>
    <row r="37" spans="2:48" ht="14.25">
      <c r="B37" s="723">
        <v>43978</v>
      </c>
      <c r="C37" s="710"/>
      <c r="D37" s="719">
        <f t="shared" si="6"/>
        <v>43890.77</v>
      </c>
      <c r="E37" s="271"/>
      <c r="F37" s="718"/>
      <c r="G37" s="654"/>
      <c r="H37" s="691"/>
      <c r="I37" s="267"/>
      <c r="J37" s="253"/>
      <c r="K37" s="252"/>
      <c r="L37" s="252"/>
      <c r="M37" s="654"/>
      <c r="N37" s="354"/>
      <c r="O37" s="254"/>
      <c r="P37" s="254"/>
      <c r="Q37" s="254"/>
      <c r="R37" s="254"/>
      <c r="S37" s="696"/>
      <c r="T37" s="704">
        <f t="shared" si="0"/>
        <v>0</v>
      </c>
      <c r="U37" s="266">
        <f t="shared" si="1"/>
        <v>0</v>
      </c>
      <c r="V37" s="705" t="e">
        <f t="shared" si="4"/>
        <v>#DIV/0!</v>
      </c>
      <c r="W37" s="259"/>
      <c r="X37" s="267"/>
      <c r="Y37" s="243"/>
      <c r="Z37" s="267"/>
      <c r="AA37" s="252"/>
      <c r="AB37" s="327"/>
      <c r="AC37" s="267"/>
      <c r="AD37" s="267"/>
      <c r="AE37" s="267"/>
      <c r="AF37" s="267"/>
      <c r="AG37" s="267"/>
      <c r="AH37" s="527"/>
      <c r="AI37" s="267"/>
      <c r="AJ37" s="457"/>
      <c r="AK37" s="325">
        <f t="shared" si="3"/>
        <v>0</v>
      </c>
      <c r="AL37" s="261"/>
      <c r="AM37" s="261"/>
      <c r="AN37" s="261"/>
      <c r="AO37" s="261"/>
      <c r="AP37" s="261"/>
      <c r="AQ37" s="261"/>
      <c r="AR37" s="261"/>
      <c r="AS37" s="263">
        <f t="shared" si="2"/>
        <v>0</v>
      </c>
      <c r="AT37" s="269">
        <f t="shared" si="7"/>
        <v>0</v>
      </c>
      <c r="AU37" s="337">
        <f t="shared" si="5"/>
        <v>43890.77</v>
      </c>
      <c r="AV37" s="225">
        <f t="shared" si="8"/>
        <v>0</v>
      </c>
    </row>
    <row r="38" spans="2:48" ht="14.25">
      <c r="B38" s="723">
        <v>43979</v>
      </c>
      <c r="C38" s="710"/>
      <c r="D38" s="719">
        <f t="shared" si="6"/>
        <v>43890.77</v>
      </c>
      <c r="E38" s="271"/>
      <c r="F38" s="718"/>
      <c r="G38" s="712"/>
      <c r="H38" s="691"/>
      <c r="I38" s="267"/>
      <c r="J38" s="253"/>
      <c r="K38" s="252"/>
      <c r="L38" s="252"/>
      <c r="M38" s="654"/>
      <c r="N38" s="354"/>
      <c r="O38" s="254"/>
      <c r="P38" s="254"/>
      <c r="Q38" s="254"/>
      <c r="R38" s="254"/>
      <c r="S38" s="696"/>
      <c r="T38" s="704">
        <f t="shared" si="0"/>
        <v>0</v>
      </c>
      <c r="U38" s="266">
        <f t="shared" si="1"/>
        <v>0</v>
      </c>
      <c r="V38" s="705" t="e">
        <f t="shared" si="4"/>
        <v>#DIV/0!</v>
      </c>
      <c r="W38" s="259"/>
      <c r="X38" s="267"/>
      <c r="Y38" s="243"/>
      <c r="Z38" s="267"/>
      <c r="AA38" s="252"/>
      <c r="AB38" s="327"/>
      <c r="AC38" s="267"/>
      <c r="AD38" s="267"/>
      <c r="AE38" s="267"/>
      <c r="AF38" s="267"/>
      <c r="AG38" s="267"/>
      <c r="AH38" s="527"/>
      <c r="AI38" s="267"/>
      <c r="AJ38" s="457"/>
      <c r="AK38" s="325">
        <f t="shared" si="3"/>
        <v>0</v>
      </c>
      <c r="AL38" s="261"/>
      <c r="AM38" s="261"/>
      <c r="AN38" s="261"/>
      <c r="AO38" s="261"/>
      <c r="AP38" s="261"/>
      <c r="AQ38" s="261"/>
      <c r="AR38" s="261"/>
      <c r="AS38" s="263">
        <f t="shared" si="2"/>
        <v>0</v>
      </c>
      <c r="AT38" s="269">
        <f t="shared" si="7"/>
        <v>0</v>
      </c>
      <c r="AU38" s="337">
        <f t="shared" si="5"/>
        <v>43890.77</v>
      </c>
      <c r="AV38" s="225">
        <f t="shared" si="8"/>
        <v>0</v>
      </c>
    </row>
    <row r="39" spans="2:48" ht="14.25">
      <c r="B39" s="723">
        <v>43980</v>
      </c>
      <c r="C39" s="710"/>
      <c r="D39" s="719">
        <f t="shared" si="6"/>
        <v>43890.77</v>
      </c>
      <c r="E39" s="271"/>
      <c r="F39" s="718"/>
      <c r="G39" s="355"/>
      <c r="H39" s="691"/>
      <c r="I39" s="267"/>
      <c r="J39" s="276"/>
      <c r="K39" s="252"/>
      <c r="L39" s="252"/>
      <c r="M39" s="654"/>
      <c r="N39" s="354"/>
      <c r="O39" s="254"/>
      <c r="P39" s="277"/>
      <c r="Q39" s="254"/>
      <c r="R39" s="254"/>
      <c r="S39" s="696"/>
      <c r="T39" s="704">
        <f t="shared" si="0"/>
        <v>0</v>
      </c>
      <c r="U39" s="266">
        <f t="shared" si="1"/>
        <v>0</v>
      </c>
      <c r="V39" s="705" t="e">
        <f t="shared" si="4"/>
        <v>#DIV/0!</v>
      </c>
      <c r="W39" s="259"/>
      <c r="X39" s="267"/>
      <c r="Y39" s="243"/>
      <c r="Z39" s="267"/>
      <c r="AA39" s="252"/>
      <c r="AB39" s="327"/>
      <c r="AC39" s="267"/>
      <c r="AD39" s="267"/>
      <c r="AE39" s="267"/>
      <c r="AF39" s="267"/>
      <c r="AG39" s="267"/>
      <c r="AH39" s="527"/>
      <c r="AI39" s="267"/>
      <c r="AJ39" s="457"/>
      <c r="AK39" s="325">
        <f t="shared" si="3"/>
        <v>0</v>
      </c>
      <c r="AL39" s="261"/>
      <c r="AM39" s="261"/>
      <c r="AN39" s="261"/>
      <c r="AO39" s="261"/>
      <c r="AP39" s="261"/>
      <c r="AQ39" s="261"/>
      <c r="AR39" s="261"/>
      <c r="AS39" s="263">
        <f t="shared" si="2"/>
        <v>0</v>
      </c>
      <c r="AT39" s="269">
        <f t="shared" si="7"/>
        <v>0</v>
      </c>
      <c r="AU39" s="337">
        <f t="shared" si="5"/>
        <v>43890.77</v>
      </c>
      <c r="AV39" s="225">
        <f t="shared" si="8"/>
        <v>0</v>
      </c>
    </row>
    <row r="40" spans="2:48" ht="14.25">
      <c r="B40" s="723">
        <v>43981</v>
      </c>
      <c r="C40" s="710"/>
      <c r="D40" s="719">
        <f t="shared" si="6"/>
        <v>43890.77</v>
      </c>
      <c r="E40" s="271"/>
      <c r="F40" s="718">
        <v>15000</v>
      </c>
      <c r="G40" s="713" t="s">
        <v>319</v>
      </c>
      <c r="H40" s="691"/>
      <c r="I40" s="267"/>
      <c r="J40" s="253"/>
      <c r="K40" s="252"/>
      <c r="L40" s="252"/>
      <c r="M40" s="654"/>
      <c r="N40" s="354"/>
      <c r="O40" s="254"/>
      <c r="P40" s="254"/>
      <c r="Q40" s="254"/>
      <c r="R40" s="254"/>
      <c r="S40" s="696"/>
      <c r="T40" s="704">
        <f t="shared" si="0"/>
        <v>0</v>
      </c>
      <c r="U40" s="266">
        <f t="shared" si="1"/>
        <v>0</v>
      </c>
      <c r="V40" s="705" t="e">
        <f t="shared" si="4"/>
        <v>#DIV/0!</v>
      </c>
      <c r="W40" s="259"/>
      <c r="X40" s="267"/>
      <c r="Y40" s="243"/>
      <c r="Z40" s="267"/>
      <c r="AA40" s="252"/>
      <c r="AB40" s="327"/>
      <c r="AC40" s="267"/>
      <c r="AD40" s="267"/>
      <c r="AE40" s="267"/>
      <c r="AF40" s="267"/>
      <c r="AG40" s="267"/>
      <c r="AH40" s="527"/>
      <c r="AI40" s="267"/>
      <c r="AJ40" s="457"/>
      <c r="AK40" s="325">
        <f t="shared" si="3"/>
        <v>0</v>
      </c>
      <c r="AL40" s="261"/>
      <c r="AM40" s="261"/>
      <c r="AN40" s="261"/>
      <c r="AO40" s="261"/>
      <c r="AP40" s="261"/>
      <c r="AQ40" s="261"/>
      <c r="AR40" s="261"/>
      <c r="AS40" s="263">
        <f t="shared" si="2"/>
        <v>0</v>
      </c>
      <c r="AT40" s="269">
        <f t="shared" si="7"/>
        <v>0</v>
      </c>
      <c r="AU40" s="337">
        <f t="shared" si="5"/>
        <v>43890.77</v>
      </c>
      <c r="AV40" s="225">
        <f t="shared" si="8"/>
        <v>0</v>
      </c>
    </row>
    <row r="41" spans="2:48" ht="14.25">
      <c r="B41" s="723">
        <v>43982</v>
      </c>
      <c r="C41" s="710"/>
      <c r="D41" s="719">
        <f t="shared" si="6"/>
        <v>43890.77</v>
      </c>
      <c r="E41" s="271"/>
      <c r="F41" s="718"/>
      <c r="G41" s="355"/>
      <c r="H41" s="691"/>
      <c r="I41" s="252"/>
      <c r="J41" s="252"/>
      <c r="K41" s="252"/>
      <c r="L41" s="252"/>
      <c r="M41" s="654"/>
      <c r="N41" s="354"/>
      <c r="O41" s="254"/>
      <c r="P41" s="254"/>
      <c r="Q41" s="254"/>
      <c r="R41" s="254"/>
      <c r="S41" s="696"/>
      <c r="T41" s="704">
        <f t="shared" si="0"/>
        <v>0</v>
      </c>
      <c r="U41" s="266">
        <f t="shared" si="1"/>
        <v>0</v>
      </c>
      <c r="V41" s="705" t="e">
        <f t="shared" si="4"/>
        <v>#DIV/0!</v>
      </c>
      <c r="W41" s="259"/>
      <c r="X41" s="267"/>
      <c r="Y41" s="243"/>
      <c r="Z41" s="267"/>
      <c r="AA41" s="252"/>
      <c r="AB41" s="327"/>
      <c r="AC41" s="267"/>
      <c r="AD41" s="267"/>
      <c r="AE41" s="267"/>
      <c r="AF41" s="267"/>
      <c r="AG41" s="267"/>
      <c r="AH41" s="527"/>
      <c r="AI41" s="267"/>
      <c r="AJ41" s="457"/>
      <c r="AK41" s="325">
        <f t="shared" si="3"/>
        <v>0</v>
      </c>
      <c r="AL41" s="261"/>
      <c r="AM41" s="261"/>
      <c r="AN41" s="261"/>
      <c r="AO41" s="261"/>
      <c r="AP41" s="261"/>
      <c r="AQ41" s="261"/>
      <c r="AR41" s="261"/>
      <c r="AS41" s="263">
        <f t="shared" si="2"/>
        <v>0</v>
      </c>
      <c r="AT41" s="269">
        <f t="shared" si="7"/>
        <v>0</v>
      </c>
      <c r="AU41" s="337">
        <f t="shared" si="5"/>
        <v>43890.77</v>
      </c>
      <c r="AV41" s="225">
        <f t="shared" si="8"/>
        <v>0</v>
      </c>
    </row>
    <row r="42" spans="2:48" ht="14.25">
      <c r="B42" s="723">
        <v>43983</v>
      </c>
      <c r="C42" s="711"/>
      <c r="D42" s="719">
        <f t="shared" si="6"/>
        <v>43890.77</v>
      </c>
      <c r="E42" s="250"/>
      <c r="F42" s="718"/>
      <c r="G42" s="355"/>
      <c r="H42" s="691"/>
      <c r="I42" s="252"/>
      <c r="J42" s="252"/>
      <c r="K42" s="252"/>
      <c r="L42" s="252"/>
      <c r="M42" s="654"/>
      <c r="N42" s="354"/>
      <c r="O42" s="254"/>
      <c r="P42" s="254"/>
      <c r="Q42" s="254"/>
      <c r="R42" s="254"/>
      <c r="S42" s="696"/>
      <c r="T42" s="704">
        <f t="shared" si="0"/>
        <v>0</v>
      </c>
      <c r="U42" s="266">
        <f t="shared" si="1"/>
        <v>0</v>
      </c>
      <c r="V42" s="705"/>
      <c r="W42" s="259"/>
      <c r="X42" s="267"/>
      <c r="Y42" s="243"/>
      <c r="Z42" s="267"/>
      <c r="AA42" s="252"/>
      <c r="AB42" s="327"/>
      <c r="AC42" s="267"/>
      <c r="AD42" s="256"/>
      <c r="AE42" s="267"/>
      <c r="AF42" s="267"/>
      <c r="AG42" s="267"/>
      <c r="AH42" s="527"/>
      <c r="AI42" s="267"/>
      <c r="AJ42" s="457"/>
      <c r="AK42" s="325">
        <f t="shared" si="3"/>
        <v>0</v>
      </c>
      <c r="AL42" s="278"/>
      <c r="AM42" s="278"/>
      <c r="AN42" s="278"/>
      <c r="AO42" s="278"/>
      <c r="AP42" s="278"/>
      <c r="AQ42" s="278"/>
      <c r="AR42" s="278"/>
      <c r="AS42" s="263">
        <f t="shared" si="2"/>
        <v>0</v>
      </c>
      <c r="AT42" s="269">
        <f t="shared" si="7"/>
        <v>0</v>
      </c>
      <c r="AU42" s="337">
        <f t="shared" si="5"/>
        <v>43890.77</v>
      </c>
    </row>
    <row r="43" spans="2:48" ht="14.25">
      <c r="B43" s="616" t="s">
        <v>25</v>
      </c>
      <c r="C43" s="562" t="e">
        <f>AVERAGE(C11:C42)</f>
        <v>#DIV/0!</v>
      </c>
      <c r="D43" s="717">
        <f t="shared" si="6"/>
        <v>43890.77</v>
      </c>
      <c r="E43" s="250"/>
      <c r="F43" s="718"/>
      <c r="G43" s="355"/>
      <c r="H43" s="634"/>
      <c r="I43" s="252"/>
      <c r="J43" s="252"/>
      <c r="K43" s="252"/>
      <c r="L43" s="252"/>
      <c r="M43" s="654"/>
      <c r="N43" s="354"/>
      <c r="O43" s="254"/>
      <c r="P43" s="254"/>
      <c r="Q43" s="254"/>
      <c r="R43" s="254"/>
      <c r="S43" s="696"/>
      <c r="T43" s="704">
        <f t="shared" si="0"/>
        <v>0</v>
      </c>
      <c r="U43" s="266">
        <f t="shared" si="1"/>
        <v>0</v>
      </c>
      <c r="V43" s="705"/>
      <c r="W43" s="259"/>
      <c r="X43" s="267"/>
      <c r="Y43" s="252"/>
      <c r="Z43" s="256"/>
      <c r="AA43" s="256"/>
      <c r="AB43" s="327"/>
      <c r="AC43" s="256"/>
      <c r="AD43" s="280"/>
      <c r="AE43" s="280"/>
      <c r="AF43" s="267"/>
      <c r="AG43" s="267"/>
      <c r="AH43" s="527"/>
      <c r="AI43" s="256"/>
      <c r="AJ43" s="457"/>
      <c r="AK43" s="325">
        <f t="shared" si="3"/>
        <v>0</v>
      </c>
      <c r="AL43" s="279"/>
      <c r="AM43" s="279"/>
      <c r="AN43" s="279"/>
      <c r="AO43" s="279"/>
      <c r="AP43" s="279"/>
      <c r="AQ43" s="279"/>
      <c r="AR43" s="279"/>
      <c r="AS43" s="263">
        <f t="shared" si="2"/>
        <v>0</v>
      </c>
      <c r="AT43" s="269">
        <f t="shared" si="7"/>
        <v>0</v>
      </c>
      <c r="AU43" s="337">
        <f t="shared" si="5"/>
        <v>43890.77</v>
      </c>
    </row>
    <row r="44" spans="2:48" ht="15" thickBot="1">
      <c r="B44" s="617"/>
      <c r="C44" s="618"/>
      <c r="D44" s="720"/>
      <c r="E44" s="721"/>
      <c r="F44" s="722"/>
      <c r="G44" s="356"/>
      <c r="H44" s="692"/>
      <c r="I44" s="693"/>
      <c r="J44" s="693"/>
      <c r="K44" s="693"/>
      <c r="L44" s="693"/>
      <c r="M44" s="694"/>
      <c r="N44" s="353"/>
      <c r="O44" s="241"/>
      <c r="P44" s="241"/>
      <c r="Q44" s="241"/>
      <c r="R44" s="241"/>
      <c r="S44" s="698"/>
      <c r="T44" s="706">
        <f t="shared" si="0"/>
        <v>0</v>
      </c>
      <c r="U44" s="707"/>
      <c r="V44" s="708"/>
      <c r="W44" s="700"/>
      <c r="X44" s="232"/>
      <c r="Y44" s="280"/>
      <c r="Z44" s="280"/>
      <c r="AA44" s="280"/>
      <c r="AB44" s="281"/>
      <c r="AC44" s="280"/>
      <c r="AD44" s="280"/>
      <c r="AE44" s="280"/>
      <c r="AF44" s="280"/>
      <c r="AG44" s="280"/>
      <c r="AH44" s="282"/>
      <c r="AI44" s="232"/>
      <c r="AJ44" s="232"/>
      <c r="AK44" s="675">
        <f t="shared" si="3"/>
        <v>0</v>
      </c>
      <c r="AL44" s="368"/>
      <c r="AM44" s="368"/>
      <c r="AN44" s="368"/>
      <c r="AO44" s="368"/>
      <c r="AP44" s="368"/>
      <c r="AQ44" s="368"/>
      <c r="AR44" s="368"/>
      <c r="AS44" s="369">
        <f>T44+AK44</f>
        <v>0</v>
      </c>
      <c r="AT44" s="370">
        <f t="shared" si="7"/>
        <v>0</v>
      </c>
      <c r="AU44" s="371"/>
    </row>
    <row r="45" spans="2:48" s="284" customFormat="1" ht="13.5" thickBot="1">
      <c r="B45" s="682"/>
      <c r="C45" s="682"/>
      <c r="D45" s="683"/>
      <c r="E45" s="367">
        <f>SUM(E11:E44)</f>
        <v>10000</v>
      </c>
      <c r="F45" s="372">
        <f>SUM(F11:F42)</f>
        <v>25000</v>
      </c>
      <c r="G45" s="373">
        <f t="shared" ref="G45" si="9">SUM(G11:G44)</f>
        <v>0</v>
      </c>
      <c r="H45" s="372">
        <f>SUM(H11:H44)</f>
        <v>2691.3299999999995</v>
      </c>
      <c r="I45" s="367">
        <f t="shared" ref="I45:P45" si="10">SUM(I11:I44)</f>
        <v>3722.42</v>
      </c>
      <c r="J45" s="372">
        <f t="shared" si="10"/>
        <v>0</v>
      </c>
      <c r="K45" s="367">
        <f t="shared" si="10"/>
        <v>0</v>
      </c>
      <c r="L45" s="372">
        <f>SUM(L11:L44)</f>
        <v>0</v>
      </c>
      <c r="M45" s="367">
        <f t="shared" si="10"/>
        <v>2819.77</v>
      </c>
      <c r="N45" s="372">
        <f t="shared" si="10"/>
        <v>6576</v>
      </c>
      <c r="O45" s="684">
        <f t="shared" si="10"/>
        <v>6514</v>
      </c>
      <c r="P45" s="372">
        <f t="shared" si="10"/>
        <v>0</v>
      </c>
      <c r="Q45" s="367">
        <f>SUM(Q11:Q43)</f>
        <v>0</v>
      </c>
      <c r="R45" s="372">
        <f>SUM(R11:R44)</f>
        <v>0</v>
      </c>
      <c r="S45" s="367">
        <f>SUM(S11:S44)</f>
        <v>6674</v>
      </c>
      <c r="T45" s="681">
        <f t="shared" si="0"/>
        <v>9233.52</v>
      </c>
      <c r="U45" s="367">
        <f>SUM(N45:S45)</f>
        <v>19764</v>
      </c>
      <c r="V45" s="283" t="e">
        <f>SUM(V11:V42)</f>
        <v>#DIV/0!</v>
      </c>
      <c r="W45" s="676">
        <f>SUM(W9:W44)</f>
        <v>0</v>
      </c>
      <c r="X45" s="283">
        <f t="shared" ref="X45:AK45" si="11">SUM(X9:X44)</f>
        <v>0</v>
      </c>
      <c r="Y45" s="676">
        <f t="shared" si="11"/>
        <v>78.849999999999994</v>
      </c>
      <c r="Z45" s="283">
        <f t="shared" si="11"/>
        <v>59.25</v>
      </c>
      <c r="AA45" s="676">
        <f t="shared" si="11"/>
        <v>105.3</v>
      </c>
      <c r="AB45" s="283">
        <f t="shared" si="11"/>
        <v>0</v>
      </c>
      <c r="AC45" s="676">
        <f t="shared" si="11"/>
        <v>0</v>
      </c>
      <c r="AD45" s="283">
        <f>SUM(AD10:AD44)</f>
        <v>0</v>
      </c>
      <c r="AE45" s="676">
        <f>SUM(AE10:AE44)</f>
        <v>0</v>
      </c>
      <c r="AF45" s="283">
        <f t="shared" si="11"/>
        <v>0</v>
      </c>
      <c r="AG45" s="676">
        <f t="shared" si="11"/>
        <v>0</v>
      </c>
      <c r="AH45" s="283">
        <f t="shared" si="11"/>
        <v>0</v>
      </c>
      <c r="AI45" s="676">
        <f>SUM(AI9:AI43)</f>
        <v>0</v>
      </c>
      <c r="AJ45" s="283">
        <f>SUM(AJ9:AJ39)</f>
        <v>0</v>
      </c>
      <c r="AK45" s="676">
        <f t="shared" si="11"/>
        <v>243.39999999999998</v>
      </c>
      <c r="AL45" s="283"/>
      <c r="AM45" s="283"/>
      <c r="AN45" s="283"/>
      <c r="AO45" s="283"/>
      <c r="AP45" s="283"/>
      <c r="AQ45" s="283"/>
      <c r="AR45" s="677"/>
      <c r="AS45" s="678">
        <f>SUM(AS11:AS43)</f>
        <v>9476.92</v>
      </c>
      <c r="AT45" s="679">
        <f>SUM(AT11:AT44)</f>
        <v>0</v>
      </c>
      <c r="AU45" s="680"/>
    </row>
    <row r="46" spans="2:48" ht="14.25" thickBot="1">
      <c r="B46" s="497" t="s">
        <v>67</v>
      </c>
      <c r="X46" s="236"/>
      <c r="Y46" s="236"/>
      <c r="Z46" s="236"/>
      <c r="AA46" s="236"/>
      <c r="AB46" s="236"/>
      <c r="AS46" s="226"/>
      <c r="AT46" s="285"/>
      <c r="AU46" s="225"/>
    </row>
    <row r="47" spans="2:48" ht="14.25" thickBot="1">
      <c r="B47" s="384"/>
      <c r="G47" s="286"/>
      <c r="S47" s="226"/>
      <c r="T47" s="226"/>
      <c r="U47" s="376">
        <f>T45*2315</f>
        <v>21375598.800000001</v>
      </c>
      <c r="V47" s="377" t="s">
        <v>244</v>
      </c>
      <c r="AS47" s="644">
        <f>AS45*2143</f>
        <v>20309039.559999999</v>
      </c>
      <c r="AT47" s="643" t="s">
        <v>244</v>
      </c>
      <c r="AU47" s="225"/>
    </row>
    <row r="48" spans="2:48" ht="14.25" thickBot="1">
      <c r="B48" s="385" t="s">
        <v>247</v>
      </c>
      <c r="C48" s="287"/>
      <c r="U48" s="376">
        <f>U47/2289</f>
        <v>9338.4005242463954</v>
      </c>
      <c r="V48" s="377" t="s">
        <v>245</v>
      </c>
      <c r="X48" s="236"/>
      <c r="Y48" s="236"/>
      <c r="Z48" s="236"/>
      <c r="AA48" s="236"/>
      <c r="AB48" s="236"/>
      <c r="AS48" s="376">
        <f>AS47/2289</f>
        <v>8872.4506596767133</v>
      </c>
      <c r="AT48" s="645" t="s">
        <v>245</v>
      </c>
      <c r="AU48" s="285"/>
    </row>
    <row r="49" spans="3:47" ht="14.25" thickBot="1">
      <c r="H49" s="611"/>
      <c r="V49" s="288"/>
      <c r="X49" s="236"/>
      <c r="Y49" s="236"/>
      <c r="Z49" s="236"/>
      <c r="AA49" s="236"/>
      <c r="AB49" s="236"/>
      <c r="AC49" s="229"/>
      <c r="AS49" s="288"/>
      <c r="AU49" s="285"/>
    </row>
    <row r="50" spans="3:47" ht="13.5" customHeight="1" thickBot="1">
      <c r="C50" s="827" t="s">
        <v>241</v>
      </c>
      <c r="D50" s="828"/>
      <c r="E50" s="828"/>
      <c r="F50" s="828"/>
      <c r="G50" s="829"/>
      <c r="H50" s="655"/>
      <c r="I50" s="830" t="s">
        <v>213</v>
      </c>
      <c r="J50" s="831"/>
      <c r="K50" s="831"/>
      <c r="L50" s="831"/>
      <c r="M50" s="832"/>
      <c r="N50" s="655"/>
      <c r="O50" s="845" t="s">
        <v>311</v>
      </c>
      <c r="P50" s="846"/>
      <c r="Q50" s="846"/>
      <c r="R50" s="846"/>
      <c r="S50" s="847"/>
      <c r="U50" s="848" t="s">
        <v>226</v>
      </c>
      <c r="V50" s="849"/>
      <c r="W50" s="849"/>
      <c r="X50" s="849"/>
      <c r="Y50" s="849"/>
      <c r="Z50" s="850"/>
    </row>
    <row r="51" spans="3:47" ht="25.5" customHeight="1" thickBot="1">
      <c r="C51" s="622" t="s">
        <v>98</v>
      </c>
      <c r="D51" s="496" t="s">
        <v>196</v>
      </c>
      <c r="E51" s="623" t="s">
        <v>197</v>
      </c>
      <c r="F51" s="623" t="s">
        <v>212</v>
      </c>
      <c r="G51" s="624" t="s">
        <v>310</v>
      </c>
      <c r="H51" s="655"/>
      <c r="I51" s="622" t="s">
        <v>98</v>
      </c>
      <c r="J51" s="496" t="s">
        <v>196</v>
      </c>
      <c r="K51" s="674" t="s">
        <v>197</v>
      </c>
      <c r="L51" s="626" t="s">
        <v>212</v>
      </c>
      <c r="M51" s="624" t="s">
        <v>310</v>
      </c>
      <c r="N51" s="655"/>
      <c r="O51" s="672" t="s">
        <v>98</v>
      </c>
      <c r="P51" s="666" t="s">
        <v>196</v>
      </c>
      <c r="Q51" s="673" t="s">
        <v>197</v>
      </c>
      <c r="R51" s="667" t="s">
        <v>212</v>
      </c>
      <c r="S51" s="668" t="s">
        <v>215</v>
      </c>
      <c r="U51" s="411" t="s">
        <v>0</v>
      </c>
      <c r="V51" s="412" t="s">
        <v>196</v>
      </c>
      <c r="W51" s="412" t="s">
        <v>227</v>
      </c>
      <c r="X51" s="412" t="s">
        <v>212</v>
      </c>
      <c r="Y51" s="412" t="s">
        <v>228</v>
      </c>
      <c r="Z51" s="413" t="s">
        <v>229</v>
      </c>
    </row>
    <row r="52" spans="3:47" ht="11.25" customHeight="1">
      <c r="C52" s="619"/>
      <c r="D52" s="620"/>
      <c r="E52" s="621"/>
      <c r="F52" s="620"/>
      <c r="G52" s="656"/>
      <c r="H52" s="655"/>
      <c r="I52" s="659"/>
      <c r="J52" s="627"/>
      <c r="K52" s="627"/>
      <c r="L52" s="627"/>
      <c r="M52" s="660"/>
      <c r="N52" s="655"/>
      <c r="O52" s="414"/>
      <c r="P52" s="627"/>
      <c r="Q52" s="646"/>
      <c r="R52" s="646"/>
      <c r="S52" s="631"/>
      <c r="U52" s="414"/>
      <c r="V52" s="661"/>
      <c r="W52" s="662"/>
      <c r="X52" s="662"/>
      <c r="Y52" s="662"/>
      <c r="Z52" s="663"/>
    </row>
    <row r="53" spans="3:47" ht="11.25" customHeight="1">
      <c r="C53" s="407"/>
      <c r="D53" s="361"/>
      <c r="E53" s="453"/>
      <c r="F53" s="361"/>
      <c r="G53" s="656"/>
      <c r="H53" s="655"/>
      <c r="I53" s="637"/>
      <c r="J53" s="316"/>
      <c r="K53" s="316"/>
      <c r="L53" s="316"/>
      <c r="M53" s="656"/>
      <c r="N53" s="655"/>
      <c r="O53" s="407"/>
      <c r="P53" s="316"/>
      <c r="Q53" s="495"/>
      <c r="R53" s="495"/>
      <c r="S53" s="632"/>
      <c r="U53" s="407"/>
      <c r="V53" s="457"/>
      <c r="W53" s="361"/>
      <c r="X53" s="361"/>
      <c r="Y53" s="361"/>
      <c r="Z53" s="664"/>
    </row>
    <row r="54" spans="3:47" ht="11.25" customHeight="1">
      <c r="C54" s="407"/>
      <c r="D54" s="361"/>
      <c r="E54" s="453"/>
      <c r="F54" s="361"/>
      <c r="G54" s="656"/>
      <c r="H54" s="655"/>
      <c r="I54" s="637"/>
      <c r="J54" s="316"/>
      <c r="K54" s="316"/>
      <c r="L54" s="316"/>
      <c r="M54" s="657"/>
      <c r="N54" s="655"/>
      <c r="O54" s="407"/>
      <c r="P54" s="316"/>
      <c r="Q54" s="495"/>
      <c r="R54" s="495"/>
      <c r="S54" s="632"/>
      <c r="U54" s="407"/>
      <c r="V54" s="457"/>
      <c r="W54" s="361"/>
      <c r="X54" s="361"/>
      <c r="Y54" s="361"/>
      <c r="Z54" s="664"/>
    </row>
    <row r="55" spans="3:47" ht="11.25" customHeight="1">
      <c r="C55" s="407"/>
      <c r="D55" s="361"/>
      <c r="E55" s="453"/>
      <c r="F55" s="361"/>
      <c r="G55" s="656"/>
      <c r="H55" s="655"/>
      <c r="I55" s="628"/>
      <c r="J55" s="316"/>
      <c r="K55" s="316"/>
      <c r="L55" s="316"/>
      <c r="M55" s="657"/>
      <c r="N55" s="655"/>
      <c r="O55" s="634"/>
      <c r="P55" s="316"/>
      <c r="Q55" s="495"/>
      <c r="R55" s="495"/>
      <c r="S55" s="632"/>
      <c r="U55" s="407"/>
      <c r="V55" s="457"/>
      <c r="W55" s="361"/>
      <c r="X55" s="361"/>
      <c r="Y55" s="361"/>
      <c r="Z55" s="664"/>
    </row>
    <row r="56" spans="3:47" ht="11.25" customHeight="1">
      <c r="C56" s="407"/>
      <c r="D56" s="361"/>
      <c r="E56" s="453"/>
      <c r="F56" s="361"/>
      <c r="G56" s="656"/>
      <c r="H56" s="655"/>
      <c r="I56" s="628"/>
      <c r="J56" s="316"/>
      <c r="K56" s="316"/>
      <c r="L56" s="316"/>
      <c r="M56" s="657"/>
      <c r="N56" s="655"/>
      <c r="O56" s="634"/>
      <c r="P56" s="316"/>
      <c r="Q56" s="495"/>
      <c r="R56" s="495"/>
      <c r="S56" s="632"/>
      <c r="U56" s="407"/>
      <c r="V56" s="457"/>
      <c r="W56" s="361"/>
      <c r="X56" s="361"/>
      <c r="Y56" s="361"/>
      <c r="Z56" s="664"/>
    </row>
    <row r="57" spans="3:47" ht="11.25" customHeight="1">
      <c r="C57" s="407"/>
      <c r="D57" s="361"/>
      <c r="E57" s="453"/>
      <c r="F57" s="361"/>
      <c r="G57" s="656"/>
      <c r="H57" s="655"/>
      <c r="I57" s="628"/>
      <c r="J57" s="316"/>
      <c r="K57" s="316"/>
      <c r="L57" s="316"/>
      <c r="M57" s="657"/>
      <c r="N57" s="655"/>
      <c r="O57" s="634"/>
      <c r="P57" s="316"/>
      <c r="Q57" s="495"/>
      <c r="R57" s="495"/>
      <c r="S57" s="632"/>
      <c r="U57" s="407"/>
      <c r="V57" s="457"/>
      <c r="W57" s="361"/>
      <c r="X57" s="361"/>
      <c r="Y57" s="361"/>
      <c r="Z57" s="664"/>
    </row>
    <row r="58" spans="3:47" ht="11.25" customHeight="1">
      <c r="C58" s="407"/>
      <c r="D58" s="361"/>
      <c r="E58" s="453"/>
      <c r="F58" s="361"/>
      <c r="G58" s="657"/>
      <c r="H58" s="655"/>
      <c r="I58" s="628"/>
      <c r="J58" s="316"/>
      <c r="K58" s="316"/>
      <c r="L58" s="316"/>
      <c r="M58" s="657"/>
      <c r="N58" s="655"/>
      <c r="O58" s="634"/>
      <c r="P58" s="316"/>
      <c r="Q58" s="495"/>
      <c r="R58" s="495"/>
      <c r="S58" s="632"/>
      <c r="U58" s="407"/>
      <c r="V58" s="457"/>
      <c r="W58" s="361"/>
      <c r="X58" s="361"/>
      <c r="Y58" s="361"/>
      <c r="Z58" s="664"/>
    </row>
    <row r="59" spans="3:47" ht="11.25" customHeight="1">
      <c r="C59" s="407"/>
      <c r="D59" s="361"/>
      <c r="E59" s="453"/>
      <c r="F59" s="361"/>
      <c r="G59" s="657"/>
      <c r="H59" s="655"/>
      <c r="I59" s="628"/>
      <c r="J59" s="316"/>
      <c r="K59" s="316"/>
      <c r="L59" s="316"/>
      <c r="M59" s="657"/>
      <c r="N59" s="655"/>
      <c r="O59" s="634"/>
      <c r="P59" s="316"/>
      <c r="Q59" s="495"/>
      <c r="R59" s="495"/>
      <c r="S59" s="632"/>
      <c r="U59" s="407"/>
      <c r="V59" s="457"/>
      <c r="W59" s="361"/>
      <c r="X59" s="361"/>
      <c r="Y59" s="361"/>
      <c r="Z59" s="664"/>
    </row>
    <row r="60" spans="3:47" ht="11.25" customHeight="1">
      <c r="C60" s="407"/>
      <c r="D60" s="361"/>
      <c r="E60" s="453"/>
      <c r="F60" s="361"/>
      <c r="G60" s="657"/>
      <c r="H60" s="655"/>
      <c r="I60" s="628"/>
      <c r="J60" s="316"/>
      <c r="K60" s="316"/>
      <c r="L60" s="316"/>
      <c r="M60" s="657"/>
      <c r="N60" s="655"/>
      <c r="O60" s="634"/>
      <c r="P60" s="316"/>
      <c r="Q60" s="495"/>
      <c r="R60" s="495"/>
      <c r="S60" s="632"/>
      <c r="U60" s="407"/>
      <c r="V60" s="457"/>
      <c r="W60" s="361"/>
      <c r="X60" s="361"/>
      <c r="Y60" s="361"/>
      <c r="Z60" s="664"/>
    </row>
    <row r="61" spans="3:47" ht="11.25" customHeight="1">
      <c r="C61" s="407"/>
      <c r="D61" s="361"/>
      <c r="E61" s="453"/>
      <c r="F61" s="361"/>
      <c r="G61" s="657"/>
      <c r="H61" s="655"/>
      <c r="I61" s="628"/>
      <c r="J61" s="316"/>
      <c r="K61" s="316"/>
      <c r="L61" s="316"/>
      <c r="M61" s="657"/>
      <c r="N61" s="655"/>
      <c r="O61" s="634"/>
      <c r="P61" s="316"/>
      <c r="Q61" s="495"/>
      <c r="R61" s="495"/>
      <c r="S61" s="632"/>
      <c r="U61" s="407"/>
      <c r="V61" s="457"/>
      <c r="W61" s="361"/>
      <c r="X61" s="361"/>
      <c r="Y61" s="361"/>
      <c r="Z61" s="664"/>
    </row>
    <row r="62" spans="3:47" ht="11.25" customHeight="1">
      <c r="C62" s="407"/>
      <c r="D62" s="361"/>
      <c r="E62" s="453"/>
      <c r="F62" s="361"/>
      <c r="G62" s="657"/>
      <c r="H62" s="655"/>
      <c r="I62" s="628"/>
      <c r="J62" s="316"/>
      <c r="K62" s="316"/>
      <c r="L62" s="316"/>
      <c r="M62" s="657"/>
      <c r="N62" s="655"/>
      <c r="O62" s="634"/>
      <c r="P62" s="316"/>
      <c r="Q62" s="495"/>
      <c r="R62" s="495"/>
      <c r="S62" s="632"/>
      <c r="U62" s="407"/>
      <c r="V62" s="457"/>
      <c r="W62" s="361"/>
      <c r="X62" s="361"/>
      <c r="Y62" s="361"/>
      <c r="Z62" s="664"/>
    </row>
    <row r="63" spans="3:47" ht="11.25" customHeight="1">
      <c r="C63" s="407"/>
      <c r="D63" s="361"/>
      <c r="E63" s="453"/>
      <c r="F63" s="361"/>
      <c r="G63" s="657"/>
      <c r="H63" s="655"/>
      <c r="I63" s="628"/>
      <c r="J63" s="316"/>
      <c r="K63" s="316"/>
      <c r="L63" s="316"/>
      <c r="M63" s="657"/>
      <c r="N63" s="655"/>
      <c r="O63" s="634"/>
      <c r="P63" s="316"/>
      <c r="Q63" s="495"/>
      <c r="R63" s="495"/>
      <c r="S63" s="632"/>
      <c r="U63" s="407"/>
      <c r="V63" s="457"/>
      <c r="W63" s="361"/>
      <c r="X63" s="361"/>
      <c r="Y63" s="361"/>
      <c r="Z63" s="664"/>
    </row>
    <row r="64" spans="3:47" ht="11.25" customHeight="1">
      <c r="C64" s="407"/>
      <c r="D64" s="361"/>
      <c r="E64" s="453"/>
      <c r="F64" s="361"/>
      <c r="G64" s="657"/>
      <c r="H64" s="655"/>
      <c r="I64" s="628"/>
      <c r="J64" s="316"/>
      <c r="K64" s="316"/>
      <c r="L64" s="316"/>
      <c r="M64" s="657"/>
      <c r="N64" s="655"/>
      <c r="O64" s="634"/>
      <c r="P64" s="316"/>
      <c r="Q64" s="495"/>
      <c r="R64" s="495"/>
      <c r="S64" s="632"/>
      <c r="U64" s="407"/>
      <c r="V64" s="457"/>
      <c r="W64" s="361"/>
      <c r="X64" s="361"/>
      <c r="Y64" s="361"/>
      <c r="Z64" s="664"/>
    </row>
    <row r="65" spans="3:26" ht="11.25" customHeight="1">
      <c r="C65" s="407"/>
      <c r="D65" s="361"/>
      <c r="E65" s="453"/>
      <c r="F65" s="361"/>
      <c r="G65" s="657"/>
      <c r="H65" s="655"/>
      <c r="I65" s="628"/>
      <c r="J65" s="316"/>
      <c r="K65" s="316"/>
      <c r="L65" s="316"/>
      <c r="M65" s="657"/>
      <c r="N65" s="655"/>
      <c r="O65" s="634"/>
      <c r="P65" s="316"/>
      <c r="Q65" s="495"/>
      <c r="R65" s="495"/>
      <c r="S65" s="632"/>
      <c r="U65" s="407"/>
      <c r="V65" s="457"/>
      <c r="W65" s="361"/>
      <c r="X65" s="361"/>
      <c r="Y65" s="361"/>
      <c r="Z65" s="664"/>
    </row>
    <row r="66" spans="3:26" ht="11.25" customHeight="1">
      <c r="C66" s="407"/>
      <c r="D66" s="361"/>
      <c r="E66" s="453"/>
      <c r="F66" s="361"/>
      <c r="G66" s="657"/>
      <c r="H66" s="655"/>
      <c r="I66" s="628"/>
      <c r="J66" s="316"/>
      <c r="K66" s="316"/>
      <c r="L66" s="316"/>
      <c r="M66" s="657"/>
      <c r="N66" s="655"/>
      <c r="O66" s="634"/>
      <c r="P66" s="316"/>
      <c r="Q66" s="316"/>
      <c r="R66" s="669"/>
      <c r="S66" s="632"/>
      <c r="U66" s="407"/>
      <c r="V66" s="457"/>
      <c r="W66" s="361"/>
      <c r="X66" s="361"/>
      <c r="Y66" s="361"/>
      <c r="Z66" s="664"/>
    </row>
    <row r="67" spans="3:26" ht="11.25" customHeight="1">
      <c r="C67" s="407"/>
      <c r="D67" s="361"/>
      <c r="E67" s="453"/>
      <c r="F67" s="361"/>
      <c r="G67" s="657"/>
      <c r="H67" s="655"/>
      <c r="I67" s="628"/>
      <c r="J67" s="316"/>
      <c r="K67" s="316"/>
      <c r="L67" s="316"/>
      <c r="M67" s="657"/>
      <c r="N67" s="655"/>
      <c r="O67" s="634"/>
      <c r="P67" s="316"/>
      <c r="Q67" s="316"/>
      <c r="R67" s="669"/>
      <c r="S67" s="632"/>
      <c r="U67" s="407"/>
      <c r="V67" s="457"/>
      <c r="W67" s="361"/>
      <c r="X67" s="361"/>
      <c r="Y67" s="361"/>
      <c r="Z67" s="664"/>
    </row>
    <row r="68" spans="3:26" ht="11.25" customHeight="1">
      <c r="C68" s="407"/>
      <c r="D68" s="361"/>
      <c r="E68" s="453"/>
      <c r="F68" s="361"/>
      <c r="G68" s="657"/>
      <c r="H68" s="655"/>
      <c r="I68" s="628"/>
      <c r="J68" s="316"/>
      <c r="K68" s="316"/>
      <c r="L68" s="316"/>
      <c r="M68" s="657"/>
      <c r="N68" s="655"/>
      <c r="O68" s="634"/>
      <c r="P68" s="316"/>
      <c r="Q68" s="316"/>
      <c r="R68" s="495"/>
      <c r="S68" s="632"/>
      <c r="U68" s="407"/>
      <c r="V68" s="457"/>
      <c r="W68" s="361"/>
      <c r="X68" s="361"/>
      <c r="Y68" s="361"/>
      <c r="Z68" s="664"/>
    </row>
    <row r="69" spans="3:26" ht="11.25" customHeight="1">
      <c r="C69" s="407"/>
      <c r="D69" s="361"/>
      <c r="E69" s="453"/>
      <c r="F69" s="361"/>
      <c r="G69" s="657"/>
      <c r="H69" s="655"/>
      <c r="I69" s="628"/>
      <c r="J69" s="316"/>
      <c r="K69" s="316"/>
      <c r="L69" s="316"/>
      <c r="M69" s="657"/>
      <c r="N69" s="655"/>
      <c r="O69" s="634"/>
      <c r="P69" s="316"/>
      <c r="Q69" s="316"/>
      <c r="R69" s="495"/>
      <c r="S69" s="632"/>
      <c r="U69" s="407"/>
      <c r="V69" s="457"/>
      <c r="W69" s="361"/>
      <c r="X69" s="361"/>
      <c r="Y69" s="361"/>
      <c r="Z69" s="664"/>
    </row>
    <row r="70" spans="3:26" ht="11.25" customHeight="1">
      <c r="C70" s="407"/>
      <c r="D70" s="361"/>
      <c r="E70" s="453"/>
      <c r="F70" s="361"/>
      <c r="G70" s="657"/>
      <c r="H70" s="655"/>
      <c r="I70" s="628"/>
      <c r="J70" s="316"/>
      <c r="K70" s="316"/>
      <c r="L70" s="316"/>
      <c r="M70" s="657"/>
      <c r="N70" s="655"/>
      <c r="O70" s="634"/>
      <c r="P70" s="316"/>
      <c r="Q70" s="316"/>
      <c r="R70" s="495"/>
      <c r="S70" s="632"/>
      <c r="U70" s="407"/>
      <c r="V70" s="457"/>
      <c r="W70" s="361"/>
      <c r="X70" s="361"/>
      <c r="Y70" s="361"/>
      <c r="Z70" s="664"/>
    </row>
    <row r="71" spans="3:26" ht="11.25" customHeight="1">
      <c r="C71" s="407"/>
      <c r="D71" s="361"/>
      <c r="E71" s="453"/>
      <c r="F71" s="361"/>
      <c r="G71" s="657"/>
      <c r="H71" s="655"/>
      <c r="I71" s="628"/>
      <c r="J71" s="316"/>
      <c r="K71" s="316"/>
      <c r="L71" s="316"/>
      <c r="M71" s="657"/>
      <c r="N71" s="655"/>
      <c r="O71" s="634"/>
      <c r="P71" s="316"/>
      <c r="Q71" s="316"/>
      <c r="R71" s="495"/>
      <c r="S71" s="632"/>
      <c r="U71" s="407"/>
      <c r="V71" s="457"/>
      <c r="W71" s="361"/>
      <c r="X71" s="361"/>
      <c r="Y71" s="361"/>
      <c r="Z71" s="664"/>
    </row>
    <row r="72" spans="3:26" ht="11.25" customHeight="1">
      <c r="C72" s="407"/>
      <c r="D72" s="361"/>
      <c r="E72" s="453"/>
      <c r="F72" s="361"/>
      <c r="G72" s="657"/>
      <c r="H72" s="655"/>
      <c r="I72" s="629"/>
      <c r="J72" s="320"/>
      <c r="K72" s="320"/>
      <c r="L72" s="320"/>
      <c r="M72" s="657"/>
      <c r="N72" s="655"/>
      <c r="O72" s="634"/>
      <c r="P72" s="316"/>
      <c r="Q72" s="316"/>
      <c r="R72" s="670"/>
      <c r="S72" s="632"/>
      <c r="U72" s="407"/>
      <c r="V72" s="457"/>
      <c r="W72" s="361"/>
      <c r="X72" s="361"/>
      <c r="Y72" s="361"/>
      <c r="Z72" s="664"/>
    </row>
    <row r="73" spans="3:26" ht="11.25" customHeight="1">
      <c r="C73" s="407"/>
      <c r="D73" s="361"/>
      <c r="E73" s="453"/>
      <c r="F73" s="361"/>
      <c r="G73" s="657"/>
      <c r="H73" s="655"/>
      <c r="I73" s="628"/>
      <c r="J73" s="316"/>
      <c r="K73" s="316"/>
      <c r="L73" s="316"/>
      <c r="M73" s="657"/>
      <c r="N73" s="655"/>
      <c r="O73" s="634"/>
      <c r="P73" s="316"/>
      <c r="Q73" s="316"/>
      <c r="R73" s="495"/>
      <c r="S73" s="632"/>
      <c r="U73" s="407"/>
      <c r="V73" s="457"/>
      <c r="W73" s="361"/>
      <c r="X73" s="361"/>
      <c r="Y73" s="361"/>
      <c r="Z73" s="664"/>
    </row>
    <row r="74" spans="3:26" ht="11.25" customHeight="1">
      <c r="C74" s="407"/>
      <c r="D74" s="361"/>
      <c r="E74" s="453"/>
      <c r="F74" s="361"/>
      <c r="G74" s="657"/>
      <c r="H74" s="655"/>
      <c r="I74" s="628"/>
      <c r="J74" s="316"/>
      <c r="K74" s="316"/>
      <c r="L74" s="316"/>
      <c r="M74" s="657"/>
      <c r="N74" s="655"/>
      <c r="O74" s="634"/>
      <c r="P74" s="316"/>
      <c r="Q74" s="316"/>
      <c r="R74" s="495"/>
      <c r="S74" s="632"/>
      <c r="U74" s="407"/>
      <c r="V74" s="457"/>
      <c r="W74" s="361"/>
      <c r="X74" s="361"/>
      <c r="Y74" s="361"/>
      <c r="Z74" s="664"/>
    </row>
    <row r="75" spans="3:26" ht="11.25" customHeight="1">
      <c r="C75" s="407"/>
      <c r="D75" s="361"/>
      <c r="E75" s="453"/>
      <c r="F75" s="361"/>
      <c r="G75" s="657"/>
      <c r="H75" s="655"/>
      <c r="I75" s="628"/>
      <c r="J75" s="316"/>
      <c r="K75" s="316"/>
      <c r="L75" s="316"/>
      <c r="M75" s="657"/>
      <c r="N75" s="655"/>
      <c r="O75" s="634"/>
      <c r="P75" s="316"/>
      <c r="Q75" s="316"/>
      <c r="R75" s="495"/>
      <c r="S75" s="632"/>
      <c r="U75" s="407"/>
      <c r="V75" s="457"/>
      <c r="W75" s="361"/>
      <c r="X75" s="361"/>
      <c r="Y75" s="361"/>
      <c r="Z75" s="664"/>
    </row>
    <row r="76" spans="3:26" ht="9.75" customHeight="1">
      <c r="C76" s="407"/>
      <c r="D76" s="361"/>
      <c r="E76" s="453"/>
      <c r="F76" s="361"/>
      <c r="G76" s="657"/>
      <c r="H76" s="655"/>
      <c r="I76" s="628"/>
      <c r="J76" s="316"/>
      <c r="K76" s="316"/>
      <c r="L76" s="316"/>
      <c r="M76" s="657"/>
      <c r="N76" s="655"/>
      <c r="O76" s="634"/>
      <c r="P76" s="316"/>
      <c r="Q76" s="316"/>
      <c r="R76" s="495"/>
      <c r="S76" s="632"/>
      <c r="U76" s="407"/>
      <c r="V76" s="457"/>
      <c r="W76" s="361"/>
      <c r="X76" s="361"/>
      <c r="Y76" s="361"/>
      <c r="Z76" s="664"/>
    </row>
    <row r="77" spans="3:26" ht="11.25" hidden="1" customHeight="1">
      <c r="C77" s="407"/>
      <c r="D77" s="361"/>
      <c r="E77" s="453"/>
      <c r="F77" s="361"/>
      <c r="G77" s="657"/>
      <c r="H77" s="655"/>
      <c r="I77" s="628"/>
      <c r="J77" s="495"/>
      <c r="K77" s="495"/>
      <c r="L77" s="316"/>
      <c r="M77" s="657"/>
      <c r="N77" s="655"/>
      <c r="O77" s="634"/>
      <c r="P77" s="316"/>
      <c r="Q77" s="316"/>
      <c r="R77" s="495"/>
      <c r="S77" s="632"/>
      <c r="U77" s="407"/>
      <c r="V77" s="457"/>
      <c r="W77" s="361"/>
      <c r="X77" s="361"/>
      <c r="Y77" s="361"/>
      <c r="Z77" s="664"/>
    </row>
    <row r="78" spans="3:26" ht="11.25" customHeight="1">
      <c r="C78" s="407"/>
      <c r="D78" s="361"/>
      <c r="E78" s="453"/>
      <c r="F78" s="361"/>
      <c r="G78" s="657"/>
      <c r="H78" s="655"/>
      <c r="I78" s="628"/>
      <c r="J78" s="316"/>
      <c r="K78" s="316"/>
      <c r="L78" s="316"/>
      <c r="M78" s="657"/>
      <c r="N78" s="655"/>
      <c r="O78" s="634"/>
      <c r="P78" s="316"/>
      <c r="Q78" s="316"/>
      <c r="R78" s="495"/>
      <c r="S78" s="632"/>
      <c r="U78" s="407"/>
      <c r="V78" s="457"/>
      <c r="W78" s="361"/>
      <c r="X78" s="361"/>
      <c r="Y78" s="361"/>
      <c r="Z78" s="664"/>
    </row>
    <row r="79" spans="3:26" ht="11.25" customHeight="1">
      <c r="C79" s="407"/>
      <c r="D79" s="361"/>
      <c r="E79" s="453"/>
      <c r="F79" s="361"/>
      <c r="G79" s="657"/>
      <c r="H79" s="655"/>
      <c r="I79" s="628"/>
      <c r="J79" s="316"/>
      <c r="K79" s="316"/>
      <c r="L79" s="316"/>
      <c r="M79" s="657"/>
      <c r="N79" s="655"/>
      <c r="O79" s="634"/>
      <c r="P79" s="316"/>
      <c r="Q79" s="316"/>
      <c r="R79" s="495"/>
      <c r="S79" s="632"/>
      <c r="U79" s="407"/>
      <c r="V79" s="457"/>
      <c r="W79" s="361"/>
      <c r="X79" s="361"/>
      <c r="Y79" s="361"/>
      <c r="Z79" s="664"/>
    </row>
    <row r="80" spans="3:26" ht="11.25" customHeight="1">
      <c r="C80" s="407"/>
      <c r="D80" s="361"/>
      <c r="E80" s="453"/>
      <c r="F80" s="361"/>
      <c r="G80" s="657"/>
      <c r="H80" s="655"/>
      <c r="I80" s="628"/>
      <c r="J80" s="316"/>
      <c r="K80" s="316"/>
      <c r="L80" s="316"/>
      <c r="M80" s="657"/>
      <c r="N80" s="655"/>
      <c r="O80" s="634"/>
      <c r="P80" s="316"/>
      <c r="Q80" s="316"/>
      <c r="R80" s="495"/>
      <c r="S80" s="632"/>
      <c r="U80" s="407"/>
      <c r="V80" s="457"/>
      <c r="W80" s="361"/>
      <c r="X80" s="361"/>
      <c r="Y80" s="361"/>
      <c r="Z80" s="664"/>
    </row>
    <row r="81" spans="3:26" ht="11.25" customHeight="1">
      <c r="C81" s="407"/>
      <c r="D81" s="361"/>
      <c r="E81" s="453"/>
      <c r="F81" s="361"/>
      <c r="G81" s="657"/>
      <c r="H81" s="655"/>
      <c r="I81" s="628"/>
      <c r="J81" s="316"/>
      <c r="K81" s="316"/>
      <c r="L81" s="316"/>
      <c r="M81" s="657"/>
      <c r="N81" s="655"/>
      <c r="O81" s="634"/>
      <c r="P81" s="316"/>
      <c r="Q81" s="316"/>
      <c r="R81" s="495"/>
      <c r="S81" s="632"/>
      <c r="U81" s="407"/>
      <c r="V81" s="457"/>
      <c r="W81" s="361"/>
      <c r="X81" s="361"/>
      <c r="Y81" s="361"/>
      <c r="Z81" s="664"/>
    </row>
    <row r="82" spans="3:26" ht="11.25" customHeight="1">
      <c r="C82" s="407"/>
      <c r="D82" s="361"/>
      <c r="E82" s="453"/>
      <c r="F82" s="361"/>
      <c r="G82" s="657"/>
      <c r="H82" s="655"/>
      <c r="I82" s="628"/>
      <c r="J82" s="316"/>
      <c r="K82" s="316"/>
      <c r="L82" s="316"/>
      <c r="M82" s="657"/>
      <c r="N82" s="655"/>
      <c r="O82" s="634"/>
      <c r="P82" s="316"/>
      <c r="Q82" s="316"/>
      <c r="R82" s="495"/>
      <c r="S82" s="632"/>
      <c r="U82" s="407"/>
      <c r="V82" s="457"/>
      <c r="W82" s="361"/>
      <c r="X82" s="361"/>
      <c r="Y82" s="361"/>
      <c r="Z82" s="664"/>
    </row>
    <row r="83" spans="3:26" ht="11.25" customHeight="1">
      <c r="C83" s="407"/>
      <c r="D83" s="361"/>
      <c r="E83" s="453"/>
      <c r="F83" s="361"/>
      <c r="G83" s="657"/>
      <c r="H83" s="655"/>
      <c r="I83" s="628"/>
      <c r="J83" s="316"/>
      <c r="K83" s="316"/>
      <c r="L83" s="316"/>
      <c r="M83" s="657"/>
      <c r="N83" s="655"/>
      <c r="O83" s="634"/>
      <c r="P83" s="316"/>
      <c r="Q83" s="316"/>
      <c r="R83" s="495"/>
      <c r="S83" s="632"/>
      <c r="U83" s="407"/>
      <c r="V83" s="457"/>
      <c r="W83" s="361"/>
      <c r="X83" s="361"/>
      <c r="Y83" s="361"/>
      <c r="Z83" s="664"/>
    </row>
    <row r="84" spans="3:26" ht="11.25" customHeight="1">
      <c r="C84" s="407"/>
      <c r="D84" s="361"/>
      <c r="E84" s="453"/>
      <c r="F84" s="361"/>
      <c r="G84" s="657"/>
      <c r="H84" s="655"/>
      <c r="I84" s="628"/>
      <c r="J84" s="316"/>
      <c r="K84" s="316"/>
      <c r="L84" s="316"/>
      <c r="M84" s="657"/>
      <c r="N84" s="655"/>
      <c r="O84" s="634"/>
      <c r="P84" s="316"/>
      <c r="Q84" s="316"/>
      <c r="R84" s="495"/>
      <c r="S84" s="632"/>
      <c r="U84" s="407"/>
      <c r="V84" s="361"/>
      <c r="W84" s="361"/>
      <c r="X84" s="361"/>
      <c r="Y84" s="361"/>
      <c r="Z84" s="664"/>
    </row>
    <row r="85" spans="3:26" ht="11.25" customHeight="1">
      <c r="C85" s="407"/>
      <c r="D85" s="361"/>
      <c r="E85" s="453"/>
      <c r="F85" s="361"/>
      <c r="G85" s="657"/>
      <c r="H85" s="655"/>
      <c r="I85" s="628"/>
      <c r="J85" s="316"/>
      <c r="K85" s="316"/>
      <c r="L85" s="316"/>
      <c r="M85" s="657"/>
      <c r="N85" s="655"/>
      <c r="O85" s="634"/>
      <c r="P85" s="316"/>
      <c r="Q85" s="316"/>
      <c r="R85" s="495"/>
      <c r="S85" s="632"/>
      <c r="U85" s="407"/>
      <c r="V85" s="361"/>
      <c r="W85" s="361"/>
      <c r="X85" s="361"/>
      <c r="Y85" s="361"/>
      <c r="Z85" s="664"/>
    </row>
    <row r="86" spans="3:26" ht="11.25" customHeight="1">
      <c r="C86" s="407"/>
      <c r="D86" s="361"/>
      <c r="E86" s="453"/>
      <c r="F86" s="361"/>
      <c r="G86" s="657"/>
      <c r="H86" s="655"/>
      <c r="I86" s="628"/>
      <c r="J86" s="316"/>
      <c r="K86" s="316"/>
      <c r="L86" s="316"/>
      <c r="M86" s="657"/>
      <c r="N86" s="655"/>
      <c r="O86" s="634"/>
      <c r="P86" s="316"/>
      <c r="Q86" s="316"/>
      <c r="R86" s="495"/>
      <c r="S86" s="632"/>
      <c r="U86" s="407"/>
      <c r="V86" s="361"/>
      <c r="W86" s="361"/>
      <c r="X86" s="361"/>
      <c r="Y86" s="361"/>
      <c r="Z86" s="664"/>
    </row>
    <row r="87" spans="3:26" ht="11.25" customHeight="1">
      <c r="C87" s="407"/>
      <c r="D87" s="361"/>
      <c r="E87" s="453"/>
      <c r="F87" s="361"/>
      <c r="G87" s="657"/>
      <c r="H87" s="655"/>
      <c r="I87" s="628"/>
      <c r="J87" s="316"/>
      <c r="K87" s="316"/>
      <c r="L87" s="316"/>
      <c r="M87" s="657"/>
      <c r="N87" s="655"/>
      <c r="O87" s="634"/>
      <c r="P87" s="316"/>
      <c r="Q87" s="316"/>
      <c r="R87" s="495"/>
      <c r="S87" s="632"/>
      <c r="U87" s="407"/>
      <c r="V87" s="361"/>
      <c r="W87" s="361"/>
      <c r="X87" s="361"/>
      <c r="Y87" s="361"/>
      <c r="Z87" s="664"/>
    </row>
    <row r="88" spans="3:26" ht="11.25" customHeight="1">
      <c r="C88" s="407"/>
      <c r="D88" s="361"/>
      <c r="E88" s="453"/>
      <c r="F88" s="361"/>
      <c r="G88" s="657"/>
      <c r="H88" s="655"/>
      <c r="I88" s="628"/>
      <c r="J88" s="316"/>
      <c r="K88" s="316"/>
      <c r="L88" s="316"/>
      <c r="M88" s="657"/>
      <c r="N88" s="655"/>
      <c r="O88" s="634"/>
      <c r="P88" s="316"/>
      <c r="Q88" s="316"/>
      <c r="R88" s="495"/>
      <c r="S88" s="632"/>
      <c r="U88" s="407"/>
      <c r="V88" s="361"/>
      <c r="W88" s="361"/>
      <c r="X88" s="361"/>
      <c r="Y88" s="361"/>
      <c r="Z88" s="664"/>
    </row>
    <row r="89" spans="3:26" ht="11.25" customHeight="1">
      <c r="C89" s="407"/>
      <c r="D89" s="361"/>
      <c r="E89" s="453"/>
      <c r="F89" s="361"/>
      <c r="G89" s="657"/>
      <c r="H89" s="655"/>
      <c r="I89" s="628"/>
      <c r="J89" s="316"/>
      <c r="K89" s="316"/>
      <c r="L89" s="316"/>
      <c r="M89" s="657"/>
      <c r="N89" s="655"/>
      <c r="O89" s="634"/>
      <c r="P89" s="316"/>
      <c r="Q89" s="316"/>
      <c r="R89" s="495"/>
      <c r="S89" s="632"/>
      <c r="U89" s="407"/>
      <c r="V89" s="361"/>
      <c r="W89" s="361"/>
      <c r="X89" s="361"/>
      <c r="Y89" s="361"/>
      <c r="Z89" s="664"/>
    </row>
    <row r="90" spans="3:26" ht="11.25" customHeight="1">
      <c r="C90" s="407"/>
      <c r="D90" s="361"/>
      <c r="E90" s="453"/>
      <c r="F90" s="361"/>
      <c r="G90" s="657"/>
      <c r="H90" s="655"/>
      <c r="I90" s="628"/>
      <c r="J90" s="316"/>
      <c r="K90" s="316"/>
      <c r="L90" s="316"/>
      <c r="M90" s="657"/>
      <c r="N90" s="655"/>
      <c r="O90" s="634"/>
      <c r="P90" s="316"/>
      <c r="Q90" s="316"/>
      <c r="R90" s="495"/>
      <c r="S90" s="632"/>
      <c r="U90" s="407"/>
      <c r="V90" s="361"/>
      <c r="W90" s="361"/>
      <c r="X90" s="361"/>
      <c r="Y90" s="361"/>
      <c r="Z90" s="664"/>
    </row>
    <row r="91" spans="3:26">
      <c r="C91" s="407"/>
      <c r="D91" s="361"/>
      <c r="E91" s="453"/>
      <c r="F91" s="361"/>
      <c r="G91" s="657"/>
      <c r="H91" s="655"/>
      <c r="I91" s="628"/>
      <c r="J91" s="316"/>
      <c r="K91" s="316"/>
      <c r="L91" s="316"/>
      <c r="M91" s="657"/>
      <c r="N91" s="655"/>
      <c r="O91" s="634"/>
      <c r="P91" s="316"/>
      <c r="Q91" s="316"/>
      <c r="R91" s="495"/>
      <c r="S91" s="632"/>
      <c r="U91" s="407"/>
      <c r="V91" s="361"/>
      <c r="W91" s="361"/>
      <c r="X91" s="361"/>
      <c r="Y91" s="361"/>
      <c r="Z91" s="664"/>
    </row>
    <row r="92" spans="3:26">
      <c r="C92" s="407"/>
      <c r="D92" s="361"/>
      <c r="E92" s="453"/>
      <c r="F92" s="361"/>
      <c r="G92" s="657"/>
      <c r="H92" s="655"/>
      <c r="I92" s="628"/>
      <c r="J92" s="316"/>
      <c r="K92" s="316"/>
      <c r="L92" s="316"/>
      <c r="M92" s="657"/>
      <c r="N92" s="655"/>
      <c r="O92" s="634"/>
      <c r="P92" s="316"/>
      <c r="Q92" s="316"/>
      <c r="R92" s="495"/>
      <c r="S92" s="632"/>
      <c r="U92" s="407"/>
      <c r="V92" s="361"/>
      <c r="W92" s="361"/>
      <c r="X92" s="361"/>
      <c r="Y92" s="361"/>
      <c r="Z92" s="664"/>
    </row>
    <row r="93" spans="3:26">
      <c r="C93" s="407"/>
      <c r="D93" s="361"/>
      <c r="E93" s="453"/>
      <c r="F93" s="361"/>
      <c r="G93" s="657"/>
      <c r="H93" s="655"/>
      <c r="I93" s="628"/>
      <c r="J93" s="316"/>
      <c r="K93" s="316"/>
      <c r="L93" s="316"/>
      <c r="M93" s="657"/>
      <c r="N93" s="655"/>
      <c r="O93" s="634"/>
      <c r="P93" s="316"/>
      <c r="Q93" s="316"/>
      <c r="R93" s="495"/>
      <c r="S93" s="632"/>
      <c r="U93" s="407"/>
      <c r="V93" s="361"/>
      <c r="W93" s="361"/>
      <c r="X93" s="361"/>
      <c r="Y93" s="361"/>
      <c r="Z93" s="664"/>
    </row>
    <row r="94" spans="3:26">
      <c r="C94" s="407"/>
      <c r="D94" s="361"/>
      <c r="E94" s="453"/>
      <c r="F94" s="361"/>
      <c r="G94" s="657"/>
      <c r="H94" s="655"/>
      <c r="I94" s="628"/>
      <c r="J94" s="316"/>
      <c r="K94" s="316"/>
      <c r="L94" s="316"/>
      <c r="M94" s="657"/>
      <c r="N94" s="655"/>
      <c r="O94" s="634"/>
      <c r="P94" s="316"/>
      <c r="Q94" s="316"/>
      <c r="R94" s="495"/>
      <c r="S94" s="632"/>
      <c r="U94" s="407"/>
      <c r="V94" s="361"/>
      <c r="W94" s="361"/>
      <c r="X94" s="361"/>
      <c r="Y94" s="361"/>
      <c r="Z94" s="664"/>
    </row>
    <row r="95" spans="3:26">
      <c r="C95" s="407"/>
      <c r="D95" s="361"/>
      <c r="E95" s="453"/>
      <c r="F95" s="361"/>
      <c r="G95" s="657"/>
      <c r="H95" s="655"/>
      <c r="I95" s="628"/>
      <c r="J95" s="316"/>
      <c r="K95" s="316"/>
      <c r="L95" s="316"/>
      <c r="M95" s="657"/>
      <c r="N95" s="655"/>
      <c r="O95" s="634"/>
      <c r="P95" s="316"/>
      <c r="Q95" s="316"/>
      <c r="R95" s="495"/>
      <c r="S95" s="632"/>
      <c r="U95" s="407"/>
      <c r="V95" s="361"/>
      <c r="W95" s="361"/>
      <c r="X95" s="361"/>
      <c r="Y95" s="361"/>
      <c r="Z95" s="664"/>
    </row>
    <row r="96" spans="3:26">
      <c r="C96" s="407"/>
      <c r="D96" s="361"/>
      <c r="E96" s="453"/>
      <c r="F96" s="361"/>
      <c r="G96" s="657"/>
      <c r="H96" s="655"/>
      <c r="I96" s="628"/>
      <c r="J96" s="316"/>
      <c r="K96" s="316"/>
      <c r="L96" s="316"/>
      <c r="M96" s="657"/>
      <c r="N96" s="655"/>
      <c r="O96" s="634"/>
      <c r="P96" s="316"/>
      <c r="Q96" s="316"/>
      <c r="R96" s="495"/>
      <c r="S96" s="632"/>
      <c r="U96" s="407"/>
      <c r="V96" s="361"/>
      <c r="W96" s="361"/>
      <c r="X96" s="361"/>
      <c r="Y96" s="361"/>
      <c r="Z96" s="664"/>
    </row>
    <row r="97" spans="3:26" ht="12" thickBot="1">
      <c r="C97" s="408"/>
      <c r="D97" s="409"/>
      <c r="E97" s="410"/>
      <c r="F97" s="409"/>
      <c r="G97" s="658"/>
      <c r="H97" s="655"/>
      <c r="I97" s="630"/>
      <c r="J97" s="625"/>
      <c r="K97" s="625"/>
      <c r="L97" s="625"/>
      <c r="M97" s="658"/>
      <c r="N97" s="655"/>
      <c r="O97" s="635"/>
      <c r="P97" s="625"/>
      <c r="Q97" s="625"/>
      <c r="R97" s="671"/>
      <c r="S97" s="633"/>
      <c r="U97" s="408"/>
      <c r="V97" s="409"/>
      <c r="W97" s="409"/>
      <c r="X97" s="409"/>
      <c r="Y97" s="409"/>
      <c r="Z97" s="665"/>
    </row>
    <row r="98" spans="3:26">
      <c r="H98" s="655"/>
      <c r="N98" s="655"/>
    </row>
    <row r="99" spans="3:26">
      <c r="H99" s="655"/>
    </row>
  </sheetData>
  <mergeCells count="9">
    <mergeCell ref="C50:G50"/>
    <mergeCell ref="I50:M50"/>
    <mergeCell ref="B1:C6"/>
    <mergeCell ref="E2:AU2"/>
    <mergeCell ref="G7:M7"/>
    <mergeCell ref="N7:S7"/>
    <mergeCell ref="G6:M6"/>
    <mergeCell ref="O50:S50"/>
    <mergeCell ref="U50:Z50"/>
  </mergeCells>
  <phoneticPr fontId="4" type="noConversion"/>
  <pageMargins left="0.75" right="0.75" top="1" bottom="1" header="0.5" footer="0.5"/>
  <pageSetup paperSize="9" scale="30" orientation="landscape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>
  <sheetPr>
    <pageSetUpPr fitToPage="1"/>
  </sheetPr>
  <dimension ref="A1:F35"/>
  <sheetViews>
    <sheetView workbookViewId="0">
      <selection activeCell="R22" sqref="R22"/>
    </sheetView>
  </sheetViews>
  <sheetFormatPr defaultRowHeight="12.75"/>
  <cols>
    <col min="2" max="2" width="10.28515625" style="12" bestFit="1" customWidth="1"/>
  </cols>
  <sheetData>
    <row r="1" spans="1:6" s="15" customFormat="1" ht="51">
      <c r="A1" s="11" t="s">
        <v>0</v>
      </c>
      <c r="B1" s="14" t="s">
        <v>264</v>
      </c>
      <c r="C1" s="11" t="s">
        <v>24</v>
      </c>
      <c r="D1" s="79" t="s">
        <v>60</v>
      </c>
      <c r="E1" s="79" t="s">
        <v>61</v>
      </c>
    </row>
    <row r="2" spans="1:6">
      <c r="A2" s="96">
        <f>Gen!B11</f>
        <v>43952</v>
      </c>
      <c r="B2" s="13">
        <f>SUM('[1]Summery Report'!F5)</f>
        <v>5669</v>
      </c>
      <c r="C2" s="120">
        <f>SUM('[1]Summery Report'!C5)</f>
        <v>0.623</v>
      </c>
      <c r="D2" s="80" t="e">
        <f>SUM('[1]Summery Report'!#REF!)</f>
        <v>#REF!</v>
      </c>
      <c r="E2" s="80" t="e">
        <f>SUM('[1]Summery Report'!#REF!)</f>
        <v>#REF!</v>
      </c>
      <c r="F2" s="19">
        <v>0.1</v>
      </c>
    </row>
    <row r="3" spans="1:6">
      <c r="A3" s="96">
        <f>Gen!B12</f>
        <v>43953</v>
      </c>
      <c r="B3" s="13">
        <f>SUM('[1]Summery Report'!F6)</f>
        <v>6159</v>
      </c>
      <c r="C3" s="120">
        <f>SUM('[1]Summery Report'!C6)</f>
        <v>0.77900000000000003</v>
      </c>
      <c r="D3" s="80" t="e">
        <f>SUM('[1]Summery Report'!#REF!)</f>
        <v>#REF!</v>
      </c>
      <c r="E3" s="80" t="e">
        <f>SUM('[1]Summery Report'!#REF!)</f>
        <v>#REF!</v>
      </c>
      <c r="F3" s="19">
        <v>0.13750000000000001</v>
      </c>
    </row>
    <row r="4" spans="1:6">
      <c r="A4" s="96">
        <f>Gen!B13</f>
        <v>43954</v>
      </c>
      <c r="B4" s="13">
        <f>SUM('[1]Summery Report'!F7)</f>
        <v>6580</v>
      </c>
      <c r="C4" s="120">
        <f>SUM('[1]Summery Report'!C7)</f>
        <v>0.53200000000000003</v>
      </c>
      <c r="D4" s="80" t="e">
        <f>SUM('[1]Summery Report'!#REF!)</f>
        <v>#REF!</v>
      </c>
      <c r="E4" s="80" t="e">
        <f>SUM('[1]Summery Report'!#REF!)</f>
        <v>#REF!</v>
      </c>
      <c r="F4" s="19">
        <v>8.7499999999999994E-2</v>
      </c>
    </row>
    <row r="5" spans="1:6">
      <c r="A5" s="96">
        <f>Gen!B14</f>
        <v>43955</v>
      </c>
      <c r="B5" s="13">
        <f>SUM('[1]Summery Report'!F8)</f>
        <v>6223</v>
      </c>
      <c r="C5" s="120">
        <f>SUM('[1]Summery Report'!C8)</f>
        <v>0.61</v>
      </c>
      <c r="D5" s="80" t="e">
        <f>SUM('[1]Summery Report'!#REF!)</f>
        <v>#REF!</v>
      </c>
      <c r="E5" s="80" t="e">
        <f>SUM('[1]Summery Report'!#REF!)</f>
        <v>#REF!</v>
      </c>
      <c r="F5" s="19">
        <v>0.22500000000000001</v>
      </c>
    </row>
    <row r="6" spans="1:6">
      <c r="A6" s="96">
        <f>Gen!B15</f>
        <v>43956</v>
      </c>
      <c r="B6" s="13">
        <f>SUM('[1]Summery Report'!F9)</f>
        <v>5984</v>
      </c>
      <c r="C6" s="120">
        <f>SUM('[1]Summery Report'!C9)</f>
        <v>0.68799999999999994</v>
      </c>
      <c r="D6" s="80" t="e">
        <f>SUM('[1]Summery Report'!#REF!)</f>
        <v>#REF!</v>
      </c>
      <c r="E6" s="80" t="e">
        <f>SUM('[1]Summery Report'!#REF!)</f>
        <v>#REF!</v>
      </c>
      <c r="F6" s="19">
        <v>0.2</v>
      </c>
    </row>
    <row r="7" spans="1:6">
      <c r="A7" s="96">
        <f>Gen!B16</f>
        <v>43957</v>
      </c>
      <c r="B7" s="13">
        <f>SUM('[1]Summery Report'!F10)</f>
        <v>6103</v>
      </c>
      <c r="C7" s="120">
        <f>SUM('[1]Summery Report'!C10)</f>
        <v>0.53200000000000003</v>
      </c>
      <c r="D7" s="80" t="e">
        <f>SUM('[1]Summery Report'!#REF!)</f>
        <v>#REF!</v>
      </c>
      <c r="E7" s="80" t="e">
        <f>SUM('[1]Summery Report'!#REF!)</f>
        <v>#REF!</v>
      </c>
      <c r="F7" s="19">
        <v>0.35</v>
      </c>
    </row>
    <row r="8" spans="1:6">
      <c r="A8" s="96">
        <f>Gen!B17</f>
        <v>43958</v>
      </c>
      <c r="B8" s="13">
        <f>SUM('[1]Summery Report'!F11)</f>
        <v>5576</v>
      </c>
      <c r="C8" s="120">
        <f>SUM('[1]Summery Report'!C11)</f>
        <v>0.753</v>
      </c>
      <c r="D8" s="80" t="e">
        <f>SUM('[1]Summery Report'!#REF!)</f>
        <v>#REF!</v>
      </c>
      <c r="E8" s="80" t="e">
        <f>SUM('[1]Summery Report'!#REF!)</f>
        <v>#REF!</v>
      </c>
      <c r="F8" s="19">
        <v>0.375</v>
      </c>
    </row>
    <row r="9" spans="1:6">
      <c r="A9" s="96">
        <f>Gen!B18</f>
        <v>43959</v>
      </c>
      <c r="B9" s="13">
        <f>SUM('[1]Summery Report'!F12)</f>
        <v>5532</v>
      </c>
      <c r="C9" s="120">
        <f>SUM('[1]Summery Report'!C12)</f>
        <v>0.156</v>
      </c>
      <c r="D9" s="80" t="e">
        <f>SUM('[1]Summery Report'!#REF!)</f>
        <v>#REF!</v>
      </c>
      <c r="E9" s="80" t="e">
        <f>SUM('[1]Summery Report'!#REF!)</f>
        <v>#REF!</v>
      </c>
      <c r="F9" s="19">
        <v>0.32500000000000001</v>
      </c>
    </row>
    <row r="10" spans="1:6">
      <c r="A10" s="96">
        <f>Gen!B19</f>
        <v>43960</v>
      </c>
      <c r="B10" s="13">
        <f>SUM('[1]Summery Report'!F13)</f>
        <v>6233</v>
      </c>
      <c r="C10" s="120">
        <f>SUM('[1]Summery Report'!C13)</f>
        <v>0.442</v>
      </c>
      <c r="D10" s="80" t="e">
        <f>SUM('[1]Summery Report'!#REF!)</f>
        <v>#REF!</v>
      </c>
      <c r="E10" s="80" t="e">
        <f>SUM('[1]Summery Report'!#REF!)</f>
        <v>#REF!</v>
      </c>
      <c r="F10" s="19">
        <v>0.75</v>
      </c>
    </row>
    <row r="11" spans="1:6">
      <c r="A11" s="96">
        <f>Gen!B20</f>
        <v>43961</v>
      </c>
      <c r="B11" s="13">
        <f>SUM('[1]Summery Report'!F14)</f>
        <v>6063</v>
      </c>
      <c r="C11" s="120">
        <f>SUM('[1]Summery Report'!C14)</f>
        <v>0.32500000000000001</v>
      </c>
      <c r="D11" s="80" t="e">
        <f>SUM('[1]Summery Report'!#REF!)</f>
        <v>#REF!</v>
      </c>
      <c r="E11" s="80" t="e">
        <f>SUM('[1]Summery Report'!#REF!)</f>
        <v>#REF!</v>
      </c>
      <c r="F11" s="19">
        <v>0.76249999999999996</v>
      </c>
    </row>
    <row r="12" spans="1:6">
      <c r="A12" s="96">
        <f>Gen!B21</f>
        <v>43962</v>
      </c>
      <c r="B12" s="13">
        <f>SUM('[1]Summery Report'!F15)</f>
        <v>5967</v>
      </c>
      <c r="C12" s="120">
        <f>SUM('[1]Summery Report'!C15)</f>
        <v>0.45500000000000002</v>
      </c>
      <c r="D12" s="80" t="e">
        <f>SUM('[1]Summery Report'!#REF!)</f>
        <v>#REF!</v>
      </c>
      <c r="E12" s="80" t="e">
        <f>SUM('[1]Summery Report'!#REF!)</f>
        <v>#REF!</v>
      </c>
      <c r="F12" s="19">
        <v>0.16250000000000001</v>
      </c>
    </row>
    <row r="13" spans="1:6">
      <c r="A13" s="96">
        <f>Gen!B22</f>
        <v>43963</v>
      </c>
      <c r="B13" s="13">
        <f>SUM('[1]Summery Report'!F16)</f>
        <v>5863</v>
      </c>
      <c r="C13" s="120">
        <f>SUM('[1]Summery Report'!C16)</f>
        <v>0.41599999999999998</v>
      </c>
      <c r="D13" s="80" t="e">
        <f>SUM('[1]Summery Report'!#REF!)</f>
        <v>#REF!</v>
      </c>
      <c r="E13" s="80" t="e">
        <f>SUM('[1]Summery Report'!#REF!)</f>
        <v>#REF!</v>
      </c>
      <c r="F13" s="19">
        <v>0.1125</v>
      </c>
    </row>
    <row r="14" spans="1:6">
      <c r="A14" s="96">
        <f>Gen!B23</f>
        <v>43964</v>
      </c>
      <c r="B14" s="13">
        <f>SUM('[1]Summery Report'!F17)</f>
        <v>5720</v>
      </c>
      <c r="C14" s="120">
        <f>SUM('[1]Summery Report'!C17)</f>
        <v>0.39</v>
      </c>
      <c r="D14" s="80" t="e">
        <f>SUM('[1]Summery Report'!#REF!)</f>
        <v>#REF!</v>
      </c>
      <c r="E14" s="80" t="e">
        <f>SUM('[1]Summery Report'!#REF!)</f>
        <v>#REF!</v>
      </c>
      <c r="F14" s="19">
        <v>3.7499999999999999E-2</v>
      </c>
    </row>
    <row r="15" spans="1:6">
      <c r="A15" s="96">
        <f>Gen!B24</f>
        <v>43965</v>
      </c>
      <c r="B15" s="13">
        <f>SUM('[1]Summery Report'!F18)</f>
        <v>6195</v>
      </c>
      <c r="C15" s="120">
        <f>SUM('[1]Summery Report'!C18)</f>
        <v>0.63600000000000001</v>
      </c>
      <c r="D15" s="80" t="e">
        <f>SUM('[1]Summery Report'!#REF!)</f>
        <v>#REF!</v>
      </c>
      <c r="E15" s="80" t="e">
        <f>SUM('[1]Summery Report'!#REF!)</f>
        <v>#REF!</v>
      </c>
      <c r="F15" s="19">
        <v>0.125</v>
      </c>
    </row>
    <row r="16" spans="1:6">
      <c r="A16" s="96">
        <f>Gen!B25</f>
        <v>43966</v>
      </c>
      <c r="B16" s="13">
        <f>SUM('[1]Summery Report'!F19)</f>
        <v>6450</v>
      </c>
      <c r="C16" s="120">
        <f>SUM('[1]Summery Report'!C19)</f>
        <v>0.84399999999999997</v>
      </c>
      <c r="D16" s="80" t="e">
        <f>SUM('[1]Summery Report'!#REF!)</f>
        <v>#REF!</v>
      </c>
      <c r="E16" s="80" t="e">
        <f>SUM('[1]Summery Report'!#REF!)</f>
        <v>#REF!</v>
      </c>
      <c r="F16" s="19">
        <v>0.125</v>
      </c>
    </row>
    <row r="17" spans="1:6">
      <c r="A17" s="96">
        <f>Gen!B26</f>
        <v>43967</v>
      </c>
      <c r="B17" s="13">
        <f>SUM('[1]Summery Report'!F20)</f>
        <v>6915</v>
      </c>
      <c r="C17" s="120">
        <f>SUM('[1]Summery Report'!C20)</f>
        <v>0.81799999999999995</v>
      </c>
      <c r="D17" s="80" t="e">
        <f>SUM('[1]Summery Report'!#REF!)</f>
        <v>#REF!</v>
      </c>
      <c r="E17" s="80" t="e">
        <f>SUM('[1]Summery Report'!#REF!)</f>
        <v>#REF!</v>
      </c>
      <c r="F17" s="19">
        <v>0.05</v>
      </c>
    </row>
    <row r="18" spans="1:6">
      <c r="A18" s="96">
        <f>Gen!B27</f>
        <v>43968</v>
      </c>
      <c r="B18" s="13">
        <f>SUM('[1]Summery Report'!F21)</f>
        <v>5962</v>
      </c>
      <c r="C18" s="120">
        <f>SUM('[1]Summery Report'!C21)</f>
        <v>0.20799999999999999</v>
      </c>
      <c r="D18" s="80" t="e">
        <f>SUM('[1]Summery Report'!#REF!)</f>
        <v>#REF!</v>
      </c>
      <c r="E18" s="80" t="e">
        <f>SUM('[1]Summery Report'!#REF!)</f>
        <v>#REF!</v>
      </c>
      <c r="F18" s="19">
        <v>0.21249999999999999</v>
      </c>
    </row>
    <row r="19" spans="1:6">
      <c r="A19" s="96">
        <f>Gen!B28</f>
        <v>43969</v>
      </c>
      <c r="B19" s="13">
        <f>SUM('[1]Summery Report'!F22)</f>
        <v>5257</v>
      </c>
      <c r="C19" s="120">
        <f>SUM('[1]Summery Report'!C22)</f>
        <v>0.221</v>
      </c>
      <c r="D19" s="80" t="e">
        <f>SUM('[1]Summery Report'!#REF!)</f>
        <v>#REF!</v>
      </c>
      <c r="E19" s="80" t="e">
        <f>SUM('[1]Summery Report'!#REF!)</f>
        <v>#REF!</v>
      </c>
      <c r="F19" s="19">
        <v>0.1125</v>
      </c>
    </row>
    <row r="20" spans="1:6">
      <c r="A20" s="96">
        <f>Gen!B29</f>
        <v>43970</v>
      </c>
      <c r="B20" s="13">
        <f>SUM('[1]Summery Report'!F23)</f>
        <v>4691</v>
      </c>
      <c r="C20" s="120">
        <f>SUM('[1]Summery Report'!C23)</f>
        <v>0.11700000000000001</v>
      </c>
      <c r="D20" s="80" t="e">
        <f>SUM('[1]Summery Report'!#REF!)</f>
        <v>#REF!</v>
      </c>
      <c r="E20" s="80" t="e">
        <f>SUM('[1]Summery Report'!#REF!)</f>
        <v>#REF!</v>
      </c>
      <c r="F20" s="19">
        <v>0.13750000000000001</v>
      </c>
    </row>
    <row r="21" spans="1:6">
      <c r="A21" s="96">
        <f>Gen!B30</f>
        <v>43971</v>
      </c>
      <c r="B21" s="13">
        <f>SUM('[1]Summery Report'!F24)</f>
        <v>5712</v>
      </c>
      <c r="C21" s="120">
        <f>SUM('[1]Summery Report'!C24)</f>
        <v>0.57099999999999995</v>
      </c>
      <c r="D21" s="80" t="e">
        <f>SUM('[1]Summery Report'!#REF!)</f>
        <v>#REF!</v>
      </c>
      <c r="E21" s="80" t="e">
        <f>SUM('[1]Summery Report'!#REF!)</f>
        <v>#REF!</v>
      </c>
      <c r="F21" s="19">
        <v>0.15</v>
      </c>
    </row>
    <row r="22" spans="1:6">
      <c r="A22" s="96">
        <f>Gen!B31</f>
        <v>43972</v>
      </c>
      <c r="B22" s="13">
        <f>SUM('[1]Summery Report'!F25)</f>
        <v>5941</v>
      </c>
      <c r="C22" s="120">
        <f>SUM('[1]Summery Report'!C25)</f>
        <v>0.55800000000000005</v>
      </c>
      <c r="D22" s="80" t="e">
        <f>SUM('[1]Summery Report'!#REF!)</f>
        <v>#REF!</v>
      </c>
      <c r="E22" s="80" t="e">
        <f>SUM('[1]Summery Report'!#REF!)</f>
        <v>#REF!</v>
      </c>
      <c r="F22" s="19">
        <v>0.13750000000000001</v>
      </c>
    </row>
    <row r="23" spans="1:6">
      <c r="A23" s="96">
        <f>Gen!B32</f>
        <v>43973</v>
      </c>
      <c r="B23" s="13">
        <f>SUM('[1]Summery Report'!F26)</f>
        <v>5400</v>
      </c>
      <c r="C23" s="120">
        <f>SUM('[1]Summery Report'!C26)</f>
        <v>0.40300000000000002</v>
      </c>
      <c r="D23" s="80" t="e">
        <f>SUM('[1]Summery Report'!#REF!)</f>
        <v>#REF!</v>
      </c>
      <c r="E23" s="80" t="e">
        <f>SUM('[1]Summery Report'!#REF!)</f>
        <v>#REF!</v>
      </c>
      <c r="F23" s="19">
        <v>0</v>
      </c>
    </row>
    <row r="24" spans="1:6">
      <c r="A24" s="96">
        <f>Gen!B33</f>
        <v>43974</v>
      </c>
      <c r="B24" s="13">
        <f>SUM('[1]Summery Report'!F27)</f>
        <v>5371</v>
      </c>
      <c r="C24" s="120">
        <f>SUM('[1]Summery Report'!C27)</f>
        <v>0.24</v>
      </c>
      <c r="D24" s="80" t="e">
        <f>SUM('[1]Summery Report'!#REF!)</f>
        <v>#REF!</v>
      </c>
      <c r="E24" s="80" t="e">
        <f>SUM('[1]Summery Report'!#REF!)</f>
        <v>#REF!</v>
      </c>
      <c r="F24" s="19">
        <v>0.05</v>
      </c>
    </row>
    <row r="25" spans="1:6">
      <c r="A25" s="96">
        <f>Gen!B34</f>
        <v>43975</v>
      </c>
      <c r="B25" s="13">
        <f>SUM('[1]Summery Report'!F28)</f>
        <v>5296</v>
      </c>
      <c r="C25" s="120">
        <f>SUM('[1]Summery Report'!C28)</f>
        <v>0.09</v>
      </c>
      <c r="D25" s="80" t="e">
        <f>SUM('[1]Summery Report'!#REF!)</f>
        <v>#REF!</v>
      </c>
      <c r="E25" s="80" t="e">
        <f>SUM('[1]Summery Report'!#REF!)</f>
        <v>#REF!</v>
      </c>
      <c r="F25" s="19">
        <v>0.1125</v>
      </c>
    </row>
    <row r="26" spans="1:6">
      <c r="A26" s="96">
        <f>Gen!B35</f>
        <v>43976</v>
      </c>
      <c r="B26" s="13">
        <f>SUM('[1]Summery Report'!F29)</f>
        <v>5221</v>
      </c>
      <c r="C26" s="120">
        <f>SUM('[1]Summery Report'!C29)</f>
        <v>0.28599999999999998</v>
      </c>
      <c r="D26" s="80" t="e">
        <f>SUM('[1]Summery Report'!#REF!)</f>
        <v>#REF!</v>
      </c>
      <c r="E26" s="80" t="e">
        <f>SUM('[1]Summery Report'!#REF!)</f>
        <v>#REF!</v>
      </c>
      <c r="F26" s="19">
        <v>0.125</v>
      </c>
    </row>
    <row r="27" spans="1:6">
      <c r="A27" s="96">
        <f>Gen!B36</f>
        <v>43977</v>
      </c>
      <c r="B27" s="13">
        <f>SUM('[1]Summery Report'!F30)</f>
        <v>5665</v>
      </c>
      <c r="C27" s="120">
        <f>SUM('[1]Summery Report'!C30)</f>
        <v>0.54500000000000004</v>
      </c>
      <c r="D27" s="80" t="e">
        <f>SUM('[1]Summery Report'!#REF!)</f>
        <v>#REF!</v>
      </c>
      <c r="E27" s="80" t="e">
        <f>SUM('[1]Summery Report'!#REF!)</f>
        <v>#REF!</v>
      </c>
      <c r="F27" s="19">
        <v>0.17499999999999999</v>
      </c>
    </row>
    <row r="28" spans="1:6">
      <c r="A28" s="96">
        <f>Gen!B37</f>
        <v>43978</v>
      </c>
      <c r="B28" s="13">
        <f>SUM('[1]Summery Report'!F31)</f>
        <v>6109</v>
      </c>
      <c r="C28" s="120">
        <f>SUM('[1]Summery Report'!C31)</f>
        <v>0.67500000000000004</v>
      </c>
      <c r="D28" s="80" t="e">
        <f>SUM('[1]Summery Report'!#REF!)</f>
        <v>#REF!</v>
      </c>
      <c r="E28" s="80" t="e">
        <f>SUM('[1]Summery Report'!#REF!)</f>
        <v>#REF!</v>
      </c>
      <c r="F28" s="19">
        <v>0.125</v>
      </c>
    </row>
    <row r="29" spans="1:6">
      <c r="A29" s="96">
        <f>Gen!B38</f>
        <v>43979</v>
      </c>
      <c r="B29" s="13">
        <f>SUM('[1]Summery Report'!F32)</f>
        <v>0</v>
      </c>
      <c r="C29" s="120">
        <f>SUM('[1]Summery Report'!C32)</f>
        <v>0.27300000000000002</v>
      </c>
      <c r="D29" s="80" t="e">
        <f>SUM('[1]Summery Report'!#REF!)</f>
        <v>#REF!</v>
      </c>
      <c r="E29" s="80" t="e">
        <f>SUM('[1]Summery Report'!#REF!)</f>
        <v>#REF!</v>
      </c>
      <c r="F29" s="19">
        <v>7.4999999999999997E-2</v>
      </c>
    </row>
    <row r="30" spans="1:6">
      <c r="A30" s="96">
        <f>Gen!B39</f>
        <v>43980</v>
      </c>
      <c r="B30" s="13">
        <f>SUM('[1]Summery Report'!F33)</f>
        <v>0</v>
      </c>
      <c r="C30" s="120">
        <f>SUM('[1]Summery Report'!C33)</f>
        <v>0</v>
      </c>
      <c r="D30" s="80" t="e">
        <f>SUM('[1]Summery Report'!#REF!)</f>
        <v>#REF!</v>
      </c>
      <c r="E30" s="80" t="e">
        <f>SUM('[1]Summery Report'!#REF!)</f>
        <v>#REF!</v>
      </c>
      <c r="F30" s="19">
        <v>0.1125</v>
      </c>
    </row>
    <row r="31" spans="1:6">
      <c r="A31" s="96">
        <f>Gen!B40</f>
        <v>43981</v>
      </c>
      <c r="B31" s="13">
        <f>SUM('[1]Summery Report'!F34)</f>
        <v>0</v>
      </c>
      <c r="C31" s="120">
        <f>SUM('[1]Summery Report'!C34)</f>
        <v>0</v>
      </c>
      <c r="D31" s="80" t="e">
        <f>SUM('[1]Summery Report'!#REF!)</f>
        <v>#REF!</v>
      </c>
      <c r="E31" s="80" t="e">
        <f>SUM('[1]Summery Report'!#REF!)</f>
        <v>#REF!</v>
      </c>
      <c r="F31" s="19">
        <v>0.15</v>
      </c>
    </row>
    <row r="32" spans="1:6">
      <c r="A32" s="96">
        <f>Gen!B41</f>
        <v>43982</v>
      </c>
      <c r="B32" s="13">
        <f>SUM('[1]Summery Report'!F35)</f>
        <v>0</v>
      </c>
      <c r="C32" s="120">
        <f>SUM('[1]Summery Report'!C35)</f>
        <v>0</v>
      </c>
      <c r="D32" s="80" t="e">
        <f>SUM('[1]Summery Report'!#REF!)</f>
        <v>#REF!</v>
      </c>
      <c r="E32" s="80" t="e">
        <f>SUM('[1]Summery Report'!#REF!)</f>
        <v>#REF!</v>
      </c>
      <c r="F32" s="19">
        <v>0.17499999999999999</v>
      </c>
    </row>
    <row r="33" spans="1:2">
      <c r="A33" s="96">
        <f>Gen!B42</f>
        <v>43983</v>
      </c>
      <c r="B33" s="13">
        <f>[1]Gen!S41</f>
        <v>0</v>
      </c>
    </row>
    <row r="34" spans="1:2">
      <c r="A34" s="10"/>
      <c r="B34" s="13"/>
    </row>
    <row r="35" spans="1:2">
      <c r="A35" s="10"/>
    </row>
  </sheetData>
  <pageMargins left="0.7" right="0.7" top="0.75" bottom="0.75" header="0.3" footer="0.3"/>
  <pageSetup scale="49" orientation="landscape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>
  <sheetPr>
    <tabColor rgb="FFFFFF00"/>
    <pageSetUpPr fitToPage="1"/>
  </sheetPr>
  <dimension ref="A1:O45"/>
  <sheetViews>
    <sheetView zoomScale="70" zoomScaleNormal="70" workbookViewId="0">
      <selection activeCell="C30" sqref="C30"/>
    </sheetView>
  </sheetViews>
  <sheetFormatPr defaultRowHeight="12.75"/>
  <cols>
    <col min="1" max="1" width="14" customWidth="1"/>
    <col min="2" max="2" width="19" customWidth="1"/>
    <col min="3" max="4" width="16.42578125" customWidth="1"/>
    <col min="5" max="5" width="9.140625" hidden="1" customWidth="1"/>
    <col min="6" max="6" width="17" customWidth="1"/>
    <col min="7" max="7" width="21.140625" style="15" customWidth="1"/>
    <col min="8" max="8" width="23.5703125" customWidth="1"/>
    <col min="9" max="9" width="17.5703125" customWidth="1"/>
    <col min="10" max="10" width="18.5703125" style="93" customWidth="1"/>
  </cols>
  <sheetData>
    <row r="1" spans="1:15" ht="15">
      <c r="A1" s="32"/>
      <c r="B1" s="35"/>
      <c r="C1" s="36"/>
      <c r="D1" s="35"/>
      <c r="E1" s="35"/>
      <c r="F1" s="37"/>
      <c r="G1" s="99"/>
      <c r="H1" s="35"/>
      <c r="I1" s="35"/>
      <c r="J1" s="115"/>
    </row>
    <row r="2" spans="1:15" ht="15">
      <c r="A2" s="33"/>
      <c r="B2" s="38"/>
      <c r="C2" s="39"/>
      <c r="D2" s="40"/>
      <c r="E2" s="40"/>
      <c r="F2" s="41"/>
      <c r="G2" s="103"/>
      <c r="H2" s="38"/>
      <c r="I2" s="38"/>
      <c r="J2" s="116"/>
    </row>
    <row r="3" spans="1:15" ht="22.5">
      <c r="A3" s="33"/>
      <c r="B3" s="38"/>
      <c r="C3" s="638" t="s">
        <v>70</v>
      </c>
      <c r="D3" s="639"/>
      <c r="E3" s="639"/>
      <c r="F3" s="640"/>
      <c r="G3" s="641"/>
      <c r="H3" s="42"/>
      <c r="I3" s="42"/>
      <c r="J3" s="117"/>
    </row>
    <row r="4" spans="1:15" ht="15">
      <c r="A4" s="33"/>
      <c r="B4" s="38"/>
      <c r="C4" s="39"/>
      <c r="D4" s="40"/>
      <c r="E4" s="40"/>
      <c r="F4" s="50"/>
      <c r="G4" s="103"/>
      <c r="H4" s="38"/>
      <c r="I4" s="38"/>
      <c r="J4" s="116"/>
    </row>
    <row r="5" spans="1:15" ht="15">
      <c r="A5" s="31"/>
      <c r="B5" s="43"/>
      <c r="C5" s="44"/>
      <c r="D5" s="43"/>
      <c r="E5" s="43"/>
      <c r="F5" s="45"/>
      <c r="G5" s="103"/>
      <c r="H5" s="38"/>
      <c r="I5" s="38"/>
      <c r="J5" s="118"/>
    </row>
    <row r="6" spans="1:15" ht="13.5" customHeight="1">
      <c r="A6" s="5"/>
      <c r="B6" s="46"/>
      <c r="C6" s="852"/>
      <c r="D6" s="853"/>
      <c r="E6" s="854"/>
      <c r="F6" s="854"/>
      <c r="G6" s="49" t="s">
        <v>4</v>
      </c>
      <c r="H6" s="47" t="s">
        <v>14</v>
      </c>
      <c r="I6" s="42"/>
      <c r="J6" s="116"/>
    </row>
    <row r="7" spans="1:15" ht="18" customHeight="1">
      <c r="A7" s="855" t="s">
        <v>7</v>
      </c>
      <c r="B7" s="101" t="s">
        <v>72</v>
      </c>
      <c r="C7" s="100" t="s">
        <v>73</v>
      </c>
      <c r="D7" s="101" t="s">
        <v>74</v>
      </c>
      <c r="E7" s="105"/>
      <c r="F7" s="106" t="s">
        <v>37</v>
      </c>
      <c r="G7" s="107" t="s">
        <v>13</v>
      </c>
      <c r="H7" s="187" t="s">
        <v>12</v>
      </c>
      <c r="I7" s="108" t="s">
        <v>11</v>
      </c>
      <c r="J7" s="48" t="s">
        <v>10</v>
      </c>
    </row>
    <row r="8" spans="1:15" ht="18" customHeight="1">
      <c r="A8" s="856"/>
      <c r="B8" s="350" t="s">
        <v>59</v>
      </c>
      <c r="C8" s="101" t="s">
        <v>36</v>
      </c>
      <c r="D8" s="102" t="s">
        <v>58</v>
      </c>
      <c r="E8" s="110"/>
      <c r="F8" s="113" t="s">
        <v>16</v>
      </c>
      <c r="G8" s="111" t="s">
        <v>71</v>
      </c>
      <c r="H8" s="109" t="s">
        <v>1</v>
      </c>
      <c r="I8" s="112" t="s">
        <v>9</v>
      </c>
      <c r="J8" s="48" t="s">
        <v>8</v>
      </c>
    </row>
    <row r="9" spans="1:15" ht="18.75">
      <c r="A9" s="292"/>
      <c r="B9" s="321">
        <v>85</v>
      </c>
      <c r="C9" s="321">
        <v>83</v>
      </c>
      <c r="D9" s="321">
        <v>43</v>
      </c>
      <c r="E9" s="321"/>
      <c r="F9" s="321">
        <v>71166.03</v>
      </c>
      <c r="G9" s="321"/>
      <c r="H9" s="34"/>
      <c r="I9" s="21"/>
      <c r="J9" s="119"/>
      <c r="N9" s="188"/>
      <c r="O9" s="188"/>
    </row>
    <row r="10" spans="1:15" ht="18.75">
      <c r="A10" s="97">
        <f>Gen!B11</f>
        <v>43952</v>
      </c>
      <c r="B10" s="321">
        <v>85</v>
      </c>
      <c r="C10" s="321">
        <v>83</v>
      </c>
      <c r="D10" s="321">
        <v>41</v>
      </c>
      <c r="E10" s="321"/>
      <c r="F10" s="321">
        <v>71173.98</v>
      </c>
      <c r="G10" s="321">
        <f t="shared" ref="G10:G40" si="0">(F10-F9)*4.4</f>
        <v>34.9799999999872</v>
      </c>
      <c r="H10" s="114">
        <f>Gen!C11</f>
        <v>0</v>
      </c>
      <c r="I10" s="6" t="e">
        <f>SUM(F10/H10)</f>
        <v>#DIV/0!</v>
      </c>
      <c r="J10" s="119" t="e">
        <f t="shared" ref="J10:J40" si="1">SUM(G10/I10)</f>
        <v>#DIV/0!</v>
      </c>
      <c r="N10" s="188"/>
      <c r="O10" s="188"/>
    </row>
    <row r="11" spans="1:15" ht="18.75">
      <c r="A11" s="97">
        <f>Gen!B12</f>
        <v>43953</v>
      </c>
      <c r="B11" s="321">
        <v>85</v>
      </c>
      <c r="C11" s="321">
        <v>83</v>
      </c>
      <c r="D11" s="321">
        <v>39</v>
      </c>
      <c r="E11" s="321"/>
      <c r="F11" s="321">
        <v>71178.47</v>
      </c>
      <c r="G11" s="321">
        <f t="shared" si="0"/>
        <v>19.75600000002305</v>
      </c>
      <c r="H11" s="114">
        <f>Gen!C12</f>
        <v>0</v>
      </c>
      <c r="I11" s="6" t="e">
        <f t="shared" ref="I11:I28" si="2">SUM(F11/H11)</f>
        <v>#DIV/0!</v>
      </c>
      <c r="J11" s="119" t="e">
        <f t="shared" si="1"/>
        <v>#DIV/0!</v>
      </c>
      <c r="M11" s="188"/>
      <c r="N11" s="188"/>
    </row>
    <row r="12" spans="1:15" ht="18.75">
      <c r="A12" s="97">
        <f>Gen!B13</f>
        <v>43954</v>
      </c>
      <c r="B12" s="321">
        <v>85</v>
      </c>
      <c r="C12" s="321">
        <v>83</v>
      </c>
      <c r="D12" s="321">
        <v>37</v>
      </c>
      <c r="E12" s="321"/>
      <c r="F12" s="321">
        <v>71184.600000000006</v>
      </c>
      <c r="G12" s="321">
        <f t="shared" si="0"/>
        <v>26.97200000002049</v>
      </c>
      <c r="H12" s="114">
        <f>Gen!C13</f>
        <v>0</v>
      </c>
      <c r="I12" s="6" t="e">
        <f t="shared" si="2"/>
        <v>#DIV/0!</v>
      </c>
      <c r="J12" s="119" t="e">
        <f t="shared" si="1"/>
        <v>#DIV/0!</v>
      </c>
      <c r="M12" s="188"/>
      <c r="N12" s="188"/>
    </row>
    <row r="13" spans="1:15" ht="18.75">
      <c r="A13" s="97">
        <f>Gen!B14</f>
        <v>43955</v>
      </c>
      <c r="B13" s="321">
        <v>85</v>
      </c>
      <c r="C13" s="321">
        <v>83</v>
      </c>
      <c r="D13" s="321">
        <v>36</v>
      </c>
      <c r="E13" s="321"/>
      <c r="F13" s="321">
        <v>71190.600000000006</v>
      </c>
      <c r="G13" s="321">
        <f t="shared" si="0"/>
        <v>26.400000000000002</v>
      </c>
      <c r="H13" s="114">
        <f>Gen!C14</f>
        <v>0</v>
      </c>
      <c r="I13" s="6" t="e">
        <f t="shared" si="2"/>
        <v>#DIV/0!</v>
      </c>
      <c r="J13" s="119" t="e">
        <f t="shared" si="1"/>
        <v>#DIV/0!</v>
      </c>
      <c r="M13" s="188"/>
      <c r="N13" s="188"/>
    </row>
    <row r="14" spans="1:15" ht="18.75">
      <c r="A14" s="97">
        <f>Gen!B15</f>
        <v>43956</v>
      </c>
      <c r="B14" s="321">
        <v>85</v>
      </c>
      <c r="C14" s="321">
        <v>83</v>
      </c>
      <c r="D14" s="321">
        <v>35</v>
      </c>
      <c r="E14" s="321"/>
      <c r="F14" s="321">
        <v>71195.7</v>
      </c>
      <c r="G14" s="321">
        <f t="shared" si="0"/>
        <v>22.439999999961586</v>
      </c>
      <c r="H14" s="114">
        <f>Gen!C15</f>
        <v>0</v>
      </c>
      <c r="I14" s="6" t="e">
        <f t="shared" si="2"/>
        <v>#DIV/0!</v>
      </c>
      <c r="J14" s="119" t="e">
        <f t="shared" si="1"/>
        <v>#DIV/0!</v>
      </c>
      <c r="M14" s="188"/>
      <c r="N14" s="188"/>
    </row>
    <row r="15" spans="1:15" ht="18.75">
      <c r="A15" s="97">
        <f>Gen!B16</f>
        <v>43957</v>
      </c>
      <c r="B15" s="321">
        <v>85</v>
      </c>
      <c r="C15" s="321">
        <v>83</v>
      </c>
      <c r="D15" s="321">
        <v>34</v>
      </c>
      <c r="E15" s="321"/>
      <c r="F15" s="321">
        <v>71199.02</v>
      </c>
      <c r="G15" s="321">
        <f t="shared" si="0"/>
        <v>14.608000000030735</v>
      </c>
      <c r="H15" s="114">
        <f>Gen!C16</f>
        <v>0</v>
      </c>
      <c r="I15" s="6" t="e">
        <f t="shared" si="2"/>
        <v>#DIV/0!</v>
      </c>
      <c r="J15" s="119" t="e">
        <f t="shared" si="1"/>
        <v>#DIV/0!</v>
      </c>
      <c r="M15" s="188"/>
      <c r="N15" s="188"/>
    </row>
    <row r="16" spans="1:15" ht="18.75">
      <c r="A16" s="97">
        <f>Gen!B17</f>
        <v>43958</v>
      </c>
      <c r="B16" s="321">
        <v>85</v>
      </c>
      <c r="C16" s="321">
        <v>83</v>
      </c>
      <c r="D16" s="321">
        <v>32</v>
      </c>
      <c r="E16" s="321"/>
      <c r="F16" s="321">
        <v>71206.350000000006</v>
      </c>
      <c r="G16" s="321">
        <f t="shared" si="0"/>
        <v>32.252000000007683</v>
      </c>
      <c r="H16" s="114">
        <f>Gen!C17</f>
        <v>0</v>
      </c>
      <c r="I16" s="6" t="e">
        <f t="shared" si="2"/>
        <v>#DIV/0!</v>
      </c>
      <c r="J16" s="119" t="e">
        <f t="shared" si="1"/>
        <v>#DIV/0!</v>
      </c>
      <c r="M16" s="188"/>
      <c r="N16" s="188"/>
    </row>
    <row r="17" spans="1:14" ht="18.75">
      <c r="A17" s="97">
        <f>Gen!B18</f>
        <v>43959</v>
      </c>
      <c r="B17" s="321">
        <v>85</v>
      </c>
      <c r="C17" s="321">
        <v>83</v>
      </c>
      <c r="D17" s="321">
        <v>30</v>
      </c>
      <c r="E17" s="321"/>
      <c r="F17" s="321">
        <v>71214.429999999993</v>
      </c>
      <c r="G17" s="321">
        <f t="shared" si="0"/>
        <v>35.551999999943661</v>
      </c>
      <c r="H17" s="114">
        <f>Gen!C18</f>
        <v>0</v>
      </c>
      <c r="I17" s="6" t="e">
        <f t="shared" si="2"/>
        <v>#DIV/0!</v>
      </c>
      <c r="J17" s="119" t="e">
        <f t="shared" si="1"/>
        <v>#DIV/0!</v>
      </c>
      <c r="M17" s="188"/>
      <c r="N17" s="188"/>
    </row>
    <row r="18" spans="1:14" ht="18.75">
      <c r="A18" s="97">
        <f>Gen!B19</f>
        <v>43960</v>
      </c>
      <c r="B18" s="321">
        <v>85</v>
      </c>
      <c r="C18" s="321">
        <v>83</v>
      </c>
      <c r="D18" s="321">
        <v>28</v>
      </c>
      <c r="E18" s="321"/>
      <c r="F18" s="321">
        <v>71221</v>
      </c>
      <c r="G18" s="321">
        <f t="shared" si="0"/>
        <v>28.908000000030736</v>
      </c>
      <c r="H18" s="114">
        <f>Gen!C19</f>
        <v>0</v>
      </c>
      <c r="I18" s="6" t="e">
        <f t="shared" si="2"/>
        <v>#DIV/0!</v>
      </c>
      <c r="J18" s="119" t="e">
        <f t="shared" si="1"/>
        <v>#DIV/0!</v>
      </c>
      <c r="M18" s="188"/>
      <c r="N18" s="188"/>
    </row>
    <row r="19" spans="1:14" ht="18.75">
      <c r="A19" s="97">
        <f>Gen!B20</f>
        <v>43961</v>
      </c>
      <c r="B19" s="321">
        <v>85</v>
      </c>
      <c r="C19" s="321">
        <v>83</v>
      </c>
      <c r="D19" s="321">
        <v>25</v>
      </c>
      <c r="E19" s="321"/>
      <c r="F19" s="321">
        <v>71231.259999999995</v>
      </c>
      <c r="G19" s="321">
        <f t="shared" si="0"/>
        <v>45.143999999976955</v>
      </c>
      <c r="H19" s="114">
        <f>Gen!C20</f>
        <v>0</v>
      </c>
      <c r="I19" s="6" t="e">
        <f t="shared" si="2"/>
        <v>#DIV/0!</v>
      </c>
      <c r="J19" s="119" t="e">
        <f t="shared" si="1"/>
        <v>#DIV/0!</v>
      </c>
      <c r="M19" s="188"/>
      <c r="N19" s="188"/>
    </row>
    <row r="20" spans="1:14" ht="18.75">
      <c r="A20" s="97">
        <f>Gen!B21</f>
        <v>43962</v>
      </c>
      <c r="B20" s="321">
        <v>85</v>
      </c>
      <c r="C20" s="321">
        <v>83</v>
      </c>
      <c r="D20" s="321">
        <v>21</v>
      </c>
      <c r="E20" s="321"/>
      <c r="F20" s="321">
        <v>71240.100000000006</v>
      </c>
      <c r="G20" s="321">
        <f t="shared" si="0"/>
        <v>38.896000000048666</v>
      </c>
      <c r="H20" s="114">
        <f>Gen!C21</f>
        <v>0</v>
      </c>
      <c r="I20" s="6" t="e">
        <f t="shared" si="2"/>
        <v>#DIV/0!</v>
      </c>
      <c r="J20" s="119" t="e">
        <f t="shared" si="1"/>
        <v>#DIV/0!</v>
      </c>
    </row>
    <row r="21" spans="1:14" ht="18.75">
      <c r="A21" s="97">
        <f>Gen!B22</f>
        <v>43963</v>
      </c>
      <c r="B21" s="321">
        <v>85</v>
      </c>
      <c r="C21" s="321">
        <v>83</v>
      </c>
      <c r="D21" s="321">
        <v>20</v>
      </c>
      <c r="E21" s="321"/>
      <c r="F21" s="321">
        <v>71246.240000000005</v>
      </c>
      <c r="G21" s="321">
        <f t="shared" si="0"/>
        <v>27.01599999999744</v>
      </c>
      <c r="H21" s="114">
        <f>Gen!C22</f>
        <v>0</v>
      </c>
      <c r="I21" s="6" t="e">
        <f t="shared" si="2"/>
        <v>#DIV/0!</v>
      </c>
      <c r="J21" s="119" t="e">
        <f t="shared" si="1"/>
        <v>#DIV/0!</v>
      </c>
    </row>
    <row r="22" spans="1:14" ht="18.75">
      <c r="A22" s="97">
        <f>Gen!B23</f>
        <v>43964</v>
      </c>
      <c r="B22" s="321">
        <v>85</v>
      </c>
      <c r="C22" s="321">
        <v>83</v>
      </c>
      <c r="D22" s="321">
        <v>18</v>
      </c>
      <c r="E22" s="321"/>
      <c r="F22" s="321">
        <v>71252.88</v>
      </c>
      <c r="G22" s="321">
        <f t="shared" si="0"/>
        <v>29.21599999999744</v>
      </c>
      <c r="H22" s="114">
        <f>Gen!C23</f>
        <v>0</v>
      </c>
      <c r="I22" s="6" t="e">
        <f t="shared" si="2"/>
        <v>#DIV/0!</v>
      </c>
      <c r="J22" s="119" t="e">
        <f t="shared" si="1"/>
        <v>#DIV/0!</v>
      </c>
    </row>
    <row r="23" spans="1:14" ht="18.75">
      <c r="A23" s="97">
        <f>Gen!B24</f>
        <v>43965</v>
      </c>
      <c r="B23" s="321">
        <v>85</v>
      </c>
      <c r="C23" s="321">
        <v>83</v>
      </c>
      <c r="D23" s="321">
        <v>16</v>
      </c>
      <c r="E23" s="321"/>
      <c r="F23" s="321">
        <v>71261.33</v>
      </c>
      <c r="G23" s="321">
        <f t="shared" si="0"/>
        <v>37.179999999987196</v>
      </c>
      <c r="H23" s="114">
        <f>Gen!C24</f>
        <v>0</v>
      </c>
      <c r="I23" s="6" t="e">
        <f t="shared" si="2"/>
        <v>#DIV/0!</v>
      </c>
      <c r="J23" s="119" t="e">
        <f t="shared" si="1"/>
        <v>#DIV/0!</v>
      </c>
    </row>
    <row r="24" spans="1:14" ht="18.75">
      <c r="A24" s="97">
        <f>Gen!B25</f>
        <v>43966</v>
      </c>
      <c r="B24" s="321"/>
      <c r="C24" s="321"/>
      <c r="D24" s="321"/>
      <c r="E24" s="321"/>
      <c r="F24" s="321"/>
      <c r="G24" s="321">
        <f t="shared" si="0"/>
        <v>-313549.85200000001</v>
      </c>
      <c r="H24" s="114">
        <f>Gen!C25</f>
        <v>0</v>
      </c>
      <c r="I24" s="6" t="e">
        <f t="shared" si="2"/>
        <v>#DIV/0!</v>
      </c>
      <c r="J24" s="119" t="e">
        <f t="shared" si="1"/>
        <v>#DIV/0!</v>
      </c>
    </row>
    <row r="25" spans="1:14" ht="18.75">
      <c r="A25" s="97">
        <f>Gen!B26</f>
        <v>43967</v>
      </c>
      <c r="B25" s="321"/>
      <c r="C25" s="321"/>
      <c r="D25" s="321"/>
      <c r="E25" s="321"/>
      <c r="F25" s="321"/>
      <c r="G25" s="321">
        <f t="shared" si="0"/>
        <v>0</v>
      </c>
      <c r="H25" s="114">
        <f>Gen!C26</f>
        <v>0</v>
      </c>
      <c r="I25" s="6" t="e">
        <f t="shared" si="2"/>
        <v>#DIV/0!</v>
      </c>
      <c r="J25" s="119" t="e">
        <f t="shared" si="1"/>
        <v>#DIV/0!</v>
      </c>
    </row>
    <row r="26" spans="1:14" ht="18.75">
      <c r="A26" s="97">
        <f>Gen!B27</f>
        <v>43968</v>
      </c>
      <c r="B26" s="321"/>
      <c r="C26" s="321"/>
      <c r="D26" s="321"/>
      <c r="E26" s="321"/>
      <c r="F26" s="321"/>
      <c r="G26" s="321">
        <f t="shared" si="0"/>
        <v>0</v>
      </c>
      <c r="H26" s="114">
        <f>Gen!C27</f>
        <v>0</v>
      </c>
      <c r="I26" s="6" t="e">
        <f t="shared" si="2"/>
        <v>#DIV/0!</v>
      </c>
      <c r="J26" s="119" t="e">
        <f t="shared" si="1"/>
        <v>#DIV/0!</v>
      </c>
    </row>
    <row r="27" spans="1:14" ht="18.75">
      <c r="A27" s="97">
        <f>Gen!B28</f>
        <v>43969</v>
      </c>
      <c r="B27" s="321"/>
      <c r="C27" s="321"/>
      <c r="D27" s="321"/>
      <c r="E27" s="321"/>
      <c r="F27" s="321"/>
      <c r="G27" s="321">
        <f t="shared" si="0"/>
        <v>0</v>
      </c>
      <c r="H27" s="114">
        <f>Gen!C28</f>
        <v>0</v>
      </c>
      <c r="I27" s="6" t="e">
        <f t="shared" si="2"/>
        <v>#DIV/0!</v>
      </c>
      <c r="J27" s="119" t="e">
        <f t="shared" si="1"/>
        <v>#DIV/0!</v>
      </c>
    </row>
    <row r="28" spans="1:14" ht="18.75">
      <c r="A28" s="97">
        <f>Gen!B29</f>
        <v>43970</v>
      </c>
      <c r="B28" s="321"/>
      <c r="C28" s="321"/>
      <c r="D28" s="321"/>
      <c r="E28" s="321"/>
      <c r="F28" s="321"/>
      <c r="G28" s="321">
        <f t="shared" si="0"/>
        <v>0</v>
      </c>
      <c r="H28" s="114">
        <f>Gen!C29</f>
        <v>0</v>
      </c>
      <c r="I28" s="6" t="e">
        <f t="shared" si="2"/>
        <v>#DIV/0!</v>
      </c>
      <c r="J28" s="119" t="e">
        <f t="shared" si="1"/>
        <v>#DIV/0!</v>
      </c>
    </row>
    <row r="29" spans="1:14" ht="18.75">
      <c r="A29" s="97">
        <f>Gen!B30</f>
        <v>43971</v>
      </c>
      <c r="B29" s="321"/>
      <c r="C29" s="321"/>
      <c r="D29" s="321"/>
      <c r="E29" s="321"/>
      <c r="F29" s="321"/>
      <c r="G29" s="321">
        <f t="shared" si="0"/>
        <v>0</v>
      </c>
      <c r="H29" s="114">
        <f>Gen!C30</f>
        <v>0</v>
      </c>
      <c r="I29" s="6" t="e">
        <f t="shared" ref="I29:I41" si="3">SUM(F29/H29)</f>
        <v>#DIV/0!</v>
      </c>
      <c r="J29" s="119" t="e">
        <f t="shared" si="1"/>
        <v>#DIV/0!</v>
      </c>
    </row>
    <row r="30" spans="1:14" ht="18.75">
      <c r="A30" s="97">
        <f>Gen!B31</f>
        <v>43972</v>
      </c>
      <c r="B30" s="321"/>
      <c r="C30" s="321"/>
      <c r="D30" s="321"/>
      <c r="E30" s="321"/>
      <c r="F30" s="321"/>
      <c r="G30" s="321">
        <f t="shared" si="0"/>
        <v>0</v>
      </c>
      <c r="H30" s="114">
        <f>Gen!C31</f>
        <v>0</v>
      </c>
      <c r="I30" s="6" t="e">
        <f t="shared" si="3"/>
        <v>#DIV/0!</v>
      </c>
      <c r="J30" s="119" t="e">
        <f t="shared" si="1"/>
        <v>#DIV/0!</v>
      </c>
    </row>
    <row r="31" spans="1:14" ht="18.75">
      <c r="A31" s="97">
        <f>Gen!B32</f>
        <v>43973</v>
      </c>
      <c r="B31" s="321"/>
      <c r="C31" s="321"/>
      <c r="D31" s="321"/>
      <c r="E31" s="321"/>
      <c r="F31" s="321"/>
      <c r="G31" s="321">
        <f t="shared" si="0"/>
        <v>0</v>
      </c>
      <c r="H31" s="114">
        <f>Gen!C32</f>
        <v>0</v>
      </c>
      <c r="I31" s="6" t="e">
        <f t="shared" si="3"/>
        <v>#DIV/0!</v>
      </c>
      <c r="J31" s="119" t="e">
        <f t="shared" si="1"/>
        <v>#DIV/0!</v>
      </c>
    </row>
    <row r="32" spans="1:14" ht="18.75">
      <c r="A32" s="97">
        <f>Gen!B33</f>
        <v>43974</v>
      </c>
      <c r="B32" s="321"/>
      <c r="C32" s="321"/>
      <c r="D32" s="321"/>
      <c r="E32" s="321"/>
      <c r="F32" s="321"/>
      <c r="G32" s="321">
        <f t="shared" si="0"/>
        <v>0</v>
      </c>
      <c r="H32" s="114">
        <f>Gen!C33</f>
        <v>0</v>
      </c>
      <c r="I32" s="6" t="e">
        <f t="shared" si="3"/>
        <v>#DIV/0!</v>
      </c>
      <c r="J32" s="119" t="e">
        <f t="shared" si="1"/>
        <v>#DIV/0!</v>
      </c>
    </row>
    <row r="33" spans="1:10" ht="18.75">
      <c r="A33" s="97">
        <f>Gen!B34</f>
        <v>43975</v>
      </c>
      <c r="B33" s="321"/>
      <c r="C33" s="321"/>
      <c r="D33" s="321"/>
      <c r="E33" s="321"/>
      <c r="F33" s="321"/>
      <c r="G33" s="321">
        <f t="shared" si="0"/>
        <v>0</v>
      </c>
      <c r="H33" s="114">
        <f>Gen!C34</f>
        <v>0</v>
      </c>
      <c r="I33" s="6" t="e">
        <f t="shared" si="3"/>
        <v>#DIV/0!</v>
      </c>
      <c r="J33" s="119" t="e">
        <f t="shared" si="1"/>
        <v>#DIV/0!</v>
      </c>
    </row>
    <row r="34" spans="1:10" ht="18.75">
      <c r="A34" s="97">
        <f>Gen!B35</f>
        <v>43976</v>
      </c>
      <c r="B34" s="321"/>
      <c r="C34" s="321"/>
      <c r="D34" s="321"/>
      <c r="E34" s="321"/>
      <c r="F34" s="321"/>
      <c r="G34" s="321">
        <f t="shared" si="0"/>
        <v>0</v>
      </c>
      <c r="H34" s="114">
        <f>Gen!C35</f>
        <v>0</v>
      </c>
      <c r="I34" s="6" t="e">
        <f t="shared" si="3"/>
        <v>#DIV/0!</v>
      </c>
      <c r="J34" s="119" t="e">
        <f t="shared" si="1"/>
        <v>#DIV/0!</v>
      </c>
    </row>
    <row r="35" spans="1:10" ht="18.75">
      <c r="A35" s="97">
        <f>Gen!B36</f>
        <v>43977</v>
      </c>
      <c r="B35" s="321"/>
      <c r="C35" s="321"/>
      <c r="D35" s="321"/>
      <c r="E35" s="321"/>
      <c r="F35" s="321"/>
      <c r="G35" s="321">
        <f t="shared" si="0"/>
        <v>0</v>
      </c>
      <c r="H35" s="114">
        <f>Gen!C36</f>
        <v>0</v>
      </c>
      <c r="I35" s="6" t="e">
        <f t="shared" si="3"/>
        <v>#DIV/0!</v>
      </c>
      <c r="J35" s="119" t="e">
        <f t="shared" si="1"/>
        <v>#DIV/0!</v>
      </c>
    </row>
    <row r="36" spans="1:10" ht="18.75">
      <c r="A36" s="97">
        <f>Gen!B37</f>
        <v>43978</v>
      </c>
      <c r="B36" s="321"/>
      <c r="C36" s="321"/>
      <c r="D36" s="321"/>
      <c r="E36" s="321"/>
      <c r="F36" s="321"/>
      <c r="G36" s="321">
        <f t="shared" si="0"/>
        <v>0</v>
      </c>
      <c r="H36" s="114">
        <f>Gen!C37</f>
        <v>0</v>
      </c>
      <c r="I36" s="6" t="e">
        <f t="shared" si="3"/>
        <v>#DIV/0!</v>
      </c>
      <c r="J36" s="119" t="e">
        <f t="shared" si="1"/>
        <v>#DIV/0!</v>
      </c>
    </row>
    <row r="37" spans="1:10" ht="18.75">
      <c r="A37" s="97">
        <f>Gen!B38</f>
        <v>43979</v>
      </c>
      <c r="B37" s="321"/>
      <c r="C37" s="321"/>
      <c r="D37" s="321"/>
      <c r="E37" s="321"/>
      <c r="F37" s="321"/>
      <c r="G37" s="321">
        <f t="shared" si="0"/>
        <v>0</v>
      </c>
      <c r="H37" s="114">
        <f>Gen!C38</f>
        <v>0</v>
      </c>
      <c r="I37" s="6" t="e">
        <f t="shared" si="3"/>
        <v>#DIV/0!</v>
      </c>
      <c r="J37" s="119" t="e">
        <f t="shared" si="1"/>
        <v>#DIV/0!</v>
      </c>
    </row>
    <row r="38" spans="1:10" ht="18.75">
      <c r="A38" s="97">
        <f>Gen!B39</f>
        <v>43980</v>
      </c>
      <c r="B38" s="321"/>
      <c r="C38" s="321"/>
      <c r="D38" s="321"/>
      <c r="E38" s="321"/>
      <c r="F38" s="321"/>
      <c r="G38" s="321">
        <f t="shared" si="0"/>
        <v>0</v>
      </c>
      <c r="H38" s="114">
        <f>Gen!C39</f>
        <v>0</v>
      </c>
      <c r="I38" s="6" t="e">
        <f t="shared" si="3"/>
        <v>#DIV/0!</v>
      </c>
      <c r="J38" s="119" t="e">
        <f t="shared" si="1"/>
        <v>#DIV/0!</v>
      </c>
    </row>
    <row r="39" spans="1:10" ht="18.75">
      <c r="A39" s="97">
        <f>Gen!B40</f>
        <v>43981</v>
      </c>
      <c r="B39" s="321"/>
      <c r="C39" s="321"/>
      <c r="D39" s="321"/>
      <c r="E39" s="321"/>
      <c r="F39" s="321"/>
      <c r="G39" s="321">
        <f t="shared" si="0"/>
        <v>0</v>
      </c>
      <c r="H39" s="114">
        <f>Gen!C40</f>
        <v>0</v>
      </c>
      <c r="I39" s="6" t="e">
        <f t="shared" si="3"/>
        <v>#DIV/0!</v>
      </c>
      <c r="J39" s="119" t="e">
        <f t="shared" si="1"/>
        <v>#DIV/0!</v>
      </c>
    </row>
    <row r="40" spans="1:10" ht="18.75">
      <c r="A40" s="97">
        <f>Gen!B41</f>
        <v>43982</v>
      </c>
      <c r="B40" s="321"/>
      <c r="C40" s="321"/>
      <c r="D40" s="321"/>
      <c r="E40" s="321"/>
      <c r="F40" s="321"/>
      <c r="G40" s="321">
        <f t="shared" si="0"/>
        <v>0</v>
      </c>
      <c r="H40" s="114">
        <f>Gen!C41</f>
        <v>0</v>
      </c>
      <c r="I40" s="6" t="e">
        <f t="shared" si="3"/>
        <v>#DIV/0!</v>
      </c>
      <c r="J40" s="119" t="e">
        <f t="shared" si="1"/>
        <v>#DIV/0!</v>
      </c>
    </row>
    <row r="41" spans="1:10" ht="18.75">
      <c r="A41" s="97">
        <f>Gen!B42</f>
        <v>43983</v>
      </c>
      <c r="B41" s="321"/>
      <c r="C41" s="321"/>
      <c r="D41" s="321"/>
      <c r="E41" s="321"/>
      <c r="F41" s="321"/>
      <c r="G41" s="321"/>
      <c r="H41" s="114">
        <f>Gen!C42</f>
        <v>0</v>
      </c>
      <c r="I41" s="6" t="e">
        <f t="shared" si="3"/>
        <v>#DIV/0!</v>
      </c>
      <c r="J41" s="6"/>
    </row>
    <row r="42" spans="1:10" ht="17.25">
      <c r="A42" s="97"/>
      <c r="B42" s="5"/>
      <c r="C42" s="851" t="s">
        <v>6</v>
      </c>
      <c r="D42" s="851"/>
      <c r="E42" s="2">
        <f t="shared" ref="E42:F42" si="4">SUM(E10:E40)</f>
        <v>0</v>
      </c>
      <c r="F42" s="2">
        <f t="shared" si="4"/>
        <v>996995.96000000008</v>
      </c>
      <c r="G42" s="104">
        <f>SUM(G10:G40)</f>
        <v>-313130.53200000001</v>
      </c>
      <c r="H42" s="7"/>
      <c r="I42" s="6"/>
      <c r="J42" s="119"/>
    </row>
    <row r="45" spans="1:10">
      <c r="F45">
        <f>E12-E11</f>
        <v>0</v>
      </c>
      <c r="G45" s="15">
        <f>F45*4.4</f>
        <v>0</v>
      </c>
    </row>
  </sheetData>
  <mergeCells count="4">
    <mergeCell ref="C42:D42"/>
    <mergeCell ref="C6:D6"/>
    <mergeCell ref="E6:F6"/>
    <mergeCell ref="A7:A8"/>
  </mergeCells>
  <pageMargins left="0.75" right="0.75" top="1" bottom="1" header="0.5" footer="0.5"/>
  <pageSetup scale="60" orientation="landscape" r:id="rId1"/>
  <headerFooter alignWithMargins="0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>
  <dimension ref="A1:C35"/>
  <sheetViews>
    <sheetView workbookViewId="0">
      <selection sqref="A1:XFD1048576"/>
    </sheetView>
  </sheetViews>
  <sheetFormatPr defaultRowHeight="12.75"/>
  <cols>
    <col min="1" max="1" width="9.7109375" bestFit="1" customWidth="1"/>
    <col min="2" max="2" width="10.28515625" style="12" bestFit="1" customWidth="1"/>
  </cols>
  <sheetData>
    <row r="1" spans="1:3" s="16" customFormat="1">
      <c r="A1" s="14" t="s">
        <v>0</v>
      </c>
      <c r="B1" s="14" t="s">
        <v>75</v>
      </c>
      <c r="C1" s="14" t="s">
        <v>24</v>
      </c>
    </row>
    <row r="2" spans="1:3">
      <c r="A2" s="96">
        <f>SUM([1]Gen!A11)</f>
        <v>43739</v>
      </c>
      <c r="B2" s="13">
        <f>'[1]Lpg (2)'!G10</f>
        <v>197.55999999997439</v>
      </c>
      <c r="C2" s="94">
        <f>SUM([1]Gen!B11)</f>
        <v>0.623</v>
      </c>
    </row>
    <row r="3" spans="1:3">
      <c r="A3" s="96">
        <f>SUM([1]Gen!A12)</f>
        <v>43740</v>
      </c>
      <c r="B3" s="13">
        <f>'[1]Lpg (2)'!G11</f>
        <v>131.95600000002307</v>
      </c>
      <c r="C3" s="94">
        <f>SUM([1]Gen!B12)</f>
        <v>0.77900000000000003</v>
      </c>
    </row>
    <row r="4" spans="1:3">
      <c r="A4" s="96">
        <f>SUM([1]Gen!A13)</f>
        <v>43741</v>
      </c>
      <c r="B4" s="13">
        <f>'[1]Lpg (2)'!G12</f>
        <v>117.4799999999872</v>
      </c>
      <c r="C4" s="94">
        <f>SUM([1]Gen!B13)</f>
        <v>0.53200000000000003</v>
      </c>
    </row>
    <row r="5" spans="1:3">
      <c r="A5" s="96">
        <f>SUM([1]Gen!A14)</f>
        <v>43742</v>
      </c>
      <c r="B5" s="13">
        <f>'[1]Lpg (2)'!G13</f>
        <v>102.9599999999744</v>
      </c>
      <c r="C5" s="94">
        <f>SUM([1]Gen!B14)</f>
        <v>0.61</v>
      </c>
    </row>
    <row r="6" spans="1:3">
      <c r="A6" s="96">
        <f>SUM([1]Gen!A15)</f>
        <v>43743</v>
      </c>
      <c r="B6" s="13">
        <f>'[1]Lpg (2)'!G14</f>
        <v>101.81599999999744</v>
      </c>
      <c r="C6" s="94">
        <f>SUM([1]Gen!B15)</f>
        <v>0.68799999999999994</v>
      </c>
    </row>
    <row r="7" spans="1:3">
      <c r="A7" s="96">
        <f>SUM([1]Gen!A16)</f>
        <v>43744</v>
      </c>
      <c r="B7" s="13">
        <f>'[1]Lpg (2)'!G15</f>
        <v>106.92000000001282</v>
      </c>
      <c r="C7" s="94">
        <f>SUM([1]Gen!B16)</f>
        <v>0.53200000000000003</v>
      </c>
    </row>
    <row r="8" spans="1:3">
      <c r="A8" s="96">
        <f>SUM([1]Gen!A17)</f>
        <v>43745</v>
      </c>
      <c r="B8" s="13">
        <f>'[1]Lpg (2)'!G16</f>
        <v>116.73199999999488</v>
      </c>
      <c r="C8" s="94">
        <f>SUM([1]Gen!B17)</f>
        <v>0.753</v>
      </c>
    </row>
    <row r="9" spans="1:3">
      <c r="A9" s="96">
        <f>SUM([1]Gen!A18)</f>
        <v>43746</v>
      </c>
      <c r="B9" s="13">
        <f>'[1]Lpg (2)'!G17</f>
        <v>105.73199999999488</v>
      </c>
      <c r="C9" s="94">
        <f>SUM([1]Gen!B18)</f>
        <v>0.156</v>
      </c>
    </row>
    <row r="10" spans="1:3">
      <c r="A10" s="96">
        <f>SUM([1]Gen!A19)</f>
        <v>43747</v>
      </c>
      <c r="B10" s="13">
        <f>'[1]Lpg (2)'!G18</f>
        <v>114.4</v>
      </c>
      <c r="C10" s="94">
        <f>SUM([1]Gen!B19)</f>
        <v>0.442</v>
      </c>
    </row>
    <row r="11" spans="1:3">
      <c r="A11" s="96">
        <f>SUM([1]Gen!A20)</f>
        <v>43748</v>
      </c>
      <c r="B11" s="13">
        <f>'[1]Lpg (2)'!G19</f>
        <v>102.08000000005123</v>
      </c>
      <c r="C11" s="94">
        <f>SUM([1]Gen!B20)</f>
        <v>0.32500000000000001</v>
      </c>
    </row>
    <row r="12" spans="1:3">
      <c r="A12" s="96">
        <f>SUM([1]Gen!A21)</f>
        <v>43749</v>
      </c>
      <c r="B12" s="13">
        <f>'[1]Lpg (2)'!G20</f>
        <v>105.29199999996928</v>
      </c>
      <c r="C12" s="94">
        <f>SUM([1]Gen!B21)</f>
        <v>0.45500000000000002</v>
      </c>
    </row>
    <row r="13" spans="1:3">
      <c r="A13" s="96">
        <f>SUM([1]Gen!A22)</f>
        <v>43750</v>
      </c>
      <c r="B13" s="13">
        <f>'[1]Lpg (2)'!G21</f>
        <v>114.66399999998977</v>
      </c>
      <c r="C13" s="94">
        <f>SUM([1]Gen!B22)</f>
        <v>0.41599999999999998</v>
      </c>
    </row>
    <row r="14" spans="1:3">
      <c r="A14" s="96">
        <f>SUM([1]Gen!A23)</f>
        <v>43751</v>
      </c>
      <c r="B14" s="13">
        <f>'[1]Lpg (2)'!G22</f>
        <v>113.78400000000256</v>
      </c>
      <c r="C14" s="94">
        <f>SUM([1]Gen!B23)</f>
        <v>0.39</v>
      </c>
    </row>
    <row r="15" spans="1:3">
      <c r="A15" s="96">
        <f>SUM([1]Gen!A24)</f>
        <v>43752</v>
      </c>
      <c r="B15" s="13">
        <f>'[1]Lpg (2)'!G23</f>
        <v>114.62000000001281</v>
      </c>
      <c r="C15" s="94">
        <f>SUM([1]Gen!B24)</f>
        <v>0.63600000000000001</v>
      </c>
    </row>
    <row r="16" spans="1:3">
      <c r="A16" s="96">
        <f>SUM([1]Gen!A25)</f>
        <v>43753</v>
      </c>
      <c r="B16" s="13">
        <f>'[1]Lpg (2)'!G24</f>
        <v>107.49199999996928</v>
      </c>
      <c r="C16" s="94">
        <f>SUM([1]Gen!B25)</f>
        <v>0.84399999999999997</v>
      </c>
    </row>
    <row r="17" spans="1:3">
      <c r="A17" s="96">
        <f>SUM([1]Gen!A26)</f>
        <v>43754</v>
      </c>
      <c r="B17" s="13">
        <f>'[1]Lpg (2)'!G25</f>
        <v>106.78800000001793</v>
      </c>
      <c r="C17" s="94">
        <f>SUM([1]Gen!B26)</f>
        <v>0.81799999999999995</v>
      </c>
    </row>
    <row r="18" spans="1:3">
      <c r="A18" s="96">
        <f>SUM([1]Gen!A27)</f>
        <v>43755</v>
      </c>
      <c r="B18" s="13">
        <f>'[1]Lpg (2)'!G26</f>
        <v>100.76000000003843</v>
      </c>
      <c r="C18" s="94">
        <f>SUM([1]Gen!B27)</f>
        <v>0.20799999999999999</v>
      </c>
    </row>
    <row r="19" spans="1:3">
      <c r="A19" s="96">
        <f>SUM([1]Gen!A28)</f>
        <v>43756</v>
      </c>
      <c r="B19" s="13">
        <f>'[1]Lpg (2)'!G27</f>
        <v>108.6799999999872</v>
      </c>
      <c r="C19" s="94">
        <f>SUM([1]Gen!B28)</f>
        <v>0.221</v>
      </c>
    </row>
    <row r="20" spans="1:3">
      <c r="A20" s="96">
        <f>SUM([1]Gen!A29)</f>
        <v>43757</v>
      </c>
      <c r="B20" s="13">
        <f>'[1]Lpg (2)'!G28</f>
        <v>92.795999999984645</v>
      </c>
      <c r="C20" s="94">
        <f>SUM([1]Gen!B29)</f>
        <v>0.11700000000000001</v>
      </c>
    </row>
    <row r="21" spans="1:3">
      <c r="A21" s="96">
        <f>SUM([1]Gen!A30)</f>
        <v>43758</v>
      </c>
      <c r="B21" s="13">
        <f>'[1]Lpg (2)'!G29</f>
        <v>137.80800000003075</v>
      </c>
      <c r="C21" s="94">
        <f>SUM([1]Gen!B30)</f>
        <v>0.57099999999999995</v>
      </c>
    </row>
    <row r="22" spans="1:3">
      <c r="A22" s="96">
        <f>SUM([1]Gen!A31)</f>
        <v>43759</v>
      </c>
      <c r="B22" s="13">
        <f>'[1]Lpg (2)'!G30</f>
        <v>103.79599999998464</v>
      </c>
      <c r="C22" s="94">
        <f>SUM([1]Gen!B31)</f>
        <v>0.55800000000000005</v>
      </c>
    </row>
    <row r="23" spans="1:3">
      <c r="A23" s="96">
        <f>SUM([1]Gen!A32)</f>
        <v>43760</v>
      </c>
      <c r="B23" s="13">
        <f>'[1]Lpg (2)'!G31</f>
        <v>20.415999999997439</v>
      </c>
      <c r="C23" s="94">
        <f>SUM([1]Gen!B32)</f>
        <v>0.40300000000000002</v>
      </c>
    </row>
    <row r="24" spans="1:3">
      <c r="A24" s="96">
        <f>SUM([1]Gen!A33)</f>
        <v>43761</v>
      </c>
      <c r="B24" s="13">
        <f>'[1]Lpg (2)'!G32</f>
        <v>197.69199999996928</v>
      </c>
      <c r="C24" s="94">
        <f>SUM([1]Gen!B33)</f>
        <v>0.24</v>
      </c>
    </row>
    <row r="25" spans="1:3">
      <c r="A25" s="96">
        <f>SUM([1]Gen!A34)</f>
        <v>43762</v>
      </c>
      <c r="B25" s="13">
        <f>'[1]Lpg (2)'!G33</f>
        <v>101.11200000004611</v>
      </c>
      <c r="C25" s="94">
        <f>SUM([1]Gen!B34)</f>
        <v>0.09</v>
      </c>
    </row>
    <row r="26" spans="1:3">
      <c r="A26" s="96">
        <f>SUM([1]Gen!A35)</f>
        <v>43763</v>
      </c>
      <c r="B26" s="13">
        <f>'[1]Lpg (2)'!G34</f>
        <v>95.303999999951344</v>
      </c>
      <c r="C26" s="94">
        <f>SUM([1]Gen!B35)</f>
        <v>0.28599999999999998</v>
      </c>
    </row>
    <row r="27" spans="1:3">
      <c r="A27" s="96">
        <f>SUM([1]Gen!A36)</f>
        <v>43764</v>
      </c>
      <c r="B27" s="13">
        <f>'[1]Lpg (2)'!G35</f>
        <v>104.80800000003075</v>
      </c>
      <c r="C27" s="94">
        <f>SUM([1]Gen!B36)</f>
        <v>0.54500000000000004</v>
      </c>
    </row>
    <row r="28" spans="1:3">
      <c r="A28" s="96">
        <f>SUM([1]Gen!A37)</f>
        <v>43765</v>
      </c>
      <c r="B28" s="13">
        <f>'[1]Lpg (2)'!G36</f>
        <v>102.43199999999489</v>
      </c>
      <c r="C28" s="94">
        <f>SUM([1]Gen!B37)</f>
        <v>0.67500000000000004</v>
      </c>
    </row>
    <row r="29" spans="1:3">
      <c r="A29" s="96">
        <f>SUM([1]Gen!A38)</f>
        <v>43766</v>
      </c>
      <c r="B29" s="13">
        <f>'[1]Lpg (2)'!G37</f>
        <v>-295728.88400000002</v>
      </c>
      <c r="C29" s="94">
        <f>SUM([1]Gen!B38)</f>
        <v>0.27300000000000002</v>
      </c>
    </row>
    <row r="30" spans="1:3">
      <c r="A30" s="96">
        <f>SUM([1]Gen!A39)</f>
        <v>43767</v>
      </c>
      <c r="B30" s="13">
        <f>'[1]Lpg (2)'!G38</f>
        <v>0</v>
      </c>
      <c r="C30" s="94" t="e">
        <f>SUM([1]Gen!B39)</f>
        <v>#REF!</v>
      </c>
    </row>
    <row r="31" spans="1:3">
      <c r="A31" s="96">
        <f>SUM([1]Gen!A40)</f>
        <v>43768</v>
      </c>
      <c r="B31" s="13">
        <f>'[1]Lpg (2)'!G39</f>
        <v>0</v>
      </c>
      <c r="C31" s="94" t="e">
        <f>SUM([1]Gen!B40)</f>
        <v>#REF!</v>
      </c>
    </row>
    <row r="32" spans="1:3">
      <c r="A32" s="96">
        <f>SUM([1]Gen!A41)</f>
        <v>43769</v>
      </c>
      <c r="B32" s="13">
        <f>'[1]Lpg (2)'!G40</f>
        <v>0</v>
      </c>
      <c r="C32" s="94" t="e">
        <f>SUM([1]Gen!B41)</f>
        <v>#REF!</v>
      </c>
    </row>
    <row r="33" spans="1:2">
      <c r="A33" s="10"/>
      <c r="B33" s="13"/>
    </row>
    <row r="34" spans="1:2">
      <c r="A34" s="10"/>
      <c r="B34" s="13"/>
    </row>
    <row r="35" spans="1:2">
      <c r="A35" s="10"/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sheetPr>
    <tabColor rgb="FF0070C0"/>
    <pageSetUpPr fitToPage="1"/>
  </sheetPr>
  <dimension ref="A1:AO78"/>
  <sheetViews>
    <sheetView zoomScale="94" zoomScaleNormal="94" workbookViewId="0">
      <pane xSplit="1" topLeftCell="S1" activePane="topRight" state="frozen"/>
      <selection pane="topRight" activeCell="AC19" sqref="AC19"/>
    </sheetView>
  </sheetViews>
  <sheetFormatPr defaultRowHeight="12.75"/>
  <cols>
    <col min="1" max="1" width="10.7109375" bestFit="1" customWidth="1"/>
    <col min="2" max="2" width="0.140625" customWidth="1"/>
    <col min="3" max="3" width="10.140625" customWidth="1"/>
    <col min="4" max="4" width="12.7109375" customWidth="1"/>
    <col min="5" max="5" width="14.140625" customWidth="1"/>
    <col min="6" max="6" width="8" customWidth="1"/>
    <col min="7" max="7" width="11.85546875" customWidth="1"/>
    <col min="8" max="8" width="14.140625" customWidth="1"/>
    <col min="9" max="9" width="10.28515625" customWidth="1"/>
    <col min="10" max="10" width="9.42578125" customWidth="1"/>
    <col min="11" max="11" width="14" customWidth="1"/>
    <col min="12" max="13" width="10.28515625" customWidth="1"/>
    <col min="14" max="14" width="14.28515625" customWidth="1"/>
    <col min="15" max="15" width="9.28515625" customWidth="1"/>
    <col min="16" max="16" width="10.140625" bestFit="1" customWidth="1"/>
    <col min="17" max="17" width="15.140625" customWidth="1"/>
    <col min="18" max="18" width="14.140625" customWidth="1"/>
    <col min="19" max="19" width="11.7109375" customWidth="1"/>
    <col min="20" max="20" width="12.28515625" customWidth="1"/>
    <col min="21" max="21" width="11.28515625" customWidth="1"/>
    <col min="22" max="22" width="9.28515625" bestFit="1" customWidth="1"/>
    <col min="23" max="23" width="13.28515625" bestFit="1" customWidth="1"/>
    <col min="24" max="24" width="11.7109375" bestFit="1" customWidth="1"/>
    <col min="25" max="25" width="9.28515625" bestFit="1" customWidth="1"/>
    <col min="26" max="26" width="13.28515625" bestFit="1" customWidth="1"/>
    <col min="27" max="27" width="11.7109375" bestFit="1" customWidth="1"/>
    <col min="28" max="28" width="9.28515625" bestFit="1" customWidth="1"/>
    <col min="29" max="29" width="13.140625" bestFit="1" customWidth="1"/>
    <col min="30" max="30" width="11" bestFit="1" customWidth="1"/>
    <col min="31" max="37" width="10.85546875" customWidth="1"/>
    <col min="38" max="38" width="11.42578125" customWidth="1"/>
    <col min="39" max="39" width="11.7109375" bestFit="1" customWidth="1"/>
    <col min="40" max="40" width="12.28515625" customWidth="1"/>
  </cols>
  <sheetData>
    <row r="1" spans="1:40" ht="23.25" thickBot="1">
      <c r="A1" s="876" t="s">
        <v>315</v>
      </c>
      <c r="B1" s="877"/>
      <c r="C1" s="877"/>
      <c r="D1" s="877"/>
      <c r="E1" s="877"/>
      <c r="F1" s="877"/>
      <c r="G1" s="877"/>
      <c r="H1" s="877"/>
      <c r="I1" s="877"/>
      <c r="J1" s="877"/>
      <c r="K1" s="877"/>
      <c r="L1" s="877"/>
      <c r="M1" s="877"/>
      <c r="N1" s="877"/>
      <c r="O1" s="877"/>
      <c r="P1" s="877"/>
      <c r="Q1" s="877"/>
      <c r="R1" s="877"/>
      <c r="S1" s="877"/>
      <c r="T1" s="877"/>
      <c r="U1" s="877"/>
      <c r="V1" s="877"/>
      <c r="W1" s="877"/>
      <c r="X1" s="877"/>
      <c r="Y1" s="877"/>
      <c r="Z1" s="877"/>
      <c r="AA1" s="877"/>
      <c r="AB1" s="877"/>
      <c r="AC1" s="877"/>
      <c r="AD1" s="877"/>
      <c r="AE1" s="877"/>
      <c r="AF1" s="877"/>
      <c r="AG1" s="877"/>
      <c r="AH1" s="877"/>
      <c r="AI1" s="877"/>
      <c r="AJ1" s="877"/>
      <c r="AK1" s="877"/>
      <c r="AL1" s="877"/>
      <c r="AM1" s="877"/>
      <c r="AN1" s="877"/>
    </row>
    <row r="2" spans="1:40" ht="13.5" customHeight="1" thickTop="1">
      <c r="A2" s="30"/>
      <c r="B2" s="30"/>
      <c r="C2" s="875" t="s">
        <v>52</v>
      </c>
      <c r="D2" s="875"/>
      <c r="E2" s="875"/>
      <c r="F2" s="875" t="s">
        <v>17</v>
      </c>
      <c r="G2" s="875"/>
      <c r="H2" s="875"/>
      <c r="I2" s="875" t="s">
        <v>131</v>
      </c>
      <c r="J2" s="875"/>
      <c r="K2" s="875"/>
      <c r="L2" s="875" t="s">
        <v>134</v>
      </c>
      <c r="M2" s="875"/>
      <c r="N2" s="875"/>
      <c r="O2" s="875" t="s">
        <v>132</v>
      </c>
      <c r="P2" s="875"/>
      <c r="Q2" s="875"/>
      <c r="R2" s="301"/>
      <c r="S2" s="884" t="s">
        <v>181</v>
      </c>
      <c r="T2" s="885"/>
      <c r="U2" s="886"/>
      <c r="V2" s="884" t="s">
        <v>182</v>
      </c>
      <c r="W2" s="885"/>
      <c r="X2" s="886"/>
      <c r="Y2" s="884" t="s">
        <v>183</v>
      </c>
      <c r="Z2" s="885"/>
      <c r="AA2" s="886"/>
      <c r="AB2" s="884" t="s">
        <v>184</v>
      </c>
      <c r="AC2" s="885"/>
      <c r="AD2" s="886"/>
      <c r="AE2" s="878" t="s">
        <v>239</v>
      </c>
      <c r="AF2" s="879"/>
      <c r="AG2" s="890"/>
      <c r="AH2" s="878" t="s">
        <v>243</v>
      </c>
      <c r="AI2" s="879"/>
      <c r="AJ2" s="890"/>
      <c r="AK2" s="878" t="s">
        <v>240</v>
      </c>
      <c r="AL2" s="879"/>
      <c r="AM2" s="879"/>
      <c r="AN2" s="882" t="s">
        <v>189</v>
      </c>
    </row>
    <row r="3" spans="1:40" ht="21.75" customHeight="1" thickBot="1">
      <c r="A3" s="873" t="s">
        <v>7</v>
      </c>
      <c r="B3" s="30"/>
      <c r="C3" s="875" t="s">
        <v>133</v>
      </c>
      <c r="D3" s="875" t="s">
        <v>15</v>
      </c>
      <c r="E3" s="875" t="s">
        <v>16</v>
      </c>
      <c r="F3" s="875" t="s">
        <v>133</v>
      </c>
      <c r="G3" s="875" t="s">
        <v>15</v>
      </c>
      <c r="H3" s="875" t="s">
        <v>16</v>
      </c>
      <c r="I3" s="875" t="s">
        <v>133</v>
      </c>
      <c r="J3" s="875" t="s">
        <v>15</v>
      </c>
      <c r="K3" s="875" t="s">
        <v>16</v>
      </c>
      <c r="L3" s="875" t="s">
        <v>133</v>
      </c>
      <c r="M3" s="875" t="s">
        <v>15</v>
      </c>
      <c r="N3" s="875" t="s">
        <v>16</v>
      </c>
      <c r="O3" s="875" t="s">
        <v>133</v>
      </c>
      <c r="P3" s="875" t="s">
        <v>15</v>
      </c>
      <c r="Q3" s="875" t="s">
        <v>16</v>
      </c>
      <c r="R3" s="892" t="s">
        <v>185</v>
      </c>
      <c r="S3" s="887"/>
      <c r="T3" s="888"/>
      <c r="U3" s="889"/>
      <c r="V3" s="887"/>
      <c r="W3" s="888"/>
      <c r="X3" s="889"/>
      <c r="Y3" s="887"/>
      <c r="Z3" s="888"/>
      <c r="AA3" s="889"/>
      <c r="AB3" s="887"/>
      <c r="AC3" s="888"/>
      <c r="AD3" s="889"/>
      <c r="AE3" s="880"/>
      <c r="AF3" s="881"/>
      <c r="AG3" s="891"/>
      <c r="AH3" s="880"/>
      <c r="AI3" s="881"/>
      <c r="AJ3" s="891"/>
      <c r="AK3" s="880"/>
      <c r="AL3" s="881"/>
      <c r="AM3" s="881"/>
      <c r="AN3" s="883"/>
    </row>
    <row r="4" spans="1:40" ht="15.75" thickTop="1">
      <c r="A4" s="874"/>
      <c r="B4" s="293"/>
      <c r="C4" s="875"/>
      <c r="D4" s="875"/>
      <c r="E4" s="875"/>
      <c r="F4" s="875"/>
      <c r="G4" s="875"/>
      <c r="H4" s="875"/>
      <c r="I4" s="875"/>
      <c r="J4" s="875"/>
      <c r="K4" s="875"/>
      <c r="L4" s="875"/>
      <c r="M4" s="875"/>
      <c r="N4" s="875"/>
      <c r="O4" s="875"/>
      <c r="P4" s="875"/>
      <c r="Q4" s="875"/>
      <c r="R4" s="892"/>
      <c r="S4" s="307" t="s">
        <v>186</v>
      </c>
      <c r="T4" s="308" t="s">
        <v>187</v>
      </c>
      <c r="U4" s="305" t="s">
        <v>188</v>
      </c>
      <c r="V4" s="303" t="s">
        <v>186</v>
      </c>
      <c r="W4" s="304" t="s">
        <v>187</v>
      </c>
      <c r="X4" s="305" t="s">
        <v>188</v>
      </c>
      <c r="Y4" s="303" t="s">
        <v>186</v>
      </c>
      <c r="Z4" s="304" t="s">
        <v>187</v>
      </c>
      <c r="AA4" s="305" t="s">
        <v>188</v>
      </c>
      <c r="AB4" s="303" t="s">
        <v>186</v>
      </c>
      <c r="AC4" s="304" t="s">
        <v>187</v>
      </c>
      <c r="AD4" s="346" t="s">
        <v>119</v>
      </c>
      <c r="AE4" s="303" t="s">
        <v>186</v>
      </c>
      <c r="AF4" s="304" t="s">
        <v>187</v>
      </c>
      <c r="AG4" s="347" t="s">
        <v>119</v>
      </c>
      <c r="AH4" s="303" t="s">
        <v>186</v>
      </c>
      <c r="AI4" s="304" t="s">
        <v>187</v>
      </c>
      <c r="AJ4" s="347" t="s">
        <v>119</v>
      </c>
      <c r="AK4" s="303" t="s">
        <v>186</v>
      </c>
      <c r="AL4" s="304" t="s">
        <v>187</v>
      </c>
      <c r="AM4" s="347" t="s">
        <v>119</v>
      </c>
      <c r="AN4" s="348"/>
    </row>
    <row r="5" spans="1:40" ht="20.25">
      <c r="A5" s="4"/>
      <c r="B5" s="4"/>
      <c r="C5" s="98">
        <f t="shared" ref="C5:C24" si="0">D4</f>
        <v>0</v>
      </c>
      <c r="D5" s="1">
        <v>233795</v>
      </c>
      <c r="E5" s="59">
        <f t="shared" ref="E5:E15" si="1">IF((D5-D4)&lt;0,"0",(D5-D4))</f>
        <v>233795</v>
      </c>
      <c r="F5" s="98">
        <f t="shared" ref="F5:F37" si="2">G4</f>
        <v>0</v>
      </c>
      <c r="G5" s="458">
        <v>38000</v>
      </c>
      <c r="H5" s="567">
        <f t="shared" ref="H5:H25" si="3">IF((G5-G4)&lt;0,"0",(G5-G4))</f>
        <v>38000</v>
      </c>
      <c r="I5" s="98">
        <f t="shared" ref="I5:I24" si="4">J4</f>
        <v>0</v>
      </c>
      <c r="J5" s="1">
        <v>7903</v>
      </c>
      <c r="K5" s="567">
        <f t="shared" ref="K5:K27" si="5">IF((J5-J4)&lt;0,"0",(J5-J4))</f>
        <v>7903</v>
      </c>
      <c r="L5" s="98">
        <f t="shared" ref="L5:L24" si="6">M4</f>
        <v>0</v>
      </c>
      <c r="M5" s="1">
        <v>11978</v>
      </c>
      <c r="N5" s="567">
        <f t="shared" ref="N5:N24" si="7">IF((M5-M4)&lt;0,"0",(M5-M4))</f>
        <v>11978</v>
      </c>
      <c r="O5" s="98">
        <f t="shared" ref="O5:O24" si="8">P4</f>
        <v>0</v>
      </c>
      <c r="P5" s="454">
        <v>20131</v>
      </c>
      <c r="Q5" s="567">
        <f t="shared" ref="Q5:Q24" si="9">IF((P5-P4)&lt;0,"0",(P5-P4))</f>
        <v>20131</v>
      </c>
      <c r="R5" s="295"/>
      <c r="S5" s="294"/>
      <c r="T5" s="455">
        <v>52462</v>
      </c>
      <c r="U5" s="294"/>
      <c r="V5" s="294" t="str">
        <f t="shared" ref="V5:V20" si="10">W4</f>
        <v>FINAL</v>
      </c>
      <c r="W5" s="455">
        <v>71260</v>
      </c>
      <c r="X5" s="295"/>
      <c r="Y5" s="294" t="str">
        <f t="shared" ref="Y5:Y37" si="11">Z4</f>
        <v>FINAL</v>
      </c>
      <c r="Z5" s="455">
        <v>80538</v>
      </c>
      <c r="AA5" s="295"/>
      <c r="AB5" s="294" t="str">
        <f t="shared" ref="AB5:AB37" si="12">AC4</f>
        <v>FINAL</v>
      </c>
      <c r="AC5" s="295">
        <v>13624</v>
      </c>
      <c r="AD5" s="309"/>
      <c r="AE5" s="294" t="str">
        <f t="shared" ref="AE5:AE37" si="13">AF4</f>
        <v>FINAL</v>
      </c>
      <c r="AF5" s="456">
        <v>17880</v>
      </c>
      <c r="AG5" s="309"/>
      <c r="AH5" s="294" t="str">
        <f t="shared" ref="AH5:AH37" si="14">AI4</f>
        <v>FINAL</v>
      </c>
      <c r="AI5" s="456">
        <v>24546</v>
      </c>
      <c r="AJ5" s="309"/>
      <c r="AK5" s="375" t="str">
        <f t="shared" ref="AK5:AK37" si="15">AL4</f>
        <v>FINAL</v>
      </c>
      <c r="AL5" s="455">
        <v>15154</v>
      </c>
      <c r="AM5" s="309"/>
      <c r="AN5" s="460"/>
    </row>
    <row r="6" spans="1:40" ht="23.1" customHeight="1">
      <c r="A6" s="58">
        <f>Gen!B11</f>
        <v>43952</v>
      </c>
      <c r="B6" s="4"/>
      <c r="C6" s="98">
        <f t="shared" si="0"/>
        <v>233795</v>
      </c>
      <c r="D6" s="1">
        <v>233826</v>
      </c>
      <c r="E6" s="59">
        <f t="shared" si="1"/>
        <v>31</v>
      </c>
      <c r="F6" s="98">
        <f t="shared" si="2"/>
        <v>38000</v>
      </c>
      <c r="G6" s="458">
        <v>38000</v>
      </c>
      <c r="H6" s="567">
        <f t="shared" si="3"/>
        <v>0</v>
      </c>
      <c r="I6" s="98">
        <f t="shared" si="4"/>
        <v>7903</v>
      </c>
      <c r="J6" s="1">
        <v>7904</v>
      </c>
      <c r="K6" s="567">
        <f t="shared" si="5"/>
        <v>1</v>
      </c>
      <c r="L6" s="98">
        <f t="shared" si="6"/>
        <v>11978</v>
      </c>
      <c r="M6" s="1">
        <v>11978</v>
      </c>
      <c r="N6" s="567">
        <f t="shared" si="7"/>
        <v>0</v>
      </c>
      <c r="O6" s="98">
        <f t="shared" si="8"/>
        <v>20131</v>
      </c>
      <c r="P6" s="454">
        <v>20132</v>
      </c>
      <c r="Q6" s="567">
        <f t="shared" si="9"/>
        <v>1</v>
      </c>
      <c r="R6" s="299"/>
      <c r="S6" s="294">
        <f t="shared" ref="S6:S24" si="16">T5</f>
        <v>52462</v>
      </c>
      <c r="T6" s="455">
        <v>52462</v>
      </c>
      <c r="U6" s="568">
        <f t="shared" ref="U6:U24" si="17">IF((T6-T5)&lt;0,"0",(T6-T5))</f>
        <v>0</v>
      </c>
      <c r="V6" s="294">
        <f t="shared" si="10"/>
        <v>71260</v>
      </c>
      <c r="W6" s="455">
        <v>71260</v>
      </c>
      <c r="X6" s="568">
        <f t="shared" ref="X6:X37" si="18">IF((W6-W5)&lt;0,"0",(W6-W5))</f>
        <v>0</v>
      </c>
      <c r="Y6" s="294">
        <f t="shared" si="11"/>
        <v>80538</v>
      </c>
      <c r="Z6" s="455">
        <v>80538</v>
      </c>
      <c r="AA6" s="568">
        <f t="shared" ref="AA6:AA37" si="19">IF((Z6-Z5)&lt;0,"0",(Z6-Z5))</f>
        <v>0</v>
      </c>
      <c r="AB6" s="294">
        <f t="shared" si="12"/>
        <v>13624</v>
      </c>
      <c r="AC6" s="571">
        <v>13645</v>
      </c>
      <c r="AD6" s="568">
        <f t="shared" ref="AD6:AD37" si="20">IF((AC6-AC5)&lt;0,"0",(AC6-AC5))</f>
        <v>21</v>
      </c>
      <c r="AE6" s="294">
        <f t="shared" si="13"/>
        <v>17880</v>
      </c>
      <c r="AF6" s="456">
        <v>17905</v>
      </c>
      <c r="AG6" s="568">
        <f t="shared" ref="AG6:AG37" si="21">IF((AF6-AF5)&lt;0,"0",(AF6-AF5))</f>
        <v>25</v>
      </c>
      <c r="AH6" s="294">
        <f t="shared" si="14"/>
        <v>24546</v>
      </c>
      <c r="AI6" s="636">
        <v>24546</v>
      </c>
      <c r="AJ6" s="568">
        <f>IF((AI7-AI5)&lt;0,"0",(AI7-AI5))</f>
        <v>0</v>
      </c>
      <c r="AK6" s="375">
        <f t="shared" si="15"/>
        <v>15154</v>
      </c>
      <c r="AL6" s="455">
        <v>15154</v>
      </c>
      <c r="AM6" s="568">
        <f t="shared" ref="AM6:AM37" si="22">IF((AL6-AL5)&lt;0,"0",(AL6-AL5))</f>
        <v>0</v>
      </c>
      <c r="AN6" s="460">
        <f>U6+X6+AA6+AD6+AG6+AJ6+AM6</f>
        <v>46</v>
      </c>
    </row>
    <row r="7" spans="1:40" ht="23.1" customHeight="1">
      <c r="A7" s="58">
        <f>Gen!B12</f>
        <v>43953</v>
      </c>
      <c r="B7" s="4"/>
      <c r="C7" s="98">
        <f t="shared" si="0"/>
        <v>233826</v>
      </c>
      <c r="D7" s="1">
        <v>233857</v>
      </c>
      <c r="E7" s="59">
        <f t="shared" si="1"/>
        <v>31</v>
      </c>
      <c r="F7" s="98">
        <f t="shared" si="2"/>
        <v>38000</v>
      </c>
      <c r="G7" s="458">
        <v>38000</v>
      </c>
      <c r="H7" s="567">
        <f t="shared" si="3"/>
        <v>0</v>
      </c>
      <c r="I7" s="98">
        <f t="shared" si="4"/>
        <v>7904</v>
      </c>
      <c r="J7" s="1">
        <v>7904</v>
      </c>
      <c r="K7" s="567">
        <f t="shared" si="5"/>
        <v>0</v>
      </c>
      <c r="L7" s="98">
        <f t="shared" si="6"/>
        <v>11978</v>
      </c>
      <c r="M7" s="1">
        <v>11978</v>
      </c>
      <c r="N7" s="567">
        <f t="shared" si="7"/>
        <v>0</v>
      </c>
      <c r="O7" s="98">
        <f t="shared" si="8"/>
        <v>20132</v>
      </c>
      <c r="P7" s="454">
        <v>20133</v>
      </c>
      <c r="Q7" s="567">
        <f t="shared" si="9"/>
        <v>1</v>
      </c>
      <c r="R7" s="299"/>
      <c r="S7" s="294">
        <f t="shared" si="16"/>
        <v>52462</v>
      </c>
      <c r="T7" s="455">
        <v>52462</v>
      </c>
      <c r="U7" s="568">
        <f t="shared" si="17"/>
        <v>0</v>
      </c>
      <c r="V7" s="294">
        <f t="shared" si="10"/>
        <v>71260</v>
      </c>
      <c r="W7" s="455">
        <v>71260</v>
      </c>
      <c r="X7" s="568">
        <f t="shared" si="18"/>
        <v>0</v>
      </c>
      <c r="Y7" s="294">
        <f t="shared" si="11"/>
        <v>80538</v>
      </c>
      <c r="Z7" s="455">
        <v>80538</v>
      </c>
      <c r="AA7" s="568">
        <f t="shared" si="19"/>
        <v>0</v>
      </c>
      <c r="AB7" s="294">
        <f t="shared" si="12"/>
        <v>13645</v>
      </c>
      <c r="AC7" s="571">
        <v>13665</v>
      </c>
      <c r="AD7" s="568">
        <f t="shared" si="20"/>
        <v>20</v>
      </c>
      <c r="AE7" s="294">
        <f t="shared" si="13"/>
        <v>17905</v>
      </c>
      <c r="AF7" s="456">
        <v>17931</v>
      </c>
      <c r="AG7" s="568">
        <f t="shared" si="21"/>
        <v>26</v>
      </c>
      <c r="AH7" s="294">
        <f t="shared" si="14"/>
        <v>24546</v>
      </c>
      <c r="AI7" s="636">
        <v>24546</v>
      </c>
      <c r="AJ7" s="568">
        <f t="shared" ref="AJ7:AJ37" si="23">IF((AI8-AI6)&lt;0,"0",(AI8-AI6))</f>
        <v>0</v>
      </c>
      <c r="AK7" s="375">
        <f t="shared" si="15"/>
        <v>15154</v>
      </c>
      <c r="AL7" s="455">
        <v>15154</v>
      </c>
      <c r="AM7" s="568">
        <f t="shared" si="22"/>
        <v>0</v>
      </c>
      <c r="AN7" s="460">
        <f t="shared" ref="AN7:AN36" si="24">U7+X7+AA7+AD7+AG7+AJ7+AM7</f>
        <v>46</v>
      </c>
    </row>
    <row r="8" spans="1:40" ht="23.1" customHeight="1">
      <c r="A8" s="58">
        <f>Gen!B13</f>
        <v>43954</v>
      </c>
      <c r="B8" s="4"/>
      <c r="C8" s="98">
        <f t="shared" si="0"/>
        <v>233857</v>
      </c>
      <c r="D8" s="1">
        <v>233904</v>
      </c>
      <c r="E8" s="59">
        <f t="shared" si="1"/>
        <v>47</v>
      </c>
      <c r="F8" s="98">
        <f t="shared" si="2"/>
        <v>38000</v>
      </c>
      <c r="G8" s="458">
        <v>38000</v>
      </c>
      <c r="H8" s="567">
        <f t="shared" si="3"/>
        <v>0</v>
      </c>
      <c r="I8" s="98">
        <f t="shared" si="4"/>
        <v>7904</v>
      </c>
      <c r="J8" s="1">
        <v>7905</v>
      </c>
      <c r="K8" s="567">
        <f t="shared" si="5"/>
        <v>1</v>
      </c>
      <c r="L8" s="98">
        <f t="shared" si="6"/>
        <v>11978</v>
      </c>
      <c r="M8" s="1">
        <v>11978</v>
      </c>
      <c r="N8" s="567">
        <f t="shared" si="7"/>
        <v>0</v>
      </c>
      <c r="O8" s="98">
        <f t="shared" si="8"/>
        <v>20133</v>
      </c>
      <c r="P8" s="454">
        <v>20133</v>
      </c>
      <c r="Q8" s="567">
        <f t="shared" si="9"/>
        <v>0</v>
      </c>
      <c r="R8" s="299"/>
      <c r="S8" s="294">
        <f t="shared" si="16"/>
        <v>52462</v>
      </c>
      <c r="T8" s="455">
        <v>52462</v>
      </c>
      <c r="U8" s="568">
        <f t="shared" si="17"/>
        <v>0</v>
      </c>
      <c r="V8" s="294">
        <f t="shared" si="10"/>
        <v>71260</v>
      </c>
      <c r="W8" s="455">
        <v>71260</v>
      </c>
      <c r="X8" s="568">
        <f t="shared" si="18"/>
        <v>0</v>
      </c>
      <c r="Y8" s="294">
        <f t="shared" si="11"/>
        <v>80538</v>
      </c>
      <c r="Z8" s="455">
        <v>80538</v>
      </c>
      <c r="AA8" s="568">
        <f t="shared" si="19"/>
        <v>0</v>
      </c>
      <c r="AB8" s="294">
        <f t="shared" si="12"/>
        <v>13665</v>
      </c>
      <c r="AC8" s="571">
        <v>13689</v>
      </c>
      <c r="AD8" s="568">
        <f t="shared" si="20"/>
        <v>24</v>
      </c>
      <c r="AE8" s="294">
        <f t="shared" si="13"/>
        <v>17931</v>
      </c>
      <c r="AF8" s="456">
        <v>17956</v>
      </c>
      <c r="AG8" s="568">
        <f t="shared" si="21"/>
        <v>25</v>
      </c>
      <c r="AH8" s="294">
        <f t="shared" si="14"/>
        <v>24546</v>
      </c>
      <c r="AI8" s="636">
        <v>24546</v>
      </c>
      <c r="AJ8" s="568">
        <f t="shared" si="23"/>
        <v>0</v>
      </c>
      <c r="AK8" s="375">
        <f t="shared" si="15"/>
        <v>15154</v>
      </c>
      <c r="AL8" s="455">
        <v>15154</v>
      </c>
      <c r="AM8" s="568">
        <f t="shared" si="22"/>
        <v>0</v>
      </c>
      <c r="AN8" s="460">
        <f t="shared" si="24"/>
        <v>49</v>
      </c>
    </row>
    <row r="9" spans="1:40" ht="23.1" customHeight="1">
      <c r="A9" s="58">
        <f>Gen!B14</f>
        <v>43955</v>
      </c>
      <c r="B9" s="4"/>
      <c r="C9" s="98">
        <f t="shared" si="0"/>
        <v>233904</v>
      </c>
      <c r="D9" s="1">
        <v>233935</v>
      </c>
      <c r="E9" s="59">
        <f t="shared" si="1"/>
        <v>31</v>
      </c>
      <c r="F9" s="98">
        <f t="shared" si="2"/>
        <v>38000</v>
      </c>
      <c r="G9" s="458">
        <v>38000</v>
      </c>
      <c r="H9" s="567">
        <f t="shared" si="3"/>
        <v>0</v>
      </c>
      <c r="I9" s="98">
        <f t="shared" si="4"/>
        <v>7905</v>
      </c>
      <c r="J9" s="1">
        <v>7905</v>
      </c>
      <c r="K9" s="567">
        <f t="shared" si="5"/>
        <v>0</v>
      </c>
      <c r="L9" s="98">
        <f t="shared" si="6"/>
        <v>11978</v>
      </c>
      <c r="M9" s="1">
        <v>11978</v>
      </c>
      <c r="N9" s="567">
        <f t="shared" si="7"/>
        <v>0</v>
      </c>
      <c r="O9" s="98">
        <f t="shared" si="8"/>
        <v>20133</v>
      </c>
      <c r="P9" s="454">
        <v>20134</v>
      </c>
      <c r="Q9" s="567">
        <f t="shared" si="9"/>
        <v>1</v>
      </c>
      <c r="R9" s="299"/>
      <c r="S9" s="294">
        <f t="shared" si="16"/>
        <v>52462</v>
      </c>
      <c r="T9" s="455">
        <v>52462</v>
      </c>
      <c r="U9" s="568">
        <f t="shared" si="17"/>
        <v>0</v>
      </c>
      <c r="V9" s="294">
        <f t="shared" si="10"/>
        <v>71260</v>
      </c>
      <c r="W9" s="455">
        <v>71260</v>
      </c>
      <c r="X9" s="568">
        <f t="shared" si="18"/>
        <v>0</v>
      </c>
      <c r="Y9" s="294">
        <f t="shared" si="11"/>
        <v>80538</v>
      </c>
      <c r="Z9" s="455">
        <v>80538</v>
      </c>
      <c r="AA9" s="568">
        <f t="shared" si="19"/>
        <v>0</v>
      </c>
      <c r="AB9" s="294">
        <f t="shared" si="12"/>
        <v>13689</v>
      </c>
      <c r="AC9" s="571">
        <v>13711</v>
      </c>
      <c r="AD9" s="568">
        <f t="shared" si="20"/>
        <v>22</v>
      </c>
      <c r="AE9" s="294">
        <f t="shared" si="13"/>
        <v>17956</v>
      </c>
      <c r="AF9" s="456">
        <v>17976</v>
      </c>
      <c r="AG9" s="568">
        <f t="shared" si="21"/>
        <v>20</v>
      </c>
      <c r="AH9" s="294">
        <f t="shared" ref="AH9" si="25">AI9</f>
        <v>24546</v>
      </c>
      <c r="AI9" s="636">
        <v>24546</v>
      </c>
      <c r="AJ9" s="568">
        <f t="shared" si="23"/>
        <v>0</v>
      </c>
      <c r="AK9" s="375">
        <f t="shared" si="15"/>
        <v>15154</v>
      </c>
      <c r="AL9" s="455">
        <v>15154</v>
      </c>
      <c r="AM9" s="568">
        <f t="shared" si="22"/>
        <v>0</v>
      </c>
      <c r="AN9" s="460">
        <f t="shared" si="24"/>
        <v>42</v>
      </c>
    </row>
    <row r="10" spans="1:40" ht="23.1" customHeight="1">
      <c r="A10" s="58">
        <f>Gen!B15</f>
        <v>43956</v>
      </c>
      <c r="B10" s="4"/>
      <c r="C10" s="98">
        <f t="shared" si="0"/>
        <v>233935</v>
      </c>
      <c r="D10" s="1">
        <v>233965</v>
      </c>
      <c r="E10" s="59">
        <f t="shared" si="1"/>
        <v>30</v>
      </c>
      <c r="F10" s="98">
        <f t="shared" si="2"/>
        <v>38000</v>
      </c>
      <c r="G10" s="458">
        <v>38000</v>
      </c>
      <c r="H10" s="567">
        <f t="shared" si="3"/>
        <v>0</v>
      </c>
      <c r="I10" s="98">
        <f t="shared" si="4"/>
        <v>7905</v>
      </c>
      <c r="J10" s="1">
        <v>7906</v>
      </c>
      <c r="K10" s="567">
        <f t="shared" si="5"/>
        <v>1</v>
      </c>
      <c r="L10" s="98">
        <f t="shared" si="6"/>
        <v>11978</v>
      </c>
      <c r="M10" s="1">
        <v>11978</v>
      </c>
      <c r="N10" s="567">
        <f t="shared" si="7"/>
        <v>0</v>
      </c>
      <c r="O10" s="98">
        <f t="shared" si="8"/>
        <v>20134</v>
      </c>
      <c r="P10" s="454">
        <v>20134</v>
      </c>
      <c r="Q10" s="567">
        <f t="shared" si="9"/>
        <v>0</v>
      </c>
      <c r="R10" s="299"/>
      <c r="S10" s="294">
        <f t="shared" si="16"/>
        <v>52462</v>
      </c>
      <c r="T10" s="455">
        <v>52532</v>
      </c>
      <c r="U10" s="568">
        <f t="shared" si="17"/>
        <v>70</v>
      </c>
      <c r="V10" s="294">
        <f t="shared" si="10"/>
        <v>71260</v>
      </c>
      <c r="W10" s="455">
        <v>71260</v>
      </c>
      <c r="X10" s="568">
        <f t="shared" si="18"/>
        <v>0</v>
      </c>
      <c r="Y10" s="294">
        <f t="shared" si="11"/>
        <v>80538</v>
      </c>
      <c r="Z10" s="455">
        <v>80538</v>
      </c>
      <c r="AA10" s="568">
        <f t="shared" si="19"/>
        <v>0</v>
      </c>
      <c r="AB10" s="294">
        <f t="shared" si="12"/>
        <v>13711</v>
      </c>
      <c r="AC10" s="571">
        <v>13732</v>
      </c>
      <c r="AD10" s="568">
        <f t="shared" si="20"/>
        <v>21</v>
      </c>
      <c r="AE10" s="294">
        <f t="shared" si="13"/>
        <v>17976</v>
      </c>
      <c r="AF10" s="456">
        <v>17976</v>
      </c>
      <c r="AG10" s="568">
        <f t="shared" si="21"/>
        <v>0</v>
      </c>
      <c r="AH10" s="294">
        <f t="shared" si="14"/>
        <v>24546</v>
      </c>
      <c r="AI10" s="636">
        <v>24546</v>
      </c>
      <c r="AJ10" s="568">
        <f t="shared" si="23"/>
        <v>0</v>
      </c>
      <c r="AK10" s="375">
        <f t="shared" si="15"/>
        <v>15154</v>
      </c>
      <c r="AL10" s="455">
        <v>15154</v>
      </c>
      <c r="AM10" s="568">
        <f t="shared" si="22"/>
        <v>0</v>
      </c>
      <c r="AN10" s="460">
        <f t="shared" si="24"/>
        <v>91</v>
      </c>
    </row>
    <row r="11" spans="1:40" ht="23.1" customHeight="1">
      <c r="A11" s="58">
        <f>Gen!B16</f>
        <v>43957</v>
      </c>
      <c r="B11" s="4"/>
      <c r="C11" s="98">
        <f t="shared" si="0"/>
        <v>233965</v>
      </c>
      <c r="D11" s="1">
        <v>233998</v>
      </c>
      <c r="E11" s="59">
        <f t="shared" si="1"/>
        <v>33</v>
      </c>
      <c r="F11" s="98">
        <f t="shared" si="2"/>
        <v>38000</v>
      </c>
      <c r="G11" s="458">
        <v>38000</v>
      </c>
      <c r="H11" s="567">
        <f t="shared" si="3"/>
        <v>0</v>
      </c>
      <c r="I11" s="98">
        <f t="shared" si="4"/>
        <v>7906</v>
      </c>
      <c r="J11" s="1">
        <v>7906</v>
      </c>
      <c r="K11" s="567">
        <f t="shared" si="5"/>
        <v>0</v>
      </c>
      <c r="L11" s="98">
        <f t="shared" si="6"/>
        <v>11978</v>
      </c>
      <c r="M11" s="1">
        <v>11978</v>
      </c>
      <c r="N11" s="567">
        <f t="shared" si="7"/>
        <v>0</v>
      </c>
      <c r="O11" s="98">
        <f t="shared" si="8"/>
        <v>20134</v>
      </c>
      <c r="P11" s="454">
        <v>20135</v>
      </c>
      <c r="Q11" s="567">
        <f t="shared" si="9"/>
        <v>1</v>
      </c>
      <c r="R11" s="299"/>
      <c r="S11" s="294">
        <f t="shared" si="16"/>
        <v>52532</v>
      </c>
      <c r="T11" s="455">
        <v>52569</v>
      </c>
      <c r="U11" s="568">
        <f t="shared" si="17"/>
        <v>37</v>
      </c>
      <c r="V11" s="294">
        <f t="shared" si="10"/>
        <v>71260</v>
      </c>
      <c r="W11" s="455">
        <v>71260</v>
      </c>
      <c r="X11" s="568">
        <f t="shared" si="18"/>
        <v>0</v>
      </c>
      <c r="Y11" s="294">
        <f t="shared" si="11"/>
        <v>80538</v>
      </c>
      <c r="Z11" s="455">
        <v>80538</v>
      </c>
      <c r="AA11" s="568">
        <f t="shared" si="19"/>
        <v>0</v>
      </c>
      <c r="AB11" s="294">
        <f t="shared" si="12"/>
        <v>13732</v>
      </c>
      <c r="AC11" s="571">
        <v>13754</v>
      </c>
      <c r="AD11" s="568">
        <f t="shared" si="20"/>
        <v>22</v>
      </c>
      <c r="AE11" s="294">
        <f t="shared" si="13"/>
        <v>17976</v>
      </c>
      <c r="AF11" s="456">
        <v>17976</v>
      </c>
      <c r="AG11" s="568">
        <f t="shared" si="21"/>
        <v>0</v>
      </c>
      <c r="AH11" s="294">
        <f t="shared" si="14"/>
        <v>24546</v>
      </c>
      <c r="AI11" s="636">
        <v>24546</v>
      </c>
      <c r="AJ11" s="568">
        <f t="shared" si="23"/>
        <v>0</v>
      </c>
      <c r="AK11" s="375">
        <f t="shared" si="15"/>
        <v>15154</v>
      </c>
      <c r="AL11" s="455">
        <v>15154</v>
      </c>
      <c r="AM11" s="568">
        <f t="shared" si="22"/>
        <v>0</v>
      </c>
      <c r="AN11" s="460">
        <f t="shared" si="24"/>
        <v>59</v>
      </c>
    </row>
    <row r="12" spans="1:40" ht="23.1" customHeight="1">
      <c r="A12" s="58">
        <f>Gen!B17</f>
        <v>43958</v>
      </c>
      <c r="B12" s="4"/>
      <c r="C12" s="98">
        <f t="shared" si="0"/>
        <v>233998</v>
      </c>
      <c r="D12" s="1">
        <v>234039</v>
      </c>
      <c r="E12" s="59">
        <f t="shared" si="1"/>
        <v>41</v>
      </c>
      <c r="F12" s="98">
        <f t="shared" si="2"/>
        <v>38000</v>
      </c>
      <c r="G12" s="458">
        <v>38000</v>
      </c>
      <c r="H12" s="567">
        <f t="shared" si="3"/>
        <v>0</v>
      </c>
      <c r="I12" s="98">
        <f t="shared" si="4"/>
        <v>7906</v>
      </c>
      <c r="J12" s="1">
        <v>7906</v>
      </c>
      <c r="K12" s="567">
        <f t="shared" si="5"/>
        <v>0</v>
      </c>
      <c r="L12" s="98">
        <f t="shared" si="6"/>
        <v>11978</v>
      </c>
      <c r="M12" s="1">
        <v>11978</v>
      </c>
      <c r="N12" s="567">
        <f t="shared" si="7"/>
        <v>0</v>
      </c>
      <c r="O12" s="98">
        <f t="shared" si="8"/>
        <v>20135</v>
      </c>
      <c r="P12" s="454">
        <v>20135</v>
      </c>
      <c r="Q12" s="567">
        <f t="shared" si="9"/>
        <v>0</v>
      </c>
      <c r="R12" s="299"/>
      <c r="S12" s="294">
        <f t="shared" si="16"/>
        <v>52569</v>
      </c>
      <c r="T12" s="455">
        <v>52586</v>
      </c>
      <c r="U12" s="568">
        <f t="shared" si="17"/>
        <v>17</v>
      </c>
      <c r="V12" s="294">
        <f t="shared" si="10"/>
        <v>71260</v>
      </c>
      <c r="W12" s="455">
        <v>71260</v>
      </c>
      <c r="X12" s="568">
        <f t="shared" si="18"/>
        <v>0</v>
      </c>
      <c r="Y12" s="294">
        <f t="shared" si="11"/>
        <v>80538</v>
      </c>
      <c r="Z12" s="455">
        <v>80538</v>
      </c>
      <c r="AA12" s="568">
        <f t="shared" si="19"/>
        <v>0</v>
      </c>
      <c r="AB12" s="294">
        <f t="shared" si="12"/>
        <v>13754</v>
      </c>
      <c r="AC12" s="571">
        <v>13775</v>
      </c>
      <c r="AD12" s="568">
        <f t="shared" si="20"/>
        <v>21</v>
      </c>
      <c r="AE12" s="294">
        <f t="shared" si="13"/>
        <v>17976</v>
      </c>
      <c r="AF12" s="456">
        <v>17976</v>
      </c>
      <c r="AG12" s="568">
        <f t="shared" si="21"/>
        <v>0</v>
      </c>
      <c r="AH12" s="294">
        <f t="shared" si="14"/>
        <v>24546</v>
      </c>
      <c r="AI12" s="636">
        <v>24546</v>
      </c>
      <c r="AJ12" s="568">
        <f t="shared" si="23"/>
        <v>0</v>
      </c>
      <c r="AK12" s="375">
        <f t="shared" si="15"/>
        <v>15154</v>
      </c>
      <c r="AL12" s="455">
        <v>15154</v>
      </c>
      <c r="AM12" s="568">
        <f t="shared" si="22"/>
        <v>0</v>
      </c>
      <c r="AN12" s="460">
        <f t="shared" si="24"/>
        <v>38</v>
      </c>
    </row>
    <row r="13" spans="1:40" ht="23.1" customHeight="1">
      <c r="A13" s="58">
        <f>Gen!B18</f>
        <v>43959</v>
      </c>
      <c r="B13" s="4"/>
      <c r="C13" s="98">
        <f t="shared" si="0"/>
        <v>234039</v>
      </c>
      <c r="D13" s="1">
        <v>234076</v>
      </c>
      <c r="E13" s="59">
        <f t="shared" si="1"/>
        <v>37</v>
      </c>
      <c r="F13" s="98">
        <f t="shared" si="2"/>
        <v>38000</v>
      </c>
      <c r="G13" s="458">
        <v>38000</v>
      </c>
      <c r="H13" s="567">
        <f t="shared" si="3"/>
        <v>0</v>
      </c>
      <c r="I13" s="98">
        <f t="shared" si="4"/>
        <v>7906</v>
      </c>
      <c r="J13" s="1">
        <v>7907</v>
      </c>
      <c r="K13" s="567">
        <f t="shared" si="5"/>
        <v>1</v>
      </c>
      <c r="L13" s="98">
        <f t="shared" si="6"/>
        <v>11978</v>
      </c>
      <c r="M13" s="1">
        <v>11978</v>
      </c>
      <c r="N13" s="567">
        <f t="shared" si="7"/>
        <v>0</v>
      </c>
      <c r="O13" s="98">
        <f t="shared" si="8"/>
        <v>20135</v>
      </c>
      <c r="P13" s="454">
        <v>20136</v>
      </c>
      <c r="Q13" s="567">
        <f t="shared" si="9"/>
        <v>1</v>
      </c>
      <c r="R13" s="299"/>
      <c r="S13" s="294">
        <f t="shared" si="16"/>
        <v>52586</v>
      </c>
      <c r="T13" s="455">
        <v>52586</v>
      </c>
      <c r="U13" s="568">
        <f t="shared" si="17"/>
        <v>0</v>
      </c>
      <c r="V13" s="294">
        <f t="shared" si="10"/>
        <v>71260</v>
      </c>
      <c r="W13" s="455">
        <v>71260</v>
      </c>
      <c r="X13" s="568">
        <f t="shared" si="18"/>
        <v>0</v>
      </c>
      <c r="Y13" s="294">
        <f t="shared" si="11"/>
        <v>80538</v>
      </c>
      <c r="Z13" s="455">
        <v>80538</v>
      </c>
      <c r="AA13" s="568">
        <f t="shared" si="19"/>
        <v>0</v>
      </c>
      <c r="AB13" s="294">
        <f t="shared" si="12"/>
        <v>13775</v>
      </c>
      <c r="AC13" s="572">
        <v>13797</v>
      </c>
      <c r="AD13" s="568">
        <f t="shared" si="20"/>
        <v>22</v>
      </c>
      <c r="AE13" s="294">
        <f>AF12</f>
        <v>17976</v>
      </c>
      <c r="AF13" s="456">
        <v>17976</v>
      </c>
      <c r="AG13" s="568">
        <f t="shared" si="21"/>
        <v>0</v>
      </c>
      <c r="AH13" s="294">
        <f t="shared" si="14"/>
        <v>24546</v>
      </c>
      <c r="AI13" s="636">
        <v>24546</v>
      </c>
      <c r="AJ13" s="568">
        <f t="shared" si="23"/>
        <v>0</v>
      </c>
      <c r="AK13" s="375">
        <f t="shared" si="15"/>
        <v>15154</v>
      </c>
      <c r="AL13" s="455">
        <v>15154</v>
      </c>
      <c r="AM13" s="568">
        <f t="shared" si="22"/>
        <v>0</v>
      </c>
      <c r="AN13" s="460">
        <f t="shared" si="24"/>
        <v>22</v>
      </c>
    </row>
    <row r="14" spans="1:40" ht="23.1" customHeight="1">
      <c r="A14" s="58">
        <f>Gen!B19</f>
        <v>43960</v>
      </c>
      <c r="B14" s="4"/>
      <c r="C14" s="98">
        <f t="shared" si="0"/>
        <v>234076</v>
      </c>
      <c r="D14" s="1">
        <v>234127</v>
      </c>
      <c r="E14" s="59">
        <f t="shared" si="1"/>
        <v>51</v>
      </c>
      <c r="F14" s="98">
        <f t="shared" si="2"/>
        <v>38000</v>
      </c>
      <c r="G14" s="458">
        <v>38000</v>
      </c>
      <c r="H14" s="567">
        <f t="shared" si="3"/>
        <v>0</v>
      </c>
      <c r="I14" s="98">
        <f t="shared" si="4"/>
        <v>7907</v>
      </c>
      <c r="J14" s="1">
        <v>7907</v>
      </c>
      <c r="K14" s="567">
        <f t="shared" si="5"/>
        <v>0</v>
      </c>
      <c r="L14" s="98">
        <f t="shared" si="6"/>
        <v>11978</v>
      </c>
      <c r="M14" s="1">
        <v>11978</v>
      </c>
      <c r="N14" s="567">
        <f t="shared" si="7"/>
        <v>0</v>
      </c>
      <c r="O14" s="98">
        <f t="shared" si="8"/>
        <v>20136</v>
      </c>
      <c r="P14" s="454">
        <v>20137</v>
      </c>
      <c r="Q14" s="567">
        <f t="shared" si="9"/>
        <v>1</v>
      </c>
      <c r="R14" s="299"/>
      <c r="S14" s="294">
        <f t="shared" si="16"/>
        <v>52586</v>
      </c>
      <c r="T14" s="455">
        <v>52586</v>
      </c>
      <c r="U14" s="568">
        <f t="shared" si="17"/>
        <v>0</v>
      </c>
      <c r="V14" s="294">
        <f t="shared" si="10"/>
        <v>71260</v>
      </c>
      <c r="W14" s="455">
        <v>71260</v>
      </c>
      <c r="X14" s="568">
        <f t="shared" si="18"/>
        <v>0</v>
      </c>
      <c r="Y14" s="294">
        <f t="shared" si="11"/>
        <v>80538</v>
      </c>
      <c r="Z14" s="455">
        <v>80538</v>
      </c>
      <c r="AA14" s="568">
        <f t="shared" si="19"/>
        <v>0</v>
      </c>
      <c r="AB14" s="294">
        <f t="shared" si="12"/>
        <v>13797</v>
      </c>
      <c r="AC14" s="572">
        <v>13819</v>
      </c>
      <c r="AD14" s="568">
        <f t="shared" si="20"/>
        <v>22</v>
      </c>
      <c r="AE14" s="294">
        <f t="shared" si="13"/>
        <v>17976</v>
      </c>
      <c r="AF14" s="456">
        <v>17976</v>
      </c>
      <c r="AG14" s="568">
        <f t="shared" si="21"/>
        <v>0</v>
      </c>
      <c r="AH14" s="294">
        <f t="shared" si="14"/>
        <v>24546</v>
      </c>
      <c r="AI14" s="636">
        <v>24546</v>
      </c>
      <c r="AJ14" s="568">
        <f t="shared" si="23"/>
        <v>0</v>
      </c>
      <c r="AK14" s="375">
        <f t="shared" si="15"/>
        <v>15154</v>
      </c>
      <c r="AL14" s="455">
        <v>15154</v>
      </c>
      <c r="AM14" s="568">
        <f t="shared" si="22"/>
        <v>0</v>
      </c>
      <c r="AN14" s="460">
        <f t="shared" si="24"/>
        <v>22</v>
      </c>
    </row>
    <row r="15" spans="1:40" ht="23.1" customHeight="1">
      <c r="A15" s="58">
        <f>Gen!B20</f>
        <v>43961</v>
      </c>
      <c r="B15" s="4"/>
      <c r="C15" s="98">
        <f t="shared" si="0"/>
        <v>234127</v>
      </c>
      <c r="D15" s="1">
        <v>234178</v>
      </c>
      <c r="E15" s="59">
        <f t="shared" si="1"/>
        <v>51</v>
      </c>
      <c r="F15" s="98">
        <f t="shared" si="2"/>
        <v>38000</v>
      </c>
      <c r="G15" s="458">
        <v>38000</v>
      </c>
      <c r="H15" s="567">
        <f t="shared" si="3"/>
        <v>0</v>
      </c>
      <c r="I15" s="98">
        <f t="shared" si="4"/>
        <v>7907</v>
      </c>
      <c r="J15" s="1">
        <v>7908</v>
      </c>
      <c r="K15" s="567">
        <f t="shared" si="5"/>
        <v>1</v>
      </c>
      <c r="L15" s="98">
        <f t="shared" si="6"/>
        <v>11978</v>
      </c>
      <c r="M15" s="1">
        <v>11978</v>
      </c>
      <c r="N15" s="567">
        <f t="shared" si="7"/>
        <v>0</v>
      </c>
      <c r="O15" s="98">
        <f t="shared" si="8"/>
        <v>20137</v>
      </c>
      <c r="P15" s="454">
        <v>20137</v>
      </c>
      <c r="Q15" s="567">
        <f t="shared" si="9"/>
        <v>0</v>
      </c>
      <c r="R15" s="299"/>
      <c r="S15" s="294">
        <f t="shared" si="16"/>
        <v>52586</v>
      </c>
      <c r="T15" s="455">
        <v>52610</v>
      </c>
      <c r="U15" s="568">
        <f t="shared" si="17"/>
        <v>24</v>
      </c>
      <c r="V15" s="294">
        <f t="shared" si="10"/>
        <v>71260</v>
      </c>
      <c r="W15" s="455">
        <v>71260</v>
      </c>
      <c r="X15" s="568">
        <f t="shared" si="18"/>
        <v>0</v>
      </c>
      <c r="Y15" s="294">
        <f t="shared" si="11"/>
        <v>80538</v>
      </c>
      <c r="Z15" s="455">
        <v>80538</v>
      </c>
      <c r="AA15" s="568">
        <f t="shared" si="19"/>
        <v>0</v>
      </c>
      <c r="AB15" s="294">
        <f t="shared" si="12"/>
        <v>13819</v>
      </c>
      <c r="AC15" s="572">
        <v>13841</v>
      </c>
      <c r="AD15" s="568">
        <f t="shared" si="20"/>
        <v>22</v>
      </c>
      <c r="AE15" s="294">
        <f t="shared" si="13"/>
        <v>17976</v>
      </c>
      <c r="AF15" s="456">
        <v>17976</v>
      </c>
      <c r="AG15" s="568">
        <f t="shared" si="21"/>
        <v>0</v>
      </c>
      <c r="AH15" s="294">
        <f t="shared" si="14"/>
        <v>24546</v>
      </c>
      <c r="AI15" s="636">
        <v>24546</v>
      </c>
      <c r="AJ15" s="568">
        <f t="shared" si="23"/>
        <v>0</v>
      </c>
      <c r="AK15" s="375">
        <f t="shared" si="15"/>
        <v>15154</v>
      </c>
      <c r="AL15" s="455">
        <v>15154</v>
      </c>
      <c r="AM15" s="568">
        <f t="shared" si="22"/>
        <v>0</v>
      </c>
      <c r="AN15" s="460">
        <f t="shared" si="24"/>
        <v>46</v>
      </c>
    </row>
    <row r="16" spans="1:40" ht="23.1" customHeight="1">
      <c r="A16" s="58">
        <f>Gen!B21</f>
        <v>43962</v>
      </c>
      <c r="B16" s="4"/>
      <c r="C16" s="98">
        <f t="shared" si="0"/>
        <v>234178</v>
      </c>
      <c r="D16" s="1">
        <v>234234</v>
      </c>
      <c r="E16" s="59">
        <f>IF((D16-D15)&lt;0,"0",(D16-D15))</f>
        <v>56</v>
      </c>
      <c r="F16" s="98">
        <f t="shared" si="2"/>
        <v>38000</v>
      </c>
      <c r="G16" s="458">
        <v>38000</v>
      </c>
      <c r="H16" s="567">
        <f t="shared" si="3"/>
        <v>0</v>
      </c>
      <c r="I16" s="98">
        <f t="shared" si="4"/>
        <v>7908</v>
      </c>
      <c r="J16" s="1">
        <v>7908</v>
      </c>
      <c r="K16" s="567">
        <f t="shared" si="5"/>
        <v>0</v>
      </c>
      <c r="L16" s="98"/>
      <c r="M16" s="1">
        <v>11978</v>
      </c>
      <c r="N16" s="567">
        <f t="shared" si="7"/>
        <v>0</v>
      </c>
      <c r="O16" s="98">
        <f t="shared" si="8"/>
        <v>20137</v>
      </c>
      <c r="P16" s="454">
        <v>20137</v>
      </c>
      <c r="Q16" s="567">
        <f t="shared" si="9"/>
        <v>0</v>
      </c>
      <c r="R16" s="299"/>
      <c r="S16" s="294">
        <f t="shared" si="16"/>
        <v>52610</v>
      </c>
      <c r="T16" s="455">
        <v>52647</v>
      </c>
      <c r="U16" s="568">
        <f t="shared" si="17"/>
        <v>37</v>
      </c>
      <c r="V16" s="294">
        <f t="shared" si="10"/>
        <v>71260</v>
      </c>
      <c r="W16" s="455">
        <v>71260</v>
      </c>
      <c r="X16" s="568">
        <f t="shared" si="18"/>
        <v>0</v>
      </c>
      <c r="Y16" s="294">
        <f t="shared" si="11"/>
        <v>80538</v>
      </c>
      <c r="Z16" s="455">
        <v>80538</v>
      </c>
      <c r="AA16" s="568">
        <f t="shared" si="19"/>
        <v>0</v>
      </c>
      <c r="AB16" s="294">
        <f t="shared" si="12"/>
        <v>13841</v>
      </c>
      <c r="AC16" s="572">
        <v>13863</v>
      </c>
      <c r="AD16" s="568">
        <f t="shared" si="20"/>
        <v>22</v>
      </c>
      <c r="AE16" s="294">
        <f t="shared" si="13"/>
        <v>17976</v>
      </c>
      <c r="AF16" s="456">
        <v>17976</v>
      </c>
      <c r="AG16" s="568">
        <f t="shared" si="21"/>
        <v>0</v>
      </c>
      <c r="AH16" s="294">
        <f t="shared" si="14"/>
        <v>24546</v>
      </c>
      <c r="AI16" s="636">
        <v>24546</v>
      </c>
      <c r="AJ16" s="568">
        <f>IF((AI17-AI15)&lt;0,"0",(AI17-AI15))</f>
        <v>0</v>
      </c>
      <c r="AK16" s="375">
        <f t="shared" si="15"/>
        <v>15154</v>
      </c>
      <c r="AL16" s="455">
        <v>15154</v>
      </c>
      <c r="AM16" s="568">
        <f t="shared" si="22"/>
        <v>0</v>
      </c>
      <c r="AN16" s="460">
        <f t="shared" si="24"/>
        <v>59</v>
      </c>
    </row>
    <row r="17" spans="1:40" ht="23.1" customHeight="1">
      <c r="A17" s="58">
        <f>Gen!B22</f>
        <v>43963</v>
      </c>
      <c r="B17" s="4"/>
      <c r="C17" s="98">
        <f t="shared" si="0"/>
        <v>234234</v>
      </c>
      <c r="D17" s="1">
        <v>234292</v>
      </c>
      <c r="E17" s="567">
        <f>IF((D17-D16)&lt;0,"0",(D17-D16))</f>
        <v>58</v>
      </c>
      <c r="F17" s="98">
        <f t="shared" si="2"/>
        <v>38000</v>
      </c>
      <c r="G17" s="458">
        <v>38000</v>
      </c>
      <c r="H17" s="567">
        <f t="shared" si="3"/>
        <v>0</v>
      </c>
      <c r="I17" s="98">
        <f t="shared" si="4"/>
        <v>7908</v>
      </c>
      <c r="J17" s="1">
        <v>7908</v>
      </c>
      <c r="K17" s="567">
        <f t="shared" si="5"/>
        <v>0</v>
      </c>
      <c r="L17" s="98"/>
      <c r="M17" s="1">
        <v>11978</v>
      </c>
      <c r="N17" s="567">
        <f t="shared" si="7"/>
        <v>0</v>
      </c>
      <c r="O17" s="98">
        <f t="shared" si="8"/>
        <v>20137</v>
      </c>
      <c r="P17" s="454">
        <v>20138</v>
      </c>
      <c r="Q17" s="567">
        <f t="shared" si="9"/>
        <v>1</v>
      </c>
      <c r="R17" s="299"/>
      <c r="S17" s="294">
        <f t="shared" si="16"/>
        <v>52647</v>
      </c>
      <c r="T17" s="455">
        <v>52670</v>
      </c>
      <c r="U17" s="568">
        <f t="shared" si="17"/>
        <v>23</v>
      </c>
      <c r="V17" s="294">
        <f t="shared" si="10"/>
        <v>71260</v>
      </c>
      <c r="W17" s="455">
        <v>71260</v>
      </c>
      <c r="X17" s="568">
        <f>IF((W17-W16)&lt;0,"0",(W17-W16))</f>
        <v>0</v>
      </c>
      <c r="Y17" s="294">
        <f t="shared" si="11"/>
        <v>80538</v>
      </c>
      <c r="Z17" s="455">
        <v>80581</v>
      </c>
      <c r="AA17" s="568">
        <f>IF((Z17-Z16)&lt;0,"0",(Z17-Z16))</f>
        <v>43</v>
      </c>
      <c r="AB17" s="294">
        <f t="shared" si="12"/>
        <v>13863</v>
      </c>
      <c r="AC17" s="572">
        <v>13885</v>
      </c>
      <c r="AD17" s="568">
        <f>IF((AC17-AC16)&lt;0,"0",(AC17-AC16))</f>
        <v>22</v>
      </c>
      <c r="AE17" s="294">
        <f t="shared" si="13"/>
        <v>17976</v>
      </c>
      <c r="AF17" s="456">
        <v>17976</v>
      </c>
      <c r="AG17" s="568">
        <f>IF((AF17-AF16)&lt;0,"0",(AF17-AF16))</f>
        <v>0</v>
      </c>
      <c r="AH17" s="294">
        <f t="shared" si="14"/>
        <v>24546</v>
      </c>
      <c r="AI17" s="636">
        <v>24546</v>
      </c>
      <c r="AJ17" s="568">
        <f>IF((AI18-AI16)&lt;0,"0",(AI18-AI16))</f>
        <v>0</v>
      </c>
      <c r="AK17" s="375">
        <f t="shared" si="15"/>
        <v>15154</v>
      </c>
      <c r="AL17" s="455">
        <v>15154</v>
      </c>
      <c r="AM17" s="568">
        <f>IF((AL17-AL16)&lt;0,"0",(AL17-AL16))</f>
        <v>0</v>
      </c>
      <c r="AN17" s="460">
        <f t="shared" si="24"/>
        <v>88</v>
      </c>
    </row>
    <row r="18" spans="1:40" ht="23.1" customHeight="1">
      <c r="A18" s="58">
        <f>Gen!B23</f>
        <v>43964</v>
      </c>
      <c r="B18" s="4"/>
      <c r="C18" s="98">
        <f t="shared" si="0"/>
        <v>234292</v>
      </c>
      <c r="D18" s="1">
        <v>234333</v>
      </c>
      <c r="E18" s="567">
        <f t="shared" ref="E18:E37" si="26">IF((D18-D17)&lt;0,"0",(D18-D17))</f>
        <v>41</v>
      </c>
      <c r="F18" s="98">
        <f t="shared" si="2"/>
        <v>38000</v>
      </c>
      <c r="G18" s="458">
        <v>38000</v>
      </c>
      <c r="H18" s="567">
        <f t="shared" si="3"/>
        <v>0</v>
      </c>
      <c r="I18" s="98"/>
      <c r="J18" s="1">
        <v>7909</v>
      </c>
      <c r="K18" s="567">
        <f t="shared" si="5"/>
        <v>1</v>
      </c>
      <c r="L18" s="98">
        <f t="shared" si="6"/>
        <v>11978</v>
      </c>
      <c r="M18" s="1">
        <v>11978</v>
      </c>
      <c r="N18" s="567">
        <f t="shared" si="7"/>
        <v>0</v>
      </c>
      <c r="O18" s="98">
        <f t="shared" si="8"/>
        <v>20138</v>
      </c>
      <c r="P18" s="454">
        <v>20138</v>
      </c>
      <c r="Q18" s="567">
        <f t="shared" si="9"/>
        <v>0</v>
      </c>
      <c r="R18" s="299"/>
      <c r="S18" s="294">
        <f t="shared" si="16"/>
        <v>52670</v>
      </c>
      <c r="T18" s="455">
        <v>52680</v>
      </c>
      <c r="U18" s="568">
        <f t="shared" si="17"/>
        <v>10</v>
      </c>
      <c r="V18" s="294">
        <f t="shared" si="10"/>
        <v>71260</v>
      </c>
      <c r="W18" s="455">
        <v>71260</v>
      </c>
      <c r="X18" s="568">
        <f t="shared" si="18"/>
        <v>0</v>
      </c>
      <c r="Y18" s="294">
        <f t="shared" si="11"/>
        <v>80581</v>
      </c>
      <c r="Z18" s="455">
        <v>80591</v>
      </c>
      <c r="AA18" s="568">
        <f t="shared" si="19"/>
        <v>10</v>
      </c>
      <c r="AB18" s="294">
        <f t="shared" si="12"/>
        <v>13885</v>
      </c>
      <c r="AC18" s="572">
        <v>13889</v>
      </c>
      <c r="AD18" s="568">
        <f t="shared" si="20"/>
        <v>4</v>
      </c>
      <c r="AE18" s="294">
        <f t="shared" si="13"/>
        <v>17976</v>
      </c>
      <c r="AF18" s="456">
        <v>17976</v>
      </c>
      <c r="AG18" s="568">
        <f t="shared" si="21"/>
        <v>0</v>
      </c>
      <c r="AH18" s="294">
        <f>AI17</f>
        <v>24546</v>
      </c>
      <c r="AI18" s="636">
        <v>24546</v>
      </c>
      <c r="AJ18" s="568">
        <f>IF((AI19-AI17)&lt;0,"0",(AI19-AI17))</f>
        <v>0</v>
      </c>
      <c r="AK18" s="375">
        <f t="shared" si="15"/>
        <v>15154</v>
      </c>
      <c r="AL18" s="455">
        <v>15154</v>
      </c>
      <c r="AM18" s="568">
        <f t="shared" ref="AM18:AM26" si="27">IF((AL18-AL17)&lt;0,"0",(AL18-AL17))</f>
        <v>0</v>
      </c>
      <c r="AN18" s="460">
        <f t="shared" si="24"/>
        <v>24</v>
      </c>
    </row>
    <row r="19" spans="1:40" ht="23.1" customHeight="1">
      <c r="A19" s="58">
        <f>Gen!B24</f>
        <v>43965</v>
      </c>
      <c r="B19" s="4"/>
      <c r="C19" s="98">
        <f t="shared" si="0"/>
        <v>234333</v>
      </c>
      <c r="D19" s="1">
        <v>234366</v>
      </c>
      <c r="E19" s="567">
        <f t="shared" si="26"/>
        <v>33</v>
      </c>
      <c r="F19" s="98">
        <f t="shared" si="2"/>
        <v>38000</v>
      </c>
      <c r="G19" s="458">
        <v>38000</v>
      </c>
      <c r="H19" s="567">
        <f t="shared" si="3"/>
        <v>0</v>
      </c>
      <c r="I19" s="98">
        <f t="shared" si="4"/>
        <v>7909</v>
      </c>
      <c r="J19" s="1">
        <v>7910</v>
      </c>
      <c r="K19" s="567">
        <f t="shared" si="5"/>
        <v>1</v>
      </c>
      <c r="L19" s="98">
        <f t="shared" si="6"/>
        <v>11978</v>
      </c>
      <c r="M19" s="1">
        <v>11978</v>
      </c>
      <c r="N19" s="567">
        <f t="shared" si="7"/>
        <v>0</v>
      </c>
      <c r="O19" s="98">
        <f t="shared" si="8"/>
        <v>20138</v>
      </c>
      <c r="P19" s="454">
        <v>20138</v>
      </c>
      <c r="Q19" s="567">
        <f t="shared" si="9"/>
        <v>0</v>
      </c>
      <c r="R19" s="299"/>
      <c r="S19" s="294">
        <f t="shared" si="16"/>
        <v>52680</v>
      </c>
      <c r="T19" s="455">
        <v>52743</v>
      </c>
      <c r="U19" s="568">
        <f t="shared" si="17"/>
        <v>63</v>
      </c>
      <c r="V19" s="294">
        <f t="shared" si="10"/>
        <v>71260</v>
      </c>
      <c r="W19" s="455">
        <v>71260</v>
      </c>
      <c r="X19" s="568">
        <f t="shared" si="18"/>
        <v>0</v>
      </c>
      <c r="Y19" s="294">
        <f t="shared" si="11"/>
        <v>80591</v>
      </c>
      <c r="Z19" s="455">
        <v>80591</v>
      </c>
      <c r="AA19" s="568">
        <f t="shared" si="19"/>
        <v>0</v>
      </c>
      <c r="AB19" s="294">
        <f t="shared" si="12"/>
        <v>13889</v>
      </c>
      <c r="AC19" s="572">
        <v>13889</v>
      </c>
      <c r="AD19" s="568">
        <f t="shared" si="20"/>
        <v>0</v>
      </c>
      <c r="AE19" s="294">
        <f t="shared" si="13"/>
        <v>17976</v>
      </c>
      <c r="AF19" s="456">
        <v>17976</v>
      </c>
      <c r="AG19" s="568">
        <f t="shared" si="21"/>
        <v>0</v>
      </c>
      <c r="AH19" s="294">
        <f>AI18</f>
        <v>24546</v>
      </c>
      <c r="AI19" s="636">
        <v>24546</v>
      </c>
      <c r="AJ19" s="568" t="str">
        <f>IF((AI20-AI18)&lt;0,"0",(AI20-AI18))</f>
        <v>0</v>
      </c>
      <c r="AK19" s="375">
        <f t="shared" si="15"/>
        <v>15154</v>
      </c>
      <c r="AL19" s="455">
        <v>15154</v>
      </c>
      <c r="AM19" s="568">
        <f t="shared" si="27"/>
        <v>0</v>
      </c>
      <c r="AN19" s="460">
        <f t="shared" si="24"/>
        <v>63</v>
      </c>
    </row>
    <row r="20" spans="1:40" ht="23.1" customHeight="1">
      <c r="A20" s="58">
        <f>Gen!B25</f>
        <v>43966</v>
      </c>
      <c r="B20" s="4"/>
      <c r="C20" s="98">
        <f t="shared" si="0"/>
        <v>234366</v>
      </c>
      <c r="D20" s="1"/>
      <c r="E20" s="567" t="str">
        <f t="shared" si="26"/>
        <v>0</v>
      </c>
      <c r="F20" s="98">
        <f t="shared" si="2"/>
        <v>38000</v>
      </c>
      <c r="G20" s="458"/>
      <c r="H20" s="567" t="str">
        <f t="shared" si="3"/>
        <v>0</v>
      </c>
      <c r="I20" s="98">
        <f t="shared" si="4"/>
        <v>7910</v>
      </c>
      <c r="J20" s="1"/>
      <c r="K20" s="567" t="str">
        <f t="shared" si="5"/>
        <v>0</v>
      </c>
      <c r="L20" s="98">
        <f t="shared" si="6"/>
        <v>11978</v>
      </c>
      <c r="M20" s="1"/>
      <c r="N20" s="567" t="str">
        <f t="shared" si="7"/>
        <v>0</v>
      </c>
      <c r="O20" s="98">
        <f t="shared" si="8"/>
        <v>20138</v>
      </c>
      <c r="P20" s="454"/>
      <c r="Q20" s="567" t="str">
        <f t="shared" si="9"/>
        <v>0</v>
      </c>
      <c r="R20" s="299"/>
      <c r="S20" s="294">
        <f t="shared" si="16"/>
        <v>52743</v>
      </c>
      <c r="T20" s="455"/>
      <c r="U20" s="568" t="str">
        <f t="shared" si="17"/>
        <v>0</v>
      </c>
      <c r="V20" s="294">
        <f t="shared" si="10"/>
        <v>71260</v>
      </c>
      <c r="W20" s="455"/>
      <c r="X20" s="568" t="str">
        <f t="shared" si="18"/>
        <v>0</v>
      </c>
      <c r="Y20" s="294">
        <f t="shared" si="11"/>
        <v>80591</v>
      </c>
      <c r="Z20" s="455"/>
      <c r="AA20" s="568" t="str">
        <f t="shared" si="19"/>
        <v>0</v>
      </c>
      <c r="AB20" s="294">
        <f t="shared" si="12"/>
        <v>13889</v>
      </c>
      <c r="AC20" s="572"/>
      <c r="AD20" s="568" t="str">
        <f t="shared" si="20"/>
        <v>0</v>
      </c>
      <c r="AE20" s="294">
        <f t="shared" si="13"/>
        <v>17976</v>
      </c>
      <c r="AF20" s="456"/>
      <c r="AG20" s="568" t="str">
        <f t="shared" si="21"/>
        <v>0</v>
      </c>
      <c r="AH20" s="294">
        <f t="shared" si="14"/>
        <v>24546</v>
      </c>
      <c r="AI20" s="456"/>
      <c r="AJ20" s="568" t="str">
        <f t="shared" si="23"/>
        <v>0</v>
      </c>
      <c r="AK20" s="375">
        <f t="shared" si="15"/>
        <v>15154</v>
      </c>
      <c r="AL20" s="455"/>
      <c r="AM20" s="568" t="str">
        <f t="shared" si="27"/>
        <v>0</v>
      </c>
      <c r="AN20" s="460">
        <f t="shared" si="24"/>
        <v>0</v>
      </c>
    </row>
    <row r="21" spans="1:40" ht="23.1" customHeight="1">
      <c r="A21" s="58">
        <f>Gen!B26</f>
        <v>43967</v>
      </c>
      <c r="B21" s="4"/>
      <c r="C21" s="98">
        <f t="shared" si="0"/>
        <v>0</v>
      </c>
      <c r="D21" s="1"/>
      <c r="E21" s="567">
        <f t="shared" si="26"/>
        <v>0</v>
      </c>
      <c r="F21" s="98">
        <f t="shared" si="2"/>
        <v>0</v>
      </c>
      <c r="G21" s="458"/>
      <c r="H21" s="567">
        <f t="shared" si="3"/>
        <v>0</v>
      </c>
      <c r="I21" s="98">
        <f t="shared" si="4"/>
        <v>0</v>
      </c>
      <c r="J21" s="1"/>
      <c r="K21" s="567">
        <f t="shared" si="5"/>
        <v>0</v>
      </c>
      <c r="L21" s="98">
        <f t="shared" si="6"/>
        <v>0</v>
      </c>
      <c r="M21" s="1"/>
      <c r="N21" s="567">
        <f t="shared" si="7"/>
        <v>0</v>
      </c>
      <c r="O21" s="98">
        <f t="shared" si="8"/>
        <v>0</v>
      </c>
      <c r="P21" s="454"/>
      <c r="Q21" s="567">
        <f t="shared" si="9"/>
        <v>0</v>
      </c>
      <c r="R21" s="299"/>
      <c r="S21" s="294">
        <f t="shared" si="16"/>
        <v>0</v>
      </c>
      <c r="T21" s="455"/>
      <c r="U21" s="568">
        <f t="shared" si="17"/>
        <v>0</v>
      </c>
      <c r="V21" s="294">
        <f t="shared" ref="V21:V37" si="28">W20</f>
        <v>0</v>
      </c>
      <c r="W21" s="455"/>
      <c r="X21" s="568">
        <f t="shared" si="18"/>
        <v>0</v>
      </c>
      <c r="Y21" s="294">
        <f t="shared" si="11"/>
        <v>0</v>
      </c>
      <c r="Z21" s="455"/>
      <c r="AA21" s="568">
        <f t="shared" si="19"/>
        <v>0</v>
      </c>
      <c r="AB21" s="294">
        <f t="shared" si="12"/>
        <v>0</v>
      </c>
      <c r="AC21" s="572"/>
      <c r="AD21" s="568">
        <f t="shared" si="20"/>
        <v>0</v>
      </c>
      <c r="AE21" s="294">
        <f t="shared" si="13"/>
        <v>0</v>
      </c>
      <c r="AF21" s="456"/>
      <c r="AG21" s="568">
        <f t="shared" si="21"/>
        <v>0</v>
      </c>
      <c r="AH21" s="294">
        <f t="shared" si="14"/>
        <v>0</v>
      </c>
      <c r="AI21" s="456"/>
      <c r="AJ21" s="568">
        <f t="shared" si="23"/>
        <v>0</v>
      </c>
      <c r="AK21" s="375">
        <f t="shared" si="15"/>
        <v>0</v>
      </c>
      <c r="AL21" s="455"/>
      <c r="AM21" s="568">
        <f t="shared" si="27"/>
        <v>0</v>
      </c>
      <c r="AN21" s="460">
        <f t="shared" si="24"/>
        <v>0</v>
      </c>
    </row>
    <row r="22" spans="1:40" ht="23.1" customHeight="1">
      <c r="A22" s="58">
        <f>Gen!B27</f>
        <v>43968</v>
      </c>
      <c r="B22" s="4"/>
      <c r="C22" s="98">
        <f t="shared" si="0"/>
        <v>0</v>
      </c>
      <c r="D22" s="1"/>
      <c r="E22" s="567">
        <f t="shared" si="26"/>
        <v>0</v>
      </c>
      <c r="F22" s="98">
        <f t="shared" si="2"/>
        <v>0</v>
      </c>
      <c r="G22" s="458"/>
      <c r="H22" s="567">
        <f t="shared" si="3"/>
        <v>0</v>
      </c>
      <c r="I22" s="98">
        <f t="shared" si="4"/>
        <v>0</v>
      </c>
      <c r="J22" s="1"/>
      <c r="K22" s="567">
        <f t="shared" si="5"/>
        <v>0</v>
      </c>
      <c r="L22" s="98">
        <f t="shared" si="6"/>
        <v>0</v>
      </c>
      <c r="M22" s="1"/>
      <c r="N22" s="567">
        <f t="shared" si="7"/>
        <v>0</v>
      </c>
      <c r="O22" s="98">
        <f t="shared" si="8"/>
        <v>0</v>
      </c>
      <c r="P22" s="454"/>
      <c r="Q22" s="567">
        <f t="shared" si="9"/>
        <v>0</v>
      </c>
      <c r="R22" s="299"/>
      <c r="S22" s="294">
        <f t="shared" si="16"/>
        <v>0</v>
      </c>
      <c r="T22" s="455"/>
      <c r="U22" s="568">
        <f t="shared" si="17"/>
        <v>0</v>
      </c>
      <c r="V22" s="294">
        <f t="shared" si="28"/>
        <v>0</v>
      </c>
      <c r="W22" s="455"/>
      <c r="X22" s="568">
        <f t="shared" si="18"/>
        <v>0</v>
      </c>
      <c r="Y22" s="294">
        <f t="shared" si="11"/>
        <v>0</v>
      </c>
      <c r="Z22" s="455"/>
      <c r="AA22" s="568">
        <f t="shared" si="19"/>
        <v>0</v>
      </c>
      <c r="AB22" s="294">
        <f t="shared" si="12"/>
        <v>0</v>
      </c>
      <c r="AC22" s="572"/>
      <c r="AD22" s="568">
        <f t="shared" si="20"/>
        <v>0</v>
      </c>
      <c r="AE22" s="294">
        <f t="shared" si="13"/>
        <v>0</v>
      </c>
      <c r="AF22" s="456"/>
      <c r="AG22" s="568">
        <f t="shared" si="21"/>
        <v>0</v>
      </c>
      <c r="AH22" s="294">
        <f t="shared" si="14"/>
        <v>0</v>
      </c>
      <c r="AI22" s="456"/>
      <c r="AJ22" s="568">
        <f t="shared" si="23"/>
        <v>0</v>
      </c>
      <c r="AK22" s="375">
        <f t="shared" si="15"/>
        <v>0</v>
      </c>
      <c r="AL22" s="455"/>
      <c r="AM22" s="568">
        <f t="shared" si="27"/>
        <v>0</v>
      </c>
      <c r="AN22" s="460">
        <f t="shared" si="24"/>
        <v>0</v>
      </c>
    </row>
    <row r="23" spans="1:40" ht="23.1" customHeight="1">
      <c r="A23" s="58">
        <f>Gen!B28</f>
        <v>43969</v>
      </c>
      <c r="B23" s="4"/>
      <c r="C23" s="98">
        <f t="shared" si="0"/>
        <v>0</v>
      </c>
      <c r="D23" s="1"/>
      <c r="E23" s="567">
        <f t="shared" si="26"/>
        <v>0</v>
      </c>
      <c r="F23" s="98">
        <f t="shared" si="2"/>
        <v>0</v>
      </c>
      <c r="G23" s="458"/>
      <c r="H23" s="567">
        <f t="shared" si="3"/>
        <v>0</v>
      </c>
      <c r="I23" s="98">
        <f t="shared" si="4"/>
        <v>0</v>
      </c>
      <c r="J23" s="1"/>
      <c r="K23" s="567">
        <f t="shared" si="5"/>
        <v>0</v>
      </c>
      <c r="L23" s="98">
        <f t="shared" si="6"/>
        <v>0</v>
      </c>
      <c r="M23" s="1"/>
      <c r="N23" s="567">
        <f t="shared" si="7"/>
        <v>0</v>
      </c>
      <c r="O23" s="98">
        <f t="shared" si="8"/>
        <v>0</v>
      </c>
      <c r="P23" s="454"/>
      <c r="Q23" s="567">
        <f t="shared" si="9"/>
        <v>0</v>
      </c>
      <c r="R23" s="299"/>
      <c r="S23" s="294">
        <f t="shared" si="16"/>
        <v>0</v>
      </c>
      <c r="T23" s="455"/>
      <c r="U23" s="568">
        <f t="shared" si="17"/>
        <v>0</v>
      </c>
      <c r="V23" s="294">
        <f t="shared" si="28"/>
        <v>0</v>
      </c>
      <c r="W23" s="455"/>
      <c r="X23" s="568">
        <f t="shared" si="18"/>
        <v>0</v>
      </c>
      <c r="Y23" s="294">
        <f t="shared" si="11"/>
        <v>0</v>
      </c>
      <c r="Z23" s="455"/>
      <c r="AA23" s="568">
        <f t="shared" si="19"/>
        <v>0</v>
      </c>
      <c r="AB23" s="294">
        <f t="shared" si="12"/>
        <v>0</v>
      </c>
      <c r="AC23" s="295"/>
      <c r="AD23" s="568">
        <f t="shared" si="20"/>
        <v>0</v>
      </c>
      <c r="AE23" s="294">
        <f t="shared" si="13"/>
        <v>0</v>
      </c>
      <c r="AF23" s="456"/>
      <c r="AG23" s="568">
        <f t="shared" si="21"/>
        <v>0</v>
      </c>
      <c r="AH23" s="294">
        <f t="shared" si="14"/>
        <v>0</v>
      </c>
      <c r="AI23" s="456"/>
      <c r="AJ23" s="568">
        <f t="shared" si="23"/>
        <v>0</v>
      </c>
      <c r="AK23" s="375">
        <f t="shared" si="15"/>
        <v>0</v>
      </c>
      <c r="AL23" s="455"/>
      <c r="AM23" s="568">
        <f t="shared" si="27"/>
        <v>0</v>
      </c>
      <c r="AN23" s="460">
        <f t="shared" si="24"/>
        <v>0</v>
      </c>
    </row>
    <row r="24" spans="1:40" ht="23.1" customHeight="1">
      <c r="A24" s="58">
        <f>Gen!B29</f>
        <v>43970</v>
      </c>
      <c r="B24" s="4"/>
      <c r="C24" s="98">
        <f t="shared" si="0"/>
        <v>0</v>
      </c>
      <c r="D24" s="1"/>
      <c r="E24" s="567">
        <f t="shared" si="26"/>
        <v>0</v>
      </c>
      <c r="F24" s="98">
        <f t="shared" si="2"/>
        <v>0</v>
      </c>
      <c r="G24" s="458"/>
      <c r="H24" s="567">
        <f t="shared" si="3"/>
        <v>0</v>
      </c>
      <c r="I24" s="98">
        <f t="shared" si="4"/>
        <v>0</v>
      </c>
      <c r="J24" s="1"/>
      <c r="K24" s="567">
        <f t="shared" si="5"/>
        <v>0</v>
      </c>
      <c r="L24" s="98">
        <f t="shared" si="6"/>
        <v>0</v>
      </c>
      <c r="M24" s="1"/>
      <c r="N24" s="567">
        <f t="shared" si="7"/>
        <v>0</v>
      </c>
      <c r="O24" s="98">
        <f t="shared" si="8"/>
        <v>0</v>
      </c>
      <c r="P24" s="454"/>
      <c r="Q24" s="567">
        <f t="shared" si="9"/>
        <v>0</v>
      </c>
      <c r="R24" s="299"/>
      <c r="S24" s="294">
        <f t="shared" si="16"/>
        <v>0</v>
      </c>
      <c r="T24" s="455"/>
      <c r="U24" s="568">
        <f t="shared" si="17"/>
        <v>0</v>
      </c>
      <c r="V24" s="294">
        <f t="shared" si="28"/>
        <v>0</v>
      </c>
      <c r="W24" s="455"/>
      <c r="X24" s="568">
        <f t="shared" si="18"/>
        <v>0</v>
      </c>
      <c r="Y24" s="294">
        <f t="shared" si="11"/>
        <v>0</v>
      </c>
      <c r="Z24" s="455"/>
      <c r="AA24" s="568">
        <f t="shared" si="19"/>
        <v>0</v>
      </c>
      <c r="AB24" s="294">
        <f t="shared" si="12"/>
        <v>0</v>
      </c>
      <c r="AC24" s="295"/>
      <c r="AD24" s="568">
        <f t="shared" si="20"/>
        <v>0</v>
      </c>
      <c r="AE24" s="294">
        <f t="shared" si="13"/>
        <v>0</v>
      </c>
      <c r="AF24" s="456"/>
      <c r="AG24" s="568">
        <f t="shared" si="21"/>
        <v>0</v>
      </c>
      <c r="AH24" s="294">
        <f t="shared" si="14"/>
        <v>0</v>
      </c>
      <c r="AI24" s="456"/>
      <c r="AJ24" s="568">
        <f t="shared" si="23"/>
        <v>0</v>
      </c>
      <c r="AK24" s="375">
        <f t="shared" si="15"/>
        <v>0</v>
      </c>
      <c r="AL24" s="455"/>
      <c r="AM24" s="568">
        <f t="shared" si="27"/>
        <v>0</v>
      </c>
      <c r="AN24" s="460">
        <f t="shared" si="24"/>
        <v>0</v>
      </c>
    </row>
    <row r="25" spans="1:40" ht="23.1" customHeight="1">
      <c r="A25" s="58">
        <f>Gen!B30</f>
        <v>43971</v>
      </c>
      <c r="B25" s="4"/>
      <c r="C25" s="98">
        <f>D24</f>
        <v>0</v>
      </c>
      <c r="D25" s="1"/>
      <c r="E25" s="567">
        <f t="shared" si="26"/>
        <v>0</v>
      </c>
      <c r="F25" s="98">
        <f t="shared" si="2"/>
        <v>0</v>
      </c>
      <c r="G25" s="458"/>
      <c r="H25" s="567">
        <f t="shared" si="3"/>
        <v>0</v>
      </c>
      <c r="I25" s="98">
        <f t="shared" ref="I25:I37" si="29">J24</f>
        <v>0</v>
      </c>
      <c r="J25" s="1"/>
      <c r="K25" s="567">
        <f t="shared" si="5"/>
        <v>0</v>
      </c>
      <c r="L25" s="98">
        <f t="shared" ref="L25:L37" si="30">M24</f>
        <v>0</v>
      </c>
      <c r="M25" s="1"/>
      <c r="N25" s="567">
        <f t="shared" ref="N25:N37" si="31">IF((M25-M24)&lt;0,"0",(M25-M24))</f>
        <v>0</v>
      </c>
      <c r="O25" s="98">
        <f t="shared" ref="O25:O37" si="32">P24</f>
        <v>0</v>
      </c>
      <c r="P25" s="454"/>
      <c r="Q25" s="567">
        <f t="shared" ref="Q25:Q37" si="33">IF((P25-P24)&lt;0,"0",(P25-P24))</f>
        <v>0</v>
      </c>
      <c r="R25" s="299"/>
      <c r="S25" s="294">
        <f t="shared" ref="S25:S37" si="34">T24</f>
        <v>0</v>
      </c>
      <c r="T25" s="455"/>
      <c r="U25" s="568">
        <f t="shared" ref="U25:U37" si="35">IF((T25-T24)&lt;0,"0",(T25-T24))</f>
        <v>0</v>
      </c>
      <c r="V25" s="294">
        <f t="shared" si="28"/>
        <v>0</v>
      </c>
      <c r="W25" s="455"/>
      <c r="X25" s="568">
        <f t="shared" si="18"/>
        <v>0</v>
      </c>
      <c r="Y25" s="294">
        <f t="shared" si="11"/>
        <v>0</v>
      </c>
      <c r="Z25" s="455"/>
      <c r="AA25" s="568">
        <f t="shared" si="19"/>
        <v>0</v>
      </c>
      <c r="AB25" s="294">
        <f t="shared" si="12"/>
        <v>0</v>
      </c>
      <c r="AC25" s="295"/>
      <c r="AD25" s="568">
        <f t="shared" si="20"/>
        <v>0</v>
      </c>
      <c r="AE25" s="294">
        <f t="shared" si="13"/>
        <v>0</v>
      </c>
      <c r="AF25" s="456"/>
      <c r="AG25" s="568">
        <f t="shared" si="21"/>
        <v>0</v>
      </c>
      <c r="AH25" s="294">
        <f t="shared" si="14"/>
        <v>0</v>
      </c>
      <c r="AI25" s="456"/>
      <c r="AJ25" s="568">
        <f t="shared" si="23"/>
        <v>0</v>
      </c>
      <c r="AK25" s="375">
        <f t="shared" si="15"/>
        <v>0</v>
      </c>
      <c r="AL25" s="455"/>
      <c r="AM25" s="568">
        <f t="shared" si="27"/>
        <v>0</v>
      </c>
      <c r="AN25" s="460">
        <f t="shared" si="24"/>
        <v>0</v>
      </c>
    </row>
    <row r="26" spans="1:40" ht="23.1" customHeight="1">
      <c r="A26" s="58">
        <f>Gen!B31</f>
        <v>43972</v>
      </c>
      <c r="B26" s="4"/>
      <c r="C26" s="98">
        <f>D25</f>
        <v>0</v>
      </c>
      <c r="D26" s="1"/>
      <c r="E26" s="567">
        <f t="shared" si="26"/>
        <v>0</v>
      </c>
      <c r="F26" s="98">
        <f t="shared" si="2"/>
        <v>0</v>
      </c>
      <c r="G26" s="458"/>
      <c r="H26" s="567">
        <f t="shared" ref="H26:H37" si="36">IF((G26-G25)&lt;0,"0",(G26-G25))</f>
        <v>0</v>
      </c>
      <c r="I26" s="98">
        <f t="shared" si="29"/>
        <v>0</v>
      </c>
      <c r="J26" s="1"/>
      <c r="K26" s="567">
        <f t="shared" si="5"/>
        <v>0</v>
      </c>
      <c r="L26" s="98">
        <f t="shared" si="30"/>
        <v>0</v>
      </c>
      <c r="M26" s="1"/>
      <c r="N26" s="567">
        <f t="shared" si="31"/>
        <v>0</v>
      </c>
      <c r="O26" s="98">
        <f t="shared" si="32"/>
        <v>0</v>
      </c>
      <c r="P26" s="454"/>
      <c r="Q26" s="567">
        <f t="shared" si="33"/>
        <v>0</v>
      </c>
      <c r="R26" s="299"/>
      <c r="S26" s="294">
        <f t="shared" si="34"/>
        <v>0</v>
      </c>
      <c r="T26" s="455"/>
      <c r="U26" s="568">
        <f t="shared" si="35"/>
        <v>0</v>
      </c>
      <c r="V26" s="294">
        <f t="shared" si="28"/>
        <v>0</v>
      </c>
      <c r="W26" s="455"/>
      <c r="X26" s="568">
        <f t="shared" si="18"/>
        <v>0</v>
      </c>
      <c r="Y26" s="294">
        <f t="shared" si="11"/>
        <v>0</v>
      </c>
      <c r="Z26" s="455"/>
      <c r="AA26" s="568">
        <f t="shared" si="19"/>
        <v>0</v>
      </c>
      <c r="AB26" s="294">
        <f t="shared" si="12"/>
        <v>0</v>
      </c>
      <c r="AC26" s="295"/>
      <c r="AD26" s="568">
        <f t="shared" si="20"/>
        <v>0</v>
      </c>
      <c r="AE26" s="294">
        <f t="shared" si="13"/>
        <v>0</v>
      </c>
      <c r="AF26" s="456"/>
      <c r="AG26" s="568">
        <f t="shared" si="21"/>
        <v>0</v>
      </c>
      <c r="AH26" s="294">
        <f t="shared" si="14"/>
        <v>0</v>
      </c>
      <c r="AI26" s="456"/>
      <c r="AJ26" s="568">
        <f t="shared" si="23"/>
        <v>0</v>
      </c>
      <c r="AK26" s="375">
        <f t="shared" si="15"/>
        <v>0</v>
      </c>
      <c r="AL26" s="455"/>
      <c r="AM26" s="568">
        <f t="shared" si="27"/>
        <v>0</v>
      </c>
      <c r="AN26" s="460">
        <f t="shared" si="24"/>
        <v>0</v>
      </c>
    </row>
    <row r="27" spans="1:40" ht="23.1" customHeight="1">
      <c r="A27" s="58">
        <f>Gen!B32</f>
        <v>43973</v>
      </c>
      <c r="B27" s="4"/>
      <c r="C27" s="98">
        <f>D26</f>
        <v>0</v>
      </c>
      <c r="D27" s="1"/>
      <c r="E27" s="567">
        <f t="shared" si="26"/>
        <v>0</v>
      </c>
      <c r="F27" s="98">
        <f t="shared" si="2"/>
        <v>0</v>
      </c>
      <c r="G27" s="458"/>
      <c r="H27" s="567">
        <f t="shared" si="36"/>
        <v>0</v>
      </c>
      <c r="I27" s="98">
        <f t="shared" si="29"/>
        <v>0</v>
      </c>
      <c r="J27" s="1"/>
      <c r="K27" s="567">
        <f t="shared" si="5"/>
        <v>0</v>
      </c>
      <c r="L27" s="98">
        <f t="shared" si="30"/>
        <v>0</v>
      </c>
      <c r="M27" s="1"/>
      <c r="N27" s="567">
        <f t="shared" si="31"/>
        <v>0</v>
      </c>
      <c r="O27" s="98">
        <f t="shared" si="32"/>
        <v>0</v>
      </c>
      <c r="P27" s="454"/>
      <c r="Q27" s="567">
        <f t="shared" si="33"/>
        <v>0</v>
      </c>
      <c r="R27" s="299"/>
      <c r="S27" s="294">
        <f t="shared" si="34"/>
        <v>0</v>
      </c>
      <c r="T27" s="455"/>
      <c r="U27" s="568">
        <f t="shared" si="35"/>
        <v>0</v>
      </c>
      <c r="V27" s="294">
        <f t="shared" si="28"/>
        <v>0</v>
      </c>
      <c r="W27" s="455"/>
      <c r="X27" s="568">
        <f t="shared" si="18"/>
        <v>0</v>
      </c>
      <c r="Y27" s="294">
        <f t="shared" si="11"/>
        <v>0</v>
      </c>
      <c r="Z27" s="455"/>
      <c r="AA27" s="568">
        <f t="shared" si="19"/>
        <v>0</v>
      </c>
      <c r="AB27" s="294">
        <f t="shared" si="12"/>
        <v>0</v>
      </c>
      <c r="AC27" s="295"/>
      <c r="AD27" s="568">
        <f t="shared" si="20"/>
        <v>0</v>
      </c>
      <c r="AE27" s="294">
        <f t="shared" si="13"/>
        <v>0</v>
      </c>
      <c r="AF27" s="456"/>
      <c r="AG27" s="568">
        <f t="shared" si="21"/>
        <v>0</v>
      </c>
      <c r="AH27" s="294">
        <f t="shared" si="14"/>
        <v>0</v>
      </c>
      <c r="AI27" s="456"/>
      <c r="AJ27" s="568">
        <f t="shared" si="23"/>
        <v>0</v>
      </c>
      <c r="AK27" s="375">
        <f t="shared" si="15"/>
        <v>0</v>
      </c>
      <c r="AL27" s="455"/>
      <c r="AM27" s="568">
        <f t="shared" si="22"/>
        <v>0</v>
      </c>
      <c r="AN27" s="460">
        <f t="shared" si="24"/>
        <v>0</v>
      </c>
    </row>
    <row r="28" spans="1:40" ht="23.1" customHeight="1">
      <c r="A28" s="58">
        <f>Gen!B33</f>
        <v>43974</v>
      </c>
      <c r="B28" s="4"/>
      <c r="C28" s="98">
        <f t="shared" ref="C28:C37" si="37">D27</f>
        <v>0</v>
      </c>
      <c r="D28" s="1"/>
      <c r="E28" s="567">
        <f t="shared" si="26"/>
        <v>0</v>
      </c>
      <c r="F28" s="98">
        <f t="shared" si="2"/>
        <v>0</v>
      </c>
      <c r="G28" s="458"/>
      <c r="H28" s="567">
        <f t="shared" si="36"/>
        <v>0</v>
      </c>
      <c r="I28" s="98">
        <f t="shared" si="29"/>
        <v>0</v>
      </c>
      <c r="J28" s="1"/>
      <c r="K28" s="567">
        <f>IF((J28-J27)&lt;0,"0",(J28-J27))</f>
        <v>0</v>
      </c>
      <c r="L28" s="98">
        <f t="shared" si="30"/>
        <v>0</v>
      </c>
      <c r="M28" s="1"/>
      <c r="N28" s="567">
        <f t="shared" si="31"/>
        <v>0</v>
      </c>
      <c r="O28" s="98">
        <f t="shared" si="32"/>
        <v>0</v>
      </c>
      <c r="P28" s="454"/>
      <c r="Q28" s="567">
        <f t="shared" si="33"/>
        <v>0</v>
      </c>
      <c r="R28" s="299"/>
      <c r="S28" s="294">
        <f t="shared" si="34"/>
        <v>0</v>
      </c>
      <c r="T28" s="455"/>
      <c r="U28" s="568">
        <f t="shared" si="35"/>
        <v>0</v>
      </c>
      <c r="V28" s="294">
        <f t="shared" si="28"/>
        <v>0</v>
      </c>
      <c r="W28" s="455"/>
      <c r="X28" s="568">
        <f t="shared" si="18"/>
        <v>0</v>
      </c>
      <c r="Y28" s="294">
        <f t="shared" si="11"/>
        <v>0</v>
      </c>
      <c r="Z28" s="455"/>
      <c r="AA28" s="568">
        <f t="shared" si="19"/>
        <v>0</v>
      </c>
      <c r="AB28" s="294">
        <f t="shared" si="12"/>
        <v>0</v>
      </c>
      <c r="AC28" s="295"/>
      <c r="AD28" s="568">
        <f t="shared" si="20"/>
        <v>0</v>
      </c>
      <c r="AE28" s="294">
        <f t="shared" si="13"/>
        <v>0</v>
      </c>
      <c r="AF28" s="456"/>
      <c r="AG28" s="568">
        <f t="shared" si="21"/>
        <v>0</v>
      </c>
      <c r="AH28" s="294">
        <f t="shared" si="14"/>
        <v>0</v>
      </c>
      <c r="AI28" s="456"/>
      <c r="AJ28" s="568">
        <f t="shared" si="23"/>
        <v>0</v>
      </c>
      <c r="AK28" s="375">
        <f t="shared" si="15"/>
        <v>0</v>
      </c>
      <c r="AL28" s="455"/>
      <c r="AM28" s="568">
        <f t="shared" si="22"/>
        <v>0</v>
      </c>
      <c r="AN28" s="460">
        <f t="shared" si="24"/>
        <v>0</v>
      </c>
    </row>
    <row r="29" spans="1:40" ht="23.1" customHeight="1">
      <c r="A29" s="58">
        <f>Gen!B34</f>
        <v>43975</v>
      </c>
      <c r="B29" s="4"/>
      <c r="C29" s="98">
        <f t="shared" si="37"/>
        <v>0</v>
      </c>
      <c r="D29" s="1"/>
      <c r="E29" s="567">
        <f t="shared" si="26"/>
        <v>0</v>
      </c>
      <c r="F29" s="98">
        <f t="shared" si="2"/>
        <v>0</v>
      </c>
      <c r="G29" s="458"/>
      <c r="H29" s="567">
        <f t="shared" si="36"/>
        <v>0</v>
      </c>
      <c r="I29" s="98">
        <f t="shared" si="29"/>
        <v>0</v>
      </c>
      <c r="J29" s="1"/>
      <c r="K29" s="567">
        <f t="shared" ref="K29:K37" si="38">IF((J29-J28)&lt;0,"0",(J29-J28))</f>
        <v>0</v>
      </c>
      <c r="L29" s="98">
        <f t="shared" si="30"/>
        <v>0</v>
      </c>
      <c r="M29" s="1"/>
      <c r="N29" s="567">
        <f t="shared" si="31"/>
        <v>0</v>
      </c>
      <c r="O29" s="98">
        <f t="shared" si="32"/>
        <v>0</v>
      </c>
      <c r="P29" s="454"/>
      <c r="Q29" s="567">
        <f t="shared" si="33"/>
        <v>0</v>
      </c>
      <c r="R29" s="299"/>
      <c r="S29" s="294">
        <f t="shared" si="34"/>
        <v>0</v>
      </c>
      <c r="T29" s="455"/>
      <c r="U29" s="568">
        <f t="shared" si="35"/>
        <v>0</v>
      </c>
      <c r="V29" s="294">
        <f t="shared" si="28"/>
        <v>0</v>
      </c>
      <c r="W29" s="455"/>
      <c r="X29" s="568">
        <f t="shared" si="18"/>
        <v>0</v>
      </c>
      <c r="Y29" s="294">
        <f t="shared" si="11"/>
        <v>0</v>
      </c>
      <c r="Z29" s="455"/>
      <c r="AA29" s="568">
        <f t="shared" si="19"/>
        <v>0</v>
      </c>
      <c r="AB29" s="294">
        <f t="shared" si="12"/>
        <v>0</v>
      </c>
      <c r="AC29" s="295"/>
      <c r="AD29" s="568">
        <f t="shared" si="20"/>
        <v>0</v>
      </c>
      <c r="AE29" s="294">
        <f t="shared" si="13"/>
        <v>0</v>
      </c>
      <c r="AF29" s="456"/>
      <c r="AG29" s="568">
        <f t="shared" si="21"/>
        <v>0</v>
      </c>
      <c r="AH29" s="294">
        <f t="shared" si="14"/>
        <v>0</v>
      </c>
      <c r="AI29" s="456"/>
      <c r="AJ29" s="568">
        <f t="shared" si="23"/>
        <v>0</v>
      </c>
      <c r="AK29" s="375">
        <f t="shared" si="15"/>
        <v>0</v>
      </c>
      <c r="AL29" s="455"/>
      <c r="AM29" s="568">
        <f t="shared" si="22"/>
        <v>0</v>
      </c>
      <c r="AN29" s="460">
        <f t="shared" si="24"/>
        <v>0</v>
      </c>
    </row>
    <row r="30" spans="1:40" ht="23.1" customHeight="1">
      <c r="A30" s="58">
        <f>Gen!B35</f>
        <v>43976</v>
      </c>
      <c r="B30" s="4"/>
      <c r="C30" s="98">
        <f t="shared" si="37"/>
        <v>0</v>
      </c>
      <c r="D30" s="1"/>
      <c r="E30" s="567">
        <f t="shared" si="26"/>
        <v>0</v>
      </c>
      <c r="F30" s="98">
        <f t="shared" si="2"/>
        <v>0</v>
      </c>
      <c r="G30" s="458"/>
      <c r="H30" s="567">
        <f t="shared" si="36"/>
        <v>0</v>
      </c>
      <c r="I30" s="98">
        <f t="shared" si="29"/>
        <v>0</v>
      </c>
      <c r="J30" s="1"/>
      <c r="K30" s="567">
        <f t="shared" si="38"/>
        <v>0</v>
      </c>
      <c r="L30" s="98">
        <f t="shared" si="30"/>
        <v>0</v>
      </c>
      <c r="M30" s="1"/>
      <c r="N30" s="567">
        <f t="shared" si="31"/>
        <v>0</v>
      </c>
      <c r="O30" s="98">
        <f t="shared" si="32"/>
        <v>0</v>
      </c>
      <c r="P30" s="454"/>
      <c r="Q30" s="567">
        <f t="shared" si="33"/>
        <v>0</v>
      </c>
      <c r="R30" s="299"/>
      <c r="S30" s="294">
        <f t="shared" si="34"/>
        <v>0</v>
      </c>
      <c r="T30" s="455"/>
      <c r="U30" s="568">
        <f t="shared" si="35"/>
        <v>0</v>
      </c>
      <c r="V30" s="294">
        <f t="shared" si="28"/>
        <v>0</v>
      </c>
      <c r="W30" s="455"/>
      <c r="X30" s="568">
        <f t="shared" si="18"/>
        <v>0</v>
      </c>
      <c r="Y30" s="294">
        <f t="shared" si="11"/>
        <v>0</v>
      </c>
      <c r="Z30" s="455"/>
      <c r="AA30" s="568">
        <f t="shared" si="19"/>
        <v>0</v>
      </c>
      <c r="AB30" s="294">
        <f t="shared" si="12"/>
        <v>0</v>
      </c>
      <c r="AC30" s="295"/>
      <c r="AD30" s="568">
        <f t="shared" si="20"/>
        <v>0</v>
      </c>
      <c r="AE30" s="294">
        <f t="shared" si="13"/>
        <v>0</v>
      </c>
      <c r="AF30" s="456"/>
      <c r="AG30" s="568">
        <f t="shared" si="21"/>
        <v>0</v>
      </c>
      <c r="AH30" s="294">
        <f t="shared" si="14"/>
        <v>0</v>
      </c>
      <c r="AI30" s="456"/>
      <c r="AJ30" s="568">
        <f t="shared" si="23"/>
        <v>0</v>
      </c>
      <c r="AK30" s="375">
        <f t="shared" si="15"/>
        <v>0</v>
      </c>
      <c r="AL30" s="455"/>
      <c r="AM30" s="568">
        <f t="shared" si="22"/>
        <v>0</v>
      </c>
      <c r="AN30" s="460">
        <f t="shared" si="24"/>
        <v>0</v>
      </c>
    </row>
    <row r="31" spans="1:40" ht="23.1" customHeight="1">
      <c r="A31" s="58">
        <f>Gen!B36</f>
        <v>43977</v>
      </c>
      <c r="B31" s="4"/>
      <c r="C31" s="98">
        <f t="shared" si="37"/>
        <v>0</v>
      </c>
      <c r="D31" s="1"/>
      <c r="E31" s="567">
        <f t="shared" si="26"/>
        <v>0</v>
      </c>
      <c r="F31" s="98">
        <f t="shared" si="2"/>
        <v>0</v>
      </c>
      <c r="G31" s="458"/>
      <c r="H31" s="567">
        <f t="shared" si="36"/>
        <v>0</v>
      </c>
      <c r="I31" s="98">
        <f t="shared" si="29"/>
        <v>0</v>
      </c>
      <c r="J31" s="1"/>
      <c r="K31" s="567">
        <f t="shared" si="38"/>
        <v>0</v>
      </c>
      <c r="L31" s="98">
        <f t="shared" si="30"/>
        <v>0</v>
      </c>
      <c r="M31" s="1"/>
      <c r="N31" s="567">
        <f t="shared" si="31"/>
        <v>0</v>
      </c>
      <c r="O31" s="98">
        <f t="shared" si="32"/>
        <v>0</v>
      </c>
      <c r="P31" s="454"/>
      <c r="Q31" s="567">
        <f t="shared" si="33"/>
        <v>0</v>
      </c>
      <c r="R31" s="299"/>
      <c r="S31" s="294">
        <f t="shared" si="34"/>
        <v>0</v>
      </c>
      <c r="T31" s="455"/>
      <c r="U31" s="568">
        <f t="shared" si="35"/>
        <v>0</v>
      </c>
      <c r="V31" s="294">
        <f t="shared" si="28"/>
        <v>0</v>
      </c>
      <c r="W31" s="455"/>
      <c r="X31" s="568">
        <f t="shared" si="18"/>
        <v>0</v>
      </c>
      <c r="Y31" s="294">
        <f t="shared" si="11"/>
        <v>0</v>
      </c>
      <c r="Z31" s="455"/>
      <c r="AA31" s="568">
        <f t="shared" si="19"/>
        <v>0</v>
      </c>
      <c r="AB31" s="294">
        <f t="shared" si="12"/>
        <v>0</v>
      </c>
      <c r="AC31" s="295"/>
      <c r="AD31" s="568">
        <f t="shared" si="20"/>
        <v>0</v>
      </c>
      <c r="AE31" s="294">
        <f t="shared" si="13"/>
        <v>0</v>
      </c>
      <c r="AF31" s="456"/>
      <c r="AG31" s="568">
        <f t="shared" si="21"/>
        <v>0</v>
      </c>
      <c r="AH31" s="294">
        <f t="shared" si="14"/>
        <v>0</v>
      </c>
      <c r="AI31" s="456"/>
      <c r="AJ31" s="568">
        <f t="shared" si="23"/>
        <v>0</v>
      </c>
      <c r="AK31" s="375">
        <f t="shared" si="15"/>
        <v>0</v>
      </c>
      <c r="AL31" s="455"/>
      <c r="AM31" s="568">
        <f t="shared" si="22"/>
        <v>0</v>
      </c>
      <c r="AN31" s="460">
        <f t="shared" si="24"/>
        <v>0</v>
      </c>
    </row>
    <row r="32" spans="1:40" ht="23.1" customHeight="1">
      <c r="A32" s="58">
        <f>Gen!B37</f>
        <v>43978</v>
      </c>
      <c r="B32" s="4" t="s">
        <v>27</v>
      </c>
      <c r="C32" s="98">
        <f t="shared" si="37"/>
        <v>0</v>
      </c>
      <c r="D32" s="1"/>
      <c r="E32" s="567">
        <f t="shared" si="26"/>
        <v>0</v>
      </c>
      <c r="F32" s="98">
        <f t="shared" si="2"/>
        <v>0</v>
      </c>
      <c r="G32" s="458"/>
      <c r="H32" s="567">
        <f t="shared" si="36"/>
        <v>0</v>
      </c>
      <c r="I32" s="98">
        <f t="shared" si="29"/>
        <v>0</v>
      </c>
      <c r="J32" s="1"/>
      <c r="K32" s="567">
        <f t="shared" si="38"/>
        <v>0</v>
      </c>
      <c r="L32" s="98">
        <f t="shared" si="30"/>
        <v>0</v>
      </c>
      <c r="M32" s="1"/>
      <c r="N32" s="567">
        <f t="shared" si="31"/>
        <v>0</v>
      </c>
      <c r="O32" s="98">
        <f t="shared" si="32"/>
        <v>0</v>
      </c>
      <c r="P32" s="454"/>
      <c r="Q32" s="567">
        <f t="shared" si="33"/>
        <v>0</v>
      </c>
      <c r="R32" s="299"/>
      <c r="S32" s="294">
        <f t="shared" si="34"/>
        <v>0</v>
      </c>
      <c r="T32" s="455"/>
      <c r="U32" s="568">
        <f t="shared" si="35"/>
        <v>0</v>
      </c>
      <c r="V32" s="294">
        <f t="shared" si="28"/>
        <v>0</v>
      </c>
      <c r="W32" s="455"/>
      <c r="X32" s="568">
        <f t="shared" si="18"/>
        <v>0</v>
      </c>
      <c r="Y32" s="294">
        <f t="shared" si="11"/>
        <v>0</v>
      </c>
      <c r="Z32" s="455"/>
      <c r="AA32" s="568">
        <f t="shared" si="19"/>
        <v>0</v>
      </c>
      <c r="AB32" s="294">
        <f t="shared" si="12"/>
        <v>0</v>
      </c>
      <c r="AC32" s="295"/>
      <c r="AD32" s="568">
        <f t="shared" si="20"/>
        <v>0</v>
      </c>
      <c r="AE32" s="294">
        <f t="shared" si="13"/>
        <v>0</v>
      </c>
      <c r="AF32" s="456"/>
      <c r="AG32" s="568">
        <f t="shared" si="21"/>
        <v>0</v>
      </c>
      <c r="AH32" s="294">
        <f t="shared" si="14"/>
        <v>0</v>
      </c>
      <c r="AI32" s="456"/>
      <c r="AJ32" s="568">
        <f t="shared" si="23"/>
        <v>0</v>
      </c>
      <c r="AK32" s="375">
        <f t="shared" si="15"/>
        <v>0</v>
      </c>
      <c r="AL32" s="455"/>
      <c r="AM32" s="568">
        <f t="shared" si="22"/>
        <v>0</v>
      </c>
      <c r="AN32" s="460">
        <f t="shared" si="24"/>
        <v>0</v>
      </c>
    </row>
    <row r="33" spans="1:41" ht="23.1" customHeight="1">
      <c r="A33" s="58">
        <f>Gen!B38</f>
        <v>43979</v>
      </c>
      <c r="B33" s="4"/>
      <c r="C33" s="98">
        <f t="shared" si="37"/>
        <v>0</v>
      </c>
      <c r="D33" s="1"/>
      <c r="E33" s="567">
        <f t="shared" si="26"/>
        <v>0</v>
      </c>
      <c r="F33" s="98">
        <f t="shared" si="2"/>
        <v>0</v>
      </c>
      <c r="G33" s="458"/>
      <c r="H33" s="567">
        <f t="shared" si="36"/>
        <v>0</v>
      </c>
      <c r="I33" s="98">
        <f t="shared" si="29"/>
        <v>0</v>
      </c>
      <c r="J33" s="1"/>
      <c r="K33" s="567">
        <f t="shared" si="38"/>
        <v>0</v>
      </c>
      <c r="L33" s="98">
        <f t="shared" si="30"/>
        <v>0</v>
      </c>
      <c r="M33" s="1"/>
      <c r="N33" s="567">
        <f t="shared" si="31"/>
        <v>0</v>
      </c>
      <c r="O33" s="98">
        <f t="shared" si="32"/>
        <v>0</v>
      </c>
      <c r="P33" s="454"/>
      <c r="Q33" s="567">
        <f t="shared" si="33"/>
        <v>0</v>
      </c>
      <c r="R33" s="299"/>
      <c r="S33" s="294">
        <f t="shared" si="34"/>
        <v>0</v>
      </c>
      <c r="T33" s="455"/>
      <c r="U33" s="568">
        <f t="shared" si="35"/>
        <v>0</v>
      </c>
      <c r="V33" s="294">
        <f t="shared" si="28"/>
        <v>0</v>
      </c>
      <c r="W33" s="455"/>
      <c r="X33" s="568">
        <f t="shared" si="18"/>
        <v>0</v>
      </c>
      <c r="Y33" s="294">
        <f t="shared" si="11"/>
        <v>0</v>
      </c>
      <c r="Z33" s="455"/>
      <c r="AA33" s="568">
        <f t="shared" si="19"/>
        <v>0</v>
      </c>
      <c r="AB33" s="294">
        <f t="shared" si="12"/>
        <v>0</v>
      </c>
      <c r="AC33" s="295"/>
      <c r="AD33" s="568">
        <f t="shared" si="20"/>
        <v>0</v>
      </c>
      <c r="AE33" s="294">
        <f t="shared" si="13"/>
        <v>0</v>
      </c>
      <c r="AF33" s="456"/>
      <c r="AG33" s="568">
        <f t="shared" si="21"/>
        <v>0</v>
      </c>
      <c r="AH33" s="294">
        <f t="shared" si="14"/>
        <v>0</v>
      </c>
      <c r="AI33" s="456"/>
      <c r="AJ33" s="568">
        <f t="shared" si="23"/>
        <v>0</v>
      </c>
      <c r="AK33" s="375">
        <f t="shared" si="15"/>
        <v>0</v>
      </c>
      <c r="AL33" s="455"/>
      <c r="AM33" s="568">
        <f t="shared" si="22"/>
        <v>0</v>
      </c>
      <c r="AN33" s="460">
        <f t="shared" si="24"/>
        <v>0</v>
      </c>
    </row>
    <row r="34" spans="1:41" ht="23.1" customHeight="1">
      <c r="A34" s="58">
        <f>Gen!B39</f>
        <v>43980</v>
      </c>
      <c r="B34" s="171"/>
      <c r="C34" s="98">
        <f t="shared" si="37"/>
        <v>0</v>
      </c>
      <c r="D34" s="1"/>
      <c r="E34" s="567">
        <f t="shared" si="26"/>
        <v>0</v>
      </c>
      <c r="F34" s="98">
        <f t="shared" si="2"/>
        <v>0</v>
      </c>
      <c r="G34" s="458"/>
      <c r="H34" s="567">
        <f t="shared" si="36"/>
        <v>0</v>
      </c>
      <c r="I34" s="98">
        <f t="shared" si="29"/>
        <v>0</v>
      </c>
      <c r="J34" s="1"/>
      <c r="K34" s="567">
        <f t="shared" si="38"/>
        <v>0</v>
      </c>
      <c r="L34" s="98">
        <f t="shared" si="30"/>
        <v>0</v>
      </c>
      <c r="M34" s="1"/>
      <c r="N34" s="567">
        <f t="shared" si="31"/>
        <v>0</v>
      </c>
      <c r="O34" s="98">
        <f t="shared" si="32"/>
        <v>0</v>
      </c>
      <c r="P34" s="454"/>
      <c r="Q34" s="567">
        <f t="shared" si="33"/>
        <v>0</v>
      </c>
      <c r="R34" s="299"/>
      <c r="S34" s="294">
        <f t="shared" si="34"/>
        <v>0</v>
      </c>
      <c r="T34" s="455"/>
      <c r="U34" s="568">
        <f t="shared" si="35"/>
        <v>0</v>
      </c>
      <c r="V34" s="294">
        <f t="shared" si="28"/>
        <v>0</v>
      </c>
      <c r="W34" s="455"/>
      <c r="X34" s="568">
        <f t="shared" si="18"/>
        <v>0</v>
      </c>
      <c r="Y34" s="294">
        <f t="shared" si="11"/>
        <v>0</v>
      </c>
      <c r="Z34" s="455"/>
      <c r="AA34" s="568">
        <f t="shared" si="19"/>
        <v>0</v>
      </c>
      <c r="AB34" s="294">
        <f t="shared" si="12"/>
        <v>0</v>
      </c>
      <c r="AC34" s="295"/>
      <c r="AD34" s="568">
        <f t="shared" si="20"/>
        <v>0</v>
      </c>
      <c r="AE34" s="294">
        <f t="shared" si="13"/>
        <v>0</v>
      </c>
      <c r="AF34" s="456"/>
      <c r="AG34" s="568">
        <f t="shared" si="21"/>
        <v>0</v>
      </c>
      <c r="AH34" s="294">
        <f t="shared" si="14"/>
        <v>0</v>
      </c>
      <c r="AI34" s="456"/>
      <c r="AJ34" s="568">
        <f t="shared" si="23"/>
        <v>0</v>
      </c>
      <c r="AK34" s="375">
        <f t="shared" si="15"/>
        <v>0</v>
      </c>
      <c r="AL34" s="455"/>
      <c r="AM34" s="568">
        <f t="shared" si="22"/>
        <v>0</v>
      </c>
      <c r="AN34" s="460">
        <f t="shared" si="24"/>
        <v>0</v>
      </c>
    </row>
    <row r="35" spans="1:41" ht="23.1" customHeight="1">
      <c r="A35" s="58">
        <f>Gen!B40</f>
        <v>43981</v>
      </c>
      <c r="B35" s="171"/>
      <c r="C35" s="98">
        <f t="shared" si="37"/>
        <v>0</v>
      </c>
      <c r="D35" s="1"/>
      <c r="E35" s="567">
        <f t="shared" si="26"/>
        <v>0</v>
      </c>
      <c r="F35" s="98">
        <f t="shared" si="2"/>
        <v>0</v>
      </c>
      <c r="G35" s="458"/>
      <c r="H35" s="567">
        <f t="shared" si="36"/>
        <v>0</v>
      </c>
      <c r="I35" s="98">
        <f t="shared" si="29"/>
        <v>0</v>
      </c>
      <c r="J35" s="1"/>
      <c r="K35" s="567">
        <f t="shared" si="38"/>
        <v>0</v>
      </c>
      <c r="L35" s="98">
        <f t="shared" si="30"/>
        <v>0</v>
      </c>
      <c r="M35" s="1"/>
      <c r="N35" s="567">
        <f t="shared" si="31"/>
        <v>0</v>
      </c>
      <c r="O35" s="98">
        <f t="shared" si="32"/>
        <v>0</v>
      </c>
      <c r="P35" s="454"/>
      <c r="Q35" s="567">
        <f t="shared" si="33"/>
        <v>0</v>
      </c>
      <c r="R35" s="299"/>
      <c r="S35" s="294">
        <f t="shared" si="34"/>
        <v>0</v>
      </c>
      <c r="T35" s="455"/>
      <c r="U35" s="568">
        <f t="shared" si="35"/>
        <v>0</v>
      </c>
      <c r="V35" s="294">
        <f t="shared" si="28"/>
        <v>0</v>
      </c>
      <c r="W35" s="455"/>
      <c r="X35" s="568">
        <f t="shared" si="18"/>
        <v>0</v>
      </c>
      <c r="Y35" s="294">
        <f t="shared" si="11"/>
        <v>0</v>
      </c>
      <c r="Z35" s="455"/>
      <c r="AA35" s="568">
        <f t="shared" si="19"/>
        <v>0</v>
      </c>
      <c r="AB35" s="294">
        <f t="shared" si="12"/>
        <v>0</v>
      </c>
      <c r="AC35" s="295"/>
      <c r="AD35" s="568">
        <f t="shared" si="20"/>
        <v>0</v>
      </c>
      <c r="AE35" s="294">
        <f t="shared" si="13"/>
        <v>0</v>
      </c>
      <c r="AF35" s="456"/>
      <c r="AG35" s="568">
        <f t="shared" si="21"/>
        <v>0</v>
      </c>
      <c r="AH35" s="294">
        <f t="shared" si="14"/>
        <v>0</v>
      </c>
      <c r="AI35" s="456"/>
      <c r="AJ35" s="568">
        <f t="shared" si="23"/>
        <v>0</v>
      </c>
      <c r="AK35" s="375">
        <f t="shared" si="15"/>
        <v>0</v>
      </c>
      <c r="AL35" s="455"/>
      <c r="AM35" s="568">
        <f t="shared" si="22"/>
        <v>0</v>
      </c>
      <c r="AN35" s="460">
        <f t="shared" si="24"/>
        <v>0</v>
      </c>
    </row>
    <row r="36" spans="1:41" ht="23.1" customHeight="1">
      <c r="A36" s="58">
        <f>Gen!B41</f>
        <v>43982</v>
      </c>
      <c r="B36" s="172"/>
      <c r="C36" s="98">
        <f t="shared" si="37"/>
        <v>0</v>
      </c>
      <c r="D36" s="1"/>
      <c r="E36" s="567">
        <f t="shared" si="26"/>
        <v>0</v>
      </c>
      <c r="F36" s="98">
        <f t="shared" si="2"/>
        <v>0</v>
      </c>
      <c r="G36" s="458"/>
      <c r="H36" s="567">
        <f t="shared" si="36"/>
        <v>0</v>
      </c>
      <c r="I36" s="98">
        <f t="shared" si="29"/>
        <v>0</v>
      </c>
      <c r="J36" s="1"/>
      <c r="K36" s="567">
        <f t="shared" si="38"/>
        <v>0</v>
      </c>
      <c r="L36" s="98">
        <f t="shared" si="30"/>
        <v>0</v>
      </c>
      <c r="M36" s="1"/>
      <c r="N36" s="567">
        <f t="shared" si="31"/>
        <v>0</v>
      </c>
      <c r="O36" s="98">
        <f t="shared" si="32"/>
        <v>0</v>
      </c>
      <c r="P36" s="454"/>
      <c r="Q36" s="567">
        <f t="shared" si="33"/>
        <v>0</v>
      </c>
      <c r="R36" s="299"/>
      <c r="S36" s="294">
        <f t="shared" si="34"/>
        <v>0</v>
      </c>
      <c r="T36" s="455"/>
      <c r="U36" s="568">
        <f t="shared" si="35"/>
        <v>0</v>
      </c>
      <c r="V36" s="294">
        <f t="shared" si="28"/>
        <v>0</v>
      </c>
      <c r="W36" s="455"/>
      <c r="X36" s="568">
        <f t="shared" si="18"/>
        <v>0</v>
      </c>
      <c r="Y36" s="294">
        <f t="shared" si="11"/>
        <v>0</v>
      </c>
      <c r="Z36" s="455"/>
      <c r="AA36" s="568">
        <f t="shared" si="19"/>
        <v>0</v>
      </c>
      <c r="AB36" s="294">
        <f t="shared" si="12"/>
        <v>0</v>
      </c>
      <c r="AC36" s="295"/>
      <c r="AD36" s="568">
        <f t="shared" si="20"/>
        <v>0</v>
      </c>
      <c r="AE36" s="294">
        <f t="shared" si="13"/>
        <v>0</v>
      </c>
      <c r="AF36" s="456"/>
      <c r="AG36" s="568">
        <f t="shared" si="21"/>
        <v>0</v>
      </c>
      <c r="AH36" s="294">
        <f t="shared" si="14"/>
        <v>0</v>
      </c>
      <c r="AI36" s="456"/>
      <c r="AJ36" s="568">
        <f t="shared" si="23"/>
        <v>0</v>
      </c>
      <c r="AK36" s="375">
        <f t="shared" si="15"/>
        <v>0</v>
      </c>
      <c r="AL36" s="455"/>
      <c r="AM36" s="568">
        <f t="shared" si="22"/>
        <v>0</v>
      </c>
      <c r="AN36" s="460">
        <f t="shared" si="24"/>
        <v>0</v>
      </c>
    </row>
    <row r="37" spans="1:41" ht="24" customHeight="1">
      <c r="A37" s="58">
        <f>Gen!B42</f>
        <v>43983</v>
      </c>
      <c r="B37" s="3"/>
      <c r="C37" s="98">
        <f t="shared" si="37"/>
        <v>0</v>
      </c>
      <c r="D37" s="1"/>
      <c r="E37" s="567">
        <f t="shared" si="26"/>
        <v>0</v>
      </c>
      <c r="F37" s="98">
        <f t="shared" si="2"/>
        <v>0</v>
      </c>
      <c r="G37" s="458"/>
      <c r="H37" s="567">
        <f t="shared" si="36"/>
        <v>0</v>
      </c>
      <c r="I37" s="98">
        <f t="shared" si="29"/>
        <v>0</v>
      </c>
      <c r="J37" s="1"/>
      <c r="K37" s="567">
        <f t="shared" si="38"/>
        <v>0</v>
      </c>
      <c r="L37" s="98">
        <f t="shared" si="30"/>
        <v>0</v>
      </c>
      <c r="M37" s="1"/>
      <c r="N37" s="567">
        <f t="shared" si="31"/>
        <v>0</v>
      </c>
      <c r="O37" s="98">
        <f t="shared" si="32"/>
        <v>0</v>
      </c>
      <c r="P37" s="454"/>
      <c r="Q37" s="567">
        <f t="shared" si="33"/>
        <v>0</v>
      </c>
      <c r="R37" s="299"/>
      <c r="S37" s="294">
        <f t="shared" si="34"/>
        <v>0</v>
      </c>
      <c r="T37" s="455"/>
      <c r="U37" s="568">
        <f t="shared" si="35"/>
        <v>0</v>
      </c>
      <c r="V37" s="294">
        <f t="shared" si="28"/>
        <v>0</v>
      </c>
      <c r="W37" s="455"/>
      <c r="X37" s="568">
        <f t="shared" si="18"/>
        <v>0</v>
      </c>
      <c r="Y37" s="294">
        <f t="shared" si="11"/>
        <v>0</v>
      </c>
      <c r="Z37" s="455"/>
      <c r="AA37" s="568">
        <f t="shared" si="19"/>
        <v>0</v>
      </c>
      <c r="AB37" s="294">
        <f t="shared" si="12"/>
        <v>0</v>
      </c>
      <c r="AC37" s="295"/>
      <c r="AD37" s="568">
        <f t="shared" si="20"/>
        <v>0</v>
      </c>
      <c r="AE37" s="294">
        <f t="shared" si="13"/>
        <v>0</v>
      </c>
      <c r="AF37" s="456"/>
      <c r="AG37" s="568">
        <f t="shared" si="21"/>
        <v>0</v>
      </c>
      <c r="AH37" s="294">
        <f t="shared" si="14"/>
        <v>0</v>
      </c>
      <c r="AI37" s="456"/>
      <c r="AJ37" s="568">
        <f t="shared" si="23"/>
        <v>0</v>
      </c>
      <c r="AK37" s="375">
        <f t="shared" si="15"/>
        <v>0</v>
      </c>
      <c r="AL37" s="455"/>
      <c r="AM37" s="568">
        <f t="shared" si="22"/>
        <v>0</v>
      </c>
      <c r="AN37" s="460">
        <f t="shared" ref="AN37" si="39">U38+X38+AA38+AD38+AG38+AJ38+AM38</f>
        <v>281</v>
      </c>
    </row>
    <row r="38" spans="1:41" ht="17.25">
      <c r="A38" s="58"/>
      <c r="B38" s="22"/>
      <c r="C38" s="893" t="s">
        <v>6</v>
      </c>
      <c r="D38" s="893"/>
      <c r="E38" s="23">
        <f>SUM(E6:E36)</f>
        <v>571</v>
      </c>
      <c r="F38" s="24" t="s">
        <v>21</v>
      </c>
      <c r="G38" s="25"/>
      <c r="H38" s="26">
        <f>SUM(H6:H37)</f>
        <v>0</v>
      </c>
      <c r="I38" s="27"/>
      <c r="J38" s="24"/>
      <c r="K38" s="28">
        <f>SUM(K6:K37)</f>
        <v>7</v>
      </c>
      <c r="L38" s="170"/>
      <c r="M38" s="170"/>
      <c r="N38" s="29">
        <f t="shared" ref="N38" si="40">M38-M37</f>
        <v>0</v>
      </c>
      <c r="O38" s="27"/>
      <c r="P38" s="296"/>
      <c r="Q38" s="297">
        <f t="shared" ref="Q38" si="41">P38-O38</f>
        <v>0</v>
      </c>
      <c r="R38" s="298">
        <f>E38</f>
        <v>571</v>
      </c>
      <c r="S38" s="296"/>
      <c r="T38" s="296"/>
      <c r="U38" s="306">
        <f>SUM(U6:U37)</f>
        <v>281</v>
      </c>
      <c r="V38" s="296"/>
      <c r="W38" s="296"/>
      <c r="X38" s="296"/>
      <c r="Y38" s="296"/>
      <c r="Z38" s="296"/>
      <c r="AA38" s="296"/>
      <c r="AB38" s="296"/>
      <c r="AC38" s="296"/>
      <c r="AD38" s="296"/>
      <c r="AE38" s="296"/>
      <c r="AF38" s="296"/>
      <c r="AG38" s="296"/>
      <c r="AH38" s="296"/>
      <c r="AI38" s="296"/>
      <c r="AJ38" s="296"/>
      <c r="AK38" s="296"/>
      <c r="AL38" s="296"/>
      <c r="AM38" s="296"/>
      <c r="AN38" s="302">
        <f t="shared" ref="AN38" si="42">U38+X38+AA38+AD38+AG38+AJ38+AM38</f>
        <v>281</v>
      </c>
    </row>
    <row r="40" spans="1:41">
      <c r="R40" s="20"/>
      <c r="AF40" t="s">
        <v>254</v>
      </c>
    </row>
    <row r="41" spans="1:41" ht="13.5" thickBot="1">
      <c r="R41" s="20"/>
    </row>
    <row r="42" spans="1:41" ht="18.75" thickBot="1">
      <c r="A42" s="862"/>
      <c r="B42" s="331"/>
      <c r="C42" s="859" t="s">
        <v>222</v>
      </c>
      <c r="D42" s="860"/>
      <c r="E42" s="860"/>
      <c r="F42" s="860"/>
      <c r="G42" s="860"/>
      <c r="H42" s="860"/>
      <c r="I42" s="860"/>
      <c r="J42" s="860"/>
      <c r="K42" s="861"/>
      <c r="R42" s="20"/>
    </row>
    <row r="43" spans="1:41" ht="24.75" customHeight="1">
      <c r="A43" s="863"/>
      <c r="B43" s="20"/>
      <c r="C43" s="865" t="s">
        <v>216</v>
      </c>
      <c r="D43" s="866"/>
      <c r="E43" s="867" t="s">
        <v>237</v>
      </c>
      <c r="F43" s="868"/>
      <c r="G43" s="869" t="s">
        <v>217</v>
      </c>
      <c r="H43" s="870"/>
      <c r="I43" s="869" t="s">
        <v>238</v>
      </c>
      <c r="J43" s="870"/>
      <c r="K43" s="857" t="s">
        <v>223</v>
      </c>
      <c r="R43" s="20"/>
      <c r="T43" s="577"/>
      <c r="U43" s="577"/>
      <c r="V43" s="577"/>
      <c r="W43" s="577"/>
      <c r="X43" s="577"/>
      <c r="Y43" s="577"/>
      <c r="Z43" s="577"/>
      <c r="AA43" s="577"/>
      <c r="AB43" s="577"/>
      <c r="AC43" s="577"/>
      <c r="AD43" s="577"/>
      <c r="AE43" s="577"/>
      <c r="AF43" s="577"/>
      <c r="AG43" s="577"/>
      <c r="AH43" s="577"/>
      <c r="AI43" s="577"/>
      <c r="AJ43" s="577"/>
      <c r="AK43" s="577"/>
      <c r="AL43" s="577"/>
      <c r="AM43" s="577"/>
      <c r="AN43" s="577"/>
      <c r="AO43" s="577"/>
    </row>
    <row r="44" spans="1:41" ht="21" customHeight="1" thickBot="1">
      <c r="A44" s="863"/>
      <c r="B44" s="20"/>
      <c r="C44" s="871" t="s">
        <v>218</v>
      </c>
      <c r="D44" s="872"/>
      <c r="E44" s="871" t="s">
        <v>219</v>
      </c>
      <c r="F44" s="872"/>
      <c r="G44" s="871" t="s">
        <v>220</v>
      </c>
      <c r="H44" s="872"/>
      <c r="I44" s="871" t="s">
        <v>221</v>
      </c>
      <c r="J44" s="872"/>
      <c r="K44" s="858"/>
      <c r="R44" s="20"/>
      <c r="T44" s="577"/>
      <c r="U44" s="577"/>
      <c r="V44" s="577"/>
      <c r="W44" s="577"/>
      <c r="X44" s="577"/>
      <c r="Y44" s="577"/>
      <c r="Z44" s="577"/>
      <c r="AA44" s="577"/>
      <c r="AB44" s="577"/>
      <c r="AC44" s="577"/>
      <c r="AD44" s="577"/>
      <c r="AE44" s="577"/>
      <c r="AF44" s="577"/>
      <c r="AG44" s="577"/>
      <c r="AH44" s="577"/>
      <c r="AI44" s="577"/>
      <c r="AJ44" s="577"/>
      <c r="AK44" s="577"/>
      <c r="AL44" s="577"/>
      <c r="AM44" s="577"/>
      <c r="AN44" s="577"/>
      <c r="AO44" s="577"/>
    </row>
    <row r="45" spans="1:41" ht="21" customHeight="1" thickBot="1">
      <c r="A45" s="864"/>
      <c r="B45" s="20"/>
      <c r="C45" s="387" t="s">
        <v>225</v>
      </c>
      <c r="D45" s="388" t="s">
        <v>224</v>
      </c>
      <c r="E45" s="389" t="s">
        <v>225</v>
      </c>
      <c r="F45" s="390" t="s">
        <v>224</v>
      </c>
      <c r="G45" s="569"/>
      <c r="H45" s="390" t="s">
        <v>224</v>
      </c>
      <c r="I45" s="389" t="s">
        <v>225</v>
      </c>
      <c r="J45" s="390" t="s">
        <v>224</v>
      </c>
      <c r="K45" s="391" t="s">
        <v>224</v>
      </c>
      <c r="R45" s="20"/>
      <c r="T45" s="577"/>
      <c r="U45" s="577"/>
      <c r="V45" s="577"/>
      <c r="W45" s="577"/>
      <c r="X45" s="577"/>
      <c r="Y45" s="577"/>
      <c r="Z45" s="577"/>
      <c r="AA45" s="577"/>
      <c r="AB45" s="577"/>
      <c r="AC45" s="577"/>
      <c r="AD45" s="577"/>
      <c r="AE45" s="577"/>
      <c r="AF45" s="577"/>
      <c r="AG45" s="577"/>
      <c r="AH45" s="577"/>
      <c r="AI45" s="577"/>
      <c r="AJ45" s="577"/>
      <c r="AK45" s="577"/>
      <c r="AL45" s="577"/>
      <c r="AM45" s="577"/>
      <c r="AN45" s="577"/>
      <c r="AO45" s="577"/>
    </row>
    <row r="46" spans="1:41" ht="20.25" customHeight="1">
      <c r="A46" s="349">
        <f>Gen!B11</f>
        <v>43952</v>
      </c>
      <c r="B46" s="20"/>
      <c r="C46" s="63">
        <v>285</v>
      </c>
      <c r="D46" s="386">
        <f t="shared" ref="D46:D77" si="43">C46*217/300</f>
        <v>206.15</v>
      </c>
      <c r="E46" s="6">
        <v>270</v>
      </c>
      <c r="F46" s="386">
        <f t="shared" ref="F46:F77" si="44">E46*92/305</f>
        <v>81.442622950819668</v>
      </c>
      <c r="G46" s="570">
        <v>225</v>
      </c>
      <c r="H46" s="386">
        <f>G46*146/383</f>
        <v>85.770234986945169</v>
      </c>
      <c r="I46" s="6">
        <v>290</v>
      </c>
      <c r="J46" s="386">
        <f>I46*213/308</f>
        <v>200.55194805194805</v>
      </c>
      <c r="K46" s="392">
        <f>D46+F46+H46+J46</f>
        <v>573.91480598971293</v>
      </c>
      <c r="T46" s="577"/>
      <c r="U46" s="577"/>
      <c r="V46" s="577"/>
      <c r="W46" s="577"/>
      <c r="X46" s="577"/>
      <c r="Y46" s="577"/>
      <c r="Z46" s="577"/>
      <c r="AA46" s="577"/>
      <c r="AB46" s="577"/>
      <c r="AC46" s="577"/>
      <c r="AD46" s="577"/>
      <c r="AE46" s="577"/>
      <c r="AF46" s="577"/>
      <c r="AG46" s="577"/>
      <c r="AH46" s="577"/>
      <c r="AI46" s="577"/>
      <c r="AJ46" s="577"/>
      <c r="AK46" s="577"/>
      <c r="AL46" s="577"/>
      <c r="AM46" s="577"/>
      <c r="AN46" s="577"/>
      <c r="AO46" s="577"/>
    </row>
    <row r="47" spans="1:41" ht="13.5">
      <c r="A47" s="349">
        <f>Gen!B12</f>
        <v>43953</v>
      </c>
      <c r="B47" s="20"/>
      <c r="C47" s="63">
        <v>285</v>
      </c>
      <c r="D47" s="386">
        <f t="shared" si="43"/>
        <v>206.15</v>
      </c>
      <c r="E47" s="6">
        <v>250</v>
      </c>
      <c r="F47" s="386">
        <f t="shared" si="44"/>
        <v>75.409836065573771</v>
      </c>
      <c r="G47" s="570">
        <v>245</v>
      </c>
      <c r="H47" s="386">
        <f t="shared" ref="H47:H77" si="45">G47*146/383</f>
        <v>93.394255874673632</v>
      </c>
      <c r="I47" s="6">
        <v>290</v>
      </c>
      <c r="J47" s="386">
        <f t="shared" ref="J47:J77" si="46">I47*213/308</f>
        <v>200.55194805194805</v>
      </c>
      <c r="K47" s="392">
        <f t="shared" ref="K47:K77" si="47">D47+F47+H47+J47</f>
        <v>575.50603999219538</v>
      </c>
      <c r="T47" s="577"/>
      <c r="U47" s="577"/>
      <c r="V47" s="577"/>
      <c r="W47" s="577"/>
      <c r="X47" s="577"/>
      <c r="Y47" s="577"/>
      <c r="Z47" s="577"/>
      <c r="AA47" s="577"/>
      <c r="AB47" s="577"/>
      <c r="AC47" s="577"/>
      <c r="AD47" s="577"/>
      <c r="AE47" s="577"/>
      <c r="AF47" s="577"/>
      <c r="AG47" s="577"/>
      <c r="AH47" s="577"/>
      <c r="AI47" s="577"/>
      <c r="AJ47" s="577"/>
      <c r="AK47" s="577"/>
      <c r="AL47" s="577"/>
      <c r="AM47" s="577"/>
      <c r="AN47" s="577"/>
      <c r="AO47" s="577"/>
    </row>
    <row r="48" spans="1:41" ht="13.5">
      <c r="A48" s="349">
        <f>Gen!B13</f>
        <v>43954</v>
      </c>
      <c r="B48" s="20"/>
      <c r="C48" s="63">
        <v>300</v>
      </c>
      <c r="D48" s="386">
        <f t="shared" si="43"/>
        <v>217</v>
      </c>
      <c r="E48" s="6">
        <v>300</v>
      </c>
      <c r="F48" s="386">
        <f t="shared" si="44"/>
        <v>90.491803278688522</v>
      </c>
      <c r="G48" s="570">
        <v>190</v>
      </c>
      <c r="H48" s="386">
        <f t="shared" si="45"/>
        <v>72.428198433420363</v>
      </c>
      <c r="I48" s="6">
        <v>290</v>
      </c>
      <c r="J48" s="386">
        <f t="shared" si="46"/>
        <v>200.55194805194805</v>
      </c>
      <c r="K48" s="392">
        <f t="shared" si="47"/>
        <v>580.47194976405694</v>
      </c>
      <c r="T48" s="577"/>
      <c r="U48" s="577"/>
      <c r="V48" s="577"/>
      <c r="W48" s="577"/>
      <c r="X48" s="577"/>
      <c r="Y48" s="577"/>
      <c r="Z48" s="577"/>
      <c r="AA48" s="577"/>
      <c r="AB48" s="577"/>
      <c r="AC48" s="577"/>
      <c r="AD48" s="577"/>
      <c r="AE48" s="577"/>
      <c r="AF48" s="577"/>
      <c r="AG48" s="577"/>
      <c r="AH48" s="577"/>
      <c r="AI48" s="577"/>
      <c r="AJ48" s="577"/>
      <c r="AK48" s="577"/>
      <c r="AL48" s="577"/>
      <c r="AM48" s="577"/>
      <c r="AN48" s="577"/>
      <c r="AO48" s="577"/>
    </row>
    <row r="49" spans="1:15" ht="13.5">
      <c r="A49" s="349">
        <f>Gen!B14</f>
        <v>43955</v>
      </c>
      <c r="B49" s="20"/>
      <c r="C49" s="63">
        <v>360</v>
      </c>
      <c r="D49" s="386">
        <f t="shared" si="43"/>
        <v>260.39999999999998</v>
      </c>
      <c r="E49" s="6">
        <v>230</v>
      </c>
      <c r="F49" s="386">
        <f t="shared" si="44"/>
        <v>69.377049180327873</v>
      </c>
      <c r="G49" s="570">
        <v>250</v>
      </c>
      <c r="H49" s="386">
        <f t="shared" si="45"/>
        <v>95.300261096605738</v>
      </c>
      <c r="I49" s="6">
        <v>290</v>
      </c>
      <c r="J49" s="386">
        <f t="shared" si="46"/>
        <v>200.55194805194805</v>
      </c>
      <c r="K49" s="392">
        <f t="shared" si="47"/>
        <v>625.62925832888163</v>
      </c>
    </row>
    <row r="50" spans="1:15" ht="13.5">
      <c r="A50" s="349">
        <f>Gen!B15</f>
        <v>43956</v>
      </c>
      <c r="B50" s="20"/>
      <c r="C50" s="63">
        <v>290</v>
      </c>
      <c r="D50" s="386">
        <f t="shared" si="43"/>
        <v>209.76666666666668</v>
      </c>
      <c r="E50" s="6">
        <v>240</v>
      </c>
      <c r="F50" s="386">
        <f t="shared" si="44"/>
        <v>72.393442622950815</v>
      </c>
      <c r="G50" s="570">
        <v>150</v>
      </c>
      <c r="H50" s="386">
        <f t="shared" si="45"/>
        <v>57.180156657963444</v>
      </c>
      <c r="I50" s="6">
        <v>285</v>
      </c>
      <c r="J50" s="386">
        <f t="shared" si="46"/>
        <v>197.09415584415584</v>
      </c>
      <c r="K50" s="392">
        <f t="shared" si="47"/>
        <v>536.43442179173678</v>
      </c>
    </row>
    <row r="51" spans="1:15" ht="13.5">
      <c r="A51" s="349">
        <f>Gen!B16</f>
        <v>43957</v>
      </c>
      <c r="B51" s="20"/>
      <c r="C51" s="63">
        <v>290</v>
      </c>
      <c r="D51" s="386">
        <f t="shared" si="43"/>
        <v>209.76666666666668</v>
      </c>
      <c r="E51" s="6">
        <v>240</v>
      </c>
      <c r="F51" s="386">
        <f t="shared" si="44"/>
        <v>72.393442622950815</v>
      </c>
      <c r="G51" s="570">
        <v>200</v>
      </c>
      <c r="H51" s="386">
        <f t="shared" si="45"/>
        <v>76.240208877284601</v>
      </c>
      <c r="I51" s="6">
        <v>290</v>
      </c>
      <c r="J51" s="386">
        <f t="shared" si="46"/>
        <v>200.55194805194805</v>
      </c>
      <c r="K51" s="392">
        <f t="shared" si="47"/>
        <v>558.95226621885013</v>
      </c>
    </row>
    <row r="52" spans="1:15" ht="13.5">
      <c r="A52" s="349">
        <f>Gen!B17</f>
        <v>43958</v>
      </c>
      <c r="B52" s="20"/>
      <c r="C52" s="63">
        <v>280</v>
      </c>
      <c r="D52" s="386">
        <f t="shared" si="43"/>
        <v>202.53333333333333</v>
      </c>
      <c r="E52" s="6">
        <v>240</v>
      </c>
      <c r="F52" s="386">
        <f t="shared" si="44"/>
        <v>72.393442622950815</v>
      </c>
      <c r="G52" s="570">
        <v>165</v>
      </c>
      <c r="H52" s="386">
        <f t="shared" si="45"/>
        <v>62.898172323759788</v>
      </c>
      <c r="I52" s="6">
        <v>285</v>
      </c>
      <c r="J52" s="386">
        <f t="shared" si="46"/>
        <v>197.09415584415584</v>
      </c>
      <c r="K52" s="392">
        <f t="shared" si="47"/>
        <v>534.91910412419975</v>
      </c>
    </row>
    <row r="53" spans="1:15" ht="13.5">
      <c r="A53" s="349">
        <f>Gen!B18</f>
        <v>43959</v>
      </c>
      <c r="B53" s="20"/>
      <c r="C53" s="63">
        <v>285</v>
      </c>
      <c r="D53" s="386">
        <f t="shared" si="43"/>
        <v>206.15</v>
      </c>
      <c r="E53" s="6">
        <v>245</v>
      </c>
      <c r="F53" s="386">
        <f t="shared" si="44"/>
        <v>73.901639344262293</v>
      </c>
      <c r="G53" s="570">
        <v>150</v>
      </c>
      <c r="H53" s="386">
        <f t="shared" si="45"/>
        <v>57.180156657963444</v>
      </c>
      <c r="I53" s="6">
        <v>280</v>
      </c>
      <c r="J53" s="386">
        <f t="shared" si="46"/>
        <v>193.63636363636363</v>
      </c>
      <c r="K53" s="392">
        <f t="shared" si="47"/>
        <v>530.8681596385893</v>
      </c>
    </row>
    <row r="54" spans="1:15" ht="13.5">
      <c r="A54" s="349">
        <f>Gen!B19</f>
        <v>43960</v>
      </c>
      <c r="B54" s="20"/>
      <c r="C54" s="63">
        <v>250</v>
      </c>
      <c r="D54" s="386">
        <f t="shared" si="43"/>
        <v>180.83333333333334</v>
      </c>
      <c r="E54" s="6">
        <v>210</v>
      </c>
      <c r="F54" s="386">
        <f t="shared" si="44"/>
        <v>63.344262295081968</v>
      </c>
      <c r="G54" s="570">
        <v>200</v>
      </c>
      <c r="H54" s="386">
        <f t="shared" si="45"/>
        <v>76.240208877284601</v>
      </c>
      <c r="I54" s="6">
        <v>290</v>
      </c>
      <c r="J54" s="386">
        <f t="shared" si="46"/>
        <v>200.55194805194805</v>
      </c>
      <c r="K54" s="392">
        <f t="shared" si="47"/>
        <v>520.96975255764801</v>
      </c>
    </row>
    <row r="55" spans="1:15" ht="13.5">
      <c r="A55" s="349">
        <f>Gen!B20</f>
        <v>43961</v>
      </c>
      <c r="B55" s="20"/>
      <c r="C55" s="63">
        <v>160</v>
      </c>
      <c r="D55" s="386">
        <f t="shared" si="43"/>
        <v>115.73333333333333</v>
      </c>
      <c r="E55" s="6">
        <v>120</v>
      </c>
      <c r="F55" s="386">
        <f t="shared" si="44"/>
        <v>36.196721311475407</v>
      </c>
      <c r="G55" s="570">
        <v>270</v>
      </c>
      <c r="H55" s="386">
        <f t="shared" si="45"/>
        <v>102.9242819843342</v>
      </c>
      <c r="I55" s="6">
        <v>285</v>
      </c>
      <c r="J55" s="386">
        <f t="shared" si="46"/>
        <v>197.09415584415584</v>
      </c>
      <c r="K55" s="392">
        <f t="shared" si="47"/>
        <v>451.94849247329876</v>
      </c>
    </row>
    <row r="56" spans="1:15" ht="13.5">
      <c r="A56" s="349">
        <f>Gen!B21</f>
        <v>43962</v>
      </c>
      <c r="B56" s="20"/>
      <c r="C56" s="63">
        <v>190</v>
      </c>
      <c r="D56" s="386">
        <f t="shared" si="43"/>
        <v>137.43333333333334</v>
      </c>
      <c r="E56" s="6">
        <v>130</v>
      </c>
      <c r="F56" s="386">
        <f t="shared" si="44"/>
        <v>39.213114754098363</v>
      </c>
      <c r="G56" s="570">
        <v>150</v>
      </c>
      <c r="H56" s="386">
        <f t="shared" si="45"/>
        <v>57.180156657963444</v>
      </c>
      <c r="I56" s="6">
        <v>290</v>
      </c>
      <c r="J56" s="386">
        <f t="shared" si="46"/>
        <v>200.55194805194805</v>
      </c>
      <c r="K56" s="392">
        <f t="shared" si="47"/>
        <v>434.37855279734322</v>
      </c>
    </row>
    <row r="57" spans="1:15" ht="13.5">
      <c r="A57" s="349">
        <f>Gen!B22</f>
        <v>43963</v>
      </c>
      <c r="B57" s="20"/>
      <c r="C57" s="63">
        <v>250</v>
      </c>
      <c r="D57" s="386">
        <f t="shared" si="43"/>
        <v>180.83333333333334</v>
      </c>
      <c r="E57" s="6">
        <v>190</v>
      </c>
      <c r="F57" s="386">
        <f t="shared" si="44"/>
        <v>57.311475409836063</v>
      </c>
      <c r="G57" s="570">
        <v>100</v>
      </c>
      <c r="H57" s="386">
        <f t="shared" si="45"/>
        <v>38.120104438642301</v>
      </c>
      <c r="I57" s="6">
        <v>285</v>
      </c>
      <c r="J57" s="386">
        <f t="shared" si="46"/>
        <v>197.09415584415584</v>
      </c>
      <c r="K57" s="392">
        <f t="shared" si="47"/>
        <v>473.35906902596753</v>
      </c>
    </row>
    <row r="58" spans="1:15" ht="13.5">
      <c r="A58" s="349">
        <f>Gen!B23</f>
        <v>43964</v>
      </c>
      <c r="B58" s="20"/>
      <c r="C58" s="63">
        <v>240</v>
      </c>
      <c r="D58" s="386">
        <f t="shared" si="43"/>
        <v>173.6</v>
      </c>
      <c r="E58" s="6">
        <v>210</v>
      </c>
      <c r="F58" s="386">
        <f t="shared" si="44"/>
        <v>63.344262295081968</v>
      </c>
      <c r="G58" s="570">
        <v>220</v>
      </c>
      <c r="H58" s="386">
        <f t="shared" si="45"/>
        <v>83.86422976501305</v>
      </c>
      <c r="I58" s="6">
        <v>290</v>
      </c>
      <c r="J58" s="386">
        <f t="shared" si="46"/>
        <v>200.55194805194805</v>
      </c>
      <c r="K58" s="392">
        <f t="shared" si="47"/>
        <v>521.36044011204308</v>
      </c>
    </row>
    <row r="59" spans="1:15" ht="13.5">
      <c r="A59" s="349">
        <f>Gen!B24</f>
        <v>43965</v>
      </c>
      <c r="B59" s="20"/>
      <c r="C59" s="63">
        <v>220</v>
      </c>
      <c r="D59" s="386">
        <f t="shared" si="43"/>
        <v>159.13333333333333</v>
      </c>
      <c r="E59" s="6">
        <v>180</v>
      </c>
      <c r="F59" s="386">
        <f t="shared" si="44"/>
        <v>54.295081967213115</v>
      </c>
      <c r="G59" s="570">
        <v>200</v>
      </c>
      <c r="H59" s="386">
        <f t="shared" si="45"/>
        <v>76.240208877284601</v>
      </c>
      <c r="I59" s="6">
        <v>285</v>
      </c>
      <c r="J59" s="386">
        <f t="shared" si="46"/>
        <v>197.09415584415584</v>
      </c>
      <c r="K59" s="392">
        <f t="shared" si="47"/>
        <v>486.76278002198683</v>
      </c>
    </row>
    <row r="60" spans="1:15" ht="13.5">
      <c r="A60" s="349">
        <f>Gen!B25</f>
        <v>43966</v>
      </c>
      <c r="B60" s="20"/>
      <c r="C60" s="63">
        <v>290</v>
      </c>
      <c r="D60" s="386">
        <f t="shared" si="43"/>
        <v>209.76666666666668</v>
      </c>
      <c r="E60" s="6">
        <v>250</v>
      </c>
      <c r="F60" s="386">
        <f t="shared" si="44"/>
        <v>75.409836065573771</v>
      </c>
      <c r="G60" s="570">
        <v>200</v>
      </c>
      <c r="H60" s="386">
        <f t="shared" si="45"/>
        <v>76.240208877284601</v>
      </c>
      <c r="I60" s="6">
        <v>285</v>
      </c>
      <c r="J60" s="386">
        <f t="shared" si="46"/>
        <v>197.09415584415584</v>
      </c>
      <c r="K60" s="392">
        <f t="shared" si="47"/>
        <v>558.51086745368093</v>
      </c>
      <c r="L60" t="s">
        <v>250</v>
      </c>
      <c r="O60" t="s">
        <v>251</v>
      </c>
    </row>
    <row r="61" spans="1:15" ht="13.5">
      <c r="A61" s="349">
        <f>Gen!B26</f>
        <v>43967</v>
      </c>
      <c r="B61" s="20"/>
      <c r="C61" s="63"/>
      <c r="D61" s="386">
        <f t="shared" si="43"/>
        <v>0</v>
      </c>
      <c r="E61" s="6"/>
      <c r="F61" s="386">
        <f t="shared" si="44"/>
        <v>0</v>
      </c>
      <c r="G61" s="570"/>
      <c r="H61" s="386">
        <f t="shared" si="45"/>
        <v>0</v>
      </c>
      <c r="I61" s="6"/>
      <c r="J61" s="386">
        <f t="shared" si="46"/>
        <v>0</v>
      </c>
      <c r="K61" s="392">
        <f t="shared" si="47"/>
        <v>0</v>
      </c>
      <c r="L61" t="s">
        <v>253</v>
      </c>
      <c r="N61" t="s">
        <v>252</v>
      </c>
    </row>
    <row r="62" spans="1:15" ht="13.5">
      <c r="A62" s="349">
        <f>Gen!B27</f>
        <v>43968</v>
      </c>
      <c r="B62" s="20"/>
      <c r="C62" s="63"/>
      <c r="D62" s="386">
        <f t="shared" si="43"/>
        <v>0</v>
      </c>
      <c r="E62" s="6"/>
      <c r="F62" s="386">
        <f t="shared" si="44"/>
        <v>0</v>
      </c>
      <c r="G62" s="570"/>
      <c r="H62" s="386">
        <f t="shared" si="45"/>
        <v>0</v>
      </c>
      <c r="I62" s="6"/>
      <c r="J62" s="386">
        <f t="shared" si="46"/>
        <v>0</v>
      </c>
      <c r="K62" s="392">
        <f t="shared" si="47"/>
        <v>0</v>
      </c>
    </row>
    <row r="63" spans="1:15" ht="13.5">
      <c r="A63" s="349">
        <f>Gen!B28</f>
        <v>43969</v>
      </c>
      <c r="B63" s="20"/>
      <c r="C63" s="63"/>
      <c r="D63" s="386">
        <f t="shared" si="43"/>
        <v>0</v>
      </c>
      <c r="E63" s="6"/>
      <c r="F63" s="386">
        <f t="shared" si="44"/>
        <v>0</v>
      </c>
      <c r="G63" s="570"/>
      <c r="H63" s="386">
        <f t="shared" si="45"/>
        <v>0</v>
      </c>
      <c r="I63" s="6"/>
      <c r="J63" s="386">
        <f t="shared" si="46"/>
        <v>0</v>
      </c>
      <c r="K63" s="392">
        <f t="shared" si="47"/>
        <v>0</v>
      </c>
    </row>
    <row r="64" spans="1:15" ht="13.5">
      <c r="A64" s="349">
        <f>Gen!B29</f>
        <v>43970</v>
      </c>
      <c r="B64" s="20"/>
      <c r="C64" s="63"/>
      <c r="D64" s="386">
        <f t="shared" si="43"/>
        <v>0</v>
      </c>
      <c r="E64" s="6"/>
      <c r="F64" s="386">
        <f t="shared" si="44"/>
        <v>0</v>
      </c>
      <c r="G64" s="570"/>
      <c r="H64" s="386">
        <f t="shared" si="45"/>
        <v>0</v>
      </c>
      <c r="I64" s="6"/>
      <c r="J64" s="386">
        <f t="shared" si="46"/>
        <v>0</v>
      </c>
      <c r="K64" s="392">
        <f t="shared" si="47"/>
        <v>0</v>
      </c>
    </row>
    <row r="65" spans="1:11" ht="13.5">
      <c r="A65" s="349">
        <f>Gen!B30</f>
        <v>43971</v>
      </c>
      <c r="B65" s="20"/>
      <c r="C65" s="63"/>
      <c r="D65" s="386">
        <f t="shared" si="43"/>
        <v>0</v>
      </c>
      <c r="E65" s="6"/>
      <c r="F65" s="386">
        <f t="shared" si="44"/>
        <v>0</v>
      </c>
      <c r="G65" s="570"/>
      <c r="H65" s="386">
        <f t="shared" si="45"/>
        <v>0</v>
      </c>
      <c r="I65" s="6"/>
      <c r="J65" s="386">
        <f t="shared" si="46"/>
        <v>0</v>
      </c>
      <c r="K65" s="392">
        <f t="shared" si="47"/>
        <v>0</v>
      </c>
    </row>
    <row r="66" spans="1:11" ht="13.5">
      <c r="A66" s="349">
        <f>Gen!B31</f>
        <v>43972</v>
      </c>
      <c r="B66" s="20"/>
      <c r="C66" s="63"/>
      <c r="D66" s="386">
        <f t="shared" si="43"/>
        <v>0</v>
      </c>
      <c r="E66" s="6"/>
      <c r="F66" s="386">
        <f t="shared" si="44"/>
        <v>0</v>
      </c>
      <c r="G66" s="570"/>
      <c r="H66" s="386">
        <f t="shared" si="45"/>
        <v>0</v>
      </c>
      <c r="I66" s="6"/>
      <c r="J66" s="386">
        <f t="shared" si="46"/>
        <v>0</v>
      </c>
      <c r="K66" s="392">
        <f t="shared" si="47"/>
        <v>0</v>
      </c>
    </row>
    <row r="67" spans="1:11" ht="13.5">
      <c r="A67" s="349">
        <f>Gen!B32</f>
        <v>43973</v>
      </c>
      <c r="B67" s="20"/>
      <c r="C67" s="63"/>
      <c r="D67" s="386">
        <f t="shared" si="43"/>
        <v>0</v>
      </c>
      <c r="E67" s="6"/>
      <c r="F67" s="386">
        <f t="shared" si="44"/>
        <v>0</v>
      </c>
      <c r="G67" s="570"/>
      <c r="H67" s="386">
        <f t="shared" si="45"/>
        <v>0</v>
      </c>
      <c r="I67" s="6"/>
      <c r="J67" s="386">
        <f t="shared" si="46"/>
        <v>0</v>
      </c>
      <c r="K67" s="392">
        <f t="shared" si="47"/>
        <v>0</v>
      </c>
    </row>
    <row r="68" spans="1:11" ht="13.5">
      <c r="A68" s="349">
        <f>Gen!B33</f>
        <v>43974</v>
      </c>
      <c r="B68" s="20"/>
      <c r="C68" s="63"/>
      <c r="D68" s="386">
        <f t="shared" si="43"/>
        <v>0</v>
      </c>
      <c r="E68" s="6"/>
      <c r="F68" s="386">
        <f t="shared" si="44"/>
        <v>0</v>
      </c>
      <c r="G68" s="570"/>
      <c r="H68" s="386">
        <f t="shared" si="45"/>
        <v>0</v>
      </c>
      <c r="I68" s="6"/>
      <c r="J68" s="386">
        <f t="shared" si="46"/>
        <v>0</v>
      </c>
      <c r="K68" s="392">
        <f t="shared" si="47"/>
        <v>0</v>
      </c>
    </row>
    <row r="69" spans="1:11" ht="13.5">
      <c r="A69" s="349">
        <f>Gen!B34</f>
        <v>43975</v>
      </c>
      <c r="B69" s="20"/>
      <c r="C69" s="63"/>
      <c r="D69" s="386">
        <f t="shared" si="43"/>
        <v>0</v>
      </c>
      <c r="E69" s="6"/>
      <c r="F69" s="386">
        <f t="shared" si="44"/>
        <v>0</v>
      </c>
      <c r="G69" s="570"/>
      <c r="H69" s="386">
        <f t="shared" si="45"/>
        <v>0</v>
      </c>
      <c r="I69" s="6"/>
      <c r="J69" s="386">
        <f t="shared" si="46"/>
        <v>0</v>
      </c>
      <c r="K69" s="392">
        <f t="shared" si="47"/>
        <v>0</v>
      </c>
    </row>
    <row r="70" spans="1:11" ht="13.5">
      <c r="A70" s="349">
        <f>Gen!B35</f>
        <v>43976</v>
      </c>
      <c r="B70" s="20"/>
      <c r="C70" s="63"/>
      <c r="D70" s="386">
        <f t="shared" si="43"/>
        <v>0</v>
      </c>
      <c r="E70" s="6"/>
      <c r="F70" s="386">
        <f t="shared" si="44"/>
        <v>0</v>
      </c>
      <c r="G70" s="570"/>
      <c r="H70" s="386">
        <f t="shared" si="45"/>
        <v>0</v>
      </c>
      <c r="I70" s="6"/>
      <c r="J70" s="386">
        <f t="shared" si="46"/>
        <v>0</v>
      </c>
      <c r="K70" s="392">
        <f t="shared" si="47"/>
        <v>0</v>
      </c>
    </row>
    <row r="71" spans="1:11" ht="13.5">
      <c r="A71" s="349">
        <f>Gen!B36</f>
        <v>43977</v>
      </c>
      <c r="B71" s="20"/>
      <c r="C71" s="63"/>
      <c r="D71" s="386">
        <f t="shared" si="43"/>
        <v>0</v>
      </c>
      <c r="E71" s="6"/>
      <c r="F71" s="386">
        <f t="shared" si="44"/>
        <v>0</v>
      </c>
      <c r="G71" s="570"/>
      <c r="H71" s="386">
        <f t="shared" si="45"/>
        <v>0</v>
      </c>
      <c r="I71" s="6"/>
      <c r="J71" s="386">
        <f t="shared" si="46"/>
        <v>0</v>
      </c>
      <c r="K71" s="392">
        <f t="shared" si="47"/>
        <v>0</v>
      </c>
    </row>
    <row r="72" spans="1:11" ht="13.5">
      <c r="A72" s="349">
        <f>Gen!B37</f>
        <v>43978</v>
      </c>
      <c r="B72" s="20"/>
      <c r="C72" s="63"/>
      <c r="D72" s="386">
        <f t="shared" si="43"/>
        <v>0</v>
      </c>
      <c r="E72" s="6"/>
      <c r="F72" s="386">
        <f t="shared" si="44"/>
        <v>0</v>
      </c>
      <c r="G72" s="570"/>
      <c r="H72" s="386">
        <f t="shared" si="45"/>
        <v>0</v>
      </c>
      <c r="I72" s="6"/>
      <c r="J72" s="386">
        <f t="shared" si="46"/>
        <v>0</v>
      </c>
      <c r="K72" s="392">
        <f t="shared" si="47"/>
        <v>0</v>
      </c>
    </row>
    <row r="73" spans="1:11" ht="13.5">
      <c r="A73" s="349">
        <f>Gen!B38</f>
        <v>43979</v>
      </c>
      <c r="B73" s="20"/>
      <c r="C73" s="63"/>
      <c r="D73" s="386">
        <f t="shared" si="43"/>
        <v>0</v>
      </c>
      <c r="E73" s="6"/>
      <c r="F73" s="386">
        <f t="shared" si="44"/>
        <v>0</v>
      </c>
      <c r="G73" s="570"/>
      <c r="H73" s="386">
        <f t="shared" si="45"/>
        <v>0</v>
      </c>
      <c r="I73" s="6"/>
      <c r="J73" s="386">
        <f t="shared" si="46"/>
        <v>0</v>
      </c>
      <c r="K73" s="392">
        <f t="shared" si="47"/>
        <v>0</v>
      </c>
    </row>
    <row r="74" spans="1:11" ht="13.5">
      <c r="A74" s="349">
        <f>Gen!B39</f>
        <v>43980</v>
      </c>
      <c r="B74" s="20"/>
      <c r="C74" s="63"/>
      <c r="D74" s="386">
        <f t="shared" si="43"/>
        <v>0</v>
      </c>
      <c r="E74" s="6"/>
      <c r="F74" s="386">
        <f t="shared" si="44"/>
        <v>0</v>
      </c>
      <c r="G74" s="570"/>
      <c r="H74" s="386">
        <f t="shared" si="45"/>
        <v>0</v>
      </c>
      <c r="I74" s="6"/>
      <c r="J74" s="386">
        <f t="shared" si="46"/>
        <v>0</v>
      </c>
      <c r="K74" s="392">
        <f t="shared" si="47"/>
        <v>0</v>
      </c>
    </row>
    <row r="75" spans="1:11" ht="14.25" thickBot="1">
      <c r="A75" s="349">
        <f>Gen!B40</f>
        <v>43981</v>
      </c>
      <c r="B75" s="300"/>
      <c r="C75" s="63"/>
      <c r="D75" s="386">
        <f t="shared" si="43"/>
        <v>0</v>
      </c>
      <c r="E75" s="6"/>
      <c r="F75" s="386">
        <f t="shared" si="44"/>
        <v>0</v>
      </c>
      <c r="G75" s="570"/>
      <c r="H75" s="386">
        <f t="shared" si="45"/>
        <v>0</v>
      </c>
      <c r="I75" s="6"/>
      <c r="J75" s="386">
        <f t="shared" si="46"/>
        <v>0</v>
      </c>
      <c r="K75" s="392">
        <f t="shared" si="47"/>
        <v>0</v>
      </c>
    </row>
    <row r="76" spans="1:11" ht="13.5">
      <c r="A76" s="349">
        <f>Gen!B41</f>
        <v>43982</v>
      </c>
      <c r="C76" s="63"/>
      <c r="D76" s="386">
        <f t="shared" si="43"/>
        <v>0</v>
      </c>
      <c r="E76" s="6"/>
      <c r="F76" s="386">
        <f t="shared" si="44"/>
        <v>0</v>
      </c>
      <c r="G76" s="570"/>
      <c r="H76" s="386">
        <f t="shared" si="45"/>
        <v>0</v>
      </c>
      <c r="I76" s="6"/>
      <c r="J76" s="386">
        <f t="shared" si="46"/>
        <v>0</v>
      </c>
      <c r="K76" s="392">
        <f t="shared" si="47"/>
        <v>0</v>
      </c>
    </row>
    <row r="77" spans="1:11" ht="14.25" thickBot="1">
      <c r="A77" s="349">
        <f>Gen!B42</f>
        <v>43983</v>
      </c>
      <c r="C77" s="63"/>
      <c r="D77" s="386">
        <f t="shared" si="43"/>
        <v>0</v>
      </c>
      <c r="E77" s="6"/>
      <c r="F77" s="386">
        <f t="shared" si="44"/>
        <v>0</v>
      </c>
      <c r="G77" s="570"/>
      <c r="H77" s="386">
        <f t="shared" si="45"/>
        <v>0</v>
      </c>
      <c r="I77" s="6"/>
      <c r="J77" s="386">
        <f t="shared" si="46"/>
        <v>0</v>
      </c>
      <c r="K77" s="393">
        <f t="shared" si="47"/>
        <v>0</v>
      </c>
    </row>
    <row r="78" spans="1:11" ht="13.5">
      <c r="A78" s="349" t="str">
        <f>Gen!B43</f>
        <v>BF</v>
      </c>
    </row>
  </sheetData>
  <mergeCells count="43">
    <mergeCell ref="C38:D38"/>
    <mergeCell ref="C2:E2"/>
    <mergeCell ref="F2:H2"/>
    <mergeCell ref="I2:K2"/>
    <mergeCell ref="L2:N2"/>
    <mergeCell ref="C3:C4"/>
    <mergeCell ref="D3:D4"/>
    <mergeCell ref="E3:E4"/>
    <mergeCell ref="F3:F4"/>
    <mergeCell ref="G3:G4"/>
    <mergeCell ref="H3:H4"/>
    <mergeCell ref="I3:I4"/>
    <mergeCell ref="J3:J4"/>
    <mergeCell ref="K3:K4"/>
    <mergeCell ref="L3:L4"/>
    <mergeCell ref="M3:M4"/>
    <mergeCell ref="A3:A4"/>
    <mergeCell ref="N3:N4"/>
    <mergeCell ref="A1:AN1"/>
    <mergeCell ref="AK2:AM3"/>
    <mergeCell ref="AN2:AN3"/>
    <mergeCell ref="O2:Q2"/>
    <mergeCell ref="S2:U3"/>
    <mergeCell ref="V2:X3"/>
    <mergeCell ref="Y2:AA3"/>
    <mergeCell ref="AB2:AD3"/>
    <mergeCell ref="AE2:AG3"/>
    <mergeCell ref="O3:O4"/>
    <mergeCell ref="P3:P4"/>
    <mergeCell ref="Q3:Q4"/>
    <mergeCell ref="R3:R4"/>
    <mergeCell ref="AH2:AJ3"/>
    <mergeCell ref="K43:K44"/>
    <mergeCell ref="C42:K42"/>
    <mergeCell ref="A42:A45"/>
    <mergeCell ref="C43:D43"/>
    <mergeCell ref="E43:F43"/>
    <mergeCell ref="G43:H43"/>
    <mergeCell ref="I43:J43"/>
    <mergeCell ref="C44:D44"/>
    <mergeCell ref="E44:F44"/>
    <mergeCell ref="G44:H44"/>
    <mergeCell ref="I44:J44"/>
  </mergeCells>
  <phoneticPr fontId="4" type="noConversion"/>
  <pageMargins left="0.75" right="0.75" top="1" bottom="1" header="0.5" footer="0.5"/>
  <pageSetup scale="20" orientation="landscape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>
  <dimension ref="A1:C32"/>
  <sheetViews>
    <sheetView topLeftCell="A19" workbookViewId="0">
      <selection sqref="A1:XFD1048576"/>
    </sheetView>
  </sheetViews>
  <sheetFormatPr defaultRowHeight="12.75"/>
  <cols>
    <col min="1" max="1" width="9.7109375" bestFit="1" customWidth="1"/>
    <col min="2" max="2" width="10.28515625" style="12" bestFit="1" customWidth="1"/>
  </cols>
  <sheetData>
    <row r="1" spans="1:3" s="16" customFormat="1">
      <c r="A1" s="14" t="s">
        <v>0</v>
      </c>
      <c r="B1" s="14" t="s">
        <v>23</v>
      </c>
      <c r="C1" s="14" t="s">
        <v>24</v>
      </c>
    </row>
    <row r="2" spans="1:3">
      <c r="A2" s="96">
        <f>SUM([1]Gen!A11)</f>
        <v>43739</v>
      </c>
      <c r="B2" s="13" t="e">
        <f>SUM('[1]Water-Meter'!R10)</f>
        <v>#REF!</v>
      </c>
      <c r="C2" s="94">
        <f>SUM([1]Gen!B11)</f>
        <v>0.623</v>
      </c>
    </row>
    <row r="3" spans="1:3">
      <c r="A3" s="96">
        <f>SUM([1]Gen!A12)</f>
        <v>43740</v>
      </c>
      <c r="B3" s="13" t="e">
        <f>SUM('[1]Water-Meter'!R11)</f>
        <v>#REF!</v>
      </c>
      <c r="C3" s="94">
        <f>SUM([1]Gen!B12)</f>
        <v>0.77900000000000003</v>
      </c>
    </row>
    <row r="4" spans="1:3">
      <c r="A4" s="96">
        <f>SUM([1]Gen!A13)</f>
        <v>43741</v>
      </c>
      <c r="B4" s="13" t="e">
        <f>SUM('[1]Water-Meter'!R12)</f>
        <v>#REF!</v>
      </c>
      <c r="C4" s="94">
        <f>SUM([1]Gen!B13)</f>
        <v>0.53200000000000003</v>
      </c>
    </row>
    <row r="5" spans="1:3">
      <c r="A5" s="96">
        <f>SUM([1]Gen!A14)</f>
        <v>43742</v>
      </c>
      <c r="B5" s="13" t="e">
        <f>SUM('[1]Water-Meter'!R13)</f>
        <v>#REF!</v>
      </c>
      <c r="C5" s="94">
        <f>SUM([1]Gen!B14)</f>
        <v>0.61</v>
      </c>
    </row>
    <row r="6" spans="1:3">
      <c r="A6" s="96">
        <f>SUM([1]Gen!A15)</f>
        <v>43743</v>
      </c>
      <c r="B6" s="13" t="e">
        <f>SUM('[1]Water-Meter'!R14)</f>
        <v>#REF!</v>
      </c>
      <c r="C6" s="94">
        <f>SUM([1]Gen!B15)</f>
        <v>0.68799999999999994</v>
      </c>
    </row>
    <row r="7" spans="1:3">
      <c r="A7" s="96">
        <f>SUM([1]Gen!A16)</f>
        <v>43744</v>
      </c>
      <c r="B7" s="13" t="e">
        <f>SUM('[1]Water-Meter'!R15)</f>
        <v>#REF!</v>
      </c>
      <c r="C7" s="94">
        <f>SUM([1]Gen!B16)</f>
        <v>0.53200000000000003</v>
      </c>
    </row>
    <row r="8" spans="1:3">
      <c r="A8" s="96">
        <f>SUM([1]Gen!A17)</f>
        <v>43745</v>
      </c>
      <c r="B8" s="13" t="e">
        <f>SUM('[1]Water-Meter'!R16)</f>
        <v>#REF!</v>
      </c>
      <c r="C8" s="94">
        <f>SUM([1]Gen!B17)</f>
        <v>0.753</v>
      </c>
    </row>
    <row r="9" spans="1:3">
      <c r="A9" s="96">
        <f>SUM([1]Gen!A18)</f>
        <v>43746</v>
      </c>
      <c r="B9" s="13" t="e">
        <f>SUM('[1]Water-Meter'!R17)</f>
        <v>#REF!</v>
      </c>
      <c r="C9" s="94">
        <f>SUM([1]Gen!B18)</f>
        <v>0.156</v>
      </c>
    </row>
    <row r="10" spans="1:3">
      <c r="A10" s="96">
        <f>SUM([1]Gen!A19)</f>
        <v>43747</v>
      </c>
      <c r="B10" s="13" t="e">
        <f>SUM('[1]Water-Meter'!R18)</f>
        <v>#REF!</v>
      </c>
      <c r="C10" s="94">
        <f>SUM([1]Gen!B19)</f>
        <v>0.442</v>
      </c>
    </row>
    <row r="11" spans="1:3">
      <c r="A11" s="96">
        <f>SUM([1]Gen!A20)</f>
        <v>43748</v>
      </c>
      <c r="B11" s="13" t="e">
        <f>SUM('[1]Water-Meter'!R19)</f>
        <v>#REF!</v>
      </c>
      <c r="C11" s="94">
        <f>SUM([1]Gen!B20)</f>
        <v>0.32500000000000001</v>
      </c>
    </row>
    <row r="12" spans="1:3">
      <c r="A12" s="96">
        <f>SUM([1]Gen!A21)</f>
        <v>43749</v>
      </c>
      <c r="B12" s="13" t="e">
        <f>SUM('[1]Water-Meter'!R20)</f>
        <v>#REF!</v>
      </c>
      <c r="C12" s="94">
        <f>SUM([1]Gen!B21)</f>
        <v>0.45500000000000002</v>
      </c>
    </row>
    <row r="13" spans="1:3">
      <c r="A13" s="96">
        <f>SUM([1]Gen!A22)</f>
        <v>43750</v>
      </c>
      <c r="B13" s="13" t="e">
        <f>SUM('[1]Water-Meter'!R21)</f>
        <v>#REF!</v>
      </c>
      <c r="C13" s="94">
        <f>SUM([1]Gen!B22)</f>
        <v>0.41599999999999998</v>
      </c>
    </row>
    <row r="14" spans="1:3">
      <c r="A14" s="96">
        <f>SUM([1]Gen!A23)</f>
        <v>43751</v>
      </c>
      <c r="B14" s="13" t="e">
        <f>SUM('[1]Water-Meter'!R22)</f>
        <v>#REF!</v>
      </c>
      <c r="C14" s="94">
        <f>SUM([1]Gen!B23)</f>
        <v>0.39</v>
      </c>
    </row>
    <row r="15" spans="1:3">
      <c r="A15" s="96">
        <f>SUM([1]Gen!A24)</f>
        <v>43752</v>
      </c>
      <c r="B15" s="13" t="e">
        <f>SUM('[1]Water-Meter'!R23)</f>
        <v>#REF!</v>
      </c>
      <c r="C15" s="94">
        <f>SUM([1]Gen!B24)</f>
        <v>0.63600000000000001</v>
      </c>
    </row>
    <row r="16" spans="1:3">
      <c r="A16" s="96">
        <f>SUM([1]Gen!A25)</f>
        <v>43753</v>
      </c>
      <c r="B16" s="13" t="e">
        <f>SUM('[1]Water-Meter'!R24)</f>
        <v>#REF!</v>
      </c>
      <c r="C16" s="94">
        <f>SUM([1]Gen!B25)</f>
        <v>0.84399999999999997</v>
      </c>
    </row>
    <row r="17" spans="1:3">
      <c r="A17" s="96">
        <f>SUM([1]Gen!A26)</f>
        <v>43754</v>
      </c>
      <c r="B17" s="13" t="e">
        <f>SUM('[1]Water-Meter'!R25)</f>
        <v>#REF!</v>
      </c>
      <c r="C17" s="94">
        <f>SUM([1]Gen!B26)</f>
        <v>0.81799999999999995</v>
      </c>
    </row>
    <row r="18" spans="1:3">
      <c r="A18" s="96">
        <f>SUM([1]Gen!A27)</f>
        <v>43755</v>
      </c>
      <c r="B18" s="13" t="e">
        <f>SUM('[1]Water-Meter'!R26)</f>
        <v>#REF!</v>
      </c>
      <c r="C18" s="94">
        <f>SUM([1]Gen!B27)</f>
        <v>0.20799999999999999</v>
      </c>
    </row>
    <row r="19" spans="1:3">
      <c r="A19" s="96">
        <f>SUM([1]Gen!A28)</f>
        <v>43756</v>
      </c>
      <c r="B19" s="13" t="e">
        <f>SUM('[1]Water-Meter'!R27)</f>
        <v>#REF!</v>
      </c>
      <c r="C19" s="94">
        <f>SUM([1]Gen!B28)</f>
        <v>0.221</v>
      </c>
    </row>
    <row r="20" spans="1:3">
      <c r="A20" s="96">
        <f>SUM([1]Gen!A29)</f>
        <v>43757</v>
      </c>
      <c r="B20" s="13" t="e">
        <f>SUM('[1]Water-Meter'!R28)</f>
        <v>#REF!</v>
      </c>
      <c r="C20" s="94">
        <f>SUM([1]Gen!B29)</f>
        <v>0.11700000000000001</v>
      </c>
    </row>
    <row r="21" spans="1:3">
      <c r="A21" s="96">
        <f>SUM([1]Gen!A30)</f>
        <v>43758</v>
      </c>
      <c r="B21" s="13" t="e">
        <f>SUM('[1]Water-Meter'!R29)</f>
        <v>#REF!</v>
      </c>
      <c r="C21" s="94">
        <f>SUM([1]Gen!B30)</f>
        <v>0.57099999999999995</v>
      </c>
    </row>
    <row r="22" spans="1:3">
      <c r="A22" s="96">
        <f>SUM([1]Gen!A31)</f>
        <v>43759</v>
      </c>
      <c r="B22" s="13" t="e">
        <f>SUM('[1]Water-Meter'!R30)</f>
        <v>#REF!</v>
      </c>
      <c r="C22" s="94">
        <f>SUM([1]Gen!B31)</f>
        <v>0.55800000000000005</v>
      </c>
    </row>
    <row r="23" spans="1:3">
      <c r="A23" s="96">
        <f>SUM([1]Gen!A32)</f>
        <v>43760</v>
      </c>
      <c r="B23" s="13" t="e">
        <f>SUM('[1]Water-Meter'!R31)</f>
        <v>#REF!</v>
      </c>
      <c r="C23" s="94">
        <f>SUM([1]Gen!B32)</f>
        <v>0.40300000000000002</v>
      </c>
    </row>
    <row r="24" spans="1:3">
      <c r="A24" s="96">
        <f>SUM([1]Gen!A33)</f>
        <v>43761</v>
      </c>
      <c r="B24" s="13" t="e">
        <f>SUM('[1]Water-Meter'!R32)</f>
        <v>#REF!</v>
      </c>
      <c r="C24" s="94">
        <f>SUM([1]Gen!B33)</f>
        <v>0.24</v>
      </c>
    </row>
    <row r="25" spans="1:3">
      <c r="A25" s="96">
        <f>SUM([1]Gen!A34)</f>
        <v>43762</v>
      </c>
      <c r="B25" s="13" t="e">
        <f>SUM('[1]Water-Meter'!R33)</f>
        <v>#REF!</v>
      </c>
      <c r="C25" s="94">
        <f>SUM([1]Gen!B34)</f>
        <v>0.09</v>
      </c>
    </row>
    <row r="26" spans="1:3">
      <c r="A26" s="96">
        <f>SUM([1]Gen!A35)</f>
        <v>43763</v>
      </c>
      <c r="B26" s="13" t="e">
        <f>SUM('[1]Water-Meter'!R34)</f>
        <v>#REF!</v>
      </c>
      <c r="C26" s="94">
        <f>SUM([1]Gen!B35)</f>
        <v>0.28599999999999998</v>
      </c>
    </row>
    <row r="27" spans="1:3">
      <c r="A27" s="96">
        <f>SUM([1]Gen!A36)</f>
        <v>43764</v>
      </c>
      <c r="B27" s="13" t="e">
        <f>SUM('[1]Water-Meter'!R35)</f>
        <v>#REF!</v>
      </c>
      <c r="C27" s="94">
        <f>SUM([1]Gen!B36)</f>
        <v>0.54500000000000004</v>
      </c>
    </row>
    <row r="28" spans="1:3">
      <c r="A28" s="96">
        <f>SUM([1]Gen!A37)</f>
        <v>43765</v>
      </c>
      <c r="B28" s="13" t="e">
        <f>SUM('[1]Water-Meter'!R36)</f>
        <v>#REF!</v>
      </c>
      <c r="C28" s="94">
        <f>SUM([1]Gen!B37)</f>
        <v>0.67500000000000004</v>
      </c>
    </row>
    <row r="29" spans="1:3">
      <c r="A29" s="96">
        <f>SUM([1]Gen!A38)</f>
        <v>43766</v>
      </c>
      <c r="B29" s="13" t="e">
        <f>SUM('[1]Water-Meter'!R37)</f>
        <v>#REF!</v>
      </c>
      <c r="C29" s="94">
        <f>SUM([1]Gen!B38)</f>
        <v>0.27300000000000002</v>
      </c>
    </row>
    <row r="30" spans="1:3">
      <c r="A30" s="96">
        <f>SUM([1]Gen!A39)</f>
        <v>43767</v>
      </c>
      <c r="B30" s="13">
        <f>SUM('[1]Water-Meter'!R38)</f>
        <v>-212333</v>
      </c>
      <c r="C30" s="94" t="e">
        <f>SUM([1]Gen!B39)</f>
        <v>#REF!</v>
      </c>
    </row>
    <row r="31" spans="1:3">
      <c r="A31" s="96">
        <f>SUM([1]Gen!A40)</f>
        <v>43768</v>
      </c>
      <c r="B31" s="13" t="e">
        <f>SUM('[1]Water-Meter'!R39)</f>
        <v>#REF!</v>
      </c>
      <c r="C31" s="94" t="e">
        <f>SUM([1]Gen!B40)</f>
        <v>#REF!</v>
      </c>
    </row>
    <row r="32" spans="1:3">
      <c r="A32" s="96">
        <f>SUM([1]Gen!A41)</f>
        <v>43769</v>
      </c>
      <c r="B32" s="13" t="e">
        <f>SUM('[1]Water-Meter'!R40)</f>
        <v>#REF!</v>
      </c>
      <c r="C32" s="94" t="e">
        <f>SUM([1]Gen!B41)</f>
        <v>#REF!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40"/>
  <sheetViews>
    <sheetView workbookViewId="0">
      <selection activeCell="T20" sqref="T20"/>
    </sheetView>
  </sheetViews>
  <sheetFormatPr defaultRowHeight="12.75"/>
  <cols>
    <col min="3" max="5" width="7.42578125" customWidth="1"/>
    <col min="6" max="6" width="11.5703125" customWidth="1"/>
    <col min="7" max="7" width="9.7109375" customWidth="1"/>
    <col min="8" max="9" width="0.140625" customWidth="1"/>
    <col min="10" max="10" width="14" hidden="1" customWidth="1"/>
    <col min="11" max="11" width="10.140625" customWidth="1"/>
    <col min="12" max="12" width="10.42578125" customWidth="1"/>
    <col min="13" max="13" width="0.140625" customWidth="1"/>
    <col min="14" max="14" width="4.85546875" hidden="1" customWidth="1"/>
    <col min="15" max="15" width="4.42578125" hidden="1" customWidth="1"/>
    <col min="16" max="16" width="11.7109375" hidden="1" customWidth="1"/>
    <col min="18" max="18" width="11.28515625" bestFit="1" customWidth="1"/>
    <col min="19" max="19" width="11.28515625" customWidth="1"/>
    <col min="20" max="20" width="11.28515625" bestFit="1" customWidth="1"/>
    <col min="21" max="21" width="12.28515625" bestFit="1" customWidth="1"/>
    <col min="23" max="23" width="12.28515625" customWidth="1"/>
    <col min="24" max="24" width="16.7109375" hidden="1" customWidth="1"/>
    <col min="25" max="25" width="8.7109375" hidden="1" customWidth="1"/>
    <col min="26" max="26" width="9.140625" hidden="1" customWidth="1"/>
  </cols>
  <sheetData>
    <row r="1" spans="1:27" ht="13.5" thickBot="1"/>
    <row r="2" spans="1:27">
      <c r="A2" s="129" t="s">
        <v>317</v>
      </c>
      <c r="B2" s="494"/>
      <c r="C2" s="520"/>
      <c r="D2" s="520"/>
      <c r="E2" s="520"/>
      <c r="F2" s="121"/>
      <c r="G2" s="121"/>
      <c r="H2" s="121"/>
      <c r="I2" s="121"/>
      <c r="J2" s="121"/>
      <c r="K2" s="121"/>
      <c r="L2" s="121"/>
      <c r="M2" s="121"/>
      <c r="N2" s="121"/>
      <c r="O2" s="121"/>
      <c r="P2" s="121"/>
      <c r="Q2" s="92">
        <v>2209.85</v>
      </c>
      <c r="R2" s="521" t="s">
        <v>68</v>
      </c>
      <c r="S2" s="521" t="s">
        <v>69</v>
      </c>
      <c r="T2" s="92">
        <v>1584</v>
      </c>
      <c r="U2" s="62"/>
      <c r="V2" s="66"/>
      <c r="W2" s="61"/>
    </row>
    <row r="3" spans="1:27" ht="38.25" customHeight="1">
      <c r="A3" s="63"/>
      <c r="B3" s="17"/>
      <c r="C3" s="6"/>
      <c r="D3" s="6"/>
      <c r="E3" s="6"/>
      <c r="F3" s="6"/>
      <c r="G3" s="6"/>
      <c r="H3" s="6"/>
      <c r="I3" s="6"/>
      <c r="J3" s="6"/>
      <c r="K3" s="6"/>
      <c r="L3" s="6"/>
      <c r="M3" s="122" t="s">
        <v>49</v>
      </c>
      <c r="N3" s="122"/>
      <c r="O3" s="122"/>
      <c r="P3" s="122" t="s">
        <v>44</v>
      </c>
      <c r="Q3" s="123" t="s">
        <v>55</v>
      </c>
      <c r="R3" s="123"/>
      <c r="S3" s="123"/>
      <c r="T3" s="522"/>
      <c r="U3" s="523"/>
      <c r="V3" s="68" t="s">
        <v>56</v>
      </c>
      <c r="W3" s="122" t="s">
        <v>78</v>
      </c>
      <c r="AA3" s="153" t="s">
        <v>79</v>
      </c>
    </row>
    <row r="4" spans="1:27" s="51" customFormat="1" ht="50.25" customHeight="1">
      <c r="A4" s="64" t="s">
        <v>0</v>
      </c>
      <c r="B4" s="82" t="s">
        <v>66</v>
      </c>
      <c r="C4" s="53" t="s">
        <v>50</v>
      </c>
      <c r="D4" s="53" t="s">
        <v>64</v>
      </c>
      <c r="E4" s="53" t="s">
        <v>65</v>
      </c>
      <c r="F4" s="74" t="s">
        <v>42</v>
      </c>
      <c r="G4" s="53" t="s">
        <v>45</v>
      </c>
      <c r="H4" s="53" t="s">
        <v>46</v>
      </c>
      <c r="I4" s="53" t="s">
        <v>47</v>
      </c>
      <c r="J4" s="53" t="s">
        <v>48</v>
      </c>
      <c r="K4" s="74" t="s">
        <v>51</v>
      </c>
      <c r="L4" s="74" t="s">
        <v>76</v>
      </c>
      <c r="M4" s="53">
        <v>3</v>
      </c>
      <c r="N4" s="53">
        <v>2</v>
      </c>
      <c r="O4" s="53">
        <v>1</v>
      </c>
      <c r="P4" s="57"/>
      <c r="Q4" s="60" t="s">
        <v>53</v>
      </c>
      <c r="R4" s="60" t="s">
        <v>63</v>
      </c>
      <c r="S4" s="60" t="s">
        <v>62</v>
      </c>
      <c r="T4" s="60" t="s">
        <v>20</v>
      </c>
      <c r="U4" s="65" t="s">
        <v>54</v>
      </c>
      <c r="V4" s="67"/>
      <c r="W4" s="56"/>
    </row>
    <row r="5" spans="1:27">
      <c r="A5" s="54">
        <f>SUM([1]Gen!A11)</f>
        <v>43739</v>
      </c>
      <c r="B5" s="84">
        <v>0</v>
      </c>
      <c r="C5" s="89">
        <f>SUM([1]Gen!B11)</f>
        <v>0.623</v>
      </c>
      <c r="D5" s="519">
        <f>SUM(77*C5)</f>
        <v>47.970999999999997</v>
      </c>
      <c r="E5" s="76"/>
      <c r="F5" s="72">
        <f>[1]Gen!T11</f>
        <v>5669</v>
      </c>
      <c r="G5" s="87">
        <f>[1]Gen!S11</f>
        <v>2179.4799999999996</v>
      </c>
      <c r="H5" s="87" t="e">
        <f>[1]Gen!#REF!</f>
        <v>#REF!</v>
      </c>
      <c r="I5" s="87" t="e">
        <f t="shared" ref="I5:I35" si="0">SUM(G5:H5)</f>
        <v>#REF!</v>
      </c>
      <c r="J5" s="87">
        <f>[1]Gen!AT11</f>
        <v>47806.650000000031</v>
      </c>
      <c r="K5" s="71">
        <f>'[1]Water-Meter'!E10</f>
        <v>114</v>
      </c>
      <c r="L5" s="69" t="e">
        <f>#REF!</f>
        <v>#REF!</v>
      </c>
      <c r="M5" s="90" t="e">
        <f>#REF!</f>
        <v>#REF!</v>
      </c>
      <c r="N5" s="90" t="e">
        <f>#REF!</f>
        <v>#REF!</v>
      </c>
      <c r="O5" s="90" t="e">
        <f>#REF!</f>
        <v>#REF!</v>
      </c>
      <c r="P5" s="91">
        <f t="shared" ref="P5:P35" si="1">J5/52000</f>
        <v>0.91935865384615445</v>
      </c>
      <c r="Q5" s="6" t="e">
        <f>I5*Q2</f>
        <v>#REF!</v>
      </c>
      <c r="R5" s="78" t="e">
        <f>SUM(Q5/D5)/X5</f>
        <v>#REF!</v>
      </c>
      <c r="S5" s="524" t="e">
        <f>SUM(Q5/E5)/X5</f>
        <v>#REF!</v>
      </c>
      <c r="T5" s="78">
        <f>(K5*102)/X5</f>
        <v>7.3409090909090908</v>
      </c>
      <c r="U5" s="125" t="e">
        <f>SUM(L5*1963)/X5</f>
        <v>#REF!</v>
      </c>
      <c r="V5" s="18" t="e">
        <f>SUM(Q5+T5+U5)</f>
        <v>#REF!</v>
      </c>
      <c r="W5" s="127" t="e">
        <f>SUM(V5/E5)/T2</f>
        <v>#REF!</v>
      </c>
      <c r="X5">
        <f>SUM(T2)</f>
        <v>1584</v>
      </c>
      <c r="Y5" s="525">
        <v>106</v>
      </c>
      <c r="Z5" s="81" t="e">
        <f>SUM(Y5-S5)</f>
        <v>#REF!</v>
      </c>
      <c r="AA5">
        <v>106</v>
      </c>
    </row>
    <row r="6" spans="1:27">
      <c r="A6" s="54">
        <f>SUM([1]Gen!A12)</f>
        <v>43740</v>
      </c>
      <c r="B6" s="84">
        <v>0</v>
      </c>
      <c r="C6" s="89">
        <f>SUM([1]Gen!B12)</f>
        <v>0.77900000000000003</v>
      </c>
      <c r="D6" s="519">
        <f t="shared" ref="D6:D35" si="2">SUM(77*C6)</f>
        <v>59.983000000000004</v>
      </c>
      <c r="E6" s="76"/>
      <c r="F6" s="72">
        <f>[1]Gen!T12</f>
        <v>6159</v>
      </c>
      <c r="G6" s="87">
        <f>[1]Gen!S12</f>
        <v>2472.85</v>
      </c>
      <c r="H6" s="87" t="e">
        <f>[1]Gen!#REF!</f>
        <v>#REF!</v>
      </c>
      <c r="I6" s="87" t="e">
        <f t="shared" si="0"/>
        <v>#REF!</v>
      </c>
      <c r="J6" s="87">
        <f>[1]Gen!AT12</f>
        <v>45423.890000000029</v>
      </c>
      <c r="K6" s="71">
        <f>'[1]Water-Meter'!E11</f>
        <v>126</v>
      </c>
      <c r="L6" s="69" t="e">
        <f>#REF!</f>
        <v>#REF!</v>
      </c>
      <c r="M6" s="90" t="e">
        <f>#REF!</f>
        <v>#REF!</v>
      </c>
      <c r="N6" s="90" t="e">
        <f>#REF!</f>
        <v>#REF!</v>
      </c>
      <c r="O6" s="90" t="e">
        <f>#REF!</f>
        <v>#REF!</v>
      </c>
      <c r="P6" s="91">
        <f t="shared" si="1"/>
        <v>0.87353634615384668</v>
      </c>
      <c r="Q6" s="6" t="e">
        <f>I6*Q2</f>
        <v>#REF!</v>
      </c>
      <c r="R6" s="78" t="e">
        <f t="shared" ref="R6:R35" si="3">SUM(Q6/D6)/X6</f>
        <v>#REF!</v>
      </c>
      <c r="S6" s="524" t="e">
        <f t="shared" ref="S6:S35" si="4">SUM(Q6/E6)/X6</f>
        <v>#REF!</v>
      </c>
      <c r="T6" s="78">
        <f t="shared" ref="T6:T35" si="5">(K6*102)/X6</f>
        <v>8.1136363636363633</v>
      </c>
      <c r="U6" s="125" t="e">
        <f t="shared" ref="U6:U35" si="6">SUM(L6*1963)/X6</f>
        <v>#REF!</v>
      </c>
      <c r="V6" s="18" t="e">
        <f t="shared" ref="V6:V36" si="7">SUM(Q6+T6+U6)</f>
        <v>#REF!</v>
      </c>
      <c r="W6" s="127" t="e">
        <f>SUM(V6/E6)/T2</f>
        <v>#REF!</v>
      </c>
      <c r="X6">
        <f>SUM(X5)</f>
        <v>1584</v>
      </c>
      <c r="Y6" s="525">
        <v>106</v>
      </c>
      <c r="Z6" s="81" t="e">
        <f t="shared" ref="Z6:Z35" si="8">SUM(Y6-S6)</f>
        <v>#REF!</v>
      </c>
    </row>
    <row r="7" spans="1:27">
      <c r="A7" s="54">
        <f>SUM([1]Gen!A13)</f>
        <v>43741</v>
      </c>
      <c r="B7" s="84">
        <v>0</v>
      </c>
      <c r="C7" s="89">
        <f>SUM([1]Gen!B13)</f>
        <v>0.53200000000000003</v>
      </c>
      <c r="D7" s="519">
        <f t="shared" si="2"/>
        <v>40.963999999999999</v>
      </c>
      <c r="E7" s="76"/>
      <c r="F7" s="72">
        <f>[1]Gen!T13</f>
        <v>6580</v>
      </c>
      <c r="G7" s="87">
        <f>[1]Gen!S13</f>
        <v>2554.3900000000003</v>
      </c>
      <c r="H7" s="87" t="e">
        <f>[1]Gen!#REF!</f>
        <v>#REF!</v>
      </c>
      <c r="I7" s="87" t="e">
        <f t="shared" si="0"/>
        <v>#REF!</v>
      </c>
      <c r="J7" s="87">
        <f>[1]Gen!AT13</f>
        <v>42919.590000000026</v>
      </c>
      <c r="K7" s="71">
        <f>'[1]Water-Meter'!E12</f>
        <v>116</v>
      </c>
      <c r="L7" s="69" t="e">
        <f>#REF!</f>
        <v>#REF!</v>
      </c>
      <c r="M7" s="90" t="e">
        <f>#REF!</f>
        <v>#REF!</v>
      </c>
      <c r="N7" s="90" t="e">
        <f>#REF!</f>
        <v>#REF!</v>
      </c>
      <c r="O7" s="90" t="e">
        <f>#REF!</f>
        <v>#REF!</v>
      </c>
      <c r="P7" s="91">
        <f t="shared" si="1"/>
        <v>0.82537673076923124</v>
      </c>
      <c r="Q7" s="6" t="e">
        <f>I7*Q2</f>
        <v>#REF!</v>
      </c>
      <c r="R7" s="78" t="e">
        <f t="shared" si="3"/>
        <v>#REF!</v>
      </c>
      <c r="S7" s="524" t="e">
        <f t="shared" si="4"/>
        <v>#REF!</v>
      </c>
      <c r="T7" s="78">
        <f t="shared" si="5"/>
        <v>7.4696969696969697</v>
      </c>
      <c r="U7" s="125" t="e">
        <f t="shared" si="6"/>
        <v>#REF!</v>
      </c>
      <c r="V7" s="18" t="e">
        <f t="shared" si="7"/>
        <v>#REF!</v>
      </c>
      <c r="W7" s="127" t="e">
        <f>SUM(V7/E7)/T2</f>
        <v>#REF!</v>
      </c>
      <c r="X7">
        <f t="shared" ref="X7:X35" si="9">SUM(X6)</f>
        <v>1584</v>
      </c>
      <c r="Y7" s="525">
        <v>106</v>
      </c>
      <c r="Z7" s="81" t="e">
        <f t="shared" si="8"/>
        <v>#REF!</v>
      </c>
    </row>
    <row r="8" spans="1:27">
      <c r="A8" s="54">
        <f>SUM([1]Gen!A14)</f>
        <v>43742</v>
      </c>
      <c r="B8" s="84">
        <v>0</v>
      </c>
      <c r="C8" s="89">
        <f>SUM([1]Gen!B14)</f>
        <v>0.61</v>
      </c>
      <c r="D8" s="519">
        <f t="shared" si="2"/>
        <v>46.97</v>
      </c>
      <c r="E8" s="76"/>
      <c r="F8" s="72">
        <f>[1]Gen!T14</f>
        <v>6223</v>
      </c>
      <c r="G8" s="87">
        <f>[1]Gen!S14</f>
        <v>2441.42</v>
      </c>
      <c r="H8" s="87" t="e">
        <f>[1]Gen!AJ9</f>
        <v>#REF!</v>
      </c>
      <c r="I8" s="87" t="e">
        <f t="shared" si="0"/>
        <v>#REF!</v>
      </c>
      <c r="J8" s="87">
        <f>[1]Gen!AT14</f>
        <v>40258.940000000024</v>
      </c>
      <c r="K8" s="71">
        <f>'[1]Water-Meter'!E13</f>
        <v>120</v>
      </c>
      <c r="L8" s="69" t="e">
        <f>#REF!</f>
        <v>#REF!</v>
      </c>
      <c r="M8" s="90" t="e">
        <f>#REF!</f>
        <v>#REF!</v>
      </c>
      <c r="N8" s="90" t="e">
        <f>#REF!</f>
        <v>#REF!</v>
      </c>
      <c r="O8" s="90" t="e">
        <f>#REF!</f>
        <v>#REF!</v>
      </c>
      <c r="P8" s="91">
        <f t="shared" si="1"/>
        <v>0.77421038461538505</v>
      </c>
      <c r="Q8" s="6" t="e">
        <f>I8*Q2</f>
        <v>#REF!</v>
      </c>
      <c r="R8" s="78" t="e">
        <f t="shared" si="3"/>
        <v>#REF!</v>
      </c>
      <c r="S8" s="524" t="e">
        <f t="shared" si="4"/>
        <v>#REF!</v>
      </c>
      <c r="T8" s="78">
        <f t="shared" si="5"/>
        <v>7.7272727272727275</v>
      </c>
      <c r="U8" s="125" t="e">
        <f t="shared" si="6"/>
        <v>#REF!</v>
      </c>
      <c r="V8" s="18" t="e">
        <f t="shared" si="7"/>
        <v>#REF!</v>
      </c>
      <c r="W8" s="127" t="e">
        <f>SUM(V8/E8)/T2</f>
        <v>#REF!</v>
      </c>
      <c r="X8">
        <f t="shared" si="9"/>
        <v>1584</v>
      </c>
      <c r="Y8" s="525">
        <v>106</v>
      </c>
      <c r="Z8" s="81" t="e">
        <f t="shared" si="8"/>
        <v>#REF!</v>
      </c>
    </row>
    <row r="9" spans="1:27">
      <c r="A9" s="54">
        <f>SUM([1]Gen!A15)</f>
        <v>43743</v>
      </c>
      <c r="B9" s="84">
        <v>0</v>
      </c>
      <c r="C9" s="89">
        <f>SUM([1]Gen!B15)</f>
        <v>0.68799999999999994</v>
      </c>
      <c r="D9" s="519">
        <f t="shared" si="2"/>
        <v>52.975999999999999</v>
      </c>
      <c r="E9" s="76"/>
      <c r="F9" s="72">
        <f>[1]Gen!T15</f>
        <v>5984</v>
      </c>
      <c r="G9" s="87">
        <f>[1]Gen!S15</f>
        <v>2338.3599999999997</v>
      </c>
      <c r="H9" s="87">
        <f>[1]Gen!AJ10</f>
        <v>0</v>
      </c>
      <c r="I9" s="87">
        <f t="shared" si="0"/>
        <v>2338.3599999999997</v>
      </c>
      <c r="J9" s="87">
        <f>[1]Gen!AT15</f>
        <v>37525.210000000021</v>
      </c>
      <c r="K9" s="71">
        <f>'[1]Water-Meter'!E14</f>
        <v>107</v>
      </c>
      <c r="L9" s="69" t="e">
        <f>#REF!</f>
        <v>#REF!</v>
      </c>
      <c r="M9" s="90" t="e">
        <f>#REF!</f>
        <v>#REF!</v>
      </c>
      <c r="N9" s="90" t="e">
        <f>#REF!</f>
        <v>#REF!</v>
      </c>
      <c r="O9" s="90" t="e">
        <f>#REF!</f>
        <v>#REF!</v>
      </c>
      <c r="P9" s="91">
        <f t="shared" si="1"/>
        <v>0.72163865384615422</v>
      </c>
      <c r="Q9" s="6">
        <f>I9*Q2</f>
        <v>5167424.845999999</v>
      </c>
      <c r="R9" s="78">
        <f t="shared" si="3"/>
        <v>61.580020393263645</v>
      </c>
      <c r="S9" s="524" t="e">
        <f t="shared" si="4"/>
        <v>#DIV/0!</v>
      </c>
      <c r="T9" s="78">
        <f t="shared" si="5"/>
        <v>6.8901515151515156</v>
      </c>
      <c r="U9" s="125" t="e">
        <f t="shared" si="6"/>
        <v>#REF!</v>
      </c>
      <c r="V9" s="18" t="e">
        <f t="shared" si="7"/>
        <v>#REF!</v>
      </c>
      <c r="W9" s="127" t="e">
        <f>SUM(V9/E9)/T2</f>
        <v>#REF!</v>
      </c>
      <c r="X9">
        <f t="shared" si="9"/>
        <v>1584</v>
      </c>
      <c r="Y9" s="525">
        <v>106</v>
      </c>
      <c r="Z9" s="81" t="e">
        <f t="shared" si="8"/>
        <v>#DIV/0!</v>
      </c>
    </row>
    <row r="10" spans="1:27">
      <c r="A10" s="54">
        <f>SUM([1]Gen!A16)</f>
        <v>43744</v>
      </c>
      <c r="B10" s="84">
        <v>0</v>
      </c>
      <c r="C10" s="89">
        <f>SUM([1]Gen!B16)</f>
        <v>0.53200000000000003</v>
      </c>
      <c r="D10" s="519">
        <f t="shared" si="2"/>
        <v>40.963999999999999</v>
      </c>
      <c r="E10" s="76"/>
      <c r="F10" s="72">
        <f>[1]Gen!T16</f>
        <v>6103</v>
      </c>
      <c r="G10" s="87">
        <f>[1]Gen!S16</f>
        <v>2478.9</v>
      </c>
      <c r="H10" s="87" t="e">
        <f>[1]Gen!#REF!</f>
        <v>#REF!</v>
      </c>
      <c r="I10" s="87" t="e">
        <f t="shared" si="0"/>
        <v>#REF!</v>
      </c>
      <c r="J10" s="87">
        <f>[1]Gen!AT16</f>
        <v>35107.690000000024</v>
      </c>
      <c r="K10" s="71">
        <f>'[1]Water-Meter'!E15</f>
        <v>123</v>
      </c>
      <c r="L10" s="69" t="e">
        <f>#REF!</f>
        <v>#REF!</v>
      </c>
      <c r="M10" s="90" t="e">
        <f>#REF!</f>
        <v>#REF!</v>
      </c>
      <c r="N10" s="90" t="e">
        <f>#REF!</f>
        <v>#REF!</v>
      </c>
      <c r="O10" s="90" t="e">
        <f>#REF!</f>
        <v>#REF!</v>
      </c>
      <c r="P10" s="91">
        <f t="shared" si="1"/>
        <v>0.67514788461538511</v>
      </c>
      <c r="Q10" s="6" t="e">
        <f>I10*Q2</f>
        <v>#REF!</v>
      </c>
      <c r="R10" s="78" t="e">
        <f t="shared" si="3"/>
        <v>#REF!</v>
      </c>
      <c r="S10" s="524" t="e">
        <f t="shared" si="4"/>
        <v>#REF!</v>
      </c>
      <c r="T10" s="78">
        <f t="shared" si="5"/>
        <v>7.9204545454545459</v>
      </c>
      <c r="U10" s="125" t="e">
        <f t="shared" si="6"/>
        <v>#REF!</v>
      </c>
      <c r="V10" s="18" t="e">
        <f t="shared" si="7"/>
        <v>#REF!</v>
      </c>
      <c r="W10" s="127" t="e">
        <f>SUM(V10/E10)/T2</f>
        <v>#REF!</v>
      </c>
      <c r="X10">
        <f t="shared" si="9"/>
        <v>1584</v>
      </c>
      <c r="Y10" s="525">
        <v>106</v>
      </c>
      <c r="Z10" s="81" t="e">
        <f t="shared" si="8"/>
        <v>#REF!</v>
      </c>
    </row>
    <row r="11" spans="1:27">
      <c r="A11" s="54">
        <f>SUM([1]Gen!A17)</f>
        <v>43745</v>
      </c>
      <c r="B11" s="84">
        <v>0</v>
      </c>
      <c r="C11" s="89">
        <f>SUM([1]Gen!B17)</f>
        <v>0.753</v>
      </c>
      <c r="D11" s="519">
        <f t="shared" si="2"/>
        <v>57.981000000000002</v>
      </c>
      <c r="E11" s="76"/>
      <c r="F11" s="72">
        <f>[1]Gen!T17</f>
        <v>5576</v>
      </c>
      <c r="G11" s="87">
        <f>[1]Gen!S17</f>
        <v>2276.44</v>
      </c>
      <c r="H11" s="87">
        <f>[1]Gen!AJ25</f>
        <v>80.56</v>
      </c>
      <c r="I11" s="87">
        <f t="shared" si="0"/>
        <v>2357</v>
      </c>
      <c r="J11" s="87">
        <f>[1]Gen!AT17</f>
        <v>47513.140000000029</v>
      </c>
      <c r="K11" s="71">
        <f>'[1]Water-Meter'!E16</f>
        <v>112</v>
      </c>
      <c r="L11" s="69" t="e">
        <f>#REF!</f>
        <v>#REF!</v>
      </c>
      <c r="M11" s="90" t="e">
        <f>#REF!</f>
        <v>#REF!</v>
      </c>
      <c r="N11" s="90" t="e">
        <f>#REF!</f>
        <v>#REF!</v>
      </c>
      <c r="O11" s="90" t="e">
        <f>#REF!</f>
        <v>#REF!</v>
      </c>
      <c r="P11" s="91">
        <f t="shared" si="1"/>
        <v>0.91371423076923131</v>
      </c>
      <c r="Q11" s="6">
        <f>I11*Q2</f>
        <v>5208616.45</v>
      </c>
      <c r="R11" s="78">
        <f t="shared" si="3"/>
        <v>56.712853535789066</v>
      </c>
      <c r="S11" s="524" t="e">
        <f t="shared" si="4"/>
        <v>#DIV/0!</v>
      </c>
      <c r="T11" s="78">
        <f t="shared" si="5"/>
        <v>7.2121212121212119</v>
      </c>
      <c r="U11" s="125" t="e">
        <f t="shared" si="6"/>
        <v>#REF!</v>
      </c>
      <c r="V11" s="18" t="e">
        <f t="shared" si="7"/>
        <v>#REF!</v>
      </c>
      <c r="W11" s="127" t="e">
        <f>SUM(V11/E11)/T2</f>
        <v>#REF!</v>
      </c>
      <c r="X11">
        <f t="shared" si="9"/>
        <v>1584</v>
      </c>
      <c r="Y11" s="525">
        <v>106</v>
      </c>
      <c r="Z11" s="81" t="e">
        <f t="shared" si="8"/>
        <v>#DIV/0!</v>
      </c>
    </row>
    <row r="12" spans="1:27">
      <c r="A12" s="54">
        <f>SUM([1]Gen!A18)</f>
        <v>43746</v>
      </c>
      <c r="B12" s="84">
        <v>0</v>
      </c>
      <c r="C12" s="89">
        <f>SUM([1]Gen!B18)</f>
        <v>0.156</v>
      </c>
      <c r="D12" s="519">
        <f t="shared" si="2"/>
        <v>12.012</v>
      </c>
      <c r="E12" s="76"/>
      <c r="F12" s="72">
        <f>[1]Gen!T18</f>
        <v>5532</v>
      </c>
      <c r="G12" s="87">
        <f>[1]Gen!S18</f>
        <v>2242.4</v>
      </c>
      <c r="H12" s="87" t="e">
        <f>[1]Gen!#REF!</f>
        <v>#REF!</v>
      </c>
      <c r="I12" s="87" t="e">
        <f t="shared" si="0"/>
        <v>#REF!</v>
      </c>
      <c r="J12" s="87">
        <f>[1]Gen!AT18</f>
        <v>45161.890000000029</v>
      </c>
      <c r="K12" s="71">
        <f>'[1]Water-Meter'!E17</f>
        <v>128</v>
      </c>
      <c r="L12" s="69" t="e">
        <f>#REF!</f>
        <v>#REF!</v>
      </c>
      <c r="M12" s="90" t="e">
        <f>#REF!</f>
        <v>#REF!</v>
      </c>
      <c r="N12" s="90" t="e">
        <f>#REF!</f>
        <v>#REF!</v>
      </c>
      <c r="O12" s="90" t="e">
        <f>#REF!</f>
        <v>#REF!</v>
      </c>
      <c r="P12" s="91">
        <f t="shared" si="1"/>
        <v>0.86849788461538513</v>
      </c>
      <c r="Q12" s="6" t="e">
        <f>I12*Q2</f>
        <v>#REF!</v>
      </c>
      <c r="R12" s="78" t="e">
        <f t="shared" si="3"/>
        <v>#REF!</v>
      </c>
      <c r="S12" s="524" t="e">
        <f t="shared" si="4"/>
        <v>#REF!</v>
      </c>
      <c r="T12" s="78">
        <f t="shared" si="5"/>
        <v>8.2424242424242422</v>
      </c>
      <c r="U12" s="125" t="e">
        <f t="shared" si="6"/>
        <v>#REF!</v>
      </c>
      <c r="V12" s="18" t="e">
        <f t="shared" si="7"/>
        <v>#REF!</v>
      </c>
      <c r="W12" s="127" t="e">
        <f>SUM(V12/E12)/T2</f>
        <v>#REF!</v>
      </c>
      <c r="X12">
        <f t="shared" si="9"/>
        <v>1584</v>
      </c>
      <c r="Y12" s="525">
        <v>106</v>
      </c>
      <c r="Z12" s="81" t="e">
        <f t="shared" si="8"/>
        <v>#REF!</v>
      </c>
    </row>
    <row r="13" spans="1:27">
      <c r="A13" s="54">
        <f>SUM([1]Gen!A19)</f>
        <v>43747</v>
      </c>
      <c r="B13" s="84">
        <v>0</v>
      </c>
      <c r="C13" s="89">
        <f>SUM([1]Gen!B19)</f>
        <v>0.442</v>
      </c>
      <c r="D13" s="519">
        <f t="shared" si="2"/>
        <v>34.033999999999999</v>
      </c>
      <c r="E13" s="76"/>
      <c r="F13" s="72">
        <f>[1]Gen!T19</f>
        <v>6233</v>
      </c>
      <c r="G13" s="87">
        <f>[1]Gen!S19</f>
        <v>2430.2700000000004</v>
      </c>
      <c r="H13" s="87" t="e">
        <f>[1]Gen!#REF!</f>
        <v>#REF!</v>
      </c>
      <c r="I13" s="87" t="e">
        <f t="shared" si="0"/>
        <v>#REF!</v>
      </c>
      <c r="J13" s="87">
        <f>[1]Gen!AT19</f>
        <v>42825.480000000025</v>
      </c>
      <c r="K13" s="71">
        <f>'[1]Water-Meter'!E18</f>
        <v>114</v>
      </c>
      <c r="L13" s="69" t="e">
        <f>#REF!</f>
        <v>#REF!</v>
      </c>
      <c r="M13" s="90" t="e">
        <f>#REF!</f>
        <v>#REF!</v>
      </c>
      <c r="N13" s="90" t="e">
        <f>#REF!</f>
        <v>#REF!</v>
      </c>
      <c r="O13" s="90" t="e">
        <f>#REF!</f>
        <v>#REF!</v>
      </c>
      <c r="P13" s="91">
        <f t="shared" si="1"/>
        <v>0.82356692307692358</v>
      </c>
      <c r="Q13" s="6" t="e">
        <f>I13*Q2</f>
        <v>#REF!</v>
      </c>
      <c r="R13" s="78" t="e">
        <f t="shared" si="3"/>
        <v>#REF!</v>
      </c>
      <c r="S13" s="524" t="e">
        <f t="shared" si="4"/>
        <v>#REF!</v>
      </c>
      <c r="T13" s="78">
        <f t="shared" si="5"/>
        <v>7.3409090909090908</v>
      </c>
      <c r="U13" s="125" t="e">
        <f t="shared" si="6"/>
        <v>#REF!</v>
      </c>
      <c r="V13" s="18" t="e">
        <f t="shared" si="7"/>
        <v>#REF!</v>
      </c>
      <c r="W13" s="127" t="e">
        <f>SUM(V13/E13)/T2</f>
        <v>#REF!</v>
      </c>
      <c r="X13">
        <f t="shared" si="9"/>
        <v>1584</v>
      </c>
      <c r="Y13" s="525">
        <v>106</v>
      </c>
      <c r="Z13" s="81" t="e">
        <f t="shared" si="8"/>
        <v>#REF!</v>
      </c>
    </row>
    <row r="14" spans="1:27">
      <c r="A14" s="54">
        <f>SUM([1]Gen!A20)</f>
        <v>43748</v>
      </c>
      <c r="B14" s="84">
        <v>0</v>
      </c>
      <c r="C14" s="89">
        <f>SUM([1]Gen!B20)</f>
        <v>0.32500000000000001</v>
      </c>
      <c r="D14" s="519">
        <f t="shared" si="2"/>
        <v>25.025000000000002</v>
      </c>
      <c r="E14" s="76"/>
      <c r="F14" s="72">
        <f>[1]Gen!T20</f>
        <v>6063</v>
      </c>
      <c r="G14" s="87">
        <f>[1]Gen!S20</f>
        <v>2463.77</v>
      </c>
      <c r="H14" s="87" t="e">
        <f>[1]Gen!#REF!</f>
        <v>#REF!</v>
      </c>
      <c r="I14" s="87" t="e">
        <f t="shared" si="0"/>
        <v>#REF!</v>
      </c>
      <c r="J14" s="87">
        <f>[1]Gen!AT20</f>
        <v>40110.380000000026</v>
      </c>
      <c r="K14" s="71">
        <f>'[1]Water-Meter'!E19</f>
        <v>119</v>
      </c>
      <c r="L14" s="69" t="e">
        <f>#REF!</f>
        <v>#REF!</v>
      </c>
      <c r="M14" s="90" t="e">
        <f>#REF!</f>
        <v>#REF!</v>
      </c>
      <c r="N14" s="90" t="e">
        <f>#REF!</f>
        <v>#REF!</v>
      </c>
      <c r="O14" s="90" t="e">
        <f>#REF!</f>
        <v>#REF!</v>
      </c>
      <c r="P14" s="91">
        <f t="shared" si="1"/>
        <v>0.77135346153846207</v>
      </c>
      <c r="Q14" s="6" t="e">
        <f>I14*Q2</f>
        <v>#REF!</v>
      </c>
      <c r="R14" s="78" t="e">
        <f t="shared" si="3"/>
        <v>#REF!</v>
      </c>
      <c r="S14" s="524" t="e">
        <f t="shared" si="4"/>
        <v>#REF!</v>
      </c>
      <c r="T14" s="78">
        <f t="shared" si="5"/>
        <v>7.6628787878787881</v>
      </c>
      <c r="U14" s="125" t="e">
        <f t="shared" si="6"/>
        <v>#REF!</v>
      </c>
      <c r="V14" s="18" t="e">
        <f t="shared" si="7"/>
        <v>#REF!</v>
      </c>
      <c r="W14" s="127" t="e">
        <f>SUM(V14/E14)/T2</f>
        <v>#REF!</v>
      </c>
      <c r="X14">
        <f t="shared" si="9"/>
        <v>1584</v>
      </c>
      <c r="Y14" s="525">
        <v>106</v>
      </c>
      <c r="Z14" s="81" t="e">
        <f t="shared" si="8"/>
        <v>#REF!</v>
      </c>
    </row>
    <row r="15" spans="1:27">
      <c r="A15" s="54">
        <f>SUM([1]Gen!A21)</f>
        <v>43749</v>
      </c>
      <c r="B15" s="84">
        <v>0</v>
      </c>
      <c r="C15" s="89">
        <f>SUM([1]Gen!B21)</f>
        <v>0.45500000000000002</v>
      </c>
      <c r="D15" s="519">
        <f t="shared" si="2"/>
        <v>35.035000000000004</v>
      </c>
      <c r="E15" s="76"/>
      <c r="F15" s="72">
        <f>[1]Gen!T21</f>
        <v>5967</v>
      </c>
      <c r="G15" s="87">
        <f>[1]Gen!S21</f>
        <v>2310.19</v>
      </c>
      <c r="H15" s="87" t="e">
        <f>[1]Gen!#REF!</f>
        <v>#REF!</v>
      </c>
      <c r="I15" s="87" t="e">
        <f t="shared" si="0"/>
        <v>#REF!</v>
      </c>
      <c r="J15" s="87">
        <f>[1]Gen!AT21</f>
        <v>37540.570000000029</v>
      </c>
      <c r="K15" s="71">
        <f>'[1]Water-Meter'!E20</f>
        <v>128</v>
      </c>
      <c r="L15" s="69" t="e">
        <f>#REF!</f>
        <v>#REF!</v>
      </c>
      <c r="M15" s="90" t="e">
        <f>#REF!</f>
        <v>#REF!</v>
      </c>
      <c r="N15" s="90" t="e">
        <f>#REF!</f>
        <v>#REF!</v>
      </c>
      <c r="O15" s="90" t="e">
        <f>#REF!</f>
        <v>#REF!</v>
      </c>
      <c r="P15" s="91">
        <f t="shared" si="1"/>
        <v>0.72193403846153903</v>
      </c>
      <c r="Q15" s="6" t="e">
        <f>I15*Q2</f>
        <v>#REF!</v>
      </c>
      <c r="R15" s="78" t="e">
        <f t="shared" si="3"/>
        <v>#REF!</v>
      </c>
      <c r="S15" s="524" t="e">
        <f t="shared" si="4"/>
        <v>#REF!</v>
      </c>
      <c r="T15" s="78">
        <f t="shared" si="5"/>
        <v>8.2424242424242422</v>
      </c>
      <c r="U15" s="125" t="e">
        <f t="shared" si="6"/>
        <v>#REF!</v>
      </c>
      <c r="V15" s="18" t="e">
        <f t="shared" si="7"/>
        <v>#REF!</v>
      </c>
      <c r="W15" s="127" t="e">
        <f>SUM(V15/E15)/T2</f>
        <v>#REF!</v>
      </c>
      <c r="X15">
        <f t="shared" si="9"/>
        <v>1584</v>
      </c>
      <c r="Y15" s="525">
        <v>106</v>
      </c>
      <c r="Z15" s="81" t="e">
        <f t="shared" si="8"/>
        <v>#REF!</v>
      </c>
    </row>
    <row r="16" spans="1:27">
      <c r="A16" s="54">
        <f>SUM([1]Gen!A22)</f>
        <v>43750</v>
      </c>
      <c r="B16" s="84">
        <v>0</v>
      </c>
      <c r="C16" s="89">
        <f>SUM([1]Gen!B22)</f>
        <v>0.41599999999999998</v>
      </c>
      <c r="D16" s="519">
        <f t="shared" si="2"/>
        <v>32.031999999999996</v>
      </c>
      <c r="E16" s="76"/>
      <c r="F16" s="72">
        <f>[1]Gen!T22</f>
        <v>5863</v>
      </c>
      <c r="G16" s="87">
        <f>[1]Gen!S22</f>
        <v>2429.17</v>
      </c>
      <c r="H16" s="87" t="e">
        <f>[1]Gen!#REF!</f>
        <v>#REF!</v>
      </c>
      <c r="I16" s="87" t="e">
        <f t="shared" si="0"/>
        <v>#REF!</v>
      </c>
      <c r="J16" s="87">
        <f>[1]Gen!AT22</f>
        <v>34967.29000000003</v>
      </c>
      <c r="K16" s="71">
        <f>'[1]Water-Meter'!E21</f>
        <v>127</v>
      </c>
      <c r="L16" s="69" t="e">
        <f>#REF!</f>
        <v>#REF!</v>
      </c>
      <c r="M16" s="90" t="e">
        <f>#REF!</f>
        <v>#REF!</v>
      </c>
      <c r="N16" s="90" t="e">
        <f>#REF!</f>
        <v>#REF!</v>
      </c>
      <c r="O16" s="90" t="e">
        <f>#REF!</f>
        <v>#REF!</v>
      </c>
      <c r="P16" s="91">
        <f t="shared" si="1"/>
        <v>0.67244788461538518</v>
      </c>
      <c r="Q16" s="6" t="e">
        <f>I16*Q2</f>
        <v>#REF!</v>
      </c>
      <c r="R16" s="78" t="e">
        <f t="shared" si="3"/>
        <v>#REF!</v>
      </c>
      <c r="S16" s="524" t="e">
        <f t="shared" si="4"/>
        <v>#REF!</v>
      </c>
      <c r="T16" s="78">
        <f t="shared" si="5"/>
        <v>8.1780303030303028</v>
      </c>
      <c r="U16" s="125" t="e">
        <f t="shared" si="6"/>
        <v>#REF!</v>
      </c>
      <c r="V16" s="18" t="e">
        <f t="shared" si="7"/>
        <v>#REF!</v>
      </c>
      <c r="W16" s="127" t="e">
        <f>SUM(V16/E16)/T2</f>
        <v>#REF!</v>
      </c>
      <c r="X16">
        <f t="shared" si="9"/>
        <v>1584</v>
      </c>
      <c r="Y16" s="525">
        <v>106</v>
      </c>
      <c r="Z16" s="81" t="e">
        <f t="shared" si="8"/>
        <v>#REF!</v>
      </c>
    </row>
    <row r="17" spans="1:26">
      <c r="A17" s="54">
        <f>SUM([1]Gen!A23)</f>
        <v>43751</v>
      </c>
      <c r="B17" s="84">
        <v>0</v>
      </c>
      <c r="C17" s="89">
        <f>SUM([1]Gen!B23)</f>
        <v>0.39</v>
      </c>
      <c r="D17" s="519">
        <f t="shared" si="2"/>
        <v>30.03</v>
      </c>
      <c r="E17" s="76"/>
      <c r="F17" s="72">
        <f>[1]Gen!T23</f>
        <v>5720</v>
      </c>
      <c r="G17" s="87">
        <f>[1]Gen!S23</f>
        <v>2249.5299999999997</v>
      </c>
      <c r="H17" s="87" t="e">
        <f>[1]Gen!#REF!</f>
        <v>#REF!</v>
      </c>
      <c r="I17" s="87" t="e">
        <f t="shared" si="0"/>
        <v>#REF!</v>
      </c>
      <c r="J17" s="87">
        <f>[1]Gen!AT23</f>
        <v>32228.760000000031</v>
      </c>
      <c r="K17" s="71">
        <f>'[1]Water-Meter'!E22</f>
        <v>122</v>
      </c>
      <c r="L17" s="69" t="e">
        <f>#REF!</f>
        <v>#REF!</v>
      </c>
      <c r="M17" s="90" t="e">
        <f>#REF!</f>
        <v>#REF!</v>
      </c>
      <c r="N17" s="90" t="e">
        <f>#REF!</f>
        <v>#REF!</v>
      </c>
      <c r="O17" s="90" t="e">
        <f>#REF!</f>
        <v>#REF!</v>
      </c>
      <c r="P17" s="91">
        <f t="shared" si="1"/>
        <v>0.61978384615384674</v>
      </c>
      <c r="Q17" s="6" t="e">
        <f>I17*Q2</f>
        <v>#REF!</v>
      </c>
      <c r="R17" s="78" t="e">
        <f t="shared" si="3"/>
        <v>#REF!</v>
      </c>
      <c r="S17" s="524" t="e">
        <f t="shared" si="4"/>
        <v>#REF!</v>
      </c>
      <c r="T17" s="78">
        <f t="shared" si="5"/>
        <v>7.8560606060606064</v>
      </c>
      <c r="U17" s="125" t="e">
        <f t="shared" si="6"/>
        <v>#REF!</v>
      </c>
      <c r="V17" s="18" t="e">
        <f t="shared" si="7"/>
        <v>#REF!</v>
      </c>
      <c r="W17" s="127" t="e">
        <f>SUM(V17/E17)/T2</f>
        <v>#REF!</v>
      </c>
      <c r="X17">
        <f t="shared" si="9"/>
        <v>1584</v>
      </c>
      <c r="Y17" s="525">
        <v>106</v>
      </c>
      <c r="Z17" s="81" t="e">
        <f t="shared" si="8"/>
        <v>#REF!</v>
      </c>
    </row>
    <row r="18" spans="1:26">
      <c r="A18" s="54">
        <f>SUM([1]Gen!A24)</f>
        <v>43752</v>
      </c>
      <c r="B18" s="84">
        <v>0</v>
      </c>
      <c r="C18" s="89">
        <f>SUM([1]Gen!B24)</f>
        <v>0.63600000000000001</v>
      </c>
      <c r="D18" s="519">
        <f t="shared" si="2"/>
        <v>48.972000000000001</v>
      </c>
      <c r="E18" s="76"/>
      <c r="F18" s="72">
        <f>[1]Gen!T24</f>
        <v>6195</v>
      </c>
      <c r="G18" s="87">
        <f>[1]Gen!S24</f>
        <v>2420.41</v>
      </c>
      <c r="H18" s="87">
        <f>[1]Gen!AJ27</f>
        <v>597.9</v>
      </c>
      <c r="I18" s="87">
        <f t="shared" si="0"/>
        <v>3018.31</v>
      </c>
      <c r="J18" s="87">
        <f>[1]Gen!AT24</f>
        <v>29915.45000000003</v>
      </c>
      <c r="K18" s="71">
        <v>0</v>
      </c>
      <c r="L18" s="69" t="e">
        <f>#REF!</f>
        <v>#REF!</v>
      </c>
      <c r="M18" s="90" t="e">
        <f>#REF!</f>
        <v>#REF!</v>
      </c>
      <c r="N18" s="90" t="e">
        <f>#REF!</f>
        <v>#REF!</v>
      </c>
      <c r="O18" s="90" t="e">
        <f>#REF!</f>
        <v>#REF!</v>
      </c>
      <c r="P18" s="91">
        <f t="shared" si="1"/>
        <v>0.57529711538461592</v>
      </c>
      <c r="Q18" s="6">
        <f>I18*Q2</f>
        <v>6670012.3534999993</v>
      </c>
      <c r="R18" s="78">
        <f t="shared" si="3"/>
        <v>85.985183059408499</v>
      </c>
      <c r="S18" s="524" t="e">
        <f t="shared" si="4"/>
        <v>#DIV/0!</v>
      </c>
      <c r="T18" s="78">
        <f t="shared" si="5"/>
        <v>0</v>
      </c>
      <c r="U18" s="125" t="e">
        <f t="shared" si="6"/>
        <v>#REF!</v>
      </c>
      <c r="V18" s="18" t="e">
        <f t="shared" si="7"/>
        <v>#REF!</v>
      </c>
      <c r="W18" s="127" t="e">
        <f>SUM(V18/E18)/T2</f>
        <v>#REF!</v>
      </c>
      <c r="X18">
        <f t="shared" si="9"/>
        <v>1584</v>
      </c>
      <c r="Y18" s="525">
        <v>106</v>
      </c>
      <c r="Z18" s="81" t="e">
        <f t="shared" si="8"/>
        <v>#DIV/0!</v>
      </c>
    </row>
    <row r="19" spans="1:26">
      <c r="A19" s="54">
        <f>SUM([1]Gen!A25)</f>
        <v>43753</v>
      </c>
      <c r="B19" s="84">
        <v>0</v>
      </c>
      <c r="C19" s="89">
        <f>SUM([1]Gen!B25)</f>
        <v>0.84399999999999997</v>
      </c>
      <c r="D19" s="519">
        <f t="shared" si="2"/>
        <v>64.988</v>
      </c>
      <c r="E19" s="76"/>
      <c r="F19" s="72">
        <f>[1]Gen!T25</f>
        <v>6450</v>
      </c>
      <c r="G19" s="87">
        <f>[1]Gen!S25</f>
        <v>2670.31</v>
      </c>
      <c r="H19" s="87">
        <f>[1]Gen!AJ28</f>
        <v>227.73000000000002</v>
      </c>
      <c r="I19" s="87">
        <f t="shared" si="0"/>
        <v>2898.04</v>
      </c>
      <c r="J19" s="87">
        <f>[1]Gen!AT25</f>
        <v>42248.240000000034</v>
      </c>
      <c r="K19" s="71">
        <f>'[1]Water-Meter'!E24</f>
        <v>104</v>
      </c>
      <c r="L19" s="69" t="e">
        <f>#REF!</f>
        <v>#REF!</v>
      </c>
      <c r="M19" s="90" t="e">
        <f>#REF!</f>
        <v>#REF!</v>
      </c>
      <c r="N19" s="90" t="e">
        <f>#REF!</f>
        <v>#REF!</v>
      </c>
      <c r="O19" s="90" t="e">
        <f>#REF!</f>
        <v>#REF!</v>
      </c>
      <c r="P19" s="91">
        <f t="shared" si="1"/>
        <v>0.8124661538461545</v>
      </c>
      <c r="Q19" s="6">
        <f>I19*Q2</f>
        <v>6404233.6939999992</v>
      </c>
      <c r="R19" s="78">
        <f t="shared" si="3"/>
        <v>62.212667369671344</v>
      </c>
      <c r="S19" s="524" t="e">
        <f t="shared" si="4"/>
        <v>#DIV/0!</v>
      </c>
      <c r="T19" s="78">
        <f t="shared" si="5"/>
        <v>6.6969696969696972</v>
      </c>
      <c r="U19" s="125" t="e">
        <f t="shared" si="6"/>
        <v>#REF!</v>
      </c>
      <c r="V19" s="18" t="e">
        <f t="shared" si="7"/>
        <v>#REF!</v>
      </c>
      <c r="W19" s="78" t="e">
        <f>SUM(V19/E19)/T2</f>
        <v>#REF!</v>
      </c>
      <c r="X19">
        <f t="shared" si="9"/>
        <v>1584</v>
      </c>
      <c r="Y19" s="525">
        <v>106</v>
      </c>
      <c r="Z19" s="81" t="e">
        <f t="shared" si="8"/>
        <v>#DIV/0!</v>
      </c>
    </row>
    <row r="20" spans="1:26">
      <c r="A20" s="54">
        <f>SUM([1]Gen!A26)</f>
        <v>43754</v>
      </c>
      <c r="B20" s="84">
        <v>0</v>
      </c>
      <c r="C20" s="89">
        <f>SUM([1]Gen!B26)</f>
        <v>0.81799999999999995</v>
      </c>
      <c r="D20" s="519">
        <f t="shared" si="2"/>
        <v>62.985999999999997</v>
      </c>
      <c r="E20" s="76"/>
      <c r="F20" s="72">
        <f>[1]Gen!T26</f>
        <v>6915</v>
      </c>
      <c r="G20" s="87">
        <f>[1]Gen!S26</f>
        <v>2741.7</v>
      </c>
      <c r="H20" s="87">
        <f>[1]Gen!AJ29</f>
        <v>88.289999999999992</v>
      </c>
      <c r="I20" s="87">
        <f t="shared" si="0"/>
        <v>2829.99</v>
      </c>
      <c r="J20" s="87">
        <f>[1]Gen!AT26</f>
        <v>39497.370000000032</v>
      </c>
      <c r="K20" s="71">
        <f>'[1]Water-Meter'!E25</f>
        <v>100</v>
      </c>
      <c r="L20" s="69" t="e">
        <f>#REF!</f>
        <v>#REF!</v>
      </c>
      <c r="M20" s="90" t="e">
        <f>#REF!</f>
        <v>#REF!</v>
      </c>
      <c r="N20" s="90" t="e">
        <f>#REF!</f>
        <v>#REF!</v>
      </c>
      <c r="O20" s="90" t="e">
        <f>#REF!</f>
        <v>#REF!</v>
      </c>
      <c r="P20" s="91">
        <f t="shared" si="1"/>
        <v>0.75956480769230827</v>
      </c>
      <c r="Q20" s="6">
        <f>I20*Q2</f>
        <v>6253853.4014999997</v>
      </c>
      <c r="R20" s="78">
        <f t="shared" si="3"/>
        <v>62.682814810818947</v>
      </c>
      <c r="S20" s="524" t="e">
        <f t="shared" si="4"/>
        <v>#DIV/0!</v>
      </c>
      <c r="T20" s="78">
        <f t="shared" si="5"/>
        <v>6.4393939393939394</v>
      </c>
      <c r="U20" s="125" t="e">
        <f t="shared" si="6"/>
        <v>#REF!</v>
      </c>
      <c r="V20" s="18" t="e">
        <f t="shared" si="7"/>
        <v>#REF!</v>
      </c>
      <c r="W20" s="78" t="e">
        <f>SUM(V20/E20)/T2</f>
        <v>#REF!</v>
      </c>
      <c r="X20">
        <f t="shared" si="9"/>
        <v>1584</v>
      </c>
      <c r="Y20" s="525">
        <v>106</v>
      </c>
      <c r="Z20" s="81" t="e">
        <f t="shared" si="8"/>
        <v>#DIV/0!</v>
      </c>
    </row>
    <row r="21" spans="1:26">
      <c r="A21" s="54">
        <f>SUM([1]Gen!A27)</f>
        <v>43755</v>
      </c>
      <c r="B21" s="84">
        <v>0</v>
      </c>
      <c r="C21" s="89">
        <f>SUM([1]Gen!B27)</f>
        <v>0.20799999999999999</v>
      </c>
      <c r="D21" s="519">
        <f t="shared" si="2"/>
        <v>16.015999999999998</v>
      </c>
      <c r="E21" s="76"/>
      <c r="F21" s="72">
        <f>[1]Gen!T27</f>
        <v>5962</v>
      </c>
      <c r="G21" s="87">
        <f>[1]Gen!S27</f>
        <v>2321.11</v>
      </c>
      <c r="H21" s="87">
        <f>[1]Gen!AJ30</f>
        <v>783.92</v>
      </c>
      <c r="I21" s="87">
        <f t="shared" si="0"/>
        <v>3105.03</v>
      </c>
      <c r="J21" s="87">
        <f>[1]Gen!AT27</f>
        <v>36688.350000000035</v>
      </c>
      <c r="K21" s="71">
        <f>'[1]Water-Meter'!E26</f>
        <v>116</v>
      </c>
      <c r="L21" s="69" t="e">
        <f>#REF!</f>
        <v>#REF!</v>
      </c>
      <c r="M21" s="90" t="e">
        <f>#REF!</f>
        <v>#REF!</v>
      </c>
      <c r="N21" s="90" t="e">
        <f>#REF!</f>
        <v>#REF!</v>
      </c>
      <c r="O21" s="90" t="e">
        <f>#REF!</f>
        <v>#REF!</v>
      </c>
      <c r="P21" s="91">
        <f t="shared" si="1"/>
        <v>0.70554519230769297</v>
      </c>
      <c r="Q21" s="6">
        <f>I21*Q2</f>
        <v>6861650.5455</v>
      </c>
      <c r="R21" s="78">
        <f t="shared" si="3"/>
        <v>270.4701605804234</v>
      </c>
      <c r="S21" s="524" t="e">
        <f t="shared" si="4"/>
        <v>#DIV/0!</v>
      </c>
      <c r="T21" s="78">
        <f t="shared" si="5"/>
        <v>7.4696969696969697</v>
      </c>
      <c r="U21" s="125" t="e">
        <f t="shared" si="6"/>
        <v>#REF!</v>
      </c>
      <c r="V21" s="18" t="e">
        <f t="shared" si="7"/>
        <v>#REF!</v>
      </c>
      <c r="W21" s="78" t="e">
        <f>SUM(V21/E21)/T2</f>
        <v>#REF!</v>
      </c>
      <c r="X21">
        <f t="shared" si="9"/>
        <v>1584</v>
      </c>
      <c r="Y21" s="525">
        <v>106</v>
      </c>
      <c r="Z21" s="81" t="e">
        <f t="shared" si="8"/>
        <v>#DIV/0!</v>
      </c>
    </row>
    <row r="22" spans="1:26">
      <c r="A22" s="54">
        <f>SUM([1]Gen!A28)</f>
        <v>43756</v>
      </c>
      <c r="B22" s="84">
        <v>0</v>
      </c>
      <c r="C22" s="89">
        <f>SUM([1]Gen!B28)</f>
        <v>0.221</v>
      </c>
      <c r="D22" s="519">
        <f t="shared" si="2"/>
        <v>17.016999999999999</v>
      </c>
      <c r="E22" s="76"/>
      <c r="F22" s="72">
        <f>[1]Gen!T28</f>
        <v>5257</v>
      </c>
      <c r="G22" s="87">
        <f>[1]Gen!S28</f>
        <v>2204.84</v>
      </c>
      <c r="H22" s="87" t="e">
        <f>[1]Gen!#REF!</f>
        <v>#REF!</v>
      </c>
      <c r="I22" s="87" t="e">
        <f t="shared" si="0"/>
        <v>#REF!</v>
      </c>
      <c r="J22" s="87">
        <f>[1]Gen!AT28</f>
        <v>33769.340000000033</v>
      </c>
      <c r="K22" s="71">
        <f>'[1]Water-Meter'!E27</f>
        <v>114</v>
      </c>
      <c r="L22" s="69" t="e">
        <f>#REF!</f>
        <v>#REF!</v>
      </c>
      <c r="M22" s="90" t="e">
        <f>#REF!</f>
        <v>#REF!</v>
      </c>
      <c r="N22" s="90" t="e">
        <f>#REF!</f>
        <v>#REF!</v>
      </c>
      <c r="O22" s="90" t="e">
        <f>#REF!</f>
        <v>#REF!</v>
      </c>
      <c r="P22" s="91">
        <f t="shared" si="1"/>
        <v>0.64941038461538525</v>
      </c>
      <c r="Q22" s="6" t="e">
        <f>I22*Q2</f>
        <v>#REF!</v>
      </c>
      <c r="R22" s="78" t="e">
        <f t="shared" si="3"/>
        <v>#REF!</v>
      </c>
      <c r="S22" s="524" t="e">
        <f t="shared" si="4"/>
        <v>#REF!</v>
      </c>
      <c r="T22" s="78">
        <f t="shared" si="5"/>
        <v>7.3409090909090908</v>
      </c>
      <c r="U22" s="125" t="e">
        <f t="shared" si="6"/>
        <v>#REF!</v>
      </c>
      <c r="V22" s="18" t="e">
        <f t="shared" si="7"/>
        <v>#REF!</v>
      </c>
      <c r="W22" s="78" t="e">
        <f>SUM(V22/E22)/T2</f>
        <v>#REF!</v>
      </c>
      <c r="X22">
        <f t="shared" si="9"/>
        <v>1584</v>
      </c>
      <c r="Y22" s="525">
        <v>106</v>
      </c>
      <c r="Z22" s="81" t="e">
        <f t="shared" si="8"/>
        <v>#REF!</v>
      </c>
    </row>
    <row r="23" spans="1:26">
      <c r="A23" s="54">
        <f>SUM([1]Gen!A29)</f>
        <v>43757</v>
      </c>
      <c r="B23" s="84">
        <v>0</v>
      </c>
      <c r="C23" s="89">
        <f>SUM([1]Gen!B29)</f>
        <v>0.11700000000000001</v>
      </c>
      <c r="D23" s="519">
        <f t="shared" si="2"/>
        <v>9.0090000000000003</v>
      </c>
      <c r="E23" s="76"/>
      <c r="F23" s="72">
        <f>[1]Gen!T29</f>
        <v>4691</v>
      </c>
      <c r="G23" s="87">
        <f>[1]Gen!S29</f>
        <v>1845.1800000000003</v>
      </c>
      <c r="H23" s="87" t="e">
        <f>[1]Gen!#REF!</f>
        <v>#REF!</v>
      </c>
      <c r="I23" s="87" t="e">
        <f t="shared" si="0"/>
        <v>#REF!</v>
      </c>
      <c r="J23" s="87">
        <f>[1]Gen!AT29</f>
        <v>31336.770000000033</v>
      </c>
      <c r="K23" s="71">
        <f>'[1]Water-Meter'!E28</f>
        <v>113</v>
      </c>
      <c r="L23" s="69" t="e">
        <f>#REF!</f>
        <v>#REF!</v>
      </c>
      <c r="M23" s="90" t="e">
        <f>#REF!</f>
        <v>#REF!</v>
      </c>
      <c r="N23" s="90" t="e">
        <f>#REF!</f>
        <v>#REF!</v>
      </c>
      <c r="O23" s="90" t="e">
        <f>#REF!</f>
        <v>#REF!</v>
      </c>
      <c r="P23" s="91">
        <f t="shared" si="1"/>
        <v>0.60263019230769299</v>
      </c>
      <c r="Q23" s="6" t="e">
        <f>I23*Q2</f>
        <v>#REF!</v>
      </c>
      <c r="R23" s="78" t="e">
        <f t="shared" si="3"/>
        <v>#REF!</v>
      </c>
      <c r="S23" s="524" t="e">
        <f t="shared" si="4"/>
        <v>#REF!</v>
      </c>
      <c r="T23" s="78">
        <f t="shared" si="5"/>
        <v>7.2765151515151514</v>
      </c>
      <c r="U23" s="125" t="e">
        <f t="shared" si="6"/>
        <v>#REF!</v>
      </c>
      <c r="V23" s="18" t="e">
        <f t="shared" si="7"/>
        <v>#REF!</v>
      </c>
      <c r="W23" s="78" t="e">
        <f>SUM(V23/E23)/T2</f>
        <v>#REF!</v>
      </c>
      <c r="X23">
        <f t="shared" si="9"/>
        <v>1584</v>
      </c>
      <c r="Y23" s="525">
        <v>106</v>
      </c>
      <c r="Z23" s="81" t="e">
        <f t="shared" si="8"/>
        <v>#REF!</v>
      </c>
    </row>
    <row r="24" spans="1:26">
      <c r="A24" s="54">
        <f>SUM([1]Gen!A30)</f>
        <v>43758</v>
      </c>
      <c r="B24" s="84">
        <v>0</v>
      </c>
      <c r="C24" s="89">
        <f>SUM([1]Gen!B30)</f>
        <v>0.57099999999999995</v>
      </c>
      <c r="D24" s="519">
        <f t="shared" si="2"/>
        <v>43.966999999999999</v>
      </c>
      <c r="E24" s="76"/>
      <c r="F24" s="72">
        <f>[1]Gen!T30</f>
        <v>5712</v>
      </c>
      <c r="G24" s="87">
        <f>[1]Gen!S30</f>
        <v>2197.0099999999998</v>
      </c>
      <c r="H24" s="87" t="e">
        <f>[1]Gen!#REF!</f>
        <v>#REF!</v>
      </c>
      <c r="I24" s="87" t="e">
        <f t="shared" si="0"/>
        <v>#REF!</v>
      </c>
      <c r="J24" s="87">
        <f>[1]Gen!AT30</f>
        <v>29403.300000000032</v>
      </c>
      <c r="K24" s="71">
        <f>'[1]Water-Meter'!E29</f>
        <v>99</v>
      </c>
      <c r="L24" s="69" t="e">
        <f>#REF!</f>
        <v>#REF!</v>
      </c>
      <c r="M24" s="90" t="e">
        <f>#REF!</f>
        <v>#REF!</v>
      </c>
      <c r="N24" s="90" t="e">
        <f>#REF!</f>
        <v>#REF!</v>
      </c>
      <c r="O24" s="90" t="e">
        <f>#REF!</f>
        <v>#REF!</v>
      </c>
      <c r="P24" s="91">
        <f t="shared" si="1"/>
        <v>0.56544807692307753</v>
      </c>
      <c r="Q24" s="6" t="e">
        <f>I24*Q2</f>
        <v>#REF!</v>
      </c>
      <c r="R24" s="78" t="e">
        <f t="shared" si="3"/>
        <v>#REF!</v>
      </c>
      <c r="S24" s="524" t="e">
        <f t="shared" si="4"/>
        <v>#REF!</v>
      </c>
      <c r="T24" s="78">
        <f t="shared" si="5"/>
        <v>6.375</v>
      </c>
      <c r="U24" s="125" t="e">
        <f t="shared" si="6"/>
        <v>#REF!</v>
      </c>
      <c r="V24" s="18" t="e">
        <f t="shared" si="7"/>
        <v>#REF!</v>
      </c>
      <c r="W24" s="78" t="e">
        <f>SUM(V24/E24)/T2</f>
        <v>#REF!</v>
      </c>
      <c r="X24">
        <f t="shared" si="9"/>
        <v>1584</v>
      </c>
      <c r="Y24" s="525">
        <v>106</v>
      </c>
      <c r="Z24" s="81" t="e">
        <f t="shared" si="8"/>
        <v>#REF!</v>
      </c>
    </row>
    <row r="25" spans="1:26">
      <c r="A25" s="54">
        <f>SUM([1]Gen!A31)</f>
        <v>43759</v>
      </c>
      <c r="B25" s="84">
        <v>0</v>
      </c>
      <c r="C25" s="89">
        <f>SUM([1]Gen!B31)</f>
        <v>0.55800000000000005</v>
      </c>
      <c r="D25" s="519">
        <f t="shared" si="2"/>
        <v>42.966000000000001</v>
      </c>
      <c r="E25" s="76"/>
      <c r="F25" s="72">
        <f>[1]Gen!T31</f>
        <v>5941</v>
      </c>
      <c r="G25" s="87">
        <f>[1]Gen!S31</f>
        <v>2262.16</v>
      </c>
      <c r="H25" s="87">
        <f>[1]Gen!AJ31</f>
        <v>172.05</v>
      </c>
      <c r="I25" s="87">
        <f t="shared" si="0"/>
        <v>2434.21</v>
      </c>
      <c r="J25" s="87">
        <f>[1]Gen!AT31</f>
        <v>41422.370000000032</v>
      </c>
      <c r="K25" s="71">
        <f>'[1]Water-Meter'!E30</f>
        <v>111</v>
      </c>
      <c r="L25" s="69" t="e">
        <f>#REF!</f>
        <v>#REF!</v>
      </c>
      <c r="M25" s="90" t="e">
        <f>#REF!</f>
        <v>#REF!</v>
      </c>
      <c r="N25" s="90" t="e">
        <f>#REF!</f>
        <v>#REF!</v>
      </c>
      <c r="O25" s="90" t="e">
        <f>#REF!</f>
        <v>#REF!</v>
      </c>
      <c r="P25" s="91">
        <f t="shared" si="1"/>
        <v>0.79658403846153902</v>
      </c>
      <c r="Q25" s="6">
        <f>I25*Q2</f>
        <v>5379238.9684999995</v>
      </c>
      <c r="R25" s="78">
        <f t="shared" si="3"/>
        <v>79.038872533755836</v>
      </c>
      <c r="S25" s="524" t="e">
        <f t="shared" si="4"/>
        <v>#DIV/0!</v>
      </c>
      <c r="T25" s="78">
        <f t="shared" si="5"/>
        <v>7.1477272727272725</v>
      </c>
      <c r="U25" s="125" t="e">
        <f t="shared" si="6"/>
        <v>#REF!</v>
      </c>
      <c r="V25" s="18" t="e">
        <f t="shared" si="7"/>
        <v>#REF!</v>
      </c>
      <c r="W25" s="78" t="e">
        <f>SUM(V25/E25)/T2</f>
        <v>#REF!</v>
      </c>
      <c r="X25">
        <f t="shared" si="9"/>
        <v>1584</v>
      </c>
      <c r="Y25" s="525">
        <v>106</v>
      </c>
      <c r="Z25" s="81" t="e">
        <f t="shared" si="8"/>
        <v>#DIV/0!</v>
      </c>
    </row>
    <row r="26" spans="1:26">
      <c r="A26" s="54">
        <f>SUM([1]Gen!A32)</f>
        <v>43760</v>
      </c>
      <c r="B26" s="84">
        <v>0</v>
      </c>
      <c r="C26" s="89">
        <f>SUM([1]Gen!B32)</f>
        <v>0.40300000000000002</v>
      </c>
      <c r="D26" s="519">
        <f t="shared" si="2"/>
        <v>31.031000000000002</v>
      </c>
      <c r="E26" s="76"/>
      <c r="F26" s="72">
        <f>[1]Gen!T32</f>
        <v>5400</v>
      </c>
      <c r="G26" s="87">
        <f>[1]Gen!S32</f>
        <v>2286.86</v>
      </c>
      <c r="H26" s="87">
        <f>[1]Gen!AJ32</f>
        <v>18.63</v>
      </c>
      <c r="I26" s="87">
        <f t="shared" si="0"/>
        <v>2305.4900000000002</v>
      </c>
      <c r="J26" s="87">
        <f>[1]Gen!AT32</f>
        <v>38988.160000000033</v>
      </c>
      <c r="K26" s="71">
        <f>'[1]Water-Meter'!E31</f>
        <v>130</v>
      </c>
      <c r="L26" s="69" t="e">
        <f>#REF!</f>
        <v>#REF!</v>
      </c>
      <c r="M26" s="90" t="e">
        <f>#REF!</f>
        <v>#REF!</v>
      </c>
      <c r="N26" s="90" t="e">
        <f>#REF!</f>
        <v>#REF!</v>
      </c>
      <c r="O26" s="90" t="e">
        <f>#REF!</f>
        <v>#REF!</v>
      </c>
      <c r="P26" s="91">
        <f t="shared" si="1"/>
        <v>0.74977230769230829</v>
      </c>
      <c r="Q26" s="6">
        <f>I26*Q2</f>
        <v>5094787.0765000004</v>
      </c>
      <c r="R26" s="78">
        <f t="shared" si="3"/>
        <v>103.65138031771097</v>
      </c>
      <c r="S26" s="524" t="e">
        <f t="shared" si="4"/>
        <v>#DIV/0!</v>
      </c>
      <c r="T26" s="78">
        <f t="shared" si="5"/>
        <v>8.3712121212121211</v>
      </c>
      <c r="U26" s="125" t="e">
        <f t="shared" si="6"/>
        <v>#REF!</v>
      </c>
      <c r="V26" s="18" t="e">
        <f t="shared" si="7"/>
        <v>#REF!</v>
      </c>
      <c r="W26" s="78" t="e">
        <f>SUM(V26/E26)/T2</f>
        <v>#REF!</v>
      </c>
      <c r="X26">
        <f t="shared" si="9"/>
        <v>1584</v>
      </c>
      <c r="Y26" s="525">
        <v>106</v>
      </c>
      <c r="Z26" s="81" t="e">
        <f t="shared" si="8"/>
        <v>#DIV/0!</v>
      </c>
    </row>
    <row r="27" spans="1:26">
      <c r="A27" s="54">
        <f>SUM([1]Gen!A33)</f>
        <v>43761</v>
      </c>
      <c r="B27" s="84">
        <v>0</v>
      </c>
      <c r="C27" s="89">
        <f>SUM([1]Gen!B33)</f>
        <v>0.24</v>
      </c>
      <c r="D27" s="519">
        <f t="shared" si="2"/>
        <v>18.48</v>
      </c>
      <c r="E27" s="76"/>
      <c r="F27" s="72">
        <f>[1]Gen!T33</f>
        <v>5371</v>
      </c>
      <c r="G27" s="87">
        <f>[1]Gen!S33</f>
        <v>2148.2999999999997</v>
      </c>
      <c r="H27" s="87">
        <f>[1]Gen!AJ33</f>
        <v>311.34000000000003</v>
      </c>
      <c r="I27" s="87">
        <f t="shared" si="0"/>
        <v>2459.64</v>
      </c>
      <c r="J27" s="87">
        <f>[1]Gen!AT33</f>
        <v>36682.670000000035</v>
      </c>
      <c r="K27" s="71">
        <f>'[1]Water-Meter'!E32</f>
        <v>114</v>
      </c>
      <c r="L27" s="69" t="e">
        <f>#REF!</f>
        <v>#REF!</v>
      </c>
      <c r="M27" s="90" t="e">
        <f>#REF!</f>
        <v>#REF!</v>
      </c>
      <c r="N27" s="90" t="e">
        <f>#REF!</f>
        <v>#REF!</v>
      </c>
      <c r="O27" s="90" t="e">
        <f>#REF!</f>
        <v>#REF!</v>
      </c>
      <c r="P27" s="91">
        <f t="shared" si="1"/>
        <v>0.70543596153846222</v>
      </c>
      <c r="Q27" s="6">
        <f>I27*Q2</f>
        <v>5435435.4539999999</v>
      </c>
      <c r="R27" s="78">
        <f t="shared" si="3"/>
        <v>185.6851610668372</v>
      </c>
      <c r="S27" s="524" t="e">
        <f t="shared" si="4"/>
        <v>#DIV/0!</v>
      </c>
      <c r="T27" s="78">
        <f t="shared" si="5"/>
        <v>7.3409090909090908</v>
      </c>
      <c r="U27" s="125" t="e">
        <f t="shared" si="6"/>
        <v>#REF!</v>
      </c>
      <c r="V27" s="18" t="e">
        <f t="shared" si="7"/>
        <v>#REF!</v>
      </c>
      <c r="W27" s="78" t="e">
        <f>SUM(V27/E27)/T2</f>
        <v>#REF!</v>
      </c>
      <c r="X27">
        <f t="shared" si="9"/>
        <v>1584</v>
      </c>
      <c r="Y27" s="525">
        <v>106</v>
      </c>
      <c r="Z27" s="81" t="e">
        <f t="shared" si="8"/>
        <v>#DIV/0!</v>
      </c>
    </row>
    <row r="28" spans="1:26">
      <c r="A28" s="54">
        <f>SUM([1]Gen!A34)</f>
        <v>43762</v>
      </c>
      <c r="B28" s="84">
        <v>0</v>
      </c>
      <c r="C28" s="89">
        <f>SUM([1]Gen!B34)</f>
        <v>0.09</v>
      </c>
      <c r="D28" s="519">
        <f t="shared" si="2"/>
        <v>6.93</v>
      </c>
      <c r="E28" s="76"/>
      <c r="F28" s="72">
        <f>[1]Gen!T34</f>
        <v>5296</v>
      </c>
      <c r="G28" s="87">
        <f>[1]Gen!S34</f>
        <v>2213.27</v>
      </c>
      <c r="H28" s="87">
        <f>[1]Gen!AJ34</f>
        <v>380.7</v>
      </c>
      <c r="I28" s="87">
        <f t="shared" si="0"/>
        <v>2593.9699999999998</v>
      </c>
      <c r="J28" s="87">
        <f>[1]Gen!AT34</f>
        <v>44223.030000000035</v>
      </c>
      <c r="K28" s="71">
        <f>'[1]Water-Meter'!E33</f>
        <v>-215493</v>
      </c>
      <c r="L28" s="69" t="e">
        <f>#REF!</f>
        <v>#REF!</v>
      </c>
      <c r="M28" s="90" t="e">
        <f>#REF!</f>
        <v>#REF!</v>
      </c>
      <c r="N28" s="90" t="e">
        <f>#REF!</f>
        <v>#REF!</v>
      </c>
      <c r="O28" s="90" t="e">
        <f>#REF!</f>
        <v>#REF!</v>
      </c>
      <c r="P28" s="91">
        <f t="shared" si="1"/>
        <v>0.85044288461538531</v>
      </c>
      <c r="Q28" s="6">
        <f>I28*Q2</f>
        <v>5732284.6044999994</v>
      </c>
      <c r="R28" s="78">
        <f t="shared" si="3"/>
        <v>522.20296439321055</v>
      </c>
      <c r="S28" s="524" t="e">
        <f t="shared" si="4"/>
        <v>#DIV/0!</v>
      </c>
      <c r="T28" s="78">
        <f t="shared" si="5"/>
        <v>-13876.443181818182</v>
      </c>
      <c r="U28" s="125" t="e">
        <f t="shared" si="6"/>
        <v>#REF!</v>
      </c>
      <c r="V28" s="18" t="e">
        <f t="shared" si="7"/>
        <v>#REF!</v>
      </c>
      <c r="W28" s="78" t="e">
        <f>SUM(V28/E28)/T2</f>
        <v>#REF!</v>
      </c>
      <c r="X28">
        <f t="shared" si="9"/>
        <v>1584</v>
      </c>
      <c r="Y28" s="525">
        <v>106</v>
      </c>
      <c r="Z28" s="81" t="e">
        <f t="shared" si="8"/>
        <v>#DIV/0!</v>
      </c>
    </row>
    <row r="29" spans="1:26">
      <c r="A29" s="54">
        <f>SUM([1]Gen!A35)</f>
        <v>43763</v>
      </c>
      <c r="B29" s="84">
        <v>0</v>
      </c>
      <c r="C29" s="89">
        <f>SUM([1]Gen!B35)</f>
        <v>0.28599999999999998</v>
      </c>
      <c r="D29" s="519">
        <f t="shared" si="2"/>
        <v>22.021999999999998</v>
      </c>
      <c r="E29" s="76"/>
      <c r="F29" s="72">
        <f>[1]Gen!T35</f>
        <v>5221</v>
      </c>
      <c r="G29" s="87">
        <f>[1]Gen!S35</f>
        <v>2104.5200000000004</v>
      </c>
      <c r="H29" s="87">
        <f>[1]Gen!AJ35</f>
        <v>273.37</v>
      </c>
      <c r="I29" s="87">
        <f t="shared" si="0"/>
        <v>2377.8900000000003</v>
      </c>
      <c r="J29" s="87">
        <f>[1]Gen!AT35</f>
        <v>41629.060000000034</v>
      </c>
      <c r="K29" s="71">
        <f>'[1]Water-Meter'!E34</f>
        <v>0</v>
      </c>
      <c r="L29" s="69" t="e">
        <f>#REF!</f>
        <v>#REF!</v>
      </c>
      <c r="M29" s="90" t="e">
        <f>#REF!</f>
        <v>#REF!</v>
      </c>
      <c r="N29" s="90" t="e">
        <f>#REF!</f>
        <v>#REF!</v>
      </c>
      <c r="O29" s="90" t="e">
        <f>#REF!</f>
        <v>#REF!</v>
      </c>
      <c r="P29" s="91">
        <f t="shared" si="1"/>
        <v>0.80055884615384676</v>
      </c>
      <c r="Q29" s="6">
        <f>I29*Q2</f>
        <v>5254780.2165000001</v>
      </c>
      <c r="R29" s="78">
        <f t="shared" si="3"/>
        <v>150.64080250844199</v>
      </c>
      <c r="S29" s="524" t="e">
        <f t="shared" si="4"/>
        <v>#DIV/0!</v>
      </c>
      <c r="T29" s="78">
        <f t="shared" si="5"/>
        <v>0</v>
      </c>
      <c r="U29" s="125" t="e">
        <f t="shared" si="6"/>
        <v>#REF!</v>
      </c>
      <c r="V29" s="18" t="e">
        <f t="shared" si="7"/>
        <v>#REF!</v>
      </c>
      <c r="W29" s="78" t="e">
        <f>SUM(V29/E29)/T2</f>
        <v>#REF!</v>
      </c>
      <c r="X29">
        <f t="shared" si="9"/>
        <v>1584</v>
      </c>
      <c r="Y29" s="525">
        <v>106</v>
      </c>
      <c r="Z29" s="81" t="e">
        <f t="shared" si="8"/>
        <v>#DIV/0!</v>
      </c>
    </row>
    <row r="30" spans="1:26">
      <c r="A30" s="54">
        <f>SUM([1]Gen!A36)</f>
        <v>43764</v>
      </c>
      <c r="B30" s="84">
        <v>0</v>
      </c>
      <c r="C30" s="89">
        <f>SUM([1]Gen!B36)</f>
        <v>0.54500000000000004</v>
      </c>
      <c r="D30" s="519">
        <f t="shared" si="2"/>
        <v>41.965000000000003</v>
      </c>
      <c r="E30" s="76"/>
      <c r="F30" s="72">
        <f>[1]Gen!T36</f>
        <v>5665</v>
      </c>
      <c r="G30" s="87">
        <f>[1]Gen!S36</f>
        <v>2470.2400000000002</v>
      </c>
      <c r="H30" s="87">
        <f>[1]Gen!AJ36</f>
        <v>396.56</v>
      </c>
      <c r="I30" s="87">
        <f t="shared" si="0"/>
        <v>2866.8</v>
      </c>
      <c r="J30" s="87">
        <f>[1]Gen!AT36</f>
        <v>39251.170000000035</v>
      </c>
      <c r="K30" s="71">
        <f>'[1]Water-Meter'!E35</f>
        <v>0</v>
      </c>
      <c r="L30" s="69" t="e">
        <f>#REF!</f>
        <v>#REF!</v>
      </c>
      <c r="M30" s="90" t="e">
        <f>#REF!</f>
        <v>#REF!</v>
      </c>
      <c r="N30" s="90" t="e">
        <f>#REF!</f>
        <v>#REF!</v>
      </c>
      <c r="O30" s="90" t="e">
        <f>#REF!</f>
        <v>#REF!</v>
      </c>
      <c r="P30" s="91">
        <f t="shared" si="1"/>
        <v>0.75483019230769299</v>
      </c>
      <c r="Q30" s="6">
        <f>I30*Q2</f>
        <v>6335197.9800000004</v>
      </c>
      <c r="R30" s="78">
        <f t="shared" si="3"/>
        <v>95.305461080481933</v>
      </c>
      <c r="S30" s="524" t="e">
        <f t="shared" si="4"/>
        <v>#DIV/0!</v>
      </c>
      <c r="T30" s="78">
        <f t="shared" si="5"/>
        <v>0</v>
      </c>
      <c r="U30" s="125" t="e">
        <f t="shared" si="6"/>
        <v>#REF!</v>
      </c>
      <c r="V30" s="18" t="e">
        <f t="shared" si="7"/>
        <v>#REF!</v>
      </c>
      <c r="W30" s="78" t="e">
        <f>SUM(V30/E30)/T2</f>
        <v>#REF!</v>
      </c>
      <c r="X30">
        <f t="shared" si="9"/>
        <v>1584</v>
      </c>
      <c r="Y30" s="525">
        <v>106</v>
      </c>
      <c r="Z30" s="81" t="e">
        <f t="shared" si="8"/>
        <v>#DIV/0!</v>
      </c>
    </row>
    <row r="31" spans="1:26">
      <c r="A31" s="54">
        <f>SUM([1]Gen!A37)</f>
        <v>43765</v>
      </c>
      <c r="B31" s="84">
        <v>0</v>
      </c>
      <c r="C31" s="89">
        <f>SUM([1]Gen!B37)</f>
        <v>0.67500000000000004</v>
      </c>
      <c r="D31" s="519">
        <f t="shared" si="2"/>
        <v>51.975000000000001</v>
      </c>
      <c r="E31" s="76"/>
      <c r="F31" s="72">
        <f>[1]Gen!T37</f>
        <v>6109</v>
      </c>
      <c r="G31" s="87">
        <f>[1]Gen!S37</f>
        <v>2323.7399999999998</v>
      </c>
      <c r="H31" s="87">
        <f>[1]Gen!AJ37</f>
        <v>280.63</v>
      </c>
      <c r="I31" s="87">
        <f t="shared" si="0"/>
        <v>2604.37</v>
      </c>
      <c r="J31" s="87">
        <f>[1]Gen!AT37</f>
        <v>36384.370000000032</v>
      </c>
      <c r="K31" s="71">
        <f>'[1]Water-Meter'!E36</f>
        <v>0</v>
      </c>
      <c r="L31" s="69" t="e">
        <f>#REF!</f>
        <v>#REF!</v>
      </c>
      <c r="M31" s="90" t="e">
        <f>#REF!</f>
        <v>#REF!</v>
      </c>
      <c r="N31" s="90" t="e">
        <f>#REF!</f>
        <v>#REF!</v>
      </c>
      <c r="O31" s="90" t="e">
        <f>#REF!</f>
        <v>#REF!</v>
      </c>
      <c r="P31" s="91">
        <f t="shared" si="1"/>
        <v>0.69969942307692368</v>
      </c>
      <c r="Q31" s="6">
        <f>I31*Q2</f>
        <v>5755267.0444999998</v>
      </c>
      <c r="R31" s="78">
        <f t="shared" si="3"/>
        <v>69.906217593199912</v>
      </c>
      <c r="S31" s="524" t="e">
        <f t="shared" si="4"/>
        <v>#DIV/0!</v>
      </c>
      <c r="T31" s="78">
        <f t="shared" si="5"/>
        <v>0</v>
      </c>
      <c r="U31" s="125" t="e">
        <f t="shared" si="6"/>
        <v>#REF!</v>
      </c>
      <c r="V31" s="18" t="e">
        <f t="shared" si="7"/>
        <v>#REF!</v>
      </c>
      <c r="W31" s="78" t="e">
        <f>SUM(V31/E31)/T2</f>
        <v>#REF!</v>
      </c>
      <c r="X31">
        <f t="shared" si="9"/>
        <v>1584</v>
      </c>
      <c r="Y31" s="525">
        <v>106</v>
      </c>
      <c r="Z31" s="81" t="e">
        <f t="shared" si="8"/>
        <v>#DIV/0!</v>
      </c>
    </row>
    <row r="32" spans="1:26">
      <c r="A32" s="54">
        <f>SUM([1]Gen!A38)</f>
        <v>43766</v>
      </c>
      <c r="B32" s="84">
        <v>0</v>
      </c>
      <c r="C32" s="89">
        <f>SUM([1]Gen!B38)</f>
        <v>0.27300000000000002</v>
      </c>
      <c r="D32" s="519">
        <f t="shared" si="2"/>
        <v>21.021000000000001</v>
      </c>
      <c r="E32" s="76"/>
      <c r="F32" s="72">
        <f>[1]Gen!T38</f>
        <v>0</v>
      </c>
      <c r="G32" s="87">
        <f>[1]Gen!S38</f>
        <v>0</v>
      </c>
      <c r="H32" s="87">
        <f>[1]Gen!AJ38</f>
        <v>0</v>
      </c>
      <c r="I32" s="87">
        <f t="shared" si="0"/>
        <v>0</v>
      </c>
      <c r="J32" s="87">
        <f>[1]Gen!AT38</f>
        <v>33780.000000000029</v>
      </c>
      <c r="K32" s="71">
        <f>'[1]Water-Meter'!E37</f>
        <v>0</v>
      </c>
      <c r="L32" s="69" t="e">
        <f>#REF!</f>
        <v>#REF!</v>
      </c>
      <c r="M32" s="90" t="e">
        <f>#REF!</f>
        <v>#REF!</v>
      </c>
      <c r="N32" s="90" t="e">
        <f>#REF!</f>
        <v>#REF!</v>
      </c>
      <c r="O32" s="90" t="e">
        <f>#REF!</f>
        <v>#REF!</v>
      </c>
      <c r="P32" s="91">
        <f t="shared" si="1"/>
        <v>0.64961538461538515</v>
      </c>
      <c r="Q32" s="6">
        <f>I32*Q2</f>
        <v>0</v>
      </c>
      <c r="R32" s="78">
        <f t="shared" si="3"/>
        <v>0</v>
      </c>
      <c r="S32" s="524" t="e">
        <f t="shared" si="4"/>
        <v>#DIV/0!</v>
      </c>
      <c r="T32" s="78">
        <f t="shared" si="5"/>
        <v>0</v>
      </c>
      <c r="U32" s="125" t="e">
        <f t="shared" si="6"/>
        <v>#REF!</v>
      </c>
      <c r="V32" s="18" t="e">
        <f t="shared" si="7"/>
        <v>#REF!</v>
      </c>
      <c r="W32" s="78" t="e">
        <f>SUM(V32/E32)/T2</f>
        <v>#REF!</v>
      </c>
      <c r="X32">
        <f t="shared" si="9"/>
        <v>1584</v>
      </c>
      <c r="Y32" s="525">
        <v>106</v>
      </c>
      <c r="Z32" s="81" t="e">
        <f t="shared" si="8"/>
        <v>#DIV/0!</v>
      </c>
    </row>
    <row r="33" spans="1:26">
      <c r="A33" s="54"/>
      <c r="B33" s="84">
        <v>0</v>
      </c>
      <c r="C33" s="89" t="e">
        <f>SUM([1]Gen!B39)</f>
        <v>#REF!</v>
      </c>
      <c r="D33" s="519" t="e">
        <f t="shared" si="2"/>
        <v>#REF!</v>
      </c>
      <c r="E33" s="76"/>
      <c r="F33" s="72">
        <f>[1]Gen!T39</f>
        <v>0</v>
      </c>
      <c r="G33" s="87">
        <f>[1]Gen!S39</f>
        <v>0</v>
      </c>
      <c r="H33" s="87">
        <f>[1]Gen!AJ39</f>
        <v>0</v>
      </c>
      <c r="I33" s="87">
        <f t="shared" si="0"/>
        <v>0</v>
      </c>
      <c r="J33" s="87">
        <f>[1]Gen!AT39</f>
        <v>33780.000000000029</v>
      </c>
      <c r="K33" s="71">
        <f>'[1]Water-Meter'!E38</f>
        <v>-212333</v>
      </c>
      <c r="L33" s="69" t="e">
        <f>#REF!</f>
        <v>#REF!</v>
      </c>
      <c r="M33" s="90" t="e">
        <f>#REF!</f>
        <v>#REF!</v>
      </c>
      <c r="N33" s="90" t="e">
        <f>#REF!</f>
        <v>#REF!</v>
      </c>
      <c r="O33" s="90" t="e">
        <f>#REF!</f>
        <v>#REF!</v>
      </c>
      <c r="P33" s="91">
        <f t="shared" si="1"/>
        <v>0.64961538461538515</v>
      </c>
      <c r="Q33" s="6">
        <f>I33*Q2</f>
        <v>0</v>
      </c>
      <c r="R33" s="78" t="e">
        <f t="shared" si="3"/>
        <v>#REF!</v>
      </c>
      <c r="S33" s="524" t="e">
        <f t="shared" si="4"/>
        <v>#DIV/0!</v>
      </c>
      <c r="T33" s="78">
        <f t="shared" si="5"/>
        <v>-13672.958333333334</v>
      </c>
      <c r="U33" s="125" t="e">
        <f t="shared" si="6"/>
        <v>#REF!</v>
      </c>
      <c r="V33" s="18" t="e">
        <f t="shared" si="7"/>
        <v>#REF!</v>
      </c>
      <c r="W33" s="78" t="e">
        <f>SUM(V33/E33)/T2</f>
        <v>#REF!</v>
      </c>
      <c r="X33">
        <f t="shared" si="9"/>
        <v>1584</v>
      </c>
      <c r="Y33" s="525">
        <v>106</v>
      </c>
      <c r="Z33" s="81" t="e">
        <f t="shared" si="8"/>
        <v>#DIV/0!</v>
      </c>
    </row>
    <row r="34" spans="1:26">
      <c r="A34" s="54"/>
      <c r="B34" s="84">
        <v>0</v>
      </c>
      <c r="C34" s="89" t="e">
        <f>SUM([1]Gen!B40)</f>
        <v>#REF!</v>
      </c>
      <c r="D34" s="519" t="e">
        <f t="shared" si="2"/>
        <v>#REF!</v>
      </c>
      <c r="E34" s="76"/>
      <c r="F34" s="72">
        <f>[1]Gen!T40</f>
        <v>0</v>
      </c>
      <c r="G34" s="87">
        <f>[1]Gen!S40</f>
        <v>0</v>
      </c>
      <c r="H34" s="87">
        <f>[1]Gen!AJ40</f>
        <v>0</v>
      </c>
      <c r="I34" s="87">
        <f t="shared" si="0"/>
        <v>0</v>
      </c>
      <c r="J34" s="87">
        <f>[1]Gen!AT40</f>
        <v>33780.000000000029</v>
      </c>
      <c r="K34" s="71" t="e">
        <f>'[1]Water-Meter'!E39</f>
        <v>#REF!</v>
      </c>
      <c r="L34" s="69" t="e">
        <f>#REF!</f>
        <v>#REF!</v>
      </c>
      <c r="M34" s="90" t="e">
        <f>#REF!</f>
        <v>#REF!</v>
      </c>
      <c r="N34" s="90" t="e">
        <f>#REF!</f>
        <v>#REF!</v>
      </c>
      <c r="O34" s="90" t="e">
        <f>#REF!</f>
        <v>#REF!</v>
      </c>
      <c r="P34" s="91">
        <f t="shared" si="1"/>
        <v>0.64961538461538515</v>
      </c>
      <c r="Q34" s="6">
        <f>I34*Q2</f>
        <v>0</v>
      </c>
      <c r="R34" s="78" t="e">
        <f t="shared" si="3"/>
        <v>#REF!</v>
      </c>
      <c r="S34" s="524" t="e">
        <f t="shared" si="4"/>
        <v>#DIV/0!</v>
      </c>
      <c r="T34" s="78" t="e">
        <f t="shared" si="5"/>
        <v>#REF!</v>
      </c>
      <c r="U34" s="125" t="e">
        <f t="shared" si="6"/>
        <v>#REF!</v>
      </c>
      <c r="V34" s="18" t="e">
        <f t="shared" si="7"/>
        <v>#REF!</v>
      </c>
      <c r="W34" s="78" t="e">
        <f>SUM(V34/E34)/T2</f>
        <v>#REF!</v>
      </c>
      <c r="X34">
        <f t="shared" si="9"/>
        <v>1584</v>
      </c>
      <c r="Y34" s="525">
        <v>106</v>
      </c>
      <c r="Z34" s="81" t="e">
        <f t="shared" si="8"/>
        <v>#DIV/0!</v>
      </c>
    </row>
    <row r="35" spans="1:26">
      <c r="A35" s="54"/>
      <c r="B35" s="84">
        <v>0</v>
      </c>
      <c r="C35" s="89" t="e">
        <f>SUM([1]Gen!B41)</f>
        <v>#REF!</v>
      </c>
      <c r="D35" s="519" t="e">
        <f t="shared" si="2"/>
        <v>#REF!</v>
      </c>
      <c r="E35" s="76"/>
      <c r="F35" s="72">
        <f>[1]Gen!T41</f>
        <v>0</v>
      </c>
      <c r="G35" s="87">
        <f>[1]Gen!S41</f>
        <v>0</v>
      </c>
      <c r="H35" s="87">
        <f>[1]Gen!AJ41</f>
        <v>0</v>
      </c>
      <c r="I35" s="87">
        <f t="shared" si="0"/>
        <v>0</v>
      </c>
      <c r="J35" s="87">
        <f>[1]Gen!AT41</f>
        <v>33780.000000000029</v>
      </c>
      <c r="K35" s="71" t="e">
        <f>'[1]Water-Meter'!E40</f>
        <v>#REF!</v>
      </c>
      <c r="L35" s="69" t="e">
        <f>#REF!</f>
        <v>#REF!</v>
      </c>
      <c r="M35" s="90" t="e">
        <f>#REF!</f>
        <v>#REF!</v>
      </c>
      <c r="N35" s="90" t="e">
        <f>#REF!</f>
        <v>#REF!</v>
      </c>
      <c r="O35" s="90" t="e">
        <f>#REF!</f>
        <v>#REF!</v>
      </c>
      <c r="P35" s="91">
        <f t="shared" si="1"/>
        <v>0.64961538461538515</v>
      </c>
      <c r="Q35" s="6">
        <f>I35*Q2</f>
        <v>0</v>
      </c>
      <c r="R35" s="78" t="e">
        <f t="shared" si="3"/>
        <v>#REF!</v>
      </c>
      <c r="S35" s="524" t="e">
        <f t="shared" si="4"/>
        <v>#DIV/0!</v>
      </c>
      <c r="T35" s="78" t="e">
        <f t="shared" si="5"/>
        <v>#REF!</v>
      </c>
      <c r="U35" s="125" t="e">
        <f t="shared" si="6"/>
        <v>#REF!</v>
      </c>
      <c r="V35" s="18" t="e">
        <f t="shared" si="7"/>
        <v>#REF!</v>
      </c>
      <c r="W35" s="78" t="e">
        <f>SUM(V35/E35)/T2</f>
        <v>#REF!</v>
      </c>
      <c r="X35">
        <f t="shared" si="9"/>
        <v>1584</v>
      </c>
      <c r="Y35" s="525">
        <v>106</v>
      </c>
      <c r="Z35" s="81" t="e">
        <f t="shared" si="8"/>
        <v>#DIV/0!</v>
      </c>
    </row>
    <row r="36" spans="1:26" ht="13.5" thickBot="1">
      <c r="A36" s="55"/>
      <c r="B36" s="83"/>
      <c r="C36" s="73"/>
      <c r="D36" s="86"/>
      <c r="E36" s="8"/>
      <c r="F36" s="73"/>
      <c r="G36" s="88"/>
      <c r="H36" s="88"/>
      <c r="I36" s="88"/>
      <c r="J36" s="88"/>
      <c r="K36" s="8" t="e">
        <f>'[1]Water-Meter'!E41</f>
        <v>#REF!</v>
      </c>
      <c r="L36" s="70"/>
      <c r="M36" s="88"/>
      <c r="N36" s="88"/>
      <c r="O36" s="88"/>
      <c r="P36" s="88"/>
      <c r="Q36" s="6">
        <f>I36*2057.79</f>
        <v>0</v>
      </c>
      <c r="R36" s="77"/>
      <c r="S36" s="77"/>
      <c r="T36" s="124"/>
      <c r="U36" s="126"/>
      <c r="V36" s="18">
        <f t="shared" si="7"/>
        <v>0</v>
      </c>
      <c r="W36" s="124"/>
    </row>
    <row r="37" spans="1:26">
      <c r="S37" s="81" t="e">
        <f>SUM(S5:S16)/[1]Gen!A47</f>
        <v>#REF!</v>
      </c>
    </row>
    <row r="38" spans="1:26">
      <c r="B38" s="85" t="e">
        <f>SUM(B5:B37)/[1]Gen!A47</f>
        <v>#REF!</v>
      </c>
      <c r="M38">
        <f>0.5*2057.79</f>
        <v>1028.895</v>
      </c>
    </row>
    <row r="39" spans="1:26">
      <c r="B39" s="85" t="e">
        <f>SUM(B38*[1]Gen!A47)</f>
        <v>#REF!</v>
      </c>
      <c r="C39" s="85" t="e">
        <f>SUM(B39/250)</f>
        <v>#REF!</v>
      </c>
      <c r="M39">
        <f>M38/1500</f>
        <v>0.68593000000000004</v>
      </c>
      <c r="O39">
        <f>(24*2.2)*2</f>
        <v>105.60000000000001</v>
      </c>
      <c r="P39">
        <f>O39*1029</f>
        <v>108662.40000000001</v>
      </c>
      <c r="R39" t="s">
        <v>77</v>
      </c>
      <c r="S39" s="81" t="e">
        <f>SUM(S37-Y35)</f>
        <v>#REF!</v>
      </c>
    </row>
    <row r="40" spans="1:26">
      <c r="P40">
        <f>P39/K5</f>
        <v>953.17894736842118</v>
      </c>
    </row>
  </sheetData>
  <pageMargins left="0.7" right="0.7" top="0.75" bottom="0.75" header="0.3" footer="0.3"/>
  <pageSetup paperSize="9" orientation="portrait" verticalDpi="300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>
  <sheetPr>
    <tabColor rgb="FF00B050"/>
  </sheetPr>
  <dimension ref="A1:G99"/>
  <sheetViews>
    <sheetView topLeftCell="A70" workbookViewId="0">
      <selection activeCell="C65" sqref="C65"/>
    </sheetView>
  </sheetViews>
  <sheetFormatPr defaultRowHeight="12.75"/>
  <cols>
    <col min="1" max="1" width="10.140625" bestFit="1" customWidth="1"/>
    <col min="2" max="3" width="12.42578125" customWidth="1"/>
    <col min="4" max="4" width="13.28515625" customWidth="1"/>
    <col min="5" max="5" width="12.28515625" bestFit="1" customWidth="1"/>
    <col min="6" max="6" width="12.7109375" bestFit="1" customWidth="1"/>
    <col min="7" max="7" width="12.42578125" customWidth="1"/>
  </cols>
  <sheetData>
    <row r="1" spans="1:7" ht="15.75" thickBot="1">
      <c r="A1" s="894" t="s">
        <v>180</v>
      </c>
      <c r="B1" s="895"/>
      <c r="C1" s="895"/>
      <c r="D1" s="895"/>
      <c r="E1" s="895"/>
      <c r="F1" s="895"/>
      <c r="G1" s="896"/>
    </row>
    <row r="2" spans="1:7" ht="13.5" thickBot="1">
      <c r="A2" s="358"/>
      <c r="B2" s="897" t="s">
        <v>175</v>
      </c>
      <c r="C2" s="898"/>
      <c r="D2" s="899"/>
      <c r="E2" s="897" t="s">
        <v>176</v>
      </c>
      <c r="F2" s="898"/>
      <c r="G2" s="899"/>
    </row>
    <row r="3" spans="1:7" ht="40.5" customHeight="1" thickBot="1">
      <c r="A3" s="379" t="s">
        <v>7</v>
      </c>
      <c r="B3" s="380" t="s">
        <v>177</v>
      </c>
      <c r="C3" s="380" t="s">
        <v>178</v>
      </c>
      <c r="D3" s="380" t="s">
        <v>179</v>
      </c>
      <c r="E3" s="380" t="s">
        <v>177</v>
      </c>
      <c r="F3" s="380" t="s">
        <v>178</v>
      </c>
      <c r="G3" s="381" t="s">
        <v>179</v>
      </c>
    </row>
    <row r="4" spans="1:7">
      <c r="A4" s="578">
        <v>42095</v>
      </c>
      <c r="B4" s="579">
        <v>0</v>
      </c>
      <c r="C4" s="405">
        <v>193</v>
      </c>
      <c r="D4" s="580">
        <f>C4-B4</f>
        <v>193</v>
      </c>
      <c r="E4" s="581">
        <v>0</v>
      </c>
      <c r="F4" s="582">
        <v>0</v>
      </c>
      <c r="G4" s="406">
        <f>F4-E4</f>
        <v>0</v>
      </c>
    </row>
    <row r="5" spans="1:7" ht="12" customHeight="1">
      <c r="A5" s="289">
        <v>42125</v>
      </c>
      <c r="B5" s="583">
        <f>C4</f>
        <v>193</v>
      </c>
      <c r="C5" s="291">
        <v>1158</v>
      </c>
      <c r="D5" s="382">
        <f t="shared" ref="D5:D68" si="0">C5-B5</f>
        <v>965</v>
      </c>
      <c r="E5" s="383">
        <v>145572</v>
      </c>
      <c r="F5" s="359">
        <v>145572</v>
      </c>
      <c r="G5" s="314">
        <f t="shared" ref="G5:G68" si="1">F5-E5</f>
        <v>0</v>
      </c>
    </row>
    <row r="6" spans="1:7">
      <c r="A6" s="289">
        <v>42156</v>
      </c>
      <c r="B6" s="583">
        <f t="shared" ref="B6:B69" si="2">C5</f>
        <v>1158</v>
      </c>
      <c r="C6" s="291">
        <v>2084</v>
      </c>
      <c r="D6" s="382">
        <f t="shared" si="0"/>
        <v>926</v>
      </c>
      <c r="E6" s="383">
        <f>F5</f>
        <v>145572</v>
      </c>
      <c r="F6" s="359">
        <v>147984</v>
      </c>
      <c r="G6" s="314">
        <f t="shared" si="1"/>
        <v>2412</v>
      </c>
    </row>
    <row r="7" spans="1:7">
      <c r="A7" s="289">
        <v>42186</v>
      </c>
      <c r="B7" s="583">
        <f t="shared" si="2"/>
        <v>2084</v>
      </c>
      <c r="C7" s="291">
        <v>3073</v>
      </c>
      <c r="D7" s="382">
        <f t="shared" si="0"/>
        <v>989</v>
      </c>
      <c r="E7" s="383">
        <f>F6</f>
        <v>147984</v>
      </c>
      <c r="F7" s="324">
        <v>150507</v>
      </c>
      <c r="G7" s="314">
        <f t="shared" si="1"/>
        <v>2523</v>
      </c>
    </row>
    <row r="8" spans="1:7">
      <c r="A8" s="289">
        <v>42217</v>
      </c>
      <c r="B8" s="583">
        <f t="shared" si="2"/>
        <v>3073</v>
      </c>
      <c r="C8" s="291">
        <v>4063</v>
      </c>
      <c r="D8" s="382">
        <f t="shared" si="0"/>
        <v>990</v>
      </c>
      <c r="E8" s="383">
        <f t="shared" ref="E8:E71" si="3">F7</f>
        <v>150507</v>
      </c>
      <c r="F8" s="324">
        <v>152986</v>
      </c>
      <c r="G8" s="314">
        <f t="shared" si="1"/>
        <v>2479</v>
      </c>
    </row>
    <row r="9" spans="1:7">
      <c r="A9" s="289">
        <v>42248</v>
      </c>
      <c r="B9" s="583">
        <f t="shared" si="2"/>
        <v>4063</v>
      </c>
      <c r="C9" s="291">
        <v>5058</v>
      </c>
      <c r="D9" s="382">
        <f t="shared" si="0"/>
        <v>995</v>
      </c>
      <c r="E9" s="383">
        <f t="shared" si="3"/>
        <v>152986</v>
      </c>
      <c r="F9" s="324">
        <v>155468</v>
      </c>
      <c r="G9" s="314">
        <f t="shared" si="1"/>
        <v>2482</v>
      </c>
    </row>
    <row r="10" spans="1:7">
      <c r="A10" s="289">
        <v>42278</v>
      </c>
      <c r="B10" s="583">
        <f t="shared" si="2"/>
        <v>5058</v>
      </c>
      <c r="C10" s="291">
        <v>6049</v>
      </c>
      <c r="D10" s="382">
        <f t="shared" si="0"/>
        <v>991</v>
      </c>
      <c r="E10" s="383">
        <f t="shared" si="3"/>
        <v>155468</v>
      </c>
      <c r="F10" s="324">
        <v>157962</v>
      </c>
      <c r="G10" s="314">
        <f t="shared" si="1"/>
        <v>2494</v>
      </c>
    </row>
    <row r="11" spans="1:7">
      <c r="A11" s="289">
        <v>42309</v>
      </c>
      <c r="B11" s="583">
        <f t="shared" si="2"/>
        <v>6049</v>
      </c>
      <c r="C11" s="291">
        <v>7028</v>
      </c>
      <c r="D11" s="382">
        <f t="shared" si="0"/>
        <v>979</v>
      </c>
      <c r="E11" s="383">
        <f t="shared" si="3"/>
        <v>157962</v>
      </c>
      <c r="F11" s="324">
        <v>160323</v>
      </c>
      <c r="G11" s="314">
        <f t="shared" si="1"/>
        <v>2361</v>
      </c>
    </row>
    <row r="12" spans="1:7">
      <c r="A12" s="289">
        <v>42339</v>
      </c>
      <c r="B12" s="583">
        <f t="shared" si="2"/>
        <v>7028</v>
      </c>
      <c r="C12" s="291">
        <v>7985</v>
      </c>
      <c r="D12" s="382">
        <f t="shared" si="0"/>
        <v>957</v>
      </c>
      <c r="E12" s="383">
        <f t="shared" si="3"/>
        <v>160323</v>
      </c>
      <c r="F12" s="324">
        <v>162813</v>
      </c>
      <c r="G12" s="314">
        <f t="shared" si="1"/>
        <v>2490</v>
      </c>
    </row>
    <row r="13" spans="1:7">
      <c r="A13" s="289">
        <v>42370</v>
      </c>
      <c r="B13" s="583">
        <f t="shared" si="2"/>
        <v>7985</v>
      </c>
      <c r="C13" s="291">
        <v>8952</v>
      </c>
      <c r="D13" s="382">
        <f t="shared" si="0"/>
        <v>967</v>
      </c>
      <c r="E13" s="383">
        <f t="shared" si="3"/>
        <v>162813</v>
      </c>
      <c r="F13" s="324">
        <v>165317</v>
      </c>
      <c r="G13" s="314">
        <f t="shared" si="1"/>
        <v>2504</v>
      </c>
    </row>
    <row r="14" spans="1:7">
      <c r="A14" s="289">
        <v>42401</v>
      </c>
      <c r="B14" s="583">
        <f t="shared" si="2"/>
        <v>8952</v>
      </c>
      <c r="C14" s="291">
        <v>9898</v>
      </c>
      <c r="D14" s="382">
        <f t="shared" si="0"/>
        <v>946</v>
      </c>
      <c r="E14" s="383">
        <f t="shared" si="3"/>
        <v>165317</v>
      </c>
      <c r="F14" s="324">
        <v>167679</v>
      </c>
      <c r="G14" s="314">
        <f t="shared" si="1"/>
        <v>2362</v>
      </c>
    </row>
    <row r="15" spans="1:7">
      <c r="A15" s="289">
        <v>42430</v>
      </c>
      <c r="B15" s="583">
        <f t="shared" si="2"/>
        <v>9898</v>
      </c>
      <c r="C15" s="291">
        <v>10637</v>
      </c>
      <c r="D15" s="382">
        <f t="shared" si="0"/>
        <v>739</v>
      </c>
      <c r="E15" s="383">
        <f t="shared" si="3"/>
        <v>167679</v>
      </c>
      <c r="F15" s="324">
        <v>170134</v>
      </c>
      <c r="G15" s="314">
        <f t="shared" si="1"/>
        <v>2455</v>
      </c>
    </row>
    <row r="16" spans="1:7">
      <c r="A16" s="289">
        <v>42461</v>
      </c>
      <c r="B16" s="583">
        <f t="shared" si="2"/>
        <v>10637</v>
      </c>
      <c r="C16" s="291">
        <v>11352</v>
      </c>
      <c r="D16" s="382">
        <f t="shared" si="0"/>
        <v>715</v>
      </c>
      <c r="E16" s="383">
        <f t="shared" si="3"/>
        <v>170134</v>
      </c>
      <c r="F16" s="324">
        <v>172562</v>
      </c>
      <c r="G16" s="314">
        <f t="shared" si="1"/>
        <v>2428</v>
      </c>
    </row>
    <row r="17" spans="1:7">
      <c r="A17" s="289">
        <v>42491</v>
      </c>
      <c r="B17" s="583">
        <f t="shared" si="2"/>
        <v>11352</v>
      </c>
      <c r="C17" s="291">
        <v>12426</v>
      </c>
      <c r="D17" s="382">
        <f t="shared" si="0"/>
        <v>1074</v>
      </c>
      <c r="E17" s="383">
        <f t="shared" si="3"/>
        <v>172562</v>
      </c>
      <c r="F17" s="324">
        <v>175041</v>
      </c>
      <c r="G17" s="314">
        <f t="shared" si="1"/>
        <v>2479</v>
      </c>
    </row>
    <row r="18" spans="1:7">
      <c r="A18" s="289">
        <v>42522</v>
      </c>
      <c r="B18" s="583">
        <f t="shared" si="2"/>
        <v>12426</v>
      </c>
      <c r="C18" s="291">
        <v>14111</v>
      </c>
      <c r="D18" s="382">
        <f t="shared" si="0"/>
        <v>1685</v>
      </c>
      <c r="E18" s="383">
        <f t="shared" si="3"/>
        <v>175041</v>
      </c>
      <c r="F18" s="324">
        <v>177300</v>
      </c>
      <c r="G18" s="314">
        <f t="shared" si="1"/>
        <v>2259</v>
      </c>
    </row>
    <row r="19" spans="1:7">
      <c r="A19" s="289">
        <v>42552</v>
      </c>
      <c r="B19" s="583">
        <f t="shared" si="2"/>
        <v>14111</v>
      </c>
      <c r="C19" s="291">
        <v>15790</v>
      </c>
      <c r="D19" s="382">
        <f t="shared" si="0"/>
        <v>1679</v>
      </c>
      <c r="E19" s="383">
        <f t="shared" si="3"/>
        <v>177300</v>
      </c>
      <c r="F19" s="324">
        <v>179548</v>
      </c>
      <c r="G19" s="314">
        <f t="shared" si="1"/>
        <v>2248</v>
      </c>
    </row>
    <row r="20" spans="1:7">
      <c r="A20" s="289">
        <v>42583</v>
      </c>
      <c r="B20" s="583">
        <f t="shared" si="2"/>
        <v>15790</v>
      </c>
      <c r="C20" s="291">
        <v>17450</v>
      </c>
      <c r="D20" s="382">
        <f t="shared" si="0"/>
        <v>1660</v>
      </c>
      <c r="E20" s="383">
        <f t="shared" si="3"/>
        <v>179548</v>
      </c>
      <c r="F20" s="324">
        <v>181842</v>
      </c>
      <c r="G20" s="314">
        <f t="shared" si="1"/>
        <v>2294</v>
      </c>
    </row>
    <row r="21" spans="1:7">
      <c r="A21" s="289">
        <v>42614</v>
      </c>
      <c r="B21" s="583">
        <f t="shared" si="2"/>
        <v>17450</v>
      </c>
      <c r="C21" s="291">
        <v>19133</v>
      </c>
      <c r="D21" s="382">
        <f t="shared" si="0"/>
        <v>1683</v>
      </c>
      <c r="E21" s="383">
        <f t="shared" si="3"/>
        <v>181842</v>
      </c>
      <c r="F21" s="324">
        <v>184095</v>
      </c>
      <c r="G21" s="314">
        <f t="shared" si="1"/>
        <v>2253</v>
      </c>
    </row>
    <row r="22" spans="1:7">
      <c r="A22" s="289">
        <v>42644</v>
      </c>
      <c r="B22" s="583">
        <f t="shared" si="2"/>
        <v>19133</v>
      </c>
      <c r="C22" s="291">
        <v>20804</v>
      </c>
      <c r="D22" s="382">
        <f t="shared" si="0"/>
        <v>1671</v>
      </c>
      <c r="E22" s="383">
        <f t="shared" si="3"/>
        <v>184095</v>
      </c>
      <c r="F22" s="324">
        <v>186344</v>
      </c>
      <c r="G22" s="314">
        <f t="shared" si="1"/>
        <v>2249</v>
      </c>
    </row>
    <row r="23" spans="1:7">
      <c r="A23" s="289">
        <v>42675</v>
      </c>
      <c r="B23" s="583">
        <f t="shared" si="2"/>
        <v>20804</v>
      </c>
      <c r="C23" s="291">
        <v>22489</v>
      </c>
      <c r="D23" s="382">
        <f t="shared" si="0"/>
        <v>1685</v>
      </c>
      <c r="E23" s="383">
        <f t="shared" si="3"/>
        <v>186344</v>
      </c>
      <c r="F23" s="324">
        <v>188595</v>
      </c>
      <c r="G23" s="314">
        <f t="shared" si="1"/>
        <v>2251</v>
      </c>
    </row>
    <row r="24" spans="1:7">
      <c r="A24" s="289">
        <v>42705</v>
      </c>
      <c r="B24" s="583">
        <f t="shared" si="2"/>
        <v>22489</v>
      </c>
      <c r="C24" s="291">
        <v>24085</v>
      </c>
      <c r="D24" s="382">
        <f t="shared" si="0"/>
        <v>1596</v>
      </c>
      <c r="E24" s="383">
        <f t="shared" si="3"/>
        <v>188595</v>
      </c>
      <c r="F24" s="324">
        <v>190896</v>
      </c>
      <c r="G24" s="314">
        <f t="shared" si="1"/>
        <v>2301</v>
      </c>
    </row>
    <row r="25" spans="1:7">
      <c r="A25" s="289">
        <v>42736</v>
      </c>
      <c r="B25" s="583">
        <f t="shared" si="2"/>
        <v>24085</v>
      </c>
      <c r="C25" s="291">
        <v>25775</v>
      </c>
      <c r="D25" s="382">
        <f t="shared" si="0"/>
        <v>1690</v>
      </c>
      <c r="E25" s="383">
        <f t="shared" si="3"/>
        <v>190896</v>
      </c>
      <c r="F25" s="324">
        <v>193152</v>
      </c>
      <c r="G25" s="314">
        <f t="shared" si="1"/>
        <v>2256</v>
      </c>
    </row>
    <row r="26" spans="1:7">
      <c r="A26" s="289">
        <v>42767</v>
      </c>
      <c r="B26" s="583">
        <f t="shared" si="2"/>
        <v>25775</v>
      </c>
      <c r="C26" s="291">
        <v>27592</v>
      </c>
      <c r="D26" s="382">
        <f t="shared" si="0"/>
        <v>1817</v>
      </c>
      <c r="E26" s="383">
        <f t="shared" si="3"/>
        <v>193152</v>
      </c>
      <c r="F26" s="324">
        <v>195378</v>
      </c>
      <c r="G26" s="314">
        <f t="shared" si="1"/>
        <v>2226</v>
      </c>
    </row>
    <row r="27" spans="1:7">
      <c r="A27" s="289">
        <v>42795</v>
      </c>
      <c r="B27" s="583">
        <f t="shared" si="2"/>
        <v>27592</v>
      </c>
      <c r="C27" s="324">
        <v>29398</v>
      </c>
      <c r="D27" s="382">
        <f t="shared" si="0"/>
        <v>1806</v>
      </c>
      <c r="E27" s="383">
        <f t="shared" si="3"/>
        <v>195378</v>
      </c>
      <c r="F27" s="324">
        <v>197503</v>
      </c>
      <c r="G27" s="314">
        <f t="shared" si="1"/>
        <v>2125</v>
      </c>
    </row>
    <row r="28" spans="1:7">
      <c r="A28" s="289">
        <v>42826</v>
      </c>
      <c r="B28" s="583">
        <f t="shared" si="2"/>
        <v>29398</v>
      </c>
      <c r="C28" s="291">
        <v>31148</v>
      </c>
      <c r="D28" s="382">
        <f t="shared" si="0"/>
        <v>1750</v>
      </c>
      <c r="E28" s="383">
        <f t="shared" si="3"/>
        <v>197503</v>
      </c>
      <c r="F28" s="324">
        <v>199571</v>
      </c>
      <c r="G28" s="314">
        <f t="shared" si="1"/>
        <v>2068</v>
      </c>
    </row>
    <row r="29" spans="1:7">
      <c r="A29" s="289">
        <v>42856</v>
      </c>
      <c r="B29" s="583">
        <f t="shared" si="2"/>
        <v>31148</v>
      </c>
      <c r="C29" s="291">
        <v>32896</v>
      </c>
      <c r="D29" s="382">
        <f t="shared" si="0"/>
        <v>1748</v>
      </c>
      <c r="E29" s="383">
        <f t="shared" si="3"/>
        <v>199571</v>
      </c>
      <c r="F29" s="324">
        <v>201766</v>
      </c>
      <c r="G29" s="314">
        <f t="shared" si="1"/>
        <v>2195</v>
      </c>
    </row>
    <row r="30" spans="1:7">
      <c r="A30" s="289">
        <v>42887</v>
      </c>
      <c r="B30" s="583">
        <f t="shared" si="2"/>
        <v>32896</v>
      </c>
      <c r="C30" s="291">
        <v>34620</v>
      </c>
      <c r="D30" s="382">
        <f t="shared" si="0"/>
        <v>1724</v>
      </c>
      <c r="E30" s="383">
        <f t="shared" si="3"/>
        <v>201766</v>
      </c>
      <c r="F30" s="324">
        <v>203951</v>
      </c>
      <c r="G30" s="314">
        <f t="shared" si="1"/>
        <v>2185</v>
      </c>
    </row>
    <row r="31" spans="1:7">
      <c r="A31" s="289">
        <v>42917</v>
      </c>
      <c r="B31" s="583">
        <f t="shared" si="2"/>
        <v>34620</v>
      </c>
      <c r="C31" s="291">
        <v>36384</v>
      </c>
      <c r="D31" s="382">
        <f t="shared" si="0"/>
        <v>1764</v>
      </c>
      <c r="E31" s="383">
        <f t="shared" si="3"/>
        <v>203951</v>
      </c>
      <c r="F31" s="324">
        <v>206045</v>
      </c>
      <c r="G31" s="314">
        <f t="shared" si="1"/>
        <v>2094</v>
      </c>
    </row>
    <row r="32" spans="1:7">
      <c r="A32" s="289">
        <v>42948</v>
      </c>
      <c r="B32" s="583">
        <f t="shared" si="2"/>
        <v>36384</v>
      </c>
      <c r="C32" s="291">
        <v>38320</v>
      </c>
      <c r="D32" s="382">
        <f t="shared" si="0"/>
        <v>1936</v>
      </c>
      <c r="E32" s="383">
        <f t="shared" si="3"/>
        <v>206045</v>
      </c>
      <c r="F32" s="324">
        <v>208289</v>
      </c>
      <c r="G32" s="314">
        <f t="shared" si="1"/>
        <v>2244</v>
      </c>
    </row>
    <row r="33" spans="1:7">
      <c r="A33" s="289">
        <v>42979</v>
      </c>
      <c r="B33" s="583">
        <f t="shared" si="2"/>
        <v>38320</v>
      </c>
      <c r="C33" s="291">
        <v>40226</v>
      </c>
      <c r="D33" s="382">
        <f t="shared" si="0"/>
        <v>1906</v>
      </c>
      <c r="E33" s="383">
        <f t="shared" si="3"/>
        <v>208289</v>
      </c>
      <c r="F33" s="324">
        <v>210468</v>
      </c>
      <c r="G33" s="314">
        <f t="shared" si="1"/>
        <v>2179</v>
      </c>
    </row>
    <row r="34" spans="1:7">
      <c r="A34" s="289">
        <v>43009</v>
      </c>
      <c r="B34" s="583">
        <f t="shared" si="2"/>
        <v>40226</v>
      </c>
      <c r="C34" s="291">
        <v>41900</v>
      </c>
      <c r="D34" s="382">
        <f t="shared" si="0"/>
        <v>1674</v>
      </c>
      <c r="E34" s="383">
        <f t="shared" si="3"/>
        <v>210468</v>
      </c>
      <c r="F34" s="324">
        <v>212474</v>
      </c>
      <c r="G34" s="314">
        <f t="shared" si="1"/>
        <v>2006</v>
      </c>
    </row>
    <row r="35" spans="1:7">
      <c r="A35" s="289">
        <v>43040</v>
      </c>
      <c r="B35" s="583">
        <f t="shared" si="2"/>
        <v>41900</v>
      </c>
      <c r="C35" s="291">
        <v>43712</v>
      </c>
      <c r="D35" s="382">
        <f t="shared" si="0"/>
        <v>1812</v>
      </c>
      <c r="E35" s="383">
        <f t="shared" si="3"/>
        <v>212474</v>
      </c>
      <c r="F35" s="324">
        <v>214566</v>
      </c>
      <c r="G35" s="314">
        <f t="shared" si="1"/>
        <v>2092</v>
      </c>
    </row>
    <row r="36" spans="1:7">
      <c r="A36" s="289">
        <v>43070</v>
      </c>
      <c r="B36" s="583">
        <f t="shared" si="2"/>
        <v>43712</v>
      </c>
      <c r="C36" s="291">
        <v>46071</v>
      </c>
      <c r="D36" s="382">
        <f t="shared" si="0"/>
        <v>2359</v>
      </c>
      <c r="E36" s="383">
        <f t="shared" si="3"/>
        <v>214566</v>
      </c>
      <c r="F36" s="324">
        <v>216654</v>
      </c>
      <c r="G36" s="314">
        <f t="shared" si="1"/>
        <v>2088</v>
      </c>
    </row>
    <row r="37" spans="1:7">
      <c r="A37" s="289">
        <v>43101</v>
      </c>
      <c r="B37" s="583">
        <f t="shared" si="2"/>
        <v>46071</v>
      </c>
      <c r="C37" s="291">
        <v>48188</v>
      </c>
      <c r="D37" s="382">
        <f t="shared" si="0"/>
        <v>2117</v>
      </c>
      <c r="E37" s="383">
        <f t="shared" si="3"/>
        <v>216654</v>
      </c>
      <c r="F37" s="324">
        <v>218779</v>
      </c>
      <c r="G37" s="314">
        <f t="shared" si="1"/>
        <v>2125</v>
      </c>
    </row>
    <row r="38" spans="1:7">
      <c r="A38" s="289">
        <v>43132</v>
      </c>
      <c r="B38" s="583">
        <f t="shared" si="2"/>
        <v>48188</v>
      </c>
      <c r="C38" s="291">
        <v>50066</v>
      </c>
      <c r="D38" s="382">
        <f t="shared" si="0"/>
        <v>1878</v>
      </c>
      <c r="E38" s="383">
        <f t="shared" si="3"/>
        <v>218779</v>
      </c>
      <c r="F38" s="324">
        <v>220744</v>
      </c>
      <c r="G38" s="314">
        <f t="shared" si="1"/>
        <v>1965</v>
      </c>
    </row>
    <row r="39" spans="1:7">
      <c r="A39" s="289">
        <v>43160</v>
      </c>
      <c r="B39" s="583">
        <f t="shared" si="2"/>
        <v>50066</v>
      </c>
      <c r="C39" s="291">
        <v>51916</v>
      </c>
      <c r="D39" s="382">
        <f t="shared" si="0"/>
        <v>1850</v>
      </c>
      <c r="E39" s="383">
        <f t="shared" si="3"/>
        <v>220744</v>
      </c>
      <c r="F39" s="324">
        <v>222873</v>
      </c>
      <c r="G39" s="314">
        <f t="shared" si="1"/>
        <v>2129</v>
      </c>
    </row>
    <row r="40" spans="1:7">
      <c r="A40" s="289">
        <v>43191</v>
      </c>
      <c r="B40" s="583">
        <f t="shared" si="2"/>
        <v>51916</v>
      </c>
      <c r="C40" s="291">
        <v>53641</v>
      </c>
      <c r="D40" s="382">
        <f t="shared" si="0"/>
        <v>1725</v>
      </c>
      <c r="E40" s="383">
        <f t="shared" si="3"/>
        <v>222873</v>
      </c>
      <c r="F40" s="324">
        <v>224922</v>
      </c>
      <c r="G40" s="314">
        <f t="shared" si="1"/>
        <v>2049</v>
      </c>
    </row>
    <row r="41" spans="1:7">
      <c r="A41" s="289">
        <v>43221</v>
      </c>
      <c r="B41" s="583">
        <f t="shared" si="2"/>
        <v>53641</v>
      </c>
      <c r="C41" s="291">
        <v>55409</v>
      </c>
      <c r="D41" s="382">
        <f t="shared" si="0"/>
        <v>1768</v>
      </c>
      <c r="E41" s="383">
        <f t="shared" si="3"/>
        <v>224922</v>
      </c>
      <c r="F41" s="324">
        <v>227063</v>
      </c>
      <c r="G41" s="314">
        <f t="shared" si="1"/>
        <v>2141</v>
      </c>
    </row>
    <row r="42" spans="1:7">
      <c r="A42" s="289">
        <v>43252</v>
      </c>
      <c r="B42" s="583">
        <f t="shared" si="2"/>
        <v>55409</v>
      </c>
      <c r="C42" s="291">
        <v>57396</v>
      </c>
      <c r="D42" s="382">
        <f t="shared" si="0"/>
        <v>1987</v>
      </c>
      <c r="E42" s="383">
        <f t="shared" si="3"/>
        <v>227063</v>
      </c>
      <c r="F42" s="324">
        <v>229163</v>
      </c>
      <c r="G42" s="314">
        <f t="shared" si="1"/>
        <v>2100</v>
      </c>
    </row>
    <row r="43" spans="1:7">
      <c r="A43" s="289">
        <v>43282</v>
      </c>
      <c r="B43" s="583">
        <f t="shared" si="2"/>
        <v>57396</v>
      </c>
      <c r="C43" s="291">
        <v>59391</v>
      </c>
      <c r="D43" s="382">
        <f t="shared" si="0"/>
        <v>1995</v>
      </c>
      <c r="E43" s="383">
        <f t="shared" si="3"/>
        <v>229163</v>
      </c>
      <c r="F43" s="324">
        <v>231359</v>
      </c>
      <c r="G43" s="314">
        <f t="shared" si="1"/>
        <v>2196</v>
      </c>
    </row>
    <row r="44" spans="1:7">
      <c r="A44" s="289">
        <v>43313</v>
      </c>
      <c r="B44" s="583">
        <f t="shared" si="2"/>
        <v>59391</v>
      </c>
      <c r="C44" s="291">
        <v>61427</v>
      </c>
      <c r="D44" s="382">
        <f t="shared" si="0"/>
        <v>2036</v>
      </c>
      <c r="E44" s="383">
        <f t="shared" si="3"/>
        <v>231359</v>
      </c>
      <c r="F44" s="324">
        <v>233548</v>
      </c>
      <c r="G44" s="314">
        <f t="shared" si="1"/>
        <v>2189</v>
      </c>
    </row>
    <row r="45" spans="1:7">
      <c r="A45" s="289">
        <v>43344</v>
      </c>
      <c r="B45" s="583">
        <f t="shared" si="2"/>
        <v>61427</v>
      </c>
      <c r="C45" s="291">
        <v>63464</v>
      </c>
      <c r="D45" s="382">
        <f t="shared" si="0"/>
        <v>2037</v>
      </c>
      <c r="E45" s="383">
        <f t="shared" si="3"/>
        <v>233548</v>
      </c>
      <c r="F45" s="324">
        <v>235653</v>
      </c>
      <c r="G45" s="314">
        <f t="shared" si="1"/>
        <v>2105</v>
      </c>
    </row>
    <row r="46" spans="1:7">
      <c r="A46" s="289">
        <v>43374</v>
      </c>
      <c r="B46" s="583">
        <f t="shared" si="2"/>
        <v>63464</v>
      </c>
      <c r="C46" s="291">
        <v>65577</v>
      </c>
      <c r="D46" s="382">
        <f t="shared" si="0"/>
        <v>2113</v>
      </c>
      <c r="E46" s="383">
        <f t="shared" si="3"/>
        <v>235653</v>
      </c>
      <c r="F46" s="324">
        <v>237802</v>
      </c>
      <c r="G46" s="314">
        <f t="shared" si="1"/>
        <v>2149</v>
      </c>
    </row>
    <row r="47" spans="1:7">
      <c r="A47" s="289">
        <v>43405</v>
      </c>
      <c r="B47" s="583">
        <f t="shared" si="2"/>
        <v>65577</v>
      </c>
      <c r="C47" s="291">
        <v>67714</v>
      </c>
      <c r="D47" s="382">
        <f t="shared" si="0"/>
        <v>2137</v>
      </c>
      <c r="E47" s="383">
        <f t="shared" si="3"/>
        <v>237802</v>
      </c>
      <c r="F47" s="324">
        <v>239883</v>
      </c>
      <c r="G47" s="314">
        <f t="shared" si="1"/>
        <v>2081</v>
      </c>
    </row>
    <row r="48" spans="1:7">
      <c r="A48" s="289">
        <v>43435</v>
      </c>
      <c r="B48" s="583">
        <f t="shared" si="2"/>
        <v>67714</v>
      </c>
      <c r="C48" s="291">
        <v>69886</v>
      </c>
      <c r="D48" s="382">
        <f t="shared" si="0"/>
        <v>2172</v>
      </c>
      <c r="E48" s="383">
        <f t="shared" si="3"/>
        <v>239883</v>
      </c>
      <c r="F48" s="324">
        <v>242023</v>
      </c>
      <c r="G48" s="314">
        <f t="shared" si="1"/>
        <v>2140</v>
      </c>
    </row>
    <row r="49" spans="1:7">
      <c r="A49" s="289">
        <v>43466</v>
      </c>
      <c r="B49" s="583">
        <f t="shared" si="2"/>
        <v>69886</v>
      </c>
      <c r="C49" s="291">
        <v>72120</v>
      </c>
      <c r="D49" s="382">
        <f t="shared" si="0"/>
        <v>2234</v>
      </c>
      <c r="E49" s="383">
        <f t="shared" si="3"/>
        <v>242023</v>
      </c>
      <c r="F49" s="324">
        <v>244252</v>
      </c>
      <c r="G49" s="314">
        <f t="shared" si="1"/>
        <v>2229</v>
      </c>
    </row>
    <row r="50" spans="1:7">
      <c r="A50" s="289">
        <v>43497</v>
      </c>
      <c r="B50" s="583">
        <f t="shared" si="2"/>
        <v>72120</v>
      </c>
      <c r="C50" s="291">
        <v>74132</v>
      </c>
      <c r="D50" s="382">
        <f t="shared" si="0"/>
        <v>2012</v>
      </c>
      <c r="E50" s="383">
        <f t="shared" si="3"/>
        <v>244252</v>
      </c>
      <c r="F50" s="324">
        <v>246272</v>
      </c>
      <c r="G50" s="314">
        <f t="shared" si="1"/>
        <v>2020</v>
      </c>
    </row>
    <row r="51" spans="1:7">
      <c r="A51" s="289">
        <v>43525</v>
      </c>
      <c r="B51" s="583">
        <f t="shared" si="2"/>
        <v>74132</v>
      </c>
      <c r="C51" s="291">
        <v>76130</v>
      </c>
      <c r="D51" s="382">
        <f t="shared" si="0"/>
        <v>1998</v>
      </c>
      <c r="E51" s="383">
        <f t="shared" si="3"/>
        <v>246272</v>
      </c>
      <c r="F51" s="324">
        <v>248562</v>
      </c>
      <c r="G51" s="314">
        <f t="shared" si="1"/>
        <v>2290</v>
      </c>
    </row>
    <row r="52" spans="1:7">
      <c r="A52" s="289">
        <v>43556</v>
      </c>
      <c r="B52" s="583">
        <f t="shared" si="2"/>
        <v>76130</v>
      </c>
      <c r="C52" s="291">
        <v>77859</v>
      </c>
      <c r="D52" s="382">
        <f t="shared" si="0"/>
        <v>1729</v>
      </c>
      <c r="E52" s="383">
        <f t="shared" si="3"/>
        <v>248562</v>
      </c>
      <c r="F52" s="324">
        <v>250789</v>
      </c>
      <c r="G52" s="314">
        <f t="shared" si="1"/>
        <v>2227</v>
      </c>
    </row>
    <row r="53" spans="1:7">
      <c r="A53" s="289">
        <v>43586</v>
      </c>
      <c r="B53" s="583">
        <f t="shared" si="2"/>
        <v>77859</v>
      </c>
      <c r="C53" s="291">
        <v>79636</v>
      </c>
      <c r="D53" s="382">
        <f t="shared" si="0"/>
        <v>1777</v>
      </c>
      <c r="E53" s="383">
        <f t="shared" si="3"/>
        <v>250789</v>
      </c>
      <c r="F53" s="324">
        <v>252878</v>
      </c>
      <c r="G53" s="314">
        <f t="shared" si="1"/>
        <v>2089</v>
      </c>
    </row>
    <row r="54" spans="1:7">
      <c r="A54" s="289">
        <v>43617</v>
      </c>
      <c r="B54" s="583">
        <f t="shared" si="2"/>
        <v>79636</v>
      </c>
      <c r="C54" s="291">
        <v>81603</v>
      </c>
      <c r="D54" s="382">
        <f t="shared" si="0"/>
        <v>1967</v>
      </c>
      <c r="E54" s="383">
        <f t="shared" si="3"/>
        <v>252878</v>
      </c>
      <c r="F54" s="324">
        <v>254783</v>
      </c>
      <c r="G54" s="314">
        <f t="shared" si="1"/>
        <v>1905</v>
      </c>
    </row>
    <row r="55" spans="1:7">
      <c r="A55" s="289">
        <v>43647</v>
      </c>
      <c r="B55" s="583">
        <f t="shared" si="2"/>
        <v>81603</v>
      </c>
      <c r="C55" s="291">
        <v>83511</v>
      </c>
      <c r="D55" s="382">
        <f t="shared" si="0"/>
        <v>1908</v>
      </c>
      <c r="E55" s="383">
        <f t="shared" si="3"/>
        <v>254783</v>
      </c>
      <c r="F55" s="291">
        <v>257138</v>
      </c>
      <c r="G55" s="314">
        <f t="shared" si="1"/>
        <v>2355</v>
      </c>
    </row>
    <row r="56" spans="1:7">
      <c r="A56" s="289">
        <v>43678</v>
      </c>
      <c r="B56" s="583">
        <f t="shared" si="2"/>
        <v>83511</v>
      </c>
      <c r="C56" s="291">
        <v>85418</v>
      </c>
      <c r="D56" s="382">
        <f t="shared" si="0"/>
        <v>1907</v>
      </c>
      <c r="E56" s="383">
        <f t="shared" si="3"/>
        <v>257138</v>
      </c>
      <c r="F56" s="291">
        <v>259453</v>
      </c>
      <c r="G56" s="314">
        <f t="shared" si="1"/>
        <v>2315</v>
      </c>
    </row>
    <row r="57" spans="1:7">
      <c r="A57" s="289">
        <v>43709</v>
      </c>
      <c r="B57" s="583">
        <f t="shared" si="2"/>
        <v>85418</v>
      </c>
      <c r="C57" s="291">
        <v>87262</v>
      </c>
      <c r="D57" s="382">
        <f t="shared" si="0"/>
        <v>1844</v>
      </c>
      <c r="E57" s="383">
        <f t="shared" si="3"/>
        <v>259453</v>
      </c>
      <c r="F57" s="291">
        <v>261652</v>
      </c>
      <c r="G57" s="314">
        <f t="shared" si="1"/>
        <v>2199</v>
      </c>
    </row>
    <row r="58" spans="1:7">
      <c r="A58" s="289">
        <v>43739</v>
      </c>
      <c r="B58" s="583">
        <f t="shared" si="2"/>
        <v>87262</v>
      </c>
      <c r="C58" s="291">
        <v>89489</v>
      </c>
      <c r="D58" s="382">
        <f t="shared" si="0"/>
        <v>2227</v>
      </c>
      <c r="E58" s="383">
        <f t="shared" si="3"/>
        <v>261652</v>
      </c>
      <c r="F58" s="291">
        <v>263905</v>
      </c>
      <c r="G58" s="314">
        <f t="shared" si="1"/>
        <v>2253</v>
      </c>
    </row>
    <row r="59" spans="1:7">
      <c r="A59" s="289">
        <v>43770</v>
      </c>
      <c r="B59" s="583">
        <f t="shared" si="2"/>
        <v>89489</v>
      </c>
      <c r="C59" s="291">
        <v>91615</v>
      </c>
      <c r="D59" s="382">
        <f t="shared" si="0"/>
        <v>2126</v>
      </c>
      <c r="E59" s="383">
        <f t="shared" si="3"/>
        <v>263905</v>
      </c>
      <c r="F59" s="291">
        <v>265969</v>
      </c>
      <c r="G59" s="314">
        <f t="shared" si="1"/>
        <v>2064</v>
      </c>
    </row>
    <row r="60" spans="1:7">
      <c r="A60" s="289">
        <v>43800</v>
      </c>
      <c r="B60" s="583">
        <f t="shared" si="2"/>
        <v>91615</v>
      </c>
      <c r="C60" s="291">
        <v>93828</v>
      </c>
      <c r="D60" s="382">
        <f t="shared" si="0"/>
        <v>2213</v>
      </c>
      <c r="E60" s="383">
        <f t="shared" si="3"/>
        <v>265969</v>
      </c>
      <c r="F60" s="291">
        <v>268212</v>
      </c>
      <c r="G60" s="314">
        <f t="shared" si="1"/>
        <v>2243</v>
      </c>
    </row>
    <row r="61" spans="1:7">
      <c r="A61" s="289">
        <v>43831</v>
      </c>
      <c r="B61" s="583">
        <f t="shared" si="2"/>
        <v>93828</v>
      </c>
      <c r="C61" s="291">
        <v>95998</v>
      </c>
      <c r="D61" s="382">
        <f t="shared" si="0"/>
        <v>2170</v>
      </c>
      <c r="E61" s="383">
        <f t="shared" si="3"/>
        <v>268212</v>
      </c>
      <c r="F61" s="291">
        <v>270443</v>
      </c>
      <c r="G61" s="314">
        <f t="shared" si="1"/>
        <v>2231</v>
      </c>
    </row>
    <row r="62" spans="1:7">
      <c r="A62" s="289">
        <v>43862</v>
      </c>
      <c r="B62" s="583">
        <f t="shared" si="2"/>
        <v>95998</v>
      </c>
      <c r="C62" s="291">
        <v>98070</v>
      </c>
      <c r="D62" s="382">
        <f t="shared" si="0"/>
        <v>2072</v>
      </c>
      <c r="E62" s="383">
        <f t="shared" si="3"/>
        <v>270443</v>
      </c>
      <c r="F62" s="291">
        <v>272554</v>
      </c>
      <c r="G62" s="314">
        <f t="shared" si="1"/>
        <v>2111</v>
      </c>
    </row>
    <row r="63" spans="1:7">
      <c r="A63" s="289">
        <v>43891</v>
      </c>
      <c r="B63" s="583">
        <f t="shared" si="2"/>
        <v>98070</v>
      </c>
      <c r="C63" s="291">
        <v>100381</v>
      </c>
      <c r="D63" s="382">
        <f t="shared" si="0"/>
        <v>2311</v>
      </c>
      <c r="E63" s="383">
        <f t="shared" si="3"/>
        <v>272554</v>
      </c>
      <c r="F63" s="291">
        <v>274788</v>
      </c>
      <c r="G63" s="314">
        <f t="shared" si="1"/>
        <v>2234</v>
      </c>
    </row>
    <row r="64" spans="1:7">
      <c r="A64" s="289">
        <v>43922</v>
      </c>
      <c r="B64" s="583">
        <f t="shared" si="2"/>
        <v>100381</v>
      </c>
      <c r="C64" s="291">
        <v>102607</v>
      </c>
      <c r="D64" s="382">
        <f t="shared" si="0"/>
        <v>2226</v>
      </c>
      <c r="E64" s="383">
        <f t="shared" si="3"/>
        <v>274788</v>
      </c>
      <c r="F64" s="291">
        <v>276874</v>
      </c>
      <c r="G64" s="314">
        <f t="shared" si="1"/>
        <v>2086</v>
      </c>
    </row>
    <row r="65" spans="1:7">
      <c r="A65" s="289">
        <v>43952</v>
      </c>
      <c r="B65" s="583">
        <f t="shared" si="2"/>
        <v>102607</v>
      </c>
      <c r="C65" s="291"/>
      <c r="D65" s="382">
        <f t="shared" si="0"/>
        <v>-102607</v>
      </c>
      <c r="E65" s="383">
        <f t="shared" si="3"/>
        <v>276874</v>
      </c>
      <c r="F65" s="291"/>
      <c r="G65" s="314">
        <f t="shared" si="1"/>
        <v>-276874</v>
      </c>
    </row>
    <row r="66" spans="1:7">
      <c r="A66" s="289">
        <v>43983</v>
      </c>
      <c r="B66" s="583">
        <f t="shared" si="2"/>
        <v>0</v>
      </c>
      <c r="C66" s="291"/>
      <c r="D66" s="382">
        <f t="shared" si="0"/>
        <v>0</v>
      </c>
      <c r="E66" s="383">
        <f t="shared" si="3"/>
        <v>0</v>
      </c>
      <c r="F66" s="291"/>
      <c r="G66" s="314">
        <f t="shared" si="1"/>
        <v>0</v>
      </c>
    </row>
    <row r="67" spans="1:7">
      <c r="A67" s="289">
        <v>44013</v>
      </c>
      <c r="B67" s="583">
        <f t="shared" si="2"/>
        <v>0</v>
      </c>
      <c r="C67" s="291"/>
      <c r="D67" s="382">
        <f t="shared" si="0"/>
        <v>0</v>
      </c>
      <c r="E67" s="383">
        <f t="shared" si="3"/>
        <v>0</v>
      </c>
      <c r="F67" s="291"/>
      <c r="G67" s="314">
        <f t="shared" si="1"/>
        <v>0</v>
      </c>
    </row>
    <row r="68" spans="1:7">
      <c r="A68" s="289">
        <v>44044</v>
      </c>
      <c r="B68" s="583">
        <f t="shared" si="2"/>
        <v>0</v>
      </c>
      <c r="C68" s="291"/>
      <c r="D68" s="382">
        <f t="shared" si="0"/>
        <v>0</v>
      </c>
      <c r="E68" s="383">
        <f t="shared" si="3"/>
        <v>0</v>
      </c>
      <c r="F68" s="291"/>
      <c r="G68" s="314">
        <f t="shared" si="1"/>
        <v>0</v>
      </c>
    </row>
    <row r="69" spans="1:7">
      <c r="A69" s="289">
        <v>44075</v>
      </c>
      <c r="B69" s="583">
        <f t="shared" si="2"/>
        <v>0</v>
      </c>
      <c r="C69" s="291"/>
      <c r="D69" s="382">
        <f t="shared" ref="D69:D99" si="4">C69-B69</f>
        <v>0</v>
      </c>
      <c r="E69" s="383">
        <f t="shared" si="3"/>
        <v>0</v>
      </c>
      <c r="F69" s="291"/>
      <c r="G69" s="314">
        <f t="shared" ref="G69:G99" si="5">F69-E69</f>
        <v>0</v>
      </c>
    </row>
    <row r="70" spans="1:7">
      <c r="A70" s="289">
        <v>44105</v>
      </c>
      <c r="B70" s="583">
        <f t="shared" ref="B70:B99" si="6">C69</f>
        <v>0</v>
      </c>
      <c r="C70" s="291"/>
      <c r="D70" s="382">
        <f t="shared" si="4"/>
        <v>0</v>
      </c>
      <c r="E70" s="383">
        <f t="shared" si="3"/>
        <v>0</v>
      </c>
      <c r="F70" s="291"/>
      <c r="G70" s="314">
        <f t="shared" si="5"/>
        <v>0</v>
      </c>
    </row>
    <row r="71" spans="1:7">
      <c r="A71" s="289">
        <v>44136</v>
      </c>
      <c r="B71" s="583">
        <f t="shared" si="6"/>
        <v>0</v>
      </c>
      <c r="C71" s="291"/>
      <c r="D71" s="382">
        <f t="shared" si="4"/>
        <v>0</v>
      </c>
      <c r="E71" s="383">
        <f t="shared" si="3"/>
        <v>0</v>
      </c>
      <c r="F71" s="291"/>
      <c r="G71" s="314">
        <f t="shared" si="5"/>
        <v>0</v>
      </c>
    </row>
    <row r="72" spans="1:7">
      <c r="A72" s="289">
        <v>44166</v>
      </c>
      <c r="B72" s="583">
        <f t="shared" si="6"/>
        <v>0</v>
      </c>
      <c r="C72" s="291"/>
      <c r="D72" s="382">
        <f t="shared" si="4"/>
        <v>0</v>
      </c>
      <c r="E72" s="383">
        <f t="shared" ref="E72:E99" si="7">F71</f>
        <v>0</v>
      </c>
      <c r="F72" s="291"/>
      <c r="G72" s="314">
        <f t="shared" si="5"/>
        <v>0</v>
      </c>
    </row>
    <row r="73" spans="1:7">
      <c r="A73" s="289">
        <v>44197</v>
      </c>
      <c r="B73" s="583">
        <f t="shared" si="6"/>
        <v>0</v>
      </c>
      <c r="C73" s="291"/>
      <c r="D73" s="382">
        <f t="shared" si="4"/>
        <v>0</v>
      </c>
      <c r="E73" s="383">
        <f t="shared" si="7"/>
        <v>0</v>
      </c>
      <c r="F73" s="291"/>
      <c r="G73" s="314">
        <f t="shared" si="5"/>
        <v>0</v>
      </c>
    </row>
    <row r="74" spans="1:7">
      <c r="A74" s="289">
        <v>44228</v>
      </c>
      <c r="B74" s="583">
        <f t="shared" si="6"/>
        <v>0</v>
      </c>
      <c r="C74" s="291"/>
      <c r="D74" s="382">
        <f t="shared" si="4"/>
        <v>0</v>
      </c>
      <c r="E74" s="383">
        <f t="shared" si="7"/>
        <v>0</v>
      </c>
      <c r="F74" s="291"/>
      <c r="G74" s="314">
        <f t="shared" si="5"/>
        <v>0</v>
      </c>
    </row>
    <row r="75" spans="1:7">
      <c r="A75" s="289">
        <v>44256</v>
      </c>
      <c r="B75" s="583">
        <f t="shared" si="6"/>
        <v>0</v>
      </c>
      <c r="C75" s="291"/>
      <c r="D75" s="382">
        <f t="shared" si="4"/>
        <v>0</v>
      </c>
      <c r="E75" s="383">
        <f t="shared" si="7"/>
        <v>0</v>
      </c>
      <c r="F75" s="291"/>
      <c r="G75" s="314">
        <f t="shared" si="5"/>
        <v>0</v>
      </c>
    </row>
    <row r="76" spans="1:7">
      <c r="A76" s="289">
        <v>44287</v>
      </c>
      <c r="B76" s="583">
        <f t="shared" si="6"/>
        <v>0</v>
      </c>
      <c r="C76" s="291"/>
      <c r="D76" s="382">
        <f t="shared" si="4"/>
        <v>0</v>
      </c>
      <c r="E76" s="383">
        <f t="shared" si="7"/>
        <v>0</v>
      </c>
      <c r="F76" s="291"/>
      <c r="G76" s="314">
        <f t="shared" si="5"/>
        <v>0</v>
      </c>
    </row>
    <row r="77" spans="1:7">
      <c r="A77" s="289">
        <v>44317</v>
      </c>
      <c r="B77" s="583">
        <f t="shared" si="6"/>
        <v>0</v>
      </c>
      <c r="C77" s="291"/>
      <c r="D77" s="382">
        <f t="shared" si="4"/>
        <v>0</v>
      </c>
      <c r="E77" s="383">
        <f t="shared" si="7"/>
        <v>0</v>
      </c>
      <c r="F77" s="291"/>
      <c r="G77" s="314">
        <f t="shared" si="5"/>
        <v>0</v>
      </c>
    </row>
    <row r="78" spans="1:7">
      <c r="A78" s="289">
        <v>44348</v>
      </c>
      <c r="B78" s="583">
        <f t="shared" si="6"/>
        <v>0</v>
      </c>
      <c r="C78" s="291"/>
      <c r="D78" s="382">
        <f t="shared" si="4"/>
        <v>0</v>
      </c>
      <c r="E78" s="383">
        <f t="shared" si="7"/>
        <v>0</v>
      </c>
      <c r="F78" s="291"/>
      <c r="G78" s="314">
        <f t="shared" si="5"/>
        <v>0</v>
      </c>
    </row>
    <row r="79" spans="1:7">
      <c r="A79" s="289">
        <v>44378</v>
      </c>
      <c r="B79" s="583">
        <f t="shared" si="6"/>
        <v>0</v>
      </c>
      <c r="C79" s="291"/>
      <c r="D79" s="382">
        <f t="shared" si="4"/>
        <v>0</v>
      </c>
      <c r="E79" s="383">
        <f t="shared" si="7"/>
        <v>0</v>
      </c>
      <c r="F79" s="291"/>
      <c r="G79" s="314">
        <f t="shared" si="5"/>
        <v>0</v>
      </c>
    </row>
    <row r="80" spans="1:7">
      <c r="A80" s="289">
        <v>44409</v>
      </c>
      <c r="B80" s="583">
        <f t="shared" si="6"/>
        <v>0</v>
      </c>
      <c r="C80" s="291"/>
      <c r="D80" s="382">
        <f t="shared" si="4"/>
        <v>0</v>
      </c>
      <c r="E80" s="383">
        <f t="shared" si="7"/>
        <v>0</v>
      </c>
      <c r="F80" s="291"/>
      <c r="G80" s="314">
        <f t="shared" si="5"/>
        <v>0</v>
      </c>
    </row>
    <row r="81" spans="1:7">
      <c r="A81" s="289">
        <v>44440</v>
      </c>
      <c r="B81" s="583">
        <f t="shared" si="6"/>
        <v>0</v>
      </c>
      <c r="C81" s="291"/>
      <c r="D81" s="382">
        <f t="shared" si="4"/>
        <v>0</v>
      </c>
      <c r="E81" s="383">
        <f t="shared" si="7"/>
        <v>0</v>
      </c>
      <c r="F81" s="291"/>
      <c r="G81" s="314">
        <f t="shared" si="5"/>
        <v>0</v>
      </c>
    </row>
    <row r="82" spans="1:7">
      <c r="A82" s="289">
        <v>44470</v>
      </c>
      <c r="B82" s="583">
        <f t="shared" si="6"/>
        <v>0</v>
      </c>
      <c r="C82" s="291"/>
      <c r="D82" s="382">
        <f t="shared" si="4"/>
        <v>0</v>
      </c>
      <c r="E82" s="383">
        <f t="shared" si="7"/>
        <v>0</v>
      </c>
      <c r="F82" s="6"/>
      <c r="G82" s="314">
        <f t="shared" si="5"/>
        <v>0</v>
      </c>
    </row>
    <row r="83" spans="1:7">
      <c r="A83" s="289">
        <v>44501</v>
      </c>
      <c r="B83" s="583">
        <f t="shared" si="6"/>
        <v>0</v>
      </c>
      <c r="C83" s="291"/>
      <c r="D83" s="382">
        <f t="shared" si="4"/>
        <v>0</v>
      </c>
      <c r="E83" s="383">
        <f t="shared" si="7"/>
        <v>0</v>
      </c>
      <c r="F83" s="6"/>
      <c r="G83" s="314">
        <f t="shared" si="5"/>
        <v>0</v>
      </c>
    </row>
    <row r="84" spans="1:7">
      <c r="A84" s="289">
        <v>44531</v>
      </c>
      <c r="B84" s="583">
        <f t="shared" si="6"/>
        <v>0</v>
      </c>
      <c r="C84" s="291"/>
      <c r="D84" s="382">
        <f t="shared" si="4"/>
        <v>0</v>
      </c>
      <c r="E84" s="383">
        <f t="shared" si="7"/>
        <v>0</v>
      </c>
      <c r="F84" s="6"/>
      <c r="G84" s="314">
        <f t="shared" si="5"/>
        <v>0</v>
      </c>
    </row>
    <row r="85" spans="1:7">
      <c r="A85" s="289">
        <v>44562</v>
      </c>
      <c r="B85" s="583">
        <f t="shared" si="6"/>
        <v>0</v>
      </c>
      <c r="C85" s="291"/>
      <c r="D85" s="382">
        <f t="shared" si="4"/>
        <v>0</v>
      </c>
      <c r="E85" s="383">
        <f t="shared" si="7"/>
        <v>0</v>
      </c>
      <c r="F85" s="6"/>
      <c r="G85" s="314">
        <f t="shared" si="5"/>
        <v>0</v>
      </c>
    </row>
    <row r="86" spans="1:7">
      <c r="A86" s="289">
        <v>44593</v>
      </c>
      <c r="B86" s="583">
        <f t="shared" si="6"/>
        <v>0</v>
      </c>
      <c r="C86" s="6"/>
      <c r="D86" s="382">
        <f t="shared" si="4"/>
        <v>0</v>
      </c>
      <c r="E86" s="383">
        <f t="shared" si="7"/>
        <v>0</v>
      </c>
      <c r="F86" s="6"/>
      <c r="G86" s="314">
        <f t="shared" si="5"/>
        <v>0</v>
      </c>
    </row>
    <row r="87" spans="1:7">
      <c r="A87" s="289">
        <v>44621</v>
      </c>
      <c r="B87" s="583">
        <f t="shared" si="6"/>
        <v>0</v>
      </c>
      <c r="C87" s="6"/>
      <c r="D87" s="382">
        <f t="shared" si="4"/>
        <v>0</v>
      </c>
      <c r="E87" s="383">
        <f t="shared" si="7"/>
        <v>0</v>
      </c>
      <c r="F87" s="6"/>
      <c r="G87" s="314">
        <f t="shared" si="5"/>
        <v>0</v>
      </c>
    </row>
    <row r="88" spans="1:7">
      <c r="A88" s="289">
        <v>44652</v>
      </c>
      <c r="B88" s="583">
        <f t="shared" si="6"/>
        <v>0</v>
      </c>
      <c r="C88" s="6"/>
      <c r="D88" s="382">
        <f t="shared" si="4"/>
        <v>0</v>
      </c>
      <c r="E88" s="383">
        <f t="shared" si="7"/>
        <v>0</v>
      </c>
      <c r="F88" s="6"/>
      <c r="G88" s="314">
        <f t="shared" si="5"/>
        <v>0</v>
      </c>
    </row>
    <row r="89" spans="1:7">
      <c r="A89" s="289">
        <v>44682</v>
      </c>
      <c r="B89" s="583">
        <f t="shared" si="6"/>
        <v>0</v>
      </c>
      <c r="C89" s="6"/>
      <c r="D89" s="382">
        <f t="shared" si="4"/>
        <v>0</v>
      </c>
      <c r="E89" s="383">
        <f t="shared" si="7"/>
        <v>0</v>
      </c>
      <c r="F89" s="6"/>
      <c r="G89" s="314">
        <f t="shared" si="5"/>
        <v>0</v>
      </c>
    </row>
    <row r="90" spans="1:7">
      <c r="A90" s="289">
        <v>44713</v>
      </c>
      <c r="B90" s="583">
        <f t="shared" si="6"/>
        <v>0</v>
      </c>
      <c r="C90" s="6"/>
      <c r="D90" s="382">
        <f t="shared" si="4"/>
        <v>0</v>
      </c>
      <c r="E90" s="383">
        <f t="shared" si="7"/>
        <v>0</v>
      </c>
      <c r="F90" s="6"/>
      <c r="G90" s="314">
        <f t="shared" si="5"/>
        <v>0</v>
      </c>
    </row>
    <row r="91" spans="1:7">
      <c r="A91" s="289">
        <v>44743</v>
      </c>
      <c r="B91" s="583">
        <f t="shared" si="6"/>
        <v>0</v>
      </c>
      <c r="C91" s="6"/>
      <c r="D91" s="382">
        <f t="shared" si="4"/>
        <v>0</v>
      </c>
      <c r="E91" s="383">
        <f t="shared" si="7"/>
        <v>0</v>
      </c>
      <c r="F91" s="6"/>
      <c r="G91" s="314">
        <f t="shared" si="5"/>
        <v>0</v>
      </c>
    </row>
    <row r="92" spans="1:7">
      <c r="A92" s="289">
        <v>44774</v>
      </c>
      <c r="B92" s="583">
        <f t="shared" si="6"/>
        <v>0</v>
      </c>
      <c r="C92" s="6"/>
      <c r="D92" s="382">
        <f t="shared" si="4"/>
        <v>0</v>
      </c>
      <c r="E92" s="383">
        <f t="shared" si="7"/>
        <v>0</v>
      </c>
      <c r="F92" s="6"/>
      <c r="G92" s="314">
        <f t="shared" si="5"/>
        <v>0</v>
      </c>
    </row>
    <row r="93" spans="1:7">
      <c r="A93" s="289">
        <v>44805</v>
      </c>
      <c r="B93" s="583">
        <f t="shared" si="6"/>
        <v>0</v>
      </c>
      <c r="C93" s="6"/>
      <c r="D93" s="382">
        <f t="shared" si="4"/>
        <v>0</v>
      </c>
      <c r="E93" s="383">
        <f t="shared" si="7"/>
        <v>0</v>
      </c>
      <c r="F93" s="6"/>
      <c r="G93" s="314">
        <f t="shared" si="5"/>
        <v>0</v>
      </c>
    </row>
    <row r="94" spans="1:7">
      <c r="A94" s="289">
        <v>44835</v>
      </c>
      <c r="B94" s="583">
        <f t="shared" si="6"/>
        <v>0</v>
      </c>
      <c r="C94" s="6"/>
      <c r="D94" s="382">
        <f t="shared" si="4"/>
        <v>0</v>
      </c>
      <c r="E94" s="383">
        <f t="shared" si="7"/>
        <v>0</v>
      </c>
      <c r="F94" s="6"/>
      <c r="G94" s="314">
        <f t="shared" si="5"/>
        <v>0</v>
      </c>
    </row>
    <row r="95" spans="1:7">
      <c r="A95" s="289">
        <v>44866</v>
      </c>
      <c r="B95" s="583">
        <f t="shared" si="6"/>
        <v>0</v>
      </c>
      <c r="C95" s="6"/>
      <c r="D95" s="382">
        <f t="shared" si="4"/>
        <v>0</v>
      </c>
      <c r="E95" s="383">
        <f t="shared" si="7"/>
        <v>0</v>
      </c>
      <c r="F95" s="6"/>
      <c r="G95" s="314">
        <f t="shared" si="5"/>
        <v>0</v>
      </c>
    </row>
    <row r="96" spans="1:7">
      <c r="A96" s="289">
        <v>44896</v>
      </c>
      <c r="B96" s="583">
        <f t="shared" si="6"/>
        <v>0</v>
      </c>
      <c r="C96" s="6"/>
      <c r="D96" s="382">
        <f t="shared" si="4"/>
        <v>0</v>
      </c>
      <c r="E96" s="383">
        <f t="shared" si="7"/>
        <v>0</v>
      </c>
      <c r="F96" s="6"/>
      <c r="G96" s="314">
        <f t="shared" si="5"/>
        <v>0</v>
      </c>
    </row>
    <row r="97" spans="1:7">
      <c r="A97" s="289">
        <v>44927</v>
      </c>
      <c r="B97" s="583">
        <f t="shared" si="6"/>
        <v>0</v>
      </c>
      <c r="C97" s="6"/>
      <c r="D97" s="382">
        <f t="shared" si="4"/>
        <v>0</v>
      </c>
      <c r="E97" s="383">
        <f t="shared" si="7"/>
        <v>0</v>
      </c>
      <c r="F97" s="6"/>
      <c r="G97" s="314">
        <f t="shared" si="5"/>
        <v>0</v>
      </c>
    </row>
    <row r="98" spans="1:7">
      <c r="A98" s="289">
        <v>44958</v>
      </c>
      <c r="B98" s="583">
        <f t="shared" si="6"/>
        <v>0</v>
      </c>
      <c r="C98" s="6"/>
      <c r="D98" s="382">
        <f t="shared" si="4"/>
        <v>0</v>
      </c>
      <c r="E98" s="383">
        <f t="shared" si="7"/>
        <v>0</v>
      </c>
      <c r="F98" s="6"/>
      <c r="G98" s="314">
        <f t="shared" si="5"/>
        <v>0</v>
      </c>
    </row>
    <row r="99" spans="1:7" ht="13.5" thickBot="1">
      <c r="A99" s="289">
        <v>44986</v>
      </c>
      <c r="B99" s="584">
        <f t="shared" si="6"/>
        <v>0</v>
      </c>
      <c r="C99" s="8"/>
      <c r="D99" s="585">
        <f t="shared" si="4"/>
        <v>0</v>
      </c>
      <c r="E99" s="586">
        <f t="shared" si="7"/>
        <v>0</v>
      </c>
      <c r="F99" s="8"/>
      <c r="G99" s="360">
        <f t="shared" si="5"/>
        <v>0</v>
      </c>
    </row>
  </sheetData>
  <mergeCells count="3">
    <mergeCell ref="A1:G1"/>
    <mergeCell ref="B2:D2"/>
    <mergeCell ref="E2:G2"/>
  </mergeCells>
  <pageMargins left="0.7" right="0.7" top="0.75" bottom="0.75" header="0.3" footer="0.3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>
  <sheetPr>
    <tabColor rgb="FFFFFF00"/>
  </sheetPr>
  <dimension ref="A1:L87"/>
  <sheetViews>
    <sheetView topLeftCell="A19" workbookViewId="0">
      <selection activeCell="C56" sqref="C56"/>
    </sheetView>
  </sheetViews>
  <sheetFormatPr defaultRowHeight="12.75"/>
  <cols>
    <col min="1" max="1" width="10.140625" bestFit="1" customWidth="1"/>
    <col min="2" max="2" width="16.7109375" customWidth="1"/>
    <col min="3" max="3" width="14.85546875" customWidth="1"/>
    <col min="4" max="4" width="16.140625" customWidth="1"/>
    <col min="5" max="5" width="14.140625" customWidth="1"/>
    <col min="6" max="6" width="15.140625" customWidth="1"/>
    <col min="7" max="8" width="14.28515625" customWidth="1"/>
    <col min="9" max="9" width="13.140625" customWidth="1"/>
    <col min="10" max="10" width="14.42578125" customWidth="1"/>
    <col min="11" max="11" width="12.42578125" customWidth="1"/>
    <col min="12" max="12" width="12.28515625" customWidth="1"/>
    <col min="13" max="13" width="12.42578125" customWidth="1"/>
    <col min="14" max="14" width="11.5703125" customWidth="1"/>
  </cols>
  <sheetData>
    <row r="1" spans="1:12" ht="16.5" thickBot="1">
      <c r="A1" s="894" t="s">
        <v>230</v>
      </c>
      <c r="B1" s="895"/>
      <c r="C1" s="895"/>
      <c r="D1" s="895"/>
      <c r="G1" s="328"/>
      <c r="H1" s="329" t="s">
        <v>231</v>
      </c>
      <c r="I1" s="329"/>
      <c r="J1" s="328"/>
      <c r="K1" s="328"/>
    </row>
    <row r="2" spans="1:12" ht="39" thickBot="1">
      <c r="A2" s="587" t="s">
        <v>7</v>
      </c>
      <c r="B2" s="588" t="s">
        <v>177</v>
      </c>
      <c r="C2" s="588" t="s">
        <v>178</v>
      </c>
      <c r="D2" s="589" t="s">
        <v>194</v>
      </c>
      <c r="E2" s="589" t="s">
        <v>236</v>
      </c>
      <c r="F2" s="590" t="s">
        <v>214</v>
      </c>
      <c r="G2" s="591" t="s">
        <v>232</v>
      </c>
      <c r="H2" s="592" t="s">
        <v>233</v>
      </c>
      <c r="I2" s="593" t="s">
        <v>234</v>
      </c>
      <c r="J2" s="592" t="s">
        <v>235</v>
      </c>
      <c r="K2" s="592" t="s">
        <v>214</v>
      </c>
      <c r="L2" s="594" t="s">
        <v>195</v>
      </c>
    </row>
    <row r="3" spans="1:12">
      <c r="A3" s="312">
        <v>42430</v>
      </c>
      <c r="B3" s="595">
        <v>5000778</v>
      </c>
      <c r="C3" s="596">
        <v>5057715</v>
      </c>
      <c r="D3" s="597">
        <f>C3-B3</f>
        <v>56937</v>
      </c>
      <c r="E3" s="477"/>
      <c r="F3" s="598"/>
      <c r="G3" s="599">
        <f>H3</f>
        <v>0</v>
      </c>
      <c r="H3" s="600"/>
      <c r="I3" s="601">
        <f>H3-G3</f>
        <v>0</v>
      </c>
      <c r="J3" s="600"/>
      <c r="K3" s="602">
        <f>I3-J3</f>
        <v>0</v>
      </c>
      <c r="L3" s="603"/>
    </row>
    <row r="4" spans="1:12">
      <c r="A4" s="289">
        <v>42461</v>
      </c>
      <c r="B4" s="374">
        <f>C3</f>
        <v>5057715</v>
      </c>
      <c r="C4" s="291">
        <v>5111496</v>
      </c>
      <c r="D4" s="463">
        <f t="shared" ref="D4:D67" si="0">C4-B4</f>
        <v>53781</v>
      </c>
      <c r="E4" s="291"/>
      <c r="F4" s="604"/>
      <c r="G4" s="605">
        <f>H3</f>
        <v>0</v>
      </c>
      <c r="H4" s="6"/>
      <c r="I4" s="323">
        <f t="shared" ref="I4:I67" si="1">H4-G4</f>
        <v>0</v>
      </c>
      <c r="J4" s="6"/>
      <c r="K4" s="330">
        <f t="shared" ref="K4:K67" si="2">I4-J4</f>
        <v>0</v>
      </c>
      <c r="L4" s="606"/>
    </row>
    <row r="5" spans="1:12">
      <c r="A5" s="289">
        <v>42491</v>
      </c>
      <c r="B5" s="374">
        <f t="shared" ref="B5:B68" si="3">C4</f>
        <v>5111496</v>
      </c>
      <c r="C5" s="291">
        <v>5169409</v>
      </c>
      <c r="D5" s="463">
        <f t="shared" si="0"/>
        <v>57913</v>
      </c>
      <c r="E5" s="291"/>
      <c r="F5" s="604"/>
      <c r="G5" s="605">
        <f t="shared" ref="G5:G68" si="4">H4</f>
        <v>0</v>
      </c>
      <c r="H5" s="6"/>
      <c r="I5" s="323">
        <f t="shared" si="1"/>
        <v>0</v>
      </c>
      <c r="J5" s="6"/>
      <c r="K5" s="330">
        <f t="shared" si="2"/>
        <v>0</v>
      </c>
      <c r="L5" s="606"/>
    </row>
    <row r="6" spans="1:12">
      <c r="A6" s="289">
        <v>42522</v>
      </c>
      <c r="B6" s="374">
        <f t="shared" si="3"/>
        <v>5169409</v>
      </c>
      <c r="C6" s="291">
        <v>5232162</v>
      </c>
      <c r="D6" s="463">
        <f t="shared" si="0"/>
        <v>62753</v>
      </c>
      <c r="E6" s="291"/>
      <c r="F6" s="604"/>
      <c r="G6" s="605">
        <f t="shared" si="4"/>
        <v>0</v>
      </c>
      <c r="H6" s="6"/>
      <c r="I6" s="323">
        <f t="shared" si="1"/>
        <v>0</v>
      </c>
      <c r="J6" s="6"/>
      <c r="K6" s="330">
        <f t="shared" si="2"/>
        <v>0</v>
      </c>
      <c r="L6" s="606"/>
    </row>
    <row r="7" spans="1:12">
      <c r="A7" s="289">
        <v>42552</v>
      </c>
      <c r="B7" s="374">
        <f t="shared" si="3"/>
        <v>5232162</v>
      </c>
      <c r="C7" s="291">
        <v>5310037</v>
      </c>
      <c r="D7" s="463">
        <f t="shared" si="0"/>
        <v>77875</v>
      </c>
      <c r="E7" s="291"/>
      <c r="F7" s="604"/>
      <c r="G7" s="605">
        <f t="shared" si="4"/>
        <v>0</v>
      </c>
      <c r="H7" s="6"/>
      <c r="I7" s="323">
        <f t="shared" si="1"/>
        <v>0</v>
      </c>
      <c r="J7" s="6"/>
      <c r="K7" s="330">
        <f t="shared" si="2"/>
        <v>0</v>
      </c>
      <c r="L7" s="606"/>
    </row>
    <row r="8" spans="1:12">
      <c r="A8" s="289">
        <v>42583</v>
      </c>
      <c r="B8" s="374">
        <f t="shared" si="3"/>
        <v>5310037</v>
      </c>
      <c r="C8" s="291">
        <v>5382821</v>
      </c>
      <c r="D8" s="463">
        <f t="shared" si="0"/>
        <v>72784</v>
      </c>
      <c r="E8" s="291">
        <f>[5]Gen!AR45</f>
        <v>72766</v>
      </c>
      <c r="F8" s="604">
        <f t="shared" ref="F8:F71" si="5">D8-E8</f>
        <v>18</v>
      </c>
      <c r="G8" s="605">
        <f t="shared" si="4"/>
        <v>0</v>
      </c>
      <c r="H8" s="6"/>
      <c r="I8" s="323">
        <f t="shared" si="1"/>
        <v>0</v>
      </c>
      <c r="J8" s="6"/>
      <c r="K8" s="330">
        <f t="shared" si="2"/>
        <v>0</v>
      </c>
      <c r="L8" s="606"/>
    </row>
    <row r="9" spans="1:12">
      <c r="A9" s="289">
        <v>42614</v>
      </c>
      <c r="B9" s="374">
        <f t="shared" si="3"/>
        <v>5382821</v>
      </c>
      <c r="C9" s="291">
        <v>5446740</v>
      </c>
      <c r="D9" s="463">
        <f t="shared" si="0"/>
        <v>63919</v>
      </c>
      <c r="E9" s="291">
        <f>[6]Gen!AR45</f>
        <v>64036.499999999993</v>
      </c>
      <c r="F9" s="604">
        <f t="shared" si="5"/>
        <v>-117.49999999999272</v>
      </c>
      <c r="G9" s="605">
        <f t="shared" si="4"/>
        <v>0</v>
      </c>
      <c r="H9" s="6"/>
      <c r="I9" s="323">
        <f t="shared" si="1"/>
        <v>0</v>
      </c>
      <c r="J9" s="6"/>
      <c r="K9" s="330">
        <f t="shared" si="2"/>
        <v>0</v>
      </c>
      <c r="L9" s="606"/>
    </row>
    <row r="10" spans="1:12">
      <c r="A10" s="289">
        <v>42644</v>
      </c>
      <c r="B10" s="374">
        <f t="shared" si="3"/>
        <v>5446740</v>
      </c>
      <c r="C10" s="291">
        <v>5521440</v>
      </c>
      <c r="D10" s="463">
        <f t="shared" si="0"/>
        <v>74700</v>
      </c>
      <c r="E10" s="607">
        <v>76057.09</v>
      </c>
      <c r="F10" s="604">
        <f t="shared" si="5"/>
        <v>-1357.0899999999965</v>
      </c>
      <c r="G10" s="605">
        <f t="shared" si="4"/>
        <v>0</v>
      </c>
      <c r="H10" s="6"/>
      <c r="I10" s="323">
        <f t="shared" si="1"/>
        <v>0</v>
      </c>
      <c r="J10" s="6"/>
      <c r="K10" s="330">
        <f t="shared" si="2"/>
        <v>0</v>
      </c>
      <c r="L10" s="606"/>
    </row>
    <row r="11" spans="1:12">
      <c r="A11" s="289">
        <v>42675</v>
      </c>
      <c r="B11" s="374">
        <f t="shared" si="3"/>
        <v>5521440</v>
      </c>
      <c r="C11" s="291">
        <v>5594926</v>
      </c>
      <c r="D11" s="463">
        <f t="shared" si="0"/>
        <v>73486</v>
      </c>
      <c r="E11" s="607">
        <v>73462.489999999991</v>
      </c>
      <c r="F11" s="604">
        <f t="shared" si="5"/>
        <v>23.510000000009313</v>
      </c>
      <c r="G11" s="605">
        <f t="shared" si="4"/>
        <v>0</v>
      </c>
      <c r="H11" s="6"/>
      <c r="I11" s="323">
        <f t="shared" si="1"/>
        <v>0</v>
      </c>
      <c r="J11" s="6"/>
      <c r="K11" s="330">
        <f t="shared" si="2"/>
        <v>0</v>
      </c>
      <c r="L11" s="606"/>
    </row>
    <row r="12" spans="1:12">
      <c r="A12" s="289">
        <v>42705</v>
      </c>
      <c r="B12" s="374">
        <f t="shared" si="3"/>
        <v>5594926</v>
      </c>
      <c r="C12" s="291">
        <v>5670348</v>
      </c>
      <c r="D12" s="463">
        <f t="shared" si="0"/>
        <v>75422</v>
      </c>
      <c r="E12" s="291">
        <v>75421.2</v>
      </c>
      <c r="F12" s="604">
        <f t="shared" si="5"/>
        <v>0.80000000000291038</v>
      </c>
      <c r="G12" s="605">
        <f t="shared" si="4"/>
        <v>0</v>
      </c>
      <c r="H12" s="6"/>
      <c r="I12" s="323">
        <f t="shared" si="1"/>
        <v>0</v>
      </c>
      <c r="J12" s="6"/>
      <c r="K12" s="330">
        <f t="shared" si="2"/>
        <v>0</v>
      </c>
      <c r="L12" s="606"/>
    </row>
    <row r="13" spans="1:12">
      <c r="A13" s="289">
        <v>42736</v>
      </c>
      <c r="B13" s="374">
        <f t="shared" si="3"/>
        <v>5670348</v>
      </c>
      <c r="C13" s="291">
        <v>5735627</v>
      </c>
      <c r="D13" s="463">
        <f t="shared" si="0"/>
        <v>65279</v>
      </c>
      <c r="E13" s="291">
        <v>65276.07</v>
      </c>
      <c r="F13" s="604">
        <f t="shared" si="5"/>
        <v>2.930000000000291</v>
      </c>
      <c r="G13" s="605">
        <f t="shared" si="4"/>
        <v>0</v>
      </c>
      <c r="H13" s="6"/>
      <c r="I13" s="323">
        <f t="shared" si="1"/>
        <v>0</v>
      </c>
      <c r="J13" s="6"/>
      <c r="K13" s="330">
        <f t="shared" si="2"/>
        <v>0</v>
      </c>
      <c r="L13" s="606"/>
    </row>
    <row r="14" spans="1:12">
      <c r="A14" s="289">
        <v>42767</v>
      </c>
      <c r="B14" s="374">
        <f t="shared" si="3"/>
        <v>5735627</v>
      </c>
      <c r="C14" s="291">
        <v>5797781</v>
      </c>
      <c r="D14" s="463">
        <f t="shared" si="0"/>
        <v>62154</v>
      </c>
      <c r="E14" s="291">
        <v>62154.9</v>
      </c>
      <c r="F14" s="604">
        <f t="shared" si="5"/>
        <v>-0.90000000000145519</v>
      </c>
      <c r="G14" s="605">
        <f t="shared" si="4"/>
        <v>0</v>
      </c>
      <c r="H14" s="6"/>
      <c r="I14" s="323">
        <f t="shared" si="1"/>
        <v>0</v>
      </c>
      <c r="J14" s="6"/>
      <c r="K14" s="330">
        <f t="shared" si="2"/>
        <v>0</v>
      </c>
      <c r="L14" s="606"/>
    </row>
    <row r="15" spans="1:12">
      <c r="A15" s="289">
        <v>42795</v>
      </c>
      <c r="B15" s="374">
        <f t="shared" si="3"/>
        <v>5797781</v>
      </c>
      <c r="C15" s="291">
        <v>5864602</v>
      </c>
      <c r="D15" s="463">
        <f t="shared" si="0"/>
        <v>66821</v>
      </c>
      <c r="E15" s="608">
        <v>66820.89</v>
      </c>
      <c r="F15" s="604">
        <f t="shared" si="5"/>
        <v>0.11000000000058208</v>
      </c>
      <c r="G15" s="605">
        <f t="shared" si="4"/>
        <v>0</v>
      </c>
      <c r="H15" s="6"/>
      <c r="I15" s="323">
        <f t="shared" si="1"/>
        <v>0</v>
      </c>
      <c r="J15" s="6"/>
      <c r="K15" s="330">
        <f t="shared" si="2"/>
        <v>0</v>
      </c>
      <c r="L15" s="606"/>
    </row>
    <row r="16" spans="1:12">
      <c r="A16" s="289">
        <v>42826</v>
      </c>
      <c r="B16" s="374">
        <f t="shared" si="3"/>
        <v>5864602</v>
      </c>
      <c r="C16" s="324">
        <v>5927895</v>
      </c>
      <c r="D16" s="463">
        <f t="shared" si="0"/>
        <v>63293</v>
      </c>
      <c r="E16" s="291">
        <v>63292.38</v>
      </c>
      <c r="F16" s="604">
        <f t="shared" si="5"/>
        <v>0.62000000000261934</v>
      </c>
      <c r="G16" s="605">
        <f t="shared" si="4"/>
        <v>0</v>
      </c>
      <c r="H16" s="6"/>
      <c r="I16" s="323">
        <f t="shared" si="1"/>
        <v>0</v>
      </c>
      <c r="J16" s="6"/>
      <c r="K16" s="330">
        <f t="shared" si="2"/>
        <v>0</v>
      </c>
      <c r="L16" s="606"/>
    </row>
    <row r="17" spans="1:12">
      <c r="A17" s="289">
        <v>42856</v>
      </c>
      <c r="B17" s="374">
        <f t="shared" si="3"/>
        <v>5927895</v>
      </c>
      <c r="C17" s="291">
        <v>5995212</v>
      </c>
      <c r="D17" s="463">
        <f t="shared" si="0"/>
        <v>67317</v>
      </c>
      <c r="E17" s="291">
        <v>67313.47</v>
      </c>
      <c r="F17" s="604">
        <f t="shared" si="5"/>
        <v>3.5299999999988358</v>
      </c>
      <c r="G17" s="605">
        <f t="shared" si="4"/>
        <v>0</v>
      </c>
      <c r="H17" s="6"/>
      <c r="I17" s="323">
        <f t="shared" si="1"/>
        <v>0</v>
      </c>
      <c r="J17" s="6"/>
      <c r="K17" s="330">
        <f t="shared" si="2"/>
        <v>0</v>
      </c>
      <c r="L17" s="606"/>
    </row>
    <row r="18" spans="1:12">
      <c r="A18" s="289">
        <v>42887</v>
      </c>
      <c r="B18" s="374">
        <f t="shared" si="3"/>
        <v>5995212</v>
      </c>
      <c r="C18" s="291">
        <v>6065754</v>
      </c>
      <c r="D18" s="463">
        <f t="shared" si="0"/>
        <v>70542</v>
      </c>
      <c r="E18" s="291">
        <v>70542.600000000006</v>
      </c>
      <c r="F18" s="604">
        <f t="shared" si="5"/>
        <v>-0.60000000000582077</v>
      </c>
      <c r="G18" s="605">
        <f t="shared" si="4"/>
        <v>0</v>
      </c>
      <c r="H18" s="6"/>
      <c r="I18" s="323">
        <f t="shared" si="1"/>
        <v>0</v>
      </c>
      <c r="J18" s="291"/>
      <c r="K18" s="330">
        <f t="shared" si="2"/>
        <v>0</v>
      </c>
      <c r="L18" s="606"/>
    </row>
    <row r="19" spans="1:12">
      <c r="A19" s="289">
        <v>42917</v>
      </c>
      <c r="B19" s="374">
        <f t="shared" si="3"/>
        <v>6065754</v>
      </c>
      <c r="C19" s="291">
        <v>6141089</v>
      </c>
      <c r="D19" s="463">
        <f t="shared" si="0"/>
        <v>75335</v>
      </c>
      <c r="E19" s="291">
        <v>75335</v>
      </c>
      <c r="F19" s="604">
        <f t="shared" si="5"/>
        <v>0</v>
      </c>
      <c r="G19" s="605">
        <v>2442</v>
      </c>
      <c r="H19" s="291">
        <v>15003</v>
      </c>
      <c r="I19" s="323">
        <f t="shared" si="1"/>
        <v>12561</v>
      </c>
      <c r="J19" s="291"/>
      <c r="K19" s="330">
        <f t="shared" si="2"/>
        <v>12561</v>
      </c>
      <c r="L19" s="606"/>
    </row>
    <row r="20" spans="1:12">
      <c r="A20" s="289">
        <v>42948</v>
      </c>
      <c r="B20" s="374">
        <f t="shared" si="3"/>
        <v>6141089</v>
      </c>
      <c r="C20" s="291">
        <v>6212470</v>
      </c>
      <c r="D20" s="463">
        <f t="shared" si="0"/>
        <v>71381</v>
      </c>
      <c r="E20" s="291">
        <v>71379.899999999994</v>
      </c>
      <c r="F20" s="604">
        <f t="shared" si="5"/>
        <v>1.1000000000058208</v>
      </c>
      <c r="G20" s="605">
        <f t="shared" si="4"/>
        <v>15003</v>
      </c>
      <c r="H20" s="291">
        <v>25033</v>
      </c>
      <c r="I20" s="323">
        <f t="shared" si="1"/>
        <v>10030</v>
      </c>
      <c r="J20" s="291">
        <v>10029.74</v>
      </c>
      <c r="K20" s="330">
        <f t="shared" si="2"/>
        <v>0.26000000000021828</v>
      </c>
      <c r="L20" s="606">
        <f>I20+D20</f>
        <v>81411</v>
      </c>
    </row>
    <row r="21" spans="1:12">
      <c r="A21" s="289">
        <v>42979</v>
      </c>
      <c r="B21" s="374">
        <f t="shared" si="3"/>
        <v>6212470</v>
      </c>
      <c r="C21" s="324">
        <v>6276921</v>
      </c>
      <c r="D21" s="463">
        <f t="shared" si="0"/>
        <v>64451</v>
      </c>
      <c r="E21" s="324">
        <v>64450.62</v>
      </c>
      <c r="F21" s="604">
        <f t="shared" si="5"/>
        <v>0.37999999999738066</v>
      </c>
      <c r="G21" s="605">
        <f t="shared" si="4"/>
        <v>25033</v>
      </c>
      <c r="H21" s="324">
        <v>32815</v>
      </c>
      <c r="I21" s="323">
        <f t="shared" si="1"/>
        <v>7782</v>
      </c>
      <c r="J21" s="324">
        <v>7781.72</v>
      </c>
      <c r="K21" s="330">
        <f t="shared" si="2"/>
        <v>0.27999999999974534</v>
      </c>
      <c r="L21" s="606">
        <f t="shared" ref="L21:L84" si="6">I21+D21</f>
        <v>72233</v>
      </c>
    </row>
    <row r="22" spans="1:12">
      <c r="A22" s="289">
        <v>43009</v>
      </c>
      <c r="B22" s="374">
        <f t="shared" si="3"/>
        <v>6276921</v>
      </c>
      <c r="C22" s="324">
        <v>6352831</v>
      </c>
      <c r="D22" s="463">
        <f t="shared" si="0"/>
        <v>75910</v>
      </c>
      <c r="E22" s="324">
        <v>75906.789999999994</v>
      </c>
      <c r="F22" s="604">
        <f t="shared" si="5"/>
        <v>3.2100000000064028</v>
      </c>
      <c r="G22" s="605">
        <f t="shared" si="4"/>
        <v>32815</v>
      </c>
      <c r="H22" s="324">
        <v>39587</v>
      </c>
      <c r="I22" s="323">
        <f t="shared" si="1"/>
        <v>6772</v>
      </c>
      <c r="J22" s="324">
        <v>6772.04</v>
      </c>
      <c r="K22" s="330">
        <f t="shared" si="2"/>
        <v>-3.999999999996362E-2</v>
      </c>
      <c r="L22" s="606">
        <f t="shared" si="6"/>
        <v>82682</v>
      </c>
    </row>
    <row r="23" spans="1:12">
      <c r="A23" s="289">
        <v>43040</v>
      </c>
      <c r="B23" s="374">
        <f t="shared" si="3"/>
        <v>6352831</v>
      </c>
      <c r="C23" s="324">
        <v>6410003</v>
      </c>
      <c r="D23" s="463">
        <f t="shared" si="0"/>
        <v>57172</v>
      </c>
      <c r="E23" s="324">
        <v>57171.51</v>
      </c>
      <c r="F23" s="604">
        <f t="shared" si="5"/>
        <v>0.48999999999796273</v>
      </c>
      <c r="G23" s="605">
        <f t="shared" si="4"/>
        <v>39587</v>
      </c>
      <c r="H23" s="324">
        <v>45717</v>
      </c>
      <c r="I23" s="323">
        <f t="shared" si="1"/>
        <v>6130</v>
      </c>
      <c r="J23" s="324">
        <v>6129.55</v>
      </c>
      <c r="K23" s="330">
        <f t="shared" si="2"/>
        <v>0.4499999999998181</v>
      </c>
      <c r="L23" s="606">
        <f t="shared" si="6"/>
        <v>63302</v>
      </c>
    </row>
    <row r="24" spans="1:12">
      <c r="A24" s="289">
        <v>43070</v>
      </c>
      <c r="B24" s="374">
        <f t="shared" si="3"/>
        <v>6410003</v>
      </c>
      <c r="C24" s="291">
        <v>6476953</v>
      </c>
      <c r="D24" s="463">
        <f t="shared" si="0"/>
        <v>66950</v>
      </c>
      <c r="E24" s="291">
        <v>66951.14</v>
      </c>
      <c r="F24" s="604">
        <f t="shared" si="5"/>
        <v>-1.1399999999994179</v>
      </c>
      <c r="G24" s="605">
        <f t="shared" si="4"/>
        <v>45717</v>
      </c>
      <c r="H24" s="291">
        <v>52890</v>
      </c>
      <c r="I24" s="323">
        <f t="shared" si="1"/>
        <v>7173</v>
      </c>
      <c r="J24" s="291">
        <v>7173.94</v>
      </c>
      <c r="K24" s="330">
        <f t="shared" si="2"/>
        <v>-0.93999999999959982</v>
      </c>
      <c r="L24" s="606">
        <f t="shared" si="6"/>
        <v>74123</v>
      </c>
    </row>
    <row r="25" spans="1:12">
      <c r="A25" s="289">
        <v>43101</v>
      </c>
      <c r="B25" s="374">
        <f t="shared" si="3"/>
        <v>6476953</v>
      </c>
      <c r="C25" s="291">
        <v>6542879</v>
      </c>
      <c r="D25" s="463">
        <f t="shared" si="0"/>
        <v>65926</v>
      </c>
      <c r="E25" s="291">
        <v>65927.77</v>
      </c>
      <c r="F25" s="604">
        <f t="shared" si="5"/>
        <v>-1.7700000000040745</v>
      </c>
      <c r="G25" s="605">
        <f t="shared" si="4"/>
        <v>52890</v>
      </c>
      <c r="H25" s="291">
        <v>59763</v>
      </c>
      <c r="I25" s="323">
        <f t="shared" si="1"/>
        <v>6873</v>
      </c>
      <c r="J25" s="291">
        <v>6874.87</v>
      </c>
      <c r="K25" s="330">
        <f t="shared" si="2"/>
        <v>-1.8699999999998909</v>
      </c>
      <c r="L25" s="606">
        <f t="shared" si="6"/>
        <v>72799</v>
      </c>
    </row>
    <row r="26" spans="1:12">
      <c r="A26" s="289">
        <v>43132</v>
      </c>
      <c r="B26" s="374">
        <f t="shared" si="3"/>
        <v>6542879</v>
      </c>
      <c r="C26" s="291">
        <v>6604433</v>
      </c>
      <c r="D26" s="463">
        <f t="shared" si="0"/>
        <v>61554</v>
      </c>
      <c r="E26" s="359">
        <v>61553.03</v>
      </c>
      <c r="F26" s="604">
        <f t="shared" si="5"/>
        <v>0.97000000000116415</v>
      </c>
      <c r="G26" s="605">
        <f t="shared" si="4"/>
        <v>59763</v>
      </c>
      <c r="H26" s="291">
        <v>66652</v>
      </c>
      <c r="I26" s="323">
        <f t="shared" si="1"/>
        <v>6889</v>
      </c>
      <c r="J26" s="291">
        <v>6890.89</v>
      </c>
      <c r="K26" s="330">
        <f t="shared" si="2"/>
        <v>-1.8900000000003274</v>
      </c>
      <c r="L26" s="606">
        <f t="shared" si="6"/>
        <v>68443</v>
      </c>
    </row>
    <row r="27" spans="1:12">
      <c r="A27" s="289">
        <v>43160</v>
      </c>
      <c r="B27" s="374">
        <f t="shared" si="3"/>
        <v>6604433</v>
      </c>
      <c r="C27" s="324">
        <v>6660226</v>
      </c>
      <c r="D27" s="463">
        <f t="shared" si="0"/>
        <v>55793</v>
      </c>
      <c r="E27" s="324">
        <v>55792.75</v>
      </c>
      <c r="F27" s="604">
        <f t="shared" si="5"/>
        <v>0.25</v>
      </c>
      <c r="G27" s="605">
        <f t="shared" si="4"/>
        <v>66652</v>
      </c>
      <c r="H27" s="324">
        <v>77607</v>
      </c>
      <c r="I27" s="323">
        <f t="shared" si="1"/>
        <v>10955</v>
      </c>
      <c r="J27" s="324">
        <v>10955.45</v>
      </c>
      <c r="K27" s="330">
        <f t="shared" si="2"/>
        <v>-0.4500000000007276</v>
      </c>
      <c r="L27" s="606">
        <f t="shared" si="6"/>
        <v>66748</v>
      </c>
    </row>
    <row r="28" spans="1:12">
      <c r="A28" s="289">
        <v>43191</v>
      </c>
      <c r="B28" s="374">
        <f t="shared" si="3"/>
        <v>6660226</v>
      </c>
      <c r="C28" s="291">
        <v>6714539</v>
      </c>
      <c r="D28" s="463">
        <f t="shared" si="0"/>
        <v>54313</v>
      </c>
      <c r="E28" s="324">
        <v>54312.28</v>
      </c>
      <c r="F28" s="604">
        <f t="shared" si="5"/>
        <v>0.72000000000116415</v>
      </c>
      <c r="G28" s="605">
        <f t="shared" si="4"/>
        <v>77607</v>
      </c>
      <c r="H28" s="291">
        <v>82271</v>
      </c>
      <c r="I28" s="323">
        <f t="shared" si="1"/>
        <v>4664</v>
      </c>
      <c r="J28" s="324">
        <v>4665.22</v>
      </c>
      <c r="K28" s="330">
        <f t="shared" si="2"/>
        <v>-1.2200000000002547</v>
      </c>
      <c r="L28" s="606">
        <f t="shared" si="6"/>
        <v>58977</v>
      </c>
    </row>
    <row r="29" spans="1:12">
      <c r="A29" s="313">
        <v>43221</v>
      </c>
      <c r="B29" s="374">
        <f t="shared" si="3"/>
        <v>6714539</v>
      </c>
      <c r="C29" s="291">
        <v>6774547</v>
      </c>
      <c r="D29" s="463">
        <f t="shared" si="0"/>
        <v>60008</v>
      </c>
      <c r="E29" s="291">
        <v>60007.47</v>
      </c>
      <c r="F29" s="604">
        <f t="shared" si="5"/>
        <v>0.52999999999883585</v>
      </c>
      <c r="G29" s="605">
        <f t="shared" si="4"/>
        <v>82271</v>
      </c>
      <c r="H29" s="291">
        <v>88664</v>
      </c>
      <c r="I29" s="323">
        <f t="shared" si="1"/>
        <v>6393</v>
      </c>
      <c r="J29" s="291">
        <v>6392.14</v>
      </c>
      <c r="K29" s="330">
        <f t="shared" si="2"/>
        <v>0.85999999999967258</v>
      </c>
      <c r="L29" s="606">
        <f t="shared" si="6"/>
        <v>66401</v>
      </c>
    </row>
    <row r="30" spans="1:12">
      <c r="A30" s="289">
        <v>43252</v>
      </c>
      <c r="B30" s="374">
        <f t="shared" si="3"/>
        <v>6774547</v>
      </c>
      <c r="C30" s="291">
        <v>6845214</v>
      </c>
      <c r="D30" s="463">
        <f t="shared" si="0"/>
        <v>70667</v>
      </c>
      <c r="E30" s="291">
        <v>70666.289999999994</v>
      </c>
      <c r="F30" s="604">
        <f t="shared" si="5"/>
        <v>0.71000000000640284</v>
      </c>
      <c r="G30" s="605">
        <f t="shared" si="4"/>
        <v>88664</v>
      </c>
      <c r="H30" s="291">
        <v>99683</v>
      </c>
      <c r="I30" s="323">
        <f t="shared" si="1"/>
        <v>11019</v>
      </c>
      <c r="J30" s="324">
        <v>11020.51</v>
      </c>
      <c r="K30" s="330">
        <f t="shared" si="2"/>
        <v>-1.5100000000002183</v>
      </c>
      <c r="L30" s="606">
        <f t="shared" si="6"/>
        <v>81686</v>
      </c>
    </row>
    <row r="31" spans="1:12">
      <c r="A31" s="289">
        <v>43282</v>
      </c>
      <c r="B31" s="374">
        <f t="shared" si="3"/>
        <v>6845214</v>
      </c>
      <c r="C31" s="324">
        <v>6921964</v>
      </c>
      <c r="D31" s="463">
        <f t="shared" si="0"/>
        <v>76750</v>
      </c>
      <c r="E31" s="324">
        <v>76750.25</v>
      </c>
      <c r="F31" s="604">
        <f t="shared" si="5"/>
        <v>-0.25</v>
      </c>
      <c r="G31" s="605">
        <f t="shared" si="4"/>
        <v>99683</v>
      </c>
      <c r="H31" s="324">
        <v>107936</v>
      </c>
      <c r="I31" s="323">
        <f t="shared" si="1"/>
        <v>8253</v>
      </c>
      <c r="J31" s="324">
        <v>8252.24</v>
      </c>
      <c r="K31" s="330">
        <f t="shared" si="2"/>
        <v>0.76000000000021828</v>
      </c>
      <c r="L31" s="606">
        <f t="shared" si="6"/>
        <v>85003</v>
      </c>
    </row>
    <row r="32" spans="1:12">
      <c r="A32" s="289">
        <v>43313</v>
      </c>
      <c r="B32" s="374">
        <f t="shared" si="3"/>
        <v>6921964</v>
      </c>
      <c r="C32" s="324">
        <v>7001142</v>
      </c>
      <c r="D32" s="463">
        <f t="shared" si="0"/>
        <v>79178</v>
      </c>
      <c r="E32" s="324">
        <v>79179.56</v>
      </c>
      <c r="F32" s="604">
        <f t="shared" si="5"/>
        <v>-1.5599999999976717</v>
      </c>
      <c r="G32" s="605">
        <f t="shared" si="4"/>
        <v>107936</v>
      </c>
      <c r="H32" s="324">
        <v>116730</v>
      </c>
      <c r="I32" s="323">
        <f t="shared" si="1"/>
        <v>8794</v>
      </c>
      <c r="J32" s="324">
        <v>8793.1200000000008</v>
      </c>
      <c r="K32" s="330">
        <f t="shared" si="2"/>
        <v>0.87999999999919964</v>
      </c>
      <c r="L32" s="606">
        <f t="shared" si="6"/>
        <v>87972</v>
      </c>
    </row>
    <row r="33" spans="1:12">
      <c r="A33" s="289">
        <v>43344</v>
      </c>
      <c r="B33" s="374">
        <f t="shared" si="3"/>
        <v>7001142</v>
      </c>
      <c r="C33" s="324">
        <v>7074217</v>
      </c>
      <c r="D33" s="463">
        <f t="shared" si="0"/>
        <v>73075</v>
      </c>
      <c r="E33" s="324">
        <v>73076.960000000006</v>
      </c>
      <c r="F33" s="604">
        <f t="shared" si="5"/>
        <v>-1.9600000000064028</v>
      </c>
      <c r="G33" s="605">
        <f t="shared" si="4"/>
        <v>116730</v>
      </c>
      <c r="H33" s="324">
        <v>127346</v>
      </c>
      <c r="I33" s="323">
        <f t="shared" si="1"/>
        <v>10616</v>
      </c>
      <c r="J33" s="324">
        <v>10615.37</v>
      </c>
      <c r="K33" s="330">
        <f t="shared" si="2"/>
        <v>0.62999999999919964</v>
      </c>
      <c r="L33" s="606">
        <f t="shared" si="6"/>
        <v>83691</v>
      </c>
    </row>
    <row r="34" spans="1:12">
      <c r="A34" s="289">
        <v>43374</v>
      </c>
      <c r="B34" s="374">
        <f t="shared" si="3"/>
        <v>7074217</v>
      </c>
      <c r="C34" s="291">
        <v>7154506</v>
      </c>
      <c r="D34" s="463">
        <f t="shared" si="0"/>
        <v>80289</v>
      </c>
      <c r="E34" s="291">
        <v>80287.839999999997</v>
      </c>
      <c r="F34" s="604">
        <f t="shared" si="5"/>
        <v>1.1600000000034925</v>
      </c>
      <c r="G34" s="605">
        <f t="shared" si="4"/>
        <v>127346</v>
      </c>
      <c r="H34" s="291">
        <v>134840</v>
      </c>
      <c r="I34" s="323">
        <f t="shared" si="1"/>
        <v>7494</v>
      </c>
      <c r="J34" s="291">
        <v>7493.99</v>
      </c>
      <c r="K34" s="330">
        <f t="shared" si="2"/>
        <v>1.0000000000218279E-2</v>
      </c>
      <c r="L34" s="606">
        <f t="shared" si="6"/>
        <v>87783</v>
      </c>
    </row>
    <row r="35" spans="1:12">
      <c r="A35" s="289">
        <v>43405</v>
      </c>
      <c r="B35" s="374">
        <f t="shared" si="3"/>
        <v>7154506</v>
      </c>
      <c r="C35" s="291">
        <v>7225359</v>
      </c>
      <c r="D35" s="463">
        <f t="shared" si="0"/>
        <v>70853</v>
      </c>
      <c r="E35" s="291">
        <v>70852.88</v>
      </c>
      <c r="F35" s="604">
        <f t="shared" si="5"/>
        <v>0.11999999999534339</v>
      </c>
      <c r="G35" s="605">
        <f t="shared" si="4"/>
        <v>134840</v>
      </c>
      <c r="H35" s="291">
        <v>145302</v>
      </c>
      <c r="I35" s="323">
        <f t="shared" si="1"/>
        <v>10462</v>
      </c>
      <c r="J35" s="291">
        <v>10462.700000000001</v>
      </c>
      <c r="K35" s="330">
        <f t="shared" si="2"/>
        <v>-0.7000000000007276</v>
      </c>
      <c r="L35" s="606">
        <f t="shared" si="6"/>
        <v>81315</v>
      </c>
    </row>
    <row r="36" spans="1:12">
      <c r="A36" s="289">
        <v>43435</v>
      </c>
      <c r="B36" s="374">
        <f t="shared" si="3"/>
        <v>7225359</v>
      </c>
      <c r="C36" s="291">
        <v>7296581</v>
      </c>
      <c r="D36" s="463">
        <f t="shared" si="0"/>
        <v>71222</v>
      </c>
      <c r="E36" s="291">
        <v>71221.22</v>
      </c>
      <c r="F36" s="604">
        <f t="shared" si="5"/>
        <v>0.77999999999883585</v>
      </c>
      <c r="G36" s="605">
        <f t="shared" si="4"/>
        <v>145302</v>
      </c>
      <c r="H36" s="291">
        <v>154999</v>
      </c>
      <c r="I36" s="323">
        <f t="shared" si="1"/>
        <v>9697</v>
      </c>
      <c r="J36" s="291">
        <v>9696.7999999999993</v>
      </c>
      <c r="K36" s="330">
        <f t="shared" si="2"/>
        <v>0.2000000000007276</v>
      </c>
      <c r="L36" s="606">
        <f t="shared" si="6"/>
        <v>80919</v>
      </c>
    </row>
    <row r="37" spans="1:12">
      <c r="A37" s="289">
        <v>43466</v>
      </c>
      <c r="B37" s="374">
        <f t="shared" si="3"/>
        <v>7296581</v>
      </c>
      <c r="C37" s="291">
        <v>7366625</v>
      </c>
      <c r="D37" s="463">
        <f t="shared" si="0"/>
        <v>70044</v>
      </c>
      <c r="E37" s="291">
        <v>70042.86</v>
      </c>
      <c r="F37" s="604">
        <f t="shared" si="5"/>
        <v>1.1399999999994179</v>
      </c>
      <c r="G37" s="605">
        <f t="shared" si="4"/>
        <v>154999</v>
      </c>
      <c r="H37" s="291">
        <v>161103</v>
      </c>
      <c r="I37" s="323">
        <f t="shared" si="1"/>
        <v>6104</v>
      </c>
      <c r="J37" s="291">
        <v>6107.32</v>
      </c>
      <c r="K37" s="330">
        <f t="shared" si="2"/>
        <v>-3.319999999999709</v>
      </c>
      <c r="L37" s="606">
        <f t="shared" si="6"/>
        <v>76148</v>
      </c>
    </row>
    <row r="38" spans="1:12">
      <c r="A38" s="289">
        <v>43497</v>
      </c>
      <c r="B38" s="374">
        <f t="shared" si="3"/>
        <v>7366625</v>
      </c>
      <c r="C38" s="291">
        <v>7427612</v>
      </c>
      <c r="D38" s="463">
        <f t="shared" si="0"/>
        <v>60987</v>
      </c>
      <c r="E38" s="291">
        <v>60986.27</v>
      </c>
      <c r="F38" s="604">
        <f t="shared" si="5"/>
        <v>0.73000000000320142</v>
      </c>
      <c r="G38" s="605">
        <f t="shared" si="4"/>
        <v>161103</v>
      </c>
      <c r="H38" s="291">
        <v>167784</v>
      </c>
      <c r="I38" s="323">
        <f t="shared" si="1"/>
        <v>6681</v>
      </c>
      <c r="J38" s="291">
        <v>6681</v>
      </c>
      <c r="K38" s="330">
        <f t="shared" si="2"/>
        <v>0</v>
      </c>
      <c r="L38" s="606">
        <f t="shared" si="6"/>
        <v>67668</v>
      </c>
    </row>
    <row r="39" spans="1:12">
      <c r="A39" s="289">
        <v>43525</v>
      </c>
      <c r="B39" s="374">
        <f t="shared" si="3"/>
        <v>7427612</v>
      </c>
      <c r="C39" s="291">
        <v>7494502</v>
      </c>
      <c r="D39" s="463">
        <f t="shared" si="0"/>
        <v>66890</v>
      </c>
      <c r="E39" s="291">
        <v>66888.649999999994</v>
      </c>
      <c r="F39" s="604">
        <f t="shared" si="5"/>
        <v>1.3500000000058208</v>
      </c>
      <c r="G39" s="605">
        <f t="shared" si="4"/>
        <v>167784</v>
      </c>
      <c r="H39" s="291">
        <v>178453</v>
      </c>
      <c r="I39" s="323">
        <f t="shared" si="1"/>
        <v>10669</v>
      </c>
      <c r="J39" s="291">
        <v>10669.59</v>
      </c>
      <c r="K39" s="330">
        <f t="shared" si="2"/>
        <v>-0.59000000000014552</v>
      </c>
      <c r="L39" s="606">
        <f t="shared" si="6"/>
        <v>77559</v>
      </c>
    </row>
    <row r="40" spans="1:12">
      <c r="A40" s="289">
        <v>43556</v>
      </c>
      <c r="B40" s="374">
        <f t="shared" si="3"/>
        <v>7494502</v>
      </c>
      <c r="C40" s="291">
        <v>7567839</v>
      </c>
      <c r="D40" s="463">
        <f t="shared" si="0"/>
        <v>73337</v>
      </c>
      <c r="E40" s="291">
        <v>73336.570000000007</v>
      </c>
      <c r="F40" s="604">
        <f t="shared" si="5"/>
        <v>0.42999999999301508</v>
      </c>
      <c r="G40" s="605">
        <f t="shared" si="4"/>
        <v>178453</v>
      </c>
      <c r="H40" s="291">
        <v>185868</v>
      </c>
      <c r="I40" s="323">
        <f t="shared" si="1"/>
        <v>7415</v>
      </c>
      <c r="J40" s="291">
        <v>7415.91</v>
      </c>
      <c r="K40" s="330">
        <f t="shared" si="2"/>
        <v>-0.90999999999985448</v>
      </c>
      <c r="L40" s="606">
        <f t="shared" si="6"/>
        <v>80752</v>
      </c>
    </row>
    <row r="41" spans="1:12">
      <c r="A41" s="289">
        <v>43586</v>
      </c>
      <c r="B41" s="374">
        <f t="shared" si="3"/>
        <v>7567839</v>
      </c>
      <c r="C41" s="291">
        <v>7635177</v>
      </c>
      <c r="D41" s="463">
        <f t="shared" si="0"/>
        <v>67338</v>
      </c>
      <c r="E41" s="291">
        <v>67338.48</v>
      </c>
      <c r="F41" s="604">
        <f t="shared" si="5"/>
        <v>-0.47999999999592546</v>
      </c>
      <c r="G41" s="605">
        <f t="shared" si="4"/>
        <v>185868</v>
      </c>
      <c r="H41" s="291">
        <v>191580</v>
      </c>
      <c r="I41" s="323">
        <f t="shared" si="1"/>
        <v>5712</v>
      </c>
      <c r="J41" s="291">
        <v>5711.08</v>
      </c>
      <c r="K41" s="330">
        <f t="shared" si="2"/>
        <v>0.92000000000007276</v>
      </c>
      <c r="L41" s="606">
        <f t="shared" si="6"/>
        <v>73050</v>
      </c>
    </row>
    <row r="42" spans="1:12">
      <c r="A42" s="289">
        <v>43617</v>
      </c>
      <c r="B42" s="374">
        <f t="shared" si="3"/>
        <v>7635177</v>
      </c>
      <c r="C42" s="291">
        <v>7705814</v>
      </c>
      <c r="D42" s="463">
        <f t="shared" si="0"/>
        <v>70637</v>
      </c>
      <c r="E42" s="291">
        <v>70631.199999999997</v>
      </c>
      <c r="F42" s="604">
        <f>D42-E42</f>
        <v>5.8000000000029104</v>
      </c>
      <c r="G42" s="605">
        <f t="shared" si="4"/>
        <v>191580</v>
      </c>
      <c r="H42" s="291">
        <v>198910</v>
      </c>
      <c r="I42" s="323">
        <f t="shared" si="1"/>
        <v>7330</v>
      </c>
      <c r="J42" s="291">
        <v>7352.54</v>
      </c>
      <c r="K42" s="330">
        <f t="shared" si="2"/>
        <v>-22.539999999999964</v>
      </c>
      <c r="L42" s="606">
        <f t="shared" si="6"/>
        <v>77967</v>
      </c>
    </row>
    <row r="43" spans="1:12">
      <c r="A43" s="289">
        <v>43647</v>
      </c>
      <c r="B43" s="374">
        <f t="shared" si="3"/>
        <v>7705814</v>
      </c>
      <c r="C43" s="291">
        <v>7789265</v>
      </c>
      <c r="D43" s="463">
        <f t="shared" si="0"/>
        <v>83451</v>
      </c>
      <c r="E43" s="291">
        <v>83450.259999999995</v>
      </c>
      <c r="F43" s="604">
        <f t="shared" si="5"/>
        <v>0.74000000000523869</v>
      </c>
      <c r="G43" s="605">
        <f t="shared" si="4"/>
        <v>198910</v>
      </c>
      <c r="H43" s="291">
        <v>208208</v>
      </c>
      <c r="I43" s="323">
        <f t="shared" si="1"/>
        <v>9298</v>
      </c>
      <c r="J43" s="291">
        <v>8921.51</v>
      </c>
      <c r="K43" s="330">
        <f t="shared" si="2"/>
        <v>376.48999999999978</v>
      </c>
      <c r="L43" s="606">
        <f t="shared" si="6"/>
        <v>92749</v>
      </c>
    </row>
    <row r="44" spans="1:12">
      <c r="A44" s="289">
        <v>43678</v>
      </c>
      <c r="B44" s="374">
        <f t="shared" si="3"/>
        <v>7789265</v>
      </c>
      <c r="C44" s="291">
        <v>7867728</v>
      </c>
      <c r="D44" s="463">
        <f t="shared" si="0"/>
        <v>78463</v>
      </c>
      <c r="E44" s="291">
        <v>78463.600000000006</v>
      </c>
      <c r="F44" s="604">
        <f>D44-E44</f>
        <v>-0.60000000000582077</v>
      </c>
      <c r="G44" s="605">
        <f t="shared" si="4"/>
        <v>208208</v>
      </c>
      <c r="H44" s="291">
        <v>216205</v>
      </c>
      <c r="I44" s="323">
        <f t="shared" si="1"/>
        <v>7997</v>
      </c>
      <c r="J44" s="291">
        <v>7870.33</v>
      </c>
      <c r="K44" s="330">
        <f t="shared" si="2"/>
        <v>126.67000000000007</v>
      </c>
      <c r="L44" s="606">
        <f t="shared" si="6"/>
        <v>86460</v>
      </c>
    </row>
    <row r="45" spans="1:12">
      <c r="A45" s="289">
        <v>43709</v>
      </c>
      <c r="B45" s="374">
        <f t="shared" si="3"/>
        <v>7867728</v>
      </c>
      <c r="C45" s="291">
        <v>7937278</v>
      </c>
      <c r="D45" s="463">
        <f t="shared" si="0"/>
        <v>69550</v>
      </c>
      <c r="E45" s="291">
        <v>69549.31</v>
      </c>
      <c r="F45" s="604">
        <f t="shared" si="5"/>
        <v>0.69000000000232831</v>
      </c>
      <c r="G45" s="605">
        <f t="shared" si="4"/>
        <v>216205</v>
      </c>
      <c r="H45" s="291">
        <v>223195</v>
      </c>
      <c r="I45" s="323">
        <f t="shared" si="1"/>
        <v>6990</v>
      </c>
      <c r="J45" s="291">
        <v>6989.22</v>
      </c>
      <c r="K45" s="330">
        <f t="shared" si="2"/>
        <v>0.77999999999974534</v>
      </c>
      <c r="L45" s="606">
        <f t="shared" si="6"/>
        <v>76540</v>
      </c>
    </row>
    <row r="46" spans="1:12">
      <c r="A46" s="289">
        <v>43739</v>
      </c>
      <c r="B46" s="374">
        <f t="shared" si="3"/>
        <v>7937278</v>
      </c>
      <c r="C46" s="291">
        <v>8009185</v>
      </c>
      <c r="D46" s="463">
        <f t="shared" si="0"/>
        <v>71907</v>
      </c>
      <c r="E46" s="291">
        <v>71906.240000000005</v>
      </c>
      <c r="F46" s="604">
        <f t="shared" si="5"/>
        <v>0.75999999999476131</v>
      </c>
      <c r="G46" s="605">
        <f t="shared" si="4"/>
        <v>223195</v>
      </c>
      <c r="H46" s="291">
        <v>229902</v>
      </c>
      <c r="I46" s="323">
        <f t="shared" si="1"/>
        <v>6707</v>
      </c>
      <c r="J46" s="291">
        <v>6706</v>
      </c>
      <c r="K46" s="330">
        <f t="shared" si="2"/>
        <v>1</v>
      </c>
      <c r="L46" s="606">
        <f t="shared" si="6"/>
        <v>78614</v>
      </c>
    </row>
    <row r="47" spans="1:12">
      <c r="A47" s="289">
        <v>43770</v>
      </c>
      <c r="B47" s="374">
        <f t="shared" si="3"/>
        <v>8009185</v>
      </c>
      <c r="C47" s="291">
        <v>8069975</v>
      </c>
      <c r="D47" s="463">
        <f t="shared" si="0"/>
        <v>60790</v>
      </c>
      <c r="E47" s="291">
        <v>60788.44</v>
      </c>
      <c r="F47" s="604">
        <f t="shared" si="5"/>
        <v>1.5599999999976717</v>
      </c>
      <c r="G47" s="605">
        <f t="shared" si="4"/>
        <v>229902</v>
      </c>
      <c r="H47" s="291">
        <v>235486</v>
      </c>
      <c r="I47" s="323">
        <f t="shared" si="1"/>
        <v>5584</v>
      </c>
      <c r="J47" s="291">
        <v>5584</v>
      </c>
      <c r="K47" s="330">
        <f t="shared" si="2"/>
        <v>0</v>
      </c>
      <c r="L47" s="606">
        <f t="shared" si="6"/>
        <v>66374</v>
      </c>
    </row>
    <row r="48" spans="1:12">
      <c r="A48" s="289">
        <v>43800</v>
      </c>
      <c r="B48" s="374">
        <f t="shared" si="3"/>
        <v>8069975</v>
      </c>
      <c r="C48" s="324">
        <v>8133966</v>
      </c>
      <c r="D48" s="463">
        <f t="shared" si="0"/>
        <v>63991</v>
      </c>
      <c r="E48" s="324">
        <v>63990.63</v>
      </c>
      <c r="F48" s="604">
        <f t="shared" si="5"/>
        <v>0.37000000000261934</v>
      </c>
      <c r="G48" s="605">
        <f t="shared" si="4"/>
        <v>235486</v>
      </c>
      <c r="H48" s="324">
        <v>245835</v>
      </c>
      <c r="I48" s="323">
        <f t="shared" si="1"/>
        <v>10349</v>
      </c>
      <c r="J48" s="324">
        <v>10348.06</v>
      </c>
      <c r="K48" s="330">
        <f t="shared" si="2"/>
        <v>0.94000000000050932</v>
      </c>
      <c r="L48" s="606">
        <f t="shared" si="6"/>
        <v>74340</v>
      </c>
    </row>
    <row r="49" spans="1:12">
      <c r="A49" s="289">
        <v>43831</v>
      </c>
      <c r="B49" s="374">
        <f t="shared" si="3"/>
        <v>8133966</v>
      </c>
      <c r="C49" s="291">
        <v>8200024</v>
      </c>
      <c r="D49" s="463">
        <f t="shared" si="0"/>
        <v>66058</v>
      </c>
      <c r="E49" s="291">
        <v>66057.75</v>
      </c>
      <c r="F49" s="604">
        <f t="shared" si="5"/>
        <v>0.25</v>
      </c>
      <c r="G49" s="605">
        <f t="shared" si="4"/>
        <v>245835</v>
      </c>
      <c r="H49" s="291">
        <v>253278</v>
      </c>
      <c r="I49" s="323">
        <f t="shared" si="1"/>
        <v>7443</v>
      </c>
      <c r="J49" s="291">
        <v>7443.22</v>
      </c>
      <c r="K49" s="330">
        <f t="shared" si="2"/>
        <v>-0.22000000000025466</v>
      </c>
      <c r="L49" s="606">
        <f t="shared" si="6"/>
        <v>73501</v>
      </c>
    </row>
    <row r="50" spans="1:12">
      <c r="A50" s="289">
        <v>43862</v>
      </c>
      <c r="B50" s="374">
        <f t="shared" si="3"/>
        <v>8200024</v>
      </c>
      <c r="C50" s="291">
        <v>8265856</v>
      </c>
      <c r="D50" s="463">
        <f t="shared" si="0"/>
        <v>65832</v>
      </c>
      <c r="E50" s="291">
        <v>65831.210000000006</v>
      </c>
      <c r="F50" s="604">
        <f t="shared" si="5"/>
        <v>0.78999999999359716</v>
      </c>
      <c r="G50" s="605">
        <f t="shared" si="4"/>
        <v>253278</v>
      </c>
      <c r="H50" s="291">
        <v>259127</v>
      </c>
      <c r="I50" s="323">
        <f t="shared" si="1"/>
        <v>5849</v>
      </c>
      <c r="J50" s="291">
        <v>5848.37</v>
      </c>
      <c r="K50" s="330">
        <f t="shared" si="2"/>
        <v>0.63000000000010914</v>
      </c>
      <c r="L50" s="606">
        <f t="shared" si="6"/>
        <v>71681</v>
      </c>
    </row>
    <row r="51" spans="1:12">
      <c r="A51" s="289">
        <v>43891</v>
      </c>
      <c r="B51" s="374">
        <f t="shared" si="3"/>
        <v>8265856</v>
      </c>
      <c r="C51" s="291">
        <v>8316467</v>
      </c>
      <c r="D51" s="463">
        <f t="shared" si="0"/>
        <v>50611</v>
      </c>
      <c r="E51" s="291">
        <v>50610.58</v>
      </c>
      <c r="F51" s="604">
        <f t="shared" si="5"/>
        <v>0.41999999999825377</v>
      </c>
      <c r="G51" s="605">
        <f t="shared" si="4"/>
        <v>259127</v>
      </c>
      <c r="H51" s="291">
        <v>262770</v>
      </c>
      <c r="I51" s="323">
        <f t="shared" si="1"/>
        <v>3643</v>
      </c>
      <c r="J51" s="291">
        <v>3643.28</v>
      </c>
      <c r="K51" s="330">
        <f t="shared" si="2"/>
        <v>-0.28000000000020009</v>
      </c>
      <c r="L51" s="606">
        <f t="shared" si="6"/>
        <v>54254</v>
      </c>
    </row>
    <row r="52" spans="1:12">
      <c r="A52" s="289">
        <v>43922</v>
      </c>
      <c r="B52" s="374">
        <f t="shared" si="3"/>
        <v>8316467</v>
      </c>
      <c r="C52" s="324">
        <v>8339290</v>
      </c>
      <c r="D52" s="463">
        <f t="shared" si="0"/>
        <v>22823</v>
      </c>
      <c r="E52" s="324">
        <v>22822.77</v>
      </c>
      <c r="F52" s="604">
        <f t="shared" si="5"/>
        <v>0.22999999999956344</v>
      </c>
      <c r="G52" s="605">
        <f t="shared" si="4"/>
        <v>262770</v>
      </c>
      <c r="H52" s="324">
        <v>264628</v>
      </c>
      <c r="I52" s="323">
        <f t="shared" si="1"/>
        <v>1858</v>
      </c>
      <c r="J52" s="324">
        <v>1858.41</v>
      </c>
      <c r="K52" s="330">
        <f t="shared" si="2"/>
        <v>-0.41000000000008185</v>
      </c>
      <c r="L52" s="606">
        <f t="shared" si="6"/>
        <v>24681</v>
      </c>
    </row>
    <row r="53" spans="1:12">
      <c r="A53" s="289">
        <v>43952</v>
      </c>
      <c r="B53" s="374">
        <f t="shared" si="3"/>
        <v>8339290</v>
      </c>
      <c r="C53" s="291"/>
      <c r="D53" s="463">
        <f t="shared" si="0"/>
        <v>-8339290</v>
      </c>
      <c r="E53" s="291"/>
      <c r="F53" s="604">
        <f t="shared" si="5"/>
        <v>-8339290</v>
      </c>
      <c r="G53" s="605">
        <f t="shared" si="4"/>
        <v>264628</v>
      </c>
      <c r="H53" s="291"/>
      <c r="I53" s="323">
        <f t="shared" si="1"/>
        <v>-264628</v>
      </c>
      <c r="J53" s="291"/>
      <c r="K53" s="330">
        <f t="shared" si="2"/>
        <v>-264628</v>
      </c>
      <c r="L53" s="606">
        <f t="shared" si="6"/>
        <v>-8603918</v>
      </c>
    </row>
    <row r="54" spans="1:12">
      <c r="A54" s="289">
        <v>43983</v>
      </c>
      <c r="B54" s="374">
        <f t="shared" si="3"/>
        <v>0</v>
      </c>
      <c r="C54" s="291"/>
      <c r="D54" s="463">
        <f t="shared" si="0"/>
        <v>0</v>
      </c>
      <c r="E54" s="291"/>
      <c r="F54" s="604">
        <f t="shared" si="5"/>
        <v>0</v>
      </c>
      <c r="G54" s="605">
        <f t="shared" si="4"/>
        <v>0</v>
      </c>
      <c r="H54" s="291"/>
      <c r="I54" s="323">
        <f t="shared" si="1"/>
        <v>0</v>
      </c>
      <c r="J54" s="291"/>
      <c r="K54" s="330">
        <f t="shared" si="2"/>
        <v>0</v>
      </c>
      <c r="L54" s="606">
        <f t="shared" si="6"/>
        <v>0</v>
      </c>
    </row>
    <row r="55" spans="1:12">
      <c r="A55" s="289">
        <v>44013</v>
      </c>
      <c r="B55" s="374">
        <f t="shared" si="3"/>
        <v>0</v>
      </c>
      <c r="C55" s="291"/>
      <c r="D55" s="463">
        <f t="shared" si="0"/>
        <v>0</v>
      </c>
      <c r="E55" s="291"/>
      <c r="F55" s="604">
        <f t="shared" si="5"/>
        <v>0</v>
      </c>
      <c r="G55" s="605">
        <f t="shared" si="4"/>
        <v>0</v>
      </c>
      <c r="H55" s="291"/>
      <c r="I55" s="323">
        <f t="shared" si="1"/>
        <v>0</v>
      </c>
      <c r="J55" s="291"/>
      <c r="K55" s="330">
        <f t="shared" si="2"/>
        <v>0</v>
      </c>
      <c r="L55" s="606">
        <f t="shared" si="6"/>
        <v>0</v>
      </c>
    </row>
    <row r="56" spans="1:12">
      <c r="A56" s="289">
        <v>44044</v>
      </c>
      <c r="B56" s="374">
        <f t="shared" si="3"/>
        <v>0</v>
      </c>
      <c r="C56" s="291"/>
      <c r="D56" s="463">
        <f t="shared" si="0"/>
        <v>0</v>
      </c>
      <c r="E56" s="291"/>
      <c r="F56" s="604">
        <f t="shared" si="5"/>
        <v>0</v>
      </c>
      <c r="G56" s="605">
        <f t="shared" si="4"/>
        <v>0</v>
      </c>
      <c r="H56" s="291"/>
      <c r="I56" s="323">
        <f t="shared" si="1"/>
        <v>0</v>
      </c>
      <c r="J56" s="291"/>
      <c r="K56" s="330">
        <f t="shared" si="2"/>
        <v>0</v>
      </c>
      <c r="L56" s="606">
        <f t="shared" si="6"/>
        <v>0</v>
      </c>
    </row>
    <row r="57" spans="1:12">
      <c r="A57" s="289">
        <v>44075</v>
      </c>
      <c r="B57" s="374">
        <f t="shared" si="3"/>
        <v>0</v>
      </c>
      <c r="C57" s="291"/>
      <c r="D57" s="463">
        <f t="shared" si="0"/>
        <v>0</v>
      </c>
      <c r="E57" s="291"/>
      <c r="F57" s="604">
        <f t="shared" si="5"/>
        <v>0</v>
      </c>
      <c r="G57" s="605">
        <f t="shared" si="4"/>
        <v>0</v>
      </c>
      <c r="H57" s="291"/>
      <c r="I57" s="323">
        <f t="shared" si="1"/>
        <v>0</v>
      </c>
      <c r="J57" s="291"/>
      <c r="K57" s="330">
        <f t="shared" si="2"/>
        <v>0</v>
      </c>
      <c r="L57" s="606">
        <f t="shared" si="6"/>
        <v>0</v>
      </c>
    </row>
    <row r="58" spans="1:12">
      <c r="A58" s="289">
        <v>44105</v>
      </c>
      <c r="B58" s="374">
        <f t="shared" si="3"/>
        <v>0</v>
      </c>
      <c r="C58" s="291"/>
      <c r="D58" s="463">
        <f t="shared" si="0"/>
        <v>0</v>
      </c>
      <c r="E58" s="291"/>
      <c r="F58" s="604">
        <f t="shared" si="5"/>
        <v>0</v>
      </c>
      <c r="G58" s="605">
        <f t="shared" si="4"/>
        <v>0</v>
      </c>
      <c r="H58" s="291"/>
      <c r="I58" s="323">
        <f t="shared" si="1"/>
        <v>0</v>
      </c>
      <c r="J58" s="291"/>
      <c r="K58" s="330">
        <f t="shared" si="2"/>
        <v>0</v>
      </c>
      <c r="L58" s="606">
        <f t="shared" si="6"/>
        <v>0</v>
      </c>
    </row>
    <row r="59" spans="1:12">
      <c r="A59" s="289">
        <v>44136</v>
      </c>
      <c r="B59" s="374">
        <f t="shared" si="3"/>
        <v>0</v>
      </c>
      <c r="C59" s="291"/>
      <c r="D59" s="463">
        <f t="shared" si="0"/>
        <v>0</v>
      </c>
      <c r="E59" s="291"/>
      <c r="F59" s="604">
        <f t="shared" si="5"/>
        <v>0</v>
      </c>
      <c r="G59" s="605">
        <f t="shared" si="4"/>
        <v>0</v>
      </c>
      <c r="H59" s="291"/>
      <c r="I59" s="323">
        <f t="shared" si="1"/>
        <v>0</v>
      </c>
      <c r="J59" s="291"/>
      <c r="K59" s="330">
        <f t="shared" si="2"/>
        <v>0</v>
      </c>
      <c r="L59" s="606">
        <f t="shared" si="6"/>
        <v>0</v>
      </c>
    </row>
    <row r="60" spans="1:12">
      <c r="A60" s="289">
        <v>44166</v>
      </c>
      <c r="B60" s="374">
        <f t="shared" si="3"/>
        <v>0</v>
      </c>
      <c r="C60" s="291"/>
      <c r="D60" s="463">
        <f t="shared" si="0"/>
        <v>0</v>
      </c>
      <c r="E60" s="291"/>
      <c r="F60" s="604">
        <f t="shared" si="5"/>
        <v>0</v>
      </c>
      <c r="G60" s="605">
        <f t="shared" si="4"/>
        <v>0</v>
      </c>
      <c r="H60" s="291"/>
      <c r="I60" s="323">
        <f t="shared" si="1"/>
        <v>0</v>
      </c>
      <c r="J60" s="291"/>
      <c r="K60" s="330">
        <f t="shared" si="2"/>
        <v>0</v>
      </c>
      <c r="L60" s="606">
        <f t="shared" si="6"/>
        <v>0</v>
      </c>
    </row>
    <row r="61" spans="1:12">
      <c r="A61" s="289">
        <v>44197</v>
      </c>
      <c r="B61" s="374">
        <f t="shared" si="3"/>
        <v>0</v>
      </c>
      <c r="C61" s="291"/>
      <c r="D61" s="463">
        <f t="shared" si="0"/>
        <v>0</v>
      </c>
      <c r="E61" s="291"/>
      <c r="F61" s="604">
        <f t="shared" si="5"/>
        <v>0</v>
      </c>
      <c r="G61" s="605">
        <f t="shared" si="4"/>
        <v>0</v>
      </c>
      <c r="H61" s="291"/>
      <c r="I61" s="323">
        <f t="shared" si="1"/>
        <v>0</v>
      </c>
      <c r="J61" s="291"/>
      <c r="K61" s="330">
        <f t="shared" si="2"/>
        <v>0</v>
      </c>
      <c r="L61" s="606">
        <f t="shared" si="6"/>
        <v>0</v>
      </c>
    </row>
    <row r="62" spans="1:12">
      <c r="A62" s="289">
        <v>44228</v>
      </c>
      <c r="B62" s="374">
        <f t="shared" si="3"/>
        <v>0</v>
      </c>
      <c r="C62" s="291"/>
      <c r="D62" s="463">
        <f t="shared" si="0"/>
        <v>0</v>
      </c>
      <c r="E62" s="291"/>
      <c r="F62" s="604">
        <f t="shared" si="5"/>
        <v>0</v>
      </c>
      <c r="G62" s="605">
        <f t="shared" si="4"/>
        <v>0</v>
      </c>
      <c r="H62" s="291"/>
      <c r="I62" s="323">
        <f t="shared" si="1"/>
        <v>0</v>
      </c>
      <c r="J62" s="291"/>
      <c r="K62" s="330">
        <f t="shared" si="2"/>
        <v>0</v>
      </c>
      <c r="L62" s="606">
        <f t="shared" si="6"/>
        <v>0</v>
      </c>
    </row>
    <row r="63" spans="1:12">
      <c r="A63" s="289">
        <v>44256</v>
      </c>
      <c r="B63" s="374">
        <f t="shared" si="3"/>
        <v>0</v>
      </c>
      <c r="C63" s="291"/>
      <c r="D63" s="463">
        <f t="shared" si="0"/>
        <v>0</v>
      </c>
      <c r="E63" s="291"/>
      <c r="F63" s="604">
        <f t="shared" si="5"/>
        <v>0</v>
      </c>
      <c r="G63" s="605">
        <f t="shared" si="4"/>
        <v>0</v>
      </c>
      <c r="H63" s="291"/>
      <c r="I63" s="323">
        <f t="shared" si="1"/>
        <v>0</v>
      </c>
      <c r="J63" s="291"/>
      <c r="K63" s="330">
        <f t="shared" si="2"/>
        <v>0</v>
      </c>
      <c r="L63" s="606">
        <f t="shared" si="6"/>
        <v>0</v>
      </c>
    </row>
    <row r="64" spans="1:12">
      <c r="A64" s="289">
        <v>44287</v>
      </c>
      <c r="B64" s="374">
        <f t="shared" si="3"/>
        <v>0</v>
      </c>
      <c r="C64" s="291"/>
      <c r="D64" s="463">
        <f t="shared" si="0"/>
        <v>0</v>
      </c>
      <c r="E64" s="291"/>
      <c r="F64" s="604">
        <f t="shared" si="5"/>
        <v>0</v>
      </c>
      <c r="G64" s="605">
        <f t="shared" si="4"/>
        <v>0</v>
      </c>
      <c r="H64" s="291"/>
      <c r="I64" s="323">
        <f t="shared" si="1"/>
        <v>0</v>
      </c>
      <c r="J64" s="291"/>
      <c r="K64" s="330">
        <f t="shared" si="2"/>
        <v>0</v>
      </c>
      <c r="L64" s="606">
        <f t="shared" si="6"/>
        <v>0</v>
      </c>
    </row>
    <row r="65" spans="1:12">
      <c r="A65" s="289">
        <v>44317</v>
      </c>
      <c r="B65" s="374">
        <f t="shared" si="3"/>
        <v>0</v>
      </c>
      <c r="C65" s="291"/>
      <c r="D65" s="463">
        <f t="shared" si="0"/>
        <v>0</v>
      </c>
      <c r="E65" s="291"/>
      <c r="F65" s="604">
        <f t="shared" si="5"/>
        <v>0</v>
      </c>
      <c r="G65" s="605">
        <f t="shared" si="4"/>
        <v>0</v>
      </c>
      <c r="H65" s="291"/>
      <c r="I65" s="323">
        <f t="shared" si="1"/>
        <v>0</v>
      </c>
      <c r="J65" s="291"/>
      <c r="K65" s="330">
        <f t="shared" si="2"/>
        <v>0</v>
      </c>
      <c r="L65" s="606">
        <f t="shared" si="6"/>
        <v>0</v>
      </c>
    </row>
    <row r="66" spans="1:12" ht="12.75" customHeight="1">
      <c r="A66" s="289">
        <v>44348</v>
      </c>
      <c r="B66" s="374">
        <f t="shared" si="3"/>
        <v>0</v>
      </c>
      <c r="C66" s="291"/>
      <c r="D66" s="463">
        <f t="shared" si="0"/>
        <v>0</v>
      </c>
      <c r="E66" s="291"/>
      <c r="F66" s="604">
        <f t="shared" si="5"/>
        <v>0</v>
      </c>
      <c r="G66" s="605">
        <f t="shared" si="4"/>
        <v>0</v>
      </c>
      <c r="H66" s="291"/>
      <c r="I66" s="323">
        <f t="shared" si="1"/>
        <v>0</v>
      </c>
      <c r="J66" s="291"/>
      <c r="K66" s="330">
        <f t="shared" si="2"/>
        <v>0</v>
      </c>
      <c r="L66" s="606">
        <f t="shared" si="6"/>
        <v>0</v>
      </c>
    </row>
    <row r="67" spans="1:12" ht="13.5" customHeight="1">
      <c r="A67" s="289">
        <v>44378</v>
      </c>
      <c r="B67" s="374">
        <f t="shared" si="3"/>
        <v>0</v>
      </c>
      <c r="C67" s="291"/>
      <c r="D67" s="463">
        <f t="shared" si="0"/>
        <v>0</v>
      </c>
      <c r="E67" s="291"/>
      <c r="F67" s="604">
        <f t="shared" si="5"/>
        <v>0</v>
      </c>
      <c r="G67" s="605">
        <f t="shared" si="4"/>
        <v>0</v>
      </c>
      <c r="H67" s="291"/>
      <c r="I67" s="323">
        <f t="shared" si="1"/>
        <v>0</v>
      </c>
      <c r="J67" s="291"/>
      <c r="K67" s="330">
        <f t="shared" si="2"/>
        <v>0</v>
      </c>
      <c r="L67" s="606">
        <f t="shared" si="6"/>
        <v>0</v>
      </c>
    </row>
    <row r="68" spans="1:12">
      <c r="A68" s="289">
        <v>44409</v>
      </c>
      <c r="B68" s="374">
        <f t="shared" si="3"/>
        <v>0</v>
      </c>
      <c r="C68" s="291"/>
      <c r="D68" s="463">
        <f t="shared" ref="D68:D87" si="7">C68-B68</f>
        <v>0</v>
      </c>
      <c r="E68" s="291"/>
      <c r="F68" s="604">
        <f t="shared" si="5"/>
        <v>0</v>
      </c>
      <c r="G68" s="605">
        <f t="shared" si="4"/>
        <v>0</v>
      </c>
      <c r="H68" s="291"/>
      <c r="I68" s="323">
        <f t="shared" ref="I68:I87" si="8">H68-G68</f>
        <v>0</v>
      </c>
      <c r="J68" s="291"/>
      <c r="K68" s="330">
        <f t="shared" ref="K68:K87" si="9">I68-J68</f>
        <v>0</v>
      </c>
      <c r="L68" s="606">
        <f t="shared" si="6"/>
        <v>0</v>
      </c>
    </row>
    <row r="69" spans="1:12">
      <c r="A69" s="289">
        <v>44440</v>
      </c>
      <c r="B69" s="374">
        <f t="shared" ref="B69:B87" si="10">C68</f>
        <v>0</v>
      </c>
      <c r="C69" s="291"/>
      <c r="D69" s="463">
        <f t="shared" si="7"/>
        <v>0</v>
      </c>
      <c r="E69" s="291"/>
      <c r="F69" s="604">
        <f t="shared" si="5"/>
        <v>0</v>
      </c>
      <c r="G69" s="605">
        <f t="shared" ref="G69:G87" si="11">H68</f>
        <v>0</v>
      </c>
      <c r="H69" s="291"/>
      <c r="I69" s="323">
        <f t="shared" si="8"/>
        <v>0</v>
      </c>
      <c r="J69" s="291"/>
      <c r="K69" s="330">
        <f t="shared" si="9"/>
        <v>0</v>
      </c>
      <c r="L69" s="606">
        <f t="shared" si="6"/>
        <v>0</v>
      </c>
    </row>
    <row r="70" spans="1:12">
      <c r="A70" s="289">
        <v>44470</v>
      </c>
      <c r="B70" s="374">
        <f t="shared" si="10"/>
        <v>0</v>
      </c>
      <c r="C70" s="291"/>
      <c r="D70" s="463">
        <f t="shared" si="7"/>
        <v>0</v>
      </c>
      <c r="E70" s="291"/>
      <c r="F70" s="604">
        <f t="shared" si="5"/>
        <v>0</v>
      </c>
      <c r="G70" s="605">
        <f t="shared" si="11"/>
        <v>0</v>
      </c>
      <c r="H70" s="291"/>
      <c r="I70" s="323">
        <f t="shared" si="8"/>
        <v>0</v>
      </c>
      <c r="J70" s="291"/>
      <c r="K70" s="330">
        <f t="shared" si="9"/>
        <v>0</v>
      </c>
      <c r="L70" s="606">
        <f t="shared" si="6"/>
        <v>0</v>
      </c>
    </row>
    <row r="71" spans="1:12">
      <c r="A71" s="289">
        <v>44501</v>
      </c>
      <c r="B71" s="374">
        <f t="shared" si="10"/>
        <v>0</v>
      </c>
      <c r="C71" s="291"/>
      <c r="D71" s="463">
        <f t="shared" si="7"/>
        <v>0</v>
      </c>
      <c r="E71" s="291"/>
      <c r="F71" s="604">
        <f t="shared" si="5"/>
        <v>0</v>
      </c>
      <c r="G71" s="605">
        <f t="shared" si="11"/>
        <v>0</v>
      </c>
      <c r="H71" s="291"/>
      <c r="I71" s="323">
        <f t="shared" si="8"/>
        <v>0</v>
      </c>
      <c r="J71" s="291"/>
      <c r="K71" s="330">
        <f t="shared" si="9"/>
        <v>0</v>
      </c>
      <c r="L71" s="606">
        <f t="shared" si="6"/>
        <v>0</v>
      </c>
    </row>
    <row r="72" spans="1:12">
      <c r="A72" s="289">
        <v>44531</v>
      </c>
      <c r="B72" s="374">
        <f t="shared" si="10"/>
        <v>0</v>
      </c>
      <c r="C72" s="291"/>
      <c r="D72" s="463">
        <f t="shared" si="7"/>
        <v>0</v>
      </c>
      <c r="E72" s="291"/>
      <c r="F72" s="604">
        <f t="shared" ref="F72:F87" si="12">D72-E72</f>
        <v>0</v>
      </c>
      <c r="G72" s="605">
        <f t="shared" si="11"/>
        <v>0</v>
      </c>
      <c r="H72" s="291"/>
      <c r="I72" s="323">
        <f t="shared" si="8"/>
        <v>0</v>
      </c>
      <c r="J72" s="291"/>
      <c r="K72" s="330">
        <f t="shared" si="9"/>
        <v>0</v>
      </c>
      <c r="L72" s="606">
        <f t="shared" si="6"/>
        <v>0</v>
      </c>
    </row>
    <row r="73" spans="1:12">
      <c r="A73" s="289">
        <v>44562</v>
      </c>
      <c r="B73" s="374">
        <f t="shared" si="10"/>
        <v>0</v>
      </c>
      <c r="C73" s="291"/>
      <c r="D73" s="463">
        <f t="shared" si="7"/>
        <v>0</v>
      </c>
      <c r="E73" s="291"/>
      <c r="F73" s="604">
        <f t="shared" si="12"/>
        <v>0</v>
      </c>
      <c r="G73" s="605">
        <f t="shared" si="11"/>
        <v>0</v>
      </c>
      <c r="H73" s="291"/>
      <c r="I73" s="323">
        <f t="shared" si="8"/>
        <v>0</v>
      </c>
      <c r="J73" s="291"/>
      <c r="K73" s="330">
        <f t="shared" si="9"/>
        <v>0</v>
      </c>
      <c r="L73" s="606">
        <f t="shared" si="6"/>
        <v>0</v>
      </c>
    </row>
    <row r="74" spans="1:12">
      <c r="A74" s="289">
        <v>44593</v>
      </c>
      <c r="B74" s="374">
        <f t="shared" si="10"/>
        <v>0</v>
      </c>
      <c r="C74" s="291"/>
      <c r="D74" s="463">
        <f t="shared" si="7"/>
        <v>0</v>
      </c>
      <c r="E74" s="291"/>
      <c r="F74" s="604">
        <f t="shared" si="12"/>
        <v>0</v>
      </c>
      <c r="G74" s="605">
        <f t="shared" si="11"/>
        <v>0</v>
      </c>
      <c r="H74" s="291"/>
      <c r="I74" s="323">
        <f t="shared" si="8"/>
        <v>0</v>
      </c>
      <c r="J74" s="291"/>
      <c r="K74" s="330">
        <f t="shared" si="9"/>
        <v>0</v>
      </c>
      <c r="L74" s="606">
        <f t="shared" si="6"/>
        <v>0</v>
      </c>
    </row>
    <row r="75" spans="1:12">
      <c r="A75" s="289">
        <v>44621</v>
      </c>
      <c r="B75" s="374">
        <f t="shared" si="10"/>
        <v>0</v>
      </c>
      <c r="C75" s="291"/>
      <c r="D75" s="463">
        <f t="shared" si="7"/>
        <v>0</v>
      </c>
      <c r="E75" s="291"/>
      <c r="F75" s="604">
        <f t="shared" si="12"/>
        <v>0</v>
      </c>
      <c r="G75" s="605">
        <f t="shared" si="11"/>
        <v>0</v>
      </c>
      <c r="H75" s="291"/>
      <c r="I75" s="323">
        <f t="shared" si="8"/>
        <v>0</v>
      </c>
      <c r="J75" s="291"/>
      <c r="K75" s="330">
        <f t="shared" si="9"/>
        <v>0</v>
      </c>
      <c r="L75" s="606">
        <f t="shared" si="6"/>
        <v>0</v>
      </c>
    </row>
    <row r="76" spans="1:12">
      <c r="A76" s="289">
        <v>44652</v>
      </c>
      <c r="B76" s="374">
        <f t="shared" si="10"/>
        <v>0</v>
      </c>
      <c r="C76" s="291"/>
      <c r="D76" s="463">
        <f t="shared" si="7"/>
        <v>0</v>
      </c>
      <c r="E76" s="291"/>
      <c r="F76" s="604">
        <f t="shared" si="12"/>
        <v>0</v>
      </c>
      <c r="G76" s="605">
        <f t="shared" si="11"/>
        <v>0</v>
      </c>
      <c r="H76" s="291"/>
      <c r="I76" s="323">
        <f t="shared" si="8"/>
        <v>0</v>
      </c>
      <c r="J76" s="291"/>
      <c r="K76" s="330">
        <f t="shared" si="9"/>
        <v>0</v>
      </c>
      <c r="L76" s="606">
        <f t="shared" si="6"/>
        <v>0</v>
      </c>
    </row>
    <row r="77" spans="1:12">
      <c r="A77" s="289">
        <v>44682</v>
      </c>
      <c r="B77" s="374">
        <f t="shared" si="10"/>
        <v>0</v>
      </c>
      <c r="C77" s="291"/>
      <c r="D77" s="463">
        <f t="shared" si="7"/>
        <v>0</v>
      </c>
      <c r="E77" s="291"/>
      <c r="F77" s="604">
        <f t="shared" si="12"/>
        <v>0</v>
      </c>
      <c r="G77" s="605">
        <f t="shared" si="11"/>
        <v>0</v>
      </c>
      <c r="H77" s="291"/>
      <c r="I77" s="323">
        <f t="shared" si="8"/>
        <v>0</v>
      </c>
      <c r="J77" s="291"/>
      <c r="K77" s="330">
        <f t="shared" si="9"/>
        <v>0</v>
      </c>
      <c r="L77" s="606">
        <f t="shared" si="6"/>
        <v>0</v>
      </c>
    </row>
    <row r="78" spans="1:12">
      <c r="A78" s="289">
        <v>44713</v>
      </c>
      <c r="B78" s="374">
        <f t="shared" si="10"/>
        <v>0</v>
      </c>
      <c r="C78" s="291"/>
      <c r="D78" s="463">
        <f t="shared" si="7"/>
        <v>0</v>
      </c>
      <c r="E78" s="291"/>
      <c r="F78" s="604">
        <f t="shared" si="12"/>
        <v>0</v>
      </c>
      <c r="G78" s="605">
        <f t="shared" si="11"/>
        <v>0</v>
      </c>
      <c r="H78" s="291"/>
      <c r="I78" s="323">
        <f t="shared" si="8"/>
        <v>0</v>
      </c>
      <c r="J78" s="291"/>
      <c r="K78" s="330">
        <f t="shared" si="9"/>
        <v>0</v>
      </c>
      <c r="L78" s="606">
        <f t="shared" si="6"/>
        <v>0</v>
      </c>
    </row>
    <row r="79" spans="1:12">
      <c r="A79" s="289">
        <v>44743</v>
      </c>
      <c r="B79" s="374">
        <f t="shared" si="10"/>
        <v>0</v>
      </c>
      <c r="C79" s="291"/>
      <c r="D79" s="463">
        <f t="shared" si="7"/>
        <v>0</v>
      </c>
      <c r="E79" s="291"/>
      <c r="F79" s="604">
        <f t="shared" si="12"/>
        <v>0</v>
      </c>
      <c r="G79" s="605">
        <f t="shared" si="11"/>
        <v>0</v>
      </c>
      <c r="H79" s="291"/>
      <c r="I79" s="323">
        <f t="shared" si="8"/>
        <v>0</v>
      </c>
      <c r="J79" s="291"/>
      <c r="K79" s="330">
        <f t="shared" si="9"/>
        <v>0</v>
      </c>
      <c r="L79" s="606">
        <f t="shared" si="6"/>
        <v>0</v>
      </c>
    </row>
    <row r="80" spans="1:12">
      <c r="A80" s="289">
        <v>44774</v>
      </c>
      <c r="B80" s="374">
        <f t="shared" si="10"/>
        <v>0</v>
      </c>
      <c r="C80" s="291"/>
      <c r="D80" s="463">
        <f t="shared" si="7"/>
        <v>0</v>
      </c>
      <c r="E80" s="291"/>
      <c r="F80" s="604">
        <f t="shared" si="12"/>
        <v>0</v>
      </c>
      <c r="G80" s="605">
        <f t="shared" si="11"/>
        <v>0</v>
      </c>
      <c r="H80" s="291"/>
      <c r="I80" s="323">
        <f t="shared" si="8"/>
        <v>0</v>
      </c>
      <c r="J80" s="291"/>
      <c r="K80" s="330">
        <f t="shared" si="9"/>
        <v>0</v>
      </c>
      <c r="L80" s="606">
        <f t="shared" si="6"/>
        <v>0</v>
      </c>
    </row>
    <row r="81" spans="1:12">
      <c r="A81" s="289">
        <v>44805</v>
      </c>
      <c r="B81" s="374">
        <f t="shared" si="10"/>
        <v>0</v>
      </c>
      <c r="C81" s="291"/>
      <c r="D81" s="463">
        <f t="shared" si="7"/>
        <v>0</v>
      </c>
      <c r="E81" s="291"/>
      <c r="F81" s="604">
        <f t="shared" si="12"/>
        <v>0</v>
      </c>
      <c r="G81" s="605">
        <f t="shared" si="11"/>
        <v>0</v>
      </c>
      <c r="H81" s="291"/>
      <c r="I81" s="323">
        <f t="shared" si="8"/>
        <v>0</v>
      </c>
      <c r="J81" s="291"/>
      <c r="K81" s="330">
        <f t="shared" si="9"/>
        <v>0</v>
      </c>
      <c r="L81" s="606">
        <f t="shared" si="6"/>
        <v>0</v>
      </c>
    </row>
    <row r="82" spans="1:12">
      <c r="A82" s="289">
        <v>44835</v>
      </c>
      <c r="B82" s="374">
        <f t="shared" si="10"/>
        <v>0</v>
      </c>
      <c r="C82" s="291"/>
      <c r="D82" s="463">
        <f t="shared" si="7"/>
        <v>0</v>
      </c>
      <c r="E82" s="291"/>
      <c r="F82" s="604">
        <f t="shared" si="12"/>
        <v>0</v>
      </c>
      <c r="G82" s="605">
        <f t="shared" si="11"/>
        <v>0</v>
      </c>
      <c r="H82" s="291"/>
      <c r="I82" s="323">
        <f t="shared" si="8"/>
        <v>0</v>
      </c>
      <c r="J82" s="291"/>
      <c r="K82" s="330">
        <f t="shared" si="9"/>
        <v>0</v>
      </c>
      <c r="L82" s="606">
        <f t="shared" si="6"/>
        <v>0</v>
      </c>
    </row>
    <row r="83" spans="1:12">
      <c r="A83" s="289">
        <v>44866</v>
      </c>
      <c r="B83" s="374">
        <f t="shared" si="10"/>
        <v>0</v>
      </c>
      <c r="C83" s="291"/>
      <c r="D83" s="463">
        <f t="shared" si="7"/>
        <v>0</v>
      </c>
      <c r="E83" s="291"/>
      <c r="F83" s="604">
        <f t="shared" si="12"/>
        <v>0</v>
      </c>
      <c r="G83" s="605">
        <f t="shared" si="11"/>
        <v>0</v>
      </c>
      <c r="H83" s="291"/>
      <c r="I83" s="323">
        <f t="shared" si="8"/>
        <v>0</v>
      </c>
      <c r="J83" s="291"/>
      <c r="K83" s="330">
        <f t="shared" si="9"/>
        <v>0</v>
      </c>
      <c r="L83" s="606">
        <f t="shared" si="6"/>
        <v>0</v>
      </c>
    </row>
    <row r="84" spans="1:12">
      <c r="A84" s="289">
        <v>44896</v>
      </c>
      <c r="B84" s="374">
        <f t="shared" si="10"/>
        <v>0</v>
      </c>
      <c r="C84" s="291"/>
      <c r="D84" s="463">
        <f t="shared" si="7"/>
        <v>0</v>
      </c>
      <c r="E84" s="291"/>
      <c r="F84" s="604">
        <f t="shared" si="12"/>
        <v>0</v>
      </c>
      <c r="G84" s="605">
        <f t="shared" si="11"/>
        <v>0</v>
      </c>
      <c r="H84" s="291"/>
      <c r="I84" s="323">
        <f t="shared" si="8"/>
        <v>0</v>
      </c>
      <c r="J84" s="291"/>
      <c r="K84" s="330">
        <f t="shared" si="9"/>
        <v>0</v>
      </c>
      <c r="L84" s="606">
        <f t="shared" si="6"/>
        <v>0</v>
      </c>
    </row>
    <row r="85" spans="1:12">
      <c r="A85" s="289">
        <v>44927</v>
      </c>
      <c r="B85" s="374">
        <f t="shared" si="10"/>
        <v>0</v>
      </c>
      <c r="C85" s="291"/>
      <c r="D85" s="463">
        <f t="shared" si="7"/>
        <v>0</v>
      </c>
      <c r="E85" s="291"/>
      <c r="F85" s="604">
        <f t="shared" si="12"/>
        <v>0</v>
      </c>
      <c r="G85" s="605">
        <f t="shared" si="11"/>
        <v>0</v>
      </c>
      <c r="H85" s="291"/>
      <c r="I85" s="323">
        <f t="shared" si="8"/>
        <v>0</v>
      </c>
      <c r="J85" s="291"/>
      <c r="K85" s="330">
        <f t="shared" si="9"/>
        <v>0</v>
      </c>
      <c r="L85" s="606">
        <f t="shared" ref="L85:L87" si="13">I85+D85</f>
        <v>0</v>
      </c>
    </row>
    <row r="86" spans="1:12">
      <c r="A86" s="289">
        <v>44958</v>
      </c>
      <c r="B86" s="374">
        <f t="shared" si="10"/>
        <v>0</v>
      </c>
      <c r="C86" s="291"/>
      <c r="D86" s="463">
        <f t="shared" si="7"/>
        <v>0</v>
      </c>
      <c r="E86" s="291"/>
      <c r="F86" s="604">
        <f t="shared" si="12"/>
        <v>0</v>
      </c>
      <c r="G86" s="605">
        <f t="shared" si="11"/>
        <v>0</v>
      </c>
      <c r="H86" s="291"/>
      <c r="I86" s="323">
        <f t="shared" si="8"/>
        <v>0</v>
      </c>
      <c r="J86" s="291"/>
      <c r="K86" s="330">
        <f t="shared" si="9"/>
        <v>0</v>
      </c>
      <c r="L86" s="606">
        <f t="shared" si="13"/>
        <v>0</v>
      </c>
    </row>
    <row r="87" spans="1:12" ht="13.5" thickBot="1">
      <c r="A87" s="289">
        <v>44986</v>
      </c>
      <c r="B87" s="647">
        <f t="shared" si="10"/>
        <v>0</v>
      </c>
      <c r="C87" s="551"/>
      <c r="D87" s="648">
        <f t="shared" si="7"/>
        <v>0</v>
      </c>
      <c r="E87" s="551"/>
      <c r="F87" s="649">
        <f t="shared" si="12"/>
        <v>0</v>
      </c>
      <c r="G87" s="650">
        <f t="shared" si="11"/>
        <v>0</v>
      </c>
      <c r="H87" s="551"/>
      <c r="I87" s="651">
        <f t="shared" si="8"/>
        <v>0</v>
      </c>
      <c r="J87" s="551"/>
      <c r="K87" s="652">
        <f t="shared" si="9"/>
        <v>0</v>
      </c>
      <c r="L87" s="653">
        <f t="shared" si="13"/>
        <v>0</v>
      </c>
    </row>
  </sheetData>
  <mergeCells count="1">
    <mergeCell ref="A1:D1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J36"/>
  <sheetViews>
    <sheetView workbookViewId="0">
      <selection activeCell="O20" sqref="O20"/>
    </sheetView>
  </sheetViews>
  <sheetFormatPr defaultRowHeight="12.75"/>
  <cols>
    <col min="3" max="3" width="18" customWidth="1"/>
    <col min="4" max="10" width="17.5703125" customWidth="1"/>
  </cols>
  <sheetData>
    <row r="1" spans="1:10" ht="26.25">
      <c r="A1" s="900" t="s">
        <v>255</v>
      </c>
      <c r="B1" s="900"/>
      <c r="C1" s="900"/>
      <c r="D1" s="900"/>
      <c r="E1" s="900"/>
      <c r="F1" s="900"/>
      <c r="G1" s="900"/>
      <c r="H1" s="900"/>
      <c r="I1" s="900"/>
      <c r="J1" s="900"/>
    </row>
    <row r="2" spans="1:10" ht="19.5" thickBot="1">
      <c r="A2" s="909">
        <v>43952</v>
      </c>
      <c r="B2" s="910"/>
      <c r="C2" s="910"/>
      <c r="D2" s="910"/>
      <c r="E2" s="910"/>
      <c r="F2" s="910"/>
      <c r="G2" s="910"/>
      <c r="H2" s="910"/>
      <c r="I2" s="910"/>
      <c r="J2" s="910"/>
    </row>
    <row r="3" spans="1:10" ht="15.75" thickBot="1">
      <c r="A3" s="901" t="s">
        <v>7</v>
      </c>
      <c r="B3" s="903" t="s">
        <v>256</v>
      </c>
      <c r="C3" s="526"/>
      <c r="D3" s="905" t="s">
        <v>257</v>
      </c>
      <c r="E3" s="906"/>
      <c r="F3" s="907" t="s">
        <v>258</v>
      </c>
      <c r="G3" s="908"/>
      <c r="H3" s="906"/>
      <c r="I3" s="907" t="s">
        <v>259</v>
      </c>
      <c r="J3" s="906"/>
    </row>
    <row r="4" spans="1:10" ht="30.75" thickBot="1">
      <c r="A4" s="902"/>
      <c r="B4" s="904"/>
      <c r="C4" s="532" t="s">
        <v>304</v>
      </c>
      <c r="D4" s="464" t="s">
        <v>260</v>
      </c>
      <c r="E4" s="469" t="s">
        <v>3</v>
      </c>
      <c r="F4" s="464" t="s">
        <v>260</v>
      </c>
      <c r="G4" s="464" t="s">
        <v>261</v>
      </c>
      <c r="H4" s="464" t="s">
        <v>262</v>
      </c>
      <c r="I4" s="464" t="s">
        <v>17</v>
      </c>
      <c r="J4" s="464" t="s">
        <v>263</v>
      </c>
    </row>
    <row r="5" spans="1:10" ht="17.100000000000001" customHeight="1">
      <c r="A5" s="265">
        <v>43952</v>
      </c>
      <c r="B5" s="471">
        <f>Gen!C11</f>
        <v>0</v>
      </c>
      <c r="C5" s="530">
        <f>Gen!AK11</f>
        <v>0</v>
      </c>
      <c r="D5" s="531">
        <f>Gen!T11</f>
        <v>678.06999999999994</v>
      </c>
      <c r="E5" s="466">
        <f>Gen!D11</f>
        <v>43367.69</v>
      </c>
      <c r="F5" s="467">
        <f>'Water-Meter'!E6</f>
        <v>31</v>
      </c>
      <c r="G5" s="468">
        <f>'Water-Meter'!AN6</f>
        <v>46</v>
      </c>
      <c r="H5" s="466">
        <f>'Utility report '!AC6</f>
        <v>40</v>
      </c>
      <c r="I5" s="465">
        <f>'Kit report'!F4</f>
        <v>107.99999999995634</v>
      </c>
      <c r="J5" s="466">
        <f>'Kit report'!X4</f>
        <v>0</v>
      </c>
    </row>
    <row r="6" spans="1:10" ht="17.100000000000001" customHeight="1">
      <c r="A6" s="265">
        <v>43953</v>
      </c>
      <c r="B6" s="470">
        <f>Gen!C12</f>
        <v>0</v>
      </c>
      <c r="C6" s="530">
        <f>Gen!AK12</f>
        <v>0</v>
      </c>
      <c r="D6" s="531">
        <f>Gen!T12</f>
        <v>659.66</v>
      </c>
      <c r="E6" s="466">
        <f>Gen!D12</f>
        <v>42689.62</v>
      </c>
      <c r="F6" s="467">
        <f>'Water-Meter'!E7</f>
        <v>31</v>
      </c>
      <c r="G6" s="468">
        <f>'Water-Meter'!AN7</f>
        <v>46</v>
      </c>
      <c r="H6" s="466">
        <f>'Utility report '!AC7</f>
        <v>12</v>
      </c>
      <c r="I6" s="465">
        <f>'Kit report'!F5</f>
        <v>107.99999999995634</v>
      </c>
      <c r="J6" s="466">
        <f>'Kit report'!X5</f>
        <v>20.00000000007276</v>
      </c>
    </row>
    <row r="7" spans="1:10" ht="17.100000000000001" customHeight="1">
      <c r="A7" s="265">
        <v>43954</v>
      </c>
      <c r="B7" s="470">
        <f>Gen!C13</f>
        <v>0</v>
      </c>
      <c r="C7" s="530">
        <f>Gen!AK13</f>
        <v>0</v>
      </c>
      <c r="D7" s="531">
        <f>Gen!T13</f>
        <v>659.29</v>
      </c>
      <c r="E7" s="466">
        <f>Gen!D13</f>
        <v>42029.96</v>
      </c>
      <c r="F7" s="467">
        <f>'Water-Meter'!E8</f>
        <v>47</v>
      </c>
      <c r="G7" s="468">
        <f>'Water-Meter'!AN8</f>
        <v>49</v>
      </c>
      <c r="H7" s="466">
        <f>'Utility report '!AC8</f>
        <v>77</v>
      </c>
      <c r="I7" s="465">
        <f>'Kit report'!F6</f>
        <v>96.000000000130967</v>
      </c>
      <c r="J7" s="466">
        <f>'Kit report'!X6</f>
        <v>0</v>
      </c>
    </row>
    <row r="8" spans="1:10" ht="17.100000000000001" customHeight="1">
      <c r="A8" s="265">
        <v>43955</v>
      </c>
      <c r="B8" s="470">
        <f>Gen!C14</f>
        <v>0</v>
      </c>
      <c r="C8" s="530">
        <f>Gen!AK14</f>
        <v>2.33</v>
      </c>
      <c r="D8" s="531">
        <f>Gen!T14</f>
        <v>633.92999999999995</v>
      </c>
      <c r="E8" s="466">
        <f>Gen!D14</f>
        <v>41370.67</v>
      </c>
      <c r="F8" s="467">
        <f>'Water-Meter'!E9</f>
        <v>31</v>
      </c>
      <c r="G8" s="468">
        <f>'Water-Meter'!AN9</f>
        <v>42</v>
      </c>
      <c r="H8" s="466">
        <f>'Utility report '!AC9</f>
        <v>0</v>
      </c>
      <c r="I8" s="465">
        <f>'Kit report'!F7</f>
        <v>107.99999999995634</v>
      </c>
      <c r="J8" s="466">
        <f>'Kit report'!X7</f>
        <v>19.999999999890861</v>
      </c>
    </row>
    <row r="9" spans="1:10" ht="17.100000000000001" customHeight="1">
      <c r="A9" s="265">
        <v>43956</v>
      </c>
      <c r="B9" s="470">
        <f>Gen!C15</f>
        <v>0</v>
      </c>
      <c r="C9" s="530">
        <f>Gen!AK15</f>
        <v>0</v>
      </c>
      <c r="D9" s="531">
        <f>Gen!T15</f>
        <v>646.24</v>
      </c>
      <c r="E9" s="466">
        <f>Gen!D15</f>
        <v>40734.409999999996</v>
      </c>
      <c r="F9" s="467">
        <f>'Water-Meter'!E10</f>
        <v>30</v>
      </c>
      <c r="G9" s="468">
        <f>'Water-Meter'!AN10</f>
        <v>91</v>
      </c>
      <c r="H9" s="466">
        <f>'Utility report '!AC10</f>
        <v>68</v>
      </c>
      <c r="I9" s="465">
        <f>'Kit report'!F8</f>
        <v>95.999999999912689</v>
      </c>
      <c r="J9" s="466">
        <f>'Kit report'!X8</f>
        <v>0</v>
      </c>
    </row>
    <row r="10" spans="1:10" ht="17.100000000000001" customHeight="1">
      <c r="A10" s="265">
        <v>43957</v>
      </c>
      <c r="B10" s="470">
        <f>Gen!C16</f>
        <v>0</v>
      </c>
      <c r="C10" s="530">
        <f>Gen!AK16</f>
        <v>31.11</v>
      </c>
      <c r="D10" s="531">
        <f>Gen!T16</f>
        <v>627.88</v>
      </c>
      <c r="E10" s="466">
        <f>Gen!D16</f>
        <v>40088.17</v>
      </c>
      <c r="F10" s="467">
        <f>'Water-Meter'!E11</f>
        <v>33</v>
      </c>
      <c r="G10" s="468">
        <f>'Water-Meter'!AN11</f>
        <v>59</v>
      </c>
      <c r="H10" s="466">
        <f>'Utility report '!AC11</f>
        <v>36</v>
      </c>
      <c r="I10" s="465">
        <f>'Kit report'!F9</f>
        <v>84.000000000087311</v>
      </c>
      <c r="J10" s="466">
        <f>'Kit report'!X9</f>
        <v>20.00000000007276</v>
      </c>
    </row>
    <row r="11" spans="1:10" ht="17.100000000000001" customHeight="1">
      <c r="A11" s="265">
        <v>43958</v>
      </c>
      <c r="B11" s="470">
        <f>Gen!C17</f>
        <v>0</v>
      </c>
      <c r="C11" s="530">
        <f>Gen!AK17</f>
        <v>22.97</v>
      </c>
      <c r="D11" s="531">
        <f>Gen!T17</f>
        <v>637.52</v>
      </c>
      <c r="E11" s="466">
        <f>Gen!D17</f>
        <v>39429.18</v>
      </c>
      <c r="F11" s="467">
        <f>'Water-Meter'!E12</f>
        <v>41</v>
      </c>
      <c r="G11" s="468">
        <f>'Water-Meter'!AN12</f>
        <v>38</v>
      </c>
      <c r="H11" s="466">
        <f>'Utility report '!AC12</f>
        <v>0</v>
      </c>
      <c r="I11" s="465">
        <f>'Kit report'!F10</f>
        <v>95.999999999912689</v>
      </c>
      <c r="J11" s="466">
        <f>'Kit report'!X10</f>
        <v>19.999999999890861</v>
      </c>
    </row>
    <row r="12" spans="1:10" ht="17.100000000000001" customHeight="1">
      <c r="A12" s="265">
        <v>43959</v>
      </c>
      <c r="B12" s="470">
        <f>Gen!C18</f>
        <v>0</v>
      </c>
      <c r="C12" s="530">
        <f>Gen!AK18</f>
        <v>80.099999999999994</v>
      </c>
      <c r="D12" s="531">
        <f>Gen!T18</f>
        <v>692.82999999999993</v>
      </c>
      <c r="E12" s="466">
        <f>Gen!D18</f>
        <v>38768.69</v>
      </c>
      <c r="F12" s="467">
        <f>'Water-Meter'!E13</f>
        <v>37</v>
      </c>
      <c r="G12" s="468">
        <f>'Water-Meter'!AN13</f>
        <v>22</v>
      </c>
      <c r="H12" s="466">
        <f>'Utility report '!AC13</f>
        <v>70</v>
      </c>
      <c r="I12" s="465">
        <f>'Kit report'!F11</f>
        <v>107.99999999995634</v>
      </c>
      <c r="J12" s="466">
        <f>'Kit report'!X11</f>
        <v>40.000000000145519</v>
      </c>
    </row>
    <row r="13" spans="1:10" ht="17.100000000000001" customHeight="1">
      <c r="A13" s="265">
        <v>43960</v>
      </c>
      <c r="B13" s="470">
        <f>Gen!C19</f>
        <v>0</v>
      </c>
      <c r="C13" s="530">
        <f>Gen!AK19</f>
        <v>0</v>
      </c>
      <c r="D13" s="531">
        <f>Gen!T19</f>
        <v>662.1</v>
      </c>
      <c r="E13" s="466">
        <f>Gen!D19</f>
        <v>37995.760000000002</v>
      </c>
      <c r="F13" s="467">
        <f>'Water-Meter'!E14</f>
        <v>51</v>
      </c>
      <c r="G13" s="468">
        <f>'Water-Meter'!AN14</f>
        <v>22</v>
      </c>
      <c r="H13" s="466">
        <f>'Utility report '!AC14</f>
        <v>110</v>
      </c>
      <c r="I13" s="465">
        <f>'Kit report'!F12</f>
        <v>96.000000000130967</v>
      </c>
      <c r="J13" s="466">
        <f>'Kit report'!X12</f>
        <v>0</v>
      </c>
    </row>
    <row r="14" spans="1:10" ht="17.100000000000001" customHeight="1">
      <c r="A14" s="265">
        <v>43961</v>
      </c>
      <c r="B14" s="470">
        <f>Gen!C20</f>
        <v>0</v>
      </c>
      <c r="C14" s="530">
        <f>Gen!AK20</f>
        <v>0</v>
      </c>
      <c r="D14" s="531">
        <f>Gen!T20</f>
        <v>652.33000000000004</v>
      </c>
      <c r="E14" s="466">
        <f>Gen!D20</f>
        <v>37333.660000000003</v>
      </c>
      <c r="F14" s="467">
        <f>'Water-Meter'!E15</f>
        <v>51</v>
      </c>
      <c r="G14" s="468">
        <f>'Water-Meter'!AN15</f>
        <v>46</v>
      </c>
      <c r="H14" s="466">
        <f>'Utility report '!AC15</f>
        <v>0</v>
      </c>
      <c r="I14" s="465">
        <f>'Kit report'!F13</f>
        <v>95.999999999912689</v>
      </c>
      <c r="J14" s="466">
        <f>'Kit report'!X13</f>
        <v>0</v>
      </c>
    </row>
    <row r="15" spans="1:10" ht="17.100000000000001" customHeight="1">
      <c r="A15" s="265">
        <v>43962</v>
      </c>
      <c r="B15" s="470">
        <f>Gen!C21</f>
        <v>0</v>
      </c>
      <c r="C15" s="530">
        <f>Gen!AK21</f>
        <v>0</v>
      </c>
      <c r="D15" s="531">
        <f>Gen!T21</f>
        <v>675.39</v>
      </c>
      <c r="E15" s="466">
        <f>Gen!D21</f>
        <v>36681.33</v>
      </c>
      <c r="F15" s="467">
        <f>'Water-Meter'!E16</f>
        <v>56</v>
      </c>
      <c r="G15" s="468">
        <f>'Water-Meter'!AN16</f>
        <v>59</v>
      </c>
      <c r="H15" s="466">
        <f>'Utility report '!AC16</f>
        <v>0</v>
      </c>
      <c r="I15" s="465">
        <f>'Kit report'!F14</f>
        <v>107.99999999995634</v>
      </c>
      <c r="J15" s="466">
        <f>'Kit report'!X14</f>
        <v>0</v>
      </c>
    </row>
    <row r="16" spans="1:10" ht="17.100000000000001" customHeight="1">
      <c r="A16" s="265">
        <v>43963</v>
      </c>
      <c r="B16" s="470">
        <f>Gen!C22</f>
        <v>0</v>
      </c>
      <c r="C16" s="530">
        <f>Gen!AK22</f>
        <v>106.89</v>
      </c>
      <c r="D16" s="531">
        <f>Gen!T22</f>
        <v>719.01</v>
      </c>
      <c r="E16" s="466">
        <f>Gen!D22</f>
        <v>46005.94</v>
      </c>
      <c r="F16" s="467">
        <f>'Water-Meter'!E17</f>
        <v>58</v>
      </c>
      <c r="G16" s="468">
        <f>'Water-Meter'!AN17</f>
        <v>88</v>
      </c>
      <c r="H16" s="466">
        <f>'Utility report '!AC17</f>
        <v>71</v>
      </c>
      <c r="I16" s="465">
        <f>'Kit report'!F15</f>
        <v>96.000000000130967</v>
      </c>
      <c r="J16" s="466">
        <f>'Kit report'!X15</f>
        <v>19.999999999890861</v>
      </c>
    </row>
    <row r="17" spans="1:10" ht="17.100000000000001" customHeight="1">
      <c r="A17" s="265">
        <v>43964</v>
      </c>
      <c r="B17" s="470">
        <f>Gen!C23</f>
        <v>0</v>
      </c>
      <c r="C17" s="530">
        <f>Gen!AK23</f>
        <v>0</v>
      </c>
      <c r="D17" s="531">
        <f>Gen!T23</f>
        <v>656.19</v>
      </c>
      <c r="E17" s="466">
        <f>Gen!D23</f>
        <v>45180.04</v>
      </c>
      <c r="F17" s="467">
        <f>'Water-Meter'!E18</f>
        <v>41</v>
      </c>
      <c r="G17" s="468">
        <f>'Water-Meter'!AN18</f>
        <v>24</v>
      </c>
      <c r="H17" s="466">
        <f>'Utility report '!AC18</f>
        <v>0</v>
      </c>
      <c r="I17" s="465">
        <f>'Kit report'!F16</f>
        <v>107.99999999995634</v>
      </c>
      <c r="J17" s="466">
        <f>'Kit report'!X16</f>
        <v>0</v>
      </c>
    </row>
    <row r="18" spans="1:10" ht="17.100000000000001" customHeight="1">
      <c r="A18" s="265">
        <v>43965</v>
      </c>
      <c r="B18" s="470">
        <f>Gen!C24</f>
        <v>0</v>
      </c>
      <c r="C18" s="530">
        <f>Gen!AK24</f>
        <v>0</v>
      </c>
      <c r="D18" s="531">
        <f>Gen!T24</f>
        <v>633.07999999999993</v>
      </c>
      <c r="E18" s="466">
        <f>Gen!D24</f>
        <v>44523.85</v>
      </c>
      <c r="F18" s="467">
        <f>'Water-Meter'!E19</f>
        <v>33</v>
      </c>
      <c r="G18" s="468">
        <f>'Water-Meter'!AN19</f>
        <v>63</v>
      </c>
      <c r="H18" s="466">
        <f>'Utility report '!AC19</f>
        <v>0</v>
      </c>
      <c r="I18" s="465">
        <f>'Kit report'!F17</f>
        <v>107.99999999995634</v>
      </c>
      <c r="J18" s="466">
        <f>'Kit report'!X17</f>
        <v>0</v>
      </c>
    </row>
    <row r="19" spans="1:10" ht="17.100000000000001" customHeight="1">
      <c r="A19" s="265">
        <v>43966</v>
      </c>
      <c r="B19" s="470">
        <f>Gen!C25</f>
        <v>0</v>
      </c>
      <c r="C19" s="530">
        <f>Gen!AK25</f>
        <v>0</v>
      </c>
      <c r="D19" s="531">
        <f>Gen!T25</f>
        <v>0</v>
      </c>
      <c r="E19" s="466">
        <f>Gen!D25</f>
        <v>43890.77</v>
      </c>
      <c r="F19" s="467" t="str">
        <f>'Water-Meter'!E20</f>
        <v>0</v>
      </c>
      <c r="G19" s="468">
        <f>'Water-Meter'!AN20</f>
        <v>0</v>
      </c>
      <c r="H19" s="466">
        <f>'Utility report '!AC20</f>
        <v>0</v>
      </c>
      <c r="I19" s="465">
        <f>'Kit report'!F18</f>
        <v>-1041408</v>
      </c>
      <c r="J19" s="466">
        <f>'Kit report'!X18</f>
        <v>-1561040</v>
      </c>
    </row>
    <row r="20" spans="1:10" ht="17.100000000000001" customHeight="1">
      <c r="A20" s="265">
        <v>43967</v>
      </c>
      <c r="B20" s="470">
        <f>Gen!C26</f>
        <v>0</v>
      </c>
      <c r="C20" s="530">
        <f>Gen!AK26</f>
        <v>0</v>
      </c>
      <c r="D20" s="531">
        <f>Gen!T26</f>
        <v>0</v>
      </c>
      <c r="E20" s="466">
        <f>Gen!D26</f>
        <v>43890.77</v>
      </c>
      <c r="F20" s="467">
        <f>'Water-Meter'!E21</f>
        <v>0</v>
      </c>
      <c r="G20" s="468">
        <f>'Water-Meter'!AN21</f>
        <v>0</v>
      </c>
      <c r="H20" s="466">
        <f>'Utility report '!AC21</f>
        <v>0</v>
      </c>
      <c r="I20" s="465">
        <f>'Kit report'!F19</f>
        <v>0</v>
      </c>
      <c r="J20" s="466">
        <f>'Kit report'!X19</f>
        <v>0</v>
      </c>
    </row>
    <row r="21" spans="1:10" ht="15">
      <c r="A21" s="265">
        <v>43968</v>
      </c>
      <c r="B21" s="470">
        <f>Gen!C27</f>
        <v>0</v>
      </c>
      <c r="C21" s="530">
        <f>Gen!AK27</f>
        <v>0</v>
      </c>
      <c r="D21" s="531">
        <f>Gen!T27</f>
        <v>0</v>
      </c>
      <c r="E21" s="466">
        <f>Gen!D27</f>
        <v>43890.77</v>
      </c>
      <c r="F21" s="467">
        <f>'Water-Meter'!E22</f>
        <v>0</v>
      </c>
      <c r="G21" s="468">
        <f>'Water-Meter'!AN22</f>
        <v>0</v>
      </c>
      <c r="H21" s="466">
        <f>'Utility report '!AC22</f>
        <v>0</v>
      </c>
      <c r="I21" s="465">
        <f>'Kit report'!F20</f>
        <v>0</v>
      </c>
      <c r="J21" s="466">
        <f>'Kit report'!X20</f>
        <v>0</v>
      </c>
    </row>
    <row r="22" spans="1:10" ht="15" customHeight="1">
      <c r="A22" s="265">
        <v>43969</v>
      </c>
      <c r="B22" s="470">
        <f>Gen!C28</f>
        <v>0</v>
      </c>
      <c r="C22" s="530">
        <f>Gen!AK28</f>
        <v>0</v>
      </c>
      <c r="D22" s="531">
        <f>Gen!T28</f>
        <v>0</v>
      </c>
      <c r="E22" s="466">
        <f>Gen!D28</f>
        <v>43890.77</v>
      </c>
      <c r="F22" s="467">
        <f>'Water-Meter'!E23</f>
        <v>0</v>
      </c>
      <c r="G22" s="468">
        <f>'Water-Meter'!AN23</f>
        <v>0</v>
      </c>
      <c r="H22" s="466">
        <f>'Utility report '!AC23</f>
        <v>0</v>
      </c>
      <c r="I22" s="465">
        <f>'Kit report'!F21</f>
        <v>0</v>
      </c>
      <c r="J22" s="466">
        <f>'Kit report'!X21</f>
        <v>0</v>
      </c>
    </row>
    <row r="23" spans="1:10" ht="15" customHeight="1">
      <c r="A23" s="265">
        <v>43970</v>
      </c>
      <c r="B23" s="470">
        <f>Gen!C29</f>
        <v>0</v>
      </c>
      <c r="C23" s="530">
        <f>Gen!AK29</f>
        <v>0</v>
      </c>
      <c r="D23" s="531">
        <f>Gen!T29</f>
        <v>0</v>
      </c>
      <c r="E23" s="466">
        <f>Gen!D29</f>
        <v>43890.77</v>
      </c>
      <c r="F23" s="467">
        <f>'Water-Meter'!E24</f>
        <v>0</v>
      </c>
      <c r="G23" s="468">
        <f>'Water-Meter'!AN24</f>
        <v>0</v>
      </c>
      <c r="H23" s="466">
        <f>'Utility report '!AC24</f>
        <v>0</v>
      </c>
      <c r="I23" s="465">
        <f>'Kit report'!F22</f>
        <v>0</v>
      </c>
      <c r="J23" s="466">
        <f>'Kit report'!X22</f>
        <v>0</v>
      </c>
    </row>
    <row r="24" spans="1:10" ht="15" customHeight="1">
      <c r="A24" s="265">
        <v>43971</v>
      </c>
      <c r="B24" s="470">
        <f>Gen!C30</f>
        <v>0</v>
      </c>
      <c r="C24" s="530">
        <f>Gen!AK30</f>
        <v>0</v>
      </c>
      <c r="D24" s="531">
        <f>Gen!T30</f>
        <v>0</v>
      </c>
      <c r="E24" s="466">
        <f>Gen!D30</f>
        <v>43890.77</v>
      </c>
      <c r="F24" s="467">
        <f>'Water-Meter'!E25</f>
        <v>0</v>
      </c>
      <c r="G24" s="468">
        <f>'Water-Meter'!AN25</f>
        <v>0</v>
      </c>
      <c r="H24" s="466">
        <f>'Utility report '!AC25</f>
        <v>0</v>
      </c>
      <c r="I24" s="465">
        <f>'Kit report'!F23</f>
        <v>0</v>
      </c>
      <c r="J24" s="466">
        <f>'Kit report'!X23</f>
        <v>0</v>
      </c>
    </row>
    <row r="25" spans="1:10" ht="15" customHeight="1">
      <c r="A25" s="265">
        <v>43972</v>
      </c>
      <c r="B25" s="470">
        <f>Gen!C31</f>
        <v>0</v>
      </c>
      <c r="C25" s="530">
        <f>Gen!AK31</f>
        <v>0</v>
      </c>
      <c r="D25" s="531">
        <f>Gen!T31</f>
        <v>0</v>
      </c>
      <c r="E25" s="466">
        <f>Gen!D31</f>
        <v>43890.77</v>
      </c>
      <c r="F25" s="467">
        <f>'Water-Meter'!E26</f>
        <v>0</v>
      </c>
      <c r="G25" s="468">
        <f>'Water-Meter'!AN26</f>
        <v>0</v>
      </c>
      <c r="H25" s="466">
        <f>'Utility report '!AC26</f>
        <v>0</v>
      </c>
      <c r="I25" s="465">
        <f>'Kit report'!F24</f>
        <v>0</v>
      </c>
      <c r="J25" s="466">
        <f>'Kit report'!X24</f>
        <v>0</v>
      </c>
    </row>
    <row r="26" spans="1:10" ht="15" customHeight="1">
      <c r="A26" s="265">
        <v>43973</v>
      </c>
      <c r="B26" s="470">
        <f>Gen!C32</f>
        <v>0</v>
      </c>
      <c r="C26" s="530">
        <f>Gen!AK32</f>
        <v>0</v>
      </c>
      <c r="D26" s="531">
        <f>Gen!T32</f>
        <v>0</v>
      </c>
      <c r="E26" s="466">
        <f>Gen!D32</f>
        <v>43890.77</v>
      </c>
      <c r="F26" s="467">
        <f>'Water-Meter'!E27</f>
        <v>0</v>
      </c>
      <c r="G26" s="468">
        <f>'Water-Meter'!AN27</f>
        <v>0</v>
      </c>
      <c r="H26" s="466">
        <f>'Utility report '!AC27</f>
        <v>0</v>
      </c>
      <c r="I26" s="465">
        <f>'Kit report'!F25</f>
        <v>0</v>
      </c>
      <c r="J26" s="466">
        <f>'Kit report'!X25</f>
        <v>0</v>
      </c>
    </row>
    <row r="27" spans="1:10" ht="15" customHeight="1">
      <c r="A27" s="265">
        <v>43974</v>
      </c>
      <c r="B27" s="470">
        <f>Gen!C33</f>
        <v>0</v>
      </c>
      <c r="C27" s="530">
        <f>Gen!AK33</f>
        <v>0</v>
      </c>
      <c r="D27" s="531">
        <f>Gen!T33</f>
        <v>0</v>
      </c>
      <c r="E27" s="466">
        <f>Gen!D33</f>
        <v>43890.77</v>
      </c>
      <c r="F27" s="467">
        <f>'Water-Meter'!E28</f>
        <v>0</v>
      </c>
      <c r="G27" s="468">
        <f>'Water-Meter'!AN28</f>
        <v>0</v>
      </c>
      <c r="H27" s="466">
        <f>'Utility report '!AC28</f>
        <v>0</v>
      </c>
      <c r="I27" s="465">
        <f>'Kit report'!F26</f>
        <v>0</v>
      </c>
      <c r="J27" s="466">
        <f>'Kit report'!X26</f>
        <v>0</v>
      </c>
    </row>
    <row r="28" spans="1:10" ht="15" customHeight="1">
      <c r="A28" s="265">
        <v>43975</v>
      </c>
      <c r="B28" s="470">
        <v>9.0999999999999998E-2</v>
      </c>
      <c r="C28" s="530">
        <f>Gen!AK34</f>
        <v>0</v>
      </c>
      <c r="D28" s="531">
        <f>Gen!T34</f>
        <v>0</v>
      </c>
      <c r="E28" s="466">
        <f>Gen!D34</f>
        <v>43890.77</v>
      </c>
      <c r="F28" s="467">
        <f>'Water-Meter'!E29</f>
        <v>0</v>
      </c>
      <c r="G28" s="468">
        <f>'Water-Meter'!AN29</f>
        <v>0</v>
      </c>
      <c r="H28" s="466">
        <f>'Utility report '!AC29</f>
        <v>0</v>
      </c>
      <c r="I28" s="465">
        <f>'Kit report'!F27</f>
        <v>0</v>
      </c>
      <c r="J28" s="466">
        <f>'Kit report'!X27</f>
        <v>0</v>
      </c>
    </row>
    <row r="29" spans="1:10" ht="15" customHeight="1">
      <c r="A29" s="265">
        <v>43976</v>
      </c>
      <c r="B29" s="470">
        <f>Gen!C35</f>
        <v>0</v>
      </c>
      <c r="C29" s="530">
        <f>Gen!AK35</f>
        <v>0</v>
      </c>
      <c r="D29" s="531">
        <f>Gen!T35</f>
        <v>0</v>
      </c>
      <c r="E29" s="466">
        <f>Gen!D35</f>
        <v>43890.77</v>
      </c>
      <c r="F29" s="467">
        <f>'Water-Meter'!E30</f>
        <v>0</v>
      </c>
      <c r="G29" s="468">
        <f>'Water-Meter'!AN30</f>
        <v>0</v>
      </c>
      <c r="H29" s="466">
        <f>'Utility report '!AC30</f>
        <v>0</v>
      </c>
      <c r="I29" s="465">
        <f>'Kit report'!F28</f>
        <v>0</v>
      </c>
      <c r="J29" s="466">
        <f>'Kit report'!X28</f>
        <v>0</v>
      </c>
    </row>
    <row r="30" spans="1:10" ht="15" customHeight="1">
      <c r="A30" s="265">
        <v>43977</v>
      </c>
      <c r="B30" s="470">
        <f>Gen!C36</f>
        <v>0</v>
      </c>
      <c r="C30" s="530">
        <f>Gen!AK36</f>
        <v>0</v>
      </c>
      <c r="D30" s="531">
        <f>Gen!T36</f>
        <v>0</v>
      </c>
      <c r="E30" s="466">
        <f>Gen!D36</f>
        <v>43890.77</v>
      </c>
      <c r="F30" s="467">
        <f>'Water-Meter'!E31</f>
        <v>0</v>
      </c>
      <c r="G30" s="468">
        <f>'Water-Meter'!AN31</f>
        <v>0</v>
      </c>
      <c r="H30" s="466">
        <f>'Utility report '!AC31</f>
        <v>0</v>
      </c>
      <c r="I30" s="465">
        <f>'Kit report'!F29</f>
        <v>0</v>
      </c>
      <c r="J30" s="466">
        <f>'Kit report'!X29</f>
        <v>0</v>
      </c>
    </row>
    <row r="31" spans="1:10" ht="15" customHeight="1">
      <c r="A31" s="265">
        <v>43978</v>
      </c>
      <c r="B31" s="470">
        <f>Gen!C37</f>
        <v>0</v>
      </c>
      <c r="C31" s="530">
        <f>Gen!AK37</f>
        <v>0</v>
      </c>
      <c r="D31" s="531">
        <f>Gen!T37</f>
        <v>0</v>
      </c>
      <c r="E31" s="466">
        <f>Gen!D37</f>
        <v>43890.77</v>
      </c>
      <c r="F31" s="467">
        <f>'Water-Meter'!E32</f>
        <v>0</v>
      </c>
      <c r="G31" s="468">
        <f>'Water-Meter'!AN32</f>
        <v>0</v>
      </c>
      <c r="H31" s="466">
        <f>'Utility report '!AC32</f>
        <v>0</v>
      </c>
      <c r="I31" s="465">
        <f>'Kit report'!F30</f>
        <v>0</v>
      </c>
      <c r="J31" s="466">
        <f>'Kit report'!X30</f>
        <v>0</v>
      </c>
    </row>
    <row r="32" spans="1:10" ht="15" customHeight="1">
      <c r="A32" s="265">
        <v>43979</v>
      </c>
      <c r="B32" s="470">
        <f>Gen!C38</f>
        <v>0</v>
      </c>
      <c r="C32" s="530">
        <f>Gen!AK38</f>
        <v>0</v>
      </c>
      <c r="D32" s="531">
        <f>Gen!T38</f>
        <v>0</v>
      </c>
      <c r="E32" s="466">
        <f>Gen!D38</f>
        <v>43890.77</v>
      </c>
      <c r="F32" s="467">
        <f>'Water-Meter'!E33</f>
        <v>0</v>
      </c>
      <c r="G32" s="468">
        <f>'Water-Meter'!AN33</f>
        <v>0</v>
      </c>
      <c r="H32" s="466">
        <f>'Utility report '!AC33</f>
        <v>0</v>
      </c>
      <c r="I32" s="465">
        <f>'Kit report'!F31</f>
        <v>0</v>
      </c>
      <c r="J32" s="466">
        <f>'Kit report'!X31</f>
        <v>0</v>
      </c>
    </row>
    <row r="33" spans="1:10" ht="15" customHeight="1">
      <c r="A33" s="265">
        <v>43980</v>
      </c>
      <c r="B33" s="470">
        <f>Gen!C39</f>
        <v>0</v>
      </c>
      <c r="C33" s="530">
        <f>Gen!AK39</f>
        <v>0</v>
      </c>
      <c r="D33" s="531">
        <f>Gen!T39</f>
        <v>0</v>
      </c>
      <c r="E33" s="466">
        <f>Gen!D39</f>
        <v>43890.77</v>
      </c>
      <c r="F33" s="467">
        <f>'Water-Meter'!E34</f>
        <v>0</v>
      </c>
      <c r="G33" s="468">
        <f>'Water-Meter'!AN34</f>
        <v>0</v>
      </c>
      <c r="H33" s="466">
        <f>'Utility report '!AC34</f>
        <v>0</v>
      </c>
      <c r="I33" s="465">
        <f>'Kit report'!F32</f>
        <v>0</v>
      </c>
      <c r="J33" s="466">
        <f>'Kit report'!X32</f>
        <v>0</v>
      </c>
    </row>
    <row r="34" spans="1:10" ht="15" customHeight="1">
      <c r="A34" s="265">
        <v>43981</v>
      </c>
      <c r="B34" s="528">
        <f>Gen!C40</f>
        <v>0</v>
      </c>
      <c r="C34" s="530">
        <f>Gen!AK40</f>
        <v>0</v>
      </c>
      <c r="D34" s="531">
        <f>Gen!T40</f>
        <v>0</v>
      </c>
      <c r="E34" s="529">
        <f>Gen!D40</f>
        <v>43890.77</v>
      </c>
      <c r="F34" s="467">
        <f>'Water-Meter'!E35</f>
        <v>0</v>
      </c>
      <c r="G34" s="468">
        <f>'Water-Meter'!AN35</f>
        <v>0</v>
      </c>
      <c r="H34" s="466">
        <f>'Utility report '!AC35</f>
        <v>0</v>
      </c>
      <c r="I34" s="465">
        <f>'Kit report'!F33</f>
        <v>0</v>
      </c>
      <c r="J34" s="466">
        <f>'Kit report'!X33</f>
        <v>0</v>
      </c>
    </row>
    <row r="35" spans="1:10" ht="15" customHeight="1">
      <c r="A35" s="265">
        <v>43982</v>
      </c>
      <c r="B35" s="470">
        <f>Gen!C41</f>
        <v>0</v>
      </c>
      <c r="C35" s="530">
        <f>Gen!AK41</f>
        <v>0</v>
      </c>
      <c r="D35" s="531">
        <f>Gen!T41</f>
        <v>0</v>
      </c>
      <c r="E35" s="468">
        <f>Gen!D41</f>
        <v>43890.77</v>
      </c>
      <c r="F35" s="467">
        <f>'Water-Meter'!E36</f>
        <v>0</v>
      </c>
      <c r="G35" s="468">
        <f>'Water-Meter'!AN36</f>
        <v>0</v>
      </c>
      <c r="H35" s="466">
        <f>'Utility report '!AC36</f>
        <v>0</v>
      </c>
      <c r="I35" s="465">
        <f>'Kit report'!F34</f>
        <v>0</v>
      </c>
      <c r="J35" s="466">
        <f>'Kit report'!X34</f>
        <v>0</v>
      </c>
    </row>
    <row r="36" spans="1:10" ht="15">
      <c r="A36" s="265">
        <v>43983</v>
      </c>
      <c r="B36" s="18"/>
      <c r="C36" s="530">
        <f>Gen!AK42</f>
        <v>0</v>
      </c>
      <c r="D36" s="531">
        <f>Gen!T42</f>
        <v>0</v>
      </c>
      <c r="E36" s="468">
        <f>Gen!D42</f>
        <v>43890.77</v>
      </c>
      <c r="F36" s="467">
        <f>'Water-Meter'!E37</f>
        <v>0</v>
      </c>
      <c r="G36" s="468">
        <f>'Water-Meter'!AN37</f>
        <v>281</v>
      </c>
      <c r="H36" s="466">
        <f>'Utility report '!AC37</f>
        <v>0</v>
      </c>
      <c r="I36" s="465">
        <f>'Kit report'!F35</f>
        <v>312.00000000004366</v>
      </c>
      <c r="J36" s="466">
        <f>'Kit report'!X35</f>
        <v>0</v>
      </c>
    </row>
  </sheetData>
  <mergeCells count="7">
    <mergeCell ref="A1:J1"/>
    <mergeCell ref="A3:A4"/>
    <mergeCell ref="B3:B4"/>
    <mergeCell ref="D3:E3"/>
    <mergeCell ref="F3:H3"/>
    <mergeCell ref="I3:J3"/>
    <mergeCell ref="A2:J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Total</vt:lpstr>
      <vt:lpstr>Submetering</vt:lpstr>
      <vt:lpstr>UTILITY REPORT 1</vt:lpstr>
      <vt:lpstr>Utility summery</vt:lpstr>
      <vt:lpstr>Utility report </vt:lpstr>
      <vt:lpstr>Kit report</vt:lpstr>
      <vt:lpstr>Summery Report</vt:lpstr>
      <vt:lpstr>Daily report Gen</vt:lpstr>
      <vt:lpstr>Gen</vt:lpstr>
      <vt:lpstr>Energy Graph</vt:lpstr>
      <vt:lpstr>Lpg (2)</vt:lpstr>
      <vt:lpstr>LPG_Graph</vt:lpstr>
      <vt:lpstr>Water-Meter</vt:lpstr>
      <vt:lpstr>Water_Graph </vt:lpstr>
      <vt:lpstr>Sheet1</vt:lpstr>
      <vt:lpstr>VODACOM AND AIRTEL</vt:lpstr>
      <vt:lpstr>FUEL METER READING</vt:lpstr>
      <vt:lpstr>Daily utility report </vt:lpstr>
    </vt:vector>
  </TitlesOfParts>
  <Company>Kilimanjaro Hotel Kempinski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Kilimanjaro Hotel Kempinski</dc:creator>
  <cp:lastModifiedBy>Josephat.Mnganya</cp:lastModifiedBy>
  <cp:lastPrinted>2019-07-20T21:13:12Z</cp:lastPrinted>
  <dcterms:created xsi:type="dcterms:W3CDTF">2009-01-25T09:02:38Z</dcterms:created>
  <dcterms:modified xsi:type="dcterms:W3CDTF">2020-05-15T03:56:36Z</dcterms:modified>
</cp:coreProperties>
</file>