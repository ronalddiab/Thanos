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H7" i="7" l="1"/>
  <c r="CY3" i="7" l="1"/>
  <c r="CW3" i="7"/>
  <c r="CU3" i="7"/>
  <c r="CS3" i="7"/>
  <c r="CM3" i="7" s="1"/>
  <c r="CQ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T7" i="10"/>
  <c r="AZ32" i="7" l="1"/>
  <c r="CF31" i="7" l="1"/>
  <c r="I33" i="3" l="1"/>
  <c r="AW33" i="6"/>
  <c r="AX29" i="6"/>
  <c r="AY29" i="6"/>
  <c r="AZ29" i="6"/>
  <c r="BA29" i="6"/>
  <c r="BB29" i="6"/>
  <c r="BC29" i="6"/>
  <c r="AX30" i="6"/>
  <c r="AY30" i="6"/>
  <c r="AZ30" i="6"/>
  <c r="BA30" i="6"/>
  <c r="BB30" i="6"/>
  <c r="BC30" i="6"/>
  <c r="AX31" i="6"/>
  <c r="AY31" i="6"/>
  <c r="AZ31" i="6"/>
  <c r="BA31" i="6"/>
  <c r="BB31" i="6"/>
  <c r="BC31" i="6"/>
  <c r="AX32" i="6"/>
  <c r="AY32" i="6"/>
  <c r="AZ32" i="6"/>
  <c r="BA32" i="6"/>
  <c r="BB32" i="6"/>
  <c r="BC32" i="6"/>
  <c r="AX33" i="6"/>
  <c r="AY33" i="6"/>
  <c r="AZ33" i="6"/>
  <c r="BA33" i="6"/>
  <c r="BB33" i="6"/>
  <c r="BC33" i="6"/>
  <c r="T38" i="10" l="1"/>
  <c r="V26" i="7" l="1"/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Y35" i="7" l="1"/>
  <c r="CQ34" i="7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AW32" i="6" l="1"/>
  <c r="I32" i="3"/>
  <c r="BP28" i="7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2" i="7"/>
  <c r="CF33" i="7"/>
  <c r="CH5" i="7"/>
  <c r="CH6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7" i="10"/>
  <c r="T36" i="10"/>
  <c r="T35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I28" i="3" l="1"/>
  <c r="AW28" i="6"/>
  <c r="AW31" i="6"/>
  <c r="I31" i="3"/>
  <c r="AW30" i="6"/>
  <c r="I30" i="3"/>
  <c r="I29" i="3"/>
  <c r="AW29" i="6"/>
  <c r="BA28" i="6"/>
  <c r="AZ28" i="6"/>
  <c r="AX28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H31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8" i="3" l="1"/>
  <c r="E32" i="3"/>
  <c r="E31" i="3"/>
  <c r="E30" i="3"/>
  <c r="E29" i="3"/>
  <c r="E3" i="3"/>
  <c r="E21" i="3"/>
  <c r="E13" i="3"/>
  <c r="E9" i="3"/>
  <c r="E5" i="3"/>
  <c r="E12" i="3"/>
  <c r="E8" i="3"/>
  <c r="E4" i="3"/>
  <c r="E11" i="3"/>
  <c r="E7" i="3"/>
  <c r="E14" i="3"/>
  <c r="E10" i="3"/>
  <c r="E6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E33" i="3" s="1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<sst xmlns="http://schemas.openxmlformats.org/spreadsheetml/2006/main" count="315" uniqueCount="148">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</sst>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2022</v>
      </c>
      <c r="E2" s="12">
        <f>Submetering!E2+Submetering!F2+Submetering!G2+Submetering!H2+Submetering!J2-Submetering!AV2</f>
        <v>10499.999999999098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87</v>
      </c>
      <c r="J2" s="11">
        <v>10.487297712684205</v>
      </c>
      <c r="K2" s="13">
        <f>'FS Desroches Daily'!CN4</f>
        <v>29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7</v>
      </c>
      <c r="D3" s="1">
        <v>2022</v>
      </c>
      <c r="E3" s="12">
        <f>Submetering!E3+Submetering!F3+Submetering!G3+Submetering!H3+Submetering!J3-Submetering!AV3</f>
        <v>10100.0000000007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91</v>
      </c>
      <c r="J3" s="11">
        <f>J2</f>
        <v>10.487297712684205</v>
      </c>
      <c r="K3" s="13">
        <f>'FS Desroches Daily'!CN5</f>
        <v>29</v>
      </c>
    </row>
    <row r="4" spans="1:13" s="16" customFormat="1" x14ac:dyDescent="0.25">
      <c r="A4" s="1" t="s">
        <v>11</v>
      </c>
      <c r="B4" s="10">
        <v>3</v>
      </c>
      <c r="C4" s="11">
        <v>7</v>
      </c>
      <c r="D4" s="1">
        <v>2022</v>
      </c>
      <c r="E4" s="12">
        <f>Submetering!E4+Submetering!F4+Submetering!G4+Submetering!H4+Submetering!J4-Submetering!AV4</f>
        <v>10299.999999999933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93</v>
      </c>
      <c r="J4" s="11">
        <f t="shared" ref="J4:J32" si="2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0">
        <v>4</v>
      </c>
      <c r="C5" s="11">
        <v>7</v>
      </c>
      <c r="D5" s="1">
        <v>2022</v>
      </c>
      <c r="E5" s="12">
        <f>Submetering!E5+Submetering!F5+Submetering!G5+Submetering!H5+Submetering!J5-Submetering!AV5</f>
        <v>9999.9999999998181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94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7</v>
      </c>
      <c r="D6" s="1">
        <v>2022</v>
      </c>
      <c r="E6" s="12" t="e">
        <f>Submetering!E6+Submetering!F6+Submetering!G6+Submetering!H6+Submetering!J6-Submetering!AV6</f>
        <v>#VALUE!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 t="e">
        <f>'FS Desroches Daily'!CM8</f>
        <v>#VALUE!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7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7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7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7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7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7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7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7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7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7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7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7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7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7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7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7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7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7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7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7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7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7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7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7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7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7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2">
        <f>Submetering!E33+Submetering!F33+Submetering!G33+Submetering!H33+Submetering!J33-Submetering!AV33</f>
        <v>40899.999999999549</v>
      </c>
      <c r="G33" s="19">
        <f>SUM(G2:G32)</f>
        <v>52.8095</v>
      </c>
      <c r="I33" s="12">
        <f>'FS Desroches Daily'!CM35</f>
        <v>0</v>
      </c>
      <c r="K33" s="19">
        <f>SUM(K2:K32)</f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2022</v>
      </c>
      <c r="E2" s="31">
        <f>'FS Desroches Daily'!D4</f>
        <v>2000.0000000002237</v>
      </c>
      <c r="F2" s="32">
        <f>'FS Desroches Daily'!F4</f>
        <v>3099.9999999998809</v>
      </c>
      <c r="G2" s="31">
        <f>'FS Desroches Daily'!H4</f>
        <v>3299.9999999994143</v>
      </c>
      <c r="H2" s="32">
        <f>'FS Desroches Daily'!J4</f>
        <v>1399.9999999998458</v>
      </c>
      <c r="I2" s="31">
        <f>'FS Desroches Daily'!L4</f>
        <v>1900.0000000000127</v>
      </c>
      <c r="J2" s="32">
        <f>'FS Desroches Daily'!N4</f>
        <v>1599.9999999998238</v>
      </c>
      <c r="K2" s="13">
        <f>'FS Desroches Daily'!P4</f>
        <v>19</v>
      </c>
      <c r="L2" s="31">
        <f>'FS Desroches Daily'!R4</f>
        <v>2</v>
      </c>
      <c r="M2" s="31">
        <f>'FS Desroches Daily'!T4</f>
        <v>1.5</v>
      </c>
      <c r="N2" s="31">
        <f>'FS Desroches Daily'!V4</f>
        <v>471.5</v>
      </c>
      <c r="O2" s="31">
        <f>'FS Desroches Daily'!X4</f>
        <v>330.00000000004093</v>
      </c>
      <c r="P2" s="31">
        <f>'FS Desroches Daily'!Z4</f>
        <v>2999.9999999996694</v>
      </c>
      <c r="Q2" s="31">
        <f>'FS Desroches Daily'!AB4</f>
        <v>389.99999999998636</v>
      </c>
      <c r="R2" s="31">
        <f>'FS Desroches Daily'!AD4</f>
        <v>259.99999999999091</v>
      </c>
      <c r="S2" s="31">
        <f>'FS Desroches Daily'!AF4</f>
        <v>809.99999999994543</v>
      </c>
      <c r="T2" s="31">
        <f>'FS Desroches Daily'!AH4</f>
        <v>27</v>
      </c>
      <c r="U2" s="35">
        <f>'FS Desroches Daily'!AJ4</f>
        <v>539.99999999996362</v>
      </c>
      <c r="V2" s="35">
        <f>'FS Desroches Daily'!AL4</f>
        <v>229.99999999996135</v>
      </c>
      <c r="W2" s="35">
        <f>'FS Desroches Daily'!AN4</f>
        <v>200.00000000004547</v>
      </c>
      <c r="X2" s="35">
        <f>'FS Desroches Daily'!AP4</f>
        <v>140.0000000000432</v>
      </c>
      <c r="Y2" s="35">
        <f>'FS Desroches Daily'!AR4</f>
        <v>169.99999999995907</v>
      </c>
      <c r="Z2" s="35">
        <f>'FS Desroches Daily'!AT4</f>
        <v>79.999999999984084</v>
      </c>
      <c r="AA2" s="35">
        <f>'FS Desroches Daily'!AT4</f>
        <v>79.999999999984084</v>
      </c>
      <c r="AB2" s="35">
        <f>'FS Desroches Daily'!AV4</f>
        <v>120.00000000000455</v>
      </c>
      <c r="AC2" s="35">
        <f>'FS Desroches Daily'!AZ4</f>
        <v>149.99999999997726</v>
      </c>
      <c r="AD2" s="35">
        <f>'FS Desroches Daily'!BB4</f>
        <v>119.9999999999477</v>
      </c>
      <c r="AE2" s="35">
        <f>'FS Desroches Daily'!BD4</f>
        <v>50.000000000011369</v>
      </c>
      <c r="AF2" s="31">
        <f>'FS Desroches Daily'!BF4</f>
        <v>19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39.999999999992042</v>
      </c>
      <c r="AJ2" s="32">
        <f>'FS Desroches Daily'!BN4</f>
        <v>20.000000000010232</v>
      </c>
      <c r="AK2" s="32">
        <f>'FS Desroches Daily'!BP4</f>
        <v>30.000000000029559</v>
      </c>
      <c r="AL2" s="32">
        <f>'FS Desroches Daily'!BR4</f>
        <v>27</v>
      </c>
      <c r="AM2" s="32">
        <f>'FS Desroches Daily'!BT4</f>
        <v>39.999999999992042</v>
      </c>
      <c r="AN2" s="32">
        <f>'FS Desroches Daily'!BV4</f>
        <v>33</v>
      </c>
      <c r="AO2" s="32">
        <f>'FS Desroches Daily'!BX4</f>
        <v>30.000000000001137</v>
      </c>
      <c r="AP2" s="32">
        <f>'FS Desroches Daily'!BZ4</f>
        <v>39</v>
      </c>
      <c r="AQ2" s="31">
        <f>'FS Desroches Daily'!CB4</f>
        <v>56.100000000005821</v>
      </c>
      <c r="AR2" s="31">
        <f>'FS Desroches Daily'!CD4</f>
        <v>13.5</v>
      </c>
      <c r="AS2" s="31">
        <f>'FS Desroches Daily'!CF4</f>
        <v>4.5</v>
      </c>
      <c r="AT2" s="31">
        <f>'FS Desroches Daily'!CH4</f>
        <v>41.69999999999709</v>
      </c>
      <c r="AU2" s="31">
        <f>'FS Desroches Daily'!CJ4</f>
        <v>296</v>
      </c>
      <c r="AV2" s="31">
        <f>'FS Desroches Daily'!CL4</f>
        <v>900.00000000009095</v>
      </c>
      <c r="AW2" s="31">
        <f>'FS Desroches Daily'!CM4</f>
        <v>87</v>
      </c>
      <c r="AX2" s="31">
        <f>IF(LPG!F9-LPG!F8&lt;0,"0",(LPG!F9-LPG!F8)*1.8315)</f>
        <v>0</v>
      </c>
      <c r="AY2" s="31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1.8314999999999999</v>
      </c>
      <c r="BB2" s="31">
        <f>IF(LPG!Q9-LPG!Q8&lt;0,"0",(LPG!Q9-LPG!Q8)*1.8315)</f>
        <v>10.988999999999999</v>
      </c>
      <c r="BC2" s="13">
        <f>'FS Desroches Daily'!CN4</f>
        <v>29</v>
      </c>
      <c r="BD2" s="9"/>
    </row>
    <row r="3" spans="1:56" s="16" customFormat="1" x14ac:dyDescent="0.25">
      <c r="A3" s="27" t="s">
        <v>11</v>
      </c>
      <c r="B3" s="15">
        <v>2</v>
      </c>
      <c r="C3" s="18">
        <v>7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3099.9999999998809</v>
      </c>
      <c r="H3" s="32">
        <f>'FS Desroches Daily'!J5</f>
        <v>1300.0000000000789</v>
      </c>
      <c r="I3" s="31">
        <f>'FS Desroches Daily'!L5</f>
        <v>1999.9999999997797</v>
      </c>
      <c r="J3" s="32">
        <f>'FS Desroches Daily'!N5</f>
        <v>1600.0000000002678</v>
      </c>
      <c r="K3" s="13">
        <f>'FS Desroches Daily'!P5</f>
        <v>11</v>
      </c>
      <c r="L3" s="31">
        <f>'FS Desroches Daily'!R5</f>
        <v>3</v>
      </c>
      <c r="M3" s="31">
        <f>'FS Desroches Daily'!T5</f>
        <v>1.2000000000000455</v>
      </c>
      <c r="N3" s="31">
        <f>'FS Desroches Daily'!V5</f>
        <v>324.69999999995343</v>
      </c>
      <c r="O3" s="31">
        <f>'FS Desroches Daily'!X6</f>
        <v>259.99999999999091</v>
      </c>
      <c r="P3" s="31">
        <f>'FS Desroches Daily'!Z5</f>
        <v>2700.0000000003688</v>
      </c>
      <c r="Q3" s="31">
        <f>'FS Desroches Daily'!AB5</f>
        <v>370.00000000000455</v>
      </c>
      <c r="R3" s="31">
        <f>'FS Desroches Daily'!AD5</f>
        <v>490.00000000000909</v>
      </c>
      <c r="S3" s="31">
        <f>'FS Desroches Daily'!AF5</f>
        <v>720.00000000002728</v>
      </c>
      <c r="T3" s="31">
        <f>'FS Desroches Daily'!AH5</f>
        <v>26</v>
      </c>
      <c r="U3" s="35">
        <f>'FS Desroches Daily'!AJ5</f>
        <v>509.99999999999091</v>
      </c>
      <c r="V3" s="35">
        <f>'FS Desroches Daily'!AL5</f>
        <v>240.00000000000909</v>
      </c>
      <c r="W3" s="35">
        <f>'FS Desroches Daily'!AN5</f>
        <v>139.99999999998636</v>
      </c>
      <c r="X3" s="35">
        <f>'FS Desroches Daily'!AP5</f>
        <v>149.99999999997726</v>
      </c>
      <c r="Y3" s="35">
        <f>'FS Desroches Daily'!AR5</f>
        <v>189.99999999999773</v>
      </c>
      <c r="Z3" s="35">
        <f>'FS Desroches Daily'!AT5</f>
        <v>69.999999999993179</v>
      </c>
      <c r="AA3" s="35">
        <f>'FS Desroches Daily'!AT5</f>
        <v>69.999999999993179</v>
      </c>
      <c r="AB3" s="35">
        <f>'FS Desroches Daily'!AV5</f>
        <v>149.99999999997726</v>
      </c>
      <c r="AC3" s="35">
        <f>'FS Desroches Daily'!AZ5</f>
        <v>160.00000000002501</v>
      </c>
      <c r="AD3" s="35">
        <f>'FS Desroches Daily'!BB5</f>
        <v>140.0000000000432</v>
      </c>
      <c r="AE3" s="35">
        <f>'FS Desroches Daily'!BD5</f>
        <v>60.000000000002274</v>
      </c>
      <c r="AF3" s="31">
        <f>'FS Desroches Daily'!BF5</f>
        <v>23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27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39.999999999992042</v>
      </c>
      <c r="AP3" s="32">
        <f>'FS Desroches Daily'!BZ5</f>
        <v>38</v>
      </c>
      <c r="AQ3" s="31">
        <f>'FS Desroches Daily'!CB5</f>
        <v>54.799999999995634</v>
      </c>
      <c r="AR3" s="31">
        <f>'FS Desroches Daily'!CD5</f>
        <v>9.9000000000014552</v>
      </c>
      <c r="AS3" s="31">
        <f>'FS Desroches Daily'!CF5</f>
        <v>7.2999999999992724</v>
      </c>
      <c r="AT3" s="31">
        <f>'FS Desroches Daily'!CH5</f>
        <v>54.30000000000291</v>
      </c>
      <c r="AU3" s="31">
        <f>'FS Desroches Daily'!CJ5</f>
        <v>267</v>
      </c>
      <c r="AV3" s="31">
        <f>'FS Desroches Daily'!CL5</f>
        <v>899.99999999986358</v>
      </c>
      <c r="AW3" s="31">
        <f>'FS Desroches Daily'!CM5</f>
        <v>91</v>
      </c>
      <c r="AX3" s="31">
        <f>IF(LPG!F10-LPG!F9&lt;0,"0",(LPG!F10-LPG!F9)*1.8315)</f>
        <v>0</v>
      </c>
      <c r="AY3" s="31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29</v>
      </c>
      <c r="BD3" s="9"/>
    </row>
    <row r="4" spans="1:56" s="16" customFormat="1" x14ac:dyDescent="0.25">
      <c r="A4" s="27" t="s">
        <v>11</v>
      </c>
      <c r="B4" s="15">
        <v>3</v>
      </c>
      <c r="C4" s="18">
        <v>7</v>
      </c>
      <c r="D4" s="27">
        <v>2022</v>
      </c>
      <c r="E4" s="31">
        <f>'FS Desroches Daily'!D6</f>
        <v>1999.9999999997797</v>
      </c>
      <c r="F4" s="32">
        <f>'FS Desroches Daily'!F6</f>
        <v>3099.9999999998809</v>
      </c>
      <c r="G4" s="31">
        <f>'FS Desroches Daily'!H6</f>
        <v>3100.000000000769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1499.9999999996128</v>
      </c>
      <c r="K4" s="13">
        <f>'FS Desroches Daily'!P6</f>
        <v>39</v>
      </c>
      <c r="L4" s="31">
        <f>'FS Desroches Daily'!R6</f>
        <v>1</v>
      </c>
      <c r="M4" s="31">
        <f>'FS Desroches Daily'!T6</f>
        <v>0.89999999999986358</v>
      </c>
      <c r="N4" s="31">
        <f>'FS Desroches Daily'!V6</f>
        <v>268.59999999997672</v>
      </c>
      <c r="O4" s="31">
        <f>'FS Desroches Daily'!X7</f>
        <v>310.00000000005912</v>
      </c>
      <c r="P4" s="31">
        <f>'FS Desroches Daily'!Z6</f>
        <v>2499.9999999999468</v>
      </c>
      <c r="Q4" s="31">
        <f>'FS Desroches Daily'!AB6</f>
        <v>360.00000000001364</v>
      </c>
      <c r="R4" s="31">
        <f>'FS Desroches Daily'!AD6</f>
        <v>320.00000000005002</v>
      </c>
      <c r="S4" s="31">
        <f>'FS Desroches Daily'!AF6</f>
        <v>620.00000000000455</v>
      </c>
      <c r="T4" s="31">
        <f>'FS Desroches Daily'!AH6</f>
        <v>26</v>
      </c>
      <c r="U4" s="35">
        <f>'FS Desroches Daily'!AJ6</f>
        <v>460.00000000003638</v>
      </c>
      <c r="V4" s="35">
        <f>'FS Desroches Daily'!AL6</f>
        <v>199.99999999998863</v>
      </c>
      <c r="W4" s="35">
        <f>'FS Desroches Daily'!AN6</f>
        <v>129.99999999999545</v>
      </c>
      <c r="X4" s="35">
        <f>'FS Desroches Daily'!AP6</f>
        <v>110.00000000001364</v>
      </c>
      <c r="Y4" s="35">
        <f>'FS Desroches Daily'!AR6</f>
        <v>150.00000000003411</v>
      </c>
      <c r="Z4" s="35">
        <f>'FS Desroches Daily'!AT6</f>
        <v>60.000000000002274</v>
      </c>
      <c r="AA4" s="35">
        <f>'FS Desroches Daily'!AT6</f>
        <v>60.000000000002274</v>
      </c>
      <c r="AB4" s="35">
        <f>'FS Desroches Daily'!AV6</f>
        <v>140.0000000000432</v>
      </c>
      <c r="AC4" s="35">
        <f>'FS Desroches Daily'!AZ6</f>
        <v>110.00000000001364</v>
      </c>
      <c r="AD4" s="35">
        <f>'FS Desroches Daily'!BB6</f>
        <v>109.9999999999568</v>
      </c>
      <c r="AE4" s="35">
        <f>'FS Desroches Daily'!BD6</f>
        <v>69.999999999993179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30.000000000001137</v>
      </c>
      <c r="AK4" s="32">
        <f>'FS Desroches Daily'!BP6</f>
        <v>30.000000000029559</v>
      </c>
      <c r="AL4" s="32">
        <f>'FS Desroches Daily'!BR6</f>
        <v>29</v>
      </c>
      <c r="AM4" s="32">
        <f>'FS Desroches Daily'!BT6</f>
        <v>40.000000000020464</v>
      </c>
      <c r="AN4" s="32">
        <f>'FS Desroches Daily'!BV6</f>
        <v>33</v>
      </c>
      <c r="AO4" s="32">
        <f>'FS Desroches Daily'!BX6</f>
        <v>20.000000000010232</v>
      </c>
      <c r="AP4" s="32">
        <f>'FS Desroches Daily'!BZ6</f>
        <v>33</v>
      </c>
      <c r="AQ4" s="31">
        <f>'FS Desroches Daily'!CB6</f>
        <v>51.599999999998545</v>
      </c>
      <c r="AR4" s="31">
        <f>'FS Desroches Daily'!CD6</f>
        <v>7.5999999999985448</v>
      </c>
      <c r="AS4" s="31">
        <f>'FS Desroches Daily'!CF6</f>
        <v>0</v>
      </c>
      <c r="AT4" s="31">
        <f>'FS Desroches Daily'!CH6</f>
        <v>44.399999999994179</v>
      </c>
      <c r="AU4" s="31">
        <f>'FS Desroches Daily'!CJ6</f>
        <v>265</v>
      </c>
      <c r="AV4" s="31">
        <f>'FS Desroches Daily'!CL6</f>
        <v>799.99999999995453</v>
      </c>
      <c r="AW4" s="31">
        <f>'FS Desroches Daily'!CM6</f>
        <v>93</v>
      </c>
      <c r="AX4" s="31">
        <f>IF(LPG!F11-LPG!F10&lt;0,"0",(LPG!F11-LPG!F10)*1.8315)</f>
        <v>0</v>
      </c>
      <c r="AY4" s="31">
        <f>IF(LPG!G11-LPG!G10&lt;0,"0",(LPG!G11-LPG!G10)*1.8315)</f>
        <v>0</v>
      </c>
      <c r="AZ4" s="31" t="str">
        <f>IF(LPG!H13-LPG!H10&lt;0,"0",(LPG!H13-LPG!H10)*1.8315)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v>4</v>
      </c>
      <c r="C5" s="18">
        <v>7</v>
      </c>
      <c r="D5" s="27">
        <v>2022</v>
      </c>
      <c r="E5" s="31">
        <f>'FS Desroches Daily'!D7</f>
        <v>2000.0000000002237</v>
      </c>
      <c r="F5" s="32">
        <f>'FS Desroches Daily'!F7</f>
        <v>3099.9999999998809</v>
      </c>
      <c r="G5" s="31">
        <f>'FS Desroches Daily'!H7</f>
        <v>3199.9999999996476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1300.0000000000789</v>
      </c>
      <c r="K5" s="13">
        <f>'FS Desroches Daily'!P7</f>
        <v>24</v>
      </c>
      <c r="L5" s="31">
        <f>'FS Desroches Daily'!R7</f>
        <v>2</v>
      </c>
      <c r="M5" s="31">
        <f>'FS Desroches Daily'!T7</f>
        <v>1.2999999999999545</v>
      </c>
      <c r="N5" s="31">
        <f>'FS Desroches Daily'!V7</f>
        <v>383.80000000004657</v>
      </c>
      <c r="O5" s="31" t="str">
        <f>'FS Desroches Daily'!X8</f>
        <v/>
      </c>
      <c r="P5" s="31">
        <f>'FS Desroches Daily'!Z7</f>
        <v>2999.9999999996694</v>
      </c>
      <c r="Q5" s="31">
        <f>'FS Desroches Daily'!AB7</f>
        <v>230.00000000001819</v>
      </c>
      <c r="R5" s="31">
        <f>'FS Desroches Daily'!AD7</f>
        <v>349.99999999990905</v>
      </c>
      <c r="S5" s="31">
        <f>'FS Desroches Daily'!AF7</f>
        <v>740.00000000000909</v>
      </c>
      <c r="T5" s="31">
        <f>'FS Desroches Daily'!AH7</f>
        <v>28</v>
      </c>
      <c r="U5" s="35">
        <f>'FS Desroches Daily'!AJ7</f>
        <v>509.99999999999091</v>
      </c>
      <c r="V5" s="35">
        <f>'FS Desroches Daily'!AL7</f>
        <v>220.00000000002728</v>
      </c>
      <c r="W5" s="35">
        <f>'FS Desroches Daily'!AN7</f>
        <v>159.99999999996817</v>
      </c>
      <c r="X5" s="35">
        <f>'FS Desroches Daily'!AP7</f>
        <v>129.99999999999545</v>
      </c>
      <c r="Y5" s="35">
        <f>'FS Desroches Daily'!AR7</f>
        <v>149.99999999997726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139.99999999998636</v>
      </c>
      <c r="AC5" s="35">
        <f>'FS Desroches Daily'!AZ7</f>
        <v>109.9999999999568</v>
      </c>
      <c r="AD5" s="35">
        <f>'FS Desroches Daily'!BB7</f>
        <v>100.00000000002274</v>
      </c>
      <c r="AE5" s="35">
        <f>'FS Desroches Daily'!BD7</f>
        <v>90.000000000031832</v>
      </c>
      <c r="AF5" s="31" t="str">
        <f>'FS Desroches Daily'!BF7</f>
        <v/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39.99999999996362</v>
      </c>
      <c r="AL5" s="32">
        <f>'FS Desroches Daily'!BR7</f>
        <v>33</v>
      </c>
      <c r="AM5" s="32">
        <f>'FS Desroches Daily'!BT7</f>
        <v>30.000000000001137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50.900000000001455</v>
      </c>
      <c r="AR5" s="31">
        <f>'FS Desroches Daily'!CD7</f>
        <v>10.700000000000728</v>
      </c>
      <c r="AS5" s="31" t="str">
        <f>'FS Desroches Daily'!CF7</f>
        <v/>
      </c>
      <c r="AT5" s="31">
        <f>'FS Desroches Daily'!CH7</f>
        <v>50.19999999999709</v>
      </c>
      <c r="AU5" s="31">
        <f>'FS Desroches Daily'!CJ7</f>
        <v>268</v>
      </c>
      <c r="AV5" s="31">
        <f>'FS Desroches Daily'!CL7</f>
        <v>900.00000000009095</v>
      </c>
      <c r="AW5" s="31">
        <f>'FS Desroches Daily'!CM7</f>
        <v>94</v>
      </c>
      <c r="AX5" s="31" t="str">
        <f>IF(LPG!F12-LPG!F11&lt;0,"0",(LPG!F12-LPG!F11)*1.8315)</f>
        <v>0</v>
      </c>
      <c r="AY5" s="31" t="str">
        <f>IF(LPG!G12-LPG!G11&lt;0,"0",(LPG!G12-LPG!G11)*1.8315)</f>
        <v>0</v>
      </c>
      <c r="AZ5" s="31">
        <f>IF(LPG!H12-LPG!H13&lt;0,"0",(LPG!H12-LPG!H13)*1.8315)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7</v>
      </c>
      <c r="D6" s="27">
        <v>2022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>
        <f>'FS Desroches Daily'!BF8</f>
        <v>0</v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>
        <f>'FS Desroches Daily'!CF8</f>
        <v>0</v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>
        <f>IF(LPG!F13-LPG!F12&lt;0,"0",(LPG!F13-LPG!F12)*1.8315)</f>
        <v>0</v>
      </c>
      <c r="AY6" s="31">
        <f>IF(LPG!G13-LPG!G12&lt;0,"0",(LPG!G13-LPG!G12)*1.8315)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7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7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7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7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7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350.86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7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7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7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7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7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7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7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7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7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7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7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7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7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249.59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7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7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7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7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7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304.38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7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IF(LPG!H38-LPG!H36&lt;0,"0",(LPG!H38-LPG!H36)*1.8315)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7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IF(LPG!H39-LPG!H37&lt;0,"0",(LPG!H39-LPG!H37)*1.8315)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7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IF(LPG!G39-LPG!G38&lt;0,"0",(LPG!G39-LPG!G38)*1.8315)</f>
        <v>0</v>
      </c>
      <c r="AZ32" s="31">
        <f>IF(LPG!H40-LPG!H38&lt;0,"0",(LPG!H40-LPG!H38)*1.8315)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8100.0000000002183</v>
      </c>
      <c r="F33" s="17">
        <f t="shared" ref="F33:AV33" si="0">SUM(F2:F32)</f>
        <v>12199.999999999989</v>
      </c>
      <c r="G33" s="17">
        <f t="shared" si="0"/>
        <v>12699.999999999711</v>
      </c>
      <c r="H33" s="17">
        <f t="shared" si="0"/>
        <v>5399.9999999998499</v>
      </c>
      <c r="I33" s="17">
        <f t="shared" si="0"/>
        <v>7800.0000000000291</v>
      </c>
      <c r="J33" s="17">
        <f t="shared" si="0"/>
        <v>5999.9999999997835</v>
      </c>
      <c r="K33" s="17">
        <f t="shared" si="0"/>
        <v>93</v>
      </c>
      <c r="L33" s="17">
        <f t="shared" si="0"/>
        <v>8</v>
      </c>
      <c r="M33" s="17">
        <f t="shared" si="0"/>
        <v>4.8999999999998636</v>
      </c>
      <c r="N33" s="17">
        <f t="shared" si="0"/>
        <v>1448.5999999999767</v>
      </c>
      <c r="O33" s="17">
        <f t="shared" si="0"/>
        <v>900.00000000009095</v>
      </c>
      <c r="P33" s="17">
        <f t="shared" si="0"/>
        <v>11199.999999999654</v>
      </c>
      <c r="Q33" s="17">
        <f t="shared" si="0"/>
        <v>1350.0000000000227</v>
      </c>
      <c r="R33" s="17">
        <f t="shared" si="0"/>
        <v>1419.9999999999591</v>
      </c>
      <c r="S33" s="17">
        <f t="shared" si="0"/>
        <v>2889.9999999999864</v>
      </c>
      <c r="T33" s="17">
        <f t="shared" si="0"/>
        <v>107</v>
      </c>
      <c r="U33" s="35">
        <f t="shared" si="0"/>
        <v>2019.9999999999818</v>
      </c>
      <c r="V33" s="35">
        <f t="shared" si="0"/>
        <v>889.99999999998636</v>
      </c>
      <c r="W33" s="35">
        <f t="shared" si="0"/>
        <v>629.99999999999545</v>
      </c>
      <c r="X33" s="35">
        <f t="shared" si="0"/>
        <v>530.00000000002956</v>
      </c>
      <c r="Y33" s="35">
        <f t="shared" si="0"/>
        <v>659.99999999996817</v>
      </c>
      <c r="Z33" s="35">
        <f t="shared" si="0"/>
        <v>339.99999999997499</v>
      </c>
      <c r="AA33" s="35">
        <f t="shared" si="0"/>
        <v>339.99999999997499</v>
      </c>
      <c r="AB33" s="35">
        <f t="shared" si="0"/>
        <v>900.86000000001138</v>
      </c>
      <c r="AC33" s="35">
        <f t="shared" si="0"/>
        <v>529.99999999997272</v>
      </c>
      <c r="AD33" s="35">
        <f t="shared" si="0"/>
        <v>469.99999999997044</v>
      </c>
      <c r="AE33" s="35">
        <f t="shared" si="0"/>
        <v>270.00000000003865</v>
      </c>
      <c r="AF33" s="17">
        <f t="shared" si="0"/>
        <v>57</v>
      </c>
      <c r="AG33" s="32">
        <f t="shared" si="0"/>
        <v>369.59000000000458</v>
      </c>
      <c r="AH33" s="32">
        <f t="shared" si="0"/>
        <v>414.38000000001364</v>
      </c>
      <c r="AI33" s="32">
        <f t="shared" si="0"/>
        <v>159.99999999999659</v>
      </c>
      <c r="AJ33" s="32">
        <f t="shared" si="0"/>
        <v>110.00000000001364</v>
      </c>
      <c r="AK33" s="32">
        <f t="shared" si="0"/>
        <v>129.99999999999545</v>
      </c>
      <c r="AL33" s="32">
        <f t="shared" si="0"/>
        <v>116</v>
      </c>
      <c r="AM33" s="32">
        <f t="shared" si="0"/>
        <v>140.00000000001478</v>
      </c>
      <c r="AN33" s="32">
        <f t="shared" si="0"/>
        <v>133</v>
      </c>
      <c r="AO33" s="32">
        <f t="shared" si="0"/>
        <v>129.99999999999545</v>
      </c>
      <c r="AP33" s="32">
        <f t="shared" si="0"/>
        <v>145</v>
      </c>
      <c r="AQ33" s="17">
        <f t="shared" si="0"/>
        <v>213.40000000000146</v>
      </c>
      <c r="AR33" s="17">
        <f t="shared" si="0"/>
        <v>41.700000000000728</v>
      </c>
      <c r="AS33" s="17">
        <f t="shared" si="0"/>
        <v>11.799999999999272</v>
      </c>
      <c r="AT33" s="17">
        <f t="shared" si="0"/>
        <v>190.59999999999127</v>
      </c>
      <c r="AU33" s="17">
        <f t="shared" si="0"/>
        <v>1096</v>
      </c>
      <c r="AV33" s="17">
        <f t="shared" si="0"/>
        <v>3500</v>
      </c>
      <c r="AW33" s="31">
        <f>'FS Desroches Daily'!CM35</f>
        <v>0</v>
      </c>
      <c r="AX33" s="31">
        <f>IF(LPG!F41-LPG!F39&lt;0,"0",(LPG!F41-LPG!F39)*1.8315)</f>
        <v>0</v>
      </c>
      <c r="AY33" s="31">
        <f>IF(LPG!G40-LPG!G39&lt;0,"0",(LPG!G40-LPG!G39)*1.8315)</f>
        <v>0</v>
      </c>
      <c r="AZ33" s="31">
        <f>IF(LPG!H41-LPG!H39&lt;0,"0",(LPG!H41-LPG!H39)*1.8315)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3">
        <f>'FS Desroches Daily'!CN35</f>
        <v>0</v>
      </c>
    </row>
    <row r="35" spans="5:55" x14ac:dyDescent="0.25">
      <c r="E35" s="38">
        <f>E33/E37</f>
        <v>0.22792503798751537</v>
      </c>
      <c r="G35" s="29">
        <f>G33-M36</f>
        <v>11246.499999999734</v>
      </c>
      <c r="AE35" s="35">
        <f>SUM(U33:AE33)</f>
        <v>7580.8599999999042</v>
      </c>
      <c r="AG35" s="32">
        <f>SUM(AG33:AP33)</f>
        <v>1847.9700000000341</v>
      </c>
    </row>
    <row r="36" spans="5:55" x14ac:dyDescent="0.25">
      <c r="G36" s="29">
        <f>G35-633*14</f>
        <v>2384.4999999997344</v>
      </c>
      <c r="M36" s="29">
        <f>M33+N33</f>
        <v>1453.4999999999766</v>
      </c>
    </row>
    <row r="37" spans="5:55" x14ac:dyDescent="0.25">
      <c r="E37" s="17">
        <f>E33+F33+G33+H33+J33-633*14</f>
        <v>35537.999999999549</v>
      </c>
      <c r="G37" s="37">
        <f>M36/E37</f>
        <v>4.0899881816646833E-2</v>
      </c>
      <c r="M37" s="35">
        <f>AE35</f>
        <v>7580.8599999999042</v>
      </c>
    </row>
    <row r="38" spans="5:55" x14ac:dyDescent="0.25">
      <c r="L38" s="27">
        <f>M38/E37</f>
        <v>5.1999831166640149E-2</v>
      </c>
      <c r="M38" s="29">
        <f>AG35</f>
        <v>1847.9700000000341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5" zoomScaleNormal="85" workbookViewId="0">
      <pane ySplit="1" topLeftCell="A2" activePane="bottomLeft" state="frozen"/>
      <selection pane="bottomLeft" activeCell="O9" sqref="O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44744</v>
      </c>
      <c r="B3" s="68"/>
      <c r="C3" s="58">
        <v>3.3180999999999998</v>
      </c>
      <c r="D3" s="64" t="e">
        <f t="shared" ref="D3" si="0">IF((C3-C2&lt;0), "0",(C3-C2)*1000000)</f>
        <v>#VALUE!</v>
      </c>
      <c r="E3" s="58">
        <v>4.4379</v>
      </c>
      <c r="F3" s="64" t="e">
        <f t="shared" ref="F3" si="1">IF((E3-E2&lt;0), "0",(E3-E2)*1000000)</f>
        <v>#VALUE!</v>
      </c>
      <c r="G3" s="58">
        <v>4.4000000000000004</v>
      </c>
      <c r="H3" s="64" t="e">
        <f t="shared" ref="H3" si="2">IF((G3-G2&lt;0), "0",(G3-G2)*1000000)</f>
        <v>#VALUE!</v>
      </c>
      <c r="I3" s="58">
        <v>2.2099000000000002</v>
      </c>
      <c r="J3" s="64" t="e">
        <f t="shared" ref="J3" si="3">IF((I3-I2&lt;0), "0",(I3-I2)*1000000)</f>
        <v>#VALUE!</v>
      </c>
      <c r="K3" s="58">
        <v>3.4354</v>
      </c>
      <c r="L3" s="64" t="e">
        <f t="shared" ref="L3" si="4">IF((K3-K2&lt;0), "0",(K3-K2)*1000000)</f>
        <v>#VALUE!</v>
      </c>
      <c r="M3" s="58">
        <v>1.9990000000000001</v>
      </c>
      <c r="N3" s="64" t="e">
        <f t="shared" ref="N3" si="5">IF((M3-M2&lt;0), "",(M3-M2)*1000000)</f>
        <v>#VALUE!</v>
      </c>
      <c r="O3" s="58">
        <v>21969</v>
      </c>
      <c r="P3" s="67" t="e">
        <f t="shared" ref="P3" si="6">IF((O3-O2&lt;0), "",O3-O2)</f>
        <v>#VALUE!</v>
      </c>
      <c r="Q3" s="58">
        <v>2712</v>
      </c>
      <c r="R3" s="67" t="e">
        <f t="shared" ref="R3" si="7">IF((Q3-Q2&lt;0), "",Q3-Q2)</f>
        <v>#VALUE!</v>
      </c>
      <c r="S3" s="58">
        <v>1390.2</v>
      </c>
      <c r="T3" s="67" t="e">
        <f t="shared" ref="T3" si="8">IF((S3-S2&lt;0), "",S3-S2)</f>
        <v>#VALUE!</v>
      </c>
      <c r="U3" s="58">
        <v>566409.9</v>
      </c>
      <c r="V3" s="67" t="e">
        <f t="shared" ref="V3" si="9">IF((U3-U2&lt;0), "",U3-U2)</f>
        <v>#VALUE!</v>
      </c>
      <c r="W3" s="58">
        <v>523.37</v>
      </c>
      <c r="X3" s="65" t="e">
        <f t="shared" ref="X3" si="10">IF((W3-W2&lt;0), "",(W3-W2)*1000)</f>
        <v>#VALUE!</v>
      </c>
      <c r="Y3" s="58">
        <v>3.9037000000000002</v>
      </c>
      <c r="Z3" s="65" t="e">
        <f t="shared" ref="Z3" si="11">IF((Y3-Y2&lt;0), "",(Y3-Y2)*1000000)</f>
        <v>#VALUE!</v>
      </c>
      <c r="AA3" s="58">
        <v>528.11</v>
      </c>
      <c r="AB3" s="65" t="e">
        <f t="shared" ref="AB3" si="12">IF((AA3-AA2&lt;0), "",(AA3-AA2)*1000)</f>
        <v>#VALUE!</v>
      </c>
      <c r="AC3" s="58">
        <v>522.01</v>
      </c>
      <c r="AD3" s="65" t="e">
        <f t="shared" ref="AD3" si="13">IF((AC3-AC2&lt;0), "",(AC3-AC2)*1000)</f>
        <v>#VALUE!</v>
      </c>
      <c r="AE3" s="58">
        <v>786.1</v>
      </c>
      <c r="AF3" s="65" t="e">
        <f t="shared" ref="AF3" si="14">IF((AE3-AE2&lt;0), "",(AE3-AE2)*1000)</f>
        <v>#VALUE!</v>
      </c>
      <c r="AG3" s="58">
        <v>18659</v>
      </c>
      <c r="AH3" s="67" t="e">
        <f t="shared" ref="AH3" si="15">IF((AG3-AG2&lt;0), "",AG3-AG2)</f>
        <v>#VALUE!</v>
      </c>
      <c r="AI3" s="58">
        <v>882.69</v>
      </c>
      <c r="AJ3" s="65" t="e">
        <f t="shared" ref="AJ3" si="16">IF((AI3-AI2&lt;0), "",(AI3-AI2)*1000)</f>
        <v>#VALUE!</v>
      </c>
      <c r="AK3" s="58">
        <v>294.72000000000003</v>
      </c>
      <c r="AL3" s="65" t="e">
        <f t="shared" ref="AL3" si="17">IF((AK3-AK2&lt;0), "",(AK3-AK2)*1000)</f>
        <v>#VALUE!</v>
      </c>
      <c r="AM3" s="58">
        <v>274.20999999999998</v>
      </c>
      <c r="AN3" s="65" t="e">
        <f t="shared" ref="AN3" si="18">IF((AM3-AM2&lt;0), "",(AM3-AM2)*1000)</f>
        <v>#VALUE!</v>
      </c>
      <c r="AO3" s="58">
        <v>264.70999999999998</v>
      </c>
      <c r="AP3" s="65" t="e">
        <f t="shared" ref="AP3" si="19">IF((AO3-AO2&lt;0), "",(AO3-AO2)*1000)</f>
        <v>#VALUE!</v>
      </c>
      <c r="AQ3" s="58">
        <v>319.42</v>
      </c>
      <c r="AR3" s="65" t="e">
        <f t="shared" ref="AR3" si="20">IF((AQ3-AQ2&lt;0), "",(AQ3-AQ2)*1000)</f>
        <v>#VALUE!</v>
      </c>
      <c r="AS3" s="58">
        <v>444.72</v>
      </c>
      <c r="AT3" s="65" t="e">
        <f t="shared" ref="AT3" si="21">IF((AS3-AS2&lt;0), "",(AS3-AS2)*1000)</f>
        <v>#VALUE!</v>
      </c>
      <c r="AU3" s="58">
        <v>353.56</v>
      </c>
      <c r="AV3" s="65" t="e">
        <f t="shared" ref="AV3" si="22">IF((AU3-AU2&lt;0), "",(AU3-AU2)*1000)</f>
        <v>#VALUE!</v>
      </c>
      <c r="AW3" s="58">
        <v>382.3</v>
      </c>
      <c r="AX3" s="65" t="e">
        <f t="shared" ref="AX3" si="23">IF((AW3-AW2&lt;0), "",(AW3-AW2)*1000)</f>
        <v>#VALUE!</v>
      </c>
      <c r="AY3" s="58">
        <v>415.74</v>
      </c>
      <c r="AZ3" s="65" t="e">
        <f t="shared" ref="AZ3" si="24">IF((AY3-AY2&lt;0), "",(AY3-AY2)*1000)</f>
        <v>#VALUE!</v>
      </c>
      <c r="BA3" s="58">
        <v>435.22</v>
      </c>
      <c r="BB3" s="65" t="e">
        <f t="shared" ref="BB3" si="25">IF((BA3-BA2&lt;0), "",(BA3-BA2)*1000)</f>
        <v>#VALUE!</v>
      </c>
      <c r="BC3" s="58">
        <v>280.33</v>
      </c>
      <c r="BD3" s="65" t="e">
        <f t="shared" ref="BD3" si="26">IF((BC3-BC2&lt;0), "",(BC3-BC2)*1000)</f>
        <v>#VALUE!</v>
      </c>
      <c r="BE3" s="59">
        <v>52359</v>
      </c>
      <c r="BF3" s="67" t="e">
        <f t="shared" ref="BF3" si="27">IF((BE3-BE2&lt;0), "",BE3-BE2)</f>
        <v>#VALUE!</v>
      </c>
      <c r="BG3" s="60">
        <v>249.81</v>
      </c>
      <c r="BH3" s="65" t="e">
        <f t="shared" ref="BH3" si="28">IF((BG3-BG2&lt;0), "",(BG3-BG2)*1000)</f>
        <v>#VALUE!</v>
      </c>
      <c r="BI3" s="60">
        <v>304.45999999999998</v>
      </c>
      <c r="BJ3" s="65" t="e">
        <f t="shared" ref="BJ3" si="29">IF((BI3-BI2&lt;0), "",(BI3-BI2)*1000)</f>
        <v>#VALUE!</v>
      </c>
      <c r="BK3" s="60">
        <v>253.68</v>
      </c>
      <c r="BL3" s="65" t="e">
        <f t="shared" ref="BL3" si="30">IF((BK3-BK2&lt;0), "",(BK3-BK2)*1000)</f>
        <v>#VALUE!</v>
      </c>
      <c r="BM3" s="60">
        <v>239.6</v>
      </c>
      <c r="BN3" s="65" t="e">
        <f t="shared" ref="BN3" si="31">IF((BM3-BM2&lt;0), "",(BM3-BM2)*1000)</f>
        <v>#VALUE!</v>
      </c>
      <c r="BO3" s="60">
        <v>307.82</v>
      </c>
      <c r="BP3" s="65" t="e">
        <f t="shared" ref="BP3" si="32">IF((BO3-BO2&lt;0), "",(BO3-BO2)*1000)</f>
        <v>#VALUE!</v>
      </c>
      <c r="BQ3" s="60">
        <v>57871</v>
      </c>
      <c r="BR3" s="65" t="e">
        <f t="shared" ref="BR3" si="33">IF((BQ3-BQ2&lt;0), "",BQ3-BQ2)</f>
        <v>#VALUE!</v>
      </c>
      <c r="BS3" s="60">
        <v>217.38</v>
      </c>
      <c r="BT3" s="65" t="e">
        <f t="shared" ref="BT3" si="34">IF((BS3-BS2&lt;0), "",(BS3-BS2)*1000)</f>
        <v>#VALUE!</v>
      </c>
      <c r="BU3" s="60">
        <v>55701</v>
      </c>
      <c r="BV3" s="65" t="e">
        <f t="shared" ref="BV3" si="35">IF((BU3-BU2&lt;0), "",BU3-BU2)</f>
        <v>#VALUE!</v>
      </c>
      <c r="BW3" s="60">
        <v>245.52</v>
      </c>
      <c r="BX3" s="65" t="e">
        <f t="shared" ref="BX3" si="36">IF((BW3-BW2&lt;0), "",(BW3-BW2)*1000)</f>
        <v>#VALUE!</v>
      </c>
      <c r="BY3" s="60">
        <v>75619</v>
      </c>
      <c r="BZ3" s="67" t="e">
        <f t="shared" ref="BZ3" si="37">IF((BY3-BY2&lt;0), "",BY3-BY2)</f>
        <v>#VALUE!</v>
      </c>
      <c r="CA3" s="60">
        <v>50335.7</v>
      </c>
      <c r="CB3" s="67" t="e">
        <f t="shared" ref="CB3" si="38">IF((CA3-CA2&lt;0), "",CA3-CA2)</f>
        <v>#VALUE!</v>
      </c>
      <c r="CC3" s="60">
        <v>16136.8</v>
      </c>
      <c r="CD3" s="67" t="e">
        <f t="shared" ref="CD3" si="39">IF((CC3-CC2&lt;0), "",CC3-CC2)</f>
        <v>#VALUE!</v>
      </c>
      <c r="CE3" s="60">
        <v>8289.2000000000007</v>
      </c>
      <c r="CF3" s="67" t="e">
        <f t="shared" ref="CF3" si="40">IF((CE3-CE2&lt;0), "",CE3-CE2)</f>
        <v>#VALUE!</v>
      </c>
      <c r="CG3" s="60">
        <v>76361.100000000006</v>
      </c>
      <c r="CH3" s="67" t="e">
        <f t="shared" ref="CH3" si="41">IF((CG3-CG2&lt;0), "",CG3-CG2)</f>
        <v>#VALUE!</v>
      </c>
      <c r="CI3" s="60">
        <v>1058130</v>
      </c>
      <c r="CJ3" s="67" t="e">
        <f t="shared" ref="CJ3" si="42">IF((CI3-CI2&lt;0), "",CI3-CI2)</f>
        <v>#VALUE!</v>
      </c>
      <c r="CK3" s="60">
        <v>1028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24</v>
      </c>
      <c r="CO3" s="62">
        <v>48</v>
      </c>
      <c r="CP3" s="68">
        <v>33551</v>
      </c>
      <c r="CQ3" s="67" t="e">
        <f t="shared" ref="CQ3" si="45">IF((CP3-CP2&lt;0), "",CP3-CP2)</f>
        <v>#VALUE!</v>
      </c>
      <c r="CR3" s="68">
        <v>22292</v>
      </c>
      <c r="CS3" s="67" t="e">
        <f t="shared" ref="CS3" si="46">IF((CR3-CR2&lt;0), "",CR3-CR2)</f>
        <v>#VALUE!</v>
      </c>
      <c r="CT3" s="75">
        <v>10675</v>
      </c>
      <c r="CU3" s="67" t="e">
        <f t="shared" ref="CU3" si="47">IF((CT3-CT2&lt;0), "",CT3-CT2)</f>
        <v>#VALUE!</v>
      </c>
      <c r="CV3" s="68">
        <v>25304</v>
      </c>
      <c r="CW3" s="67" t="e">
        <f t="shared" ref="CW3" si="48">IF((CV3-CV2&lt;0), "",CV3-CV2)</f>
        <v>#VALUE!</v>
      </c>
      <c r="CX3" s="58">
        <v>3444.5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44745</v>
      </c>
      <c r="B4" s="68"/>
      <c r="C4" s="58">
        <v>3.3201000000000001</v>
      </c>
      <c r="D4" s="64">
        <f t="shared" ref="D4:D34" si="50">IF((C4-C3&lt;0), "0",(C4-C3)*1000000)</f>
        <v>2000.0000000002237</v>
      </c>
      <c r="E4" s="58">
        <v>4.4409999999999998</v>
      </c>
      <c r="F4" s="64">
        <f t="shared" ref="F4:F34" si="51">IF((E4-E3&lt;0), "0",(E4-E3)*1000000)</f>
        <v>3099.9999999998809</v>
      </c>
      <c r="G4" s="58">
        <v>4.4032999999999998</v>
      </c>
      <c r="H4" s="64">
        <f t="shared" ref="H4:H34" si="52">IF((G4-G3&lt;0), "0",(G4-G3)*1000000)</f>
        <v>3299.9999999994143</v>
      </c>
      <c r="I4" s="58">
        <v>2.2113</v>
      </c>
      <c r="J4" s="64">
        <f t="shared" ref="J4:J34" si="53">IF((I4-I3&lt;0), "0",(I4-I3)*1000000)</f>
        <v>1399.9999999998458</v>
      </c>
      <c r="K4" s="58">
        <v>3.4373</v>
      </c>
      <c r="L4" s="64">
        <f t="shared" ref="L4:L34" si="54">IF((K4-K3&lt;0), "0",(K4-K3)*1000000)</f>
        <v>1900.0000000000127</v>
      </c>
      <c r="M4" s="58">
        <v>2.0005999999999999</v>
      </c>
      <c r="N4" s="64">
        <f t="shared" ref="N4:N34" si="55">IF((M4-M3&lt;0), "",(M4-M3)*1000000)</f>
        <v>1599.9999999998238</v>
      </c>
      <c r="O4" s="58">
        <v>21988</v>
      </c>
      <c r="P4" s="67">
        <f t="shared" ref="P4:P34" si="56">IF((O4-O3&lt;0), "",O4-O3)</f>
        <v>19</v>
      </c>
      <c r="Q4" s="58">
        <v>2714</v>
      </c>
      <c r="R4" s="67">
        <f t="shared" ref="R4:R34" si="57">IF((Q4-Q3&lt;0), "",Q4-Q3)</f>
        <v>2</v>
      </c>
      <c r="S4" s="58">
        <v>1391.7</v>
      </c>
      <c r="T4" s="67">
        <f t="shared" ref="T4:T34" si="58">IF((S4-S3&lt;0), "",S4-S3)</f>
        <v>1.5</v>
      </c>
      <c r="U4" s="58">
        <v>566881.4</v>
      </c>
      <c r="V4" s="67">
        <f t="shared" ref="V4:V34" si="59">IF((U4-U3&lt;0), "",U4-U3)</f>
        <v>471.5</v>
      </c>
      <c r="W4" s="58">
        <v>523.70000000000005</v>
      </c>
      <c r="X4" s="65">
        <f t="shared" ref="X4:X34" si="60">IF((W4-W3&lt;0), "",(W4-W3)*1000)</f>
        <v>330.00000000004093</v>
      </c>
      <c r="Y4" s="58">
        <v>3.9066999999999998</v>
      </c>
      <c r="Z4" s="65">
        <f t="shared" ref="Z4:Z34" si="61">IF((Y4-Y3&lt;0), "",(Y4-Y3)*1000000)</f>
        <v>2999.9999999996694</v>
      </c>
      <c r="AA4" s="58">
        <v>528.5</v>
      </c>
      <c r="AB4" s="65">
        <f t="shared" ref="AB4:AB34" si="62">IF((AA4-AA3&lt;0), "",(AA4-AA3)*1000)</f>
        <v>389.99999999998636</v>
      </c>
      <c r="AC4" s="58">
        <v>522.27</v>
      </c>
      <c r="AD4" s="65">
        <f t="shared" ref="AD4:AD34" si="63">IF((AC4-AC3&lt;0), "",(AC4-AC3)*1000)</f>
        <v>259.99999999999091</v>
      </c>
      <c r="AE4" s="58">
        <v>786.91</v>
      </c>
      <c r="AF4" s="65">
        <f t="shared" ref="AF4:AF34" si="64">IF((AE4-AE3&lt;0), "",(AE4-AE3)*1000)</f>
        <v>809.99999999994543</v>
      </c>
      <c r="AG4" s="58">
        <v>18686</v>
      </c>
      <c r="AH4" s="67">
        <f t="shared" ref="AH4:AH34" si="65">IF((AG4-AG3&lt;0), "",AG4-AG3)</f>
        <v>27</v>
      </c>
      <c r="AI4" s="58">
        <v>883.23</v>
      </c>
      <c r="AJ4" s="65">
        <f t="shared" ref="AJ4:AJ34" si="66">IF((AI4-AI3&lt;0), "",(AI4-AI3)*1000)</f>
        <v>539.99999999996362</v>
      </c>
      <c r="AK4" s="58">
        <v>294.95</v>
      </c>
      <c r="AL4" s="65">
        <f t="shared" ref="AL4:AL34" si="67">IF((AK4-AK3&lt;0), "",(AK4-AK3)*1000)</f>
        <v>229.99999999996135</v>
      </c>
      <c r="AM4" s="58">
        <v>274.41000000000003</v>
      </c>
      <c r="AN4" s="65">
        <f t="shared" ref="AN4:AN34" si="68">IF((AM4-AM3&lt;0), "",(AM4-AM3)*1000)</f>
        <v>200.00000000004547</v>
      </c>
      <c r="AO4" s="58">
        <v>264.85000000000002</v>
      </c>
      <c r="AP4" s="65">
        <f t="shared" ref="AP4:AP34" si="69">IF((AO4-AO3&lt;0), "",(AO4-AO3)*1000)</f>
        <v>140.0000000000432</v>
      </c>
      <c r="AQ4" s="58">
        <v>319.58999999999997</v>
      </c>
      <c r="AR4" s="65">
        <f t="shared" ref="AR4:AR34" si="70">IF((AQ4-AQ3&lt;0), "",(AQ4-AQ3)*1000)</f>
        <v>169.99999999995907</v>
      </c>
      <c r="AS4" s="58">
        <v>444.8</v>
      </c>
      <c r="AT4" s="65">
        <f t="shared" ref="AT4:AT34" si="71">IF((AS4-AS3&lt;0), "",(AS4-AS3)*1000)</f>
        <v>79.999999999984084</v>
      </c>
      <c r="AU4" s="58">
        <v>353.68</v>
      </c>
      <c r="AV4" s="65">
        <f t="shared" ref="AV4:AV34" si="72">IF((AU4-AU3&lt;0), "",(AU4-AU3)*1000)</f>
        <v>120.00000000000455</v>
      </c>
      <c r="AW4" s="58">
        <v>382.34</v>
      </c>
      <c r="AX4" s="65">
        <f t="shared" ref="AX4:AX34" si="73">IF((AW4-AW3&lt;0), "",(AW4-AW3)*1000)</f>
        <v>39.99999999996362</v>
      </c>
      <c r="AY4" s="58">
        <v>415.89</v>
      </c>
      <c r="AZ4" s="65">
        <f t="shared" ref="AZ4" si="74">IF((AY4-AY3&lt;0), "",(AY4-AY3)*1000)</f>
        <v>149.99999999997726</v>
      </c>
      <c r="BA4" s="58">
        <v>435.34</v>
      </c>
      <c r="BB4" s="65">
        <f t="shared" ref="BB4" si="75">IF((BA4-BA3&lt;0), "",(BA4-BA3)*1000)</f>
        <v>119.9999999999477</v>
      </c>
      <c r="BC4" s="58">
        <v>280.38</v>
      </c>
      <c r="BD4" s="65">
        <f t="shared" ref="BD4" si="76">IF((BC4-BC3&lt;0), "",(BC4-BC3)*1000)</f>
        <v>50.000000000011369</v>
      </c>
      <c r="BE4" s="59">
        <v>52378</v>
      </c>
      <c r="BF4" s="67">
        <f t="shared" ref="BF4" si="77">IF((BE4-BE3&lt;0), "",BE4-BE3)</f>
        <v>19</v>
      </c>
      <c r="BG4" s="60">
        <v>249.84</v>
      </c>
      <c r="BH4" s="65">
        <f t="shared" ref="BH4" si="78">IF((BG4-BG3&lt;0), "",(BG4-BG3)*1000)</f>
        <v>30.000000000001137</v>
      </c>
      <c r="BI4" s="60">
        <v>304.49</v>
      </c>
      <c r="BJ4" s="65">
        <f t="shared" ref="BJ4" si="79">IF((BI4-BI3&lt;0), "",(BI4-BI3)*1000)</f>
        <v>30.000000000029559</v>
      </c>
      <c r="BK4" s="60">
        <v>253.72</v>
      </c>
      <c r="BL4" s="65">
        <f t="shared" ref="BL4" si="80">IF((BK4-BK3&lt;0), "",(BK4-BK3)*1000)</f>
        <v>39.999999999992042</v>
      </c>
      <c r="BM4" s="60">
        <v>239.62</v>
      </c>
      <c r="BN4" s="65">
        <f t="shared" ref="BN4" si="81">IF((BM4-BM3&lt;0), "",(BM4-BM3)*1000)</f>
        <v>20.000000000010232</v>
      </c>
      <c r="BO4" s="60">
        <v>307.85000000000002</v>
      </c>
      <c r="BP4" s="65">
        <f t="shared" ref="BP4" si="82">IF((BO4-BO3&lt;0), "",(BO4-BO3)*1000)</f>
        <v>30.000000000029559</v>
      </c>
      <c r="BQ4" s="60">
        <v>57898</v>
      </c>
      <c r="BR4" s="65">
        <f t="shared" ref="BR4" si="83">IF((BQ4-BQ3&lt;0), "",BQ4-BQ3)</f>
        <v>27</v>
      </c>
      <c r="BS4" s="60">
        <v>217.42</v>
      </c>
      <c r="BT4" s="65">
        <f t="shared" ref="BT4" si="84">IF((BS4-BS3&lt;0), "",(BS4-BS3)*1000)</f>
        <v>39.999999999992042</v>
      </c>
      <c r="BU4" s="60">
        <v>55734</v>
      </c>
      <c r="BV4" s="65">
        <f t="shared" ref="BV4" si="85">IF((BU4-BU3&lt;0), "",BU4-BU3)</f>
        <v>33</v>
      </c>
      <c r="BW4" s="60">
        <v>245.55</v>
      </c>
      <c r="BX4" s="65">
        <f t="shared" ref="BX4" si="86">IF((BW4-BW3&lt;0), "",(BW4-BW3)*1000)</f>
        <v>30.000000000001137</v>
      </c>
      <c r="BY4" s="60">
        <v>75658</v>
      </c>
      <c r="BZ4" s="67">
        <f t="shared" ref="BZ4" si="87">IF((BY4-BY3&lt;0), "",BY4-BY3)</f>
        <v>39</v>
      </c>
      <c r="CA4" s="60">
        <v>50391.8</v>
      </c>
      <c r="CB4" s="67">
        <f t="shared" ref="CB4" si="88">IF((CA4-CA3&lt;0), "",CA4-CA3)</f>
        <v>56.100000000005821</v>
      </c>
      <c r="CC4" s="60">
        <v>16150.3</v>
      </c>
      <c r="CD4" s="67">
        <f t="shared" ref="CD4" si="89">IF((CC4-CC3&lt;0), "",CC4-CC3)</f>
        <v>13.5</v>
      </c>
      <c r="CE4" s="60">
        <v>8293.7000000000007</v>
      </c>
      <c r="CF4" s="67">
        <f t="shared" ref="CF4" si="90">IF((CE4-CE3&lt;0), "",CE4-CE3)</f>
        <v>4.5</v>
      </c>
      <c r="CG4" s="60">
        <v>76402.8</v>
      </c>
      <c r="CH4" s="67">
        <f t="shared" ref="CH4" si="91">IF((CG4-CG3&lt;0), "",CG4-CG3)</f>
        <v>41.69999999999709</v>
      </c>
      <c r="CI4" s="60">
        <v>1058426</v>
      </c>
      <c r="CJ4" s="67">
        <f t="shared" ref="CJ4" si="92">IF((CI4-CI3&lt;0), "",CI4-CI3)</f>
        <v>296</v>
      </c>
      <c r="CK4" s="60">
        <v>1028.9000000000001</v>
      </c>
      <c r="CL4" s="64">
        <f t="shared" ref="CL4:CL34" si="93">IF((CK4-CK3&lt;0), "",(CK4-CK3)*1000)</f>
        <v>900.00000000009095</v>
      </c>
      <c r="CM4" s="65">
        <f t="shared" ref="CM4:CM34" si="94">CQ4+CS4</f>
        <v>87</v>
      </c>
      <c r="CN4" s="62">
        <v>29</v>
      </c>
      <c r="CO4" s="62">
        <v>63</v>
      </c>
      <c r="CP4" s="68">
        <v>33626</v>
      </c>
      <c r="CQ4" s="67">
        <f t="shared" ref="CQ4:CS34" si="95">IF((CP4-CP3&lt;0), "",CP4-CP3)</f>
        <v>75</v>
      </c>
      <c r="CR4" s="68">
        <v>22304</v>
      </c>
      <c r="CS4" s="67">
        <f t="shared" si="95"/>
        <v>12</v>
      </c>
      <c r="CT4" s="75">
        <v>10682</v>
      </c>
      <c r="CU4" s="67">
        <f t="shared" ref="CU4:CU34" si="96">IF((CT4-CT3&lt;0), "",CT4-CT3)</f>
        <v>7</v>
      </c>
      <c r="CV4" s="68">
        <v>25329</v>
      </c>
      <c r="CW4" s="67">
        <f t="shared" ref="CW4:CW34" si="97">IF((CV4-CV3&lt;0), "",CV4-CV3)</f>
        <v>25</v>
      </c>
      <c r="CX4" s="58">
        <v>3455.8</v>
      </c>
      <c r="CY4" s="67">
        <f t="shared" ref="CY4:CY34" si="98">IF((CX4-CX3&lt;0), "",CX4-CX3)</f>
        <v>11.300000000000182</v>
      </c>
    </row>
    <row r="5" spans="1:103" ht="25.5" customHeight="1" thickBot="1" x14ac:dyDescent="0.45">
      <c r="A5" s="63">
        <v>44746</v>
      </c>
      <c r="B5" s="44"/>
      <c r="C5" s="58">
        <v>3.3222</v>
      </c>
      <c r="D5" s="64">
        <f t="shared" si="50"/>
        <v>2099.9999999999909</v>
      </c>
      <c r="E5" s="58">
        <v>4.4439000000000002</v>
      </c>
      <c r="F5" s="64">
        <f t="shared" si="51"/>
        <v>2900.0000000003465</v>
      </c>
      <c r="G5" s="58">
        <v>4.4063999999999997</v>
      </c>
      <c r="H5" s="64">
        <f t="shared" si="52"/>
        <v>3099.9999999998809</v>
      </c>
      <c r="I5" s="58">
        <v>2.2126000000000001</v>
      </c>
      <c r="J5" s="64">
        <f t="shared" si="53"/>
        <v>1300.0000000000789</v>
      </c>
      <c r="K5" s="58">
        <v>3.4392999999999998</v>
      </c>
      <c r="L5" s="64">
        <f t="shared" si="54"/>
        <v>1999.9999999997797</v>
      </c>
      <c r="M5" s="58">
        <v>2.0022000000000002</v>
      </c>
      <c r="N5" s="64">
        <f t="shared" si="55"/>
        <v>1600.0000000002678</v>
      </c>
      <c r="O5" s="58">
        <v>21999</v>
      </c>
      <c r="P5" s="67">
        <f t="shared" si="56"/>
        <v>11</v>
      </c>
      <c r="Q5" s="58">
        <v>2717</v>
      </c>
      <c r="R5" s="67">
        <f t="shared" si="57"/>
        <v>3</v>
      </c>
      <c r="S5" s="58">
        <v>1392.9</v>
      </c>
      <c r="T5" s="67">
        <f t="shared" si="58"/>
        <v>1.2000000000000455</v>
      </c>
      <c r="U5" s="58">
        <v>567206.1</v>
      </c>
      <c r="V5" s="67">
        <f t="shared" si="59"/>
        <v>324.69999999995343</v>
      </c>
      <c r="W5" s="58">
        <v>524</v>
      </c>
      <c r="X5" s="65">
        <f t="shared" si="60"/>
        <v>299.99999999995453</v>
      </c>
      <c r="Y5" s="58">
        <v>3.9094000000000002</v>
      </c>
      <c r="Z5" s="65">
        <f t="shared" si="61"/>
        <v>2700.0000000003688</v>
      </c>
      <c r="AA5" s="58">
        <v>528.87</v>
      </c>
      <c r="AB5" s="65">
        <f t="shared" si="62"/>
        <v>370.00000000000455</v>
      </c>
      <c r="AC5" s="58">
        <v>522.76</v>
      </c>
      <c r="AD5" s="65">
        <f t="shared" si="63"/>
        <v>490.00000000000909</v>
      </c>
      <c r="AE5" s="58">
        <v>787.63</v>
      </c>
      <c r="AF5" s="65">
        <f t="shared" si="64"/>
        <v>720.00000000002728</v>
      </c>
      <c r="AG5" s="58">
        <v>18712</v>
      </c>
      <c r="AH5" s="67">
        <f t="shared" si="65"/>
        <v>26</v>
      </c>
      <c r="AI5" s="58">
        <v>883.74</v>
      </c>
      <c r="AJ5" s="65">
        <f t="shared" si="66"/>
        <v>509.99999999999091</v>
      </c>
      <c r="AK5" s="58">
        <v>295.19</v>
      </c>
      <c r="AL5" s="65">
        <f t="shared" si="67"/>
        <v>240.00000000000909</v>
      </c>
      <c r="AM5" s="58">
        <v>274.55</v>
      </c>
      <c r="AN5" s="65">
        <f t="shared" si="68"/>
        <v>139.99999999998636</v>
      </c>
      <c r="AO5" s="58">
        <v>265</v>
      </c>
      <c r="AP5" s="65">
        <f t="shared" si="69"/>
        <v>149.99999999997726</v>
      </c>
      <c r="AQ5" s="58">
        <v>319.77999999999997</v>
      </c>
      <c r="AR5" s="65">
        <f t="shared" si="70"/>
        <v>189.99999999999773</v>
      </c>
      <c r="AS5" s="58">
        <v>444.87</v>
      </c>
      <c r="AT5" s="65">
        <f t="shared" si="71"/>
        <v>69.999999999993179</v>
      </c>
      <c r="AU5" s="58">
        <v>353.83</v>
      </c>
      <c r="AV5" s="65">
        <f t="shared" si="72"/>
        <v>149.99999999997726</v>
      </c>
      <c r="AW5" s="58">
        <v>382.47</v>
      </c>
      <c r="AX5" s="65">
        <f t="shared" si="73"/>
        <v>130.0000000000523</v>
      </c>
      <c r="AY5" s="58">
        <v>416.05</v>
      </c>
      <c r="AZ5" s="65">
        <f t="shared" ref="AZ5:AZ34" si="99">IF((AY5-AY4&lt;0), "",(AY5-AY4)*1000)</f>
        <v>160.00000000002501</v>
      </c>
      <c r="BA5" s="58">
        <v>435.48</v>
      </c>
      <c r="BB5" s="65">
        <f t="shared" ref="BB5:BB34" si="100">IF((BA5-BA4&lt;0), "",(BA5-BA4)*1000)</f>
        <v>140.0000000000432</v>
      </c>
      <c r="BC5" s="58">
        <v>280.44</v>
      </c>
      <c r="BD5" s="65">
        <f t="shared" ref="BD5:BD34" si="101">IF((BC5-BC4&lt;0), "",(BC5-BC4)*1000)</f>
        <v>60.000000000002274</v>
      </c>
      <c r="BE5" s="59">
        <v>52401</v>
      </c>
      <c r="BF5" s="67">
        <f t="shared" ref="BF5:BF34" si="102">IF((BE5-BE4&lt;0), "",BE5-BE4)</f>
        <v>23</v>
      </c>
      <c r="BG5" s="60">
        <v>249.87</v>
      </c>
      <c r="BH5" s="65">
        <f t="shared" ref="BH5:BH34" si="103">IF((BG5-BG4&lt;0), "",(BG5-BG4)*1000)</f>
        <v>30.000000000001137</v>
      </c>
      <c r="BI5" s="60">
        <v>304.52</v>
      </c>
      <c r="BJ5" s="65">
        <f t="shared" ref="BJ5:BJ34" si="104">IF((BI5-BI4&lt;0), "",(BI5-BI4)*1000)</f>
        <v>29.999999999972715</v>
      </c>
      <c r="BK5" s="60">
        <v>253.76</v>
      </c>
      <c r="BL5" s="65">
        <f t="shared" ref="BL5:BL34" si="105">IF((BK5-BK4&lt;0), "",(BK5-BK4)*1000)</f>
        <v>39.999999999992042</v>
      </c>
      <c r="BM5" s="60">
        <v>239.65</v>
      </c>
      <c r="BN5" s="65">
        <f t="shared" ref="BN5:BN34" si="106">IF((BM5-BM4&lt;0), "",(BM5-BM4)*1000)</f>
        <v>30.000000000001137</v>
      </c>
      <c r="BO5" s="60">
        <v>307.88</v>
      </c>
      <c r="BP5" s="65">
        <f t="shared" ref="BP5:BP34" si="107">IF((BO5-BO4&lt;0), "",(BO5-BO4)*1000)</f>
        <v>29.999999999972715</v>
      </c>
      <c r="BQ5" s="60">
        <v>57925</v>
      </c>
      <c r="BR5" s="65">
        <f t="shared" ref="BR5:BR34" si="108">IF((BQ5-BQ4&lt;0), "",BQ5-BQ4)</f>
        <v>27</v>
      </c>
      <c r="BS5" s="60">
        <v>217.45</v>
      </c>
      <c r="BT5" s="65">
        <f t="shared" ref="BT5:BT34" si="109">IF((BS5-BS4&lt;0), "",(BS5-BS4)*1000)</f>
        <v>30.000000000001137</v>
      </c>
      <c r="BU5" s="60">
        <v>55768</v>
      </c>
      <c r="BV5" s="65">
        <f t="shared" ref="BV5:BV34" si="110">IF((BU5-BU4&lt;0), "",BU5-BU4)</f>
        <v>34</v>
      </c>
      <c r="BW5" s="60">
        <v>245.59</v>
      </c>
      <c r="BX5" s="65">
        <f t="shared" ref="BX5:BX34" si="111">IF((BW5-BW4&lt;0), "",(BW5-BW4)*1000)</f>
        <v>39.999999999992042</v>
      </c>
      <c r="BY5" s="60">
        <v>75696</v>
      </c>
      <c r="BZ5" s="67">
        <f t="shared" ref="BZ5:BZ34" si="112">IF((BY5-BY4&lt;0), "",BY5-BY4)</f>
        <v>38</v>
      </c>
      <c r="CA5" s="60">
        <v>50446.6</v>
      </c>
      <c r="CB5" s="67">
        <f t="shared" ref="CB5:CB34" si="113">IF((CA5-CA4&lt;0), "",CA5-CA4)</f>
        <v>54.799999999995634</v>
      </c>
      <c r="CC5" s="60">
        <v>16160.2</v>
      </c>
      <c r="CD5" s="67">
        <f t="shared" ref="CD5:CD34" si="114">IF((CC5-CC4&lt;0), "",CC5-CC4)</f>
        <v>9.9000000000014552</v>
      </c>
      <c r="CE5" s="60">
        <v>8301</v>
      </c>
      <c r="CF5" s="67">
        <f t="shared" ref="CF5:CF34" si="115">IF((CE5-CE4&lt;0), "",CE5-CE4)</f>
        <v>7.2999999999992724</v>
      </c>
      <c r="CG5" s="60">
        <v>76457.100000000006</v>
      </c>
      <c r="CH5" s="67">
        <f t="shared" ref="CH5:CH34" si="116">IF((CG5-CG4&lt;0), "",CG5-CG4)</f>
        <v>54.30000000000291</v>
      </c>
      <c r="CI5" s="60">
        <v>1058693</v>
      </c>
      <c r="CJ5" s="67">
        <f t="shared" ref="CJ5:CJ34" si="117">IF((CI5-CI4&lt;0), "",CI5-CI4)</f>
        <v>267</v>
      </c>
      <c r="CK5" s="60">
        <v>1029.8</v>
      </c>
      <c r="CL5" s="64">
        <f t="shared" si="93"/>
        <v>899.99999999986358</v>
      </c>
      <c r="CM5" s="65">
        <f t="shared" si="94"/>
        <v>91</v>
      </c>
      <c r="CN5" s="62">
        <v>29</v>
      </c>
      <c r="CO5" s="62">
        <v>63</v>
      </c>
      <c r="CP5" s="68">
        <v>33700</v>
      </c>
      <c r="CQ5" s="67">
        <f t="shared" si="95"/>
        <v>74</v>
      </c>
      <c r="CR5" s="68">
        <v>22321</v>
      </c>
      <c r="CS5" s="67">
        <f t="shared" si="95"/>
        <v>17</v>
      </c>
      <c r="CT5" s="75">
        <v>10689</v>
      </c>
      <c r="CU5" s="67">
        <f t="shared" si="96"/>
        <v>7</v>
      </c>
      <c r="CV5" s="68">
        <v>25353</v>
      </c>
      <c r="CW5" s="67">
        <f t="shared" si="97"/>
        <v>24</v>
      </c>
      <c r="CX5" s="58">
        <v>3467</v>
      </c>
      <c r="CY5" s="67">
        <f t="shared" si="98"/>
        <v>11.199999999999818</v>
      </c>
    </row>
    <row r="6" spans="1:103" ht="24.75" customHeight="1" thickBot="1" x14ac:dyDescent="0.45">
      <c r="A6" s="63">
        <v>44747</v>
      </c>
      <c r="B6" s="44"/>
      <c r="C6" s="58">
        <v>3.3241999999999998</v>
      </c>
      <c r="D6" s="64">
        <f t="shared" si="50"/>
        <v>1999.9999999997797</v>
      </c>
      <c r="E6" s="58">
        <v>4.4470000000000001</v>
      </c>
      <c r="F6" s="64">
        <f t="shared" si="51"/>
        <v>3099.9999999998809</v>
      </c>
      <c r="G6" s="58">
        <v>4.4095000000000004</v>
      </c>
      <c r="H6" s="64">
        <f t="shared" si="52"/>
        <v>3100.000000000769</v>
      </c>
      <c r="I6" s="58">
        <v>2.214</v>
      </c>
      <c r="J6" s="64">
        <f t="shared" si="53"/>
        <v>1399.9999999998458</v>
      </c>
      <c r="K6" s="58">
        <v>3.4411999999999998</v>
      </c>
      <c r="L6" s="64">
        <f t="shared" si="54"/>
        <v>1900.0000000000127</v>
      </c>
      <c r="M6" s="58">
        <v>2.0036999999999998</v>
      </c>
      <c r="N6" s="64">
        <f t="shared" si="55"/>
        <v>1499.9999999996128</v>
      </c>
      <c r="O6" s="58">
        <v>22038</v>
      </c>
      <c r="P6" s="67">
        <f t="shared" si="56"/>
        <v>39</v>
      </c>
      <c r="Q6" s="58">
        <v>2718</v>
      </c>
      <c r="R6" s="67">
        <f t="shared" si="57"/>
        <v>1</v>
      </c>
      <c r="S6" s="58">
        <v>1393.8</v>
      </c>
      <c r="T6" s="67">
        <f t="shared" si="58"/>
        <v>0.89999999999986358</v>
      </c>
      <c r="U6" s="58">
        <v>567474.69999999995</v>
      </c>
      <c r="V6" s="67">
        <f t="shared" si="59"/>
        <v>268.59999999997672</v>
      </c>
      <c r="W6" s="58">
        <v>524.26</v>
      </c>
      <c r="X6" s="65">
        <f t="shared" si="60"/>
        <v>259.99999999999091</v>
      </c>
      <c r="Y6" s="58">
        <v>3.9119000000000002</v>
      </c>
      <c r="Z6" s="65">
        <f t="shared" si="61"/>
        <v>2499.9999999999468</v>
      </c>
      <c r="AA6" s="58">
        <v>529.23</v>
      </c>
      <c r="AB6" s="65">
        <f t="shared" si="62"/>
        <v>360.00000000001364</v>
      </c>
      <c r="AC6" s="58">
        <v>523.08000000000004</v>
      </c>
      <c r="AD6" s="65">
        <f t="shared" si="63"/>
        <v>320.00000000005002</v>
      </c>
      <c r="AE6" s="58">
        <v>788.25</v>
      </c>
      <c r="AF6" s="65">
        <f t="shared" si="64"/>
        <v>620.00000000000455</v>
      </c>
      <c r="AG6" s="58">
        <v>18738</v>
      </c>
      <c r="AH6" s="67">
        <f t="shared" si="65"/>
        <v>26</v>
      </c>
      <c r="AI6" s="58">
        <v>884.2</v>
      </c>
      <c r="AJ6" s="65">
        <f t="shared" si="66"/>
        <v>460.00000000003638</v>
      </c>
      <c r="AK6" s="58">
        <v>295.39</v>
      </c>
      <c r="AL6" s="65">
        <f t="shared" si="67"/>
        <v>199.99999999998863</v>
      </c>
      <c r="AM6" s="58">
        <v>274.68</v>
      </c>
      <c r="AN6" s="65">
        <f t="shared" si="68"/>
        <v>129.99999999999545</v>
      </c>
      <c r="AO6" s="58">
        <v>265.11</v>
      </c>
      <c r="AP6" s="65">
        <f t="shared" si="69"/>
        <v>110.00000000001364</v>
      </c>
      <c r="AQ6" s="58">
        <v>319.93</v>
      </c>
      <c r="AR6" s="65">
        <f t="shared" si="70"/>
        <v>150.00000000003411</v>
      </c>
      <c r="AS6" s="58">
        <v>444.93</v>
      </c>
      <c r="AT6" s="65">
        <f t="shared" si="71"/>
        <v>60.000000000002274</v>
      </c>
      <c r="AU6" s="58">
        <v>353.97</v>
      </c>
      <c r="AV6" s="65">
        <f t="shared" si="72"/>
        <v>140.0000000000432</v>
      </c>
      <c r="AW6" s="58">
        <v>382.59</v>
      </c>
      <c r="AX6" s="65">
        <f t="shared" si="73"/>
        <v>119.9999999999477</v>
      </c>
      <c r="AY6" s="58">
        <v>416.16</v>
      </c>
      <c r="AZ6" s="65">
        <f t="shared" si="99"/>
        <v>110.00000000001364</v>
      </c>
      <c r="BA6" s="58">
        <v>435.59</v>
      </c>
      <c r="BB6" s="65">
        <f t="shared" si="100"/>
        <v>109.9999999999568</v>
      </c>
      <c r="BC6" s="58">
        <v>280.51</v>
      </c>
      <c r="BD6" s="65">
        <f t="shared" si="101"/>
        <v>69.999999999993179</v>
      </c>
      <c r="BE6" s="59">
        <v>52416</v>
      </c>
      <c r="BF6" s="67">
        <f t="shared" si="102"/>
        <v>15</v>
      </c>
      <c r="BG6" s="60">
        <v>249.9</v>
      </c>
      <c r="BH6" s="65">
        <f t="shared" si="103"/>
        <v>30.000000000001137</v>
      </c>
      <c r="BI6" s="60">
        <v>304.55</v>
      </c>
      <c r="BJ6" s="65">
        <f t="shared" si="104"/>
        <v>30.000000000029559</v>
      </c>
      <c r="BK6" s="60">
        <v>253.8</v>
      </c>
      <c r="BL6" s="65">
        <f t="shared" si="105"/>
        <v>40.000000000020464</v>
      </c>
      <c r="BM6" s="60">
        <v>239.68</v>
      </c>
      <c r="BN6" s="65">
        <f t="shared" si="106"/>
        <v>30.000000000001137</v>
      </c>
      <c r="BO6" s="60">
        <v>307.91000000000003</v>
      </c>
      <c r="BP6" s="65">
        <f t="shared" si="107"/>
        <v>30.000000000029559</v>
      </c>
      <c r="BQ6" s="60">
        <v>57954</v>
      </c>
      <c r="BR6" s="65">
        <f t="shared" si="108"/>
        <v>29</v>
      </c>
      <c r="BS6" s="60">
        <v>217.49</v>
      </c>
      <c r="BT6" s="65">
        <f t="shared" si="109"/>
        <v>40.000000000020464</v>
      </c>
      <c r="BU6" s="60">
        <v>55801</v>
      </c>
      <c r="BV6" s="65">
        <f t="shared" si="110"/>
        <v>33</v>
      </c>
      <c r="BW6" s="60">
        <v>245.61</v>
      </c>
      <c r="BX6" s="65">
        <f t="shared" si="111"/>
        <v>20.000000000010232</v>
      </c>
      <c r="BY6" s="60">
        <v>75729</v>
      </c>
      <c r="BZ6" s="67">
        <f t="shared" si="112"/>
        <v>33</v>
      </c>
      <c r="CA6" s="60">
        <v>50498.2</v>
      </c>
      <c r="CB6" s="67">
        <f t="shared" si="113"/>
        <v>51.599999999998545</v>
      </c>
      <c r="CC6" s="60">
        <v>16167.8</v>
      </c>
      <c r="CD6" s="67">
        <f t="shared" si="114"/>
        <v>7.5999999999985448</v>
      </c>
      <c r="CE6" s="60">
        <v>8301</v>
      </c>
      <c r="CF6" s="67">
        <f t="shared" si="115"/>
        <v>0</v>
      </c>
      <c r="CG6" s="60">
        <v>76501.5</v>
      </c>
      <c r="CH6" s="67">
        <f t="shared" si="116"/>
        <v>44.399999999994179</v>
      </c>
      <c r="CI6" s="60">
        <v>1058958</v>
      </c>
      <c r="CJ6" s="67">
        <f t="shared" si="117"/>
        <v>265</v>
      </c>
      <c r="CK6" s="60">
        <v>1030.5999999999999</v>
      </c>
      <c r="CL6" s="64">
        <f t="shared" si="93"/>
        <v>799.99999999995453</v>
      </c>
      <c r="CM6" s="65">
        <f t="shared" si="94"/>
        <v>93</v>
      </c>
      <c r="CN6" s="62">
        <v>29</v>
      </c>
      <c r="CO6" s="62">
        <v>63</v>
      </c>
      <c r="CP6" s="68">
        <v>33773</v>
      </c>
      <c r="CQ6" s="67">
        <f t="shared" si="95"/>
        <v>73</v>
      </c>
      <c r="CR6" s="68">
        <v>22341</v>
      </c>
      <c r="CS6" s="67">
        <f t="shared" si="95"/>
        <v>20</v>
      </c>
      <c r="CT6" s="75">
        <v>10696</v>
      </c>
      <c r="CU6" s="67">
        <f t="shared" si="96"/>
        <v>7</v>
      </c>
      <c r="CV6" s="68">
        <v>25381</v>
      </c>
      <c r="CW6" s="67">
        <f t="shared" si="97"/>
        <v>28</v>
      </c>
      <c r="CX6" s="58">
        <v>3478</v>
      </c>
      <c r="CY6" s="67">
        <f t="shared" si="98"/>
        <v>11</v>
      </c>
    </row>
    <row r="7" spans="1:103" ht="25.5" customHeight="1" thickBot="1" x14ac:dyDescent="0.45">
      <c r="A7" s="63">
        <v>44748</v>
      </c>
      <c r="B7" s="44"/>
      <c r="C7" s="58">
        <v>3.3262</v>
      </c>
      <c r="D7" s="64">
        <f t="shared" si="50"/>
        <v>2000.0000000002237</v>
      </c>
      <c r="E7" s="58">
        <v>4.4500999999999999</v>
      </c>
      <c r="F7" s="64">
        <f t="shared" si="51"/>
        <v>3099.9999999998809</v>
      </c>
      <c r="G7" s="58">
        <v>4.4127000000000001</v>
      </c>
      <c r="H7" s="64">
        <f t="shared" si="52"/>
        <v>3199.9999999996476</v>
      </c>
      <c r="I7" s="58">
        <v>2.2153</v>
      </c>
      <c r="J7" s="64">
        <f t="shared" si="53"/>
        <v>1300.0000000000789</v>
      </c>
      <c r="K7" s="58">
        <v>3.4432</v>
      </c>
      <c r="L7" s="64">
        <f t="shared" si="54"/>
        <v>2000.0000000002237</v>
      </c>
      <c r="M7" s="58">
        <v>2.0049999999999999</v>
      </c>
      <c r="N7" s="64">
        <f t="shared" si="55"/>
        <v>1300.0000000000789</v>
      </c>
      <c r="O7" s="58">
        <v>22062</v>
      </c>
      <c r="P7" s="67">
        <f t="shared" si="56"/>
        <v>24</v>
      </c>
      <c r="Q7" s="58">
        <v>2720</v>
      </c>
      <c r="R7" s="67">
        <f t="shared" si="57"/>
        <v>2</v>
      </c>
      <c r="S7" s="58">
        <v>1395.1</v>
      </c>
      <c r="T7" s="67">
        <f t="shared" si="58"/>
        <v>1.2999999999999545</v>
      </c>
      <c r="U7" s="58">
        <v>567858.5</v>
      </c>
      <c r="V7" s="67">
        <f t="shared" si="59"/>
        <v>383.80000000004657</v>
      </c>
      <c r="W7" s="58">
        <v>524.57000000000005</v>
      </c>
      <c r="X7" s="65">
        <f t="shared" si="60"/>
        <v>310.00000000005912</v>
      </c>
      <c r="Y7" s="58">
        <v>3.9148999999999998</v>
      </c>
      <c r="Z7" s="65">
        <f t="shared" si="61"/>
        <v>2999.9999999996694</v>
      </c>
      <c r="AA7" s="58">
        <v>529.46</v>
      </c>
      <c r="AB7" s="65">
        <f t="shared" si="62"/>
        <v>230.00000000001819</v>
      </c>
      <c r="AC7" s="58">
        <v>523.42999999999995</v>
      </c>
      <c r="AD7" s="65">
        <f t="shared" si="63"/>
        <v>349.99999999990905</v>
      </c>
      <c r="AE7" s="58">
        <v>788.99</v>
      </c>
      <c r="AF7" s="65">
        <f t="shared" si="64"/>
        <v>740.00000000000909</v>
      </c>
      <c r="AG7" s="58">
        <v>18766</v>
      </c>
      <c r="AH7" s="67">
        <f t="shared" si="65"/>
        <v>28</v>
      </c>
      <c r="AI7" s="58">
        <v>884.71</v>
      </c>
      <c r="AJ7" s="65">
        <f t="shared" si="66"/>
        <v>509.99999999999091</v>
      </c>
      <c r="AK7" s="58">
        <v>295.61</v>
      </c>
      <c r="AL7" s="65">
        <f t="shared" si="67"/>
        <v>220.00000000002728</v>
      </c>
      <c r="AM7" s="58">
        <v>274.83999999999997</v>
      </c>
      <c r="AN7" s="65">
        <f t="shared" si="68"/>
        <v>159.99999999996817</v>
      </c>
      <c r="AO7" s="58">
        <v>265.24</v>
      </c>
      <c r="AP7" s="65">
        <f t="shared" si="69"/>
        <v>129.99999999999545</v>
      </c>
      <c r="AQ7" s="58">
        <v>320.08</v>
      </c>
      <c r="AR7" s="65">
        <f t="shared" si="70"/>
        <v>149.99999999997726</v>
      </c>
      <c r="AS7" s="58">
        <v>445.06</v>
      </c>
      <c r="AT7" s="65">
        <f t="shared" si="71"/>
        <v>129.99999999999545</v>
      </c>
      <c r="AU7" s="58">
        <v>354.11</v>
      </c>
      <c r="AV7" s="65">
        <f t="shared" si="72"/>
        <v>139.99999999998636</v>
      </c>
      <c r="AW7" s="58">
        <v>382.74</v>
      </c>
      <c r="AX7" s="65">
        <f t="shared" si="73"/>
        <v>150.00000000003411</v>
      </c>
      <c r="AY7" s="58">
        <v>416.27</v>
      </c>
      <c r="AZ7" s="65">
        <f t="shared" si="99"/>
        <v>109.9999999999568</v>
      </c>
      <c r="BA7" s="58">
        <v>435.69</v>
      </c>
      <c r="BB7" s="65">
        <f t="shared" si="100"/>
        <v>100.00000000002274</v>
      </c>
      <c r="BC7" s="58">
        <v>280.60000000000002</v>
      </c>
      <c r="BD7" s="65">
        <f t="shared" si="101"/>
        <v>90.000000000031832</v>
      </c>
      <c r="BE7" s="59"/>
      <c r="BF7" s="67" t="str">
        <f t="shared" si="102"/>
        <v/>
      </c>
      <c r="BG7" s="60">
        <v>249.93</v>
      </c>
      <c r="BH7" s="65">
        <f t="shared" si="103"/>
        <v>30.000000000001137</v>
      </c>
      <c r="BI7" s="60">
        <v>304.57</v>
      </c>
      <c r="BJ7" s="65">
        <f t="shared" si="104"/>
        <v>19.99999999998181</v>
      </c>
      <c r="BK7" s="60">
        <v>253.84</v>
      </c>
      <c r="BL7" s="65">
        <f t="shared" si="105"/>
        <v>39.999999999992042</v>
      </c>
      <c r="BM7" s="60">
        <v>239.71</v>
      </c>
      <c r="BN7" s="65">
        <f t="shared" si="106"/>
        <v>30.000000000001137</v>
      </c>
      <c r="BO7" s="60">
        <v>307.95</v>
      </c>
      <c r="BP7" s="65">
        <f t="shared" si="107"/>
        <v>39.99999999996362</v>
      </c>
      <c r="BQ7" s="60">
        <v>57987</v>
      </c>
      <c r="BR7" s="65">
        <f t="shared" si="108"/>
        <v>33</v>
      </c>
      <c r="BS7" s="60">
        <v>217.52</v>
      </c>
      <c r="BT7" s="65">
        <f t="shared" si="109"/>
        <v>30.000000000001137</v>
      </c>
      <c r="BU7" s="60">
        <v>55834</v>
      </c>
      <c r="BV7" s="65">
        <f t="shared" si="110"/>
        <v>33</v>
      </c>
      <c r="BW7" s="60">
        <v>245.65</v>
      </c>
      <c r="BX7" s="65">
        <f t="shared" si="111"/>
        <v>39.999999999992042</v>
      </c>
      <c r="BY7" s="60">
        <v>75764</v>
      </c>
      <c r="BZ7" s="67">
        <f t="shared" si="112"/>
        <v>35</v>
      </c>
      <c r="CA7" s="60">
        <v>50549.1</v>
      </c>
      <c r="CB7" s="67">
        <f t="shared" si="113"/>
        <v>50.900000000001455</v>
      </c>
      <c r="CC7" s="60">
        <v>16178.5</v>
      </c>
      <c r="CD7" s="67">
        <f t="shared" si="114"/>
        <v>10.700000000000728</v>
      </c>
      <c r="CE7" s="60"/>
      <c r="CF7" s="67" t="str">
        <f t="shared" si="115"/>
        <v/>
      </c>
      <c r="CG7" s="60">
        <v>76551.7</v>
      </c>
      <c r="CH7" s="67">
        <f t="shared" si="116"/>
        <v>50.19999999999709</v>
      </c>
      <c r="CI7" s="60">
        <v>1059226</v>
      </c>
      <c r="CJ7" s="67">
        <f t="shared" si="117"/>
        <v>268</v>
      </c>
      <c r="CK7" s="60">
        <v>1031.5</v>
      </c>
      <c r="CL7" s="64">
        <f t="shared" si="93"/>
        <v>900.00000000009095</v>
      </c>
      <c r="CM7" s="65">
        <f t="shared" si="94"/>
        <v>94</v>
      </c>
      <c r="CN7" s="62"/>
      <c r="CO7" s="62"/>
      <c r="CP7" s="68">
        <v>33848</v>
      </c>
      <c r="CQ7" s="67">
        <f t="shared" si="95"/>
        <v>75</v>
      </c>
      <c r="CR7" s="68">
        <v>22360</v>
      </c>
      <c r="CS7" s="67">
        <f t="shared" si="95"/>
        <v>19</v>
      </c>
      <c r="CT7" s="75">
        <v>10703</v>
      </c>
      <c r="CU7" s="67">
        <f t="shared" si="96"/>
        <v>7</v>
      </c>
      <c r="CV7" s="68">
        <v>25401</v>
      </c>
      <c r="CW7" s="67">
        <f t="shared" si="97"/>
        <v>20</v>
      </c>
      <c r="CX7" s="58">
        <v>3489</v>
      </c>
      <c r="CY7" s="67">
        <f t="shared" si="98"/>
        <v>11</v>
      </c>
    </row>
    <row r="8" spans="1:103" ht="25.5" customHeight="1" thickBot="1" x14ac:dyDescent="0.45">
      <c r="A8" s="63">
        <v>44749</v>
      </c>
      <c r="B8" s="44"/>
      <c r="C8" s="58"/>
      <c r="D8" s="64" t="str">
        <f t="shared" si="50"/>
        <v>0</v>
      </c>
      <c r="E8" s="58"/>
      <c r="F8" s="64" t="str">
        <f t="shared" si="51"/>
        <v>0</v>
      </c>
      <c r="G8" s="58"/>
      <c r="H8" s="64" t="str">
        <f t="shared" si="52"/>
        <v>0</v>
      </c>
      <c r="I8" s="58"/>
      <c r="J8" s="64" t="str">
        <f t="shared" si="53"/>
        <v>0</v>
      </c>
      <c r="K8" s="58"/>
      <c r="L8" s="64" t="str">
        <f t="shared" si="54"/>
        <v>0</v>
      </c>
      <c r="M8" s="58"/>
      <c r="N8" s="64" t="str">
        <f t="shared" si="55"/>
        <v/>
      </c>
      <c r="O8" s="58"/>
      <c r="P8" s="67" t="str">
        <f t="shared" si="56"/>
        <v/>
      </c>
      <c r="Q8" s="58"/>
      <c r="R8" s="67" t="str">
        <f t="shared" si="57"/>
        <v/>
      </c>
      <c r="S8" s="58"/>
      <c r="T8" s="67" t="str">
        <f t="shared" si="58"/>
        <v/>
      </c>
      <c r="U8" s="58"/>
      <c r="V8" s="67" t="str">
        <f t="shared" si="59"/>
        <v/>
      </c>
      <c r="W8" s="58"/>
      <c r="X8" s="65" t="str">
        <f t="shared" si="60"/>
        <v/>
      </c>
      <c r="Y8" s="58"/>
      <c r="Z8" s="65" t="str">
        <f t="shared" si="61"/>
        <v/>
      </c>
      <c r="AA8" s="58"/>
      <c r="AB8" s="65" t="str">
        <f t="shared" si="62"/>
        <v/>
      </c>
      <c r="AC8" s="58"/>
      <c r="AD8" s="65" t="str">
        <f t="shared" si="63"/>
        <v/>
      </c>
      <c r="AE8" s="58"/>
      <c r="AF8" s="65" t="str">
        <f t="shared" si="64"/>
        <v/>
      </c>
      <c r="AG8" s="58"/>
      <c r="AH8" s="67" t="str">
        <f t="shared" si="65"/>
        <v/>
      </c>
      <c r="AI8" s="58"/>
      <c r="AJ8" s="65" t="str">
        <f t="shared" si="66"/>
        <v/>
      </c>
      <c r="AK8" s="58"/>
      <c r="AL8" s="65" t="str">
        <f t="shared" si="67"/>
        <v/>
      </c>
      <c r="AM8" s="58"/>
      <c r="AN8" s="65" t="str">
        <f t="shared" si="68"/>
        <v/>
      </c>
      <c r="AO8" s="58"/>
      <c r="AP8" s="65" t="str">
        <f t="shared" si="69"/>
        <v/>
      </c>
      <c r="AQ8" s="58"/>
      <c r="AR8" s="65" t="str">
        <f t="shared" si="70"/>
        <v/>
      </c>
      <c r="AS8" s="58"/>
      <c r="AT8" s="65" t="str">
        <f t="shared" si="71"/>
        <v/>
      </c>
      <c r="AU8" s="58"/>
      <c r="AV8" s="65" t="str">
        <f t="shared" si="72"/>
        <v/>
      </c>
      <c r="AW8" s="58"/>
      <c r="AX8" s="65" t="str">
        <f t="shared" si="73"/>
        <v/>
      </c>
      <c r="AY8" s="58"/>
      <c r="AZ8" s="65" t="str">
        <f t="shared" si="99"/>
        <v/>
      </c>
      <c r="BA8" s="58"/>
      <c r="BB8" s="65" t="str">
        <f t="shared" si="100"/>
        <v/>
      </c>
      <c r="BC8" s="58"/>
      <c r="BD8" s="65" t="str">
        <f t="shared" si="101"/>
        <v/>
      </c>
      <c r="BE8" s="59"/>
      <c r="BF8" s="67">
        <f t="shared" si="102"/>
        <v>0</v>
      </c>
      <c r="BG8" s="60"/>
      <c r="BH8" s="65" t="str">
        <f t="shared" si="103"/>
        <v/>
      </c>
      <c r="BI8" s="60"/>
      <c r="BJ8" s="65" t="str">
        <f t="shared" si="104"/>
        <v/>
      </c>
      <c r="BK8" s="60"/>
      <c r="BL8" s="65" t="str">
        <f t="shared" si="105"/>
        <v/>
      </c>
      <c r="BM8" s="60"/>
      <c r="BN8" s="65" t="str">
        <f t="shared" si="106"/>
        <v/>
      </c>
      <c r="BO8" s="60"/>
      <c r="BP8" s="65" t="str">
        <f t="shared" si="107"/>
        <v/>
      </c>
      <c r="BQ8" s="60"/>
      <c r="BR8" s="65" t="str">
        <f t="shared" si="108"/>
        <v/>
      </c>
      <c r="BS8" s="60"/>
      <c r="BT8" s="65" t="str">
        <f t="shared" si="109"/>
        <v/>
      </c>
      <c r="BU8" s="60"/>
      <c r="BV8" s="65" t="str">
        <f t="shared" si="110"/>
        <v/>
      </c>
      <c r="BW8" s="60"/>
      <c r="BX8" s="65" t="str">
        <f t="shared" si="111"/>
        <v/>
      </c>
      <c r="BY8" s="60"/>
      <c r="BZ8" s="67" t="str">
        <f t="shared" si="112"/>
        <v/>
      </c>
      <c r="CA8" s="60"/>
      <c r="CB8" s="67" t="str">
        <f t="shared" si="113"/>
        <v/>
      </c>
      <c r="CC8" s="60"/>
      <c r="CD8" s="67" t="str">
        <f t="shared" si="114"/>
        <v/>
      </c>
      <c r="CE8" s="60"/>
      <c r="CF8" s="67">
        <f t="shared" si="115"/>
        <v>0</v>
      </c>
      <c r="CG8" s="60"/>
      <c r="CH8" s="67" t="str">
        <f t="shared" si="116"/>
        <v/>
      </c>
      <c r="CI8" s="60"/>
      <c r="CJ8" s="67" t="str">
        <f t="shared" si="117"/>
        <v/>
      </c>
      <c r="CK8" s="60"/>
      <c r="CL8" s="64" t="str">
        <f t="shared" si="93"/>
        <v/>
      </c>
      <c r="CM8" s="65" t="e">
        <f t="shared" si="94"/>
        <v>#VALUE!</v>
      </c>
      <c r="CN8" s="62"/>
      <c r="CO8" s="62"/>
      <c r="CP8" s="68"/>
      <c r="CQ8" s="67" t="str">
        <f t="shared" si="95"/>
        <v/>
      </c>
      <c r="CR8" s="68"/>
      <c r="CS8" s="67" t="str">
        <f t="shared" si="95"/>
        <v/>
      </c>
      <c r="CT8" s="75"/>
      <c r="CU8" s="67" t="str">
        <f t="shared" si="96"/>
        <v/>
      </c>
      <c r="CV8" s="68"/>
      <c r="CW8" s="67" t="str">
        <f t="shared" si="97"/>
        <v/>
      </c>
      <c r="CX8" s="58">
        <v>22</v>
      </c>
      <c r="CY8" s="67" t="str">
        <f t="shared" si="98"/>
        <v/>
      </c>
    </row>
    <row r="9" spans="1:103" ht="25.5" customHeight="1" thickBot="1" x14ac:dyDescent="0.45">
      <c r="A9" s="63">
        <v>44750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99"/>
        <v>0</v>
      </c>
      <c r="BA9" s="58"/>
      <c r="BB9" s="65">
        <f t="shared" si="100"/>
        <v>0</v>
      </c>
      <c r="BC9" s="58"/>
      <c r="BD9" s="65">
        <f t="shared" si="101"/>
        <v>0</v>
      </c>
      <c r="BE9" s="59"/>
      <c r="BF9" s="67">
        <f t="shared" si="102"/>
        <v>0</v>
      </c>
      <c r="BG9" s="60"/>
      <c r="BH9" s="65">
        <f t="shared" si="103"/>
        <v>0</v>
      </c>
      <c r="BI9" s="60"/>
      <c r="BJ9" s="65">
        <f t="shared" si="104"/>
        <v>0</v>
      </c>
      <c r="BK9" s="60"/>
      <c r="BL9" s="65">
        <f t="shared" si="105"/>
        <v>0</v>
      </c>
      <c r="BM9" s="60"/>
      <c r="BN9" s="65">
        <f t="shared" si="106"/>
        <v>0</v>
      </c>
      <c r="BO9" s="60"/>
      <c r="BP9" s="65">
        <f t="shared" si="107"/>
        <v>0</v>
      </c>
      <c r="BQ9" s="60"/>
      <c r="BR9" s="65">
        <f t="shared" si="108"/>
        <v>0</v>
      </c>
      <c r="BS9" s="60"/>
      <c r="BT9" s="65">
        <f t="shared" si="109"/>
        <v>0</v>
      </c>
      <c r="BU9" s="60"/>
      <c r="BV9" s="65">
        <f t="shared" si="110"/>
        <v>0</v>
      </c>
      <c r="BW9" s="60"/>
      <c r="BX9" s="65">
        <f t="shared" si="111"/>
        <v>0</v>
      </c>
      <c r="BY9" s="60"/>
      <c r="BZ9" s="67">
        <f t="shared" si="112"/>
        <v>0</v>
      </c>
      <c r="CA9" s="60"/>
      <c r="CB9" s="67">
        <f t="shared" si="113"/>
        <v>0</v>
      </c>
      <c r="CC9" s="60"/>
      <c r="CD9" s="67">
        <f t="shared" si="114"/>
        <v>0</v>
      </c>
      <c r="CE9" s="60"/>
      <c r="CF9" s="67">
        <f t="shared" si="115"/>
        <v>0</v>
      </c>
      <c r="CG9" s="60"/>
      <c r="CH9" s="67">
        <f t="shared" si="116"/>
        <v>0</v>
      </c>
      <c r="CI9" s="60"/>
      <c r="CJ9" s="67">
        <f t="shared" si="117"/>
        <v>0</v>
      </c>
      <c r="CK9" s="60"/>
      <c r="CL9" s="64">
        <f t="shared" si="93"/>
        <v>0</v>
      </c>
      <c r="CM9" s="65">
        <f t="shared" si="94"/>
        <v>0</v>
      </c>
      <c r="CN9" s="62"/>
      <c r="CO9" s="62"/>
      <c r="CP9" s="68"/>
      <c r="CQ9" s="67">
        <f t="shared" si="95"/>
        <v>0</v>
      </c>
      <c r="CR9" s="68"/>
      <c r="CS9" s="67">
        <f t="shared" si="95"/>
        <v>0</v>
      </c>
      <c r="CT9" s="75"/>
      <c r="CU9" s="67">
        <f t="shared" si="96"/>
        <v>0</v>
      </c>
      <c r="CV9" s="68"/>
      <c r="CW9" s="67">
        <f t="shared" si="97"/>
        <v>0</v>
      </c>
      <c r="CX9" s="58"/>
      <c r="CY9" s="67" t="str">
        <f t="shared" si="98"/>
        <v/>
      </c>
    </row>
    <row r="10" spans="1:103" ht="25.5" customHeight="1" thickBot="1" x14ac:dyDescent="0.45">
      <c r="A10" s="63">
        <v>44751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99"/>
        <v>0</v>
      </c>
      <c r="BA10" s="58"/>
      <c r="BB10" s="65">
        <f t="shared" si="100"/>
        <v>0</v>
      </c>
      <c r="BC10" s="58"/>
      <c r="BD10" s="65">
        <f t="shared" si="101"/>
        <v>0</v>
      </c>
      <c r="BE10" s="59"/>
      <c r="BF10" s="67">
        <f t="shared" si="102"/>
        <v>0</v>
      </c>
      <c r="BG10" s="60"/>
      <c r="BH10" s="65">
        <f t="shared" si="103"/>
        <v>0</v>
      </c>
      <c r="BI10" s="60"/>
      <c r="BJ10" s="65">
        <f t="shared" si="104"/>
        <v>0</v>
      </c>
      <c r="BK10" s="60"/>
      <c r="BL10" s="65">
        <f t="shared" si="105"/>
        <v>0</v>
      </c>
      <c r="BM10" s="60"/>
      <c r="BN10" s="65">
        <f t="shared" si="106"/>
        <v>0</v>
      </c>
      <c r="BO10" s="60"/>
      <c r="BP10" s="65">
        <f t="shared" si="107"/>
        <v>0</v>
      </c>
      <c r="BQ10" s="60"/>
      <c r="BR10" s="65">
        <f t="shared" si="108"/>
        <v>0</v>
      </c>
      <c r="BS10" s="60"/>
      <c r="BT10" s="65">
        <f t="shared" si="109"/>
        <v>0</v>
      </c>
      <c r="BU10" s="60"/>
      <c r="BV10" s="65">
        <f t="shared" si="110"/>
        <v>0</v>
      </c>
      <c r="BW10" s="60"/>
      <c r="BX10" s="65">
        <f t="shared" si="111"/>
        <v>0</v>
      </c>
      <c r="BY10" s="60"/>
      <c r="BZ10" s="67">
        <f t="shared" si="112"/>
        <v>0</v>
      </c>
      <c r="CA10" s="60"/>
      <c r="CB10" s="67">
        <f t="shared" si="113"/>
        <v>0</v>
      </c>
      <c r="CC10" s="60"/>
      <c r="CD10" s="67">
        <f t="shared" si="114"/>
        <v>0</v>
      </c>
      <c r="CE10" s="60"/>
      <c r="CF10" s="67">
        <f t="shared" si="115"/>
        <v>0</v>
      </c>
      <c r="CG10" s="60"/>
      <c r="CH10" s="67">
        <f t="shared" si="116"/>
        <v>0</v>
      </c>
      <c r="CI10" s="60"/>
      <c r="CJ10" s="67">
        <f t="shared" si="117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95"/>
        <v>0</v>
      </c>
      <c r="CR10" s="68"/>
      <c r="CS10" s="67">
        <f t="shared" si="95"/>
        <v>0</v>
      </c>
      <c r="CT10" s="75"/>
      <c r="CU10" s="67">
        <f t="shared" si="96"/>
        <v>0</v>
      </c>
      <c r="CV10" s="68"/>
      <c r="CW10" s="67">
        <f t="shared" si="97"/>
        <v>0</v>
      </c>
      <c r="CX10" s="58"/>
      <c r="CY10" s="67">
        <f t="shared" si="98"/>
        <v>0</v>
      </c>
    </row>
    <row r="11" spans="1:103" ht="25.5" customHeight="1" thickBot="1" x14ac:dyDescent="0.45">
      <c r="A11" s="63">
        <v>44752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99"/>
        <v>0</v>
      </c>
      <c r="BA11" s="58"/>
      <c r="BB11" s="65">
        <f t="shared" si="100"/>
        <v>0</v>
      </c>
      <c r="BC11" s="58"/>
      <c r="BD11" s="65">
        <f t="shared" si="101"/>
        <v>0</v>
      </c>
      <c r="BE11" s="59"/>
      <c r="BF11" s="67">
        <f t="shared" si="102"/>
        <v>0</v>
      </c>
      <c r="BG11" s="60"/>
      <c r="BH11" s="65">
        <f t="shared" si="103"/>
        <v>0</v>
      </c>
      <c r="BI11" s="60"/>
      <c r="BJ11" s="65">
        <f t="shared" si="104"/>
        <v>0</v>
      </c>
      <c r="BK11" s="60"/>
      <c r="BL11" s="65">
        <f t="shared" si="105"/>
        <v>0</v>
      </c>
      <c r="BM11" s="60"/>
      <c r="BN11" s="65">
        <f t="shared" si="106"/>
        <v>0</v>
      </c>
      <c r="BO11" s="60"/>
      <c r="BP11" s="65">
        <f t="shared" si="107"/>
        <v>0</v>
      </c>
      <c r="BQ11" s="60"/>
      <c r="BR11" s="65">
        <f t="shared" si="108"/>
        <v>0</v>
      </c>
      <c r="BS11" s="60"/>
      <c r="BT11" s="65">
        <f t="shared" si="109"/>
        <v>0</v>
      </c>
      <c r="BU11" s="60"/>
      <c r="BV11" s="65">
        <f t="shared" si="110"/>
        <v>0</v>
      </c>
      <c r="BW11" s="60"/>
      <c r="BX11" s="65">
        <f t="shared" si="111"/>
        <v>0</v>
      </c>
      <c r="BY11" s="60"/>
      <c r="BZ11" s="67">
        <f t="shared" si="112"/>
        <v>0</v>
      </c>
      <c r="CA11" s="60"/>
      <c r="CB11" s="67">
        <f t="shared" si="113"/>
        <v>0</v>
      </c>
      <c r="CC11" s="60"/>
      <c r="CD11" s="67">
        <f t="shared" si="114"/>
        <v>0</v>
      </c>
      <c r="CE11" s="60"/>
      <c r="CF11" s="67">
        <f t="shared" si="115"/>
        <v>0</v>
      </c>
      <c r="CG11" s="60"/>
      <c r="CH11" s="67">
        <f t="shared" si="116"/>
        <v>0</v>
      </c>
      <c r="CI11" s="60"/>
      <c r="CJ11" s="67">
        <f t="shared" si="117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95"/>
        <v>0</v>
      </c>
      <c r="CR11" s="68"/>
      <c r="CS11" s="67">
        <f t="shared" si="95"/>
        <v>0</v>
      </c>
      <c r="CT11" s="75"/>
      <c r="CU11" s="67">
        <f t="shared" si="96"/>
        <v>0</v>
      </c>
      <c r="CV11" s="68"/>
      <c r="CW11" s="67">
        <f t="shared" si="97"/>
        <v>0</v>
      </c>
      <c r="CX11" s="58"/>
      <c r="CY11" s="67">
        <f t="shared" si="98"/>
        <v>0</v>
      </c>
    </row>
    <row r="12" spans="1:103" ht="25.5" customHeight="1" thickBot="1" x14ac:dyDescent="0.45">
      <c r="A12" s="63">
        <v>44753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99"/>
        <v>0</v>
      </c>
      <c r="BA12" s="58"/>
      <c r="BB12" s="65">
        <f t="shared" si="100"/>
        <v>0</v>
      </c>
      <c r="BC12" s="58"/>
      <c r="BD12" s="65">
        <f t="shared" si="101"/>
        <v>0</v>
      </c>
      <c r="BE12" s="59"/>
      <c r="BF12" s="67">
        <f t="shared" si="102"/>
        <v>0</v>
      </c>
      <c r="BG12" s="60"/>
      <c r="BH12" s="65">
        <f t="shared" si="103"/>
        <v>0</v>
      </c>
      <c r="BI12" s="60"/>
      <c r="BJ12" s="65">
        <f t="shared" si="104"/>
        <v>0</v>
      </c>
      <c r="BK12" s="60"/>
      <c r="BL12" s="65">
        <f t="shared" si="105"/>
        <v>0</v>
      </c>
      <c r="BM12" s="60"/>
      <c r="BN12" s="65">
        <f t="shared" si="106"/>
        <v>0</v>
      </c>
      <c r="BO12" s="60"/>
      <c r="BP12" s="65">
        <f t="shared" si="107"/>
        <v>0</v>
      </c>
      <c r="BQ12" s="60"/>
      <c r="BR12" s="65">
        <f t="shared" si="108"/>
        <v>0</v>
      </c>
      <c r="BS12" s="60"/>
      <c r="BT12" s="65">
        <f t="shared" si="109"/>
        <v>0</v>
      </c>
      <c r="BU12" s="60"/>
      <c r="BV12" s="65">
        <f t="shared" si="110"/>
        <v>0</v>
      </c>
      <c r="BW12" s="60"/>
      <c r="BX12" s="65">
        <f t="shared" si="111"/>
        <v>0</v>
      </c>
      <c r="BY12" s="60"/>
      <c r="BZ12" s="67">
        <f t="shared" si="112"/>
        <v>0</v>
      </c>
      <c r="CA12" s="60"/>
      <c r="CB12" s="67">
        <f t="shared" si="113"/>
        <v>0</v>
      </c>
      <c r="CC12" s="60"/>
      <c r="CD12" s="67">
        <f t="shared" si="114"/>
        <v>0</v>
      </c>
      <c r="CE12" s="60"/>
      <c r="CF12" s="67">
        <f t="shared" si="115"/>
        <v>0</v>
      </c>
      <c r="CG12" s="60"/>
      <c r="CH12" s="67">
        <f t="shared" si="116"/>
        <v>0</v>
      </c>
      <c r="CI12" s="60"/>
      <c r="CJ12" s="67">
        <f t="shared" si="117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5"/>
        <v>0</v>
      </c>
      <c r="CT12" s="75"/>
      <c r="CU12" s="67">
        <f t="shared" si="96"/>
        <v>0</v>
      </c>
      <c r="CV12" s="68"/>
      <c r="CW12" s="67">
        <f t="shared" si="97"/>
        <v>0</v>
      </c>
      <c r="CX12" s="58"/>
      <c r="CY12" s="67">
        <f t="shared" si="98"/>
        <v>0</v>
      </c>
    </row>
    <row r="13" spans="1:103" ht="25.5" customHeight="1" thickBot="1" x14ac:dyDescent="0.45">
      <c r="A13" s="63">
        <v>44754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v>350.86</v>
      </c>
      <c r="AW13" s="58"/>
      <c r="AX13" s="65">
        <f t="shared" si="73"/>
        <v>0</v>
      </c>
      <c r="AY13" s="58"/>
      <c r="AZ13" s="65">
        <f t="shared" si="99"/>
        <v>0</v>
      </c>
      <c r="BA13" s="58"/>
      <c r="BB13" s="65">
        <f t="shared" si="100"/>
        <v>0</v>
      </c>
      <c r="BC13" s="58"/>
      <c r="BD13" s="65">
        <f t="shared" si="101"/>
        <v>0</v>
      </c>
      <c r="BE13" s="59"/>
      <c r="BF13" s="67">
        <f t="shared" si="102"/>
        <v>0</v>
      </c>
      <c r="BG13" s="60"/>
      <c r="BH13" s="65">
        <f t="shared" si="103"/>
        <v>0</v>
      </c>
      <c r="BI13" s="60"/>
      <c r="BJ13" s="65">
        <f t="shared" si="104"/>
        <v>0</v>
      </c>
      <c r="BK13" s="60"/>
      <c r="BL13" s="65">
        <f t="shared" si="105"/>
        <v>0</v>
      </c>
      <c r="BM13" s="60"/>
      <c r="BN13" s="65">
        <f t="shared" si="106"/>
        <v>0</v>
      </c>
      <c r="BO13" s="60"/>
      <c r="BP13" s="65">
        <f t="shared" si="107"/>
        <v>0</v>
      </c>
      <c r="BQ13" s="60"/>
      <c r="BR13" s="65">
        <f t="shared" si="108"/>
        <v>0</v>
      </c>
      <c r="BS13" s="60"/>
      <c r="BT13" s="65">
        <f t="shared" si="109"/>
        <v>0</v>
      </c>
      <c r="BU13" s="60"/>
      <c r="BV13" s="65">
        <f t="shared" si="110"/>
        <v>0</v>
      </c>
      <c r="BW13" s="60"/>
      <c r="BX13" s="65">
        <f t="shared" si="111"/>
        <v>0</v>
      </c>
      <c r="BY13" s="60"/>
      <c r="BZ13" s="67">
        <f t="shared" si="112"/>
        <v>0</v>
      </c>
      <c r="CA13" s="60"/>
      <c r="CB13" s="67">
        <f t="shared" si="113"/>
        <v>0</v>
      </c>
      <c r="CC13" s="60"/>
      <c r="CD13" s="67">
        <f t="shared" si="114"/>
        <v>0</v>
      </c>
      <c r="CE13" s="60"/>
      <c r="CF13" s="67">
        <f t="shared" si="115"/>
        <v>0</v>
      </c>
      <c r="CG13" s="60"/>
      <c r="CH13" s="67">
        <f t="shared" si="116"/>
        <v>0</v>
      </c>
      <c r="CI13" s="60"/>
      <c r="CJ13" s="67">
        <f t="shared" si="117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5"/>
        <v>0</v>
      </c>
      <c r="CT13" s="75"/>
      <c r="CU13" s="67">
        <f t="shared" si="96"/>
        <v>0</v>
      </c>
      <c r="CV13" s="68"/>
      <c r="CW13" s="67">
        <f t="shared" si="97"/>
        <v>0</v>
      </c>
      <c r="CX13" s="58"/>
      <c r="CY13" s="67">
        <f t="shared" si="98"/>
        <v>0</v>
      </c>
    </row>
    <row r="14" spans="1:103" ht="25.5" customHeight="1" thickBot="1" x14ac:dyDescent="0.45">
      <c r="A14" s="63">
        <v>44755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99"/>
        <v>0</v>
      </c>
      <c r="BA14" s="58"/>
      <c r="BB14" s="65">
        <f t="shared" si="100"/>
        <v>0</v>
      </c>
      <c r="BC14" s="58"/>
      <c r="BD14" s="65">
        <f t="shared" si="101"/>
        <v>0</v>
      </c>
      <c r="BE14" s="59"/>
      <c r="BF14" s="67">
        <f t="shared" si="102"/>
        <v>0</v>
      </c>
      <c r="BG14" s="60"/>
      <c r="BH14" s="65">
        <f t="shared" si="103"/>
        <v>0</v>
      </c>
      <c r="BI14" s="60"/>
      <c r="BJ14" s="65">
        <f t="shared" si="104"/>
        <v>0</v>
      </c>
      <c r="BK14" s="60"/>
      <c r="BL14" s="65">
        <f t="shared" si="105"/>
        <v>0</v>
      </c>
      <c r="BM14" s="60"/>
      <c r="BN14" s="65">
        <f t="shared" si="106"/>
        <v>0</v>
      </c>
      <c r="BO14" s="60"/>
      <c r="BP14" s="65">
        <f t="shared" si="107"/>
        <v>0</v>
      </c>
      <c r="BQ14" s="60"/>
      <c r="BR14" s="65">
        <f t="shared" si="108"/>
        <v>0</v>
      </c>
      <c r="BS14" s="60"/>
      <c r="BT14" s="65">
        <f t="shared" si="109"/>
        <v>0</v>
      </c>
      <c r="BU14" s="60"/>
      <c r="BV14" s="65">
        <f t="shared" si="110"/>
        <v>0</v>
      </c>
      <c r="BW14" s="60"/>
      <c r="BX14" s="65">
        <f t="shared" si="111"/>
        <v>0</v>
      </c>
      <c r="BY14" s="60"/>
      <c r="BZ14" s="67">
        <f t="shared" si="112"/>
        <v>0</v>
      </c>
      <c r="CA14" s="60"/>
      <c r="CB14" s="67">
        <f t="shared" si="113"/>
        <v>0</v>
      </c>
      <c r="CC14" s="60"/>
      <c r="CD14" s="67">
        <f t="shared" si="114"/>
        <v>0</v>
      </c>
      <c r="CE14" s="60"/>
      <c r="CF14" s="67">
        <f t="shared" si="115"/>
        <v>0</v>
      </c>
      <c r="CG14" s="60"/>
      <c r="CH14" s="67">
        <f t="shared" si="116"/>
        <v>0</v>
      </c>
      <c r="CI14" s="60"/>
      <c r="CJ14" s="67">
        <f t="shared" si="117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5"/>
        <v>0</v>
      </c>
      <c r="CT14" s="75"/>
      <c r="CU14" s="67">
        <f t="shared" si="96"/>
        <v>0</v>
      </c>
      <c r="CV14" s="68"/>
      <c r="CW14" s="67">
        <f t="shared" si="97"/>
        <v>0</v>
      </c>
      <c r="CX14" s="58"/>
      <c r="CY14" s="67">
        <f t="shared" si="98"/>
        <v>0</v>
      </c>
    </row>
    <row r="15" spans="1:103" ht="25.5" customHeight="1" thickBot="1" x14ac:dyDescent="0.45">
      <c r="A15" s="63">
        <v>44756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99"/>
        <v>0</v>
      </c>
      <c r="BA15" s="58"/>
      <c r="BB15" s="65">
        <f t="shared" si="100"/>
        <v>0</v>
      </c>
      <c r="BC15" s="58"/>
      <c r="BD15" s="65">
        <f t="shared" si="101"/>
        <v>0</v>
      </c>
      <c r="BE15" s="59"/>
      <c r="BF15" s="67">
        <f t="shared" si="102"/>
        <v>0</v>
      </c>
      <c r="BG15" s="60"/>
      <c r="BH15" s="65">
        <f t="shared" si="103"/>
        <v>0</v>
      </c>
      <c r="BI15" s="60"/>
      <c r="BJ15" s="65">
        <f t="shared" si="104"/>
        <v>0</v>
      </c>
      <c r="BK15" s="60"/>
      <c r="BL15" s="65">
        <f t="shared" si="105"/>
        <v>0</v>
      </c>
      <c r="BM15" s="60"/>
      <c r="BN15" s="65">
        <f t="shared" si="106"/>
        <v>0</v>
      </c>
      <c r="BO15" s="60"/>
      <c r="BP15" s="65">
        <f t="shared" si="107"/>
        <v>0</v>
      </c>
      <c r="BQ15" s="60"/>
      <c r="BR15" s="65">
        <f t="shared" si="108"/>
        <v>0</v>
      </c>
      <c r="BS15" s="60"/>
      <c r="BT15" s="65">
        <f t="shared" si="109"/>
        <v>0</v>
      </c>
      <c r="BU15" s="60"/>
      <c r="BV15" s="65">
        <f t="shared" si="110"/>
        <v>0</v>
      </c>
      <c r="BW15" s="60"/>
      <c r="BX15" s="65">
        <f t="shared" si="111"/>
        <v>0</v>
      </c>
      <c r="BY15" s="60"/>
      <c r="BZ15" s="67">
        <f t="shared" si="112"/>
        <v>0</v>
      </c>
      <c r="CA15" s="60"/>
      <c r="CB15" s="67">
        <f t="shared" si="113"/>
        <v>0</v>
      </c>
      <c r="CC15" s="60"/>
      <c r="CD15" s="67">
        <f t="shared" si="114"/>
        <v>0</v>
      </c>
      <c r="CE15" s="60"/>
      <c r="CF15" s="67">
        <f t="shared" si="115"/>
        <v>0</v>
      </c>
      <c r="CG15" s="60"/>
      <c r="CH15" s="67">
        <f t="shared" si="116"/>
        <v>0</v>
      </c>
      <c r="CI15" s="60"/>
      <c r="CJ15" s="67">
        <f t="shared" si="117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5"/>
        <v>0</v>
      </c>
      <c r="CT15" s="75"/>
      <c r="CU15" s="67">
        <f t="shared" si="96"/>
        <v>0</v>
      </c>
      <c r="CV15" s="68"/>
      <c r="CW15" s="67">
        <f t="shared" si="97"/>
        <v>0</v>
      </c>
      <c r="CX15" s="58"/>
      <c r="CY15" s="67">
        <f t="shared" si="98"/>
        <v>0</v>
      </c>
    </row>
    <row r="16" spans="1:103" ht="25.5" customHeight="1" thickBot="1" x14ac:dyDescent="0.45">
      <c r="A16" s="63">
        <v>44757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99"/>
        <v>0</v>
      </c>
      <c r="BA16" s="58"/>
      <c r="BB16" s="65">
        <f t="shared" si="100"/>
        <v>0</v>
      </c>
      <c r="BC16" s="58"/>
      <c r="BD16" s="65">
        <f t="shared" si="101"/>
        <v>0</v>
      </c>
      <c r="BE16" s="59"/>
      <c r="BF16" s="67">
        <f t="shared" si="102"/>
        <v>0</v>
      </c>
      <c r="BG16" s="60"/>
      <c r="BH16" s="65">
        <f t="shared" si="103"/>
        <v>0</v>
      </c>
      <c r="BI16" s="60"/>
      <c r="BJ16" s="65">
        <f t="shared" si="104"/>
        <v>0</v>
      </c>
      <c r="BK16" s="60"/>
      <c r="BL16" s="65">
        <f t="shared" si="105"/>
        <v>0</v>
      </c>
      <c r="BM16" s="60"/>
      <c r="BN16" s="65">
        <f t="shared" si="106"/>
        <v>0</v>
      </c>
      <c r="BO16" s="60"/>
      <c r="BP16" s="65">
        <f t="shared" si="107"/>
        <v>0</v>
      </c>
      <c r="BQ16" s="60"/>
      <c r="BR16" s="65">
        <f t="shared" si="108"/>
        <v>0</v>
      </c>
      <c r="BS16" s="60"/>
      <c r="BT16" s="65">
        <f t="shared" si="109"/>
        <v>0</v>
      </c>
      <c r="BU16" s="60"/>
      <c r="BV16" s="65">
        <f t="shared" si="110"/>
        <v>0</v>
      </c>
      <c r="BW16" s="60"/>
      <c r="BX16" s="65">
        <f t="shared" si="111"/>
        <v>0</v>
      </c>
      <c r="BY16" s="60"/>
      <c r="BZ16" s="67">
        <f t="shared" si="112"/>
        <v>0</v>
      </c>
      <c r="CA16" s="60"/>
      <c r="CB16" s="67">
        <f t="shared" si="113"/>
        <v>0</v>
      </c>
      <c r="CC16" s="60"/>
      <c r="CD16" s="67">
        <f t="shared" si="114"/>
        <v>0</v>
      </c>
      <c r="CE16" s="60"/>
      <c r="CF16" s="67">
        <f t="shared" si="115"/>
        <v>0</v>
      </c>
      <c r="CG16" s="60"/>
      <c r="CH16" s="67">
        <f t="shared" si="116"/>
        <v>0</v>
      </c>
      <c r="CI16" s="60"/>
      <c r="CJ16" s="67">
        <f t="shared" si="117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5"/>
        <v>0</v>
      </c>
      <c r="CT16" s="75"/>
      <c r="CU16" s="67">
        <f t="shared" si="96"/>
        <v>0</v>
      </c>
      <c r="CV16" s="68"/>
      <c r="CW16" s="67">
        <f t="shared" si="97"/>
        <v>0</v>
      </c>
      <c r="CX16" s="58"/>
      <c r="CY16" s="67">
        <f t="shared" si="98"/>
        <v>0</v>
      </c>
    </row>
    <row r="17" spans="1:103" ht="25.5" customHeight="1" thickBot="1" x14ac:dyDescent="0.45">
      <c r="A17" s="63">
        <v>44758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99"/>
        <v>0</v>
      </c>
      <c r="BA17" s="58"/>
      <c r="BB17" s="65">
        <f t="shared" si="100"/>
        <v>0</v>
      </c>
      <c r="BC17" s="58"/>
      <c r="BD17" s="65">
        <f t="shared" si="101"/>
        <v>0</v>
      </c>
      <c r="BE17" s="59"/>
      <c r="BF17" s="67">
        <f t="shared" si="102"/>
        <v>0</v>
      </c>
      <c r="BG17" s="60"/>
      <c r="BH17" s="65">
        <f t="shared" si="103"/>
        <v>0</v>
      </c>
      <c r="BI17" s="60"/>
      <c r="BJ17" s="65">
        <f t="shared" si="104"/>
        <v>0</v>
      </c>
      <c r="BK17" s="60"/>
      <c r="BL17" s="65">
        <f t="shared" si="105"/>
        <v>0</v>
      </c>
      <c r="BM17" s="60"/>
      <c r="BN17" s="65">
        <f t="shared" si="106"/>
        <v>0</v>
      </c>
      <c r="BO17" s="60"/>
      <c r="BP17" s="65">
        <f t="shared" si="107"/>
        <v>0</v>
      </c>
      <c r="BQ17" s="60"/>
      <c r="BR17" s="65">
        <f t="shared" si="108"/>
        <v>0</v>
      </c>
      <c r="BS17" s="60"/>
      <c r="BT17" s="65">
        <f t="shared" si="109"/>
        <v>0</v>
      </c>
      <c r="BU17" s="60"/>
      <c r="BV17" s="65">
        <f t="shared" si="110"/>
        <v>0</v>
      </c>
      <c r="BW17" s="60"/>
      <c r="BX17" s="65">
        <f t="shared" si="111"/>
        <v>0</v>
      </c>
      <c r="BY17" s="60"/>
      <c r="BZ17" s="67">
        <f t="shared" si="112"/>
        <v>0</v>
      </c>
      <c r="CA17" s="60"/>
      <c r="CB17" s="67">
        <f t="shared" si="113"/>
        <v>0</v>
      </c>
      <c r="CC17" s="60"/>
      <c r="CD17" s="67">
        <f t="shared" si="114"/>
        <v>0</v>
      </c>
      <c r="CE17" s="60"/>
      <c r="CF17" s="67">
        <f t="shared" si="115"/>
        <v>0</v>
      </c>
      <c r="CG17" s="60"/>
      <c r="CH17" s="67">
        <f t="shared" si="116"/>
        <v>0</v>
      </c>
      <c r="CI17" s="60"/>
      <c r="CJ17" s="67">
        <f t="shared" si="117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118">IF((CP17-CP16&lt;0), "",CP17-CP16)</f>
        <v>0</v>
      </c>
      <c r="CR17" s="68"/>
      <c r="CS17" s="67">
        <f t="shared" si="95"/>
        <v>0</v>
      </c>
      <c r="CT17" s="75"/>
      <c r="CU17" s="67">
        <f t="shared" si="96"/>
        <v>0</v>
      </c>
      <c r="CV17" s="68"/>
      <c r="CW17" s="67">
        <f t="shared" si="97"/>
        <v>0</v>
      </c>
      <c r="CX17" s="58"/>
      <c r="CY17" s="67">
        <f t="shared" si="98"/>
        <v>0</v>
      </c>
    </row>
    <row r="18" spans="1:103" ht="25.5" customHeight="1" thickBot="1" x14ac:dyDescent="0.45">
      <c r="A18" s="63">
        <v>44759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99"/>
        <v>0</v>
      </c>
      <c r="BA18" s="58"/>
      <c r="BB18" s="65">
        <f t="shared" si="100"/>
        <v>0</v>
      </c>
      <c r="BC18" s="58"/>
      <c r="BD18" s="65">
        <f t="shared" si="101"/>
        <v>0</v>
      </c>
      <c r="BE18" s="59"/>
      <c r="BF18" s="67">
        <f t="shared" si="102"/>
        <v>0</v>
      </c>
      <c r="BG18" s="60"/>
      <c r="BH18" s="65">
        <f t="shared" si="103"/>
        <v>0</v>
      </c>
      <c r="BI18" s="60"/>
      <c r="BJ18" s="65">
        <f t="shared" si="104"/>
        <v>0</v>
      </c>
      <c r="BK18" s="60"/>
      <c r="BL18" s="65">
        <f t="shared" si="105"/>
        <v>0</v>
      </c>
      <c r="BM18" s="60"/>
      <c r="BN18" s="65">
        <f t="shared" si="106"/>
        <v>0</v>
      </c>
      <c r="BO18" s="60"/>
      <c r="BP18" s="65">
        <f t="shared" si="107"/>
        <v>0</v>
      </c>
      <c r="BQ18" s="60"/>
      <c r="BR18" s="65">
        <f t="shared" si="108"/>
        <v>0</v>
      </c>
      <c r="BS18" s="60"/>
      <c r="BT18" s="65">
        <f t="shared" si="109"/>
        <v>0</v>
      </c>
      <c r="BU18" s="60"/>
      <c r="BV18" s="65">
        <f t="shared" si="110"/>
        <v>0</v>
      </c>
      <c r="BW18" s="60"/>
      <c r="BX18" s="65">
        <f t="shared" si="111"/>
        <v>0</v>
      </c>
      <c r="BY18" s="60"/>
      <c r="BZ18" s="67">
        <f t="shared" si="112"/>
        <v>0</v>
      </c>
      <c r="CA18" s="60"/>
      <c r="CB18" s="67">
        <f t="shared" si="113"/>
        <v>0</v>
      </c>
      <c r="CC18" s="60"/>
      <c r="CD18" s="67">
        <f t="shared" si="114"/>
        <v>0</v>
      </c>
      <c r="CE18" s="60"/>
      <c r="CF18" s="67">
        <f t="shared" si="115"/>
        <v>0</v>
      </c>
      <c r="CG18" s="60"/>
      <c r="CH18" s="67">
        <f t="shared" si="116"/>
        <v>0</v>
      </c>
      <c r="CI18" s="60"/>
      <c r="CJ18" s="67">
        <f t="shared" si="117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118"/>
        <v>0</v>
      </c>
      <c r="CR18" s="68"/>
      <c r="CS18" s="67">
        <f t="shared" si="95"/>
        <v>0</v>
      </c>
      <c r="CT18" s="75"/>
      <c r="CU18" s="67">
        <f t="shared" si="96"/>
        <v>0</v>
      </c>
      <c r="CV18" s="68"/>
      <c r="CW18" s="67">
        <f t="shared" si="97"/>
        <v>0</v>
      </c>
      <c r="CX18" s="58"/>
      <c r="CY18" s="67">
        <f t="shared" si="98"/>
        <v>0</v>
      </c>
    </row>
    <row r="19" spans="1:103" ht="25.5" customHeight="1" thickBot="1" x14ac:dyDescent="0.45">
      <c r="A19" s="63">
        <v>44760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99"/>
        <v>0</v>
      </c>
      <c r="BA19" s="58"/>
      <c r="BB19" s="65">
        <f t="shared" si="100"/>
        <v>0</v>
      </c>
      <c r="BC19" s="58"/>
      <c r="BD19" s="65">
        <f t="shared" si="101"/>
        <v>0</v>
      </c>
      <c r="BE19" s="59"/>
      <c r="BF19" s="67">
        <f t="shared" si="102"/>
        <v>0</v>
      </c>
      <c r="BG19" s="60"/>
      <c r="BH19" s="65">
        <f t="shared" si="103"/>
        <v>0</v>
      </c>
      <c r="BI19" s="60"/>
      <c r="BJ19" s="65">
        <f t="shared" si="104"/>
        <v>0</v>
      </c>
      <c r="BK19" s="60"/>
      <c r="BL19" s="65">
        <f t="shared" si="105"/>
        <v>0</v>
      </c>
      <c r="BM19" s="60"/>
      <c r="BN19" s="65">
        <f t="shared" si="106"/>
        <v>0</v>
      </c>
      <c r="BO19" s="60"/>
      <c r="BP19" s="65">
        <f t="shared" si="107"/>
        <v>0</v>
      </c>
      <c r="BQ19" s="60"/>
      <c r="BR19" s="65">
        <f t="shared" si="108"/>
        <v>0</v>
      </c>
      <c r="BS19" s="60"/>
      <c r="BT19" s="65">
        <f t="shared" si="109"/>
        <v>0</v>
      </c>
      <c r="BU19" s="60"/>
      <c r="BV19" s="65">
        <f t="shared" si="110"/>
        <v>0</v>
      </c>
      <c r="BW19" s="60"/>
      <c r="BX19" s="65">
        <f t="shared" si="111"/>
        <v>0</v>
      </c>
      <c r="BY19" s="60"/>
      <c r="BZ19" s="67">
        <f t="shared" si="112"/>
        <v>0</v>
      </c>
      <c r="CA19" s="60"/>
      <c r="CB19" s="67">
        <f t="shared" si="113"/>
        <v>0</v>
      </c>
      <c r="CC19" s="60"/>
      <c r="CD19" s="67">
        <f t="shared" si="114"/>
        <v>0</v>
      </c>
      <c r="CE19" s="60"/>
      <c r="CF19" s="67">
        <f t="shared" si="115"/>
        <v>0</v>
      </c>
      <c r="CG19" s="60"/>
      <c r="CH19" s="67">
        <f t="shared" si="116"/>
        <v>0</v>
      </c>
      <c r="CI19" s="60"/>
      <c r="CJ19" s="67">
        <f t="shared" si="117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118"/>
        <v>0</v>
      </c>
      <c r="CR19" s="68"/>
      <c r="CS19" s="67">
        <f t="shared" si="95"/>
        <v>0</v>
      </c>
      <c r="CT19" s="75"/>
      <c r="CU19" s="67">
        <f t="shared" si="96"/>
        <v>0</v>
      </c>
      <c r="CV19" s="68"/>
      <c r="CW19" s="67">
        <f t="shared" si="97"/>
        <v>0</v>
      </c>
      <c r="CX19" s="58"/>
      <c r="CY19" s="67">
        <f t="shared" si="98"/>
        <v>0</v>
      </c>
    </row>
    <row r="20" spans="1:103" ht="25.5" customHeight="1" thickBot="1" x14ac:dyDescent="0.45">
      <c r="A20" s="63">
        <v>44761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99"/>
        <v>0</v>
      </c>
      <c r="BA20" s="58"/>
      <c r="BB20" s="65">
        <f t="shared" si="100"/>
        <v>0</v>
      </c>
      <c r="BC20" s="58"/>
      <c r="BD20" s="65">
        <f t="shared" si="101"/>
        <v>0</v>
      </c>
      <c r="BE20" s="59"/>
      <c r="BF20" s="67">
        <f t="shared" si="102"/>
        <v>0</v>
      </c>
      <c r="BG20" s="60"/>
      <c r="BH20" s="65">
        <f t="shared" si="103"/>
        <v>0</v>
      </c>
      <c r="BI20" s="60"/>
      <c r="BJ20" s="65">
        <f t="shared" si="104"/>
        <v>0</v>
      </c>
      <c r="BK20" s="60"/>
      <c r="BL20" s="65">
        <f t="shared" si="105"/>
        <v>0</v>
      </c>
      <c r="BM20" s="60"/>
      <c r="BN20" s="65">
        <f t="shared" si="106"/>
        <v>0</v>
      </c>
      <c r="BO20" s="60"/>
      <c r="BP20" s="65">
        <f t="shared" si="107"/>
        <v>0</v>
      </c>
      <c r="BQ20" s="60"/>
      <c r="BR20" s="65">
        <f t="shared" si="108"/>
        <v>0</v>
      </c>
      <c r="BS20" s="60"/>
      <c r="BT20" s="65">
        <f t="shared" si="109"/>
        <v>0</v>
      </c>
      <c r="BU20" s="60"/>
      <c r="BV20" s="65">
        <f t="shared" si="110"/>
        <v>0</v>
      </c>
      <c r="BW20" s="60"/>
      <c r="BX20" s="65">
        <f t="shared" si="111"/>
        <v>0</v>
      </c>
      <c r="BY20" s="60"/>
      <c r="BZ20" s="67">
        <f t="shared" si="112"/>
        <v>0</v>
      </c>
      <c r="CA20" s="60"/>
      <c r="CB20" s="67">
        <f t="shared" si="113"/>
        <v>0</v>
      </c>
      <c r="CC20" s="60"/>
      <c r="CD20" s="67">
        <f t="shared" si="114"/>
        <v>0</v>
      </c>
      <c r="CE20" s="60"/>
      <c r="CF20" s="67">
        <f t="shared" si="115"/>
        <v>0</v>
      </c>
      <c r="CG20" s="60"/>
      <c r="CH20" s="67">
        <f t="shared" si="116"/>
        <v>0</v>
      </c>
      <c r="CI20" s="60"/>
      <c r="CJ20" s="67">
        <f t="shared" si="117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118"/>
        <v>0</v>
      </c>
      <c r="CR20" s="68"/>
      <c r="CS20" s="67">
        <f t="shared" si="95"/>
        <v>0</v>
      </c>
      <c r="CT20" s="75"/>
      <c r="CU20" s="67">
        <f t="shared" si="96"/>
        <v>0</v>
      </c>
      <c r="CV20" s="68"/>
      <c r="CW20" s="67">
        <f t="shared" si="97"/>
        <v>0</v>
      </c>
      <c r="CX20" s="58"/>
      <c r="CY20" s="67">
        <f t="shared" si="98"/>
        <v>0</v>
      </c>
    </row>
    <row r="21" spans="1:103" ht="25.5" customHeight="1" thickBot="1" x14ac:dyDescent="0.45">
      <c r="A21" s="63">
        <v>44762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99"/>
        <v>0</v>
      </c>
      <c r="BA21" s="58"/>
      <c r="BB21" s="65">
        <f t="shared" si="100"/>
        <v>0</v>
      </c>
      <c r="BC21" s="58"/>
      <c r="BD21" s="65">
        <f t="shared" si="101"/>
        <v>0</v>
      </c>
      <c r="BE21" s="59"/>
      <c r="BF21" s="67">
        <f t="shared" si="102"/>
        <v>0</v>
      </c>
      <c r="BG21" s="60"/>
      <c r="BH21" s="65">
        <f t="shared" si="103"/>
        <v>0</v>
      </c>
      <c r="BI21" s="60"/>
      <c r="BJ21" s="65">
        <f t="shared" si="104"/>
        <v>0</v>
      </c>
      <c r="BK21" s="60"/>
      <c r="BL21" s="65">
        <f t="shared" si="105"/>
        <v>0</v>
      </c>
      <c r="BM21" s="60"/>
      <c r="BN21" s="65">
        <f t="shared" si="106"/>
        <v>0</v>
      </c>
      <c r="BO21" s="60"/>
      <c r="BP21" s="65">
        <f t="shared" si="107"/>
        <v>0</v>
      </c>
      <c r="BQ21" s="60"/>
      <c r="BR21" s="65">
        <f t="shared" si="108"/>
        <v>0</v>
      </c>
      <c r="BS21" s="60"/>
      <c r="BT21" s="65">
        <f t="shared" si="109"/>
        <v>0</v>
      </c>
      <c r="BU21" s="60"/>
      <c r="BV21" s="65">
        <f t="shared" si="110"/>
        <v>0</v>
      </c>
      <c r="BW21" s="60"/>
      <c r="BX21" s="65">
        <f t="shared" si="111"/>
        <v>0</v>
      </c>
      <c r="BY21" s="60"/>
      <c r="BZ21" s="67">
        <f t="shared" si="112"/>
        <v>0</v>
      </c>
      <c r="CA21" s="60"/>
      <c r="CB21" s="67">
        <f t="shared" si="113"/>
        <v>0</v>
      </c>
      <c r="CC21" s="60"/>
      <c r="CD21" s="67">
        <f t="shared" si="114"/>
        <v>0</v>
      </c>
      <c r="CE21" s="60"/>
      <c r="CF21" s="67">
        <f t="shared" si="115"/>
        <v>0</v>
      </c>
      <c r="CG21" s="60"/>
      <c r="CH21" s="67">
        <f t="shared" si="116"/>
        <v>0</v>
      </c>
      <c r="CI21" s="60"/>
      <c r="CJ21" s="67">
        <f t="shared" si="117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118"/>
        <v>0</v>
      </c>
      <c r="CR21" s="68"/>
      <c r="CS21" s="67">
        <f t="shared" si="95"/>
        <v>0</v>
      </c>
      <c r="CT21" s="75"/>
      <c r="CU21" s="67">
        <f t="shared" si="96"/>
        <v>0</v>
      </c>
      <c r="CV21" s="68"/>
      <c r="CW21" s="67">
        <f t="shared" si="97"/>
        <v>0</v>
      </c>
      <c r="CX21" s="58"/>
      <c r="CY21" s="67">
        <f t="shared" si="98"/>
        <v>0</v>
      </c>
    </row>
    <row r="22" spans="1:103" ht="25.5" customHeight="1" thickBot="1" x14ac:dyDescent="0.45">
      <c r="A22" s="63">
        <v>44763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99"/>
        <v>0</v>
      </c>
      <c r="BA22" s="58"/>
      <c r="BB22" s="65">
        <f t="shared" si="100"/>
        <v>0</v>
      </c>
      <c r="BC22" s="58"/>
      <c r="BD22" s="65">
        <f t="shared" si="101"/>
        <v>0</v>
      </c>
      <c r="BE22" s="59"/>
      <c r="BF22" s="67">
        <f t="shared" si="102"/>
        <v>0</v>
      </c>
      <c r="BG22" s="60"/>
      <c r="BH22" s="65">
        <f t="shared" si="103"/>
        <v>0</v>
      </c>
      <c r="BI22" s="60"/>
      <c r="BJ22" s="65">
        <f t="shared" si="104"/>
        <v>0</v>
      </c>
      <c r="BK22" s="60"/>
      <c r="BL22" s="65">
        <f t="shared" si="105"/>
        <v>0</v>
      </c>
      <c r="BM22" s="60"/>
      <c r="BN22" s="65">
        <f t="shared" si="106"/>
        <v>0</v>
      </c>
      <c r="BO22" s="60"/>
      <c r="BP22" s="65">
        <f t="shared" si="107"/>
        <v>0</v>
      </c>
      <c r="BQ22" s="60"/>
      <c r="BR22" s="65">
        <f t="shared" si="108"/>
        <v>0</v>
      </c>
      <c r="BS22" s="60"/>
      <c r="BT22" s="65">
        <f t="shared" si="109"/>
        <v>0</v>
      </c>
      <c r="BU22" s="60"/>
      <c r="BV22" s="65">
        <f t="shared" si="110"/>
        <v>0</v>
      </c>
      <c r="BW22" s="60"/>
      <c r="BX22" s="65">
        <f t="shared" si="111"/>
        <v>0</v>
      </c>
      <c r="BY22" s="60"/>
      <c r="BZ22" s="67">
        <f t="shared" si="112"/>
        <v>0</v>
      </c>
      <c r="CA22" s="60"/>
      <c r="CB22" s="67">
        <f t="shared" si="113"/>
        <v>0</v>
      </c>
      <c r="CC22" s="60"/>
      <c r="CD22" s="67">
        <f t="shared" si="114"/>
        <v>0</v>
      </c>
      <c r="CE22" s="60"/>
      <c r="CF22" s="67">
        <f t="shared" si="115"/>
        <v>0</v>
      </c>
      <c r="CG22" s="60"/>
      <c r="CH22" s="67">
        <f t="shared" si="116"/>
        <v>0</v>
      </c>
      <c r="CI22" s="60"/>
      <c r="CJ22" s="67">
        <f t="shared" si="117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118"/>
        <v>0</v>
      </c>
      <c r="CR22" s="68"/>
      <c r="CS22" s="67">
        <f t="shared" si="95"/>
        <v>0</v>
      </c>
      <c r="CT22" s="75"/>
      <c r="CU22" s="67">
        <f t="shared" si="96"/>
        <v>0</v>
      </c>
      <c r="CV22" s="68"/>
      <c r="CW22" s="67">
        <f t="shared" si="97"/>
        <v>0</v>
      </c>
      <c r="CX22" s="58"/>
      <c r="CY22" s="67">
        <f t="shared" si="98"/>
        <v>0</v>
      </c>
    </row>
    <row r="23" spans="1:103" ht="25.5" customHeight="1" thickBot="1" x14ac:dyDescent="0.45">
      <c r="A23" s="63">
        <v>44764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99"/>
        <v>0</v>
      </c>
      <c r="BA23" s="58"/>
      <c r="BB23" s="65">
        <f t="shared" si="100"/>
        <v>0</v>
      </c>
      <c r="BC23" s="58"/>
      <c r="BD23" s="65">
        <f t="shared" si="101"/>
        <v>0</v>
      </c>
      <c r="BE23" s="59"/>
      <c r="BF23" s="67">
        <f t="shared" si="102"/>
        <v>0</v>
      </c>
      <c r="BG23" s="60"/>
      <c r="BH23" s="65">
        <f t="shared" si="103"/>
        <v>0</v>
      </c>
      <c r="BI23" s="60"/>
      <c r="BJ23" s="65">
        <f t="shared" si="104"/>
        <v>0</v>
      </c>
      <c r="BK23" s="60"/>
      <c r="BL23" s="65">
        <f t="shared" si="105"/>
        <v>0</v>
      </c>
      <c r="BM23" s="60"/>
      <c r="BN23" s="65">
        <f t="shared" si="106"/>
        <v>0</v>
      </c>
      <c r="BO23" s="60"/>
      <c r="BP23" s="65">
        <f t="shared" si="107"/>
        <v>0</v>
      </c>
      <c r="BQ23" s="60"/>
      <c r="BR23" s="65">
        <f t="shared" si="108"/>
        <v>0</v>
      </c>
      <c r="BS23" s="60"/>
      <c r="BT23" s="65">
        <f t="shared" si="109"/>
        <v>0</v>
      </c>
      <c r="BU23" s="60"/>
      <c r="BV23" s="65">
        <f t="shared" si="110"/>
        <v>0</v>
      </c>
      <c r="BW23" s="60"/>
      <c r="BX23" s="65">
        <f t="shared" si="111"/>
        <v>0</v>
      </c>
      <c r="BY23" s="60"/>
      <c r="BZ23" s="67">
        <f t="shared" si="112"/>
        <v>0</v>
      </c>
      <c r="CA23" s="60"/>
      <c r="CB23" s="67">
        <f t="shared" si="113"/>
        <v>0</v>
      </c>
      <c r="CC23" s="60"/>
      <c r="CD23" s="67">
        <f t="shared" si="114"/>
        <v>0</v>
      </c>
      <c r="CE23" s="60"/>
      <c r="CF23" s="67">
        <f t="shared" si="115"/>
        <v>0</v>
      </c>
      <c r="CG23" s="60"/>
      <c r="CH23" s="67">
        <f t="shared" si="116"/>
        <v>0</v>
      </c>
      <c r="CI23" s="60"/>
      <c r="CJ23" s="67">
        <f t="shared" si="117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118"/>
        <v>0</v>
      </c>
      <c r="CR23" s="68"/>
      <c r="CS23" s="67">
        <f t="shared" si="95"/>
        <v>0</v>
      </c>
      <c r="CT23" s="75"/>
      <c r="CU23" s="67">
        <f t="shared" si="96"/>
        <v>0</v>
      </c>
      <c r="CV23" s="68"/>
      <c r="CW23" s="67">
        <f t="shared" si="97"/>
        <v>0</v>
      </c>
      <c r="CX23" s="58"/>
      <c r="CY23" s="67">
        <f t="shared" si="98"/>
        <v>0</v>
      </c>
    </row>
    <row r="24" spans="1:103" ht="25.5" customHeight="1" thickBot="1" x14ac:dyDescent="0.45">
      <c r="A24" s="63">
        <v>44765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99"/>
        <v>0</v>
      </c>
      <c r="BA24" s="58"/>
      <c r="BB24" s="65">
        <f t="shared" si="100"/>
        <v>0</v>
      </c>
      <c r="BC24" s="58"/>
      <c r="BD24" s="65">
        <f t="shared" si="101"/>
        <v>0</v>
      </c>
      <c r="BE24" s="59"/>
      <c r="BF24" s="67">
        <f t="shared" si="102"/>
        <v>0</v>
      </c>
      <c r="BG24" s="60"/>
      <c r="BH24" s="65">
        <f t="shared" si="103"/>
        <v>0</v>
      </c>
      <c r="BI24" s="60"/>
      <c r="BJ24" s="65">
        <f t="shared" si="104"/>
        <v>0</v>
      </c>
      <c r="BK24" s="60"/>
      <c r="BL24" s="65">
        <f t="shared" si="105"/>
        <v>0</v>
      </c>
      <c r="BM24" s="60"/>
      <c r="BN24" s="65">
        <f t="shared" si="106"/>
        <v>0</v>
      </c>
      <c r="BO24" s="60"/>
      <c r="BP24" s="65">
        <f t="shared" si="107"/>
        <v>0</v>
      </c>
      <c r="BQ24" s="60"/>
      <c r="BR24" s="65">
        <f t="shared" si="108"/>
        <v>0</v>
      </c>
      <c r="BS24" s="60"/>
      <c r="BT24" s="65">
        <f t="shared" si="109"/>
        <v>0</v>
      </c>
      <c r="BU24" s="60"/>
      <c r="BV24" s="65">
        <f t="shared" si="110"/>
        <v>0</v>
      </c>
      <c r="BW24" s="60"/>
      <c r="BX24" s="65">
        <f t="shared" si="111"/>
        <v>0</v>
      </c>
      <c r="BY24" s="60"/>
      <c r="BZ24" s="67">
        <f t="shared" si="112"/>
        <v>0</v>
      </c>
      <c r="CA24" s="60"/>
      <c r="CB24" s="67">
        <f t="shared" si="113"/>
        <v>0</v>
      </c>
      <c r="CC24" s="60"/>
      <c r="CD24" s="67">
        <f t="shared" si="114"/>
        <v>0</v>
      </c>
      <c r="CE24" s="60"/>
      <c r="CF24" s="67">
        <f t="shared" si="115"/>
        <v>0</v>
      </c>
      <c r="CG24" s="60"/>
      <c r="CH24" s="67">
        <f t="shared" si="116"/>
        <v>0</v>
      </c>
      <c r="CI24" s="60"/>
      <c r="CJ24" s="67">
        <f t="shared" si="117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118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44766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99"/>
        <v>0</v>
      </c>
      <c r="BA25" s="58"/>
      <c r="BB25" s="65">
        <f t="shared" si="100"/>
        <v>0</v>
      </c>
      <c r="BC25" s="58"/>
      <c r="BD25" s="65">
        <f t="shared" si="101"/>
        <v>0</v>
      </c>
      <c r="BE25" s="59"/>
      <c r="BF25" s="67">
        <f t="shared" si="102"/>
        <v>0</v>
      </c>
      <c r="BG25" s="60"/>
      <c r="BH25" s="65">
        <f t="shared" si="103"/>
        <v>0</v>
      </c>
      <c r="BI25" s="60"/>
      <c r="BJ25" s="65">
        <f t="shared" si="104"/>
        <v>0</v>
      </c>
      <c r="BK25" s="60"/>
      <c r="BL25" s="65">
        <f t="shared" si="105"/>
        <v>0</v>
      </c>
      <c r="BM25" s="60"/>
      <c r="BN25" s="65">
        <f t="shared" si="106"/>
        <v>0</v>
      </c>
      <c r="BO25" s="60"/>
      <c r="BP25" s="65">
        <f t="shared" si="107"/>
        <v>0</v>
      </c>
      <c r="BQ25" s="60"/>
      <c r="BR25" s="65">
        <f t="shared" si="108"/>
        <v>0</v>
      </c>
      <c r="BS25" s="60"/>
      <c r="BT25" s="65">
        <f t="shared" si="109"/>
        <v>0</v>
      </c>
      <c r="BU25" s="60"/>
      <c r="BV25" s="65">
        <f t="shared" si="110"/>
        <v>0</v>
      </c>
      <c r="BW25" s="60"/>
      <c r="BX25" s="65">
        <f t="shared" si="111"/>
        <v>0</v>
      </c>
      <c r="BY25" s="60"/>
      <c r="BZ25" s="67">
        <f t="shared" si="112"/>
        <v>0</v>
      </c>
      <c r="CA25" s="60"/>
      <c r="CB25" s="67">
        <f t="shared" si="113"/>
        <v>0</v>
      </c>
      <c r="CC25" s="60"/>
      <c r="CD25" s="67">
        <f t="shared" si="114"/>
        <v>0</v>
      </c>
      <c r="CE25" s="60"/>
      <c r="CF25" s="67">
        <f t="shared" si="115"/>
        <v>0</v>
      </c>
      <c r="CG25" s="60"/>
      <c r="CH25" s="67">
        <f t="shared" si="116"/>
        <v>0</v>
      </c>
      <c r="CI25" s="60"/>
      <c r="CJ25" s="67">
        <f t="shared" si="117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118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44767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99"/>
        <v>0</v>
      </c>
      <c r="BA26" s="58"/>
      <c r="BB26" s="65">
        <f t="shared" si="100"/>
        <v>0</v>
      </c>
      <c r="BC26" s="58"/>
      <c r="BD26" s="65">
        <f t="shared" si="101"/>
        <v>0</v>
      </c>
      <c r="BE26" s="59"/>
      <c r="BF26" s="67">
        <f t="shared" si="102"/>
        <v>0</v>
      </c>
      <c r="BG26" s="60"/>
      <c r="BH26" s="65">
        <v>249.59</v>
      </c>
      <c r="BI26" s="60"/>
      <c r="BJ26" s="65">
        <f t="shared" si="104"/>
        <v>0</v>
      </c>
      <c r="BK26" s="60"/>
      <c r="BL26" s="65">
        <f t="shared" si="105"/>
        <v>0</v>
      </c>
      <c r="BM26" s="60"/>
      <c r="BN26" s="65">
        <f t="shared" si="106"/>
        <v>0</v>
      </c>
      <c r="BO26" s="60"/>
      <c r="BP26" s="65">
        <f t="shared" si="107"/>
        <v>0</v>
      </c>
      <c r="BQ26" s="60"/>
      <c r="BR26" s="65">
        <f t="shared" si="108"/>
        <v>0</v>
      </c>
      <c r="BS26" s="60"/>
      <c r="BT26" s="65">
        <f t="shared" si="109"/>
        <v>0</v>
      </c>
      <c r="BU26" s="60"/>
      <c r="BV26" s="65">
        <f t="shared" si="110"/>
        <v>0</v>
      </c>
      <c r="BW26" s="60"/>
      <c r="BX26" s="65">
        <f t="shared" si="111"/>
        <v>0</v>
      </c>
      <c r="BY26" s="60"/>
      <c r="BZ26" s="67">
        <f t="shared" si="112"/>
        <v>0</v>
      </c>
      <c r="CA26" s="60"/>
      <c r="CB26" s="67">
        <f t="shared" si="113"/>
        <v>0</v>
      </c>
      <c r="CC26" s="60"/>
      <c r="CD26" s="67">
        <f t="shared" si="114"/>
        <v>0</v>
      </c>
      <c r="CE26" s="60"/>
      <c r="CF26" s="67">
        <f t="shared" si="115"/>
        <v>0</v>
      </c>
      <c r="CG26" s="60"/>
      <c r="CH26" s="67">
        <f t="shared" si="116"/>
        <v>0</v>
      </c>
      <c r="CI26" s="60"/>
      <c r="CJ26" s="67">
        <f t="shared" si="117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118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44768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99"/>
        <v>0</v>
      </c>
      <c r="BA27" s="58"/>
      <c r="BB27" s="65">
        <f t="shared" si="100"/>
        <v>0</v>
      </c>
      <c r="BC27" s="58"/>
      <c r="BD27" s="65">
        <f t="shared" si="101"/>
        <v>0</v>
      </c>
      <c r="BE27" s="59"/>
      <c r="BF27" s="67">
        <f t="shared" si="102"/>
        <v>0</v>
      </c>
      <c r="BG27" s="60"/>
      <c r="BH27" s="65">
        <f t="shared" si="103"/>
        <v>0</v>
      </c>
      <c r="BI27" s="60"/>
      <c r="BJ27" s="65">
        <f t="shared" si="104"/>
        <v>0</v>
      </c>
      <c r="BK27" s="60"/>
      <c r="BL27" s="65">
        <f t="shared" si="105"/>
        <v>0</v>
      </c>
      <c r="BM27" s="60"/>
      <c r="BN27" s="65">
        <f t="shared" si="106"/>
        <v>0</v>
      </c>
      <c r="BO27" s="60"/>
      <c r="BP27" s="65">
        <f t="shared" si="107"/>
        <v>0</v>
      </c>
      <c r="BQ27" s="60"/>
      <c r="BR27" s="65">
        <f t="shared" si="108"/>
        <v>0</v>
      </c>
      <c r="BS27" s="60"/>
      <c r="BT27" s="65">
        <f t="shared" si="109"/>
        <v>0</v>
      </c>
      <c r="BU27" s="60"/>
      <c r="BV27" s="65">
        <f t="shared" si="110"/>
        <v>0</v>
      </c>
      <c r="BW27" s="60"/>
      <c r="BX27" s="65">
        <f t="shared" si="111"/>
        <v>0</v>
      </c>
      <c r="BY27" s="60"/>
      <c r="BZ27" s="67">
        <f t="shared" si="112"/>
        <v>0</v>
      </c>
      <c r="CA27" s="60"/>
      <c r="CB27" s="67">
        <f t="shared" si="113"/>
        <v>0</v>
      </c>
      <c r="CC27" s="60"/>
      <c r="CD27" s="67">
        <f t="shared" si="114"/>
        <v>0</v>
      </c>
      <c r="CE27" s="60"/>
      <c r="CF27" s="67">
        <f t="shared" si="115"/>
        <v>0</v>
      </c>
      <c r="CG27" s="60"/>
      <c r="CH27" s="67">
        <f t="shared" si="116"/>
        <v>0</v>
      </c>
      <c r="CI27" s="60"/>
      <c r="CJ27" s="67">
        <f t="shared" si="117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118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44769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99"/>
        <v>0</v>
      </c>
      <c r="BA28" s="58"/>
      <c r="BB28" s="65">
        <f t="shared" si="100"/>
        <v>0</v>
      </c>
      <c r="BC28" s="58"/>
      <c r="BD28" s="65">
        <f t="shared" si="101"/>
        <v>0</v>
      </c>
      <c r="BE28" s="59"/>
      <c r="BF28" s="67">
        <f t="shared" si="102"/>
        <v>0</v>
      </c>
      <c r="BG28" s="60"/>
      <c r="BH28" s="65">
        <f t="shared" si="103"/>
        <v>0</v>
      </c>
      <c r="BI28" s="60"/>
      <c r="BJ28" s="65">
        <f t="shared" si="104"/>
        <v>0</v>
      </c>
      <c r="BK28" s="60"/>
      <c r="BL28" s="65">
        <f t="shared" si="105"/>
        <v>0</v>
      </c>
      <c r="BM28" s="60"/>
      <c r="BN28" s="65">
        <f t="shared" si="106"/>
        <v>0</v>
      </c>
      <c r="BO28" s="60"/>
      <c r="BP28" s="65">
        <f t="shared" si="107"/>
        <v>0</v>
      </c>
      <c r="BQ28" s="60"/>
      <c r="BR28" s="65">
        <f t="shared" si="108"/>
        <v>0</v>
      </c>
      <c r="BS28" s="60"/>
      <c r="BT28" s="65">
        <f t="shared" si="109"/>
        <v>0</v>
      </c>
      <c r="BU28" s="60"/>
      <c r="BV28" s="65">
        <f t="shared" si="110"/>
        <v>0</v>
      </c>
      <c r="BW28" s="60"/>
      <c r="BX28" s="65">
        <f t="shared" si="111"/>
        <v>0</v>
      </c>
      <c r="BY28" s="60"/>
      <c r="BZ28" s="67">
        <f t="shared" si="112"/>
        <v>0</v>
      </c>
      <c r="CA28" s="60"/>
      <c r="CB28" s="67">
        <f t="shared" si="113"/>
        <v>0</v>
      </c>
      <c r="CC28" s="60"/>
      <c r="CD28" s="67">
        <f t="shared" si="114"/>
        <v>0</v>
      </c>
      <c r="CE28" s="60"/>
      <c r="CF28" s="67">
        <f t="shared" si="115"/>
        <v>0</v>
      </c>
      <c r="CG28" s="60"/>
      <c r="CH28" s="67">
        <f t="shared" si="116"/>
        <v>0</v>
      </c>
      <c r="CI28" s="60"/>
      <c r="CJ28" s="67">
        <f t="shared" si="117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118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44770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99"/>
        <v>0</v>
      </c>
      <c r="BA29" s="58"/>
      <c r="BB29" s="65">
        <f t="shared" si="100"/>
        <v>0</v>
      </c>
      <c r="BC29" s="58"/>
      <c r="BD29" s="65">
        <f t="shared" si="101"/>
        <v>0</v>
      </c>
      <c r="BE29" s="59"/>
      <c r="BF29" s="67">
        <f t="shared" si="102"/>
        <v>0</v>
      </c>
      <c r="BG29" s="60"/>
      <c r="BH29" s="65">
        <f t="shared" si="103"/>
        <v>0</v>
      </c>
      <c r="BI29" s="60"/>
      <c r="BJ29" s="65">
        <f t="shared" si="104"/>
        <v>0</v>
      </c>
      <c r="BK29" s="60"/>
      <c r="BL29" s="65">
        <f t="shared" si="105"/>
        <v>0</v>
      </c>
      <c r="BM29" s="60"/>
      <c r="BN29" s="65">
        <f t="shared" si="106"/>
        <v>0</v>
      </c>
      <c r="BO29" s="60"/>
      <c r="BP29" s="65">
        <f t="shared" si="107"/>
        <v>0</v>
      </c>
      <c r="BQ29" s="60"/>
      <c r="BR29" s="65">
        <f t="shared" si="108"/>
        <v>0</v>
      </c>
      <c r="BS29" s="60"/>
      <c r="BT29" s="65">
        <f t="shared" si="109"/>
        <v>0</v>
      </c>
      <c r="BU29" s="60"/>
      <c r="BV29" s="65">
        <f t="shared" si="110"/>
        <v>0</v>
      </c>
      <c r="BW29" s="60"/>
      <c r="BX29" s="65">
        <f t="shared" si="111"/>
        <v>0</v>
      </c>
      <c r="BY29" s="60"/>
      <c r="BZ29" s="67">
        <f t="shared" si="112"/>
        <v>0</v>
      </c>
      <c r="CA29" s="60"/>
      <c r="CB29" s="67">
        <f t="shared" si="113"/>
        <v>0</v>
      </c>
      <c r="CC29" s="60"/>
      <c r="CD29" s="67">
        <f t="shared" si="114"/>
        <v>0</v>
      </c>
      <c r="CE29" s="60"/>
      <c r="CF29" s="67">
        <f t="shared" si="115"/>
        <v>0</v>
      </c>
      <c r="CG29" s="60"/>
      <c r="CH29" s="67">
        <f t="shared" si="116"/>
        <v>0</v>
      </c>
      <c r="CI29" s="60"/>
      <c r="CJ29" s="67">
        <f t="shared" si="117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118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44771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99"/>
        <v>0</v>
      </c>
      <c r="BA30" s="58"/>
      <c r="BB30" s="65">
        <f t="shared" si="100"/>
        <v>0</v>
      </c>
      <c r="BC30" s="58"/>
      <c r="BD30" s="65">
        <f t="shared" si="101"/>
        <v>0</v>
      </c>
      <c r="BE30" s="59"/>
      <c r="BF30" s="67">
        <f t="shared" si="102"/>
        <v>0</v>
      </c>
      <c r="BG30" s="60"/>
      <c r="BH30" s="65">
        <f t="shared" si="103"/>
        <v>0</v>
      </c>
      <c r="BI30" s="60"/>
      <c r="BJ30" s="65">
        <f t="shared" si="104"/>
        <v>0</v>
      </c>
      <c r="BK30" s="60"/>
      <c r="BL30" s="65">
        <f t="shared" si="105"/>
        <v>0</v>
      </c>
      <c r="BM30" s="60"/>
      <c r="BN30" s="65">
        <f t="shared" si="106"/>
        <v>0</v>
      </c>
      <c r="BO30" s="60"/>
      <c r="BP30" s="65">
        <f t="shared" si="107"/>
        <v>0</v>
      </c>
      <c r="BQ30" s="60"/>
      <c r="BR30" s="65">
        <f t="shared" si="108"/>
        <v>0</v>
      </c>
      <c r="BS30" s="60"/>
      <c r="BT30" s="65">
        <f t="shared" si="109"/>
        <v>0</v>
      </c>
      <c r="BU30" s="60"/>
      <c r="BV30" s="65">
        <f t="shared" si="110"/>
        <v>0</v>
      </c>
      <c r="BW30" s="60"/>
      <c r="BX30" s="65">
        <f t="shared" si="111"/>
        <v>0</v>
      </c>
      <c r="BY30" s="60"/>
      <c r="BZ30" s="67">
        <f t="shared" si="112"/>
        <v>0</v>
      </c>
      <c r="CA30" s="60"/>
      <c r="CB30" s="67">
        <f t="shared" si="113"/>
        <v>0</v>
      </c>
      <c r="CC30" s="60"/>
      <c r="CD30" s="67">
        <f t="shared" si="114"/>
        <v>0</v>
      </c>
      <c r="CE30" s="60"/>
      <c r="CF30" s="67">
        <f t="shared" si="115"/>
        <v>0</v>
      </c>
      <c r="CG30" s="60"/>
      <c r="CH30" s="67">
        <f t="shared" si="116"/>
        <v>0</v>
      </c>
      <c r="CI30" s="60"/>
      <c r="CJ30" s="67">
        <f t="shared" si="117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118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44772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99"/>
        <v>0</v>
      </c>
      <c r="BA31" s="58"/>
      <c r="BB31" s="65">
        <f t="shared" si="100"/>
        <v>0</v>
      </c>
      <c r="BC31" s="58"/>
      <c r="BD31" s="65">
        <f t="shared" si="101"/>
        <v>0</v>
      </c>
      <c r="BE31" s="59"/>
      <c r="BF31" s="67">
        <f t="shared" si="102"/>
        <v>0</v>
      </c>
      <c r="BG31" s="60"/>
      <c r="BH31" s="65">
        <f t="shared" si="103"/>
        <v>0</v>
      </c>
      <c r="BI31" s="60"/>
      <c r="BJ31" s="65">
        <v>304.38</v>
      </c>
      <c r="BK31" s="60"/>
      <c r="BL31" s="65">
        <f t="shared" si="105"/>
        <v>0</v>
      </c>
      <c r="BM31" s="60"/>
      <c r="BN31" s="65">
        <f t="shared" si="106"/>
        <v>0</v>
      </c>
      <c r="BO31" s="60"/>
      <c r="BP31" s="65">
        <f t="shared" si="107"/>
        <v>0</v>
      </c>
      <c r="BQ31" s="60"/>
      <c r="BR31" s="65">
        <f t="shared" si="108"/>
        <v>0</v>
      </c>
      <c r="BS31" s="60"/>
      <c r="BT31" s="65">
        <f t="shared" si="109"/>
        <v>0</v>
      </c>
      <c r="BU31" s="60"/>
      <c r="BV31" s="65">
        <f t="shared" si="110"/>
        <v>0</v>
      </c>
      <c r="BW31" s="60"/>
      <c r="BX31" s="65">
        <f t="shared" si="111"/>
        <v>0</v>
      </c>
      <c r="BY31" s="60"/>
      <c r="BZ31" s="67">
        <f t="shared" si="112"/>
        <v>0</v>
      </c>
      <c r="CA31" s="60"/>
      <c r="CB31" s="67">
        <f t="shared" si="113"/>
        <v>0</v>
      </c>
      <c r="CC31" s="60"/>
      <c r="CD31" s="67">
        <f t="shared" si="114"/>
        <v>0</v>
      </c>
      <c r="CE31" s="60"/>
      <c r="CF31" s="67">
        <f t="shared" si="115"/>
        <v>0</v>
      </c>
      <c r="CG31" s="60"/>
      <c r="CH31" s="67">
        <f t="shared" si="116"/>
        <v>0</v>
      </c>
      <c r="CI31" s="60"/>
      <c r="CJ31" s="67">
        <f t="shared" si="117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118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44773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99"/>
        <v>0</v>
      </c>
      <c r="BA32" s="58"/>
      <c r="BB32" s="65">
        <f t="shared" si="100"/>
        <v>0</v>
      </c>
      <c r="BC32" s="58"/>
      <c r="BD32" s="65">
        <f t="shared" si="101"/>
        <v>0</v>
      </c>
      <c r="BE32" s="59"/>
      <c r="BF32" s="67">
        <f t="shared" si="102"/>
        <v>0</v>
      </c>
      <c r="BG32" s="60"/>
      <c r="BH32" s="65">
        <f t="shared" si="103"/>
        <v>0</v>
      </c>
      <c r="BI32" s="60"/>
      <c r="BJ32" s="65">
        <f t="shared" si="104"/>
        <v>0</v>
      </c>
      <c r="BK32" s="60"/>
      <c r="BL32" s="65">
        <f t="shared" si="105"/>
        <v>0</v>
      </c>
      <c r="BM32" s="60"/>
      <c r="BN32" s="65">
        <f t="shared" si="106"/>
        <v>0</v>
      </c>
      <c r="BO32" s="60"/>
      <c r="BP32" s="65">
        <f t="shared" si="107"/>
        <v>0</v>
      </c>
      <c r="BQ32" s="60"/>
      <c r="BR32" s="65">
        <f t="shared" si="108"/>
        <v>0</v>
      </c>
      <c r="BS32" s="60"/>
      <c r="BT32" s="65">
        <f t="shared" si="109"/>
        <v>0</v>
      </c>
      <c r="BU32" s="60"/>
      <c r="BV32" s="65">
        <f t="shared" si="110"/>
        <v>0</v>
      </c>
      <c r="BW32" s="60"/>
      <c r="BX32" s="65">
        <f t="shared" si="111"/>
        <v>0</v>
      </c>
      <c r="BY32" s="60"/>
      <c r="BZ32" s="67">
        <f t="shared" si="112"/>
        <v>0</v>
      </c>
      <c r="CA32" s="60"/>
      <c r="CB32" s="67">
        <f t="shared" si="113"/>
        <v>0</v>
      </c>
      <c r="CC32" s="60"/>
      <c r="CD32" s="67">
        <f t="shared" si="114"/>
        <v>0</v>
      </c>
      <c r="CE32" s="60"/>
      <c r="CF32" s="67">
        <f t="shared" si="115"/>
        <v>0</v>
      </c>
      <c r="CG32" s="60"/>
      <c r="CH32" s="67">
        <f t="shared" si="116"/>
        <v>0</v>
      </c>
      <c r="CI32" s="60"/>
      <c r="CJ32" s="67">
        <f t="shared" si="117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118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44774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99"/>
        <v>0</v>
      </c>
      <c r="BA33" s="58"/>
      <c r="BB33" s="65">
        <f t="shared" si="100"/>
        <v>0</v>
      </c>
      <c r="BC33" s="58"/>
      <c r="BD33" s="65">
        <f t="shared" si="101"/>
        <v>0</v>
      </c>
      <c r="BE33" s="59"/>
      <c r="BF33" s="67">
        <f t="shared" si="102"/>
        <v>0</v>
      </c>
      <c r="BG33" s="60"/>
      <c r="BH33" s="65">
        <f t="shared" si="103"/>
        <v>0</v>
      </c>
      <c r="BI33" s="60"/>
      <c r="BJ33" s="65">
        <f t="shared" si="104"/>
        <v>0</v>
      </c>
      <c r="BK33" s="60"/>
      <c r="BL33" s="65">
        <f t="shared" si="105"/>
        <v>0</v>
      </c>
      <c r="BM33" s="60"/>
      <c r="BN33" s="65">
        <f t="shared" si="106"/>
        <v>0</v>
      </c>
      <c r="BO33" s="60"/>
      <c r="BP33" s="65">
        <f t="shared" si="107"/>
        <v>0</v>
      </c>
      <c r="BQ33" s="60"/>
      <c r="BR33" s="65">
        <f t="shared" si="108"/>
        <v>0</v>
      </c>
      <c r="BS33" s="60"/>
      <c r="BT33" s="65">
        <f t="shared" si="109"/>
        <v>0</v>
      </c>
      <c r="BU33" s="60"/>
      <c r="BV33" s="65">
        <f t="shared" si="110"/>
        <v>0</v>
      </c>
      <c r="BW33" s="60"/>
      <c r="BX33" s="65">
        <f t="shared" si="111"/>
        <v>0</v>
      </c>
      <c r="BY33" s="60"/>
      <c r="BZ33" s="67">
        <f t="shared" si="112"/>
        <v>0</v>
      </c>
      <c r="CA33" s="60"/>
      <c r="CB33" s="67">
        <f t="shared" si="113"/>
        <v>0</v>
      </c>
      <c r="CC33" s="60"/>
      <c r="CD33" s="67">
        <f t="shared" si="114"/>
        <v>0</v>
      </c>
      <c r="CE33" s="60"/>
      <c r="CF33" s="67">
        <f t="shared" si="115"/>
        <v>0</v>
      </c>
      <c r="CG33" s="60"/>
      <c r="CH33" s="67">
        <f t="shared" si="116"/>
        <v>0</v>
      </c>
      <c r="CI33" s="60"/>
      <c r="CJ33" s="67">
        <f t="shared" si="117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118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99"/>
        <v>0</v>
      </c>
      <c r="BA34" s="58"/>
      <c r="BB34" s="65">
        <f t="shared" si="100"/>
        <v>0</v>
      </c>
      <c r="BC34" s="58"/>
      <c r="BD34" s="65">
        <f t="shared" si="101"/>
        <v>0</v>
      </c>
      <c r="BE34" s="59"/>
      <c r="BF34" s="67">
        <f t="shared" si="102"/>
        <v>0</v>
      </c>
      <c r="BG34" s="60"/>
      <c r="BH34" s="65">
        <f t="shared" si="103"/>
        <v>0</v>
      </c>
      <c r="BI34" s="60"/>
      <c r="BJ34" s="65">
        <f t="shared" si="104"/>
        <v>0</v>
      </c>
      <c r="BK34" s="60"/>
      <c r="BL34" s="65">
        <f t="shared" si="105"/>
        <v>0</v>
      </c>
      <c r="BM34" s="60"/>
      <c r="BN34" s="65">
        <f t="shared" si="106"/>
        <v>0</v>
      </c>
      <c r="BO34" s="60"/>
      <c r="BP34" s="65">
        <f t="shared" si="107"/>
        <v>0</v>
      </c>
      <c r="BQ34" s="60"/>
      <c r="BR34" s="65">
        <f t="shared" si="108"/>
        <v>0</v>
      </c>
      <c r="BS34" s="60"/>
      <c r="BT34" s="65">
        <f t="shared" si="109"/>
        <v>0</v>
      </c>
      <c r="BU34" s="60"/>
      <c r="BV34" s="65">
        <f t="shared" si="110"/>
        <v>0</v>
      </c>
      <c r="BW34" s="60"/>
      <c r="BX34" s="65">
        <f t="shared" si="111"/>
        <v>0</v>
      </c>
      <c r="BY34" s="60"/>
      <c r="BZ34" s="67">
        <f t="shared" si="112"/>
        <v>0</v>
      </c>
      <c r="CA34" s="60"/>
      <c r="CB34" s="67">
        <f t="shared" si="113"/>
        <v>0</v>
      </c>
      <c r="CC34" s="60"/>
      <c r="CD34" s="67">
        <f t="shared" si="114"/>
        <v>0</v>
      </c>
      <c r="CE34" s="60"/>
      <c r="CF34" s="67">
        <f t="shared" si="115"/>
        <v>0</v>
      </c>
      <c r="CG34" s="60"/>
      <c r="CH34" s="67">
        <f t="shared" si="116"/>
        <v>0</v>
      </c>
      <c r="CI34" s="60"/>
      <c r="CJ34" s="67">
        <f t="shared" si="117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118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8"/>
  <sheetViews>
    <sheetView zoomScaleNormal="100" workbookViewId="0">
      <selection activeCell="H22" sqref="H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15.140625" style="1" customWidth="1"/>
    <col min="8" max="8" width="11.285156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44743</v>
      </c>
      <c r="B7" s="40">
        <v>0</v>
      </c>
      <c r="C7" s="40">
        <v>24</v>
      </c>
      <c r="D7" s="40">
        <v>48</v>
      </c>
      <c r="E7" s="41">
        <v>85</v>
      </c>
      <c r="F7" s="41">
        <v>6834</v>
      </c>
      <c r="G7" s="41">
        <v>5</v>
      </c>
      <c r="H7" s="41">
        <v>2212</v>
      </c>
      <c r="I7" s="41">
        <v>50</v>
      </c>
      <c r="J7" s="41">
        <v>751</v>
      </c>
      <c r="K7" s="42">
        <v>40</v>
      </c>
      <c r="L7" s="42">
        <v>85</v>
      </c>
      <c r="M7" s="42">
        <v>1819</v>
      </c>
      <c r="N7" s="39">
        <v>85</v>
      </c>
      <c r="O7" s="39">
        <v>0</v>
      </c>
      <c r="P7" s="39">
        <v>60</v>
      </c>
      <c r="Q7" s="39">
        <v>5160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44744</v>
      </c>
      <c r="B8" s="40">
        <v>0</v>
      </c>
      <c r="C8" s="40">
        <v>29</v>
      </c>
      <c r="D8" s="40">
        <v>63</v>
      </c>
      <c r="E8" s="41">
        <v>85</v>
      </c>
      <c r="F8" s="41">
        <v>6834</v>
      </c>
      <c r="G8" s="41">
        <v>5</v>
      </c>
      <c r="H8" s="41">
        <v>2212</v>
      </c>
      <c r="I8" s="41">
        <v>30</v>
      </c>
      <c r="J8" s="41">
        <v>754</v>
      </c>
      <c r="K8" s="42">
        <v>40</v>
      </c>
      <c r="L8" s="42">
        <v>85</v>
      </c>
      <c r="M8" s="42">
        <v>1821</v>
      </c>
      <c r="N8" s="39">
        <v>85</v>
      </c>
      <c r="O8" s="39">
        <v>0</v>
      </c>
      <c r="P8" s="39">
        <v>60</v>
      </c>
      <c r="Q8" s="39">
        <v>5162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44745</v>
      </c>
      <c r="B9" s="40">
        <v>0</v>
      </c>
      <c r="C9" s="40">
        <v>29</v>
      </c>
      <c r="D9" s="40">
        <v>63</v>
      </c>
      <c r="E9" s="41">
        <v>85</v>
      </c>
      <c r="F9" s="41">
        <v>6834</v>
      </c>
      <c r="G9" s="41">
        <v>5</v>
      </c>
      <c r="H9" s="41">
        <v>2212</v>
      </c>
      <c r="I9" s="41">
        <v>20</v>
      </c>
      <c r="J9" s="41">
        <v>757</v>
      </c>
      <c r="K9" s="42">
        <v>40</v>
      </c>
      <c r="L9" s="42">
        <v>85</v>
      </c>
      <c r="M9" s="42">
        <v>1822</v>
      </c>
      <c r="N9" s="39">
        <v>85</v>
      </c>
      <c r="O9" s="39">
        <v>0</v>
      </c>
      <c r="P9" s="39">
        <v>56</v>
      </c>
      <c r="Q9" s="39">
        <v>5168</v>
      </c>
      <c r="R9" s="77">
        <v>70</v>
      </c>
      <c r="S9" s="77">
        <v>227</v>
      </c>
      <c r="T9">
        <f t="shared" ref="T9:T38" si="1">S9-S8</f>
        <v>0</v>
      </c>
    </row>
    <row r="10" spans="1:20" x14ac:dyDescent="0.25">
      <c r="A10" s="73">
        <v>44746</v>
      </c>
      <c r="B10" s="40">
        <v>0</v>
      </c>
      <c r="C10" s="40">
        <v>29</v>
      </c>
      <c r="D10" s="40">
        <v>63</v>
      </c>
      <c r="E10" s="41">
        <v>85</v>
      </c>
      <c r="F10" s="41">
        <v>6834</v>
      </c>
      <c r="G10" s="41">
        <v>5</v>
      </c>
      <c r="H10" s="41">
        <v>2212</v>
      </c>
      <c r="I10" s="41">
        <v>15</v>
      </c>
      <c r="J10" s="41">
        <v>758</v>
      </c>
      <c r="K10" s="42">
        <v>35</v>
      </c>
      <c r="L10" s="42">
        <v>85</v>
      </c>
      <c r="M10" s="42">
        <v>1824</v>
      </c>
      <c r="N10" s="39">
        <v>85</v>
      </c>
      <c r="O10" s="39">
        <v>0</v>
      </c>
      <c r="P10" s="39">
        <v>45</v>
      </c>
      <c r="Q10" s="39">
        <v>5172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44747</v>
      </c>
      <c r="B11" s="40"/>
      <c r="C11" s="40"/>
      <c r="D11" s="40"/>
      <c r="E11" s="41">
        <v>85</v>
      </c>
      <c r="F11" s="41">
        <v>6834</v>
      </c>
      <c r="G11" s="41">
        <v>5</v>
      </c>
      <c r="H11" s="41">
        <v>2212</v>
      </c>
      <c r="I11" s="41">
        <v>5</v>
      </c>
      <c r="J11" s="41">
        <v>761</v>
      </c>
      <c r="K11" s="42">
        <v>35</v>
      </c>
      <c r="L11" s="42">
        <v>85</v>
      </c>
      <c r="M11" s="42">
        <v>1824</v>
      </c>
      <c r="N11" s="39">
        <v>85</v>
      </c>
      <c r="O11" s="39">
        <v>0</v>
      </c>
      <c r="P11" s="39">
        <v>45</v>
      </c>
      <c r="Q11" s="39">
        <v>5172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44748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-227</v>
      </c>
    </row>
    <row r="13" spans="1:20" x14ac:dyDescent="0.25">
      <c r="A13" s="73">
        <v>44749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44750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44751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44752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44753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44754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44755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44756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44757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44758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44759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44760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44761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44762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44763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44764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44765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44766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44767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44768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44769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44770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</row>
    <row r="35" spans="1:20" x14ac:dyDescent="0.25">
      <c r="A35" s="73">
        <v>44771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44772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44773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44774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2022-07-06T11:07:03Z</dcterms:modified>
</cp:coreProperties>
</file>