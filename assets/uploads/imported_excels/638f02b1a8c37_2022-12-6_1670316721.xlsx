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J10" i="2" l="1"/>
  <c r="I10" i="2"/>
  <c r="H10" i="2"/>
  <c r="F10" i="2"/>
  <c r="E10" i="2"/>
  <c r="L10" i="3"/>
  <c r="K10" i="3"/>
  <c r="I10" i="3"/>
  <c r="G10" i="3"/>
  <c r="E10" i="3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K8" i="3" l="1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<sst xmlns="http://schemas.openxmlformats.org/spreadsheetml/2006/main" count="107" uniqueCount="38">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</sst>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H12" sqref="H1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v>0</v>
      </c>
      <c r="F8" s="13">
        <v>0.11799999999999999</v>
      </c>
      <c r="G8" s="15">
        <v>0</v>
      </c>
      <c r="H8" s="13">
        <v>0.99</v>
      </c>
      <c r="I8" s="15">
        <v>0</v>
      </c>
      <c r="J8" s="13">
        <v>8.1000000000000003E-2</v>
      </c>
      <c r="K8" s="21">
        <f>'12 - 2022'!H14-'12 - 2022'!H13</f>
        <v>0</v>
      </c>
      <c r="L8" s="15"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0</v>
      </c>
      <c r="F9" s="13">
        <v>0.11799999999999999</v>
      </c>
      <c r="G9" s="15">
        <f>'12 - 2022'!D15-'12 - 2022'!D14+'12 - 2022'!E15-'12 - 2022'!E14</f>
        <v>0</v>
      </c>
      <c r="H9" s="13">
        <v>0.99</v>
      </c>
      <c r="I9" s="15">
        <f>'12 - 2022'!J15-'12 - 2022'!J14</f>
        <v>0</v>
      </c>
      <c r="J9" s="13">
        <v>8.1000000000000003E-2</v>
      </c>
      <c r="K9" s="21">
        <f>'12 - 2022'!H15-'12 - 2022'!H14</f>
        <v>0</v>
      </c>
      <c r="L9" s="15">
        <f>'12 - 2022'!I15-'12 - 2022'!I14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0</v>
      </c>
      <c r="F10" s="13">
        <v>0.11799999999999999</v>
      </c>
      <c r="G10" s="15">
        <f>'12 - 2022'!D16-'12 - 2022'!D15+'12 - 2022'!E16-'12 - 2022'!E15</f>
        <v>0</v>
      </c>
      <c r="H10" s="13">
        <v>0.99</v>
      </c>
      <c r="I10" s="15">
        <f>'12 - 2022'!J16-'12 - 2022'!J15</f>
        <v>0</v>
      </c>
      <c r="J10" s="13">
        <v>8.1000000000000003E-2</v>
      </c>
      <c r="K10" s="21">
        <f>'12 - 2022'!H16-'12 - 2022'!H15</f>
        <v>0</v>
      </c>
      <c r="L10" s="15">
        <f>'12 - 2022'!I16-'12 - 2022'!I15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0</v>
      </c>
      <c r="F11" s="13">
        <v>0.11799999999999999</v>
      </c>
      <c r="G11" s="15">
        <f>'12 - 2022'!D17-'12 - 2022'!D16+'12 - 2022'!E17-'12 - 2022'!E16</f>
        <v>0</v>
      </c>
      <c r="H11" s="13">
        <v>0.99</v>
      </c>
      <c r="I11" s="15">
        <f>'12 - 2022'!J17-'12 - 2022'!J16</f>
        <v>0</v>
      </c>
      <c r="J11" s="13">
        <v>8.1000000000000003E-2</v>
      </c>
      <c r="K11" s="21">
        <f>'12 - 2022'!H17-'12 - 2022'!H16</f>
        <v>0</v>
      </c>
      <c r="L11" s="15">
        <f>'12 - 2022'!I17-'12 - 2022'!I16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0</v>
      </c>
      <c r="F12" s="13">
        <v>0.11799999999999999</v>
      </c>
      <c r="G12" s="15">
        <f>'12 - 2022'!D18-'12 - 2022'!D17+'12 - 2022'!E18-'12 - 2022'!E17</f>
        <v>0</v>
      </c>
      <c r="H12" s="13">
        <v>0.99</v>
      </c>
      <c r="I12" s="15">
        <f>'12 - 2022'!J18-'12 - 2022'!J17</f>
        <v>0</v>
      </c>
      <c r="J12" s="13">
        <v>8.1000000000000003E-2</v>
      </c>
      <c r="K12" s="21">
        <f>'12 - 2022'!H18-'12 - 2022'!H17</f>
        <v>0</v>
      </c>
      <c r="L12" s="15">
        <f>'12 - 2022'!I18-'12 - 2022'!I17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0</v>
      </c>
      <c r="F13" s="13">
        <v>0.11799999999999999</v>
      </c>
      <c r="G13" s="15">
        <f>'12 - 2022'!D19-'12 - 2022'!D18+'12 - 2022'!E19-'12 - 2022'!E18</f>
        <v>0</v>
      </c>
      <c r="H13" s="13">
        <v>0.99</v>
      </c>
      <c r="I13" s="15">
        <f>'12 - 2022'!J19-'12 - 2022'!J18</f>
        <v>0</v>
      </c>
      <c r="J13" s="13">
        <v>8.1000000000000003E-2</v>
      </c>
      <c r="K13" s="21">
        <f>'12 - 2022'!H19-'12 - 2022'!H18</f>
        <v>0</v>
      </c>
      <c r="L13" s="15">
        <f>'12 - 2022'!I19-'12 - 2022'!I18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0</v>
      </c>
      <c r="F14" s="13">
        <v>0.11799999999999999</v>
      </c>
      <c r="G14" s="15">
        <f>'12 - 2022'!D20-'12 - 2022'!D19+'12 - 2022'!E20-'12 - 2022'!E19</f>
        <v>0</v>
      </c>
      <c r="H14" s="13">
        <v>0.99</v>
      </c>
      <c r="I14" s="15">
        <f>'12 - 2022'!J20-'12 - 2022'!J19</f>
        <v>0</v>
      </c>
      <c r="J14" s="13">
        <v>8.1000000000000003E-2</v>
      </c>
      <c r="K14" s="21">
        <f>'12 - 2022'!H20-'12 - 2022'!H19</f>
        <v>0</v>
      </c>
      <c r="L14" s="15">
        <f>'12 - 2022'!I20-'12 - 2022'!I19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0</v>
      </c>
      <c r="F15" s="13">
        <v>0.11799999999999999</v>
      </c>
      <c r="G15" s="15">
        <f>'12 - 2022'!D21-'12 - 2022'!D20+'12 - 2022'!E21-'12 - 2022'!E20</f>
        <v>0</v>
      </c>
      <c r="H15" s="13">
        <v>0.99</v>
      </c>
      <c r="I15" s="15">
        <f>'12 - 2022'!J21-'12 - 2022'!J20</f>
        <v>0</v>
      </c>
      <c r="J15" s="13">
        <v>8.1000000000000003E-2</v>
      </c>
      <c r="K15" s="21">
        <f>'12 - 2022'!H21-'12 - 2022'!H20</f>
        <v>0</v>
      </c>
      <c r="L15" s="15">
        <f>'12 - 2022'!I21-'12 - 2022'!I20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0</v>
      </c>
      <c r="F16" s="13">
        <v>0.11799999999999999</v>
      </c>
      <c r="G16" s="15">
        <f>'12 - 2022'!D22-'12 - 2022'!D21+'12 - 2022'!E22-'12 - 2022'!E21</f>
        <v>0</v>
      </c>
      <c r="H16" s="13">
        <v>0.99</v>
      </c>
      <c r="I16" s="15">
        <f>'12 - 2022'!J22-'12 - 2022'!J21</f>
        <v>0</v>
      </c>
      <c r="J16" s="13">
        <v>8.1000000000000003E-2</v>
      </c>
      <c r="K16" s="21">
        <f>'12 - 2022'!H22-'12 - 2022'!H21</f>
        <v>0</v>
      </c>
      <c r="L16" s="15">
        <f>'12 - 2022'!I22-'12 - 2022'!I21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0</v>
      </c>
      <c r="F17" s="13">
        <v>0.11799999999999999</v>
      </c>
      <c r="G17" s="15">
        <f>'12 - 2022'!D23-'12 - 2022'!D22+'12 - 2022'!E23-'12 - 2022'!E22</f>
        <v>0</v>
      </c>
      <c r="H17" s="13">
        <v>0.99</v>
      </c>
      <c r="I17" s="15">
        <f>'12 - 2022'!J23-'12 - 2022'!J22</f>
        <v>0</v>
      </c>
      <c r="J17" s="13">
        <v>8.1000000000000003E-2</v>
      </c>
      <c r="K17" s="21">
        <f>'12 - 2022'!H23-'12 - 2022'!H22</f>
        <v>0</v>
      </c>
      <c r="L17" s="15">
        <f>'12 - 2022'!I23-'12 - 2022'!I22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0</v>
      </c>
      <c r="F18" s="13">
        <v>0.11799999999999999</v>
      </c>
      <c r="G18" s="15">
        <f>'12 - 2022'!D24-'12 - 2022'!D23+'12 - 2022'!E24-'12 - 2022'!E23</f>
        <v>0</v>
      </c>
      <c r="H18" s="13">
        <v>0.99</v>
      </c>
      <c r="I18" s="15">
        <f>'12 - 2022'!J24-'12 - 2022'!J23</f>
        <v>0</v>
      </c>
      <c r="J18" s="13">
        <v>8.1000000000000003E-2</v>
      </c>
      <c r="K18" s="21">
        <f>'12 - 2022'!H24-'12 - 2022'!H23</f>
        <v>0</v>
      </c>
      <c r="L18" s="15">
        <f>'12 - 2022'!I24-'12 - 2022'!I23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0</v>
      </c>
      <c r="F19" s="13">
        <v>0.11799999999999999</v>
      </c>
      <c r="G19" s="15">
        <f>'12 - 2022'!D25-'12 - 2022'!D24+'12 - 2022'!E25-'12 - 2022'!E24</f>
        <v>0</v>
      </c>
      <c r="H19" s="13">
        <v>0.99</v>
      </c>
      <c r="I19" s="15">
        <f>'12 - 2022'!J25-'12 - 2022'!J24</f>
        <v>0</v>
      </c>
      <c r="J19" s="13">
        <v>8.1000000000000003E-2</v>
      </c>
      <c r="K19" s="21">
        <f>'12 - 2022'!H25-'12 - 2022'!H24</f>
        <v>0</v>
      </c>
      <c r="L19" s="15">
        <f>'12 - 2022'!I25-'12 - 2022'!I24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0</v>
      </c>
      <c r="F20" s="13">
        <v>0.11799999999999999</v>
      </c>
      <c r="G20" s="15">
        <f>'12 - 2022'!D26-'12 - 2022'!D25+'12 - 2022'!E26-'12 - 2022'!E25</f>
        <v>0</v>
      </c>
      <c r="H20" s="13">
        <v>0.99</v>
      </c>
      <c r="I20" s="15">
        <f>'12 - 2022'!J26-'12 - 2022'!J25</f>
        <v>0</v>
      </c>
      <c r="J20" s="13">
        <v>8.1000000000000003E-2</v>
      </c>
      <c r="K20" s="21">
        <f>'12 - 2022'!H26-'12 - 2022'!H25</f>
        <v>0</v>
      </c>
      <c r="L20" s="15">
        <f>'12 - 2022'!I26-'12 - 2022'!I25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0</v>
      </c>
      <c r="F21" s="13">
        <v>0.11799999999999999</v>
      </c>
      <c r="G21" s="15">
        <f>'12 - 2022'!D27-'12 - 2022'!D26+'12 - 2022'!E27-'12 - 2022'!E26</f>
        <v>0</v>
      </c>
      <c r="H21" s="13">
        <v>0.99</v>
      </c>
      <c r="I21" s="15">
        <f>'12 - 2022'!J27-'12 - 2022'!J26</f>
        <v>0</v>
      </c>
      <c r="J21" s="13">
        <v>8.1000000000000003E-2</v>
      </c>
      <c r="K21" s="21">
        <f>'12 - 2022'!H27-'12 - 2022'!H26</f>
        <v>0</v>
      </c>
      <c r="L21" s="15">
        <f>'12 - 2022'!I27-'12 - 2022'!I26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0</v>
      </c>
      <c r="F22" s="13">
        <v>0.11799999999999999</v>
      </c>
      <c r="G22" s="15">
        <f>'12 - 2022'!D28-'12 - 2022'!D27+'12 - 2022'!E28-'12 - 2022'!E27</f>
        <v>0</v>
      </c>
      <c r="H22" s="13">
        <v>0.99</v>
      </c>
      <c r="I22" s="15">
        <f>'12 - 2022'!J28-'12 - 2022'!J27</f>
        <v>0</v>
      </c>
      <c r="J22" s="13">
        <v>8.1000000000000003E-2</v>
      </c>
      <c r="K22" s="21">
        <f>'12 - 2022'!H28-'12 - 2022'!H27</f>
        <v>0</v>
      </c>
      <c r="L22" s="15">
        <f>'12 - 2022'!I28-'12 - 2022'!I27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0</v>
      </c>
      <c r="F23" s="13">
        <v>0.11799999999999999</v>
      </c>
      <c r="G23" s="15">
        <f>'12 - 2022'!D29-'12 - 2022'!D28+'12 - 2022'!E29-'12 - 2022'!E28</f>
        <v>0</v>
      </c>
      <c r="H23" s="13">
        <v>0.99</v>
      </c>
      <c r="I23" s="15">
        <f>'12 - 2022'!J29-'12 - 2022'!J28</f>
        <v>0</v>
      </c>
      <c r="J23" s="13">
        <v>8.1000000000000003E-2</v>
      </c>
      <c r="K23" s="21">
        <f>'12 - 2022'!H29-'12 - 2022'!H28</f>
        <v>0</v>
      </c>
      <c r="L23" s="15">
        <f>'12 - 2022'!I29-'12 - 2022'!I28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0</v>
      </c>
      <c r="F24" s="13">
        <v>0.11799999999999999</v>
      </c>
      <c r="G24" s="15">
        <f>'12 - 2022'!D30-'12 - 2022'!D29+'12 - 2022'!E30-'12 - 2022'!E29</f>
        <v>0</v>
      </c>
      <c r="H24" s="13">
        <v>0.99</v>
      </c>
      <c r="I24" s="15">
        <f>'12 - 2022'!J30-'12 - 2022'!J29</f>
        <v>0</v>
      </c>
      <c r="J24" s="13">
        <v>8.1000000000000003E-2</v>
      </c>
      <c r="K24" s="21">
        <f>'12 - 2022'!H30-'12 - 2022'!H29</f>
        <v>0</v>
      </c>
      <c r="L24" s="15">
        <f>'12 - 2022'!I30-'12 - 2022'!I29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0</v>
      </c>
      <c r="F25" s="13">
        <v>0.11799999999999999</v>
      </c>
      <c r="G25" s="15">
        <f>'12 - 2022'!D31-'12 - 2022'!D30+'12 - 2022'!E31-'12 - 2022'!E30</f>
        <v>0</v>
      </c>
      <c r="H25" s="13">
        <v>0.99</v>
      </c>
      <c r="I25" s="15">
        <f>'12 - 2022'!J31-'12 - 2022'!J30</f>
        <v>0</v>
      </c>
      <c r="J25" s="13">
        <v>8.1000000000000003E-2</v>
      </c>
      <c r="K25" s="21">
        <f>'12 - 2022'!H31-'12 - 2022'!H30</f>
        <v>0</v>
      </c>
      <c r="L25" s="15">
        <f>'12 - 2022'!I31-'12 - 2022'!I30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9" sqref="J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v>0</v>
      </c>
      <c r="F8" s="15">
        <v>0</v>
      </c>
      <c r="G8" s="13">
        <v>0.11799999999999999</v>
      </c>
      <c r="H8" s="15">
        <v>0</v>
      </c>
      <c r="I8" s="15">
        <v>0</v>
      </c>
      <c r="J8" s="15"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0</v>
      </c>
      <c r="F9" s="15">
        <f>'12 - 2022'!C15-'12 - 2022'!C14</f>
        <v>0</v>
      </c>
      <c r="G9" s="13">
        <v>0.11799999999999999</v>
      </c>
      <c r="H9" s="15">
        <f>'12 - 2022'!E15-'12 - 2022'!E14</f>
        <v>0</v>
      </c>
      <c r="I9" s="15">
        <f>'12 - 2022'!F15-'12 - 2022'!F14</f>
        <v>0</v>
      </c>
      <c r="J9" s="15">
        <f>'12 - 2022'!G15-'12 - 2022'!G14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0</v>
      </c>
      <c r="F10" s="15">
        <f>'12 - 2022'!C16-'12 - 2022'!C15</f>
        <v>0</v>
      </c>
      <c r="G10" s="13">
        <v>0.11799999999999999</v>
      </c>
      <c r="H10" s="15">
        <f>'12 - 2022'!E16-'12 - 2022'!E15</f>
        <v>0</v>
      </c>
      <c r="I10" s="15">
        <f>'12 - 2022'!F16-'12 - 2022'!F15</f>
        <v>0</v>
      </c>
      <c r="J10" s="15">
        <f>'12 - 2022'!G16-'12 - 2022'!G15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0</v>
      </c>
      <c r="F11" s="15">
        <f>'12 - 2022'!C17-'12 - 2022'!C16</f>
        <v>0</v>
      </c>
      <c r="G11" s="13">
        <v>0.11799999999999999</v>
      </c>
      <c r="H11" s="15">
        <f>'12 - 2022'!E17-'12 - 2022'!E16</f>
        <v>0</v>
      </c>
      <c r="I11" s="15">
        <f>'12 - 2022'!F17-'12 - 2022'!F16</f>
        <v>0</v>
      </c>
      <c r="J11" s="15">
        <f>'12 - 2022'!G17-'12 - 2022'!G16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0</v>
      </c>
      <c r="F12" s="15">
        <f>'12 - 2022'!C18-'12 - 2022'!C17</f>
        <v>0</v>
      </c>
      <c r="G12" s="13">
        <v>0.11799999999999999</v>
      </c>
      <c r="H12" s="15">
        <f>'12 - 2022'!E18-'12 - 2022'!E17</f>
        <v>0</v>
      </c>
      <c r="I12" s="15">
        <f>'12 - 2022'!F18-'12 - 2022'!F17</f>
        <v>0</v>
      </c>
      <c r="J12" s="15">
        <f>'12 - 2022'!G18-'12 - 2022'!G17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0</v>
      </c>
      <c r="F13" s="15">
        <f>'12 - 2022'!C19-'12 - 2022'!C18</f>
        <v>0</v>
      </c>
      <c r="G13" s="13">
        <v>0.11799999999999999</v>
      </c>
      <c r="H13" s="15">
        <f>'12 - 2022'!E19-'12 - 2022'!E18</f>
        <v>0</v>
      </c>
      <c r="I13" s="15">
        <f>'12 - 2022'!F19-'12 - 2022'!F18</f>
        <v>0</v>
      </c>
      <c r="J13" s="15">
        <f>'12 - 2022'!G19-'12 - 2022'!G18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0</v>
      </c>
      <c r="F14" s="15">
        <f>'12 - 2022'!C20-'12 - 2022'!C19</f>
        <v>0</v>
      </c>
      <c r="G14" s="13">
        <v>0.11799999999999999</v>
      </c>
      <c r="H14" s="15">
        <f>'12 - 2022'!E20-'12 - 2022'!E19</f>
        <v>0</v>
      </c>
      <c r="I14" s="15">
        <f>'12 - 2022'!F20-'12 - 2022'!F19</f>
        <v>0</v>
      </c>
      <c r="J14" s="15">
        <f>'12 - 2022'!G20-'12 - 2022'!G19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0</v>
      </c>
      <c r="F15" s="15">
        <f>'12 - 2022'!C21-'12 - 2022'!C20</f>
        <v>0</v>
      </c>
      <c r="G15" s="13">
        <v>0.11799999999999999</v>
      </c>
      <c r="H15" s="15">
        <f>'12 - 2022'!E21-'12 - 2022'!E20</f>
        <v>0</v>
      </c>
      <c r="I15" s="15">
        <f>'12 - 2022'!F21-'12 - 2022'!F20</f>
        <v>0</v>
      </c>
      <c r="J15" s="15">
        <f>'12 - 2022'!G21-'12 - 2022'!G20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0</v>
      </c>
      <c r="F16" s="15">
        <f>'12 - 2022'!C22-'12 - 2022'!C21</f>
        <v>0</v>
      </c>
      <c r="G16" s="13">
        <v>0.11799999999999999</v>
      </c>
      <c r="H16" s="15">
        <f>'12 - 2022'!E22-'12 - 2022'!E21</f>
        <v>0</v>
      </c>
      <c r="I16" s="15">
        <f>'12 - 2022'!F22-'12 - 2022'!F21</f>
        <v>0</v>
      </c>
      <c r="J16" s="15">
        <f>'12 - 2022'!G22-'12 - 2022'!G21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0</v>
      </c>
      <c r="F17" s="15">
        <f>'12 - 2022'!C23-'12 - 2022'!C22</f>
        <v>0</v>
      </c>
      <c r="G17" s="13">
        <v>0.11799999999999999</v>
      </c>
      <c r="H17" s="15">
        <f>'12 - 2022'!E23-'12 - 2022'!E22</f>
        <v>0</v>
      </c>
      <c r="I17" s="15">
        <f>'12 - 2022'!F23-'12 - 2022'!F22</f>
        <v>0</v>
      </c>
      <c r="J17" s="15">
        <f>'12 - 2022'!G23-'12 - 2022'!G22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0</v>
      </c>
      <c r="F18" s="15">
        <f>'12 - 2022'!C24-'12 - 2022'!C23</f>
        <v>0</v>
      </c>
      <c r="G18" s="13">
        <v>0.11799999999999999</v>
      </c>
      <c r="H18" s="15">
        <f>'12 - 2022'!E24-'12 - 2022'!E23</f>
        <v>0</v>
      </c>
      <c r="I18" s="15">
        <f>'12 - 2022'!F24-'12 - 2022'!F23</f>
        <v>0</v>
      </c>
      <c r="J18" s="15">
        <f>'12 - 2022'!G24-'12 - 2022'!G23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0</v>
      </c>
      <c r="F19" s="15">
        <f>'12 - 2022'!C25-'12 - 2022'!C24</f>
        <v>0</v>
      </c>
      <c r="G19" s="13">
        <v>0.11799999999999999</v>
      </c>
      <c r="H19" s="15">
        <f>'12 - 2022'!E25-'12 - 2022'!E24</f>
        <v>0</v>
      </c>
      <c r="I19" s="15">
        <f>'12 - 2022'!F25-'12 - 2022'!F24</f>
        <v>0</v>
      </c>
      <c r="J19" s="15">
        <f>'12 - 2022'!G25-'12 - 2022'!G24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0</v>
      </c>
      <c r="F20" s="15">
        <f>'12 - 2022'!C26-'12 - 2022'!C25</f>
        <v>0</v>
      </c>
      <c r="G20" s="13">
        <v>0.11799999999999999</v>
      </c>
      <c r="H20" s="15">
        <f>'12 - 2022'!E26-'12 - 2022'!E25</f>
        <v>0</v>
      </c>
      <c r="I20" s="15">
        <f>'12 - 2022'!F26-'12 - 2022'!F25</f>
        <v>0</v>
      </c>
      <c r="J20" s="15">
        <f>'12 - 2022'!G26-'12 - 2022'!G25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0</v>
      </c>
      <c r="F21" s="15">
        <f>'12 - 2022'!C27-'12 - 2022'!C26</f>
        <v>0</v>
      </c>
      <c r="G21" s="13">
        <v>0.11799999999999999</v>
      </c>
      <c r="H21" s="15">
        <f>'12 - 2022'!E27-'12 - 2022'!E26</f>
        <v>0</v>
      </c>
      <c r="I21" s="15">
        <f>'12 - 2022'!F27-'12 - 2022'!F26</f>
        <v>0</v>
      </c>
      <c r="J21" s="15">
        <f>'12 - 2022'!G27-'12 - 2022'!G26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0</v>
      </c>
      <c r="F22" s="15">
        <f>'12 - 2022'!C28-'12 - 2022'!C27</f>
        <v>0</v>
      </c>
      <c r="G22" s="13">
        <v>0.11799999999999999</v>
      </c>
      <c r="H22" s="15">
        <f>'12 - 2022'!E28-'12 - 2022'!E27</f>
        <v>0</v>
      </c>
      <c r="I22" s="15">
        <f>'12 - 2022'!F28-'12 - 2022'!F27</f>
        <v>0</v>
      </c>
      <c r="J22" s="15">
        <f>'12 - 2022'!G28-'12 - 2022'!G27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0</v>
      </c>
      <c r="F23" s="15">
        <f>'12 - 2022'!C29-'12 - 2022'!C28</f>
        <v>0</v>
      </c>
      <c r="G23" s="13">
        <v>0.11799999999999999</v>
      </c>
      <c r="H23" s="15">
        <f>'12 - 2022'!E29-'12 - 2022'!E28</f>
        <v>0</v>
      </c>
      <c r="I23" s="15">
        <f>'12 - 2022'!F29-'12 - 2022'!F28</f>
        <v>0</v>
      </c>
      <c r="J23" s="15">
        <f>'12 - 2022'!G29-'12 - 2022'!G28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0</v>
      </c>
      <c r="F24" s="15">
        <f>'12 - 2022'!C30-'12 - 2022'!C29</f>
        <v>0</v>
      </c>
      <c r="G24" s="13">
        <v>0.11799999999999999</v>
      </c>
      <c r="H24" s="15">
        <f>'12 - 2022'!E30-'12 - 2022'!E29</f>
        <v>0</v>
      </c>
      <c r="I24" s="15">
        <f>'12 - 2022'!F30-'12 - 2022'!F29</f>
        <v>0</v>
      </c>
      <c r="J24" s="15">
        <f>'12 - 2022'!G30-'12 - 2022'!G29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0</v>
      </c>
      <c r="F25" s="15">
        <f>'12 - 2022'!C31-'12 - 2022'!C30</f>
        <v>0</v>
      </c>
      <c r="G25" s="13">
        <v>0.11799999999999999</v>
      </c>
      <c r="H25" s="15">
        <f>'12 - 2022'!E31-'12 - 2022'!E30</f>
        <v>0</v>
      </c>
      <c r="I25" s="15">
        <f>'12 - 2022'!F31-'12 - 2022'!F30</f>
        <v>0</v>
      </c>
      <c r="J25" s="15">
        <f>'12 - 2022'!G31-'12 - 2022'!G30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C14" sqref="C14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8" t="s">
        <v>30</v>
      </c>
      <c r="B3" s="98"/>
      <c r="C3" s="98"/>
      <c r="D3" s="98"/>
      <c r="E3" s="98"/>
      <c r="F3" s="98"/>
      <c r="G3" s="98"/>
      <c r="H3" s="98"/>
      <c r="I3" s="98"/>
      <c r="J3" s="98"/>
      <c r="K3" s="47"/>
      <c r="L3" s="47"/>
    </row>
    <row r="4" spans="1:17" ht="16.5" thickBot="1" x14ac:dyDescent="0.3">
      <c r="A4" s="99" t="s">
        <v>37</v>
      </c>
      <c r="B4" s="99"/>
      <c r="C4" s="99"/>
      <c r="D4" s="99"/>
      <c r="E4" s="99"/>
      <c r="F4" s="99"/>
      <c r="G4" s="99"/>
      <c r="H4" s="99"/>
      <c r="I4" s="99"/>
      <c r="J4" s="99"/>
      <c r="K4" s="47"/>
      <c r="L4" s="47"/>
    </row>
    <row r="5" spans="1:17" ht="16.5" thickBot="1" x14ac:dyDescent="0.3">
      <c r="A5" s="48"/>
      <c r="B5" s="100" t="s">
        <v>36</v>
      </c>
      <c r="C5" s="101"/>
      <c r="D5" s="100" t="s">
        <v>0</v>
      </c>
      <c r="E5" s="102"/>
      <c r="F5" s="102"/>
      <c r="G5" s="103"/>
      <c r="H5" s="104" t="s">
        <v>1</v>
      </c>
      <c r="I5" s="105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7" t="s">
        <v>31</v>
      </c>
      <c r="L6" s="68" t="s">
        <v>32</v>
      </c>
    </row>
    <row r="7" spans="1:17" s="27" customFormat="1" ht="12.95" customHeight="1" thickBot="1" x14ac:dyDescent="0.3">
      <c r="A7" s="74">
        <v>44530</v>
      </c>
      <c r="B7" s="75">
        <v>855326</v>
      </c>
      <c r="C7" s="76">
        <v>983814</v>
      </c>
      <c r="D7" s="77">
        <v>0.5</v>
      </c>
      <c r="E7" s="78">
        <v>6408.19</v>
      </c>
      <c r="F7" s="79">
        <v>3984.34</v>
      </c>
      <c r="G7" s="79">
        <v>47991.95</v>
      </c>
      <c r="H7" s="75">
        <v>14528</v>
      </c>
      <c r="I7" s="75">
        <v>179600</v>
      </c>
      <c r="J7" s="75">
        <v>61843296</v>
      </c>
      <c r="K7" s="80"/>
      <c r="L7" s="69"/>
      <c r="M7" s="26"/>
    </row>
    <row r="8" spans="1:17" s="29" customFormat="1" ht="12.95" customHeight="1" thickTop="1" x14ac:dyDescent="0.25">
      <c r="A8" s="81">
        <f>A7+1</f>
        <v>44531</v>
      </c>
      <c r="B8" s="82">
        <v>859341</v>
      </c>
      <c r="C8" s="82">
        <v>989744</v>
      </c>
      <c r="D8" s="83">
        <v>0.47</v>
      </c>
      <c r="E8" s="84">
        <v>6433.35</v>
      </c>
      <c r="F8" s="85">
        <v>3992.88</v>
      </c>
      <c r="G8" s="82">
        <v>48026.080000000002</v>
      </c>
      <c r="H8" s="82">
        <v>14528</v>
      </c>
      <c r="I8" s="82">
        <v>179704</v>
      </c>
      <c r="J8" s="82">
        <v>61863665</v>
      </c>
      <c r="K8" s="86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87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87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87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88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87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/>
      <c r="C14" s="42"/>
      <c r="D14" s="41"/>
      <c r="E14" s="87"/>
      <c r="F14" s="40"/>
      <c r="G14" s="40"/>
      <c r="H14" s="42">
        <v>14528</v>
      </c>
      <c r="I14" s="42"/>
      <c r="J14" s="42"/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/>
      <c r="C15" s="42"/>
      <c r="D15" s="41"/>
      <c r="E15" s="40"/>
      <c r="F15" s="59"/>
      <c r="G15" s="40"/>
      <c r="H15" s="42">
        <v>14528</v>
      </c>
      <c r="I15" s="42"/>
      <c r="J15" s="42"/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/>
      <c r="C16" s="42"/>
      <c r="D16" s="41"/>
      <c r="E16" s="40"/>
      <c r="F16" s="59"/>
      <c r="G16" s="40"/>
      <c r="H16" s="42">
        <v>14528</v>
      </c>
      <c r="I16" s="42"/>
      <c r="J16" s="42"/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/>
      <c r="C17" s="40"/>
      <c r="D17" s="41"/>
      <c r="E17" s="40"/>
      <c r="F17" s="59"/>
      <c r="G17" s="40"/>
      <c r="H17" s="42">
        <v>14528</v>
      </c>
      <c r="I17" s="40"/>
      <c r="J17" s="40"/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/>
      <c r="C18" s="42"/>
      <c r="D18" s="41"/>
      <c r="E18" s="40"/>
      <c r="F18" s="40"/>
      <c r="G18" s="40"/>
      <c r="H18" s="42">
        <v>14528</v>
      </c>
      <c r="I18" s="42"/>
      <c r="J18" s="42"/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/>
      <c r="C19" s="42"/>
      <c r="D19" s="41"/>
      <c r="E19" s="40"/>
      <c r="F19" s="40"/>
      <c r="G19" s="40"/>
      <c r="H19" s="42">
        <v>14528</v>
      </c>
      <c r="I19" s="42"/>
      <c r="J19" s="42"/>
      <c r="K19" s="54"/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/>
      <c r="C20" s="44"/>
      <c r="D20" s="41"/>
      <c r="E20" s="42"/>
      <c r="F20" s="42"/>
      <c r="G20" s="45"/>
      <c r="H20" s="42">
        <v>14528</v>
      </c>
      <c r="I20" s="44"/>
      <c r="J20" s="44"/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/>
      <c r="C21" s="44"/>
      <c r="D21" s="41"/>
      <c r="E21" s="45"/>
      <c r="F21" s="40"/>
      <c r="G21" s="45"/>
      <c r="H21" s="42">
        <v>14528</v>
      </c>
      <c r="I21" s="44"/>
      <c r="J21" s="44"/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/>
      <c r="C22" s="42"/>
      <c r="D22" s="41"/>
      <c r="E22" s="40"/>
      <c r="F22" s="40"/>
      <c r="G22" s="45"/>
      <c r="H22" s="42">
        <v>14528</v>
      </c>
      <c r="I22" s="45"/>
      <c r="J22" s="44"/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/>
      <c r="C23" s="44"/>
      <c r="D23" s="41"/>
      <c r="E23" s="45"/>
      <c r="F23" s="40"/>
      <c r="G23" s="45"/>
      <c r="H23" s="42">
        <v>14528</v>
      </c>
      <c r="I23" s="44"/>
      <c r="J23" s="44"/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/>
      <c r="C24" s="44"/>
      <c r="D24" s="41"/>
      <c r="E24" s="45"/>
      <c r="F24" s="40"/>
      <c r="G24" s="45"/>
      <c r="H24" s="42">
        <v>14528</v>
      </c>
      <c r="I24" s="44"/>
      <c r="J24" s="44"/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/>
      <c r="C25" s="45"/>
      <c r="D25" s="41"/>
      <c r="E25" s="45"/>
      <c r="F25" s="40"/>
      <c r="G25" s="45"/>
      <c r="H25" s="42">
        <v>14528</v>
      </c>
      <c r="I25" s="44"/>
      <c r="J25" s="44"/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/>
      <c r="C26" s="45"/>
      <c r="D26" s="43"/>
      <c r="E26" s="45"/>
      <c r="F26" s="40"/>
      <c r="G26" s="45"/>
      <c r="H26" s="42">
        <v>14528</v>
      </c>
      <c r="I26" s="44"/>
      <c r="J26" s="44"/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/>
      <c r="C27" s="44"/>
      <c r="D27" s="41"/>
      <c r="E27" s="45"/>
      <c r="F27" s="40"/>
      <c r="G27" s="45"/>
      <c r="H27" s="42">
        <v>14528</v>
      </c>
      <c r="I27" s="44"/>
      <c r="J27" s="44"/>
      <c r="K27" s="63"/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/>
      <c r="C28" s="44"/>
      <c r="D28" s="41"/>
      <c r="E28" s="45"/>
      <c r="F28" s="40"/>
      <c r="G28" s="45"/>
      <c r="H28" s="42">
        <v>14528</v>
      </c>
      <c r="I28" s="44"/>
      <c r="J28" s="44"/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/>
      <c r="C29" s="44"/>
      <c r="D29" s="41"/>
      <c r="E29" s="45"/>
      <c r="F29" s="40"/>
      <c r="G29" s="45"/>
      <c r="H29" s="42">
        <v>14528</v>
      </c>
      <c r="I29" s="44"/>
      <c r="J29" s="44"/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/>
      <c r="C30" s="44"/>
      <c r="D30" s="41"/>
      <c r="E30" s="45"/>
      <c r="F30" s="40"/>
      <c r="G30" s="45"/>
      <c r="H30" s="42">
        <v>14528</v>
      </c>
      <c r="I30" s="44"/>
      <c r="J30" s="44"/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4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9"/>
      <c r="F36" s="40"/>
      <c r="G36" s="40"/>
      <c r="H36" s="42">
        <v>14528</v>
      </c>
      <c r="I36" s="42"/>
      <c r="J36" s="42"/>
      <c r="K36" s="54"/>
      <c r="L36" s="65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9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90">
        <f t="shared" si="0"/>
        <v>44561</v>
      </c>
      <c r="B38" s="91"/>
      <c r="C38" s="92"/>
      <c r="D38" s="93"/>
      <c r="E38" s="94"/>
      <c r="F38" s="95"/>
      <c r="G38" s="95"/>
      <c r="H38" s="42">
        <v>14528</v>
      </c>
      <c r="I38" s="91"/>
      <c r="J38" s="91"/>
      <c r="K38" s="96"/>
      <c r="L38" s="97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4200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6"/>
      <c r="F40" s="66"/>
      <c r="G40" s="66"/>
      <c r="H40" s="37">
        <f>H39*219.969</f>
        <v>0</v>
      </c>
      <c r="I40" s="36">
        <f>I39*219.969</f>
        <v>-39506432.399999999</v>
      </c>
      <c r="J40" s="66"/>
      <c r="K40" s="47"/>
      <c r="L40" s="47"/>
    </row>
    <row r="41" spans="1:16" x14ac:dyDescent="0.25">
      <c r="A41" s="70"/>
      <c r="B41" s="71"/>
      <c r="C41" s="71"/>
      <c r="D41" s="70"/>
      <c r="E41" s="71"/>
      <c r="F41" s="71"/>
      <c r="G41" s="71"/>
      <c r="H41" s="71"/>
      <c r="I41" s="71"/>
      <c r="J41" s="71"/>
      <c r="K41" s="70"/>
      <c r="L41" s="70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6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2"/>
      <c r="K44" s="47"/>
      <c r="L44" s="47"/>
    </row>
    <row r="45" spans="1:16" x14ac:dyDescent="0.25">
      <c r="A45" s="47"/>
      <c r="B45" s="47"/>
      <c r="C45" s="73"/>
      <c r="D45" s="47"/>
      <c r="E45" s="47"/>
      <c r="F45" s="47"/>
      <c r="G45" s="47"/>
      <c r="H45" s="47"/>
      <c r="I45" s="72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2022-12-06T08:28:27Z</dcterms:modified>
</cp:coreProperties>
</file>