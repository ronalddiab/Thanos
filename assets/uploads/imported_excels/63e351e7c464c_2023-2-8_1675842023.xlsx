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bookViews>
    <workbookView xWindow="0" yWindow="0" windowWidth="215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1" l="1"/>
  <c r="K14" i="1"/>
  <c r="I14" i="1"/>
  <c r="H13" i="1" l="1"/>
  <c r="K13" i="1"/>
  <c r="I13" i="1" s="1"/>
  <c r="H12" i="1" l="1"/>
  <c r="K12" i="1"/>
  <c r="I12" i="1" s="1"/>
  <c r="K11" i="1" l="1"/>
  <c r="I11" i="1" s="1"/>
  <c r="H11" i="1"/>
  <c r="H10" i="1"/>
  <c r="K10" i="1" l="1"/>
  <c r="I10" i="1"/>
  <c r="K9" i="1" l="1"/>
  <c r="H9" i="1"/>
  <c r="I9" i="1"/>
  <c r="K8" i="1" l="1"/>
  <c r="I8" i="1" s="1"/>
  <c r="H8" i="1"/>
  <c r="E8" i="1"/>
  <c r="K7" i="1" l="1"/>
  <c r="H7" i="1"/>
  <c r="H6" i="1"/>
  <c r="I7" i="1"/>
  <c r="E7" i="1" l="1"/>
  <c r="H3" i="1" l="1"/>
  <c r="H4" i="1"/>
  <c r="H5" i="1"/>
  <c r="K6" i="1"/>
  <c r="I6" i="1"/>
  <c r="K5" i="1" l="1"/>
  <c r="I5" i="1"/>
  <c r="I4" i="1"/>
  <c r="I3" i="1"/>
  <c r="G2" i="1" l="1"/>
  <c r="G3" i="1"/>
  <c r="K4" i="1" l="1"/>
  <c r="I2" i="1" l="1"/>
  <c r="K3" i="1"/>
  <c r="K2" i="1"/>
  <c r="H2" i="1"/>
  <c r="E3" i="1"/>
  <c r="E2" i="1"/>
</calcChain>
</file>

<file path=xl/sharedStrings.xml><?xml version="1.0" encoding="utf-8"?>
<sst xmlns="http://schemas.openxmlformats.org/spreadsheetml/2006/main" count="35" uniqueCount="12">
  <si>
    <t>Site Name</t>
  </si>
  <si>
    <t>Month</t>
  </si>
  <si>
    <t>Year</t>
  </si>
  <si>
    <t>Total (per Unit) soap bars</t>
  </si>
  <si>
    <t>Total cost soap bars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</si>
  <si>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</si>
  <si>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</si>
  <si>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</si>
  <si>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</si>
  <si>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</si>
  <si>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</si>
  <si>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Macao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</si>
</sst>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H27" sqref="H27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  <col min="6" max="6" width="28.140625" style="5" bestFit="1" customWidth="1"/>
    <col min="7" max="7" width="25.7109375" style="5" customWidth="1"/>
    <col min="8" max="8" width="28.42578125" style="5" bestFit="1" customWidth="1"/>
    <col min="9" max="11" width="25.7109375" style="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s="1">
        <v>1</v>
      </c>
      <c r="C2" s="1">
        <v>2022</v>
      </c>
      <c r="D2" s="5">
        <v>0</v>
      </c>
      <c r="E2" s="5">
        <f>D2*1470</f>
        <v>0</v>
      </c>
      <c r="F2" s="5">
        <v>15</v>
      </c>
      <c r="G2" s="5">
        <f>9.2*F2</f>
        <v>138</v>
      </c>
      <c r="H2" s="5">
        <f t="shared" ref="H2:I9" si="0">J2</f>
        <v>3471</v>
      </c>
      <c r="I2" s="5">
        <f t="shared" si="0"/>
        <v>34710</v>
      </c>
      <c r="J2" s="5">
        <v>3471</v>
      </c>
      <c r="K2" s="5">
        <f t="shared" ref="K2:K14" si="1">10*J2</f>
        <v>34710</v>
      </c>
    </row>
    <row r="3" spans="1:11" x14ac:dyDescent="0.25">
      <c r="A3" t="s">
        <v>11</v>
      </c>
      <c r="B3" s="1">
        <v>2</v>
      </c>
      <c r="C3" s="1">
        <v>2022</v>
      </c>
      <c r="D3" s="5">
        <v>1</v>
      </c>
      <c r="E3" s="5">
        <f>D3*1470</f>
        <v>1470</v>
      </c>
      <c r="F3" s="5">
        <v>15</v>
      </c>
      <c r="G3" s="5">
        <f>9.2*F3</f>
        <v>138</v>
      </c>
      <c r="H3" s="5">
        <f t="shared" si="0"/>
        <v>3772</v>
      </c>
      <c r="I3" s="5">
        <f t="shared" si="0"/>
        <v>37720</v>
      </c>
      <c r="J3" s="5">
        <v>3772</v>
      </c>
      <c r="K3" s="5">
        <f t="shared" si="1"/>
        <v>37720</v>
      </c>
    </row>
    <row r="4" spans="1:11" x14ac:dyDescent="0.25">
      <c r="A4" t="s">
        <v>11</v>
      </c>
      <c r="B4" s="1">
        <v>3</v>
      </c>
      <c r="C4" s="1">
        <v>2022</v>
      </c>
      <c r="D4" s="5">
        <v>300</v>
      </c>
      <c r="E4" s="5">
        <v>1470</v>
      </c>
      <c r="F4" s="5">
        <v>24.7</v>
      </c>
      <c r="G4" s="5">
        <v>2321</v>
      </c>
      <c r="H4" s="5">
        <f t="shared" si="0"/>
        <v>3115.54</v>
      </c>
      <c r="I4" s="5">
        <f t="shared" si="0"/>
        <v>31155.4</v>
      </c>
      <c r="J4" s="5">
        <v>3115.54</v>
      </c>
      <c r="K4" s="5">
        <f t="shared" si="1"/>
        <v>31155.4</v>
      </c>
    </row>
    <row r="5" spans="1:11" x14ac:dyDescent="0.25">
      <c r="A5" t="s">
        <v>11</v>
      </c>
      <c r="B5" s="2">
        <v>4</v>
      </c>
      <c r="C5" s="1">
        <v>2022</v>
      </c>
      <c r="D5" s="5">
        <v>0</v>
      </c>
      <c r="E5" s="5">
        <v>0</v>
      </c>
      <c r="F5" s="5">
        <v>0.5</v>
      </c>
      <c r="G5" s="5">
        <v>48</v>
      </c>
      <c r="H5" s="5">
        <f t="shared" si="0"/>
        <v>2758.82</v>
      </c>
      <c r="I5" s="5">
        <f t="shared" si="0"/>
        <v>27588.2</v>
      </c>
      <c r="J5" s="5">
        <v>2758.82</v>
      </c>
      <c r="K5" s="5">
        <f t="shared" si="1"/>
        <v>27588.2</v>
      </c>
    </row>
    <row r="6" spans="1:11" x14ac:dyDescent="0.25">
      <c r="A6" t="s">
        <v>11</v>
      </c>
      <c r="B6" s="1">
        <v>5</v>
      </c>
      <c r="C6" s="1">
        <v>2022</v>
      </c>
      <c r="D6" s="5">
        <v>250</v>
      </c>
      <c r="E6" s="5">
        <v>1225</v>
      </c>
      <c r="F6" s="5">
        <v>1</v>
      </c>
      <c r="G6" s="5">
        <v>96</v>
      </c>
      <c r="H6" s="5">
        <f t="shared" si="0"/>
        <v>2525.06</v>
      </c>
      <c r="I6" s="5">
        <f t="shared" ref="I6:I14" si="2">K6</f>
        <v>25250.6</v>
      </c>
      <c r="J6" s="5">
        <v>2525.06</v>
      </c>
      <c r="K6" s="5">
        <f t="shared" si="1"/>
        <v>25250.6</v>
      </c>
    </row>
    <row r="7" spans="1:11" x14ac:dyDescent="0.25">
      <c r="A7" t="s">
        <v>11</v>
      </c>
      <c r="B7" s="1">
        <v>6</v>
      </c>
      <c r="C7" s="1">
        <v>2022</v>
      </c>
      <c r="D7" s="5">
        <v>0</v>
      </c>
      <c r="E7" s="5">
        <f>D7*1470</f>
        <v>0</v>
      </c>
      <c r="F7" s="5">
        <v>0.5</v>
      </c>
      <c r="G7" s="5">
        <v>48</v>
      </c>
      <c r="H7" s="5">
        <f t="shared" si="0"/>
        <v>2258.4899999999998</v>
      </c>
      <c r="I7" s="5">
        <f t="shared" si="2"/>
        <v>22584.899999999998</v>
      </c>
      <c r="J7" s="5">
        <v>2258.4899999999998</v>
      </c>
      <c r="K7" s="5">
        <f t="shared" si="1"/>
        <v>22584.899999999998</v>
      </c>
    </row>
    <row r="8" spans="1:11" x14ac:dyDescent="0.25">
      <c r="A8" t="s">
        <v>11</v>
      </c>
      <c r="B8" s="1">
        <v>7</v>
      </c>
      <c r="C8" s="1">
        <v>2022</v>
      </c>
      <c r="D8" s="5">
        <v>0</v>
      </c>
      <c r="E8" s="5">
        <f>D8*1470</f>
        <v>0</v>
      </c>
      <c r="F8" s="5">
        <v>0</v>
      </c>
      <c r="G8" s="5">
        <v>0</v>
      </c>
      <c r="H8" s="5">
        <f t="shared" si="0"/>
        <v>692.52</v>
      </c>
      <c r="I8" s="5">
        <f t="shared" si="2"/>
        <v>6925.2</v>
      </c>
      <c r="J8" s="5">
        <v>692.52</v>
      </c>
      <c r="K8" s="5">
        <f t="shared" si="1"/>
        <v>6925.2</v>
      </c>
    </row>
    <row r="9" spans="1:11" x14ac:dyDescent="0.25">
      <c r="A9" t="s">
        <v>11</v>
      </c>
      <c r="B9" s="1">
        <v>8</v>
      </c>
      <c r="C9" s="1">
        <v>2022</v>
      </c>
      <c r="D9" s="5">
        <v>70</v>
      </c>
      <c r="E9" s="5">
        <v>308</v>
      </c>
      <c r="F9" s="5">
        <v>0.5</v>
      </c>
      <c r="G9" s="5">
        <v>48</v>
      </c>
      <c r="H9" s="5">
        <f t="shared" si="0"/>
        <v>966</v>
      </c>
      <c r="I9" s="5">
        <f t="shared" si="2"/>
        <v>9660</v>
      </c>
      <c r="J9" s="5">
        <v>966</v>
      </c>
      <c r="K9" s="5">
        <f t="shared" si="1"/>
        <v>9660</v>
      </c>
    </row>
    <row r="10" spans="1:11" x14ac:dyDescent="0.25">
      <c r="A10" t="s">
        <v>11</v>
      </c>
      <c r="B10" s="1">
        <v>9</v>
      </c>
      <c r="C10" s="1">
        <v>2022</v>
      </c>
      <c r="D10" s="5">
        <v>250</v>
      </c>
      <c r="E10" s="5">
        <v>1225</v>
      </c>
      <c r="F10" s="5">
        <v>1</v>
      </c>
      <c r="G10" s="5">
        <v>96</v>
      </c>
      <c r="H10" s="5">
        <f>J10</f>
        <v>1556.17</v>
      </c>
      <c r="I10" s="5">
        <f t="shared" si="2"/>
        <v>15561.7</v>
      </c>
      <c r="J10" s="5">
        <v>1556.17</v>
      </c>
      <c r="K10" s="5">
        <f t="shared" si="1"/>
        <v>15561.7</v>
      </c>
    </row>
    <row r="11" spans="1:11" x14ac:dyDescent="0.25">
      <c r="A11" t="s">
        <v>11</v>
      </c>
      <c r="B11" s="1">
        <v>10</v>
      </c>
      <c r="C11" s="1">
        <v>2022</v>
      </c>
      <c r="D11" s="5">
        <v>500</v>
      </c>
      <c r="E11" s="5">
        <v>2450</v>
      </c>
      <c r="F11" s="5">
        <v>30</v>
      </c>
      <c r="G11" s="5">
        <v>2880</v>
      </c>
      <c r="H11" s="5">
        <f>J11</f>
        <v>2895</v>
      </c>
      <c r="I11" s="5">
        <f t="shared" si="2"/>
        <v>28950</v>
      </c>
      <c r="J11" s="5">
        <v>2895</v>
      </c>
      <c r="K11" s="5">
        <f t="shared" si="1"/>
        <v>28950</v>
      </c>
    </row>
    <row r="12" spans="1:11" x14ac:dyDescent="0.25">
      <c r="A12" t="s">
        <v>11</v>
      </c>
      <c r="B12" s="1">
        <v>11</v>
      </c>
      <c r="C12" s="1">
        <v>2022</v>
      </c>
      <c r="D12" s="5">
        <v>0</v>
      </c>
      <c r="E12" s="5">
        <v>0</v>
      </c>
      <c r="F12" s="5">
        <v>15</v>
      </c>
      <c r="G12" s="5">
        <v>1440</v>
      </c>
      <c r="H12" s="5">
        <f>J12</f>
        <v>1391.75</v>
      </c>
      <c r="I12" s="5">
        <f t="shared" si="2"/>
        <v>13917.5</v>
      </c>
      <c r="J12" s="5">
        <v>1391.75</v>
      </c>
      <c r="K12" s="5">
        <f t="shared" si="1"/>
        <v>13917.5</v>
      </c>
    </row>
    <row r="13" spans="1:11" x14ac:dyDescent="0.25">
      <c r="A13" t="s">
        <v>11</v>
      </c>
      <c r="B13" s="1">
        <v>12</v>
      </c>
      <c r="C13" s="1">
        <v>2022</v>
      </c>
      <c r="D13" s="5">
        <v>0</v>
      </c>
      <c r="E13" s="5">
        <v>0</v>
      </c>
      <c r="F13" s="5">
        <v>5</v>
      </c>
      <c r="G13" s="5">
        <v>480</v>
      </c>
      <c r="H13" s="5">
        <f>J13</f>
        <v>1688</v>
      </c>
      <c r="I13" s="5">
        <f t="shared" si="2"/>
        <v>16880</v>
      </c>
      <c r="J13" s="5">
        <v>1688</v>
      </c>
      <c r="K13" s="5">
        <f t="shared" si="1"/>
        <v>16880</v>
      </c>
    </row>
    <row r="14" spans="1:11" x14ac:dyDescent="0.25">
      <c r="A14" t="s">
        <v>11</v>
      </c>
      <c r="B14" s="1">
        <v>1</v>
      </c>
      <c r="C14" s="1">
        <v>2023</v>
      </c>
      <c r="D14" s="5">
        <v>0</v>
      </c>
      <c r="E14" s="5">
        <v>0</v>
      </c>
      <c r="F14" s="5">
        <v>10</v>
      </c>
      <c r="G14" s="5">
        <v>960</v>
      </c>
      <c r="H14" s="5">
        <f>J14</f>
        <v>1592.48</v>
      </c>
      <c r="I14" s="5">
        <f t="shared" si="2"/>
        <v>15924.8</v>
      </c>
      <c r="J14" s="5">
        <v>1592.48</v>
      </c>
      <c r="K14" s="5">
        <f t="shared" si="1"/>
        <v>15924.8</v>
      </c>
    </row>
    <row r="15" spans="1:11" x14ac:dyDescent="0.25">
      <c r="A15" t="s">
        <v>11</v>
      </c>
      <c r="B15" s="1">
        <v>2</v>
      </c>
      <c r="C15" s="1">
        <v>2023</v>
      </c>
    </row>
    <row r="16" spans="1:11" x14ac:dyDescent="0.25">
      <c r="A16" t="s">
        <v>11</v>
      </c>
      <c r="B16" s="1">
        <v>3</v>
      </c>
      <c r="C16" s="1">
        <v>2023</v>
      </c>
    </row>
    <row r="17" spans="1:3" x14ac:dyDescent="0.25">
      <c r="A17" t="s">
        <v>11</v>
      </c>
      <c r="B17" s="2">
        <v>4</v>
      </c>
      <c r="C17" s="1">
        <v>2023</v>
      </c>
    </row>
    <row r="18" spans="1:3" x14ac:dyDescent="0.25">
      <c r="A18" t="s">
        <v>11</v>
      </c>
      <c r="B18" s="1">
        <v>5</v>
      </c>
      <c r="C18" s="1">
        <v>2023</v>
      </c>
    </row>
    <row r="19" spans="1:3" x14ac:dyDescent="0.25">
      <c r="A19" t="s">
        <v>11</v>
      </c>
      <c r="B19" s="1">
        <v>6</v>
      </c>
      <c r="C19" s="1">
        <v>2023</v>
      </c>
    </row>
    <row r="20" spans="1:3" x14ac:dyDescent="0.25">
      <c r="A20" t="s">
        <v>11</v>
      </c>
      <c r="B20" s="1">
        <v>7</v>
      </c>
      <c r="C20" s="1">
        <v>2023</v>
      </c>
    </row>
    <row r="21" spans="1:3" x14ac:dyDescent="0.25">
      <c r="A21" t="s">
        <v>11</v>
      </c>
      <c r="B21" s="1">
        <v>8</v>
      </c>
      <c r="C21" s="1">
        <v>2023</v>
      </c>
    </row>
    <row r="22" spans="1:3" x14ac:dyDescent="0.25">
      <c r="A22" t="s">
        <v>11</v>
      </c>
      <c r="B22" s="1">
        <v>9</v>
      </c>
      <c r="C22" s="1">
        <v>2023</v>
      </c>
    </row>
    <row r="23" spans="1:3" x14ac:dyDescent="0.25">
      <c r="A23" t="s">
        <v>11</v>
      </c>
      <c r="B23" s="1">
        <v>10</v>
      </c>
      <c r="C23" s="1">
        <v>2023</v>
      </c>
    </row>
    <row r="24" spans="1:3" x14ac:dyDescent="0.25">
      <c r="A24" t="s">
        <v>11</v>
      </c>
      <c r="B24" s="1">
        <v>11</v>
      </c>
      <c r="C24" s="1">
        <v>2023</v>
      </c>
    </row>
    <row r="25" spans="1:3" x14ac:dyDescent="0.25">
      <c r="A25" t="s">
        <v>11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Sarina Tong</cp:lastModifiedBy>
  <dcterms:created xsi:type="dcterms:W3CDTF">2022-01-28T13:49:17Z</dcterms:created>
  <dcterms:modified xsi:type="dcterms:W3CDTF">2023-02-08T07:39:40Z</dcterms:modified>
</cp:coreProperties>
</file>