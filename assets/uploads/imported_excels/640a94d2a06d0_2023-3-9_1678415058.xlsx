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盘Lemon\HEP\Daily Report\2022\"/>
    </mc:Choice>
  </mc:AlternateContent>
  <bookViews>
    <workbookView xWindow="0" yWindow="0" windowWidth="28800" windowHeight="12435" tabRatio="620" firstSheet="2" activeTab="2"/>
  </bookViews>
  <sheets>
    <sheet name="TOTAL" sheetId="117" r:id="rId1"/>
    <sheet name="HangzhouDaily" sheetId="119" r:id="rId2"/>
    <sheet name="2022.12" sheetId="120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20" l="1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L2" i="117"/>
  <c r="H32" i="119"/>
  <c r="I29" i="117" s="1"/>
  <c r="F32" i="119"/>
  <c r="G29" i="117" s="1"/>
  <c r="D32" i="119"/>
  <c r="E29" i="117" s="1"/>
  <c r="H31" i="119"/>
  <c r="I28" i="117" s="1"/>
  <c r="F31" i="119"/>
  <c r="G28" i="117" s="1"/>
  <c r="D31" i="119"/>
  <c r="E28" i="117" s="1"/>
  <c r="H30" i="119"/>
  <c r="I27" i="117" s="1"/>
  <c r="F30" i="119"/>
  <c r="G27" i="117" s="1"/>
  <c r="D30" i="119"/>
  <c r="E27" i="117" s="1"/>
  <c r="H29" i="119"/>
  <c r="I26" i="117" s="1"/>
  <c r="F29" i="119"/>
  <c r="G26" i="117" s="1"/>
  <c r="D29" i="119"/>
  <c r="E26" i="117" s="1"/>
  <c r="H28" i="119"/>
  <c r="I25" i="117" s="1"/>
  <c r="F28" i="119"/>
  <c r="G25" i="117" s="1"/>
  <c r="D28" i="119"/>
  <c r="E25" i="117" s="1"/>
  <c r="H27" i="119"/>
  <c r="I24" i="117" s="1"/>
  <c r="F27" i="119"/>
  <c r="G24" i="117" s="1"/>
  <c r="D27" i="119"/>
  <c r="E24" i="117" s="1"/>
  <c r="H26" i="119"/>
  <c r="I23" i="117" s="1"/>
  <c r="F26" i="119"/>
  <c r="G23" i="117" s="1"/>
  <c r="D26" i="119"/>
  <c r="E23" i="117" s="1"/>
  <c r="H25" i="119"/>
  <c r="I22" i="117" s="1"/>
  <c r="F25" i="119"/>
  <c r="G22" i="117" s="1"/>
  <c r="D25" i="119"/>
  <c r="E22" i="117" s="1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<sst xmlns="http://schemas.openxmlformats.org/spreadsheetml/2006/main" count="96" uniqueCount="26">
  <si>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</si>
  <si>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</si>
  <si>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</si>
  <si>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</si>
  <si>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</si>
  <si>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</si>
  <si>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</si>
  <si>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</si>
  <si>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</si>
  <si>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</si>
  <si>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</si>
  <si>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</si>
  <si>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Hangzhou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</si>
  <si>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</si>
  <si>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</si>
  <si>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</si>
  <si>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</si>
  <si>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</si>
  <si>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</si>
  <si>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</si>
  <si>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</si>
  <si>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</si>
  <si>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</si>
  <si>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</si>
  <si>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</si>
  <si>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Tianjin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</si>
</sst>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_);[Red]\(0\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opLeftCell="C1" workbookViewId="0">
      <selection activeCell="F28" sqref="F28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7" max="7" width="7.140625" customWidth="1"/>
    <col min="9" max="9" width="10.85546875" customWidth="1"/>
    <col min="10" max="10" width="11.28515625" customWidth="1"/>
  </cols>
  <sheetData>
    <row r="1" spans="1:12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12</v>
      </c>
      <c r="B2" s="7">
        <v>1</v>
      </c>
      <c r="C2" s="8">
        <v>2</v>
      </c>
      <c r="D2" s="7">
        <v>2022</v>
      </c>
      <c r="E2" s="9">
        <v>11640</v>
      </c>
      <c r="F2" s="35">
        <v>0.75</v>
      </c>
      <c r="G2" s="37">
        <v>3238</v>
      </c>
      <c r="H2" s="35">
        <v>4.42</v>
      </c>
      <c r="I2" s="9">
        <v>608</v>
      </c>
      <c r="J2" s="35">
        <v>4.28</v>
      </c>
      <c r="K2" s="9">
        <v>11</v>
      </c>
      <c r="L2" s="9">
        <f>HangzhouDaily!J5</f>
        <v>0</v>
      </c>
    </row>
    <row r="3" spans="1:12" ht="15" x14ac:dyDescent="0.25">
      <c r="A3" s="6" t="s">
        <v>12</v>
      </c>
      <c r="B3" s="7">
        <f>B2+1</f>
        <v>2</v>
      </c>
      <c r="C3" s="8">
        <v>2</v>
      </c>
      <c r="D3" s="7">
        <v>2022</v>
      </c>
      <c r="E3" s="9">
        <v>10950</v>
      </c>
      <c r="F3" s="35">
        <v>0.75</v>
      </c>
      <c r="G3" s="9">
        <v>3320</v>
      </c>
      <c r="H3" s="35">
        <v>4.42</v>
      </c>
      <c r="I3" s="9">
        <v>254</v>
      </c>
      <c r="J3" s="35">
        <v>4.28</v>
      </c>
      <c r="K3" s="9">
        <v>5</v>
      </c>
      <c r="L3" s="9">
        <f>HangzhouDaily!J6</f>
        <v>0</v>
      </c>
    </row>
    <row r="4" spans="1:12" ht="15" x14ac:dyDescent="0.25">
      <c r="A4" s="6" t="s">
        <v>12</v>
      </c>
      <c r="B4" s="7">
        <f t="shared" ref="B4:B29" si="0">B3+1</f>
        <v>3</v>
      </c>
      <c r="C4" s="8">
        <v>2</v>
      </c>
      <c r="D4" s="7">
        <v>2022</v>
      </c>
      <c r="E4" s="36">
        <v>11520</v>
      </c>
      <c r="F4" s="35">
        <v>0.75</v>
      </c>
      <c r="G4" s="9">
        <v>3298</v>
      </c>
      <c r="H4" s="35">
        <v>4.42</v>
      </c>
      <c r="I4" s="9">
        <v>386</v>
      </c>
      <c r="J4" s="35">
        <v>4.28</v>
      </c>
      <c r="K4" s="9">
        <v>2</v>
      </c>
      <c r="L4" s="9">
        <f>HangzhouDaily!J7</f>
        <v>0</v>
      </c>
    </row>
    <row r="5" spans="1:12" ht="15" x14ac:dyDescent="0.25">
      <c r="A5" s="6" t="s">
        <v>12</v>
      </c>
      <c r="B5" s="7">
        <f t="shared" si="0"/>
        <v>4</v>
      </c>
      <c r="C5" s="8">
        <v>2</v>
      </c>
      <c r="D5" s="7">
        <v>2022</v>
      </c>
      <c r="E5" s="9">
        <v>10830</v>
      </c>
      <c r="F5" s="35">
        <v>0.75</v>
      </c>
      <c r="G5" s="37">
        <v>3310</v>
      </c>
      <c r="H5" s="35">
        <v>4.42</v>
      </c>
      <c r="I5" s="9">
        <v>373</v>
      </c>
      <c r="J5" s="35">
        <v>4.28</v>
      </c>
      <c r="K5" s="9">
        <v>4</v>
      </c>
      <c r="L5" s="9">
        <f>HangzhouDaily!J8</f>
        <v>0</v>
      </c>
    </row>
    <row r="6" spans="1:12" ht="15" x14ac:dyDescent="0.25">
      <c r="A6" s="6" t="s">
        <v>12</v>
      </c>
      <c r="B6" s="7">
        <f t="shared" si="0"/>
        <v>5</v>
      </c>
      <c r="C6" s="8">
        <v>2</v>
      </c>
      <c r="D6" s="7">
        <v>2022</v>
      </c>
      <c r="E6" s="9">
        <v>11160</v>
      </c>
      <c r="F6" s="35">
        <v>0.75</v>
      </c>
      <c r="G6" s="9">
        <v>3221</v>
      </c>
      <c r="H6" s="35">
        <v>4.42</v>
      </c>
      <c r="I6" s="9">
        <v>362</v>
      </c>
      <c r="J6" s="35">
        <v>4.28</v>
      </c>
      <c r="K6" s="9">
        <v>3</v>
      </c>
      <c r="L6" s="9">
        <f>HangzhouDaily!J9</f>
        <v>0</v>
      </c>
    </row>
    <row r="7" spans="1:12" ht="15" x14ac:dyDescent="0.25">
      <c r="A7" s="6" t="s">
        <v>12</v>
      </c>
      <c r="B7" s="7">
        <f t="shared" si="0"/>
        <v>6</v>
      </c>
      <c r="C7" s="8">
        <v>2</v>
      </c>
      <c r="D7" s="7">
        <v>2022</v>
      </c>
      <c r="E7" s="9">
        <v>10890</v>
      </c>
      <c r="F7" s="35">
        <v>0.75</v>
      </c>
      <c r="G7" s="9">
        <v>3368</v>
      </c>
      <c r="H7" s="35">
        <v>4.42</v>
      </c>
      <c r="I7" s="9">
        <v>436</v>
      </c>
      <c r="J7" s="35">
        <v>4.28</v>
      </c>
      <c r="K7" s="9">
        <v>4</v>
      </c>
      <c r="L7" s="9">
        <f>HangzhouDaily!J10</f>
        <v>0</v>
      </c>
    </row>
    <row r="8" spans="1:12" ht="15" x14ac:dyDescent="0.25">
      <c r="A8" s="6" t="s">
        <v>12</v>
      </c>
      <c r="B8" s="7">
        <f t="shared" si="0"/>
        <v>7</v>
      </c>
      <c r="C8" s="8">
        <v>2</v>
      </c>
      <c r="D8" s="7">
        <v>2022</v>
      </c>
      <c r="E8" s="9">
        <v>10890</v>
      </c>
      <c r="F8" s="35">
        <v>0.75</v>
      </c>
      <c r="G8" s="9">
        <v>3604</v>
      </c>
      <c r="H8" s="35">
        <v>4.42</v>
      </c>
      <c r="I8" s="9">
        <v>398</v>
      </c>
      <c r="J8" s="35">
        <v>4.28</v>
      </c>
      <c r="K8" s="9">
        <v>5</v>
      </c>
      <c r="L8" s="9">
        <f>HangzhouDaily!J11</f>
        <v>0</v>
      </c>
    </row>
    <row r="9" spans="1:12" ht="15" x14ac:dyDescent="0.25">
      <c r="A9" s="6" t="s">
        <v>12</v>
      </c>
      <c r="B9" s="7">
        <f t="shared" si="0"/>
        <v>8</v>
      </c>
      <c r="C9" s="8">
        <v>2</v>
      </c>
      <c r="D9" s="7">
        <v>2022</v>
      </c>
      <c r="E9" s="9">
        <v>12510</v>
      </c>
      <c r="F9" s="35">
        <v>0.75</v>
      </c>
      <c r="G9" s="9">
        <v>3480</v>
      </c>
      <c r="H9" s="35">
        <v>4.42</v>
      </c>
      <c r="I9" s="9">
        <v>440</v>
      </c>
      <c r="J9" s="35">
        <v>4.28</v>
      </c>
      <c r="K9" s="9">
        <v>8</v>
      </c>
      <c r="L9" s="9">
        <f>HangzhouDaily!J12</f>
        <v>0</v>
      </c>
    </row>
    <row r="10" spans="1:12" ht="15" x14ac:dyDescent="0.25">
      <c r="A10" s="6" t="s">
        <v>12</v>
      </c>
      <c r="B10" s="7">
        <f t="shared" si="0"/>
        <v>9</v>
      </c>
      <c r="C10" s="8">
        <v>2</v>
      </c>
      <c r="D10" s="7">
        <v>2022</v>
      </c>
      <c r="E10" s="9">
        <v>11790</v>
      </c>
      <c r="F10" s="35">
        <v>0.75</v>
      </c>
      <c r="G10" s="9">
        <v>3323</v>
      </c>
      <c r="H10" s="35">
        <v>4.42</v>
      </c>
      <c r="I10" s="9">
        <v>370</v>
      </c>
      <c r="J10" s="35">
        <v>4.28</v>
      </c>
      <c r="K10" s="9">
        <v>7</v>
      </c>
      <c r="L10" s="9">
        <f>HangzhouDaily!J13</f>
        <v>0</v>
      </c>
    </row>
    <row r="11" spans="1:12" ht="15" x14ac:dyDescent="0.25">
      <c r="A11" s="6" t="s">
        <v>12</v>
      </c>
      <c r="B11" s="7">
        <f t="shared" si="0"/>
        <v>10</v>
      </c>
      <c r="C11" s="8">
        <v>2</v>
      </c>
      <c r="D11" s="7">
        <v>2022</v>
      </c>
      <c r="E11" s="9">
        <v>11190</v>
      </c>
      <c r="F11" s="35">
        <v>0.75</v>
      </c>
      <c r="G11" s="9">
        <v>33556</v>
      </c>
      <c r="H11" s="35">
        <v>4.42</v>
      </c>
      <c r="I11" s="9">
        <v>406</v>
      </c>
      <c r="J11" s="35">
        <v>4.28</v>
      </c>
      <c r="K11" s="9">
        <v>8</v>
      </c>
      <c r="L11" s="9">
        <f>HangzhouDaily!J14</f>
        <v>0</v>
      </c>
    </row>
    <row r="12" spans="1:12" ht="15" x14ac:dyDescent="0.25">
      <c r="A12" s="6" t="s">
        <v>12</v>
      </c>
      <c r="B12" s="7">
        <f t="shared" si="0"/>
        <v>11</v>
      </c>
      <c r="C12" s="8">
        <v>2</v>
      </c>
      <c r="D12" s="7">
        <v>2022</v>
      </c>
      <c r="E12" s="9">
        <v>11310</v>
      </c>
      <c r="F12" s="35">
        <v>0.75</v>
      </c>
      <c r="G12" s="9">
        <v>3339</v>
      </c>
      <c r="H12" s="35">
        <v>4.42</v>
      </c>
      <c r="I12" s="9">
        <v>385</v>
      </c>
      <c r="J12" s="35">
        <v>4.28</v>
      </c>
      <c r="K12" s="9">
        <v>6</v>
      </c>
      <c r="L12" s="9">
        <f>HangzhouDaily!J15</f>
        <v>0</v>
      </c>
    </row>
    <row r="13" spans="1:12" ht="15" x14ac:dyDescent="0.25">
      <c r="A13" s="6" t="s">
        <v>12</v>
      </c>
      <c r="B13" s="7">
        <f t="shared" si="0"/>
        <v>12</v>
      </c>
      <c r="C13" s="8">
        <v>2</v>
      </c>
      <c r="D13" s="7">
        <v>2022</v>
      </c>
      <c r="E13" s="9">
        <v>11010</v>
      </c>
      <c r="F13" s="35">
        <v>0.75</v>
      </c>
      <c r="G13" s="9">
        <v>3408</v>
      </c>
      <c r="H13" s="35">
        <v>4.42</v>
      </c>
      <c r="I13" s="9">
        <v>404</v>
      </c>
      <c r="J13" s="35">
        <v>4.28</v>
      </c>
      <c r="K13" s="9">
        <v>7</v>
      </c>
      <c r="L13" s="9">
        <f>HangzhouDaily!J16</f>
        <v>0</v>
      </c>
    </row>
    <row r="14" spans="1:12" ht="15" x14ac:dyDescent="0.25">
      <c r="A14" s="6" t="s">
        <v>12</v>
      </c>
      <c r="B14" s="7">
        <f t="shared" si="0"/>
        <v>13</v>
      </c>
      <c r="C14" s="8">
        <v>2</v>
      </c>
      <c r="D14" s="7">
        <v>2022</v>
      </c>
      <c r="E14" s="9">
        <v>11970</v>
      </c>
      <c r="F14" s="35">
        <v>0.75</v>
      </c>
      <c r="G14" s="9">
        <v>3115</v>
      </c>
      <c r="H14" s="35">
        <v>4.42</v>
      </c>
      <c r="I14" s="9">
        <v>376</v>
      </c>
      <c r="J14" s="35">
        <v>4.28</v>
      </c>
      <c r="K14" s="9">
        <v>16</v>
      </c>
      <c r="L14" s="9">
        <f>HangzhouDaily!J17</f>
        <v>0</v>
      </c>
    </row>
    <row r="15" spans="1:12" ht="15" x14ac:dyDescent="0.25">
      <c r="A15" s="6" t="s">
        <v>12</v>
      </c>
      <c r="B15" s="7">
        <f t="shared" si="0"/>
        <v>14</v>
      </c>
      <c r="C15" s="8">
        <v>2</v>
      </c>
      <c r="D15" s="7">
        <v>2022</v>
      </c>
      <c r="E15" s="9">
        <v>11280</v>
      </c>
      <c r="F15" s="35">
        <v>0.75</v>
      </c>
      <c r="G15" s="9">
        <v>2493</v>
      </c>
      <c r="H15" s="35">
        <v>4.42</v>
      </c>
      <c r="I15" s="9">
        <v>400</v>
      </c>
      <c r="J15" s="35">
        <v>4.28</v>
      </c>
      <c r="K15" s="9">
        <v>15</v>
      </c>
      <c r="L15" s="9">
        <f>HangzhouDaily!J18</f>
        <v>0</v>
      </c>
    </row>
    <row r="16" spans="1:12" ht="15" x14ac:dyDescent="0.25">
      <c r="A16" s="6" t="s">
        <v>12</v>
      </c>
      <c r="B16" s="7">
        <f t="shared" si="0"/>
        <v>15</v>
      </c>
      <c r="C16" s="8">
        <v>2</v>
      </c>
      <c r="D16" s="7">
        <v>2022</v>
      </c>
      <c r="E16" s="9">
        <v>12120</v>
      </c>
      <c r="F16" s="35">
        <v>0.75</v>
      </c>
      <c r="G16" s="9">
        <v>3881</v>
      </c>
      <c r="H16" s="35">
        <v>4.42</v>
      </c>
      <c r="I16" s="9">
        <v>475</v>
      </c>
      <c r="J16" s="35">
        <v>4.28</v>
      </c>
      <c r="K16" s="9">
        <v>16</v>
      </c>
      <c r="L16" s="9">
        <f>HangzhouDaily!J19</f>
        <v>0</v>
      </c>
    </row>
    <row r="17" spans="1:12" ht="15" x14ac:dyDescent="0.25">
      <c r="A17" s="6" t="s">
        <v>12</v>
      </c>
      <c r="B17" s="7">
        <f t="shared" si="0"/>
        <v>16</v>
      </c>
      <c r="C17" s="8">
        <v>2</v>
      </c>
      <c r="D17" s="7">
        <v>2022</v>
      </c>
      <c r="E17" s="9">
        <v>12360</v>
      </c>
      <c r="F17" s="35">
        <v>0.75</v>
      </c>
      <c r="G17" s="9">
        <v>3183</v>
      </c>
      <c r="H17" s="35">
        <v>4.42</v>
      </c>
      <c r="I17" s="9">
        <v>397</v>
      </c>
      <c r="J17" s="35">
        <v>4.28</v>
      </c>
      <c r="K17" s="9">
        <v>13</v>
      </c>
      <c r="L17" s="9">
        <f>HangzhouDaily!J20</f>
        <v>0</v>
      </c>
    </row>
    <row r="18" spans="1:12" ht="15" x14ac:dyDescent="0.25">
      <c r="A18" s="6" t="s">
        <v>12</v>
      </c>
      <c r="B18" s="7">
        <f t="shared" si="0"/>
        <v>17</v>
      </c>
      <c r="C18" s="8">
        <v>2</v>
      </c>
      <c r="D18" s="7">
        <v>2022</v>
      </c>
      <c r="E18" s="9">
        <v>11970</v>
      </c>
      <c r="F18" s="35">
        <v>0.75</v>
      </c>
      <c r="G18" s="9">
        <v>3061</v>
      </c>
      <c r="H18" s="35">
        <v>4.42</v>
      </c>
      <c r="I18" s="9">
        <v>405</v>
      </c>
      <c r="J18" s="35">
        <v>4.28</v>
      </c>
      <c r="K18" s="9">
        <v>10</v>
      </c>
      <c r="L18" s="9">
        <f>HangzhouDaily!J21</f>
        <v>0</v>
      </c>
    </row>
    <row r="19" spans="1:12" ht="15" x14ac:dyDescent="0.25">
      <c r="A19" s="6" t="s">
        <v>12</v>
      </c>
      <c r="B19" s="7">
        <f t="shared" si="0"/>
        <v>18</v>
      </c>
      <c r="C19" s="8">
        <v>2</v>
      </c>
      <c r="D19" s="7">
        <v>2022</v>
      </c>
      <c r="E19" s="9">
        <v>11520</v>
      </c>
      <c r="F19" s="35">
        <v>0.75</v>
      </c>
      <c r="G19" s="9">
        <v>3490</v>
      </c>
      <c r="H19" s="35">
        <v>4.42</v>
      </c>
      <c r="I19" s="9">
        <v>374</v>
      </c>
      <c r="J19" s="35">
        <v>4.28</v>
      </c>
      <c r="K19" s="9">
        <v>8</v>
      </c>
      <c r="L19" s="9">
        <f>HangzhouDaily!J22</f>
        <v>0</v>
      </c>
    </row>
    <row r="20" spans="1:12" ht="15" x14ac:dyDescent="0.25">
      <c r="A20" s="6" t="s">
        <v>12</v>
      </c>
      <c r="B20" s="7">
        <f t="shared" si="0"/>
        <v>19</v>
      </c>
      <c r="C20" s="8">
        <v>2</v>
      </c>
      <c r="D20" s="7">
        <v>2022</v>
      </c>
      <c r="E20" s="9">
        <v>11730</v>
      </c>
      <c r="F20" s="35">
        <v>0.75</v>
      </c>
      <c r="G20" s="9">
        <v>3331</v>
      </c>
      <c r="H20" s="35">
        <v>4.42</v>
      </c>
      <c r="I20" s="9">
        <v>375</v>
      </c>
      <c r="J20" s="35">
        <v>4.28</v>
      </c>
      <c r="K20" s="9">
        <v>11</v>
      </c>
      <c r="L20" s="9">
        <f>HangzhouDaily!J23</f>
        <v>0</v>
      </c>
    </row>
    <row r="21" spans="1:12" ht="15" x14ac:dyDescent="0.25">
      <c r="A21" s="6" t="s">
        <v>12</v>
      </c>
      <c r="B21" s="7">
        <f t="shared" si="0"/>
        <v>20</v>
      </c>
      <c r="C21" s="8">
        <v>2</v>
      </c>
      <c r="D21" s="7">
        <v>2022</v>
      </c>
      <c r="E21" s="9">
        <v>11250</v>
      </c>
      <c r="F21" s="35">
        <v>0.75</v>
      </c>
      <c r="G21" s="9">
        <v>3658</v>
      </c>
      <c r="H21" s="35">
        <v>4.42</v>
      </c>
      <c r="I21" s="9">
        <v>411</v>
      </c>
      <c r="J21" s="35">
        <v>4.28</v>
      </c>
      <c r="K21" s="9">
        <v>18</v>
      </c>
      <c r="L21" s="9">
        <f>HangzhouDaily!J24</f>
        <v>0</v>
      </c>
    </row>
    <row r="22" spans="1:12" ht="15" x14ac:dyDescent="0.25">
      <c r="A22" s="6" t="s">
        <v>12</v>
      </c>
      <c r="B22" s="7">
        <f t="shared" si="0"/>
        <v>21</v>
      </c>
      <c r="C22" s="8">
        <v>2</v>
      </c>
      <c r="D22" s="7">
        <v>2022</v>
      </c>
      <c r="E22" s="9">
        <f>HangzhouDaily!D25</f>
        <v>0</v>
      </c>
      <c r="F22" s="35">
        <v>0.75</v>
      </c>
      <c r="G22" s="9">
        <f>HangzhouDaily!F25</f>
        <v>0</v>
      </c>
      <c r="H22" s="35">
        <v>4.42</v>
      </c>
      <c r="I22" s="9">
        <f>HangzhouDaily!H25</f>
        <v>0</v>
      </c>
      <c r="J22" s="35">
        <v>4.28</v>
      </c>
      <c r="K22" s="9">
        <f>HangzhouDaily!I25</f>
        <v>0</v>
      </c>
      <c r="L22" s="9">
        <f>HangzhouDaily!J25</f>
        <v>0</v>
      </c>
    </row>
    <row r="23" spans="1:12" ht="15" x14ac:dyDescent="0.25">
      <c r="A23" s="6" t="s">
        <v>12</v>
      </c>
      <c r="B23" s="7">
        <f t="shared" si="0"/>
        <v>22</v>
      </c>
      <c r="C23" s="8">
        <v>2</v>
      </c>
      <c r="D23" s="7">
        <v>2022</v>
      </c>
      <c r="E23" s="9">
        <f>HangzhouDaily!D26</f>
        <v>0</v>
      </c>
      <c r="F23" s="35">
        <v>0.75</v>
      </c>
      <c r="G23" s="9">
        <f>HangzhouDaily!F26</f>
        <v>0</v>
      </c>
      <c r="H23" s="35">
        <v>4.42</v>
      </c>
      <c r="I23" s="9">
        <f>HangzhouDaily!H26</f>
        <v>0</v>
      </c>
      <c r="J23" s="35">
        <v>4.28</v>
      </c>
      <c r="K23" s="9">
        <f>HangzhouDaily!I26</f>
        <v>0</v>
      </c>
      <c r="L23" s="9">
        <f>HangzhouDaily!J26</f>
        <v>0</v>
      </c>
    </row>
    <row r="24" spans="1:12" ht="15" x14ac:dyDescent="0.25">
      <c r="A24" s="6" t="s">
        <v>12</v>
      </c>
      <c r="B24" s="7">
        <f t="shared" si="0"/>
        <v>23</v>
      </c>
      <c r="C24" s="8">
        <v>2</v>
      </c>
      <c r="D24" s="7">
        <v>2022</v>
      </c>
      <c r="E24" s="9">
        <f>HangzhouDaily!D27</f>
        <v>0</v>
      </c>
      <c r="F24" s="35">
        <v>0.75</v>
      </c>
      <c r="G24" s="9">
        <f>HangzhouDaily!F27</f>
        <v>0</v>
      </c>
      <c r="H24" s="35">
        <v>4.42</v>
      </c>
      <c r="I24" s="9">
        <f>HangzhouDaily!H27</f>
        <v>0</v>
      </c>
      <c r="J24" s="35">
        <v>4.28</v>
      </c>
      <c r="K24" s="9">
        <f>HangzhouDaily!I27</f>
        <v>0</v>
      </c>
      <c r="L24" s="9">
        <f>HangzhouDaily!J27</f>
        <v>0</v>
      </c>
    </row>
    <row r="25" spans="1:12" ht="15" x14ac:dyDescent="0.25">
      <c r="A25" s="6" t="s">
        <v>12</v>
      </c>
      <c r="B25" s="7">
        <f t="shared" si="0"/>
        <v>24</v>
      </c>
      <c r="C25" s="8">
        <v>2</v>
      </c>
      <c r="D25" s="7">
        <v>2022</v>
      </c>
      <c r="E25" s="9">
        <f>HangzhouDaily!D28</f>
        <v>0</v>
      </c>
      <c r="F25" s="35">
        <v>0.75</v>
      </c>
      <c r="G25" s="9">
        <f>HangzhouDaily!F28</f>
        <v>0</v>
      </c>
      <c r="H25" s="35">
        <v>4.42</v>
      </c>
      <c r="I25" s="9">
        <f>HangzhouDaily!H28</f>
        <v>0</v>
      </c>
      <c r="J25" s="35">
        <v>4.28</v>
      </c>
      <c r="K25" s="9">
        <f>HangzhouDaily!I28</f>
        <v>0</v>
      </c>
      <c r="L25" s="9">
        <f>HangzhouDaily!J28</f>
        <v>0</v>
      </c>
    </row>
    <row r="26" spans="1:12" ht="15" x14ac:dyDescent="0.25">
      <c r="A26" s="6" t="s">
        <v>12</v>
      </c>
      <c r="B26" s="7">
        <f>B25+1</f>
        <v>25</v>
      </c>
      <c r="C26" s="8">
        <v>2</v>
      </c>
      <c r="D26" s="7">
        <v>2022</v>
      </c>
      <c r="E26" s="9">
        <f>HangzhouDaily!D29</f>
        <v>0</v>
      </c>
      <c r="F26" s="35">
        <v>0.75</v>
      </c>
      <c r="G26" s="9">
        <f>HangzhouDaily!F29</f>
        <v>0</v>
      </c>
      <c r="H26" s="35">
        <v>4.42</v>
      </c>
      <c r="I26" s="9">
        <f>HangzhouDaily!H29</f>
        <v>0</v>
      </c>
      <c r="J26" s="35">
        <v>4.28</v>
      </c>
      <c r="K26" s="9">
        <f>HangzhouDaily!I29</f>
        <v>0</v>
      </c>
      <c r="L26" s="9">
        <f>HangzhouDaily!J29</f>
        <v>0</v>
      </c>
    </row>
    <row r="27" spans="1:12" ht="15" x14ac:dyDescent="0.25">
      <c r="A27" s="6" t="s">
        <v>12</v>
      </c>
      <c r="B27" s="7">
        <f t="shared" si="0"/>
        <v>26</v>
      </c>
      <c r="C27" s="8">
        <v>2</v>
      </c>
      <c r="D27" s="7">
        <v>2022</v>
      </c>
      <c r="E27" s="9">
        <f>HangzhouDaily!D30</f>
        <v>0</v>
      </c>
      <c r="F27" s="35">
        <v>0.75</v>
      </c>
      <c r="G27" s="9">
        <f>HangzhouDaily!F30</f>
        <v>0</v>
      </c>
      <c r="H27" s="35">
        <v>4.42</v>
      </c>
      <c r="I27" s="9">
        <f>HangzhouDaily!H30</f>
        <v>0</v>
      </c>
      <c r="J27" s="35">
        <v>4.28</v>
      </c>
      <c r="K27" s="9">
        <f>HangzhouDaily!I30</f>
        <v>0</v>
      </c>
      <c r="L27" s="9">
        <f>HangzhouDaily!J30</f>
        <v>0</v>
      </c>
    </row>
    <row r="28" spans="1:12" ht="15" x14ac:dyDescent="0.25">
      <c r="A28" s="6" t="s">
        <v>12</v>
      </c>
      <c r="B28" s="7">
        <f t="shared" si="0"/>
        <v>27</v>
      </c>
      <c r="C28" s="8">
        <v>2</v>
      </c>
      <c r="D28" s="7">
        <v>2022</v>
      </c>
      <c r="E28" s="9">
        <f>HangzhouDaily!D31</f>
        <v>0</v>
      </c>
      <c r="F28" s="35">
        <v>0.75</v>
      </c>
      <c r="G28" s="9">
        <f>HangzhouDaily!F31</f>
        <v>0</v>
      </c>
      <c r="H28" s="35">
        <v>4.42</v>
      </c>
      <c r="I28" s="9">
        <f>HangzhouDaily!H31</f>
        <v>0</v>
      </c>
      <c r="J28" s="35">
        <v>4.28</v>
      </c>
      <c r="K28" s="9">
        <f>HangzhouDaily!I31</f>
        <v>0</v>
      </c>
      <c r="L28" s="9">
        <f>HangzhouDaily!J31</f>
        <v>0</v>
      </c>
    </row>
    <row r="29" spans="1:12" ht="15" x14ac:dyDescent="0.25">
      <c r="A29" s="6" t="s">
        <v>12</v>
      </c>
      <c r="B29" s="7">
        <f t="shared" si="0"/>
        <v>28</v>
      </c>
      <c r="C29" s="8">
        <v>2</v>
      </c>
      <c r="D29" s="7">
        <v>2022</v>
      </c>
      <c r="E29" s="9">
        <f>HangzhouDaily!D32</f>
        <v>0</v>
      </c>
      <c r="F29" s="35">
        <v>0.75</v>
      </c>
      <c r="G29" s="9">
        <f>HangzhouDaily!F32</f>
        <v>0</v>
      </c>
      <c r="H29" s="35">
        <v>4.42</v>
      </c>
      <c r="I29" s="9">
        <f>HangzhouDaily!H32</f>
        <v>0</v>
      </c>
      <c r="J29" s="35">
        <v>4.28</v>
      </c>
      <c r="K29" s="9">
        <f>HangzhouDaily!I32</f>
        <v>0</v>
      </c>
      <c r="L29" s="9">
        <f>HangzhouDaily!J32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E11" sqref="E11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6" width="14.85546875" style="32" customWidth="1"/>
    <col min="7" max="7" width="8.85546875" style="13" customWidth="1"/>
    <col min="8" max="8" width="12.5703125" style="13" customWidth="1"/>
    <col min="9" max="10" width="13" style="34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3"/>
      <c r="C1" s="10"/>
      <c r="D1" s="11"/>
      <c r="E1" s="10"/>
      <c r="F1" s="10"/>
      <c r="G1" s="44"/>
      <c r="H1" s="44"/>
      <c r="I1" s="12"/>
      <c r="J1" s="12"/>
    </row>
    <row r="2" spans="1:10" ht="35.25" customHeight="1" thickBot="1" x14ac:dyDescent="0.3">
      <c r="A2" s="14" t="s">
        <v>13</v>
      </c>
      <c r="B2" s="43"/>
      <c r="C2" s="45" t="s">
        <v>14</v>
      </c>
      <c r="D2" s="46"/>
      <c r="E2" s="47" t="s">
        <v>15</v>
      </c>
      <c r="F2" s="47"/>
      <c r="G2" s="48" t="s">
        <v>16</v>
      </c>
      <c r="H2" s="49"/>
      <c r="I2" s="15"/>
      <c r="J2" s="15"/>
    </row>
    <row r="3" spans="1:10" ht="44.25" customHeight="1" x14ac:dyDescent="0.25">
      <c r="A3" s="16" t="s">
        <v>17</v>
      </c>
      <c r="B3" s="43"/>
      <c r="C3" s="17" t="s">
        <v>18</v>
      </c>
      <c r="D3" s="18" t="s">
        <v>19</v>
      </c>
      <c r="E3" s="19" t="s">
        <v>20</v>
      </c>
      <c r="F3" s="19" t="s">
        <v>19</v>
      </c>
      <c r="G3" s="19" t="s">
        <v>21</v>
      </c>
      <c r="H3" s="20" t="s">
        <v>22</v>
      </c>
      <c r="I3" s="21" t="s">
        <v>23</v>
      </c>
      <c r="J3" s="21" t="s">
        <v>24</v>
      </c>
    </row>
    <row r="4" spans="1:10" s="26" customFormat="1" ht="35.25" customHeight="1" x14ac:dyDescent="0.25">
      <c r="A4" s="22">
        <v>44592</v>
      </c>
      <c r="B4" s="43"/>
      <c r="C4" s="23">
        <v>1500</v>
      </c>
      <c r="D4" s="24"/>
      <c r="E4" s="23">
        <v>796700</v>
      </c>
      <c r="F4" s="25"/>
      <c r="G4" s="23">
        <v>348000</v>
      </c>
      <c r="I4" s="27"/>
      <c r="J4" s="27"/>
    </row>
    <row r="5" spans="1:10" ht="33" customHeight="1" x14ac:dyDescent="0.25">
      <c r="A5" s="28">
        <v>44593</v>
      </c>
      <c r="B5" s="43"/>
      <c r="C5" s="29"/>
      <c r="D5" s="30" t="str">
        <f t="shared" ref="D5:D22" si="0">IF((C5-C4&lt;0), "0",C5-C4)</f>
        <v>0</v>
      </c>
      <c r="E5" s="29">
        <v>0</v>
      </c>
      <c r="F5" s="30" t="str">
        <f>IF((E5-E4&lt;0), "0",E5-E4)</f>
        <v>0</v>
      </c>
      <c r="G5" s="29">
        <v>0</v>
      </c>
      <c r="H5" s="30" t="str">
        <f>IF((G5-G4&lt;0), "0",G5-G4)</f>
        <v>0</v>
      </c>
      <c r="I5" s="31"/>
      <c r="J5" s="31"/>
    </row>
    <row r="6" spans="1:10" ht="45" customHeight="1" x14ac:dyDescent="0.25">
      <c r="A6" s="28">
        <v>44594</v>
      </c>
      <c r="B6" s="43"/>
      <c r="C6" s="29">
        <v>0</v>
      </c>
      <c r="D6" s="30">
        <f t="shared" si="0"/>
        <v>0</v>
      </c>
      <c r="E6" s="29">
        <v>0</v>
      </c>
      <c r="F6" s="30">
        <f t="shared" ref="F6:F32" si="1">IF((E6-E5&lt;0), "0",E6-E5)</f>
        <v>0</v>
      </c>
      <c r="G6" s="29">
        <v>0</v>
      </c>
      <c r="H6" s="30">
        <f t="shared" ref="H6:H32" si="2">IF((G6-G5&lt;0), "0",G6-G5)</f>
        <v>0</v>
      </c>
      <c r="I6" s="12"/>
      <c r="J6" s="12"/>
    </row>
    <row r="7" spans="1:10" ht="45" customHeight="1" x14ac:dyDescent="0.25">
      <c r="A7" s="28">
        <v>44595</v>
      </c>
      <c r="B7" s="43"/>
      <c r="C7" s="29">
        <v>0</v>
      </c>
      <c r="D7" s="30">
        <f t="shared" si="0"/>
        <v>0</v>
      </c>
      <c r="E7" s="29">
        <v>0</v>
      </c>
      <c r="F7" s="30">
        <f t="shared" si="1"/>
        <v>0</v>
      </c>
      <c r="G7" s="29">
        <v>0</v>
      </c>
      <c r="H7" s="30">
        <f t="shared" si="2"/>
        <v>0</v>
      </c>
      <c r="I7" s="12"/>
      <c r="J7" s="12"/>
    </row>
    <row r="8" spans="1:10" ht="45" customHeight="1" x14ac:dyDescent="0.25">
      <c r="A8" s="28">
        <v>44596</v>
      </c>
      <c r="B8" s="43"/>
      <c r="C8" s="29">
        <v>0</v>
      </c>
      <c r="D8" s="30">
        <f t="shared" si="0"/>
        <v>0</v>
      </c>
      <c r="E8" s="29">
        <v>0</v>
      </c>
      <c r="F8" s="30">
        <f t="shared" si="1"/>
        <v>0</v>
      </c>
      <c r="G8" s="29">
        <v>0</v>
      </c>
      <c r="H8" s="30">
        <f t="shared" si="2"/>
        <v>0</v>
      </c>
      <c r="I8" s="12"/>
      <c r="J8" s="12"/>
    </row>
    <row r="9" spans="1:10" ht="45" customHeight="1" x14ac:dyDescent="0.25">
      <c r="A9" s="28">
        <v>44597</v>
      </c>
      <c r="B9" s="43"/>
      <c r="C9" s="29">
        <v>0</v>
      </c>
      <c r="D9" s="30">
        <f t="shared" si="0"/>
        <v>0</v>
      </c>
      <c r="E9" s="29">
        <v>0</v>
      </c>
      <c r="F9" s="30">
        <f t="shared" si="1"/>
        <v>0</v>
      </c>
      <c r="G9" s="29">
        <v>0</v>
      </c>
      <c r="H9" s="30">
        <f t="shared" si="2"/>
        <v>0</v>
      </c>
      <c r="I9" s="12"/>
      <c r="J9" s="12"/>
    </row>
    <row r="10" spans="1:10" ht="45" customHeight="1" x14ac:dyDescent="0.25">
      <c r="A10" s="28">
        <v>44598</v>
      </c>
      <c r="B10" s="43"/>
      <c r="C10" s="29">
        <v>0</v>
      </c>
      <c r="D10" s="30">
        <f t="shared" si="0"/>
        <v>0</v>
      </c>
      <c r="E10" s="29">
        <v>0</v>
      </c>
      <c r="F10" s="30">
        <f t="shared" si="1"/>
        <v>0</v>
      </c>
      <c r="G10" s="29">
        <v>0</v>
      </c>
      <c r="H10" s="30">
        <f t="shared" si="2"/>
        <v>0</v>
      </c>
      <c r="I10" s="12"/>
      <c r="J10" s="12"/>
    </row>
    <row r="11" spans="1:10" ht="45" customHeight="1" x14ac:dyDescent="0.25">
      <c r="A11" s="28">
        <v>44599</v>
      </c>
      <c r="B11" s="43"/>
      <c r="C11" s="29">
        <v>0</v>
      </c>
      <c r="D11" s="30">
        <f t="shared" si="0"/>
        <v>0</v>
      </c>
      <c r="E11" s="29">
        <v>0</v>
      </c>
      <c r="F11" s="30">
        <f t="shared" si="1"/>
        <v>0</v>
      </c>
      <c r="G11" s="29">
        <v>0</v>
      </c>
      <c r="H11" s="30">
        <f t="shared" si="2"/>
        <v>0</v>
      </c>
      <c r="I11" s="12"/>
      <c r="J11" s="12"/>
    </row>
    <row r="12" spans="1:10" ht="45" customHeight="1" x14ac:dyDescent="0.25">
      <c r="A12" s="28">
        <v>44600</v>
      </c>
      <c r="B12" s="43"/>
      <c r="C12" s="29">
        <v>0</v>
      </c>
      <c r="D12" s="30">
        <f t="shared" si="0"/>
        <v>0</v>
      </c>
      <c r="E12" s="29">
        <v>0</v>
      </c>
      <c r="F12" s="30">
        <f t="shared" si="1"/>
        <v>0</v>
      </c>
      <c r="G12" s="29">
        <v>0</v>
      </c>
      <c r="H12" s="30">
        <f t="shared" si="2"/>
        <v>0</v>
      </c>
      <c r="I12" s="12"/>
      <c r="J12" s="12"/>
    </row>
    <row r="13" spans="1:10" ht="45" customHeight="1" x14ac:dyDescent="0.25">
      <c r="A13" s="28">
        <v>44601</v>
      </c>
      <c r="B13" s="43"/>
      <c r="C13" s="29">
        <v>0</v>
      </c>
      <c r="D13" s="30">
        <f t="shared" si="0"/>
        <v>0</v>
      </c>
      <c r="E13" s="29">
        <v>0</v>
      </c>
      <c r="F13" s="30">
        <f t="shared" si="1"/>
        <v>0</v>
      </c>
      <c r="G13" s="29">
        <v>0</v>
      </c>
      <c r="H13" s="30">
        <f t="shared" si="2"/>
        <v>0</v>
      </c>
      <c r="I13" s="12"/>
      <c r="J13" s="12"/>
    </row>
    <row r="14" spans="1:10" ht="45" customHeight="1" x14ac:dyDescent="0.25">
      <c r="A14" s="28">
        <v>44602</v>
      </c>
      <c r="B14" s="43"/>
      <c r="C14" s="29">
        <v>0</v>
      </c>
      <c r="D14" s="30">
        <f t="shared" si="0"/>
        <v>0</v>
      </c>
      <c r="E14" s="29">
        <v>0</v>
      </c>
      <c r="F14" s="30">
        <f t="shared" si="1"/>
        <v>0</v>
      </c>
      <c r="G14" s="29">
        <v>0</v>
      </c>
      <c r="H14" s="30">
        <f t="shared" si="2"/>
        <v>0</v>
      </c>
      <c r="I14" s="12"/>
      <c r="J14" s="12"/>
    </row>
    <row r="15" spans="1:10" ht="45" customHeight="1" x14ac:dyDescent="0.25">
      <c r="A15" s="28">
        <v>44603</v>
      </c>
      <c r="B15" s="43"/>
      <c r="C15" s="29">
        <v>0</v>
      </c>
      <c r="D15" s="30">
        <f t="shared" si="0"/>
        <v>0</v>
      </c>
      <c r="E15" s="29">
        <v>0</v>
      </c>
      <c r="F15" s="30">
        <f t="shared" si="1"/>
        <v>0</v>
      </c>
      <c r="G15" s="29">
        <v>0</v>
      </c>
      <c r="H15" s="30">
        <f t="shared" si="2"/>
        <v>0</v>
      </c>
      <c r="I15" s="12"/>
      <c r="J15" s="12"/>
    </row>
    <row r="16" spans="1:10" ht="45" customHeight="1" x14ac:dyDescent="0.25">
      <c r="A16" s="28">
        <v>44604</v>
      </c>
      <c r="B16" s="43"/>
      <c r="C16" s="29">
        <v>0</v>
      </c>
      <c r="D16" s="30">
        <f t="shared" si="0"/>
        <v>0</v>
      </c>
      <c r="E16" s="29">
        <v>0</v>
      </c>
      <c r="F16" s="30">
        <f t="shared" si="1"/>
        <v>0</v>
      </c>
      <c r="G16" s="29">
        <v>0</v>
      </c>
      <c r="H16" s="30">
        <f t="shared" si="2"/>
        <v>0</v>
      </c>
      <c r="I16" s="12"/>
      <c r="J16" s="12"/>
    </row>
    <row r="17" spans="1:10" ht="45" customHeight="1" x14ac:dyDescent="0.25">
      <c r="A17" s="28">
        <v>44605</v>
      </c>
      <c r="B17" s="43"/>
      <c r="C17" s="29">
        <v>0</v>
      </c>
      <c r="D17" s="30">
        <f t="shared" si="0"/>
        <v>0</v>
      </c>
      <c r="E17" s="29">
        <v>0</v>
      </c>
      <c r="F17" s="30">
        <f t="shared" si="1"/>
        <v>0</v>
      </c>
      <c r="G17" s="29">
        <v>0</v>
      </c>
      <c r="H17" s="30">
        <f t="shared" si="2"/>
        <v>0</v>
      </c>
      <c r="I17" s="12"/>
      <c r="J17" s="12"/>
    </row>
    <row r="18" spans="1:10" ht="45" customHeight="1" x14ac:dyDescent="0.25">
      <c r="A18" s="28">
        <v>44606</v>
      </c>
      <c r="B18" s="43"/>
      <c r="C18" s="29">
        <v>0</v>
      </c>
      <c r="D18" s="30">
        <f t="shared" si="0"/>
        <v>0</v>
      </c>
      <c r="E18" s="29">
        <v>0</v>
      </c>
      <c r="F18" s="30">
        <f t="shared" si="1"/>
        <v>0</v>
      </c>
      <c r="G18" s="29">
        <v>0</v>
      </c>
      <c r="H18" s="30">
        <f t="shared" si="2"/>
        <v>0</v>
      </c>
      <c r="I18" s="12"/>
      <c r="J18" s="12"/>
    </row>
    <row r="19" spans="1:10" ht="45" customHeight="1" x14ac:dyDescent="0.25">
      <c r="A19" s="28">
        <v>44607</v>
      </c>
      <c r="B19" s="43"/>
      <c r="C19" s="29">
        <v>0</v>
      </c>
      <c r="D19" s="30">
        <f t="shared" si="0"/>
        <v>0</v>
      </c>
      <c r="E19" s="29">
        <v>0</v>
      </c>
      <c r="F19" s="30">
        <f t="shared" si="1"/>
        <v>0</v>
      </c>
      <c r="G19" s="29">
        <v>0</v>
      </c>
      <c r="H19" s="30">
        <f t="shared" si="2"/>
        <v>0</v>
      </c>
      <c r="I19" s="12"/>
      <c r="J19" s="12"/>
    </row>
    <row r="20" spans="1:10" ht="45" customHeight="1" x14ac:dyDescent="0.25">
      <c r="A20" s="28">
        <v>44608</v>
      </c>
      <c r="B20" s="43"/>
      <c r="C20" s="29">
        <v>0</v>
      </c>
      <c r="D20" s="30">
        <f t="shared" si="0"/>
        <v>0</v>
      </c>
      <c r="E20" s="29">
        <v>0</v>
      </c>
      <c r="F20" s="30">
        <f t="shared" si="1"/>
        <v>0</v>
      </c>
      <c r="G20" s="29">
        <v>0</v>
      </c>
      <c r="H20" s="30">
        <f t="shared" si="2"/>
        <v>0</v>
      </c>
      <c r="I20" s="12"/>
      <c r="J20" s="12"/>
    </row>
    <row r="21" spans="1:10" ht="45" customHeight="1" x14ac:dyDescent="0.25">
      <c r="A21" s="28">
        <v>44609</v>
      </c>
      <c r="B21" s="43"/>
      <c r="C21" s="29">
        <v>0</v>
      </c>
      <c r="D21" s="30">
        <f t="shared" si="0"/>
        <v>0</v>
      </c>
      <c r="E21" s="29">
        <v>0</v>
      </c>
      <c r="F21" s="30">
        <f t="shared" si="1"/>
        <v>0</v>
      </c>
      <c r="G21" s="29">
        <v>0</v>
      </c>
      <c r="H21" s="30">
        <f t="shared" si="2"/>
        <v>0</v>
      </c>
      <c r="I21" s="12"/>
      <c r="J21" s="12"/>
    </row>
    <row r="22" spans="1:10" ht="45" customHeight="1" x14ac:dyDescent="0.25">
      <c r="A22" s="28">
        <v>44610</v>
      </c>
      <c r="B22" s="43"/>
      <c r="C22" s="29">
        <v>0</v>
      </c>
      <c r="D22" s="30">
        <f t="shared" si="0"/>
        <v>0</v>
      </c>
      <c r="E22" s="29">
        <v>0</v>
      </c>
      <c r="F22" s="30">
        <f t="shared" si="1"/>
        <v>0</v>
      </c>
      <c r="G22" s="29">
        <v>0</v>
      </c>
      <c r="H22" s="30">
        <f t="shared" si="2"/>
        <v>0</v>
      </c>
      <c r="I22" s="12"/>
      <c r="J22" s="12"/>
    </row>
    <row r="23" spans="1:10" ht="45" customHeight="1" x14ac:dyDescent="0.25">
      <c r="A23" s="28">
        <v>44611</v>
      </c>
      <c r="B23" s="43"/>
      <c r="C23" s="29">
        <v>0</v>
      </c>
      <c r="D23" s="30">
        <f>IF((C23-C22&lt;0), "0",C23-C22)</f>
        <v>0</v>
      </c>
      <c r="E23" s="29">
        <v>0</v>
      </c>
      <c r="F23" s="30">
        <f t="shared" si="1"/>
        <v>0</v>
      </c>
      <c r="G23" s="29">
        <v>0</v>
      </c>
      <c r="H23" s="30">
        <f t="shared" si="2"/>
        <v>0</v>
      </c>
      <c r="I23" s="12"/>
      <c r="J23" s="12"/>
    </row>
    <row r="24" spans="1:10" ht="45" customHeight="1" x14ac:dyDescent="0.25">
      <c r="A24" s="28">
        <v>44612</v>
      </c>
      <c r="B24" s="43"/>
      <c r="C24" s="29">
        <v>0</v>
      </c>
      <c r="D24" s="30">
        <f t="shared" ref="D24:D32" si="3">IF((C24-C23&lt;0), "0",C24-C23)</f>
        <v>0</v>
      </c>
      <c r="E24" s="29">
        <v>0</v>
      </c>
      <c r="F24" s="30">
        <f t="shared" si="1"/>
        <v>0</v>
      </c>
      <c r="G24" s="29">
        <v>0</v>
      </c>
      <c r="H24" s="30">
        <f t="shared" si="2"/>
        <v>0</v>
      </c>
      <c r="I24" s="12"/>
      <c r="J24" s="12"/>
    </row>
    <row r="25" spans="1:10" ht="45" customHeight="1" x14ac:dyDescent="0.25">
      <c r="A25" s="28">
        <v>44613</v>
      </c>
      <c r="B25" s="43"/>
      <c r="C25" s="29">
        <v>0</v>
      </c>
      <c r="D25" s="30">
        <f t="shared" si="3"/>
        <v>0</v>
      </c>
      <c r="E25" s="29">
        <v>0</v>
      </c>
      <c r="F25" s="30">
        <f t="shared" si="1"/>
        <v>0</v>
      </c>
      <c r="G25" s="29">
        <v>0</v>
      </c>
      <c r="H25" s="30">
        <f t="shared" si="2"/>
        <v>0</v>
      </c>
      <c r="I25" s="12"/>
      <c r="J25" s="12"/>
    </row>
    <row r="26" spans="1:10" ht="45" customHeight="1" x14ac:dyDescent="0.25">
      <c r="A26" s="28">
        <v>44614</v>
      </c>
      <c r="B26" s="43"/>
      <c r="C26" s="29">
        <v>0</v>
      </c>
      <c r="D26" s="30">
        <f t="shared" si="3"/>
        <v>0</v>
      </c>
      <c r="E26" s="29">
        <v>0</v>
      </c>
      <c r="F26" s="30">
        <f t="shared" si="1"/>
        <v>0</v>
      </c>
      <c r="G26" s="29">
        <v>0</v>
      </c>
      <c r="H26" s="30">
        <f t="shared" si="2"/>
        <v>0</v>
      </c>
      <c r="I26" s="12"/>
      <c r="J26" s="12"/>
    </row>
    <row r="27" spans="1:10" ht="45" customHeight="1" x14ac:dyDescent="0.25">
      <c r="A27" s="28">
        <v>44615</v>
      </c>
      <c r="B27" s="43"/>
      <c r="C27" s="29">
        <v>0</v>
      </c>
      <c r="D27" s="30">
        <f t="shared" si="3"/>
        <v>0</v>
      </c>
      <c r="E27" s="29">
        <v>0</v>
      </c>
      <c r="F27" s="30">
        <f t="shared" si="1"/>
        <v>0</v>
      </c>
      <c r="G27" s="29">
        <v>0</v>
      </c>
      <c r="H27" s="30">
        <f t="shared" si="2"/>
        <v>0</v>
      </c>
      <c r="I27" s="12"/>
      <c r="J27" s="12"/>
    </row>
    <row r="28" spans="1:10" ht="45" customHeight="1" x14ac:dyDescent="0.25">
      <c r="A28" s="28">
        <v>44616</v>
      </c>
      <c r="B28" s="43"/>
      <c r="C28" s="29">
        <v>0</v>
      </c>
      <c r="D28" s="30">
        <f t="shared" si="3"/>
        <v>0</v>
      </c>
      <c r="E28" s="29">
        <v>0</v>
      </c>
      <c r="F28" s="30">
        <f t="shared" si="1"/>
        <v>0</v>
      </c>
      <c r="G28" s="29">
        <v>0</v>
      </c>
      <c r="H28" s="30">
        <f t="shared" si="2"/>
        <v>0</v>
      </c>
      <c r="I28" s="12"/>
      <c r="J28" s="12"/>
    </row>
    <row r="29" spans="1:10" ht="45" customHeight="1" x14ac:dyDescent="0.25">
      <c r="A29" s="28">
        <v>44617</v>
      </c>
      <c r="B29" s="43"/>
      <c r="C29" s="29">
        <v>0</v>
      </c>
      <c r="D29" s="30">
        <f t="shared" si="3"/>
        <v>0</v>
      </c>
      <c r="E29" s="29">
        <v>0</v>
      </c>
      <c r="F29" s="30">
        <f t="shared" si="1"/>
        <v>0</v>
      </c>
      <c r="G29" s="29">
        <v>0</v>
      </c>
      <c r="H29" s="30">
        <f t="shared" si="2"/>
        <v>0</v>
      </c>
      <c r="I29" s="12"/>
      <c r="J29" s="12"/>
    </row>
    <row r="30" spans="1:10" ht="45" customHeight="1" x14ac:dyDescent="0.25">
      <c r="A30" s="28">
        <v>44618</v>
      </c>
      <c r="B30" s="43"/>
      <c r="C30" s="29">
        <v>0</v>
      </c>
      <c r="D30" s="30">
        <f t="shared" si="3"/>
        <v>0</v>
      </c>
      <c r="E30" s="29">
        <v>0</v>
      </c>
      <c r="F30" s="30">
        <f t="shared" si="1"/>
        <v>0</v>
      </c>
      <c r="G30" s="29">
        <v>0</v>
      </c>
      <c r="H30" s="30">
        <f t="shared" si="2"/>
        <v>0</v>
      </c>
      <c r="I30" s="12"/>
      <c r="J30" s="12"/>
    </row>
    <row r="31" spans="1:10" ht="45" customHeight="1" x14ac:dyDescent="0.25">
      <c r="A31" s="28">
        <v>44619</v>
      </c>
      <c r="B31" s="43"/>
      <c r="C31" s="29">
        <v>0</v>
      </c>
      <c r="D31" s="30">
        <f t="shared" si="3"/>
        <v>0</v>
      </c>
      <c r="E31" s="29">
        <v>0</v>
      </c>
      <c r="F31" s="30">
        <f t="shared" si="1"/>
        <v>0</v>
      </c>
      <c r="G31" s="29">
        <v>0</v>
      </c>
      <c r="H31" s="30">
        <f t="shared" si="2"/>
        <v>0</v>
      </c>
      <c r="I31" s="12"/>
      <c r="J31" s="12"/>
    </row>
    <row r="32" spans="1:10" ht="45" customHeight="1" x14ac:dyDescent="0.25">
      <c r="A32" s="28">
        <v>44620</v>
      </c>
      <c r="B32" s="43"/>
      <c r="C32" s="29">
        <v>0</v>
      </c>
      <c r="D32" s="30">
        <f t="shared" si="3"/>
        <v>0</v>
      </c>
      <c r="E32" s="29">
        <v>0</v>
      </c>
      <c r="F32" s="30">
        <f t="shared" si="1"/>
        <v>0</v>
      </c>
      <c r="G32" s="29">
        <v>0</v>
      </c>
      <c r="H32" s="30">
        <f t="shared" si="2"/>
        <v>0</v>
      </c>
      <c r="I32" s="12"/>
      <c r="J32" s="12"/>
    </row>
    <row r="33" s="13" customFormat="1" ht="36" customHeight="1" x14ac:dyDescent="0.25"/>
    <row r="34" s="13" customFormat="1" ht="45.6" customHeight="1" x14ac:dyDescent="0.25"/>
    <row r="35" s="13" customFormat="1" ht="47.45" customHeight="1" x14ac:dyDescent="0.25"/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2.75" x14ac:dyDescent="0.2"/>
  <cols>
    <col min="6" max="6" width="10.5703125" customWidth="1"/>
  </cols>
  <sheetData>
    <row r="1" spans="1:12" ht="7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25</v>
      </c>
      <c r="B2" s="7">
        <v>1</v>
      </c>
      <c r="C2" s="8">
        <v>12</v>
      </c>
      <c r="D2" s="7">
        <v>2022</v>
      </c>
      <c r="E2" s="38">
        <v>16169</v>
      </c>
      <c r="F2" s="35">
        <v>0.76</v>
      </c>
      <c r="G2" s="38">
        <v>3096</v>
      </c>
      <c r="H2" s="35">
        <v>4.16</v>
      </c>
      <c r="I2" s="38">
        <v>117</v>
      </c>
      <c r="J2" s="35">
        <v>8.4700000000000006</v>
      </c>
      <c r="K2" s="38">
        <v>23</v>
      </c>
      <c r="L2" s="39">
        <v>28</v>
      </c>
    </row>
    <row r="3" spans="1:12" ht="15" x14ac:dyDescent="0.25">
      <c r="A3" s="6" t="s">
        <v>25</v>
      </c>
      <c r="B3" s="7">
        <f>B2+1</f>
        <v>2</v>
      </c>
      <c r="C3" s="8">
        <v>12</v>
      </c>
      <c r="D3" s="7">
        <v>2022</v>
      </c>
      <c r="E3" s="38">
        <v>11784</v>
      </c>
      <c r="F3" s="35">
        <v>0.76</v>
      </c>
      <c r="G3" s="38">
        <v>4531</v>
      </c>
      <c r="H3" s="35">
        <v>4.16</v>
      </c>
      <c r="I3" s="38">
        <v>2</v>
      </c>
      <c r="J3" s="35">
        <v>8.4700000000000006</v>
      </c>
      <c r="K3" s="38">
        <v>46</v>
      </c>
      <c r="L3" s="39">
        <v>50</v>
      </c>
    </row>
    <row r="4" spans="1:12" ht="15" x14ac:dyDescent="0.25">
      <c r="A4" s="6" t="s">
        <v>25</v>
      </c>
      <c r="B4" s="7">
        <f t="shared" ref="B4:B32" si="0">B3+1</f>
        <v>3</v>
      </c>
      <c r="C4" s="8">
        <v>12</v>
      </c>
      <c r="D4" s="7">
        <v>2022</v>
      </c>
      <c r="E4" s="38">
        <v>12632</v>
      </c>
      <c r="F4" s="35">
        <v>0.76</v>
      </c>
      <c r="G4" s="38">
        <v>4876</v>
      </c>
      <c r="H4" s="35">
        <v>4.16</v>
      </c>
      <c r="I4" s="38">
        <v>20</v>
      </c>
      <c r="J4" s="35">
        <v>8.4700000000000006</v>
      </c>
      <c r="K4" s="38">
        <v>52</v>
      </c>
      <c r="L4" s="39">
        <v>124</v>
      </c>
    </row>
    <row r="5" spans="1:12" ht="15" x14ac:dyDescent="0.25">
      <c r="A5" s="6" t="s">
        <v>25</v>
      </c>
      <c r="B5" s="7">
        <f t="shared" si="0"/>
        <v>4</v>
      </c>
      <c r="C5" s="8">
        <v>12</v>
      </c>
      <c r="D5" s="7">
        <v>2022</v>
      </c>
      <c r="E5" s="38">
        <v>13653</v>
      </c>
      <c r="F5" s="35">
        <v>0.76</v>
      </c>
      <c r="G5" s="38">
        <v>5606</v>
      </c>
      <c r="H5" s="35">
        <v>4.16</v>
      </c>
      <c r="I5" s="38">
        <v>172</v>
      </c>
      <c r="J5" s="35">
        <v>8.4700000000000006</v>
      </c>
      <c r="K5" s="38">
        <v>40</v>
      </c>
      <c r="L5" s="39">
        <v>300</v>
      </c>
    </row>
    <row r="6" spans="1:12" ht="15" x14ac:dyDescent="0.25">
      <c r="A6" s="6" t="s">
        <v>25</v>
      </c>
      <c r="B6" s="7">
        <f t="shared" si="0"/>
        <v>5</v>
      </c>
      <c r="C6" s="8">
        <v>12</v>
      </c>
      <c r="D6" s="7">
        <v>2022</v>
      </c>
      <c r="E6" s="38">
        <v>12512</v>
      </c>
      <c r="F6" s="35">
        <v>0.76</v>
      </c>
      <c r="G6" s="38">
        <v>4970</v>
      </c>
      <c r="H6" s="35">
        <v>4.16</v>
      </c>
      <c r="I6" s="38">
        <v>22</v>
      </c>
      <c r="J6" s="35">
        <v>8.4700000000000006</v>
      </c>
      <c r="K6" s="38">
        <v>50</v>
      </c>
      <c r="L6" s="39">
        <v>84</v>
      </c>
    </row>
    <row r="7" spans="1:12" ht="15" x14ac:dyDescent="0.25">
      <c r="A7" s="6" t="s">
        <v>25</v>
      </c>
      <c r="B7" s="7">
        <f t="shared" si="0"/>
        <v>6</v>
      </c>
      <c r="C7" s="8">
        <v>12</v>
      </c>
      <c r="D7" s="7">
        <v>2022</v>
      </c>
      <c r="E7" s="38">
        <v>12707</v>
      </c>
      <c r="F7" s="35">
        <v>0.76</v>
      </c>
      <c r="G7" s="38">
        <v>4844</v>
      </c>
      <c r="H7" s="35">
        <v>4.16</v>
      </c>
      <c r="I7" s="38">
        <v>96</v>
      </c>
      <c r="J7" s="35">
        <v>8.4700000000000006</v>
      </c>
      <c r="K7" s="38">
        <v>67</v>
      </c>
      <c r="L7" s="39">
        <v>127</v>
      </c>
    </row>
    <row r="8" spans="1:12" ht="15" x14ac:dyDescent="0.25">
      <c r="A8" s="6" t="s">
        <v>25</v>
      </c>
      <c r="B8" s="7">
        <f t="shared" si="0"/>
        <v>7</v>
      </c>
      <c r="C8" s="8">
        <v>12</v>
      </c>
      <c r="D8" s="7">
        <v>2022</v>
      </c>
      <c r="E8" s="38">
        <v>13341</v>
      </c>
      <c r="F8" s="35">
        <v>0.76</v>
      </c>
      <c r="G8" s="38">
        <v>5237</v>
      </c>
      <c r="H8" s="35">
        <v>4.16</v>
      </c>
      <c r="I8" s="38">
        <v>36</v>
      </c>
      <c r="J8" s="35">
        <v>8.4700000000000006</v>
      </c>
      <c r="K8" s="38">
        <v>76</v>
      </c>
      <c r="L8" s="39">
        <v>153</v>
      </c>
    </row>
    <row r="9" spans="1:12" ht="15" x14ac:dyDescent="0.25">
      <c r="A9" s="6" t="s">
        <v>25</v>
      </c>
      <c r="B9" s="7">
        <f t="shared" si="0"/>
        <v>8</v>
      </c>
      <c r="C9" s="8">
        <v>12</v>
      </c>
      <c r="D9" s="7">
        <v>2022</v>
      </c>
      <c r="E9" s="38">
        <v>14046</v>
      </c>
      <c r="F9" s="35">
        <v>0.76</v>
      </c>
      <c r="G9" s="38">
        <v>5234</v>
      </c>
      <c r="H9" s="35">
        <v>4.16</v>
      </c>
      <c r="I9" s="38">
        <v>123</v>
      </c>
      <c r="J9" s="35">
        <v>8.4700000000000006</v>
      </c>
      <c r="K9" s="38">
        <v>71</v>
      </c>
      <c r="L9" s="39">
        <v>329</v>
      </c>
    </row>
    <row r="10" spans="1:12" ht="15" x14ac:dyDescent="0.25">
      <c r="A10" s="6" t="s">
        <v>25</v>
      </c>
      <c r="B10" s="7">
        <f t="shared" si="0"/>
        <v>9</v>
      </c>
      <c r="C10" s="8">
        <v>12</v>
      </c>
      <c r="D10" s="7">
        <v>2022</v>
      </c>
      <c r="E10" s="38">
        <v>14141</v>
      </c>
      <c r="F10" s="35">
        <v>0.76</v>
      </c>
      <c r="G10" s="38">
        <v>5223</v>
      </c>
      <c r="H10" s="35">
        <v>4.16</v>
      </c>
      <c r="I10" s="38">
        <v>111</v>
      </c>
      <c r="J10" s="35">
        <v>8.4700000000000006</v>
      </c>
      <c r="K10" s="38">
        <v>82</v>
      </c>
      <c r="L10" s="39">
        <v>281</v>
      </c>
    </row>
    <row r="11" spans="1:12" ht="15" x14ac:dyDescent="0.25">
      <c r="A11" s="6" t="s">
        <v>25</v>
      </c>
      <c r="B11" s="7">
        <f t="shared" si="0"/>
        <v>10</v>
      </c>
      <c r="C11" s="8">
        <v>12</v>
      </c>
      <c r="D11" s="7">
        <v>2022</v>
      </c>
      <c r="E11" s="38">
        <v>15178</v>
      </c>
      <c r="F11" s="35">
        <v>0.76</v>
      </c>
      <c r="G11" s="38">
        <v>5443</v>
      </c>
      <c r="H11" s="35">
        <v>4.16</v>
      </c>
      <c r="I11" s="38">
        <v>173</v>
      </c>
      <c r="J11" s="35">
        <v>8.4700000000000006</v>
      </c>
      <c r="K11" s="38">
        <v>84</v>
      </c>
      <c r="L11" s="39">
        <v>317</v>
      </c>
    </row>
    <row r="12" spans="1:12" ht="15" x14ac:dyDescent="0.25">
      <c r="A12" s="6" t="s">
        <v>25</v>
      </c>
      <c r="B12" s="7">
        <f t="shared" si="0"/>
        <v>11</v>
      </c>
      <c r="C12" s="8">
        <v>12</v>
      </c>
      <c r="D12" s="7">
        <v>2022</v>
      </c>
      <c r="E12" s="38">
        <v>15178</v>
      </c>
      <c r="F12" s="35">
        <v>0.76</v>
      </c>
      <c r="G12" s="38">
        <v>5922</v>
      </c>
      <c r="H12" s="35">
        <v>4.16</v>
      </c>
      <c r="I12" s="38">
        <v>28</v>
      </c>
      <c r="J12" s="35">
        <v>8.4700000000000006</v>
      </c>
      <c r="K12" s="38">
        <v>58</v>
      </c>
      <c r="L12" s="39">
        <v>515</v>
      </c>
    </row>
    <row r="13" spans="1:12" ht="15" x14ac:dyDescent="0.25">
      <c r="A13" s="6" t="s">
        <v>25</v>
      </c>
      <c r="B13" s="7">
        <f t="shared" si="0"/>
        <v>12</v>
      </c>
      <c r="C13" s="8">
        <v>12</v>
      </c>
      <c r="D13" s="7">
        <v>2022</v>
      </c>
      <c r="E13" s="38">
        <v>13772</v>
      </c>
      <c r="F13" s="35">
        <v>0.76</v>
      </c>
      <c r="G13" s="38">
        <v>5349</v>
      </c>
      <c r="H13" s="35">
        <v>4.16</v>
      </c>
      <c r="I13" s="38">
        <v>113</v>
      </c>
      <c r="J13" s="35">
        <v>8.4700000000000006</v>
      </c>
      <c r="K13" s="38">
        <v>62</v>
      </c>
      <c r="L13" s="39">
        <v>158</v>
      </c>
    </row>
    <row r="14" spans="1:12" ht="15" x14ac:dyDescent="0.25">
      <c r="A14" s="6" t="s">
        <v>25</v>
      </c>
      <c r="B14" s="7">
        <f t="shared" si="0"/>
        <v>13</v>
      </c>
      <c r="C14" s="8">
        <v>12</v>
      </c>
      <c r="D14" s="7">
        <v>2022</v>
      </c>
      <c r="E14" s="38">
        <v>12792</v>
      </c>
      <c r="F14" s="35">
        <v>0.76</v>
      </c>
      <c r="G14" s="38">
        <v>5263</v>
      </c>
      <c r="H14" s="35">
        <v>4.16</v>
      </c>
      <c r="I14" s="38">
        <v>126</v>
      </c>
      <c r="J14" s="35">
        <v>8.4700000000000006</v>
      </c>
      <c r="K14" s="38">
        <v>76</v>
      </c>
      <c r="L14" s="39">
        <v>91</v>
      </c>
    </row>
    <row r="15" spans="1:12" ht="15" x14ac:dyDescent="0.25">
      <c r="A15" s="6" t="s">
        <v>25</v>
      </c>
      <c r="B15" s="7">
        <f t="shared" si="0"/>
        <v>14</v>
      </c>
      <c r="C15" s="8">
        <v>12</v>
      </c>
      <c r="D15" s="7">
        <v>2022</v>
      </c>
      <c r="E15" s="38">
        <v>12774</v>
      </c>
      <c r="F15" s="35">
        <v>0.76</v>
      </c>
      <c r="G15" s="38">
        <v>5319</v>
      </c>
      <c r="H15" s="35">
        <v>4.16</v>
      </c>
      <c r="I15" s="38">
        <v>32</v>
      </c>
      <c r="J15" s="35">
        <v>8.4700000000000006</v>
      </c>
      <c r="K15" s="38">
        <v>69</v>
      </c>
      <c r="L15" s="39">
        <v>77</v>
      </c>
    </row>
    <row r="16" spans="1:12" ht="15" x14ac:dyDescent="0.25">
      <c r="A16" s="6" t="s">
        <v>25</v>
      </c>
      <c r="B16" s="7">
        <f t="shared" si="0"/>
        <v>15</v>
      </c>
      <c r="C16" s="8">
        <v>12</v>
      </c>
      <c r="D16" s="7">
        <v>2022</v>
      </c>
      <c r="E16" s="38">
        <v>13362</v>
      </c>
      <c r="F16" s="35">
        <v>0.76</v>
      </c>
      <c r="G16" s="38">
        <v>5571</v>
      </c>
      <c r="H16" s="35">
        <v>4.16</v>
      </c>
      <c r="I16" s="38">
        <v>24</v>
      </c>
      <c r="J16" s="35">
        <v>8.4700000000000006</v>
      </c>
      <c r="K16" s="38">
        <v>85</v>
      </c>
      <c r="L16" s="39">
        <v>163</v>
      </c>
    </row>
    <row r="17" spans="1:12" ht="15" x14ac:dyDescent="0.25">
      <c r="A17" s="6" t="s">
        <v>25</v>
      </c>
      <c r="B17" s="7">
        <f t="shared" si="0"/>
        <v>16</v>
      </c>
      <c r="C17" s="8">
        <v>12</v>
      </c>
      <c r="D17" s="7">
        <v>2022</v>
      </c>
      <c r="E17" s="38">
        <v>7109</v>
      </c>
      <c r="F17" s="35">
        <v>0.76</v>
      </c>
      <c r="G17" s="38">
        <v>5437</v>
      </c>
      <c r="H17" s="35">
        <v>4.16</v>
      </c>
      <c r="I17" s="38">
        <v>61</v>
      </c>
      <c r="J17" s="35">
        <v>8.4700000000000006</v>
      </c>
      <c r="K17" s="38">
        <v>81</v>
      </c>
      <c r="L17" s="39">
        <v>87</v>
      </c>
    </row>
    <row r="18" spans="1:12" ht="15" x14ac:dyDescent="0.25">
      <c r="A18" s="6" t="s">
        <v>25</v>
      </c>
      <c r="B18" s="7">
        <f t="shared" si="0"/>
        <v>17</v>
      </c>
      <c r="C18" s="8">
        <v>12</v>
      </c>
      <c r="D18" s="7">
        <v>2022</v>
      </c>
      <c r="E18" s="38">
        <v>24385</v>
      </c>
      <c r="F18" s="35">
        <v>0.76</v>
      </c>
      <c r="G18" s="38">
        <v>5514</v>
      </c>
      <c r="H18" s="35">
        <v>4.16</v>
      </c>
      <c r="I18" s="38">
        <v>89</v>
      </c>
      <c r="J18" s="35">
        <v>8.4700000000000006</v>
      </c>
      <c r="K18" s="38">
        <v>64</v>
      </c>
      <c r="L18" s="39">
        <v>67</v>
      </c>
    </row>
    <row r="19" spans="1:12" ht="15" x14ac:dyDescent="0.25">
      <c r="A19" s="6" t="s">
        <v>25</v>
      </c>
      <c r="B19" s="7">
        <f t="shared" si="0"/>
        <v>18</v>
      </c>
      <c r="C19" s="8">
        <v>12</v>
      </c>
      <c r="D19" s="7">
        <v>2022</v>
      </c>
      <c r="E19" s="40">
        <v>12083</v>
      </c>
      <c r="F19" s="35">
        <v>0.76</v>
      </c>
      <c r="G19" s="38">
        <v>5954</v>
      </c>
      <c r="H19" s="35">
        <v>4.16</v>
      </c>
      <c r="I19" s="38">
        <v>27</v>
      </c>
      <c r="J19" s="35">
        <v>8.4700000000000006</v>
      </c>
      <c r="K19" s="38">
        <v>77</v>
      </c>
      <c r="L19" s="39">
        <v>62</v>
      </c>
    </row>
    <row r="20" spans="1:12" ht="15" x14ac:dyDescent="0.25">
      <c r="A20" s="6" t="s">
        <v>25</v>
      </c>
      <c r="B20" s="7">
        <f t="shared" si="0"/>
        <v>19</v>
      </c>
      <c r="C20" s="8">
        <v>12</v>
      </c>
      <c r="D20" s="7">
        <v>2022</v>
      </c>
      <c r="E20" s="40">
        <v>13515</v>
      </c>
      <c r="F20" s="35">
        <v>0.76</v>
      </c>
      <c r="G20" s="38">
        <v>6480</v>
      </c>
      <c r="H20" s="35">
        <v>4.16</v>
      </c>
      <c r="I20" s="38">
        <v>12</v>
      </c>
      <c r="J20" s="35">
        <v>8.4700000000000006</v>
      </c>
      <c r="K20" s="38">
        <v>95</v>
      </c>
      <c r="L20" s="39">
        <v>266</v>
      </c>
    </row>
    <row r="21" spans="1:12" ht="15" x14ac:dyDescent="0.25">
      <c r="A21" s="6" t="s">
        <v>25</v>
      </c>
      <c r="B21" s="7">
        <f t="shared" si="0"/>
        <v>20</v>
      </c>
      <c r="C21" s="8">
        <v>12</v>
      </c>
      <c r="D21" s="7">
        <v>2022</v>
      </c>
      <c r="E21" s="41">
        <v>13446</v>
      </c>
      <c r="F21" s="35">
        <v>0.76</v>
      </c>
      <c r="G21" s="41">
        <v>6227</v>
      </c>
      <c r="H21" s="35">
        <v>4.16</v>
      </c>
      <c r="I21" s="41">
        <v>115</v>
      </c>
      <c r="J21" s="35">
        <v>8.4700000000000006</v>
      </c>
      <c r="K21" s="41">
        <v>94</v>
      </c>
      <c r="L21" s="42">
        <v>293</v>
      </c>
    </row>
    <row r="22" spans="1:12" ht="15" x14ac:dyDescent="0.25">
      <c r="A22" s="6" t="s">
        <v>25</v>
      </c>
      <c r="B22" s="7">
        <f t="shared" si="0"/>
        <v>21</v>
      </c>
      <c r="C22" s="8">
        <v>12</v>
      </c>
      <c r="D22" s="7">
        <v>2022</v>
      </c>
      <c r="E22" s="38">
        <v>14319</v>
      </c>
      <c r="F22" s="35">
        <v>0.76</v>
      </c>
      <c r="G22" s="38">
        <v>6333</v>
      </c>
      <c r="H22" s="35">
        <v>4.16</v>
      </c>
      <c r="I22" s="38">
        <v>8</v>
      </c>
      <c r="J22" s="35">
        <v>8.4700000000000006</v>
      </c>
      <c r="K22" s="38">
        <v>100</v>
      </c>
      <c r="L22" s="39">
        <v>263</v>
      </c>
    </row>
    <row r="23" spans="1:12" ht="15" x14ac:dyDescent="0.25">
      <c r="A23" s="6" t="s">
        <v>25</v>
      </c>
      <c r="B23" s="7">
        <f t="shared" si="0"/>
        <v>22</v>
      </c>
      <c r="C23" s="8">
        <v>12</v>
      </c>
      <c r="D23" s="7">
        <v>2022</v>
      </c>
      <c r="E23" s="38">
        <v>13010</v>
      </c>
      <c r="F23" s="35">
        <v>0.76</v>
      </c>
      <c r="G23" s="38">
        <v>6614</v>
      </c>
      <c r="H23" s="35">
        <v>4.16</v>
      </c>
      <c r="I23" s="38">
        <v>95</v>
      </c>
      <c r="J23" s="35">
        <v>8.4700000000000006</v>
      </c>
      <c r="K23" s="38">
        <v>70</v>
      </c>
      <c r="L23" s="39">
        <v>154</v>
      </c>
    </row>
    <row r="24" spans="1:12" ht="15" x14ac:dyDescent="0.25">
      <c r="A24" s="6" t="s">
        <v>25</v>
      </c>
      <c r="B24" s="7">
        <f t="shared" si="0"/>
        <v>23</v>
      </c>
      <c r="C24" s="8">
        <v>12</v>
      </c>
      <c r="D24" s="7">
        <v>2022</v>
      </c>
      <c r="E24" s="38">
        <v>13446</v>
      </c>
      <c r="F24" s="35">
        <v>0.76</v>
      </c>
      <c r="G24" s="38">
        <v>6414</v>
      </c>
      <c r="H24" s="35">
        <v>4.16</v>
      </c>
      <c r="I24" s="38">
        <v>105</v>
      </c>
      <c r="J24" s="35">
        <v>8.4700000000000006</v>
      </c>
      <c r="K24" s="38">
        <v>79</v>
      </c>
      <c r="L24" s="39">
        <v>144</v>
      </c>
    </row>
    <row r="25" spans="1:12" ht="15" x14ac:dyDescent="0.25">
      <c r="A25" s="6" t="s">
        <v>25</v>
      </c>
      <c r="B25" s="7">
        <f t="shared" si="0"/>
        <v>24</v>
      </c>
      <c r="C25" s="8">
        <v>12</v>
      </c>
      <c r="D25" s="7">
        <v>2022</v>
      </c>
      <c r="E25" s="38">
        <v>14560</v>
      </c>
      <c r="F25" s="35">
        <v>0.76</v>
      </c>
      <c r="G25" s="38">
        <v>6828</v>
      </c>
      <c r="H25" s="35">
        <v>4.16</v>
      </c>
      <c r="I25" s="38">
        <v>98</v>
      </c>
      <c r="J25" s="35">
        <v>8.4700000000000006</v>
      </c>
      <c r="K25" s="38">
        <v>153</v>
      </c>
      <c r="L25" s="39">
        <v>337</v>
      </c>
    </row>
    <row r="26" spans="1:12" ht="15" x14ac:dyDescent="0.25">
      <c r="A26" s="6" t="s">
        <v>25</v>
      </c>
      <c r="B26" s="7">
        <f>B25+1</f>
        <v>25</v>
      </c>
      <c r="C26" s="8">
        <v>12</v>
      </c>
      <c r="D26" s="7">
        <v>2022</v>
      </c>
      <c r="E26" s="38">
        <v>16822</v>
      </c>
      <c r="F26" s="35">
        <v>0.76</v>
      </c>
      <c r="G26" s="38">
        <v>6652</v>
      </c>
      <c r="H26" s="35">
        <v>4.16</v>
      </c>
      <c r="I26" s="38">
        <v>130</v>
      </c>
      <c r="J26" s="35">
        <v>8.4700000000000006</v>
      </c>
      <c r="K26" s="38">
        <v>234</v>
      </c>
      <c r="L26" s="39">
        <v>516</v>
      </c>
    </row>
    <row r="27" spans="1:12" ht="15" x14ac:dyDescent="0.25">
      <c r="A27" s="6" t="s">
        <v>25</v>
      </c>
      <c r="B27" s="7">
        <f t="shared" si="0"/>
        <v>26</v>
      </c>
      <c r="C27" s="8">
        <v>12</v>
      </c>
      <c r="D27" s="7">
        <v>2022</v>
      </c>
      <c r="E27" s="38">
        <v>18381</v>
      </c>
      <c r="F27" s="35">
        <v>0.76</v>
      </c>
      <c r="G27" s="38">
        <v>6459</v>
      </c>
      <c r="H27" s="35">
        <v>4.16</v>
      </c>
      <c r="I27" s="38">
        <v>116</v>
      </c>
      <c r="J27" s="35">
        <v>8.4700000000000006</v>
      </c>
      <c r="K27" s="38">
        <v>224</v>
      </c>
      <c r="L27" s="39">
        <v>784</v>
      </c>
    </row>
    <row r="28" spans="1:12" ht="15" x14ac:dyDescent="0.25">
      <c r="A28" s="6" t="s">
        <v>25</v>
      </c>
      <c r="B28" s="7">
        <f t="shared" si="0"/>
        <v>27</v>
      </c>
      <c r="C28" s="8">
        <v>12</v>
      </c>
      <c r="D28" s="7">
        <v>2022</v>
      </c>
      <c r="E28" s="38">
        <v>21459</v>
      </c>
      <c r="F28" s="35">
        <v>0.76</v>
      </c>
      <c r="G28" s="38">
        <v>5824</v>
      </c>
      <c r="H28" s="35">
        <v>4.16</v>
      </c>
      <c r="I28" s="38">
        <v>148</v>
      </c>
      <c r="J28" s="35">
        <v>8.4700000000000006</v>
      </c>
      <c r="K28" s="38">
        <v>81</v>
      </c>
      <c r="L28" s="39">
        <v>366</v>
      </c>
    </row>
    <row r="29" spans="1:12" ht="15" x14ac:dyDescent="0.25">
      <c r="A29" s="6" t="s">
        <v>25</v>
      </c>
      <c r="B29" s="7">
        <f t="shared" si="0"/>
        <v>28</v>
      </c>
      <c r="C29" s="8">
        <v>12</v>
      </c>
      <c r="D29" s="7">
        <v>2022</v>
      </c>
      <c r="E29" s="38">
        <v>10662</v>
      </c>
      <c r="F29" s="35">
        <v>0.76</v>
      </c>
      <c r="G29" s="38">
        <v>6110</v>
      </c>
      <c r="H29" s="35">
        <v>4.16</v>
      </c>
      <c r="I29" s="38">
        <v>102</v>
      </c>
      <c r="J29" s="35">
        <v>8.4700000000000006</v>
      </c>
      <c r="K29" s="38">
        <v>88</v>
      </c>
      <c r="L29" s="39">
        <v>395</v>
      </c>
    </row>
    <row r="30" spans="1:12" ht="15" x14ac:dyDescent="0.25">
      <c r="A30" s="6" t="s">
        <v>25</v>
      </c>
      <c r="B30" s="7">
        <f t="shared" si="0"/>
        <v>29</v>
      </c>
      <c r="C30" s="8">
        <v>12</v>
      </c>
      <c r="D30" s="7">
        <v>2022</v>
      </c>
      <c r="E30" s="38">
        <v>16898</v>
      </c>
      <c r="F30" s="35">
        <v>0.76</v>
      </c>
      <c r="G30" s="38">
        <v>6063</v>
      </c>
      <c r="H30" s="35">
        <v>4.16</v>
      </c>
      <c r="I30" s="38">
        <v>124</v>
      </c>
      <c r="J30" s="35">
        <v>8.4700000000000006</v>
      </c>
      <c r="K30" s="38">
        <v>83</v>
      </c>
      <c r="L30" s="39">
        <v>262</v>
      </c>
    </row>
    <row r="31" spans="1:12" ht="15" x14ac:dyDescent="0.25">
      <c r="A31" s="6" t="s">
        <v>25</v>
      </c>
      <c r="B31" s="7">
        <f t="shared" si="0"/>
        <v>30</v>
      </c>
      <c r="C31" s="8">
        <v>12</v>
      </c>
      <c r="D31" s="7">
        <v>2022</v>
      </c>
      <c r="E31" s="38">
        <v>16060</v>
      </c>
      <c r="F31" s="35">
        <v>0.76</v>
      </c>
      <c r="G31" s="38">
        <v>6274</v>
      </c>
      <c r="H31" s="35">
        <v>4.16</v>
      </c>
      <c r="I31" s="38">
        <v>117</v>
      </c>
      <c r="J31" s="35">
        <v>8.4700000000000006</v>
      </c>
      <c r="K31" s="38">
        <v>104</v>
      </c>
      <c r="L31" s="39">
        <v>665</v>
      </c>
    </row>
    <row r="32" spans="1:12" ht="15" x14ac:dyDescent="0.25">
      <c r="A32" s="6" t="s">
        <v>25</v>
      </c>
      <c r="B32" s="7">
        <f t="shared" si="0"/>
        <v>31</v>
      </c>
      <c r="C32" s="8">
        <v>12</v>
      </c>
      <c r="D32" s="7">
        <v>2022</v>
      </c>
      <c r="E32" s="38">
        <v>16943</v>
      </c>
      <c r="F32" s="35">
        <v>0.76</v>
      </c>
      <c r="G32" s="38">
        <v>6531</v>
      </c>
      <c r="H32" s="35">
        <v>4.16</v>
      </c>
      <c r="I32" s="38">
        <v>194</v>
      </c>
      <c r="J32" s="35">
        <v>8.4700000000000006</v>
      </c>
      <c r="K32" s="38">
        <v>248</v>
      </c>
      <c r="L32" s="39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HangzhouDaily</vt:lpstr>
      <vt:lpstr>2022.12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Lemon Wang </cp:lastModifiedBy>
  <cp:revision/>
  <dcterms:created xsi:type="dcterms:W3CDTF">2009-02-11T09:03:59Z</dcterms:created>
  <dcterms:modified xsi:type="dcterms:W3CDTF">2023-03-10T02:21:49Z</dcterms:modified>
  <cp:category/>
  <cp:contentStatus/>
</cp:coreProperties>
</file>