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HLP Readings 2016,2017 &amp; 2018\Utilities-HEP\"/>
    </mc:Choice>
  </mc:AlternateContent>
  <bookViews>
    <workbookView xWindow="0" yWindow="0" windowWidth="28800" windowHeight="12435" activeTab="2"/>
  </bookViews>
  <sheets>
    <sheet name="Total Daily " sheetId="3" r:id="rId1"/>
    <sheet name="Submetering Daily " sheetId="2" r:id="rId2"/>
    <sheet name="08 - 2020" sheetId="1" r:id="rId3"/>
  </sheets>
  <definedNames>
    <definedName name="_xlnm.Print_Area" localSheetId="2">'08 - 2020'!$A$1:$J$36</definedName>
  </definedNames>
  <calcPr calcId="162913" calcMode="manual"/>
</workbook>
</file>

<file path=xl/calcChain.xml><?xml version="1.0" encoding="utf-8"?>
<calcChain xmlns="http://schemas.openxmlformats.org/spreadsheetml/2006/main">
  <c r="L5" i="3" l="1"/>
  <c r="K5" i="3"/>
  <c r="I5" i="3"/>
  <c r="G5" i="3"/>
  <c r="E5" i="3"/>
  <c r="J5" i="2"/>
  <c r="I5" i="2"/>
  <c r="H5" i="2"/>
  <c r="F5" i="2"/>
  <c r="E5" i="2"/>
  <c r="L4" i="3" l="1"/>
  <c r="K4" i="3"/>
  <c r="I4" i="3"/>
  <c r="G4" i="3"/>
  <c r="E4" i="3"/>
  <c r="J4" i="2"/>
  <c r="I4" i="2"/>
  <c r="H4" i="2"/>
  <c r="F4" i="2"/>
  <c r="E4" i="2"/>
  <c r="L2" i="3" l="1"/>
  <c r="K2" i="3"/>
  <c r="I2" i="3"/>
  <c r="G2" i="3"/>
  <c r="E2" i="3"/>
  <c r="J2" i="2"/>
  <c r="I2" i="2"/>
  <c r="H2" i="2"/>
  <c r="F2" i="2"/>
  <c r="E2" i="2"/>
  <c r="H40" i="1" l="1"/>
  <c r="K39" i="1"/>
  <c r="J39" i="1"/>
  <c r="I39" i="1"/>
  <c r="I40" i="1" s="1"/>
  <c r="H39" i="1"/>
  <c r="G39" i="1"/>
  <c r="F39" i="1"/>
  <c r="E39" i="1"/>
  <c r="C39" i="1"/>
  <c r="B39" i="1"/>
  <c r="L32" i="3" l="1"/>
  <c r="K32" i="3"/>
  <c r="I32" i="3"/>
  <c r="G32" i="3"/>
  <c r="E32" i="3"/>
  <c r="J32" i="2"/>
  <c r="I32" i="2"/>
  <c r="H32" i="2"/>
  <c r="F32" i="2"/>
  <c r="E32" i="2"/>
  <c r="L31" i="3" l="1"/>
  <c r="K31" i="3"/>
  <c r="I31" i="3"/>
  <c r="G31" i="3"/>
  <c r="E31" i="3"/>
  <c r="J31" i="2"/>
  <c r="I31" i="2"/>
  <c r="H31" i="2"/>
  <c r="F31" i="2"/>
  <c r="E31" i="2"/>
  <c r="L27" i="3" l="1"/>
  <c r="K27" i="3"/>
  <c r="I27" i="3"/>
  <c r="G27" i="3"/>
  <c r="E27" i="3"/>
  <c r="J27" i="2"/>
  <c r="I27" i="2"/>
  <c r="H27" i="2"/>
  <c r="F27" i="2"/>
  <c r="E27" i="2"/>
  <c r="L26" i="3" l="1"/>
  <c r="K26" i="3"/>
  <c r="I26" i="3"/>
  <c r="G26" i="3"/>
  <c r="E26" i="3"/>
  <c r="J26" i="2"/>
  <c r="I26" i="2"/>
  <c r="H26" i="2"/>
  <c r="F26" i="2"/>
  <c r="E26" i="2"/>
  <c r="L22" i="3" l="1"/>
  <c r="K22" i="3"/>
  <c r="I22" i="3"/>
  <c r="G22" i="3"/>
  <c r="E22" i="3"/>
  <c r="J22" i="2"/>
  <c r="I22" i="2"/>
  <c r="H22" i="2"/>
  <c r="F22" i="2"/>
  <c r="E22" i="2"/>
  <c r="L21" i="3" l="1"/>
  <c r="K21" i="3"/>
  <c r="I21" i="3"/>
  <c r="G21" i="3"/>
  <c r="E21" i="3"/>
  <c r="L20" i="3"/>
  <c r="K20" i="3"/>
  <c r="I20" i="3"/>
  <c r="G20" i="3"/>
  <c r="E20" i="3"/>
  <c r="J21" i="2"/>
  <c r="I21" i="2"/>
  <c r="H21" i="2"/>
  <c r="F21" i="2"/>
  <c r="E21" i="2"/>
  <c r="J20" i="2"/>
  <c r="I20" i="2"/>
  <c r="H20" i="2"/>
  <c r="F20" i="2"/>
  <c r="E20" i="2"/>
  <c r="L19" i="3" l="1"/>
  <c r="K19" i="3"/>
  <c r="I19" i="3"/>
  <c r="G19" i="3"/>
  <c r="E19" i="3"/>
  <c r="J19" i="2"/>
  <c r="I19" i="2"/>
  <c r="H19" i="2"/>
  <c r="F19" i="2"/>
  <c r="E19" i="2"/>
  <c r="L18" i="3" l="1"/>
  <c r="K18" i="3"/>
  <c r="I18" i="3"/>
  <c r="G18" i="3"/>
  <c r="E18" i="3"/>
  <c r="L17" i="3"/>
  <c r="K17" i="3"/>
  <c r="I17" i="3"/>
  <c r="G17" i="3"/>
  <c r="E17" i="3"/>
  <c r="J18" i="2"/>
  <c r="I18" i="2"/>
  <c r="H18" i="2"/>
  <c r="F18" i="2"/>
  <c r="E18" i="2"/>
  <c r="J17" i="2"/>
  <c r="I17" i="2"/>
  <c r="H17" i="2"/>
  <c r="F17" i="2"/>
  <c r="E17" i="2"/>
  <c r="L12" i="3" l="1"/>
  <c r="K12" i="3"/>
  <c r="I12" i="3"/>
  <c r="G12" i="3"/>
  <c r="E12" i="3"/>
  <c r="J12" i="2"/>
  <c r="I12" i="2"/>
  <c r="H12" i="2"/>
  <c r="F12" i="2"/>
  <c r="E12" i="2"/>
  <c r="L9" i="3" l="1"/>
  <c r="K9" i="3"/>
  <c r="I9" i="3"/>
  <c r="G9" i="3"/>
  <c r="E9" i="3"/>
  <c r="J9" i="2"/>
  <c r="I9" i="2"/>
  <c r="H9" i="2"/>
  <c r="F9" i="2"/>
  <c r="E9" i="2"/>
  <c r="L7" i="3" l="1"/>
  <c r="K7" i="3"/>
  <c r="I7" i="3"/>
  <c r="G7" i="3"/>
  <c r="E7" i="3"/>
  <c r="J7" i="2"/>
  <c r="I7" i="2"/>
  <c r="H7" i="2"/>
  <c r="F7" i="2"/>
  <c r="E7" i="2"/>
  <c r="B32" i="3" l="1"/>
  <c r="L29" i="3" l="1"/>
  <c r="K29" i="3"/>
  <c r="I29" i="3"/>
  <c r="G29" i="3"/>
  <c r="E29" i="3"/>
  <c r="J29" i="2"/>
  <c r="I29" i="2"/>
  <c r="H29" i="2"/>
  <c r="F29" i="2"/>
  <c r="E29" i="2"/>
  <c r="L13" i="3" l="1"/>
  <c r="K13" i="3"/>
  <c r="I13" i="3"/>
  <c r="G13" i="3"/>
  <c r="E13" i="3"/>
  <c r="J13" i="2"/>
  <c r="I13" i="2"/>
  <c r="H13" i="2"/>
  <c r="F13" i="2"/>
  <c r="E13" i="2"/>
  <c r="L11" i="3" l="1"/>
  <c r="K11" i="3"/>
  <c r="I11" i="3"/>
  <c r="G11" i="3"/>
  <c r="E11" i="3"/>
  <c r="J11" i="2"/>
  <c r="I11" i="2"/>
  <c r="H11" i="2"/>
  <c r="F11" i="2"/>
  <c r="E11" i="2"/>
  <c r="L16" i="3" l="1"/>
  <c r="K16" i="3"/>
  <c r="I16" i="3"/>
  <c r="G16" i="3"/>
  <c r="E16" i="3"/>
  <c r="J16" i="2"/>
  <c r="I16" i="2"/>
  <c r="H16" i="2"/>
  <c r="F16" i="2"/>
  <c r="E16" i="2"/>
  <c r="J14" i="2" l="1"/>
  <c r="I14" i="2"/>
  <c r="H14" i="2"/>
  <c r="F14" i="2"/>
  <c r="E14" i="2"/>
  <c r="L10" i="3" l="1"/>
  <c r="K10" i="3"/>
  <c r="I10" i="3"/>
  <c r="G10" i="3"/>
  <c r="E10" i="3"/>
  <c r="J10" i="2"/>
  <c r="I10" i="2"/>
  <c r="H10" i="2"/>
  <c r="F10" i="2"/>
  <c r="E10" i="2"/>
  <c r="L6" i="3" l="1"/>
  <c r="K6" i="3"/>
  <c r="I6" i="3"/>
  <c r="G6" i="3"/>
  <c r="E6" i="3"/>
  <c r="J6" i="2"/>
  <c r="I6" i="2"/>
  <c r="H6" i="2"/>
  <c r="F6" i="2"/>
  <c r="E6" i="2"/>
  <c r="L3" i="3" l="1"/>
  <c r="L14" i="3"/>
  <c r="L15" i="3"/>
  <c r="L23" i="3"/>
  <c r="L24" i="3"/>
  <c r="L25" i="3"/>
  <c r="L28" i="3"/>
  <c r="L30" i="3"/>
  <c r="K3" i="3"/>
  <c r="K14" i="3"/>
  <c r="K15" i="3"/>
  <c r="K23" i="3"/>
  <c r="K24" i="3"/>
  <c r="K25" i="3"/>
  <c r="K28" i="3"/>
  <c r="K30" i="3"/>
  <c r="I3" i="3"/>
  <c r="I14" i="3"/>
  <c r="I15" i="3"/>
  <c r="I23" i="3"/>
  <c r="I24" i="3"/>
  <c r="I25" i="3"/>
  <c r="I28" i="3"/>
  <c r="I30" i="3"/>
  <c r="G3" i="3"/>
  <c r="G14" i="3"/>
  <c r="G15" i="3"/>
  <c r="G23" i="3"/>
  <c r="G24" i="3"/>
  <c r="G25" i="3"/>
  <c r="G28" i="3"/>
  <c r="G30" i="3"/>
  <c r="E3" i="3" l="1"/>
  <c r="E14" i="3"/>
  <c r="E15" i="3"/>
  <c r="E23" i="3"/>
  <c r="E24" i="3"/>
  <c r="E25" i="3"/>
  <c r="E28" i="3"/>
  <c r="E30" i="3"/>
  <c r="J3" i="2" l="1"/>
  <c r="J15" i="2"/>
  <c r="J23" i="2"/>
  <c r="J24" i="2"/>
  <c r="J25" i="2"/>
  <c r="J28" i="2"/>
  <c r="J30" i="2"/>
  <c r="I3" i="2"/>
  <c r="I15" i="2"/>
  <c r="I23" i="2"/>
  <c r="I24" i="2"/>
  <c r="I25" i="2"/>
  <c r="I28" i="2"/>
  <c r="I30" i="2"/>
  <c r="H3" i="2"/>
  <c r="H15" i="2"/>
  <c r="H23" i="2"/>
  <c r="H24" i="2"/>
  <c r="H25" i="2"/>
  <c r="H28" i="2"/>
  <c r="H30" i="2"/>
  <c r="F30" i="2" l="1"/>
  <c r="F28" i="2"/>
  <c r="F25" i="2"/>
  <c r="F24" i="2"/>
  <c r="F23" i="2"/>
  <c r="F15" i="2"/>
  <c r="F3" i="2"/>
  <c r="E3" i="2" l="1"/>
  <c r="E15" i="2"/>
  <c r="E23" i="2"/>
  <c r="E24" i="2"/>
  <c r="E25" i="2"/>
  <c r="E28" i="2"/>
  <c r="E30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<sst xmlns="http://schemas.openxmlformats.org/spreadsheetml/2006/main" count="107" uniqueCount="38">
  <si>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</si>
  <si>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</si>
  <si>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</si>
  <si>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</si>
  <si>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</si>
  <si>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</si>
  <si>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</si>
  <si>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</si>
  <si>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</si>
  <si>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</si>
  <si>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</si>
  <si>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</si>
  <si>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</si>
  <si>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</si>
  <si>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</si>
  <si>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</si>
  <si>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</si>
  <si>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</si>
  <si>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</si>
  <si>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</si>
  <si>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</si>
  <si>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</si>
  <si>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</si>
  <si>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</si>
  <si>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</si>
  <si>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</si>
  <si>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</si>
  <si>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</si>
  <si>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</si>
  <si>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</si>
  <si>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</si>
  <si>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</si>
  <si>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</si>
  <si>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</si>
  <si>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</si>
  <si>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</si>
  <si>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HLP READING MONTH OF AUGUST' 2020</t>
  </si>
  <si>
    <t>Electricity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</si>
</sst>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1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2" borderId="0" xfId="0" applyFill="1" applyAlignmen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4" fillId="0" borderId="1" xfId="0" applyNumberFormat="1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3" fillId="0" borderId="0" xfId="0" applyNumberFormat="1" applyFont="1" applyAlignment="1">
      <alignment horizontal="center"/>
    </xf>
    <xf numFmtId="1" fontId="5" fillId="0" borderId="1" xfId="0" applyNumberFormat="1" applyFont="1" applyFill="1" applyBorder="1" applyAlignment="1">
      <alignment horizontal="center" vertic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0" fontId="0" fillId="0" borderId="1" xfId="0" applyBorder="1" applyAlignment="1">
      <alignment horizontal="center"/>
    </xf>
    <xf numFmtId="9" fontId="4" fillId="0" borderId="1" xfId="0" applyNumberFormat="1" applyFont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4" fillId="0" borderId="5" xfId="0" applyFont="1" applyBorder="1" applyAlignment="1">
      <alignment horizontal="center" wrapText="1"/>
    </xf>
    <xf numFmtId="1" fontId="0" fillId="0" borderId="5" xfId="0" applyNumberFormat="1" applyBorder="1" applyAlignment="1">
      <alignment horizontal="center"/>
    </xf>
    <xf numFmtId="1" fontId="8" fillId="0" borderId="0" xfId="0" applyNumberFormat="1" applyFont="1" applyAlignment="1">
      <alignment horizontal="center"/>
    </xf>
    <xf numFmtId="1" fontId="4" fillId="0" borderId="6" xfId="0" applyNumberFormat="1" applyFont="1" applyBorder="1" applyAlignment="1">
      <alignment horizontal="center"/>
    </xf>
    <xf numFmtId="1" fontId="4" fillId="0" borderId="6" xfId="0" applyNumberFormat="1" applyFont="1" applyFill="1" applyBorder="1" applyAlignment="1">
      <alignment horizontal="center" vertical="center"/>
    </xf>
    <xf numFmtId="9" fontId="4" fillId="0" borderId="6" xfId="0" applyNumberFormat="1" applyFont="1" applyBorder="1" applyAlignment="1">
      <alignment horizontal="center" vertical="center"/>
    </xf>
    <xf numFmtId="1" fontId="5" fillId="0" borderId="6" xfId="0" applyNumberFormat="1" applyFont="1" applyFill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2" fillId="3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/>
    </xf>
    <xf numFmtId="164" fontId="5" fillId="0" borderId="10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1" fontId="10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6" fillId="0" borderId="1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wrapText="1"/>
    </xf>
    <xf numFmtId="1" fontId="3" fillId="0" borderId="0" xfId="0" applyNumberFormat="1" applyFont="1"/>
    <xf numFmtId="1" fontId="5" fillId="0" borderId="1" xfId="0" applyNumberFormat="1" applyFont="1" applyBorder="1" applyAlignment="1" applyProtection="1">
      <alignment horizontal="center" vertical="center"/>
      <protection locked="0"/>
    </xf>
    <xf numFmtId="1" fontId="5" fillId="0" borderId="1" xfId="0" applyNumberFormat="1" applyFont="1" applyFill="1" applyBorder="1" applyAlignment="1" applyProtection="1">
      <alignment horizontal="center" vertical="center"/>
      <protection locked="0"/>
    </xf>
    <xf numFmtId="1" fontId="10" fillId="0" borderId="1" xfId="0" applyNumberFormat="1" applyFont="1" applyBorder="1" applyAlignment="1" applyProtection="1">
      <alignment horizontal="center"/>
      <protection locked="0"/>
    </xf>
    <xf numFmtId="1" fontId="5" fillId="2" borderId="1" xfId="0" applyNumberFormat="1" applyFont="1" applyFill="1" applyBorder="1" applyAlignment="1" applyProtection="1">
      <alignment horizontal="center" vertical="center"/>
      <protection locked="0"/>
    </xf>
    <xf numFmtId="1" fontId="5" fillId="0" borderId="15" xfId="0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7" fillId="3" borderId="8" xfId="0" applyFont="1" applyFill="1" applyBorder="1" applyAlignment="1">
      <alignment horizontal="center"/>
    </xf>
    <xf numFmtId="0" fontId="7" fillId="3" borderId="11" xfId="0" applyFont="1" applyFill="1" applyBorder="1" applyAlignment="1">
      <alignment horizontal="center"/>
    </xf>
    <xf numFmtId="0" fontId="7" fillId="3" borderId="9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  <xf numFmtId="0" fontId="7" fillId="3" borderId="14" xfId="0" applyFont="1" applyFill="1" applyBorder="1" applyAlignment="1">
      <alignment horizontal="center"/>
    </xf>
    <xf numFmtId="0" fontId="9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workbookViewId="0">
      <selection activeCell="L11" sqref="L11"/>
    </sheetView>
  </sheetViews>
  <sheetFormatPr defaultColWidth="11.5703125" defaultRowHeight="15" x14ac:dyDescent="0.25"/>
  <cols>
    <col min="4" max="4" width="13.42578125" customWidth="1"/>
    <col min="5" max="5" width="12.5703125" style="6" customWidth="1"/>
    <col min="6" max="6" width="12.5703125" customWidth="1"/>
    <col min="7" max="7" width="11.5703125" style="6"/>
    <col min="9" max="9" width="11.5703125" style="6"/>
    <col min="13" max="13" width="11.5703125" style="1"/>
    <col min="14" max="14" width="11.5703125" style="50"/>
    <col min="251" max="251" width="13.42578125" customWidth="1"/>
    <col min="252" max="253" width="12.5703125" customWidth="1"/>
  </cols>
  <sheetData>
    <row r="1" spans="1:15" ht="60" x14ac:dyDescent="0.25">
      <c r="A1" t="s">
        <v>9</v>
      </c>
      <c r="B1" t="s">
        <v>10</v>
      </c>
      <c r="C1" t="s">
        <v>11</v>
      </c>
      <c r="D1" t="s">
        <v>12</v>
      </c>
      <c r="E1" s="5" t="s">
        <v>13</v>
      </c>
      <c r="F1" s="4" t="s">
        <v>14</v>
      </c>
      <c r="G1" s="5" t="s">
        <v>15</v>
      </c>
      <c r="H1" s="4" t="s">
        <v>16</v>
      </c>
      <c r="I1" s="5" t="s">
        <v>17</v>
      </c>
      <c r="J1" s="4" t="s">
        <v>18</v>
      </c>
      <c r="K1" s="55" t="s">
        <v>19</v>
      </c>
      <c r="L1" s="4" t="s">
        <v>19</v>
      </c>
      <c r="M1" s="7" t="s">
        <v>20</v>
      </c>
      <c r="N1" s="51" t="s">
        <v>21</v>
      </c>
      <c r="O1" s="4"/>
    </row>
    <row r="2" spans="1:15" x14ac:dyDescent="0.25">
      <c r="A2" t="s">
        <v>27</v>
      </c>
      <c r="B2">
        <v>1</v>
      </c>
      <c r="C2">
        <v>8</v>
      </c>
      <c r="D2">
        <v>2020</v>
      </c>
      <c r="E2" s="24">
        <f>'08 - 2020'!B8-'08 - 2020'!B7+'08 - 2020'!C8-'08 - 2020'!C7</f>
        <v>6445</v>
      </c>
      <c r="F2" s="22">
        <v>0.11799999999999999</v>
      </c>
      <c r="G2" s="24">
        <f>(('08 - 2020'!E8-'08 - 2020'!E7)+('08 - 2020'!F8-'08 - 2020'!F7)+('08 - 2020'!G8-'08 - 2020'!G7))*1.81</f>
        <v>71.096800000005302</v>
      </c>
      <c r="H2" s="22">
        <v>0.99</v>
      </c>
      <c r="I2" s="24">
        <f>'08 - 2020'!J8-'08 - 2020'!J7</f>
        <v>28492</v>
      </c>
      <c r="J2" s="22">
        <v>8.1000000000000003E-2</v>
      </c>
      <c r="K2" s="56">
        <f>'08 - 2020'!H8-'08 - 2020'!H7</f>
        <v>0</v>
      </c>
      <c r="L2" s="24">
        <f>'08 - 2020'!I8-'08 - 2020'!I7</f>
        <v>44</v>
      </c>
      <c r="M2" s="23">
        <v>4.393629424766913</v>
      </c>
      <c r="N2" s="48">
        <v>0</v>
      </c>
    </row>
    <row r="3" spans="1:15" x14ac:dyDescent="0.25">
      <c r="A3" t="s">
        <v>27</v>
      </c>
      <c r="B3">
        <f>B2+1</f>
        <v>2</v>
      </c>
      <c r="C3" s="22">
        <v>8</v>
      </c>
      <c r="D3" s="22">
        <v>2020</v>
      </c>
      <c r="E3" s="24">
        <f>'08 - 2020'!B9-'08 - 2020'!B8+'08 - 2020'!C9-'08 - 2020'!C8</f>
        <v>6848</v>
      </c>
      <c r="F3" s="22">
        <v>0.11799999999999999</v>
      </c>
      <c r="G3" s="24">
        <f>(('08 - 2020'!E9-'08 - 2020'!E8)+('08 - 2020'!F9-'08 - 2020'!F8)+('08 - 2020'!G9-'08 - 2020'!G8))*1.81</f>
        <v>68.019799999996579</v>
      </c>
      <c r="H3" s="22">
        <v>0.99</v>
      </c>
      <c r="I3" s="24">
        <f>'08 - 2020'!J9-'08 - 2020'!J8</f>
        <v>31695</v>
      </c>
      <c r="J3" s="22">
        <v>8.1000000000000003E-2</v>
      </c>
      <c r="K3" s="56">
        <f>'08 - 2020'!H9-'08 - 2020'!H8</f>
        <v>0</v>
      </c>
      <c r="L3" s="24">
        <f>'08 - 2020'!I9-'08 - 2020'!I8</f>
        <v>50</v>
      </c>
      <c r="M3" s="23">
        <v>4.393629424766913</v>
      </c>
      <c r="N3" s="48">
        <v>0</v>
      </c>
    </row>
    <row r="4" spans="1:15" x14ac:dyDescent="0.25">
      <c r="A4" t="s">
        <v>27</v>
      </c>
      <c r="B4">
        <f t="shared" ref="B4:B31" si="0">B3+1</f>
        <v>3</v>
      </c>
      <c r="C4" s="22">
        <v>8</v>
      </c>
      <c r="D4" s="22">
        <v>2020</v>
      </c>
      <c r="E4" s="24">
        <f>'08 - 2020'!B10-'08 - 2020'!B9+'08 - 2020'!C10-'08 - 2020'!C9</f>
        <v>6851</v>
      </c>
      <c r="F4" s="22">
        <v>0.11799999999999999</v>
      </c>
      <c r="G4" s="24">
        <f>(('08 - 2020'!E10-'08 - 2020'!E9)+('08 - 2020'!F10-'08 - 2020'!F9)+('08 - 2020'!G10-'08 - 2020'!G9))*1.81</f>
        <v>74.716800000001186</v>
      </c>
      <c r="H4" s="22">
        <v>0.99</v>
      </c>
      <c r="I4" s="24">
        <f>'08 - 2020'!J10-'08 - 2020'!J9</f>
        <v>30951</v>
      </c>
      <c r="J4" s="22">
        <v>8.1000000000000003E-2</v>
      </c>
      <c r="K4" s="56">
        <f>'08 - 2020'!H10-'08 - 2020'!H9</f>
        <v>0</v>
      </c>
      <c r="L4" s="24">
        <f>'08 - 2020'!I10-'08 - 2020'!I9</f>
        <v>44</v>
      </c>
      <c r="M4" s="23">
        <v>4.393629424766913</v>
      </c>
      <c r="N4" s="48">
        <v>0</v>
      </c>
    </row>
    <row r="5" spans="1:15" x14ac:dyDescent="0.25">
      <c r="A5" t="s">
        <v>27</v>
      </c>
      <c r="B5">
        <f t="shared" si="0"/>
        <v>4</v>
      </c>
      <c r="C5" s="22">
        <v>8</v>
      </c>
      <c r="D5" s="22">
        <v>2020</v>
      </c>
      <c r="E5" s="24">
        <f>'08 - 2020'!B11-'08 - 2020'!B10+'08 - 2020'!C11-'08 - 2020'!C10</f>
        <v>6300</v>
      </c>
      <c r="F5" s="22">
        <v>0.11799999999999999</v>
      </c>
      <c r="G5" s="24">
        <f>(('08 - 2020'!E11-'08 - 2020'!E10)+('08 - 2020'!F11-'08 - 2020'!F10)+('08 - 2020'!G11-'08 - 2020'!G10))*1.81</f>
        <v>63.476699999997003</v>
      </c>
      <c r="H5" s="22">
        <v>0.99</v>
      </c>
      <c r="I5" s="24">
        <f>'08 - 2020'!J11-'08 - 2020'!J10</f>
        <v>29181</v>
      </c>
      <c r="J5" s="22">
        <v>8.1000000000000003E-2</v>
      </c>
      <c r="K5" s="56">
        <f>'08 - 2020'!H11-'08 - 2020'!H10</f>
        <v>0</v>
      </c>
      <c r="L5" s="24">
        <f>'08 - 2020'!I11-'08 - 2020'!I10</f>
        <v>41</v>
      </c>
      <c r="M5" s="23">
        <v>4.393629424766913</v>
      </c>
      <c r="N5" s="48">
        <v>0</v>
      </c>
    </row>
    <row r="6" spans="1:15" x14ac:dyDescent="0.25">
      <c r="A6" t="s">
        <v>27</v>
      </c>
      <c r="B6">
        <f t="shared" si="0"/>
        <v>5</v>
      </c>
      <c r="C6" s="22">
        <v>8</v>
      </c>
      <c r="D6" s="22">
        <v>2020</v>
      </c>
      <c r="E6" s="24">
        <f>'08 - 2020'!B12-'08 - 2020'!B11+'08 - 2020'!C12-'08 - 2020'!C11</f>
        <v>6441</v>
      </c>
      <c r="F6" s="22">
        <v>0.11799999999999999</v>
      </c>
      <c r="G6" s="24">
        <f>(('08 - 2020'!E12-'08 - 2020'!E11)+('08 - 2020'!F12-'08 - 2020'!F11)+('08 - 2020'!G12-'08 - 2020'!G11))*1.81</f>
        <v>69.395400000001914</v>
      </c>
      <c r="H6" s="22">
        <v>0.99</v>
      </c>
      <c r="I6" s="24">
        <f>'08 - 2020'!J12-'08 - 2020'!J11</f>
        <v>32367</v>
      </c>
      <c r="J6" s="22">
        <v>8.1000000000000003E-2</v>
      </c>
      <c r="K6" s="56">
        <f>'08 - 2020'!H12-'08 - 2020'!H11</f>
        <v>0</v>
      </c>
      <c r="L6" s="24">
        <f>'08 - 2020'!I12-'08 - 2020'!I11</f>
        <v>39</v>
      </c>
      <c r="M6" s="23">
        <v>4.3936294247669103</v>
      </c>
      <c r="N6" s="48">
        <v>0</v>
      </c>
    </row>
    <row r="7" spans="1:15" x14ac:dyDescent="0.25">
      <c r="A7" t="s">
        <v>27</v>
      </c>
      <c r="B7">
        <f t="shared" si="0"/>
        <v>6</v>
      </c>
      <c r="C7" s="22">
        <v>8</v>
      </c>
      <c r="D7" s="22">
        <v>2020</v>
      </c>
      <c r="E7" s="24">
        <f>'08 - 2020'!B13-'08 - 2020'!B12+'08 - 2020'!C13-'08 - 2020'!C12</f>
        <v>6984</v>
      </c>
      <c r="F7" s="22">
        <v>0.11799999999999999</v>
      </c>
      <c r="G7" s="24">
        <f>(('08 - 2020'!E13-'08 - 2020'!E12)+('08 - 2020'!F13-'08 - 2020'!F12)+('08 - 2020'!G13-'08 - 2020'!G12))*1.81</f>
        <v>70.644300000003653</v>
      </c>
      <c r="H7" s="22">
        <v>0.99</v>
      </c>
      <c r="I7" s="24">
        <f>'08 - 2020'!J13-'08 - 2020'!J12</f>
        <v>38768</v>
      </c>
      <c r="J7" s="22">
        <v>8.1000000000000003E-2</v>
      </c>
      <c r="K7" s="56">
        <f>'08 - 2020'!H13-'08 - 2020'!H12</f>
        <v>0</v>
      </c>
      <c r="L7" s="24">
        <f>'08 - 2020'!I13-'08 - 2020'!I12</f>
        <v>44</v>
      </c>
      <c r="M7" s="23">
        <v>4.3936294247669103</v>
      </c>
      <c r="N7" s="48">
        <v>0</v>
      </c>
    </row>
    <row r="8" spans="1:15" x14ac:dyDescent="0.25">
      <c r="A8" t="s">
        <v>27</v>
      </c>
      <c r="B8">
        <f t="shared" si="0"/>
        <v>7</v>
      </c>
      <c r="C8" s="22">
        <v>8</v>
      </c>
      <c r="D8" s="22">
        <v>2020</v>
      </c>
      <c r="E8" s="24">
        <v>0</v>
      </c>
      <c r="F8" s="22">
        <v>0.11799999999999999</v>
      </c>
      <c r="G8" s="24">
        <v>0</v>
      </c>
      <c r="H8" s="22">
        <v>0.99</v>
      </c>
      <c r="I8" s="24">
        <v>0</v>
      </c>
      <c r="J8" s="22">
        <v>8.1000000000000003E-2</v>
      </c>
      <c r="K8" s="56">
        <v>0</v>
      </c>
      <c r="L8" s="24">
        <v>0</v>
      </c>
      <c r="M8" s="23">
        <v>4.3936294247669103</v>
      </c>
      <c r="N8" s="48">
        <v>0</v>
      </c>
      <c r="O8" s="24"/>
    </row>
    <row r="9" spans="1:15" x14ac:dyDescent="0.25">
      <c r="A9" t="s">
        <v>27</v>
      </c>
      <c r="B9">
        <f t="shared" si="0"/>
        <v>8</v>
      </c>
      <c r="C9" s="22">
        <v>8</v>
      </c>
      <c r="D9" s="22">
        <v>2020</v>
      </c>
      <c r="E9" s="24">
        <f>'08 - 2020'!B15-'08 - 2020'!B14+'08 - 2020'!C15-'08 - 2020'!C14</f>
        <v>0</v>
      </c>
      <c r="F9" s="22">
        <v>0.11799999999999999</v>
      </c>
      <c r="G9" s="24">
        <f>(('08 - 2020'!E15-'08 - 2020'!E14)+('08 - 2020'!F15-'08 - 2020'!F14)+('08 - 2020'!G15-'08 - 2020'!G14))*1.81</f>
        <v>0</v>
      </c>
      <c r="H9" s="22">
        <v>0.99</v>
      </c>
      <c r="I9" s="24">
        <f>'08 - 2020'!J15-'08 - 2020'!J14</f>
        <v>0</v>
      </c>
      <c r="J9" s="22">
        <v>8.1000000000000003E-2</v>
      </c>
      <c r="K9" s="56">
        <f>'08 - 2020'!H15-'08 - 2020'!H14</f>
        <v>0</v>
      </c>
      <c r="L9" s="24">
        <f>'08 - 2020'!I15-'08 - 2020'!I14</f>
        <v>0</v>
      </c>
      <c r="M9" s="23">
        <v>4.3936294247669103</v>
      </c>
      <c r="N9" s="48">
        <v>0</v>
      </c>
    </row>
    <row r="10" spans="1:15" x14ac:dyDescent="0.25">
      <c r="A10" t="s">
        <v>27</v>
      </c>
      <c r="B10">
        <f t="shared" si="0"/>
        <v>9</v>
      </c>
      <c r="C10" s="22">
        <v>8</v>
      </c>
      <c r="D10" s="22">
        <v>2020</v>
      </c>
      <c r="E10" s="24">
        <f>'08 - 2020'!B16-'08 - 2020'!B15+'08 - 2020'!C16-'08 - 2020'!C15</f>
        <v>0</v>
      </c>
      <c r="F10" s="22">
        <v>0.11799999999999999</v>
      </c>
      <c r="G10" s="24">
        <f>(('08 - 2020'!E16-'08 - 2020'!E15)+('08 - 2020'!F16-'08 - 2020'!F15)+('08 - 2020'!G16-'08 - 2020'!G15))*1.81</f>
        <v>0</v>
      </c>
      <c r="H10" s="22">
        <v>0.99</v>
      </c>
      <c r="I10" s="24">
        <f>'08 - 2020'!J16-'08 - 2020'!J15</f>
        <v>0</v>
      </c>
      <c r="J10" s="22">
        <v>8.1000000000000003E-2</v>
      </c>
      <c r="K10" s="56">
        <f>'08 - 2020'!H16-'08 - 2020'!H15</f>
        <v>0</v>
      </c>
      <c r="L10" s="24">
        <f>'08 - 2020'!I16-'08 - 2020'!I15</f>
        <v>0</v>
      </c>
      <c r="M10" s="23">
        <v>4.3936294247669103</v>
      </c>
      <c r="N10" s="48">
        <v>0</v>
      </c>
    </row>
    <row r="11" spans="1:15" x14ac:dyDescent="0.25">
      <c r="A11" t="s">
        <v>27</v>
      </c>
      <c r="B11">
        <f t="shared" si="0"/>
        <v>10</v>
      </c>
      <c r="C11" s="22">
        <v>8</v>
      </c>
      <c r="D11" s="22">
        <v>2020</v>
      </c>
      <c r="E11" s="24">
        <f>'08 - 2020'!B17-'08 - 2020'!B16+'08 - 2020'!C17-'08 - 2020'!C16</f>
        <v>0</v>
      </c>
      <c r="F11" s="22">
        <v>0.11799999999999999</v>
      </c>
      <c r="G11" s="24">
        <f>(('08 - 2020'!E17-'08 - 2020'!E16)+('08 - 2020'!F17-'08 - 2020'!F16)+('08 - 2020'!G17-'08 - 2020'!G16))*1.81</f>
        <v>0</v>
      </c>
      <c r="H11" s="22">
        <v>0.99</v>
      </c>
      <c r="I11" s="24">
        <f>'08 - 2020'!J17-'08 - 2020'!J16</f>
        <v>0</v>
      </c>
      <c r="J11" s="22">
        <v>8.1000000000000003E-2</v>
      </c>
      <c r="K11" s="56">
        <f>'08 - 2020'!H17-'08 - 2020'!H16</f>
        <v>0</v>
      </c>
      <c r="L11" s="24">
        <f>'08 - 2020'!I17-'08 - 2020'!I16</f>
        <v>0</v>
      </c>
      <c r="M11" s="23">
        <v>4.3936294247669103</v>
      </c>
      <c r="N11" s="48">
        <v>0</v>
      </c>
    </row>
    <row r="12" spans="1:15" x14ac:dyDescent="0.25">
      <c r="A12" t="s">
        <v>27</v>
      </c>
      <c r="B12">
        <f t="shared" si="0"/>
        <v>11</v>
      </c>
      <c r="C12" s="22">
        <v>8</v>
      </c>
      <c r="D12" s="22">
        <v>2020</v>
      </c>
      <c r="E12" s="24">
        <f>'08 - 2020'!B18-'08 - 2020'!B17+'08 - 2020'!C18-'08 - 2020'!C17</f>
        <v>0</v>
      </c>
      <c r="F12" s="22">
        <v>0.11799999999999999</v>
      </c>
      <c r="G12" s="24">
        <f>(('08 - 2020'!E18-'08 - 2020'!E17)+('08 - 2020'!F18-'08 - 2020'!F17)+('08 - 2020'!G18-'08 - 2020'!G17))*1.81</f>
        <v>0</v>
      </c>
      <c r="H12" s="22">
        <v>0.99</v>
      </c>
      <c r="I12" s="24">
        <f>'08 - 2020'!J18-'08 - 2020'!J17</f>
        <v>0</v>
      </c>
      <c r="J12" s="22">
        <v>8.1000000000000003E-2</v>
      </c>
      <c r="K12" s="56">
        <f>'08 - 2020'!H18-'08 - 2020'!H17</f>
        <v>0</v>
      </c>
      <c r="L12" s="24">
        <f>'08 - 2020'!I18-'08 - 2020'!I17</f>
        <v>0</v>
      </c>
      <c r="M12" s="23">
        <v>4.3936294247669103</v>
      </c>
      <c r="N12" s="24">
        <v>0</v>
      </c>
    </row>
    <row r="13" spans="1:15" x14ac:dyDescent="0.25">
      <c r="A13" t="s">
        <v>27</v>
      </c>
      <c r="B13">
        <f t="shared" si="0"/>
        <v>12</v>
      </c>
      <c r="C13" s="22">
        <v>8</v>
      </c>
      <c r="D13" s="22">
        <v>2020</v>
      </c>
      <c r="E13" s="24">
        <f>'08 - 2020'!B19-'08 - 2020'!B18+'08 - 2020'!C19-'08 - 2020'!C18</f>
        <v>0</v>
      </c>
      <c r="F13" s="22">
        <v>0.11799999999999999</v>
      </c>
      <c r="G13" s="24">
        <f>(('08 - 2020'!E19-'08 - 2020'!E18)+('08 - 2020'!F19-'08 - 2020'!F18)+('08 - 2020'!G19-'08 - 2020'!G18))*1.81</f>
        <v>0</v>
      </c>
      <c r="H13" s="22">
        <v>0.99</v>
      </c>
      <c r="I13" s="24">
        <f>'08 - 2020'!J19-'08 - 2020'!J18</f>
        <v>0</v>
      </c>
      <c r="J13" s="22">
        <v>8.1000000000000003E-2</v>
      </c>
      <c r="K13" s="56">
        <f>'08 - 2020'!H19-'08 - 2020'!H18</f>
        <v>0</v>
      </c>
      <c r="L13" s="24">
        <f>'08 - 2020'!I19-'08 - 2020'!I18</f>
        <v>0</v>
      </c>
      <c r="M13" s="23">
        <v>4.3936294247669103</v>
      </c>
      <c r="N13" s="24">
        <v>0</v>
      </c>
    </row>
    <row r="14" spans="1:15" x14ac:dyDescent="0.25">
      <c r="A14" t="s">
        <v>27</v>
      </c>
      <c r="B14">
        <f t="shared" si="0"/>
        <v>13</v>
      </c>
      <c r="C14" s="22">
        <v>8</v>
      </c>
      <c r="D14" s="22">
        <v>2020</v>
      </c>
      <c r="E14" s="24">
        <f>'08 - 2020'!B20-'08 - 2020'!B19+'08 - 2020'!C20-'08 - 2020'!C19</f>
        <v>0</v>
      </c>
      <c r="F14" s="22">
        <v>0.11799999999999999</v>
      </c>
      <c r="G14" s="24">
        <f>(('08 - 2020'!E20-'08 - 2020'!E19)+('08 - 2020'!F20-'08 - 2020'!F19)+('08 - 2020'!G20-'08 - 2020'!G19))*1.81</f>
        <v>0</v>
      </c>
      <c r="H14" s="22">
        <v>0.99</v>
      </c>
      <c r="I14" s="24">
        <f>'08 - 2020'!J20-'08 - 2020'!J19</f>
        <v>0</v>
      </c>
      <c r="J14" s="22">
        <v>8.1000000000000003E-2</v>
      </c>
      <c r="K14" s="56">
        <f>'08 - 2020'!H20-'08 - 2020'!H19</f>
        <v>0</v>
      </c>
      <c r="L14" s="24">
        <f>'08 - 2020'!I20-'08 - 2020'!I19</f>
        <v>0</v>
      </c>
      <c r="M14" s="23">
        <v>4.3936294247669103</v>
      </c>
      <c r="N14" s="24">
        <v>0</v>
      </c>
      <c r="O14" s="24"/>
    </row>
    <row r="15" spans="1:15" x14ac:dyDescent="0.25">
      <c r="A15" t="s">
        <v>27</v>
      </c>
      <c r="B15">
        <f t="shared" si="0"/>
        <v>14</v>
      </c>
      <c r="C15" s="22">
        <v>8</v>
      </c>
      <c r="D15" s="22">
        <v>2020</v>
      </c>
      <c r="E15" s="24">
        <f>'08 - 2020'!B21-'08 - 2020'!B20+'08 - 2020'!C21-'08 - 2020'!C20</f>
        <v>0</v>
      </c>
      <c r="F15" s="22">
        <v>0.11799999999999999</v>
      </c>
      <c r="G15" s="24">
        <f>(('08 - 2020'!E21-'08 - 2020'!E20)+('08 - 2020'!F21-'08 - 2020'!F20)+('08 - 2020'!G21-'08 - 2020'!G20))*1.81</f>
        <v>0</v>
      </c>
      <c r="H15" s="22">
        <v>0.99</v>
      </c>
      <c r="I15" s="24">
        <f>'08 - 2020'!J21-'08 - 2020'!J20</f>
        <v>0</v>
      </c>
      <c r="J15" s="22">
        <v>8.1000000000000003E-2</v>
      </c>
      <c r="K15" s="56">
        <f>'08 - 2020'!H21-'08 - 2020'!H20</f>
        <v>0</v>
      </c>
      <c r="L15" s="24">
        <f>'08 - 2020'!I21-'08 - 2020'!I20</f>
        <v>0</v>
      </c>
      <c r="M15" s="23">
        <v>4.3936294247669103</v>
      </c>
      <c r="N15" s="24">
        <v>0</v>
      </c>
    </row>
    <row r="16" spans="1:15" x14ac:dyDescent="0.25">
      <c r="A16" t="s">
        <v>27</v>
      </c>
      <c r="B16">
        <f t="shared" si="0"/>
        <v>15</v>
      </c>
      <c r="C16" s="22">
        <v>8</v>
      </c>
      <c r="D16" s="22">
        <v>2020</v>
      </c>
      <c r="E16" s="24">
        <f>'08 - 2020'!B22-'08 - 2020'!B21+'08 - 2020'!C22-'08 - 2020'!C21</f>
        <v>0</v>
      </c>
      <c r="F16" s="22">
        <v>0.11799999999999999</v>
      </c>
      <c r="G16" s="24">
        <f>(('08 - 2020'!E22-'08 - 2020'!E21)+('08 - 2020'!F22-'08 - 2020'!F21)+('08 - 2020'!G22-'08 - 2020'!G21))*1.81</f>
        <v>0</v>
      </c>
      <c r="H16" s="22">
        <v>0.99</v>
      </c>
      <c r="I16" s="24">
        <f>'08 - 2020'!J22-'08 - 2020'!J21</f>
        <v>0</v>
      </c>
      <c r="J16" s="22">
        <v>8.1000000000000003E-2</v>
      </c>
      <c r="K16" s="56">
        <f>'08 - 2020'!H22-'08 - 2020'!H21</f>
        <v>0</v>
      </c>
      <c r="L16" s="24">
        <f>'08 - 2020'!I22-'08 - 2020'!I21</f>
        <v>0</v>
      </c>
      <c r="M16" s="23">
        <v>4.3936294247669103</v>
      </c>
      <c r="N16" s="24">
        <v>0</v>
      </c>
    </row>
    <row r="17" spans="1:16" x14ac:dyDescent="0.25">
      <c r="A17" t="s">
        <v>27</v>
      </c>
      <c r="B17">
        <f t="shared" si="0"/>
        <v>16</v>
      </c>
      <c r="C17" s="22">
        <v>8</v>
      </c>
      <c r="D17" s="22">
        <v>2020</v>
      </c>
      <c r="E17" s="24">
        <f>'08 - 2020'!B23-'08 - 2020'!B22+'08 - 2020'!C23-'08 - 2020'!C22</f>
        <v>0</v>
      </c>
      <c r="F17" s="22">
        <v>0.11799999999999999</v>
      </c>
      <c r="G17" s="24">
        <f>(('08 - 2020'!E23-'08 - 2020'!E22)+('08 - 2020'!F23-'08 - 2020'!F22)+('08 - 2020'!G23-'08 - 2020'!G22))*1.81</f>
        <v>0</v>
      </c>
      <c r="H17" s="22">
        <v>0.99</v>
      </c>
      <c r="I17" s="24">
        <f>'08 - 2020'!J23-'08 - 2020'!J22</f>
        <v>0</v>
      </c>
      <c r="J17" s="22">
        <v>8.1000000000000003E-2</v>
      </c>
      <c r="K17" s="56">
        <f>'08 - 2020'!H23-'08 - 2020'!H22</f>
        <v>0</v>
      </c>
      <c r="L17" s="24">
        <f>'08 - 2020'!I23-'08 - 2020'!I22</f>
        <v>0</v>
      </c>
      <c r="M17" s="23">
        <v>4.3936294247669103</v>
      </c>
      <c r="N17" s="24">
        <v>0</v>
      </c>
    </row>
    <row r="18" spans="1:16" x14ac:dyDescent="0.25">
      <c r="A18" t="s">
        <v>27</v>
      </c>
      <c r="B18">
        <f t="shared" si="0"/>
        <v>17</v>
      </c>
      <c r="C18" s="22">
        <v>8</v>
      </c>
      <c r="D18" s="22">
        <v>2020</v>
      </c>
      <c r="E18" s="24">
        <f>'08 - 2020'!B24-'08 - 2020'!B23+'08 - 2020'!C24-'08 - 2020'!C23</f>
        <v>0</v>
      </c>
      <c r="F18" s="22">
        <v>0.11799999999999999</v>
      </c>
      <c r="G18" s="24">
        <f>(('08 - 2020'!E24-'08 - 2020'!E23)+('08 - 2020'!F24-'08 - 2020'!F23)+('08 - 2020'!G24-'08 - 2020'!G23))*1.81</f>
        <v>0</v>
      </c>
      <c r="H18" s="22">
        <v>0.99</v>
      </c>
      <c r="I18" s="24">
        <f>'08 - 2020'!J24-'08 - 2020'!J23</f>
        <v>0</v>
      </c>
      <c r="J18" s="22">
        <v>8.1000000000000003E-2</v>
      </c>
      <c r="K18" s="56">
        <f>'08 - 2020'!H24-'08 - 2020'!H23</f>
        <v>0</v>
      </c>
      <c r="L18" s="24">
        <f>'08 - 2020'!I24-'08 - 2020'!I23</f>
        <v>0</v>
      </c>
      <c r="M18" s="23">
        <v>4.3936294247669103</v>
      </c>
      <c r="N18" s="24">
        <v>0</v>
      </c>
    </row>
    <row r="19" spans="1:16" x14ac:dyDescent="0.25">
      <c r="A19" t="s">
        <v>27</v>
      </c>
      <c r="B19">
        <f>B18+1</f>
        <v>18</v>
      </c>
      <c r="C19" s="22">
        <v>8</v>
      </c>
      <c r="D19" s="22">
        <v>2020</v>
      </c>
      <c r="E19" s="24">
        <f>'08 - 2020'!B25-'08 - 2020'!B24+'08 - 2020'!C25-'08 - 2020'!C24</f>
        <v>0</v>
      </c>
      <c r="F19" s="22">
        <v>0.11799999999999999</v>
      </c>
      <c r="G19" s="24">
        <f>(('08 - 2020'!E25-'08 - 2020'!E24)+('08 - 2020'!F25-'08 - 2020'!F24)+('08 - 2020'!G25-'08 - 2020'!G24))*1.81</f>
        <v>0</v>
      </c>
      <c r="H19" s="22">
        <v>0.99</v>
      </c>
      <c r="I19" s="24">
        <f>'08 - 2020'!J25-'08 - 2020'!J24</f>
        <v>0</v>
      </c>
      <c r="J19" s="22">
        <v>8.1000000000000003E-2</v>
      </c>
      <c r="K19" s="56">
        <f>'08 - 2020'!H25-'08 - 2020'!H24</f>
        <v>0</v>
      </c>
      <c r="L19" s="24">
        <f>'08 - 2020'!I25-'08 - 2020'!I24</f>
        <v>0</v>
      </c>
      <c r="M19" s="23">
        <v>4.3936294247669103</v>
      </c>
      <c r="N19" s="49">
        <v>0</v>
      </c>
    </row>
    <row r="20" spans="1:16" x14ac:dyDescent="0.25">
      <c r="A20" t="s">
        <v>27</v>
      </c>
      <c r="B20">
        <f t="shared" si="0"/>
        <v>19</v>
      </c>
      <c r="C20" s="22">
        <v>8</v>
      </c>
      <c r="D20" s="22">
        <v>2020</v>
      </c>
      <c r="E20" s="24">
        <f>'08 - 2020'!B26-'08 - 2020'!B25+'08 - 2020'!C26-'08 - 2020'!C25</f>
        <v>0</v>
      </c>
      <c r="F20" s="22">
        <v>0.11799999999999999</v>
      </c>
      <c r="G20" s="24">
        <f>(('08 - 2020'!E26-'08 - 2020'!E25)+('08 - 2020'!F26-'08 - 2020'!F25)+('08 - 2020'!G26-'08 - 2020'!G25))*1.81</f>
        <v>0</v>
      </c>
      <c r="H20" s="22">
        <v>0.99</v>
      </c>
      <c r="I20" s="24">
        <f>'08 - 2020'!J26-'08 - 2020'!J25</f>
        <v>0</v>
      </c>
      <c r="J20" s="22">
        <v>8.1000000000000003E-2</v>
      </c>
      <c r="K20" s="56">
        <f>'08 - 2020'!H26-'08 - 2020'!H25</f>
        <v>0</v>
      </c>
      <c r="L20" s="24">
        <f>'08 - 2020'!I26-'08 - 2020'!I25</f>
        <v>0</v>
      </c>
      <c r="M20" s="23">
        <v>4.3936294247669103</v>
      </c>
      <c r="N20" s="49">
        <v>0</v>
      </c>
    </row>
    <row r="21" spans="1:16" x14ac:dyDescent="0.25">
      <c r="A21" t="s">
        <v>27</v>
      </c>
      <c r="B21">
        <f t="shared" si="0"/>
        <v>20</v>
      </c>
      <c r="C21" s="22">
        <v>8</v>
      </c>
      <c r="D21" s="22">
        <v>2020</v>
      </c>
      <c r="E21" s="24">
        <f>'08 - 2020'!B27-'08 - 2020'!B26+'08 - 2020'!C27-'08 - 2020'!C26</f>
        <v>0</v>
      </c>
      <c r="F21" s="22">
        <v>0.11799999999999999</v>
      </c>
      <c r="G21" s="24">
        <f>(('08 - 2020'!E27-'08 - 2020'!E26)+('08 - 2020'!F27-'08 - 2020'!F26)+('08 - 2020'!G27-'08 - 2020'!G26))*1.81</f>
        <v>0</v>
      </c>
      <c r="H21" s="22">
        <v>0.99</v>
      </c>
      <c r="I21" s="24">
        <f>'08 - 2020'!J27-'08 - 2020'!J26</f>
        <v>0</v>
      </c>
      <c r="J21" s="22">
        <v>8.1000000000000003E-2</v>
      </c>
      <c r="K21" s="56">
        <f>'08 - 2020'!H27-'08 - 2020'!H26</f>
        <v>0</v>
      </c>
      <c r="L21" s="24">
        <f>'08 - 2020'!I27-'08 - 2020'!I26</f>
        <v>0</v>
      </c>
      <c r="M21" s="23">
        <v>4.3936294247669103</v>
      </c>
      <c r="N21" s="49">
        <v>0</v>
      </c>
    </row>
    <row r="22" spans="1:16" x14ac:dyDescent="0.25">
      <c r="A22" t="s">
        <v>27</v>
      </c>
      <c r="B22">
        <f t="shared" si="0"/>
        <v>21</v>
      </c>
      <c r="C22" s="22">
        <v>8</v>
      </c>
      <c r="D22" s="22">
        <v>2020</v>
      </c>
      <c r="E22" s="24">
        <f>'08 - 2020'!B28-'08 - 2020'!B27+'08 - 2020'!C28-'08 - 2020'!C27</f>
        <v>0</v>
      </c>
      <c r="F22" s="22">
        <v>0.11799999999999999</v>
      </c>
      <c r="G22" s="24">
        <f>(('08 - 2020'!E28-'08 - 2020'!E27)+('08 - 2020'!F28-'08 - 2020'!F27)+('08 - 2020'!G28-'08 - 2020'!G27))*1.81</f>
        <v>0</v>
      </c>
      <c r="H22" s="22">
        <v>0.99</v>
      </c>
      <c r="I22" s="24">
        <f>'08 - 2020'!J28-'08 - 2020'!J27</f>
        <v>0</v>
      </c>
      <c r="J22" s="22">
        <v>8.1000000000000003E-2</v>
      </c>
      <c r="K22" s="56">
        <f>'08 - 2020'!H28-'08 - 2020'!H27</f>
        <v>0</v>
      </c>
      <c r="L22" s="24">
        <f>'08 - 2020'!I28-'08 - 2020'!I27</f>
        <v>0</v>
      </c>
      <c r="M22" s="23">
        <v>4.3936294247669103</v>
      </c>
      <c r="N22" s="49">
        <v>0</v>
      </c>
    </row>
    <row r="23" spans="1:16" x14ac:dyDescent="0.25">
      <c r="A23" t="s">
        <v>27</v>
      </c>
      <c r="B23">
        <f t="shared" si="0"/>
        <v>22</v>
      </c>
      <c r="C23" s="22">
        <v>8</v>
      </c>
      <c r="D23" s="22">
        <v>2020</v>
      </c>
      <c r="E23" s="24">
        <f>'08 - 2020'!B29-'08 - 2020'!B28+'08 - 2020'!C29-'08 - 2020'!C28</f>
        <v>0</v>
      </c>
      <c r="F23" s="22">
        <v>0.11799999999999999</v>
      </c>
      <c r="G23" s="24">
        <f>(('08 - 2020'!E29-'08 - 2020'!E28)+('08 - 2020'!F29-'08 - 2020'!F28)+('08 - 2020'!G29-'08 - 2020'!G28))*1.81</f>
        <v>0</v>
      </c>
      <c r="H23" s="22">
        <v>0.99</v>
      </c>
      <c r="I23" s="24">
        <f>'08 - 2020'!J29-'08 - 2020'!J28</f>
        <v>0</v>
      </c>
      <c r="J23" s="22">
        <v>8.1000000000000003E-2</v>
      </c>
      <c r="K23" s="56">
        <f>'08 - 2020'!H29-'08 - 2020'!H28</f>
        <v>0</v>
      </c>
      <c r="L23" s="24">
        <f>'08 - 2020'!I29-'08 - 2020'!I28</f>
        <v>0</v>
      </c>
      <c r="M23" s="23">
        <v>4.3936294247669103</v>
      </c>
      <c r="N23" s="49">
        <v>0</v>
      </c>
    </row>
    <row r="24" spans="1:16" x14ac:dyDescent="0.25">
      <c r="A24" t="s">
        <v>27</v>
      </c>
      <c r="B24">
        <f t="shared" si="0"/>
        <v>23</v>
      </c>
      <c r="C24" s="22">
        <v>8</v>
      </c>
      <c r="D24" s="22">
        <v>2020</v>
      </c>
      <c r="E24" s="24">
        <f>'08 - 2020'!B30-'08 - 2020'!B29+'08 - 2020'!C30-'08 - 2020'!C29</f>
        <v>0</v>
      </c>
      <c r="F24" s="22">
        <v>0.11799999999999999</v>
      </c>
      <c r="G24" s="24">
        <f>(('08 - 2020'!E30-'08 - 2020'!E29)+('08 - 2020'!F30-'08 - 2020'!F29)+('08 - 2020'!G30-'08 - 2020'!G29))*1.81</f>
        <v>0</v>
      </c>
      <c r="H24" s="22">
        <v>0.99</v>
      </c>
      <c r="I24" s="24">
        <f>'08 - 2020'!J30-'08 - 2020'!J29</f>
        <v>0</v>
      </c>
      <c r="J24" s="22">
        <v>8.1000000000000003E-2</v>
      </c>
      <c r="K24" s="56">
        <f>'08 - 2020'!H30-'08 - 2020'!H29</f>
        <v>0</v>
      </c>
      <c r="L24" s="24">
        <f>'08 - 2020'!I30-'08 - 2020'!I29</f>
        <v>0</v>
      </c>
      <c r="M24" s="23">
        <v>4.3936294247669103</v>
      </c>
      <c r="N24" s="49">
        <v>0</v>
      </c>
    </row>
    <row r="25" spans="1:16" x14ac:dyDescent="0.25">
      <c r="A25" t="s">
        <v>27</v>
      </c>
      <c r="B25">
        <f t="shared" si="0"/>
        <v>24</v>
      </c>
      <c r="C25" s="22">
        <v>8</v>
      </c>
      <c r="D25" s="22">
        <v>2020</v>
      </c>
      <c r="E25" s="24">
        <f>'08 - 2020'!B31-'08 - 2020'!B30+'08 - 2020'!C31-'08 - 2020'!C30</f>
        <v>0</v>
      </c>
      <c r="F25" s="22">
        <v>0.11799999999999999</v>
      </c>
      <c r="G25" s="24">
        <f>(('08 - 2020'!E31-'08 - 2020'!E30)+('08 - 2020'!F31-'08 - 2020'!F30)+('08 - 2020'!G31-'08 - 2020'!G30))*1.81</f>
        <v>0</v>
      </c>
      <c r="H25" s="22">
        <v>0.99</v>
      </c>
      <c r="I25" s="24">
        <f>'08 - 2020'!J31-'08 - 2020'!J30</f>
        <v>0</v>
      </c>
      <c r="J25" s="22">
        <v>8.1000000000000003E-2</v>
      </c>
      <c r="K25" s="56">
        <f>'08 - 2020'!H31-'08 - 2020'!H30</f>
        <v>0</v>
      </c>
      <c r="L25" s="24">
        <f>'08 - 2020'!I31-'08 - 2020'!I30</f>
        <v>0</v>
      </c>
      <c r="M25" s="23">
        <v>4.3936294247669103</v>
      </c>
      <c r="N25" s="49">
        <v>0</v>
      </c>
      <c r="P25" s="14"/>
    </row>
    <row r="26" spans="1:16" x14ac:dyDescent="0.25">
      <c r="A26" t="s">
        <v>27</v>
      </c>
      <c r="B26">
        <f>B25+1</f>
        <v>25</v>
      </c>
      <c r="C26" s="22">
        <v>8</v>
      </c>
      <c r="D26" s="22">
        <v>2020</v>
      </c>
      <c r="E26" s="24">
        <f>'08 - 2020'!B32-'08 - 2020'!B31+'08 - 2020'!C32-'08 - 2020'!C31</f>
        <v>0</v>
      </c>
      <c r="F26" s="22">
        <v>0.11799999999999999</v>
      </c>
      <c r="G26" s="24">
        <f>(('08 - 2020'!E32-'08 - 2020'!E31)+('08 - 2020'!F32-'08 - 2020'!F31)+('08 - 2020'!G32-'08 - 2020'!G31))*1.81</f>
        <v>0</v>
      </c>
      <c r="H26" s="22">
        <v>0.99</v>
      </c>
      <c r="I26" s="24">
        <f>'08 - 2020'!J32-'08 - 2020'!J31</f>
        <v>0</v>
      </c>
      <c r="J26" s="22">
        <v>8.1000000000000003E-2</v>
      </c>
      <c r="K26" s="56">
        <f>'08 - 2020'!H32-'08 - 2020'!H31</f>
        <v>0</v>
      </c>
      <c r="L26" s="24">
        <f>'08 - 2020'!I32-'08 - 2020'!I31</f>
        <v>0</v>
      </c>
      <c r="M26" s="23">
        <v>4.3936294247669103</v>
      </c>
      <c r="N26" s="49">
        <v>0</v>
      </c>
    </row>
    <row r="27" spans="1:16" x14ac:dyDescent="0.25">
      <c r="A27" t="s">
        <v>27</v>
      </c>
      <c r="B27">
        <f t="shared" si="0"/>
        <v>26</v>
      </c>
      <c r="C27" s="22">
        <v>8</v>
      </c>
      <c r="D27" s="22">
        <v>2020</v>
      </c>
      <c r="E27" s="24">
        <f>'08 - 2020'!B33-'08 - 2020'!B32+'08 - 2020'!C33-'08 - 2020'!C32</f>
        <v>0</v>
      </c>
      <c r="F27" s="22">
        <v>0.11799999999999999</v>
      </c>
      <c r="G27" s="24">
        <f>(('08 - 2020'!E33-'08 - 2020'!E32)+('08 - 2020'!F33-'08 - 2020'!F32)+('08 - 2020'!G33-'08 - 2020'!G32))*1.81</f>
        <v>0</v>
      </c>
      <c r="H27" s="22">
        <v>0.99</v>
      </c>
      <c r="I27" s="24">
        <f>'08 - 2020'!J33-'08 - 2020'!J32</f>
        <v>0</v>
      </c>
      <c r="J27" s="22">
        <v>8.1000000000000003E-2</v>
      </c>
      <c r="K27" s="56">
        <f>'08 - 2020'!H33-'08 - 2020'!H32</f>
        <v>0</v>
      </c>
      <c r="L27" s="24">
        <f>'08 - 2020'!I33-'08 - 2020'!I32</f>
        <v>0</v>
      </c>
      <c r="M27" s="23">
        <v>4.3936294247669103</v>
      </c>
      <c r="N27" s="49">
        <v>0</v>
      </c>
    </row>
    <row r="28" spans="1:16" x14ac:dyDescent="0.25">
      <c r="A28" t="s">
        <v>27</v>
      </c>
      <c r="B28">
        <f t="shared" si="0"/>
        <v>27</v>
      </c>
      <c r="C28" s="22">
        <v>8</v>
      </c>
      <c r="D28" s="22">
        <v>2020</v>
      </c>
      <c r="E28" s="24">
        <f>'08 - 2020'!B34-'08 - 2020'!B33+'08 - 2020'!C34-'08 - 2020'!C33</f>
        <v>0</v>
      </c>
      <c r="F28" s="22">
        <v>0.11799999999999999</v>
      </c>
      <c r="G28" s="24">
        <f>(('08 - 2020'!E34-'08 - 2020'!E33)+('08 - 2020'!F34-'08 - 2020'!F33)+('08 - 2020'!G34-'08 - 2020'!G33))*1.81</f>
        <v>0</v>
      </c>
      <c r="H28" s="22">
        <v>0.99</v>
      </c>
      <c r="I28" s="24">
        <f>'08 - 2020'!J34-'08 - 2020'!J33</f>
        <v>0</v>
      </c>
      <c r="J28" s="22">
        <v>8.1000000000000003E-2</v>
      </c>
      <c r="K28" s="56">
        <f>'08 - 2020'!H34-'08 - 2020'!H33</f>
        <v>0</v>
      </c>
      <c r="L28" s="24">
        <f>'08 - 2020'!I34-'08 - 2020'!I33</f>
        <v>0</v>
      </c>
      <c r="M28" s="23">
        <v>4.3936294247669103</v>
      </c>
      <c r="N28" s="49">
        <v>0</v>
      </c>
    </row>
    <row r="29" spans="1:16" x14ac:dyDescent="0.25">
      <c r="A29" t="s">
        <v>27</v>
      </c>
      <c r="B29">
        <f t="shared" si="0"/>
        <v>28</v>
      </c>
      <c r="C29" s="22">
        <v>8</v>
      </c>
      <c r="D29" s="22">
        <v>2020</v>
      </c>
      <c r="E29" s="24">
        <f>'08 - 2020'!B35-'08 - 2020'!B34+'08 - 2020'!C35-'08 - 2020'!C34</f>
        <v>0</v>
      </c>
      <c r="F29" s="22">
        <v>0.11799999999999999</v>
      </c>
      <c r="G29" s="24">
        <f>(('08 - 2020'!E35-'08 - 2020'!E34)+('08 - 2020'!F35-'08 - 2020'!F34)+('08 - 2020'!G35-'08 - 2020'!G34))*1.81</f>
        <v>0</v>
      </c>
      <c r="H29" s="22">
        <v>0.99</v>
      </c>
      <c r="I29" s="24">
        <f>'08 - 2020'!J35-'08 - 2020'!J34</f>
        <v>0</v>
      </c>
      <c r="J29" s="22">
        <v>8.1000000000000003E-2</v>
      </c>
      <c r="K29" s="56">
        <f>'08 - 2020'!H35-'08 - 2020'!H34</f>
        <v>0</v>
      </c>
      <c r="L29" s="24">
        <f>'08 - 2020'!I35-'08 - 2020'!I34</f>
        <v>0</v>
      </c>
      <c r="M29" s="23">
        <v>4.3936294247669103</v>
      </c>
      <c r="N29" s="49">
        <v>0</v>
      </c>
    </row>
    <row r="30" spans="1:16" x14ac:dyDescent="0.25">
      <c r="A30" t="s">
        <v>27</v>
      </c>
      <c r="B30">
        <f t="shared" si="0"/>
        <v>29</v>
      </c>
      <c r="C30" s="22">
        <v>8</v>
      </c>
      <c r="D30" s="22">
        <v>2020</v>
      </c>
      <c r="E30" s="24">
        <f>'08 - 2020'!B36-'08 - 2020'!B35+'08 - 2020'!C36-'08 - 2020'!C35</f>
        <v>0</v>
      </c>
      <c r="F30" s="22">
        <v>0.11799999999999999</v>
      </c>
      <c r="G30" s="24">
        <f>(('08 - 2020'!E36-'08 - 2020'!E35)+('08 - 2020'!F36-'08 - 2020'!F35)+('08 - 2020'!G36-'08 - 2020'!G35))*1.81</f>
        <v>0</v>
      </c>
      <c r="H30" s="22">
        <v>0.99</v>
      </c>
      <c r="I30" s="24">
        <f>'08 - 2020'!J36-'08 - 2020'!J35</f>
        <v>0</v>
      </c>
      <c r="J30" s="22">
        <v>8.1000000000000003E-2</v>
      </c>
      <c r="K30" s="56">
        <f>'08 - 2020'!H36-'08 - 2020'!H35</f>
        <v>0</v>
      </c>
      <c r="L30" s="24">
        <f>'08 - 2020'!I36-'08 - 2020'!I35</f>
        <v>0</v>
      </c>
      <c r="M30" s="23">
        <v>4.3936294247669103</v>
      </c>
      <c r="N30" s="49">
        <v>0</v>
      </c>
    </row>
    <row r="31" spans="1:16" x14ac:dyDescent="0.25">
      <c r="A31" s="22" t="s">
        <v>27</v>
      </c>
      <c r="B31" s="22">
        <f t="shared" si="0"/>
        <v>30</v>
      </c>
      <c r="C31" s="22">
        <v>8</v>
      </c>
      <c r="D31" s="22">
        <v>2020</v>
      </c>
      <c r="E31" s="24">
        <f>'08 - 2020'!B37-'08 - 2020'!B36+'08 - 2020'!C37-'08 - 2020'!C36</f>
        <v>0</v>
      </c>
      <c r="F31" s="22">
        <v>0.11799999999999999</v>
      </c>
      <c r="G31" s="24">
        <f>(('08 - 2020'!E37-'08 - 2020'!E36)+('08 - 2020'!F37-'08 - 2020'!F36)+('08 - 2020'!G37-'08 - 2020'!G36))*1.81</f>
        <v>0</v>
      </c>
      <c r="H31" s="22">
        <v>0.99</v>
      </c>
      <c r="I31" s="24">
        <f>'08 - 2020'!J37-'08 - 2020'!J36</f>
        <v>0</v>
      </c>
      <c r="J31" s="22">
        <v>8.1000000000000003E-2</v>
      </c>
      <c r="K31" s="56">
        <f>'08 - 2020'!H37-'08 - 2020'!H36</f>
        <v>0</v>
      </c>
      <c r="L31" s="24">
        <f>'08 - 2020'!I37-'08 - 2020'!I36</f>
        <v>0</v>
      </c>
      <c r="M31" s="23">
        <v>4.3936294247669103</v>
      </c>
      <c r="N31" s="50">
        <v>0</v>
      </c>
    </row>
    <row r="32" spans="1:16" x14ac:dyDescent="0.25">
      <c r="A32" s="22" t="s">
        <v>27</v>
      </c>
      <c r="B32" s="22">
        <f>B31+1</f>
        <v>31</v>
      </c>
      <c r="C32" s="22">
        <v>8</v>
      </c>
      <c r="D32" s="22">
        <v>2020</v>
      </c>
      <c r="E32" s="24">
        <f>'08 - 2020'!B38-'08 - 2020'!B37+'08 - 2020'!C38-'08 - 2020'!C37</f>
        <v>0</v>
      </c>
      <c r="F32" s="22">
        <v>0.11799999999999999</v>
      </c>
      <c r="G32" s="24">
        <f>(('08 - 2020'!E38-'08 - 2020'!E37)+('08 - 2020'!F38-'08 - 2020'!F37)+('08 - 2020'!G38-'08 - 2020'!G37))*1.81</f>
        <v>0</v>
      </c>
      <c r="H32" s="22">
        <v>0.99</v>
      </c>
      <c r="I32" s="24">
        <f>'08 - 2020'!J38-'08 - 2020'!J37</f>
        <v>0</v>
      </c>
      <c r="J32" s="22">
        <v>8.1000000000000003E-2</v>
      </c>
      <c r="K32" s="56">
        <f>'08 - 2020'!H38-'08 - 2020'!H37</f>
        <v>0</v>
      </c>
      <c r="L32" s="24">
        <f>'08 - 2020'!I38-'08 - 2020'!I37</f>
        <v>0</v>
      </c>
      <c r="M32" s="23">
        <v>4.3936294247669103</v>
      </c>
      <c r="N32" s="50"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workbookViewId="0">
      <selection activeCell="J12" sqref="J12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6"/>
    <col min="8" max="10" width="11.5703125" style="6" customWidth="1"/>
    <col min="11" max="248" width="11.5703125" customWidth="1"/>
    <col min="249" max="249" width="13.42578125" customWidth="1"/>
  </cols>
  <sheetData>
    <row r="1" spans="1:13" s="8" customFormat="1" ht="45" x14ac:dyDescent="0.25">
      <c r="A1" s="9" t="s">
        <v>9</v>
      </c>
      <c r="B1" s="9" t="s">
        <v>10</v>
      </c>
      <c r="C1" s="9" t="s">
        <v>11</v>
      </c>
      <c r="D1" s="9" t="s">
        <v>12</v>
      </c>
      <c r="E1" s="10" t="s">
        <v>22</v>
      </c>
      <c r="F1" s="10" t="s">
        <v>23</v>
      </c>
      <c r="G1" s="11" t="s">
        <v>14</v>
      </c>
      <c r="H1" s="10" t="s">
        <v>24</v>
      </c>
      <c r="I1" s="10" t="s">
        <v>25</v>
      </c>
      <c r="J1" s="10" t="s">
        <v>26</v>
      </c>
      <c r="K1" s="11" t="s">
        <v>16</v>
      </c>
      <c r="L1" s="11" t="s">
        <v>21</v>
      </c>
      <c r="M1" s="11"/>
    </row>
    <row r="2" spans="1:13" x14ac:dyDescent="0.25">
      <c r="A2" t="s">
        <v>27</v>
      </c>
      <c r="B2">
        <v>1</v>
      </c>
      <c r="C2">
        <v>8</v>
      </c>
      <c r="D2">
        <v>2020</v>
      </c>
      <c r="E2" s="24">
        <f>'08 - 2020'!B8-'08 - 2020'!B7</f>
        <v>1802</v>
      </c>
      <c r="F2" s="24">
        <f>'08 - 2020'!C8-'08 - 2020'!C7</f>
        <v>4643</v>
      </c>
      <c r="G2" s="22">
        <v>0.11799999999999999</v>
      </c>
      <c r="H2" s="24">
        <f>'08 - 2020'!E8-'08 - 2020'!E7</f>
        <v>12.260000000000218</v>
      </c>
      <c r="I2" s="24">
        <f>'08 - 2020'!F8-'08 - 2020'!F7</f>
        <v>6.0599999999999454</v>
      </c>
      <c r="J2" s="24">
        <f>'08 - 2020'!G8-'08 - 2020'!G7</f>
        <v>20.960000000002765</v>
      </c>
      <c r="K2" s="22">
        <v>0.74</v>
      </c>
      <c r="L2" s="24">
        <v>0</v>
      </c>
      <c r="M2" s="12"/>
    </row>
    <row r="3" spans="1:13" x14ac:dyDescent="0.25">
      <c r="A3" t="s">
        <v>27</v>
      </c>
      <c r="B3">
        <f>B2+1</f>
        <v>2</v>
      </c>
      <c r="C3" s="22">
        <v>8</v>
      </c>
      <c r="D3" s="22">
        <v>2020</v>
      </c>
      <c r="E3" s="24">
        <f>'08 - 2020'!B9-'08 - 2020'!B8</f>
        <v>1893</v>
      </c>
      <c r="F3" s="24">
        <f>'08 - 2020'!C9-'08 - 2020'!C8</f>
        <v>4955</v>
      </c>
      <c r="G3" s="22">
        <v>0.11799999999999999</v>
      </c>
      <c r="H3" s="24">
        <f>'08 - 2020'!E9-'08 - 2020'!E8</f>
        <v>11.319999999999709</v>
      </c>
      <c r="I3" s="24">
        <f>'08 - 2020'!F9-'08 - 2020'!F8</f>
        <v>4.5</v>
      </c>
      <c r="J3" s="24">
        <f>'08 - 2020'!G9-'08 - 2020'!G8</f>
        <v>21.759999999998399</v>
      </c>
      <c r="K3" s="22">
        <v>0.74</v>
      </c>
      <c r="L3" s="48">
        <v>0</v>
      </c>
      <c r="M3" s="12"/>
    </row>
    <row r="4" spans="1:13" x14ac:dyDescent="0.25">
      <c r="A4" t="s">
        <v>27</v>
      </c>
      <c r="B4">
        <f t="shared" ref="B4:B30" si="0">B3+1</f>
        <v>3</v>
      </c>
      <c r="C4" s="22">
        <v>8</v>
      </c>
      <c r="D4" s="22">
        <v>2020</v>
      </c>
      <c r="E4" s="24">
        <f>'08 - 2020'!B10-'08 - 2020'!B9</f>
        <v>1960</v>
      </c>
      <c r="F4" s="24">
        <f>'08 - 2020'!C10-'08 - 2020'!C9</f>
        <v>4891</v>
      </c>
      <c r="G4" s="22">
        <v>0.11799999999999999</v>
      </c>
      <c r="H4" s="24">
        <f>'08 - 2020'!E10-'08 - 2020'!E9</f>
        <v>11.659999999999854</v>
      </c>
      <c r="I4" s="24">
        <f>'08 - 2020'!F10-'08 - 2020'!F9</f>
        <v>4.5100000000002183</v>
      </c>
      <c r="J4" s="24">
        <f>'08 - 2020'!G10-'08 - 2020'!G9</f>
        <v>25.110000000000582</v>
      </c>
      <c r="K4" s="22">
        <v>0.74</v>
      </c>
      <c r="L4" s="48">
        <v>0</v>
      </c>
      <c r="M4" s="12"/>
    </row>
    <row r="5" spans="1:13" x14ac:dyDescent="0.25">
      <c r="A5" t="s">
        <v>27</v>
      </c>
      <c r="B5">
        <f t="shared" si="0"/>
        <v>4</v>
      </c>
      <c r="C5" s="22">
        <v>8</v>
      </c>
      <c r="D5" s="22">
        <v>2020</v>
      </c>
      <c r="E5" s="24">
        <f>'08 - 2020'!B11-'08 - 2020'!B10</f>
        <v>1845</v>
      </c>
      <c r="F5" s="24">
        <f>'08 - 2020'!C11-'08 - 2020'!C10</f>
        <v>4455</v>
      </c>
      <c r="G5" s="22">
        <v>0.11799999999999999</v>
      </c>
      <c r="H5" s="24">
        <f>'08 - 2020'!E11-'08 - 2020'!E10</f>
        <v>11.770000000000437</v>
      </c>
      <c r="I5" s="24">
        <f>'08 - 2020'!F11-'08 - 2020'!F10</f>
        <v>5.5599999999999454</v>
      </c>
      <c r="J5" s="24">
        <f>'08 - 2020'!G11-'08 - 2020'!G10</f>
        <v>17.739999999997963</v>
      </c>
      <c r="K5" s="22">
        <v>0.74</v>
      </c>
      <c r="L5" s="48">
        <v>0</v>
      </c>
      <c r="M5" s="12"/>
    </row>
    <row r="6" spans="1:13" x14ac:dyDescent="0.25">
      <c r="A6" t="s">
        <v>27</v>
      </c>
      <c r="B6">
        <f t="shared" si="0"/>
        <v>5</v>
      </c>
      <c r="C6" s="22">
        <v>8</v>
      </c>
      <c r="D6" s="22">
        <v>2020</v>
      </c>
      <c r="E6" s="24">
        <f>'08 - 2020'!B12-'08 - 2020'!B11</f>
        <v>1883</v>
      </c>
      <c r="F6" s="24">
        <f>'08 - 2020'!C12-'08 - 2020'!C11</f>
        <v>4558</v>
      </c>
      <c r="G6" s="22">
        <v>0.11799999999999999</v>
      </c>
      <c r="H6" s="24">
        <f>'08 - 2020'!E12-'08 - 2020'!E11</f>
        <v>12.020000000000437</v>
      </c>
      <c r="I6" s="24">
        <f>'08 - 2020'!F12-'08 - 2020'!F11</f>
        <v>4.2100000000000364</v>
      </c>
      <c r="J6" s="24">
        <f>'08 - 2020'!G12-'08 - 2020'!G11</f>
        <v>22.110000000000582</v>
      </c>
      <c r="K6" s="22">
        <v>0.74</v>
      </c>
      <c r="L6" s="48">
        <v>0</v>
      </c>
      <c r="M6" s="13"/>
    </row>
    <row r="7" spans="1:13" x14ac:dyDescent="0.25">
      <c r="A7" t="s">
        <v>27</v>
      </c>
      <c r="B7">
        <f t="shared" si="0"/>
        <v>6</v>
      </c>
      <c r="C7" s="22">
        <v>8</v>
      </c>
      <c r="D7" s="22">
        <v>2020</v>
      </c>
      <c r="E7" s="24">
        <f>'08 - 2020'!B13-'08 - 2020'!B12</f>
        <v>1937</v>
      </c>
      <c r="F7" s="24">
        <f>'08 - 2020'!C13-'08 - 2020'!C12</f>
        <v>5047</v>
      </c>
      <c r="G7" s="22">
        <v>0.11799999999999999</v>
      </c>
      <c r="H7" s="24">
        <f>'08 - 2020'!E13-'08 - 2020'!E12</f>
        <v>12.840000000000146</v>
      </c>
      <c r="I7" s="24">
        <f>'08 - 2020'!F13-'08 - 2020'!F12</f>
        <v>4.1100000000001273</v>
      </c>
      <c r="J7" s="24">
        <f>'08 - 2020'!G13-'08 - 2020'!G12</f>
        <v>22.080000000001746</v>
      </c>
      <c r="K7" s="22">
        <v>0.74</v>
      </c>
      <c r="L7" s="48">
        <v>0</v>
      </c>
      <c r="M7" s="13"/>
    </row>
    <row r="8" spans="1:13" x14ac:dyDescent="0.25">
      <c r="A8" t="s">
        <v>27</v>
      </c>
      <c r="B8">
        <f t="shared" si="0"/>
        <v>7</v>
      </c>
      <c r="C8" s="22">
        <v>8</v>
      </c>
      <c r="D8" s="22">
        <v>2020</v>
      </c>
      <c r="E8" s="24">
        <v>0</v>
      </c>
      <c r="F8" s="24">
        <v>0</v>
      </c>
      <c r="G8" s="22">
        <v>0.11799999999999999</v>
      </c>
      <c r="H8" s="24">
        <v>0</v>
      </c>
      <c r="I8" s="24">
        <v>0</v>
      </c>
      <c r="J8" s="24">
        <v>0</v>
      </c>
      <c r="K8" s="22">
        <v>0.74</v>
      </c>
      <c r="L8" s="48">
        <v>0</v>
      </c>
      <c r="M8" s="13"/>
    </row>
    <row r="9" spans="1:13" x14ac:dyDescent="0.25">
      <c r="A9" t="s">
        <v>27</v>
      </c>
      <c r="B9">
        <f t="shared" si="0"/>
        <v>8</v>
      </c>
      <c r="C9" s="22">
        <v>8</v>
      </c>
      <c r="D9" s="22">
        <v>2020</v>
      </c>
      <c r="E9" s="24">
        <f>'08 - 2020'!B15-'08 - 2020'!B14</f>
        <v>0</v>
      </c>
      <c r="F9" s="24">
        <f>'08 - 2020'!C15-'08 - 2020'!C14</f>
        <v>0</v>
      </c>
      <c r="G9" s="22">
        <v>0.11799999999999999</v>
      </c>
      <c r="H9" s="24">
        <f>'08 - 2020'!E15-'08 - 2020'!E14</f>
        <v>0</v>
      </c>
      <c r="I9" s="24">
        <f>'08 - 2020'!F15-'08 - 2020'!F14</f>
        <v>0</v>
      </c>
      <c r="J9" s="24">
        <f>'08 - 2020'!G15-'08 - 2020'!G14</f>
        <v>0</v>
      </c>
      <c r="K9" s="22">
        <v>0.74</v>
      </c>
      <c r="L9" s="48">
        <v>0</v>
      </c>
      <c r="M9" s="13"/>
    </row>
    <row r="10" spans="1:13" x14ac:dyDescent="0.25">
      <c r="A10" t="s">
        <v>27</v>
      </c>
      <c r="B10">
        <f t="shared" si="0"/>
        <v>9</v>
      </c>
      <c r="C10" s="22">
        <v>8</v>
      </c>
      <c r="D10" s="22">
        <v>2020</v>
      </c>
      <c r="E10" s="24">
        <f>'08 - 2020'!B16-'08 - 2020'!B15</f>
        <v>0</v>
      </c>
      <c r="F10" s="24">
        <f>'08 - 2020'!C16-'08 - 2020'!C15</f>
        <v>0</v>
      </c>
      <c r="G10" s="22">
        <v>0.11799999999999999</v>
      </c>
      <c r="H10" s="24">
        <f>'08 - 2020'!E16-'08 - 2020'!E15</f>
        <v>0</v>
      </c>
      <c r="I10" s="24">
        <f>'08 - 2020'!F16-'08 - 2020'!F15</f>
        <v>0</v>
      </c>
      <c r="J10" s="24">
        <f>'08 - 2020'!G16-'08 - 2020'!G15</f>
        <v>0</v>
      </c>
      <c r="K10" s="22">
        <v>0.74</v>
      </c>
      <c r="L10" s="48">
        <v>0</v>
      </c>
      <c r="M10" s="13"/>
    </row>
    <row r="11" spans="1:13" x14ac:dyDescent="0.25">
      <c r="A11" t="s">
        <v>27</v>
      </c>
      <c r="B11">
        <f t="shared" si="0"/>
        <v>10</v>
      </c>
      <c r="C11" s="22">
        <v>8</v>
      </c>
      <c r="D11" s="22">
        <v>2020</v>
      </c>
      <c r="E11" s="24">
        <f>'08 - 2020'!B17-'08 - 2020'!B16</f>
        <v>0</v>
      </c>
      <c r="F11" s="24">
        <f>'08 - 2020'!C17-'08 - 2020'!C16</f>
        <v>0</v>
      </c>
      <c r="G11" s="22">
        <v>0.11799999999999999</v>
      </c>
      <c r="H11" s="24">
        <f>'08 - 2020'!E17-'08 - 2020'!E16</f>
        <v>0</v>
      </c>
      <c r="I11" s="24">
        <f>'08 - 2020'!F17-'08 - 2020'!F16</f>
        <v>0</v>
      </c>
      <c r="J11" s="24">
        <f>'08 - 2020'!G17-'08 - 2020'!G16</f>
        <v>0</v>
      </c>
      <c r="K11" s="22">
        <v>0.74</v>
      </c>
      <c r="L11" s="48">
        <v>0</v>
      </c>
      <c r="M11" s="13"/>
    </row>
    <row r="12" spans="1:13" x14ac:dyDescent="0.25">
      <c r="A12" t="s">
        <v>27</v>
      </c>
      <c r="B12">
        <f t="shared" si="0"/>
        <v>11</v>
      </c>
      <c r="C12" s="22">
        <v>8</v>
      </c>
      <c r="D12" s="22">
        <v>2020</v>
      </c>
      <c r="E12" s="24">
        <f>'08 - 2020'!B18-'08 - 2020'!B17</f>
        <v>0</v>
      </c>
      <c r="F12" s="24">
        <f>'08 - 2020'!C18-'08 - 2020'!C17</f>
        <v>0</v>
      </c>
      <c r="G12" s="22">
        <v>0.11799999999999999</v>
      </c>
      <c r="H12" s="24">
        <f>'08 - 2020'!E18-'08 - 2020'!E17</f>
        <v>0</v>
      </c>
      <c r="I12" s="24">
        <f>'08 - 2020'!F18-'08 - 2020'!F17</f>
        <v>0</v>
      </c>
      <c r="J12" s="24">
        <f>'08 - 2020'!G18-'08 - 2020'!G17</f>
        <v>0</v>
      </c>
      <c r="K12" s="22">
        <v>0.74</v>
      </c>
      <c r="L12" s="24">
        <v>0</v>
      </c>
      <c r="M12" s="13"/>
    </row>
    <row r="13" spans="1:13" x14ac:dyDescent="0.25">
      <c r="A13" t="s">
        <v>27</v>
      </c>
      <c r="B13">
        <f t="shared" si="0"/>
        <v>12</v>
      </c>
      <c r="C13" s="22">
        <v>8</v>
      </c>
      <c r="D13" s="22">
        <v>2020</v>
      </c>
      <c r="E13" s="24">
        <f>'08 - 2020'!B19-'08 - 2020'!B18</f>
        <v>0</v>
      </c>
      <c r="F13" s="24">
        <f>'08 - 2020'!C19-'08 - 2020'!C18</f>
        <v>0</v>
      </c>
      <c r="G13" s="22">
        <v>0.11799999999999999</v>
      </c>
      <c r="H13" s="24">
        <f>'08 - 2020'!E19-'08 - 2020'!E18</f>
        <v>0</v>
      </c>
      <c r="I13" s="24">
        <f>'08 - 2020'!F19-'08 - 2020'!F18</f>
        <v>0</v>
      </c>
      <c r="J13" s="24">
        <f>'08 - 2020'!G19-'08 - 2020'!G18</f>
        <v>0</v>
      </c>
      <c r="K13" s="22">
        <v>0.74</v>
      </c>
      <c r="L13" s="24">
        <v>0</v>
      </c>
      <c r="M13" s="13"/>
    </row>
    <row r="14" spans="1:13" x14ac:dyDescent="0.25">
      <c r="A14" t="s">
        <v>27</v>
      </c>
      <c r="B14">
        <f t="shared" si="0"/>
        <v>13</v>
      </c>
      <c r="C14" s="22">
        <v>8</v>
      </c>
      <c r="D14" s="22">
        <v>2020</v>
      </c>
      <c r="E14" s="24">
        <f>'08 - 2020'!B20-'08 - 2020'!B19</f>
        <v>0</v>
      </c>
      <c r="F14" s="24">
        <f>'08 - 2020'!C20-'08 - 2020'!C19</f>
        <v>0</v>
      </c>
      <c r="G14" s="22">
        <v>0.11799999999999999</v>
      </c>
      <c r="H14" s="24">
        <f>'08 - 2020'!E20-'08 - 2020'!E19</f>
        <v>0</v>
      </c>
      <c r="I14" s="24">
        <f>'08 - 2020'!F20-'08 - 2020'!F19</f>
        <v>0</v>
      </c>
      <c r="J14" s="24">
        <f>'08 - 2020'!G20-'08 - 2020'!G19</f>
        <v>0</v>
      </c>
      <c r="K14" s="22">
        <v>0.74</v>
      </c>
      <c r="L14" s="24">
        <v>0</v>
      </c>
      <c r="M14" s="13"/>
    </row>
    <row r="15" spans="1:13" x14ac:dyDescent="0.25">
      <c r="A15" t="s">
        <v>27</v>
      </c>
      <c r="B15">
        <f t="shared" si="0"/>
        <v>14</v>
      </c>
      <c r="C15" s="22">
        <v>8</v>
      </c>
      <c r="D15" s="22">
        <v>2020</v>
      </c>
      <c r="E15" s="24">
        <f>'08 - 2020'!B21-'08 - 2020'!B20</f>
        <v>0</v>
      </c>
      <c r="F15" s="24">
        <f>'08 - 2020'!C21-'08 - 2020'!C20</f>
        <v>0</v>
      </c>
      <c r="G15" s="22">
        <v>0.11799999999999999</v>
      </c>
      <c r="H15" s="24">
        <f>'08 - 2020'!E21-'08 - 2020'!E20</f>
        <v>0</v>
      </c>
      <c r="I15" s="24">
        <f>'08 - 2020'!F21-'08 - 2020'!F20</f>
        <v>0</v>
      </c>
      <c r="J15" s="24">
        <f>'08 - 2020'!G21-'08 - 2020'!G20</f>
        <v>0</v>
      </c>
      <c r="K15" s="22">
        <v>0.74</v>
      </c>
      <c r="L15" s="24">
        <v>0</v>
      </c>
      <c r="M15" s="13"/>
    </row>
    <row r="16" spans="1:13" x14ac:dyDescent="0.25">
      <c r="A16" t="s">
        <v>27</v>
      </c>
      <c r="B16">
        <f t="shared" si="0"/>
        <v>15</v>
      </c>
      <c r="C16" s="22">
        <v>8</v>
      </c>
      <c r="D16" s="22">
        <v>2020</v>
      </c>
      <c r="E16" s="24">
        <f>'08 - 2020'!B22-'08 - 2020'!B21</f>
        <v>0</v>
      </c>
      <c r="F16" s="24">
        <f>'08 - 2020'!C22-'08 - 2020'!C21</f>
        <v>0</v>
      </c>
      <c r="G16" s="22">
        <v>0.11799999999999999</v>
      </c>
      <c r="H16" s="24">
        <f>'08 - 2020'!E22-'08 - 2020'!E21</f>
        <v>0</v>
      </c>
      <c r="I16" s="24">
        <f>'08 - 2020'!F22-'08 - 2020'!F21</f>
        <v>0</v>
      </c>
      <c r="J16" s="24">
        <f>'08 - 2020'!G22-'08 - 2020'!G21</f>
        <v>0</v>
      </c>
      <c r="K16" s="22">
        <v>0.74</v>
      </c>
      <c r="L16" s="24">
        <v>0</v>
      </c>
      <c r="M16" s="13"/>
    </row>
    <row r="17" spans="1:13" x14ac:dyDescent="0.25">
      <c r="A17" t="s">
        <v>27</v>
      </c>
      <c r="B17">
        <f t="shared" si="0"/>
        <v>16</v>
      </c>
      <c r="C17" s="22">
        <v>8</v>
      </c>
      <c r="D17" s="22">
        <v>2020</v>
      </c>
      <c r="E17" s="24">
        <f>'08 - 2020'!B23-'08 - 2020'!B22</f>
        <v>0</v>
      </c>
      <c r="F17" s="24">
        <f>'08 - 2020'!C23-'08 - 2020'!C22</f>
        <v>0</v>
      </c>
      <c r="G17" s="22">
        <v>0.11799999999999999</v>
      </c>
      <c r="H17" s="24">
        <f>'08 - 2020'!E23-'08 - 2020'!E22</f>
        <v>0</v>
      </c>
      <c r="I17" s="24">
        <f>'08 - 2020'!F23-'08 - 2020'!F22</f>
        <v>0</v>
      </c>
      <c r="J17" s="24">
        <f>'08 - 2020'!G23-'08 - 2020'!G22</f>
        <v>0</v>
      </c>
      <c r="K17" s="22">
        <v>0.74</v>
      </c>
      <c r="L17" s="24">
        <v>0</v>
      </c>
      <c r="M17" s="13"/>
    </row>
    <row r="18" spans="1:13" x14ac:dyDescent="0.25">
      <c r="A18" t="s">
        <v>27</v>
      </c>
      <c r="B18">
        <f t="shared" si="0"/>
        <v>17</v>
      </c>
      <c r="C18" s="22">
        <v>8</v>
      </c>
      <c r="D18" s="22">
        <v>2020</v>
      </c>
      <c r="E18" s="24">
        <f>'08 - 2020'!B24-'08 - 2020'!B23</f>
        <v>0</v>
      </c>
      <c r="F18" s="24">
        <f>'08 - 2020'!C24-'08 - 2020'!C23</f>
        <v>0</v>
      </c>
      <c r="G18" s="22">
        <v>0.11799999999999999</v>
      </c>
      <c r="H18" s="24">
        <f>'08 - 2020'!E24-'08 - 2020'!E23</f>
        <v>0</v>
      </c>
      <c r="I18" s="24">
        <f>'08 - 2020'!F24-'08 - 2020'!F23</f>
        <v>0</v>
      </c>
      <c r="J18" s="24">
        <f>'08 - 2020'!G24-'08 - 2020'!G23</f>
        <v>0</v>
      </c>
      <c r="K18" s="22">
        <v>0.74</v>
      </c>
      <c r="L18" s="24">
        <v>0</v>
      </c>
      <c r="M18" s="13"/>
    </row>
    <row r="19" spans="1:13" x14ac:dyDescent="0.25">
      <c r="A19" t="s">
        <v>27</v>
      </c>
      <c r="B19">
        <f>B18+1</f>
        <v>18</v>
      </c>
      <c r="C19" s="22">
        <v>8</v>
      </c>
      <c r="D19" s="22">
        <v>2020</v>
      </c>
      <c r="E19" s="24">
        <f>'08 - 2020'!B25-'08 - 2020'!B24</f>
        <v>0</v>
      </c>
      <c r="F19" s="24">
        <f>'08 - 2020'!C25-'08 - 2020'!C24</f>
        <v>0</v>
      </c>
      <c r="G19" s="22">
        <v>0.11799999999999999</v>
      </c>
      <c r="H19" s="24">
        <f>'08 - 2020'!E25-'08 - 2020'!E24</f>
        <v>0</v>
      </c>
      <c r="I19" s="24">
        <f>'08 - 2020'!F25-'08 - 2020'!F24</f>
        <v>0</v>
      </c>
      <c r="J19" s="24">
        <f>'08 - 2020'!G25-'08 - 2020'!G24</f>
        <v>0</v>
      </c>
      <c r="K19" s="22">
        <v>0.74</v>
      </c>
      <c r="L19" s="24">
        <v>0</v>
      </c>
      <c r="M19" s="13"/>
    </row>
    <row r="20" spans="1:13" x14ac:dyDescent="0.25">
      <c r="A20" t="s">
        <v>27</v>
      </c>
      <c r="B20">
        <f t="shared" si="0"/>
        <v>19</v>
      </c>
      <c r="C20" s="22">
        <v>8</v>
      </c>
      <c r="D20" s="22">
        <v>2020</v>
      </c>
      <c r="E20" s="24">
        <f>'08 - 2020'!B26-'08 - 2020'!B25</f>
        <v>0</v>
      </c>
      <c r="F20" s="24">
        <f>'08 - 2020'!C26-'08 - 2020'!C25</f>
        <v>0</v>
      </c>
      <c r="G20" s="22">
        <v>0.11799999999999999</v>
      </c>
      <c r="H20" s="24">
        <f>'08 - 2020'!E26-'08 - 2020'!E25</f>
        <v>0</v>
      </c>
      <c r="I20" s="24">
        <f>'08 - 2020'!F26-'08 - 2020'!F25</f>
        <v>0</v>
      </c>
      <c r="J20" s="24">
        <f>'08 - 2020'!G26-'08 - 2020'!G25</f>
        <v>0</v>
      </c>
      <c r="K20" s="22">
        <v>0.74</v>
      </c>
      <c r="L20" s="6">
        <v>0</v>
      </c>
      <c r="M20" s="13"/>
    </row>
    <row r="21" spans="1:13" x14ac:dyDescent="0.25">
      <c r="A21" t="s">
        <v>27</v>
      </c>
      <c r="B21">
        <f t="shared" si="0"/>
        <v>20</v>
      </c>
      <c r="C21" s="22">
        <v>8</v>
      </c>
      <c r="D21" s="22">
        <v>2020</v>
      </c>
      <c r="E21" s="24">
        <f>'08 - 2020'!B27-'08 - 2020'!B26</f>
        <v>0</v>
      </c>
      <c r="F21" s="24">
        <f>'08 - 2020'!C27-'08 - 2020'!C26</f>
        <v>0</v>
      </c>
      <c r="G21" s="22">
        <v>0.11799999999999999</v>
      </c>
      <c r="H21" s="24">
        <f>'08 - 2020'!E27-'08 - 2020'!E26</f>
        <v>0</v>
      </c>
      <c r="I21" s="24">
        <f>'08 - 2020'!F27-'08 - 2020'!F26</f>
        <v>0</v>
      </c>
      <c r="J21" s="24">
        <f>'08 - 2020'!G27-'08 - 2020'!G26</f>
        <v>0</v>
      </c>
      <c r="K21" s="22">
        <v>0.74</v>
      </c>
      <c r="L21" s="6">
        <v>0</v>
      </c>
      <c r="M21" s="13"/>
    </row>
    <row r="22" spans="1:13" x14ac:dyDescent="0.25">
      <c r="A22" t="s">
        <v>27</v>
      </c>
      <c r="B22">
        <f t="shared" si="0"/>
        <v>21</v>
      </c>
      <c r="C22" s="22">
        <v>8</v>
      </c>
      <c r="D22" s="22">
        <v>2020</v>
      </c>
      <c r="E22" s="24">
        <f>'08 - 2020'!B28-'08 - 2020'!B27</f>
        <v>0</v>
      </c>
      <c r="F22" s="24">
        <f>'08 - 2020'!C28-'08 - 2020'!C27</f>
        <v>0</v>
      </c>
      <c r="G22" s="22">
        <v>0.11799999999999999</v>
      </c>
      <c r="H22" s="24">
        <f>'08 - 2020'!E28-'08 - 2020'!E27</f>
        <v>0</v>
      </c>
      <c r="I22" s="24">
        <f>'08 - 2020'!F28-'08 - 2020'!F27</f>
        <v>0</v>
      </c>
      <c r="J22" s="24">
        <f>'08 - 2020'!G28-'08 - 2020'!G27</f>
        <v>0</v>
      </c>
      <c r="K22" s="22">
        <v>0.74</v>
      </c>
      <c r="L22" s="24">
        <v>0</v>
      </c>
      <c r="M22" s="13"/>
    </row>
    <row r="23" spans="1:13" x14ac:dyDescent="0.25">
      <c r="A23" t="s">
        <v>27</v>
      </c>
      <c r="B23">
        <f t="shared" si="0"/>
        <v>22</v>
      </c>
      <c r="C23" s="22">
        <v>8</v>
      </c>
      <c r="D23" s="22">
        <v>2020</v>
      </c>
      <c r="E23" s="24">
        <f>'08 - 2020'!B29-'08 - 2020'!B28</f>
        <v>0</v>
      </c>
      <c r="F23" s="24">
        <f>'08 - 2020'!C29-'08 - 2020'!C28</f>
        <v>0</v>
      </c>
      <c r="G23" s="22">
        <v>0.11799999999999999</v>
      </c>
      <c r="H23" s="24">
        <f>'08 - 2020'!E29-'08 - 2020'!E28</f>
        <v>0</v>
      </c>
      <c r="I23" s="24">
        <f>'08 - 2020'!F29-'08 - 2020'!F28</f>
        <v>0</v>
      </c>
      <c r="J23" s="24">
        <f>'08 - 2020'!G29-'08 - 2020'!G28</f>
        <v>0</v>
      </c>
      <c r="K23" s="22">
        <v>0.74</v>
      </c>
      <c r="L23" s="24">
        <v>0</v>
      </c>
      <c r="M23" s="13"/>
    </row>
    <row r="24" spans="1:13" x14ac:dyDescent="0.25">
      <c r="A24" t="s">
        <v>27</v>
      </c>
      <c r="B24">
        <f t="shared" si="0"/>
        <v>23</v>
      </c>
      <c r="C24" s="22">
        <v>8</v>
      </c>
      <c r="D24" s="22">
        <v>2020</v>
      </c>
      <c r="E24" s="24">
        <f>'08 - 2020'!B30-'08 - 2020'!B29</f>
        <v>0</v>
      </c>
      <c r="F24" s="24">
        <f>'08 - 2020'!C30-'08 - 2020'!C29</f>
        <v>0</v>
      </c>
      <c r="G24" s="22">
        <v>0.11799999999999999</v>
      </c>
      <c r="H24" s="24">
        <f>'08 - 2020'!E30-'08 - 2020'!E29</f>
        <v>0</v>
      </c>
      <c r="I24" s="24">
        <f>'08 - 2020'!F30-'08 - 2020'!F29</f>
        <v>0</v>
      </c>
      <c r="J24" s="24">
        <f>'08 - 2020'!G30-'08 - 2020'!G29</f>
        <v>0</v>
      </c>
      <c r="K24" s="22">
        <v>0.74</v>
      </c>
      <c r="L24" s="24">
        <v>0</v>
      </c>
      <c r="M24" s="13"/>
    </row>
    <row r="25" spans="1:13" x14ac:dyDescent="0.25">
      <c r="A25" t="s">
        <v>27</v>
      </c>
      <c r="B25">
        <f t="shared" si="0"/>
        <v>24</v>
      </c>
      <c r="C25" s="22">
        <v>8</v>
      </c>
      <c r="D25" s="22">
        <v>2020</v>
      </c>
      <c r="E25" s="24">
        <f>'08 - 2020'!B31-'08 - 2020'!B30</f>
        <v>0</v>
      </c>
      <c r="F25" s="24">
        <f>'08 - 2020'!C31-'08 - 2020'!C30</f>
        <v>0</v>
      </c>
      <c r="G25" s="22">
        <v>0.11799999999999999</v>
      </c>
      <c r="H25" s="24">
        <f>'08 - 2020'!E31-'08 - 2020'!E30</f>
        <v>0</v>
      </c>
      <c r="I25" s="24">
        <f>'08 - 2020'!F31-'08 - 2020'!F30</f>
        <v>0</v>
      </c>
      <c r="J25" s="24">
        <f>'08 - 2020'!G31-'08 - 2020'!G30</f>
        <v>0</v>
      </c>
      <c r="K25" s="22">
        <v>0.74</v>
      </c>
      <c r="L25" s="6">
        <v>0</v>
      </c>
      <c r="M25" s="13"/>
    </row>
    <row r="26" spans="1:13" x14ac:dyDescent="0.25">
      <c r="A26" t="s">
        <v>27</v>
      </c>
      <c r="B26">
        <f>B25+1</f>
        <v>25</v>
      </c>
      <c r="C26" s="22">
        <v>8</v>
      </c>
      <c r="D26" s="22">
        <v>2020</v>
      </c>
      <c r="E26" s="24">
        <f>'08 - 2020'!B32-'08 - 2020'!B31</f>
        <v>0</v>
      </c>
      <c r="F26" s="24">
        <f>'08 - 2020'!C32-'08 - 2020'!C31</f>
        <v>0</v>
      </c>
      <c r="G26" s="22">
        <v>0.11799999999999999</v>
      </c>
      <c r="H26" s="24">
        <f>'08 - 2020'!E32-'08 - 2020'!E31</f>
        <v>0</v>
      </c>
      <c r="I26" s="24">
        <f>'08 - 2020'!F32-'08 - 2020'!F31</f>
        <v>0</v>
      </c>
      <c r="J26" s="24">
        <f>'08 - 2020'!G32-'08 - 2020'!G31</f>
        <v>0</v>
      </c>
      <c r="K26" s="22">
        <v>0.74</v>
      </c>
      <c r="L26" s="6">
        <v>0</v>
      </c>
      <c r="M26" s="13"/>
    </row>
    <row r="27" spans="1:13" x14ac:dyDescent="0.25">
      <c r="A27" t="s">
        <v>27</v>
      </c>
      <c r="B27">
        <f t="shared" si="0"/>
        <v>26</v>
      </c>
      <c r="C27" s="22">
        <v>8</v>
      </c>
      <c r="D27" s="22">
        <v>2020</v>
      </c>
      <c r="E27" s="24">
        <f>'08 - 2020'!B33-'08 - 2020'!B32</f>
        <v>0</v>
      </c>
      <c r="F27" s="24">
        <f>'08 - 2020'!C33-'08 - 2020'!C32</f>
        <v>0</v>
      </c>
      <c r="G27" s="22">
        <v>0.11799999999999999</v>
      </c>
      <c r="H27" s="24">
        <f>'08 - 2020'!E33-'08 - 2020'!E32</f>
        <v>0</v>
      </c>
      <c r="I27" s="24">
        <f>'08 - 2020'!F33-'08 - 2020'!F32</f>
        <v>0</v>
      </c>
      <c r="J27" s="24">
        <f>'08 - 2020'!G33-'08 - 2020'!G32</f>
        <v>0</v>
      </c>
      <c r="K27" s="22">
        <v>0.74</v>
      </c>
      <c r="L27" s="6">
        <v>0</v>
      </c>
      <c r="M27" s="13"/>
    </row>
    <row r="28" spans="1:13" x14ac:dyDescent="0.25">
      <c r="A28" t="s">
        <v>27</v>
      </c>
      <c r="B28">
        <f t="shared" si="0"/>
        <v>27</v>
      </c>
      <c r="C28" s="22">
        <v>8</v>
      </c>
      <c r="D28" s="22">
        <v>2020</v>
      </c>
      <c r="E28" s="24">
        <f>'08 - 2020'!B34-'08 - 2020'!B33</f>
        <v>0</v>
      </c>
      <c r="F28" s="24">
        <f>'08 - 2020'!C34-'08 - 2020'!C33</f>
        <v>0</v>
      </c>
      <c r="G28" s="22">
        <v>0.11799999999999999</v>
      </c>
      <c r="H28" s="24">
        <f>'08 - 2020'!E34-'08 - 2020'!E33</f>
        <v>0</v>
      </c>
      <c r="I28" s="24">
        <f>'08 - 2020'!F34-'08 - 2020'!F33</f>
        <v>0</v>
      </c>
      <c r="J28" s="24">
        <f>'08 - 2020'!G34-'08 - 2020'!G33</f>
        <v>0</v>
      </c>
      <c r="K28" s="22">
        <v>0.74</v>
      </c>
      <c r="L28" s="6">
        <v>0</v>
      </c>
      <c r="M28" s="13"/>
    </row>
    <row r="29" spans="1:13" x14ac:dyDescent="0.25">
      <c r="A29" t="s">
        <v>27</v>
      </c>
      <c r="B29">
        <f t="shared" si="0"/>
        <v>28</v>
      </c>
      <c r="C29" s="22">
        <v>8</v>
      </c>
      <c r="D29" s="22">
        <v>2020</v>
      </c>
      <c r="E29" s="24">
        <f>'08 - 2020'!B35-'08 - 2020'!B34</f>
        <v>0</v>
      </c>
      <c r="F29" s="24">
        <f>'08 - 2020'!C35-'08 - 2020'!C34</f>
        <v>0</v>
      </c>
      <c r="G29" s="22">
        <v>0.11799999999999999</v>
      </c>
      <c r="H29" s="24">
        <f>'08 - 2020'!E35-'08 - 2020'!E34</f>
        <v>0</v>
      </c>
      <c r="I29" s="24">
        <f>'08 - 2020'!F35-'08 - 2020'!F34</f>
        <v>0</v>
      </c>
      <c r="J29" s="24">
        <f>'08 - 2020'!G35-'08 - 2020'!G34</f>
        <v>0</v>
      </c>
      <c r="K29" s="22">
        <v>0.74</v>
      </c>
      <c r="L29" s="6">
        <v>0</v>
      </c>
      <c r="M29" s="13"/>
    </row>
    <row r="30" spans="1:13" x14ac:dyDescent="0.25">
      <c r="A30" t="s">
        <v>27</v>
      </c>
      <c r="B30">
        <f t="shared" si="0"/>
        <v>29</v>
      </c>
      <c r="C30" s="22">
        <v>8</v>
      </c>
      <c r="D30" s="22">
        <v>2020</v>
      </c>
      <c r="E30" s="24">
        <f>'08 - 2020'!B36-'08 - 2020'!B35</f>
        <v>0</v>
      </c>
      <c r="F30" s="24">
        <f>'08 - 2020'!C36-'08 - 2020'!C35</f>
        <v>0</v>
      </c>
      <c r="G30" s="22">
        <v>0.11799999999999999</v>
      </c>
      <c r="H30" s="24">
        <f>'08 - 2020'!E36-'08 - 2020'!E35</f>
        <v>0</v>
      </c>
      <c r="I30" s="24">
        <f>'08 - 2020'!F36-'08 - 2020'!F35</f>
        <v>0</v>
      </c>
      <c r="J30" s="24">
        <f>'08 - 2020'!G36-'08 - 2020'!G35</f>
        <v>0</v>
      </c>
      <c r="K30" s="22">
        <v>0.74</v>
      </c>
      <c r="L30" s="6">
        <v>0</v>
      </c>
    </row>
    <row r="31" spans="1:13" x14ac:dyDescent="0.25">
      <c r="A31" s="22" t="s">
        <v>27</v>
      </c>
      <c r="B31" s="22">
        <v>30</v>
      </c>
      <c r="C31" s="22">
        <v>8</v>
      </c>
      <c r="D31" s="22">
        <v>2020</v>
      </c>
      <c r="E31" s="24">
        <f>'08 - 2020'!B37-'08 - 2020'!B36</f>
        <v>0</v>
      </c>
      <c r="F31" s="24">
        <f>'08 - 2020'!C37-'08 - 2020'!C36</f>
        <v>0</v>
      </c>
      <c r="G31" s="22">
        <v>0.11799999999999999</v>
      </c>
      <c r="H31" s="24">
        <f>'08 - 2020'!E37-'08 - 2020'!E36</f>
        <v>0</v>
      </c>
      <c r="I31" s="24">
        <f>'08 - 2020'!F37-'08 - 2020'!F36</f>
        <v>0</v>
      </c>
      <c r="J31" s="24">
        <f>'08 - 2020'!G37-'08 - 2020'!G36</f>
        <v>0</v>
      </c>
      <c r="K31" s="22">
        <v>0.74</v>
      </c>
      <c r="L31" s="24">
        <v>0</v>
      </c>
    </row>
    <row r="32" spans="1:13" x14ac:dyDescent="0.25">
      <c r="A32" s="22" t="s">
        <v>27</v>
      </c>
      <c r="B32" s="22">
        <v>31</v>
      </c>
      <c r="C32" s="22">
        <v>8</v>
      </c>
      <c r="D32" s="22">
        <v>2020</v>
      </c>
      <c r="E32" s="24">
        <f>'08 - 2020'!B38-'08 - 2020'!B37</f>
        <v>0</v>
      </c>
      <c r="F32" s="24">
        <f>'08 - 2020'!C38-'08 - 2020'!C37</f>
        <v>0</v>
      </c>
      <c r="G32" s="22">
        <v>0.11799999999999999</v>
      </c>
      <c r="H32" s="24">
        <f>'08 - 2020'!E38-'08 - 2020'!E37</f>
        <v>0</v>
      </c>
      <c r="I32" s="24">
        <f>'08 - 2020'!F38-'08 - 2020'!F37</f>
        <v>0</v>
      </c>
      <c r="J32" s="24">
        <f>'08 - 2020'!G38-'08 - 2020'!G37</f>
        <v>0</v>
      </c>
      <c r="K32" s="22">
        <v>0.74</v>
      </c>
      <c r="L32" s="2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1"/>
  <sheetViews>
    <sheetView tabSelected="1" zoomScaleNormal="100" workbookViewId="0">
      <selection activeCell="J24" sqref="J24"/>
    </sheetView>
  </sheetViews>
  <sheetFormatPr defaultRowHeight="15" x14ac:dyDescent="0.25"/>
  <cols>
    <col min="1" max="1" width="14.28515625" customWidth="1"/>
    <col min="2" max="2" width="13.5703125" style="6" customWidth="1"/>
    <col min="3" max="3" width="13.5703125" customWidth="1"/>
    <col min="4" max="4" width="10.7109375" customWidth="1"/>
    <col min="5" max="6" width="10.5703125" customWidth="1"/>
    <col min="7" max="7" width="9.85546875" customWidth="1"/>
    <col min="8" max="8" width="14.28515625" customWidth="1"/>
    <col min="9" max="9" width="14.7109375" customWidth="1"/>
    <col min="10" max="10" width="21.42578125" customWidth="1"/>
    <col min="11" max="11" width="21.85546875" customWidth="1"/>
    <col min="12" max="12" width="32.5703125" customWidth="1"/>
  </cols>
  <sheetData>
    <row r="1" spans="1:15" x14ac:dyDescent="0.25">
      <c r="H1" s="1"/>
    </row>
    <row r="2" spans="1:15" s="22" customFormat="1" x14ac:dyDescent="0.25">
      <c r="B2" s="24"/>
      <c r="H2" s="23"/>
    </row>
    <row r="3" spans="1:15" ht="18.75" x14ac:dyDescent="0.3">
      <c r="A3" s="70" t="s">
        <v>30</v>
      </c>
      <c r="B3" s="70"/>
      <c r="C3" s="70"/>
      <c r="D3" s="70"/>
      <c r="E3" s="70"/>
      <c r="F3" s="70"/>
      <c r="G3" s="70"/>
      <c r="H3" s="70"/>
      <c r="I3" s="70"/>
      <c r="J3" s="70"/>
      <c r="K3" s="22"/>
      <c r="L3" s="22"/>
      <c r="M3" s="22"/>
    </row>
    <row r="4" spans="1:15" ht="16.5" thickBot="1" x14ac:dyDescent="0.3">
      <c r="A4" s="63" t="s">
        <v>36</v>
      </c>
      <c r="B4" s="63"/>
      <c r="C4" s="63"/>
      <c r="D4" s="63"/>
      <c r="E4" s="63"/>
      <c r="F4" s="63"/>
      <c r="G4" s="63"/>
      <c r="H4" s="63"/>
      <c r="I4" s="63"/>
      <c r="J4" s="63"/>
      <c r="K4" s="22"/>
      <c r="L4" s="22"/>
      <c r="M4" s="22"/>
    </row>
    <row r="5" spans="1:15" ht="16.5" thickBot="1" x14ac:dyDescent="0.3">
      <c r="A5" s="2"/>
      <c r="B5" s="64" t="s">
        <v>37</v>
      </c>
      <c r="C5" s="65"/>
      <c r="D5" s="64" t="s">
        <v>0</v>
      </c>
      <c r="E5" s="66"/>
      <c r="F5" s="66"/>
      <c r="G5" s="67"/>
      <c r="H5" s="68" t="s">
        <v>1</v>
      </c>
      <c r="I5" s="69"/>
      <c r="J5" s="27" t="s">
        <v>2</v>
      </c>
      <c r="K5" s="3"/>
      <c r="L5" s="22"/>
      <c r="M5" s="22"/>
    </row>
    <row r="6" spans="1:15" ht="30" x14ac:dyDescent="0.25">
      <c r="A6" s="41" t="s">
        <v>3</v>
      </c>
      <c r="B6" s="42" t="s">
        <v>33</v>
      </c>
      <c r="C6" s="43" t="s">
        <v>34</v>
      </c>
      <c r="D6" s="43" t="s">
        <v>4</v>
      </c>
      <c r="E6" s="43" t="s">
        <v>5</v>
      </c>
      <c r="F6" s="43" t="s">
        <v>6</v>
      </c>
      <c r="G6" s="44" t="s">
        <v>7</v>
      </c>
      <c r="H6" s="43" t="s">
        <v>28</v>
      </c>
      <c r="I6" s="43" t="s">
        <v>29</v>
      </c>
      <c r="J6" s="43" t="s">
        <v>8</v>
      </c>
      <c r="K6" s="28" t="s">
        <v>31</v>
      </c>
      <c r="L6" s="29" t="s">
        <v>32</v>
      </c>
      <c r="M6" s="22"/>
    </row>
    <row r="7" spans="1:15" s="54" customFormat="1" ht="12.75" customHeight="1" x14ac:dyDescent="0.25">
      <c r="A7" s="45">
        <v>44043</v>
      </c>
      <c r="B7" s="15">
        <v>747680</v>
      </c>
      <c r="C7" s="15">
        <v>1116307</v>
      </c>
      <c r="D7" s="16">
        <v>0.66</v>
      </c>
      <c r="E7" s="17">
        <v>11345.99</v>
      </c>
      <c r="F7" s="17">
        <v>2189.85</v>
      </c>
      <c r="G7" s="17">
        <v>20199.349999999999</v>
      </c>
      <c r="H7" s="15">
        <v>14528</v>
      </c>
      <c r="I7" s="15">
        <v>95704</v>
      </c>
      <c r="J7" s="15">
        <v>39962872</v>
      </c>
      <c r="K7" s="52"/>
      <c r="L7" s="53"/>
      <c r="M7" s="46"/>
    </row>
    <row r="8" spans="1:15" ht="12.75" customHeight="1" x14ac:dyDescent="0.25">
      <c r="A8" s="45">
        <v>44044</v>
      </c>
      <c r="B8" s="34">
        <v>749482</v>
      </c>
      <c r="C8" s="35">
        <v>1120950</v>
      </c>
      <c r="D8" s="36">
        <v>0.6</v>
      </c>
      <c r="E8" s="37">
        <v>11358.25</v>
      </c>
      <c r="F8" s="37">
        <v>2195.91</v>
      </c>
      <c r="G8" s="37">
        <v>20220.310000000001</v>
      </c>
      <c r="H8" s="38">
        <v>14528</v>
      </c>
      <c r="I8" s="38">
        <v>95748</v>
      </c>
      <c r="J8" s="38">
        <v>39991364</v>
      </c>
      <c r="K8" s="39"/>
      <c r="L8" s="40"/>
      <c r="M8" s="46"/>
    </row>
    <row r="9" spans="1:15" ht="12.75" customHeight="1" x14ac:dyDescent="0.25">
      <c r="A9" s="45">
        <v>44045</v>
      </c>
      <c r="B9" s="25">
        <v>751375</v>
      </c>
      <c r="C9" s="19">
        <v>1125905</v>
      </c>
      <c r="D9" s="36">
        <v>0.56000000000000005</v>
      </c>
      <c r="E9" s="21">
        <v>11369.57</v>
      </c>
      <c r="F9" s="21">
        <v>2200.41</v>
      </c>
      <c r="G9" s="21">
        <v>20242.07</v>
      </c>
      <c r="H9" s="19">
        <v>14528</v>
      </c>
      <c r="I9" s="15">
        <v>95798</v>
      </c>
      <c r="J9" s="15">
        <v>40023059</v>
      </c>
      <c r="K9" s="18"/>
      <c r="L9" s="30"/>
      <c r="M9" s="46"/>
    </row>
    <row r="10" spans="1:15" ht="12.75" customHeight="1" x14ac:dyDescent="0.25">
      <c r="A10" s="45">
        <v>44046</v>
      </c>
      <c r="B10" s="15">
        <v>753335</v>
      </c>
      <c r="C10" s="15">
        <v>1130796</v>
      </c>
      <c r="D10" s="16">
        <v>0.51</v>
      </c>
      <c r="E10" s="21">
        <v>11381.23</v>
      </c>
      <c r="F10" s="21">
        <v>2204.92</v>
      </c>
      <c r="G10" s="21">
        <v>20267.18</v>
      </c>
      <c r="H10" s="19">
        <v>14528</v>
      </c>
      <c r="I10" s="15">
        <v>95842</v>
      </c>
      <c r="J10" s="61">
        <v>40054010</v>
      </c>
      <c r="K10" s="18"/>
      <c r="L10" s="30"/>
      <c r="M10" s="46"/>
    </row>
    <row r="11" spans="1:15" ht="12.75" customHeight="1" x14ac:dyDescent="0.25">
      <c r="A11" s="45">
        <v>44047</v>
      </c>
      <c r="B11" s="15">
        <v>755180</v>
      </c>
      <c r="C11" s="15">
        <v>1135251</v>
      </c>
      <c r="D11" s="16">
        <v>0.47</v>
      </c>
      <c r="E11" s="21">
        <v>11393</v>
      </c>
      <c r="F11" s="21">
        <v>2210.48</v>
      </c>
      <c r="G11" s="21">
        <v>20284.919999999998</v>
      </c>
      <c r="H11" s="19">
        <v>14528</v>
      </c>
      <c r="I11" s="15">
        <v>95883</v>
      </c>
      <c r="J11" s="15">
        <v>40083191</v>
      </c>
      <c r="K11" s="18"/>
      <c r="L11" s="30"/>
      <c r="M11" s="46"/>
    </row>
    <row r="12" spans="1:15" ht="12.75" customHeight="1" x14ac:dyDescent="0.25">
      <c r="A12" s="45">
        <v>44048</v>
      </c>
      <c r="B12" s="15">
        <v>757063</v>
      </c>
      <c r="C12" s="15">
        <v>1139809</v>
      </c>
      <c r="D12" s="16">
        <v>0.42</v>
      </c>
      <c r="E12" s="21">
        <v>11405.02</v>
      </c>
      <c r="F12" s="21">
        <v>2214.69</v>
      </c>
      <c r="G12" s="21">
        <v>20307.03</v>
      </c>
      <c r="H12" s="15">
        <v>14528</v>
      </c>
      <c r="I12" s="15">
        <v>95922</v>
      </c>
      <c r="J12" s="15">
        <v>40115558</v>
      </c>
      <c r="K12" s="18"/>
      <c r="L12" s="30"/>
      <c r="M12" s="46"/>
    </row>
    <row r="13" spans="1:15" ht="12.75" customHeight="1" x14ac:dyDescent="0.25">
      <c r="A13" s="45">
        <v>44049</v>
      </c>
      <c r="B13" s="15">
        <v>759000</v>
      </c>
      <c r="C13" s="15">
        <v>1144856</v>
      </c>
      <c r="D13" s="16">
        <v>0.36</v>
      </c>
      <c r="E13" s="21">
        <v>11417.86</v>
      </c>
      <c r="F13" s="21">
        <v>2218.8000000000002</v>
      </c>
      <c r="G13" s="21">
        <v>20329.11</v>
      </c>
      <c r="H13" s="15">
        <v>14528</v>
      </c>
      <c r="I13" s="17">
        <v>95966</v>
      </c>
      <c r="J13" s="17">
        <v>40154326</v>
      </c>
      <c r="K13" s="18"/>
      <c r="L13" s="30"/>
      <c r="M13" s="46"/>
    </row>
    <row r="14" spans="1:15" ht="12.75" customHeight="1" x14ac:dyDescent="0.25">
      <c r="A14" s="45">
        <v>44050</v>
      </c>
      <c r="B14" s="15"/>
      <c r="C14" s="15"/>
      <c r="D14" s="16"/>
      <c r="E14" s="21"/>
      <c r="F14" s="21"/>
      <c r="G14" s="17"/>
      <c r="H14" s="15"/>
      <c r="I14" s="15"/>
      <c r="J14" s="15"/>
      <c r="K14" s="25"/>
      <c r="L14" s="30"/>
      <c r="M14" s="46"/>
      <c r="O14" s="24"/>
    </row>
    <row r="15" spans="1:15" ht="12.75" customHeight="1" x14ac:dyDescent="0.25">
      <c r="A15" s="45">
        <v>44051</v>
      </c>
      <c r="B15" s="19"/>
      <c r="C15" s="15"/>
      <c r="D15" s="16"/>
      <c r="E15" s="21"/>
      <c r="F15" s="21"/>
      <c r="G15" s="17"/>
      <c r="H15" s="15"/>
      <c r="I15" s="15"/>
      <c r="J15" s="15"/>
      <c r="K15" s="18"/>
      <c r="L15" s="30"/>
      <c r="M15" s="46"/>
      <c r="O15" s="24"/>
    </row>
    <row r="16" spans="1:15" ht="12.75" customHeight="1" x14ac:dyDescent="0.25">
      <c r="A16" s="45">
        <v>44052</v>
      </c>
      <c r="B16" s="46"/>
      <c r="C16" s="15"/>
      <c r="D16" s="16"/>
      <c r="E16" s="21"/>
      <c r="F16" s="21"/>
      <c r="G16" s="17"/>
      <c r="H16" s="15"/>
      <c r="I16" s="15"/>
      <c r="J16" s="15"/>
      <c r="K16" s="18"/>
      <c r="L16" s="30"/>
      <c r="M16" s="46"/>
    </row>
    <row r="17" spans="1:16" ht="12.75" customHeight="1" x14ac:dyDescent="0.25">
      <c r="A17" s="45">
        <v>44053</v>
      </c>
      <c r="B17" s="17"/>
      <c r="C17" s="17"/>
      <c r="D17" s="26"/>
      <c r="E17" s="21"/>
      <c r="F17" s="21"/>
      <c r="G17" s="17"/>
      <c r="H17" s="15"/>
      <c r="I17" s="17"/>
      <c r="J17" s="17"/>
      <c r="K17" s="18"/>
      <c r="L17" s="30"/>
      <c r="M17" s="46"/>
    </row>
    <row r="18" spans="1:16" ht="12.75" customHeight="1" x14ac:dyDescent="0.25">
      <c r="A18" s="45">
        <v>44054</v>
      </c>
      <c r="B18" s="15"/>
      <c r="C18" s="15"/>
      <c r="D18" s="16"/>
      <c r="E18" s="21"/>
      <c r="F18" s="21"/>
      <c r="G18" s="17"/>
      <c r="H18" s="15"/>
      <c r="I18" s="15"/>
      <c r="J18" s="15"/>
      <c r="K18" s="18"/>
      <c r="L18" s="30"/>
      <c r="M18" s="46"/>
      <c r="P18" s="24"/>
    </row>
    <row r="19" spans="1:16" ht="12.75" customHeight="1" x14ac:dyDescent="0.25">
      <c r="A19" s="45">
        <v>44055</v>
      </c>
      <c r="B19" s="57"/>
      <c r="C19" s="57"/>
      <c r="D19" s="16"/>
      <c r="E19" s="58"/>
      <c r="F19" s="21"/>
      <c r="G19" s="58"/>
      <c r="H19" s="15"/>
      <c r="I19" s="57"/>
      <c r="J19" s="57"/>
      <c r="K19" s="18"/>
      <c r="L19" s="30"/>
      <c r="M19" s="46"/>
      <c r="P19" s="24"/>
    </row>
    <row r="20" spans="1:16" ht="12.75" customHeight="1" x14ac:dyDescent="0.25">
      <c r="A20" s="45">
        <v>44056</v>
      </c>
      <c r="B20" s="57"/>
      <c r="C20" s="57"/>
      <c r="D20" s="16"/>
      <c r="E20" s="58"/>
      <c r="F20" s="21"/>
      <c r="G20" s="58"/>
      <c r="H20" s="15"/>
      <c r="I20" s="57"/>
      <c r="J20" s="57"/>
      <c r="K20" s="18"/>
      <c r="L20" s="30"/>
      <c r="M20" s="46"/>
    </row>
    <row r="21" spans="1:16" ht="12.75" customHeight="1" x14ac:dyDescent="0.25">
      <c r="A21" s="45">
        <v>44057</v>
      </c>
      <c r="B21" s="57"/>
      <c r="C21" s="57"/>
      <c r="D21" s="16"/>
      <c r="E21" s="58"/>
      <c r="F21" s="21"/>
      <c r="G21" s="58"/>
      <c r="H21" s="15"/>
      <c r="I21" s="57"/>
      <c r="J21" s="57"/>
      <c r="K21" s="18"/>
      <c r="L21" s="30"/>
      <c r="M21" s="46"/>
    </row>
    <row r="22" spans="1:16" ht="12.75" customHeight="1" x14ac:dyDescent="0.25">
      <c r="A22" s="45">
        <v>44058</v>
      </c>
      <c r="B22" s="57"/>
      <c r="C22" s="57"/>
      <c r="D22" s="16"/>
      <c r="E22" s="58"/>
      <c r="F22" s="21"/>
      <c r="G22" s="58"/>
      <c r="H22" s="15"/>
      <c r="I22" s="58"/>
      <c r="J22" s="57"/>
      <c r="K22" s="25"/>
      <c r="L22" s="30"/>
      <c r="M22" s="46"/>
    </row>
    <row r="23" spans="1:16" ht="12.75" customHeight="1" x14ac:dyDescent="0.25">
      <c r="A23" s="45">
        <v>44059</v>
      </c>
      <c r="B23" s="57"/>
      <c r="C23" s="57"/>
      <c r="D23" s="16"/>
      <c r="E23" s="58"/>
      <c r="F23" s="21"/>
      <c r="G23" s="58"/>
      <c r="H23" s="15"/>
      <c r="I23" s="57"/>
      <c r="J23" s="57"/>
      <c r="K23" s="25"/>
      <c r="L23" s="30"/>
      <c r="M23" s="46"/>
    </row>
    <row r="24" spans="1:16" ht="12.75" customHeight="1" x14ac:dyDescent="0.25">
      <c r="A24" s="45">
        <v>44060</v>
      </c>
      <c r="B24" s="57"/>
      <c r="C24" s="57"/>
      <c r="D24" s="16"/>
      <c r="E24" s="58"/>
      <c r="F24" s="21"/>
      <c r="G24" s="58"/>
      <c r="H24" s="15"/>
      <c r="I24" s="57"/>
      <c r="J24" s="57"/>
      <c r="K24" s="18"/>
      <c r="L24" s="31"/>
      <c r="M24" s="46"/>
    </row>
    <row r="25" spans="1:16" ht="12.75" customHeight="1" x14ac:dyDescent="0.25">
      <c r="A25" s="45">
        <v>44061</v>
      </c>
      <c r="B25" s="58"/>
      <c r="C25" s="58"/>
      <c r="D25" s="26"/>
      <c r="E25" s="58"/>
      <c r="F25" s="21"/>
      <c r="G25" s="58"/>
      <c r="H25" s="15"/>
      <c r="I25" s="57"/>
      <c r="J25" s="57"/>
      <c r="K25" s="25"/>
      <c r="L25" s="31"/>
      <c r="M25" s="46"/>
    </row>
    <row r="26" spans="1:16" ht="12.75" customHeight="1" x14ac:dyDescent="0.25">
      <c r="A26" s="45">
        <v>44062</v>
      </c>
      <c r="B26" s="58"/>
      <c r="C26" s="58"/>
      <c r="D26" s="26"/>
      <c r="E26" s="58"/>
      <c r="F26" s="21"/>
      <c r="G26" s="58"/>
      <c r="H26" s="15"/>
      <c r="I26" s="57"/>
      <c r="J26" s="57"/>
      <c r="K26" s="25"/>
      <c r="L26" s="31"/>
      <c r="M26" s="46"/>
    </row>
    <row r="27" spans="1:16" ht="12.75" customHeight="1" x14ac:dyDescent="0.25">
      <c r="A27" s="45">
        <v>44063</v>
      </c>
      <c r="B27" s="57"/>
      <c r="C27" s="57"/>
      <c r="D27" s="16"/>
      <c r="E27" s="58"/>
      <c r="F27" s="21"/>
      <c r="G27" s="58"/>
      <c r="H27" s="15"/>
      <c r="I27" s="57"/>
      <c r="J27" s="57"/>
      <c r="K27" s="18"/>
      <c r="L27" s="30"/>
      <c r="M27" s="46"/>
    </row>
    <row r="28" spans="1:16" ht="12.75" customHeight="1" x14ac:dyDescent="0.25">
      <c r="A28" s="45">
        <v>44064</v>
      </c>
      <c r="B28" s="59"/>
      <c r="C28" s="57"/>
      <c r="D28" s="16"/>
      <c r="E28" s="58"/>
      <c r="F28" s="21"/>
      <c r="G28" s="58"/>
      <c r="H28" s="15"/>
      <c r="I28" s="57"/>
      <c r="J28" s="57"/>
      <c r="K28" s="18"/>
      <c r="L28" s="30"/>
      <c r="M28" s="46"/>
    </row>
    <row r="29" spans="1:16" ht="12.75" customHeight="1" x14ac:dyDescent="0.25">
      <c r="A29" s="45">
        <v>44065</v>
      </c>
      <c r="B29" s="57"/>
      <c r="C29" s="57"/>
      <c r="D29" s="16"/>
      <c r="E29" s="58"/>
      <c r="F29" s="21"/>
      <c r="G29" s="58"/>
      <c r="H29" s="15"/>
      <c r="I29" s="57"/>
      <c r="J29" s="57"/>
      <c r="K29" s="18"/>
      <c r="L29" s="30"/>
      <c r="M29" s="46"/>
      <c r="P29" s="6"/>
    </row>
    <row r="30" spans="1:16" ht="12.75" customHeight="1" x14ac:dyDescent="0.25">
      <c r="A30" s="45">
        <v>44066</v>
      </c>
      <c r="B30" s="57"/>
      <c r="C30" s="57"/>
      <c r="D30" s="16"/>
      <c r="E30" s="58"/>
      <c r="F30" s="21"/>
      <c r="G30" s="58"/>
      <c r="H30" s="15"/>
      <c r="I30" s="57"/>
      <c r="J30" s="57"/>
      <c r="K30" s="18"/>
      <c r="L30" s="30"/>
      <c r="M30" s="46"/>
      <c r="P30" s="6"/>
    </row>
    <row r="31" spans="1:16" ht="12.75" customHeight="1" x14ac:dyDescent="0.25">
      <c r="A31" s="45">
        <v>44067</v>
      </c>
      <c r="B31" s="57"/>
      <c r="C31" s="57"/>
      <c r="D31" s="16"/>
      <c r="E31" s="58"/>
      <c r="F31" s="21"/>
      <c r="G31" s="58"/>
      <c r="H31" s="15"/>
      <c r="I31" s="57"/>
      <c r="J31" s="57"/>
      <c r="K31" s="18"/>
      <c r="L31" s="32"/>
      <c r="M31" s="46"/>
      <c r="P31" s="6"/>
    </row>
    <row r="32" spans="1:16" ht="12.75" customHeight="1" x14ac:dyDescent="0.25">
      <c r="A32" s="45">
        <v>44068</v>
      </c>
      <c r="B32" s="57"/>
      <c r="C32" s="57"/>
      <c r="D32" s="16"/>
      <c r="E32" s="58"/>
      <c r="F32" s="21"/>
      <c r="G32" s="58"/>
      <c r="H32" s="15"/>
      <c r="I32" s="57"/>
      <c r="J32" s="57"/>
      <c r="K32" s="18"/>
      <c r="L32" s="32"/>
      <c r="M32" s="46"/>
      <c r="P32" s="6"/>
    </row>
    <row r="33" spans="1:16" ht="12.75" customHeight="1" x14ac:dyDescent="0.25">
      <c r="A33" s="45">
        <v>44069</v>
      </c>
      <c r="B33" s="57"/>
      <c r="C33" s="57"/>
      <c r="D33" s="16"/>
      <c r="E33" s="58"/>
      <c r="F33" s="21"/>
      <c r="G33" s="58"/>
      <c r="H33" s="15"/>
      <c r="I33" s="57"/>
      <c r="J33" s="57"/>
      <c r="K33" s="18"/>
      <c r="L33" s="30"/>
      <c r="M33" s="46"/>
      <c r="P33" s="6"/>
    </row>
    <row r="34" spans="1:16" ht="12.75" customHeight="1" x14ac:dyDescent="0.25">
      <c r="A34" s="45">
        <v>44070</v>
      </c>
      <c r="B34" s="58"/>
      <c r="C34" s="60"/>
      <c r="D34" s="26"/>
      <c r="E34" s="58"/>
      <c r="F34" s="21"/>
      <c r="G34" s="58"/>
      <c r="H34" s="15"/>
      <c r="I34" s="58"/>
      <c r="J34" s="58"/>
      <c r="K34" s="18"/>
      <c r="L34" s="30"/>
      <c r="M34" s="46"/>
    </row>
    <row r="35" spans="1:16" ht="12.75" customHeight="1" x14ac:dyDescent="0.25">
      <c r="A35" s="45">
        <v>44071</v>
      </c>
      <c r="B35" s="15"/>
      <c r="C35" s="62"/>
      <c r="D35" s="16"/>
      <c r="E35" s="17"/>
      <c r="F35" s="17"/>
      <c r="G35" s="17"/>
      <c r="H35" s="15"/>
      <c r="I35" s="15"/>
      <c r="J35" s="15"/>
      <c r="K35" s="18"/>
      <c r="L35" s="30"/>
      <c r="M35" s="46"/>
    </row>
    <row r="36" spans="1:16" ht="12.75" customHeight="1" x14ac:dyDescent="0.25">
      <c r="A36" s="45">
        <v>44072</v>
      </c>
      <c r="B36" s="15"/>
      <c r="C36" s="62"/>
      <c r="D36" s="16"/>
      <c r="E36" s="17"/>
      <c r="F36" s="17"/>
      <c r="G36" s="17"/>
      <c r="H36" s="15"/>
      <c r="I36" s="15"/>
      <c r="J36" s="15"/>
      <c r="K36" s="18"/>
      <c r="L36" s="30"/>
      <c r="M36" s="46"/>
    </row>
    <row r="37" spans="1:16" s="22" customFormat="1" ht="12.75" customHeight="1" x14ac:dyDescent="0.25">
      <c r="A37" s="45">
        <v>44073</v>
      </c>
      <c r="B37" s="15"/>
      <c r="C37" s="15"/>
      <c r="D37" s="16"/>
      <c r="E37" s="17"/>
      <c r="F37" s="17"/>
      <c r="G37" s="17"/>
      <c r="H37" s="15"/>
      <c r="I37" s="15"/>
      <c r="J37" s="15"/>
      <c r="K37" s="18"/>
      <c r="L37" s="30"/>
      <c r="M37" s="46"/>
    </row>
    <row r="38" spans="1:16" s="22" customFormat="1" x14ac:dyDescent="0.25">
      <c r="A38" s="45">
        <v>44074</v>
      </c>
      <c r="B38" s="15"/>
      <c r="C38" s="15"/>
      <c r="D38" s="16"/>
      <c r="E38" s="17"/>
      <c r="F38" s="17"/>
      <c r="G38" s="17"/>
      <c r="H38" s="15"/>
      <c r="I38" s="15"/>
      <c r="J38" s="15"/>
      <c r="K38" s="18"/>
      <c r="L38" s="30"/>
      <c r="M38" s="46"/>
    </row>
    <row r="39" spans="1:16" x14ac:dyDescent="0.25">
      <c r="A39" s="47" t="s">
        <v>35</v>
      </c>
      <c r="B39" s="33">
        <f>B36-B7</f>
        <v>-747680</v>
      </c>
      <c r="C39" s="33">
        <f>C36-C7</f>
        <v>-1116307</v>
      </c>
      <c r="D39" s="33">
        <v>0</v>
      </c>
      <c r="E39" s="33">
        <f t="shared" ref="E39:J39" si="0">E36-E7</f>
        <v>-11345.99</v>
      </c>
      <c r="F39" s="33">
        <f t="shared" si="0"/>
        <v>-2189.85</v>
      </c>
      <c r="G39" s="33">
        <f t="shared" si="0"/>
        <v>-20199.349999999999</v>
      </c>
      <c r="H39" s="33">
        <f t="shared" si="0"/>
        <v>-14528</v>
      </c>
      <c r="I39" s="33">
        <f t="shared" si="0"/>
        <v>-95704</v>
      </c>
      <c r="J39" s="33">
        <f t="shared" si="0"/>
        <v>-39962872</v>
      </c>
      <c r="K39" s="33">
        <f>SUM(K7:K38)</f>
        <v>0</v>
      </c>
      <c r="L39" s="22"/>
      <c r="M39" s="22"/>
    </row>
    <row r="40" spans="1:16" x14ac:dyDescent="0.25">
      <c r="A40" s="22"/>
      <c r="B40" s="22"/>
      <c r="C40" s="33"/>
      <c r="D40" s="22"/>
      <c r="E40" s="24"/>
      <c r="F40" s="24"/>
      <c r="G40" s="24"/>
      <c r="H40" s="20">
        <f>H39*219.969</f>
        <v>-3195709.6319999998</v>
      </c>
      <c r="I40" s="33">
        <f>I39*219.969</f>
        <v>-21051913.175999999</v>
      </c>
      <c r="J40" s="24"/>
      <c r="K40" s="22"/>
      <c r="L40" s="22"/>
    </row>
    <row r="41" spans="1:16" x14ac:dyDescent="0.25">
      <c r="F41" s="6"/>
    </row>
  </sheetData>
  <mergeCells count="5">
    <mergeCell ref="A4:J4"/>
    <mergeCell ref="B5:C5"/>
    <mergeCell ref="D5:G5"/>
    <mergeCell ref="H5:I5"/>
    <mergeCell ref="A3:J3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08 - 2020</vt:lpstr>
      <vt:lpstr>'08 - 2020'!Print_Area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Loueen Delolmo</cp:lastModifiedBy>
  <cp:lastPrinted>2020-05-02T15:33:01Z</cp:lastPrinted>
  <dcterms:created xsi:type="dcterms:W3CDTF">2017-04-26T09:20:12Z</dcterms:created>
  <dcterms:modified xsi:type="dcterms:W3CDTF">2020-08-06T03:53:11Z</dcterms:modified>
</cp:coreProperties>
</file>