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<sst xmlns="http://schemas.openxmlformats.org/spreadsheetml/2006/main" count="129" uniqueCount="50">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</sst>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56570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125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59790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99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55450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67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52870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53040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87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56110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112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57510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123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58670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134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57210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88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Hotel!AV19*0.00378541*100</f>
        <v>0</v>
      </c>
      <c r="S14" s="4">
        <f>Hotel!B19</f>
        <v>68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Hotel!AV20*0.00378541*100</f>
        <v>0</v>
      </c>
      <c r="S15" s="4">
        <f>Hotel!B20</f>
        <v>70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Hotel!AV21*0.00378541*100</f>
        <v>0</v>
      </c>
      <c r="S16" s="4">
        <f>Hotel!B21</f>
        <v>109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590</v>
      </c>
      <c r="F17" s="4">
        <f>Hotel!R22</f>
        <v>1850</v>
      </c>
      <c r="G17" s="4">
        <f>Hotel!S22</f>
        <v>3300</v>
      </c>
      <c r="H17" s="4">
        <f>Hotel!T22</f>
        <v>1420</v>
      </c>
      <c r="I17" s="4">
        <f>Hotel!U22</f>
        <v>5490</v>
      </c>
      <c r="J17" s="4">
        <f>Hotel!V22</f>
        <v>4390</v>
      </c>
      <c r="K17" s="4">
        <f>Hotel!W22</f>
        <v>3180</v>
      </c>
      <c r="L17" s="4">
        <f>Hotel!X22</f>
        <v>4590</v>
      </c>
      <c r="M17" s="4">
        <f>Hotel!Y22</f>
        <v>6000</v>
      </c>
      <c r="N17" s="4">
        <f>Hotel!Z22</f>
        <v>2550</v>
      </c>
      <c r="O17" s="4">
        <f>Hotel!AA22</f>
        <v>3270</v>
      </c>
      <c r="P17" s="4">
        <f>Hotel!AB22</f>
        <v>7800</v>
      </c>
      <c r="Q17" s="4">
        <f>Hotel!AC22</f>
        <v>12140</v>
      </c>
      <c r="R17" s="4">
        <f>Hotel!AV22*0.00378541*100</f>
        <v>0</v>
      </c>
      <c r="S17" s="4">
        <f>Hotel!B22</f>
        <v>125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600</v>
      </c>
      <c r="F18" s="4">
        <f>Hotel!R23</f>
        <v>1880</v>
      </c>
      <c r="G18" s="4">
        <f>Hotel!S23</f>
        <v>3240</v>
      </c>
      <c r="H18" s="4">
        <f>Hotel!T23</f>
        <v>1450</v>
      </c>
      <c r="I18" s="4">
        <f>Hotel!U23</f>
        <v>5890</v>
      </c>
      <c r="J18" s="4">
        <f>Hotel!V23</f>
        <v>4560</v>
      </c>
      <c r="K18" s="4">
        <f>Hotel!W23</f>
        <v>3330</v>
      </c>
      <c r="L18" s="4">
        <f>Hotel!X23</f>
        <v>4670</v>
      </c>
      <c r="M18" s="4">
        <f>Hotel!Y23</f>
        <v>6020</v>
      </c>
      <c r="N18" s="4">
        <f>Hotel!Z23</f>
        <v>2630</v>
      </c>
      <c r="O18" s="4">
        <f>Hotel!AA23</f>
        <v>3410</v>
      </c>
      <c r="P18" s="4">
        <f>Hotel!AB23</f>
        <v>7890</v>
      </c>
      <c r="Q18" s="4">
        <f>Hotel!AC23</f>
        <v>14220</v>
      </c>
      <c r="R18" s="4">
        <f>Hotel!AV23*0.00378541*100</f>
        <v>0</v>
      </c>
      <c r="S18" s="4">
        <f>Hotel!B23</f>
        <v>99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580</v>
      </c>
      <c r="F19" s="4">
        <f>Hotel!R24</f>
        <v>1830</v>
      </c>
      <c r="G19" s="4">
        <f>Hotel!S24</f>
        <v>2880</v>
      </c>
      <c r="H19" s="4">
        <f>Hotel!T24</f>
        <v>1380</v>
      </c>
      <c r="I19" s="4">
        <f>Hotel!U24</f>
        <v>5570</v>
      </c>
      <c r="J19" s="4">
        <f>Hotel!V24</f>
        <v>4300</v>
      </c>
      <c r="K19" s="4">
        <f>Hotel!W24</f>
        <v>2830</v>
      </c>
      <c r="L19" s="4">
        <f>Hotel!X24</f>
        <v>4170</v>
      </c>
      <c r="M19" s="4">
        <f>Hotel!Y24</f>
        <v>5390</v>
      </c>
      <c r="N19" s="4">
        <f>Hotel!Z24</f>
        <v>2450</v>
      </c>
      <c r="O19" s="4">
        <f>Hotel!AA24</f>
        <v>3140</v>
      </c>
      <c r="P19" s="4">
        <f>Hotel!AB24</f>
        <v>7450</v>
      </c>
      <c r="Q19" s="4">
        <f>Hotel!AC24</f>
        <v>13480</v>
      </c>
      <c r="R19" s="4">
        <f>Hotel!AV24*0.00378541*100</f>
        <v>0</v>
      </c>
      <c r="S19" s="4">
        <f>Hotel!B24</f>
        <v>67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570</v>
      </c>
      <c r="F20" s="4">
        <f>Hotel!R25</f>
        <v>1800</v>
      </c>
      <c r="G20" s="4">
        <f>Hotel!S25</f>
        <v>2840</v>
      </c>
      <c r="H20" s="4">
        <f>Hotel!T25</f>
        <v>1360</v>
      </c>
      <c r="I20" s="4">
        <f>Hotel!U25</f>
        <v>5060</v>
      </c>
      <c r="J20" s="4">
        <f>Hotel!V25</f>
        <v>4100</v>
      </c>
      <c r="K20" s="4">
        <f>Hotel!W25</f>
        <v>2800</v>
      </c>
      <c r="L20" s="4">
        <f>Hotel!X25</f>
        <v>4440</v>
      </c>
      <c r="M20" s="4">
        <f>Hotel!Y25</f>
        <v>5380</v>
      </c>
      <c r="N20" s="4">
        <f>Hotel!Z25</f>
        <v>2340</v>
      </c>
      <c r="O20" s="4">
        <f>Hotel!AA25</f>
        <v>2870</v>
      </c>
      <c r="P20" s="4">
        <f>Hotel!AB25</f>
        <v>7240</v>
      </c>
      <c r="Q20" s="4">
        <f>Hotel!AC25</f>
        <v>12070</v>
      </c>
      <c r="R20" s="4">
        <f>Hotel!AV25*0.00378541*100</f>
        <v>0</v>
      </c>
      <c r="S20" s="4">
        <f>Hotel!B25</f>
        <v>72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590</v>
      </c>
      <c r="F21" s="4">
        <f>Hotel!R26</f>
        <v>1840</v>
      </c>
      <c r="G21" s="4">
        <f>Hotel!S26</f>
        <v>2890</v>
      </c>
      <c r="H21" s="4">
        <f>Hotel!T26</f>
        <v>1390</v>
      </c>
      <c r="I21" s="4">
        <f>Hotel!U26</f>
        <v>4850</v>
      </c>
      <c r="J21" s="4">
        <f>Hotel!V26</f>
        <v>4020</v>
      </c>
      <c r="K21" s="4">
        <f>Hotel!W26</f>
        <v>3060</v>
      </c>
      <c r="L21" s="4">
        <f>Hotel!X26</f>
        <v>4620</v>
      </c>
      <c r="M21" s="4">
        <f>Hotel!Y26</f>
        <v>5700</v>
      </c>
      <c r="N21" s="4">
        <f>Hotel!Z26</f>
        <v>2420</v>
      </c>
      <c r="O21" s="4">
        <f>Hotel!AA26</f>
        <v>2530</v>
      </c>
      <c r="P21" s="4">
        <f>Hotel!AB26</f>
        <v>7340</v>
      </c>
      <c r="Q21" s="4">
        <f>Hotel!AC26</f>
        <v>11790</v>
      </c>
      <c r="R21" s="4">
        <f>Hotel!AV26*0.00378541*100</f>
        <v>0</v>
      </c>
      <c r="S21" s="4">
        <f>Hotel!B26</f>
        <v>87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600</v>
      </c>
      <c r="F22" s="4">
        <f>Hotel!R27</f>
        <v>1890</v>
      </c>
      <c r="G22" s="4">
        <f>Hotel!S27</f>
        <v>3060</v>
      </c>
      <c r="H22" s="4">
        <f>Hotel!T27</f>
        <v>1430</v>
      </c>
      <c r="I22" s="4">
        <f>Hotel!U27</f>
        <v>5720</v>
      </c>
      <c r="J22" s="4">
        <f>Hotel!V27</f>
        <v>4140</v>
      </c>
      <c r="K22" s="4">
        <f>Hotel!W27</f>
        <v>3540</v>
      </c>
      <c r="L22" s="4">
        <f>Hotel!X27</f>
        <v>4970</v>
      </c>
      <c r="M22" s="4">
        <f>Hotel!Y27</f>
        <v>5800</v>
      </c>
      <c r="N22" s="4">
        <f>Hotel!Z27</f>
        <v>2530</v>
      </c>
      <c r="O22" s="4">
        <f>Hotel!AA27</f>
        <v>3160</v>
      </c>
      <c r="P22" s="4">
        <f>Hotel!AB27</f>
        <v>7530</v>
      </c>
      <c r="Q22" s="4">
        <f>Hotel!AC27</f>
        <v>11740</v>
      </c>
      <c r="R22" s="4">
        <f>Hotel!AV27*0.00378541*100</f>
        <v>0</v>
      </c>
      <c r="S22" s="4">
        <f>Hotel!B27</f>
        <v>112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580</v>
      </c>
      <c r="F23" s="4">
        <f>Hotel!R28</f>
        <v>1870</v>
      </c>
      <c r="G23" s="4">
        <f>Hotel!S28</f>
        <v>3350</v>
      </c>
      <c r="H23" s="4">
        <f>Hotel!T28</f>
        <v>1420</v>
      </c>
      <c r="I23" s="4">
        <f>Hotel!U28</f>
        <v>5570</v>
      </c>
      <c r="J23" s="4">
        <f>Hotel!V28</f>
        <v>4110</v>
      </c>
      <c r="K23" s="4">
        <f>Hotel!W28</f>
        <v>3610</v>
      </c>
      <c r="L23" s="4">
        <f>Hotel!X28</f>
        <v>5120</v>
      </c>
      <c r="M23" s="4">
        <f>Hotel!Y28</f>
        <v>5990</v>
      </c>
      <c r="N23" s="4">
        <f>Hotel!Z28</f>
        <v>2520</v>
      </c>
      <c r="O23" s="4">
        <f>Hotel!AA28</f>
        <v>3160</v>
      </c>
      <c r="P23" s="4">
        <f>Hotel!AB28</f>
        <v>7650</v>
      </c>
      <c r="Q23" s="4">
        <f>Hotel!AC28</f>
        <v>12560</v>
      </c>
      <c r="R23" s="4">
        <f>Hotel!AV28*0.00378541*100</f>
        <v>0</v>
      </c>
      <c r="S23" s="4">
        <f>Hotel!B28</f>
        <v>123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600</v>
      </c>
      <c r="F24" s="4">
        <f>Hotel!R29</f>
        <v>1900</v>
      </c>
      <c r="G24" s="4">
        <f>Hotel!S29</f>
        <v>3250</v>
      </c>
      <c r="H24" s="4">
        <f>Hotel!T29</f>
        <v>1440</v>
      </c>
      <c r="I24" s="4">
        <f>Hotel!U29</f>
        <v>5640</v>
      </c>
      <c r="J24" s="4">
        <f>Hotel!V29</f>
        <v>4180</v>
      </c>
      <c r="K24" s="4">
        <f>Hotel!W29</f>
        <v>3250</v>
      </c>
      <c r="L24" s="4">
        <f>Hotel!X29</f>
        <v>4950</v>
      </c>
      <c r="M24" s="4">
        <f>Hotel!Y29</f>
        <v>6220</v>
      </c>
      <c r="N24" s="4">
        <f>Hotel!Z29</f>
        <v>2650</v>
      </c>
      <c r="O24" s="4">
        <f>Hotel!AA29</f>
        <v>3230</v>
      </c>
      <c r="P24" s="4">
        <f>Hotel!AB29</f>
        <v>7800</v>
      </c>
      <c r="Q24" s="4">
        <f>Hotel!AC29</f>
        <v>13560</v>
      </c>
      <c r="R24" s="4">
        <f>Hotel!AV29*0.00378541*100</f>
        <v>0</v>
      </c>
      <c r="S24" s="4">
        <f>Hotel!B29</f>
        <v>134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580</v>
      </c>
      <c r="F25" s="4">
        <f>Hotel!R30</f>
        <v>1840</v>
      </c>
      <c r="G25" s="4">
        <f>Hotel!S30</f>
        <v>2920</v>
      </c>
      <c r="H25" s="4">
        <f>Hotel!T30</f>
        <v>1390</v>
      </c>
      <c r="I25" s="4">
        <f>Hotel!U30</f>
        <v>5680</v>
      </c>
      <c r="J25" s="4">
        <f>Hotel!V30</f>
        <v>4120</v>
      </c>
      <c r="K25" s="4">
        <f>Hotel!W30</f>
        <v>3030</v>
      </c>
      <c r="L25" s="4">
        <f>Hotel!X30</f>
        <v>4900</v>
      </c>
      <c r="M25" s="4">
        <f>Hotel!Y30</f>
        <v>6050</v>
      </c>
      <c r="N25" s="4">
        <f>Hotel!Z30</f>
        <v>2580</v>
      </c>
      <c r="O25" s="4">
        <f>Hotel!AA30</f>
        <v>3260</v>
      </c>
      <c r="P25" s="4">
        <f>Hotel!AB30</f>
        <v>7500</v>
      </c>
      <c r="Q25" s="4">
        <f>Hotel!AC30</f>
        <v>13360</v>
      </c>
      <c r="R25" s="4">
        <f>Hotel!AV30*0.00378541*100</f>
        <v>0</v>
      </c>
      <c r="S25" s="4">
        <f>Hotel!B30</f>
        <v>88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V30" sqref="AV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>
        <v>68</v>
      </c>
      <c r="C19" s="51">
        <v>8646380</v>
      </c>
      <c r="D19" s="51">
        <v>21044080</v>
      </c>
      <c r="E19" s="51">
        <v>3872790</v>
      </c>
      <c r="F19" s="51">
        <v>4392250</v>
      </c>
      <c r="G19" s="51">
        <v>12981410</v>
      </c>
      <c r="H19" s="51">
        <v>7706740</v>
      </c>
      <c r="I19" s="51">
        <v>6671440</v>
      </c>
      <c r="J19" s="51">
        <v>8329550</v>
      </c>
      <c r="K19" s="51">
        <v>12069570</v>
      </c>
      <c r="L19" s="51">
        <v>5267700</v>
      </c>
      <c r="M19" s="51">
        <v>9604460</v>
      </c>
      <c r="N19" s="51">
        <v>16004520</v>
      </c>
      <c r="O19" s="51">
        <v>22411480</v>
      </c>
      <c r="Q19" s="37">
        <f t="shared" si="17"/>
        <v>570</v>
      </c>
      <c r="R19" s="37">
        <f t="shared" si="18"/>
        <v>1810</v>
      </c>
      <c r="S19" s="37">
        <f t="shared" si="16"/>
        <v>3050</v>
      </c>
      <c r="T19" s="37">
        <f t="shared" si="19"/>
        <v>1400</v>
      </c>
      <c r="U19" s="37">
        <f t="shared" si="20"/>
        <v>4900</v>
      </c>
      <c r="V19" s="37">
        <f t="shared" si="21"/>
        <v>3930</v>
      </c>
      <c r="W19" s="37">
        <f t="shared" si="22"/>
        <v>3280</v>
      </c>
      <c r="X19" s="37">
        <f t="shared" si="23"/>
        <v>4910</v>
      </c>
      <c r="Y19" s="37">
        <f t="shared" si="24"/>
        <v>5680</v>
      </c>
      <c r="Z19" s="37">
        <f t="shared" si="25"/>
        <v>2280</v>
      </c>
      <c r="AA19" s="37">
        <f t="shared" si="26"/>
        <v>2500</v>
      </c>
      <c r="AB19" s="37">
        <f t="shared" si="27"/>
        <v>7750</v>
      </c>
      <c r="AC19" s="37">
        <f t="shared" si="28"/>
        <v>11710</v>
      </c>
      <c r="AD19" s="35">
        <f t="shared" si="29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0"/>
        <v>268.84999999999997</v>
      </c>
      <c r="AU19" s="55">
        <v>355780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>
        <v>70</v>
      </c>
      <c r="C20" s="52">
        <v>8646960</v>
      </c>
      <c r="D20" s="52">
        <v>21045800</v>
      </c>
      <c r="E20" s="52">
        <v>3875660</v>
      </c>
      <c r="F20" s="52">
        <v>4393620</v>
      </c>
      <c r="G20" s="52">
        <v>12986670</v>
      </c>
      <c r="H20" s="52">
        <v>7710670</v>
      </c>
      <c r="I20" s="52">
        <v>6674530</v>
      </c>
      <c r="J20" s="52">
        <v>8334200</v>
      </c>
      <c r="K20" s="52">
        <v>12075090</v>
      </c>
      <c r="L20" s="52">
        <v>5269990</v>
      </c>
      <c r="M20" s="52">
        <v>9607730</v>
      </c>
      <c r="N20" s="52">
        <v>16012060</v>
      </c>
      <c r="O20" s="52">
        <v>22424550</v>
      </c>
      <c r="Q20" s="37">
        <f t="shared" si="17"/>
        <v>580</v>
      </c>
      <c r="R20" s="37">
        <f t="shared" si="18"/>
        <v>1720</v>
      </c>
      <c r="S20" s="37">
        <f t="shared" si="16"/>
        <v>2870</v>
      </c>
      <c r="T20" s="37">
        <f t="shared" si="19"/>
        <v>1370</v>
      </c>
      <c r="U20" s="37">
        <f t="shared" si="20"/>
        <v>5260</v>
      </c>
      <c r="V20" s="37">
        <f t="shared" si="21"/>
        <v>3930</v>
      </c>
      <c r="W20" s="37">
        <f t="shared" si="22"/>
        <v>3090</v>
      </c>
      <c r="X20" s="37">
        <f t="shared" si="23"/>
        <v>4650</v>
      </c>
      <c r="Y20" s="37">
        <f t="shared" si="24"/>
        <v>5520</v>
      </c>
      <c r="Z20" s="37">
        <f t="shared" si="25"/>
        <v>2290</v>
      </c>
      <c r="AA20" s="37">
        <f t="shared" si="26"/>
        <v>3270</v>
      </c>
      <c r="AB20" s="37">
        <f t="shared" si="27"/>
        <v>7540</v>
      </c>
      <c r="AC20" s="37">
        <f t="shared" si="28"/>
        <v>13070</v>
      </c>
      <c r="AD20" s="35">
        <f t="shared" si="29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0"/>
        <v>275.79999999999995</v>
      </c>
      <c r="AU20" s="55">
        <v>355780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>
        <v>109</v>
      </c>
      <c r="C21" s="51">
        <v>8647550</v>
      </c>
      <c r="D21" s="51">
        <v>21047660</v>
      </c>
      <c r="E21" s="51">
        <v>3879080</v>
      </c>
      <c r="F21" s="51">
        <v>4395040</v>
      </c>
      <c r="G21" s="51">
        <v>12992210</v>
      </c>
      <c r="H21" s="51">
        <v>7715010</v>
      </c>
      <c r="I21" s="51">
        <v>6677870</v>
      </c>
      <c r="J21" s="51">
        <v>8338990</v>
      </c>
      <c r="K21" s="51">
        <v>12080970</v>
      </c>
      <c r="L21" s="51">
        <v>5272500</v>
      </c>
      <c r="M21" s="51">
        <v>9610850</v>
      </c>
      <c r="N21" s="51">
        <v>16019870</v>
      </c>
      <c r="O21" s="51">
        <v>22437100</v>
      </c>
      <c r="Q21" s="37">
        <f t="shared" si="17"/>
        <v>590</v>
      </c>
      <c r="R21" s="37">
        <f t="shared" si="18"/>
        <v>1860</v>
      </c>
      <c r="S21" s="37">
        <f t="shared" si="16"/>
        <v>3420</v>
      </c>
      <c r="T21" s="37">
        <f t="shared" si="19"/>
        <v>1420</v>
      </c>
      <c r="U21" s="37">
        <f t="shared" si="20"/>
        <v>5540</v>
      </c>
      <c r="V21" s="37">
        <f t="shared" si="21"/>
        <v>4340</v>
      </c>
      <c r="W21" s="37">
        <f t="shared" si="22"/>
        <v>3340</v>
      </c>
      <c r="X21" s="37">
        <f t="shared" si="23"/>
        <v>4790</v>
      </c>
      <c r="Y21" s="37">
        <f t="shared" si="24"/>
        <v>5880</v>
      </c>
      <c r="Z21" s="37">
        <f t="shared" si="25"/>
        <v>2510</v>
      </c>
      <c r="AA21" s="37">
        <f t="shared" si="26"/>
        <v>3120</v>
      </c>
      <c r="AB21" s="37">
        <f t="shared" si="27"/>
        <v>7810</v>
      </c>
      <c r="AC21" s="37">
        <f t="shared" si="28"/>
        <v>12550</v>
      </c>
      <c r="AD21" s="35">
        <f t="shared" si="29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0"/>
        <v>285.85000000000002</v>
      </c>
      <c r="AU21" s="55">
        <v>355780</v>
      </c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>
        <v>125</v>
      </c>
      <c r="C22" s="52">
        <v>8648140</v>
      </c>
      <c r="D22" s="52">
        <v>21049510</v>
      </c>
      <c r="E22" s="52">
        <v>3882380</v>
      </c>
      <c r="F22" s="52">
        <v>4396460</v>
      </c>
      <c r="G22" s="52">
        <v>12997700</v>
      </c>
      <c r="H22" s="52">
        <v>7719400</v>
      </c>
      <c r="I22" s="52">
        <v>6681050</v>
      </c>
      <c r="J22" s="52">
        <v>8343580</v>
      </c>
      <c r="K22" s="52">
        <v>12086970</v>
      </c>
      <c r="L22" s="52">
        <v>5275050</v>
      </c>
      <c r="M22" s="52">
        <v>9614120</v>
      </c>
      <c r="N22" s="52">
        <v>16027670</v>
      </c>
      <c r="O22" s="52">
        <v>22449240</v>
      </c>
      <c r="Q22" s="37">
        <f t="shared" si="17"/>
        <v>590</v>
      </c>
      <c r="R22" s="37">
        <f t="shared" si="18"/>
        <v>1850</v>
      </c>
      <c r="S22" s="37">
        <f t="shared" si="16"/>
        <v>3300</v>
      </c>
      <c r="T22" s="37">
        <f t="shared" si="19"/>
        <v>1420</v>
      </c>
      <c r="U22" s="37">
        <f t="shared" si="20"/>
        <v>5490</v>
      </c>
      <c r="V22" s="37">
        <f t="shared" si="21"/>
        <v>4390</v>
      </c>
      <c r="W22" s="37">
        <f t="shared" si="22"/>
        <v>3180</v>
      </c>
      <c r="X22" s="37">
        <f t="shared" si="23"/>
        <v>4590</v>
      </c>
      <c r="Y22" s="37">
        <f t="shared" si="24"/>
        <v>6000</v>
      </c>
      <c r="Z22" s="37">
        <f t="shared" si="25"/>
        <v>2550</v>
      </c>
      <c r="AA22" s="37">
        <f t="shared" si="26"/>
        <v>3270</v>
      </c>
      <c r="AB22" s="37">
        <f t="shared" si="27"/>
        <v>7800</v>
      </c>
      <c r="AC22" s="37">
        <f t="shared" si="28"/>
        <v>12140</v>
      </c>
      <c r="AD22" s="35">
        <f t="shared" si="29"/>
        <v>56570</v>
      </c>
      <c r="AF22" s="20">
        <f t="shared" si="1"/>
        <v>2.95</v>
      </c>
      <c r="AG22" s="20">
        <f t="shared" si="2"/>
        <v>9.25</v>
      </c>
      <c r="AH22" s="20">
        <f t="shared" si="3"/>
        <v>16.5</v>
      </c>
      <c r="AI22" s="20">
        <f t="shared" si="4"/>
        <v>7.1000000000000005</v>
      </c>
      <c r="AJ22" s="20">
        <f t="shared" si="5"/>
        <v>27.45</v>
      </c>
      <c r="AK22" s="20">
        <f t="shared" si="6"/>
        <v>21.95</v>
      </c>
      <c r="AL22" s="20">
        <f t="shared" si="7"/>
        <v>15.9</v>
      </c>
      <c r="AM22" s="20">
        <f t="shared" si="8"/>
        <v>22.95</v>
      </c>
      <c r="AN22" s="20">
        <f t="shared" si="9"/>
        <v>30</v>
      </c>
      <c r="AO22" s="20">
        <f t="shared" si="10"/>
        <v>12.75</v>
      </c>
      <c r="AP22" s="20">
        <f t="shared" si="11"/>
        <v>16.350000000000001</v>
      </c>
      <c r="AQ22" s="20">
        <f t="shared" si="12"/>
        <v>39</v>
      </c>
      <c r="AR22" s="20">
        <f t="shared" si="13"/>
        <v>60.7</v>
      </c>
      <c r="AS22" s="35">
        <f t="shared" si="30"/>
        <v>282.85000000000002</v>
      </c>
      <c r="AU22" s="55">
        <v>355780</v>
      </c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>
        <v>99</v>
      </c>
      <c r="C23" s="24">
        <v>8648740</v>
      </c>
      <c r="D23" s="24">
        <v>21051390</v>
      </c>
      <c r="E23" s="24">
        <v>3885620</v>
      </c>
      <c r="F23" s="24">
        <v>4397910</v>
      </c>
      <c r="G23" s="24">
        <v>13003590</v>
      </c>
      <c r="H23" s="24">
        <v>7723960</v>
      </c>
      <c r="I23" s="24">
        <v>6684380</v>
      </c>
      <c r="J23" s="24">
        <v>8348250</v>
      </c>
      <c r="K23" s="24">
        <v>12092990</v>
      </c>
      <c r="L23" s="24">
        <v>5277680</v>
      </c>
      <c r="M23" s="24">
        <v>9617530</v>
      </c>
      <c r="N23" s="24">
        <v>16035560</v>
      </c>
      <c r="O23" s="24">
        <v>22463460</v>
      </c>
      <c r="Q23" s="37">
        <f t="shared" si="17"/>
        <v>600</v>
      </c>
      <c r="R23" s="37">
        <f t="shared" si="18"/>
        <v>1880</v>
      </c>
      <c r="S23" s="37">
        <f t="shared" si="16"/>
        <v>3240</v>
      </c>
      <c r="T23" s="37">
        <f t="shared" si="19"/>
        <v>1450</v>
      </c>
      <c r="U23" s="37">
        <f t="shared" si="20"/>
        <v>5890</v>
      </c>
      <c r="V23" s="37">
        <f t="shared" si="21"/>
        <v>4560</v>
      </c>
      <c r="W23" s="37">
        <f t="shared" si="22"/>
        <v>3330</v>
      </c>
      <c r="X23" s="37">
        <f t="shared" si="23"/>
        <v>4670</v>
      </c>
      <c r="Y23" s="37">
        <f t="shared" si="24"/>
        <v>6020</v>
      </c>
      <c r="Z23" s="37">
        <f t="shared" si="25"/>
        <v>2630</v>
      </c>
      <c r="AA23" s="37">
        <f t="shared" si="26"/>
        <v>3410</v>
      </c>
      <c r="AB23" s="37">
        <f t="shared" si="27"/>
        <v>7890</v>
      </c>
      <c r="AC23" s="37">
        <f t="shared" si="28"/>
        <v>14220</v>
      </c>
      <c r="AD23" s="35">
        <f t="shared" si="29"/>
        <v>59790</v>
      </c>
      <c r="AF23" s="20">
        <f t="shared" si="1"/>
        <v>3</v>
      </c>
      <c r="AG23" s="20">
        <f t="shared" si="2"/>
        <v>9.4</v>
      </c>
      <c r="AH23" s="20">
        <f t="shared" si="3"/>
        <v>16.2</v>
      </c>
      <c r="AI23" s="20">
        <f t="shared" si="4"/>
        <v>7.25</v>
      </c>
      <c r="AJ23" s="20">
        <f t="shared" si="5"/>
        <v>29.45</v>
      </c>
      <c r="AK23" s="20">
        <f t="shared" si="6"/>
        <v>22.8</v>
      </c>
      <c r="AL23" s="20">
        <f t="shared" si="7"/>
        <v>16.649999999999999</v>
      </c>
      <c r="AM23" s="20">
        <f t="shared" si="8"/>
        <v>23.35</v>
      </c>
      <c r="AN23" s="20">
        <f t="shared" si="9"/>
        <v>30.1</v>
      </c>
      <c r="AO23" s="20">
        <f t="shared" si="10"/>
        <v>13.15</v>
      </c>
      <c r="AP23" s="20">
        <f t="shared" si="11"/>
        <v>17.05</v>
      </c>
      <c r="AQ23" s="20">
        <f t="shared" si="12"/>
        <v>39.450000000000003</v>
      </c>
      <c r="AR23" s="20">
        <f t="shared" si="13"/>
        <v>71.100000000000009</v>
      </c>
      <c r="AS23" s="35">
        <f t="shared" si="30"/>
        <v>298.95000000000005</v>
      </c>
      <c r="AU23" s="55">
        <v>355780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>
        <v>67</v>
      </c>
      <c r="C24" s="52">
        <v>8649320</v>
      </c>
      <c r="D24" s="52">
        <v>21053220</v>
      </c>
      <c r="E24" s="52">
        <v>3888500</v>
      </c>
      <c r="F24" s="52">
        <v>4399290</v>
      </c>
      <c r="G24" s="52">
        <v>13009160</v>
      </c>
      <c r="H24" s="52">
        <v>7728260</v>
      </c>
      <c r="I24" s="52">
        <v>6687210</v>
      </c>
      <c r="J24" s="52">
        <v>8352420</v>
      </c>
      <c r="K24" s="52">
        <v>12098380</v>
      </c>
      <c r="L24" s="52">
        <v>5280130</v>
      </c>
      <c r="M24" s="52">
        <v>9620670</v>
      </c>
      <c r="N24" s="52">
        <v>16043010</v>
      </c>
      <c r="O24" s="52">
        <v>22476940</v>
      </c>
      <c r="Q24" s="37">
        <f t="shared" si="17"/>
        <v>580</v>
      </c>
      <c r="R24" s="37">
        <f t="shared" si="18"/>
        <v>1830</v>
      </c>
      <c r="S24" s="37">
        <f t="shared" si="16"/>
        <v>2880</v>
      </c>
      <c r="T24" s="37">
        <f t="shared" si="19"/>
        <v>1380</v>
      </c>
      <c r="U24" s="37">
        <f t="shared" si="20"/>
        <v>5570</v>
      </c>
      <c r="V24" s="37">
        <f t="shared" si="21"/>
        <v>4300</v>
      </c>
      <c r="W24" s="37">
        <f t="shared" si="22"/>
        <v>2830</v>
      </c>
      <c r="X24" s="37">
        <f t="shared" si="23"/>
        <v>4170</v>
      </c>
      <c r="Y24" s="37">
        <f t="shared" si="24"/>
        <v>5390</v>
      </c>
      <c r="Z24" s="37">
        <f t="shared" si="25"/>
        <v>2450</v>
      </c>
      <c r="AA24" s="37">
        <f t="shared" si="26"/>
        <v>3140</v>
      </c>
      <c r="AB24" s="37">
        <f t="shared" si="27"/>
        <v>7450</v>
      </c>
      <c r="AC24" s="37">
        <f t="shared" si="28"/>
        <v>13480</v>
      </c>
      <c r="AD24" s="35">
        <f t="shared" si="29"/>
        <v>55450</v>
      </c>
      <c r="AF24" s="20">
        <f t="shared" si="1"/>
        <v>2.9</v>
      </c>
      <c r="AG24" s="20">
        <f t="shared" si="2"/>
        <v>9.15</v>
      </c>
      <c r="AH24" s="20">
        <f t="shared" si="3"/>
        <v>14.4</v>
      </c>
      <c r="AI24" s="20">
        <f t="shared" si="4"/>
        <v>6.9</v>
      </c>
      <c r="AJ24" s="20">
        <f t="shared" si="5"/>
        <v>27.85</v>
      </c>
      <c r="AK24" s="20">
        <f t="shared" si="6"/>
        <v>21.5</v>
      </c>
      <c r="AL24" s="20">
        <f t="shared" si="7"/>
        <v>14.15</v>
      </c>
      <c r="AM24" s="20">
        <f t="shared" si="8"/>
        <v>20.85</v>
      </c>
      <c r="AN24" s="20">
        <f t="shared" si="9"/>
        <v>26.95</v>
      </c>
      <c r="AO24" s="20">
        <f t="shared" si="10"/>
        <v>12.25</v>
      </c>
      <c r="AP24" s="20">
        <f t="shared" si="11"/>
        <v>15.700000000000001</v>
      </c>
      <c r="AQ24" s="20">
        <f t="shared" si="12"/>
        <v>37.25</v>
      </c>
      <c r="AR24" s="20">
        <f t="shared" si="13"/>
        <v>67.400000000000006</v>
      </c>
      <c r="AS24" s="35">
        <f t="shared" si="30"/>
        <v>277.25</v>
      </c>
      <c r="AU24" s="55">
        <v>355780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>
        <v>72</v>
      </c>
      <c r="C25" s="24">
        <v>8649890</v>
      </c>
      <c r="D25" s="24">
        <v>21055020</v>
      </c>
      <c r="E25" s="24">
        <v>3891340</v>
      </c>
      <c r="F25" s="24">
        <v>4400650</v>
      </c>
      <c r="G25" s="24">
        <v>13014220</v>
      </c>
      <c r="H25" s="24">
        <v>7732360</v>
      </c>
      <c r="I25" s="24">
        <v>6690010</v>
      </c>
      <c r="J25" s="24">
        <v>8356860</v>
      </c>
      <c r="K25" s="24">
        <v>12103760</v>
      </c>
      <c r="L25" s="24">
        <v>5282470</v>
      </c>
      <c r="M25" s="24">
        <v>9623540</v>
      </c>
      <c r="N25" s="24">
        <v>16050250</v>
      </c>
      <c r="O25" s="24">
        <v>22489010</v>
      </c>
      <c r="Q25" s="37">
        <f t="shared" ref="Q25:AC27" si="33">IF((C25-C24&lt;0), "0",C25-C24)</f>
        <v>570</v>
      </c>
      <c r="R25" s="37">
        <f t="shared" si="18"/>
        <v>1800</v>
      </c>
      <c r="S25" s="37">
        <f t="shared" si="33"/>
        <v>2840</v>
      </c>
      <c r="T25" s="37">
        <f t="shared" si="33"/>
        <v>1360</v>
      </c>
      <c r="U25" s="37">
        <f t="shared" si="33"/>
        <v>5060</v>
      </c>
      <c r="V25" s="37">
        <f t="shared" si="33"/>
        <v>4100</v>
      </c>
      <c r="W25" s="37">
        <f t="shared" si="33"/>
        <v>2800</v>
      </c>
      <c r="X25" s="37">
        <f t="shared" si="33"/>
        <v>4440</v>
      </c>
      <c r="Y25" s="37">
        <f t="shared" si="33"/>
        <v>5380</v>
      </c>
      <c r="Z25" s="37">
        <f t="shared" si="33"/>
        <v>2340</v>
      </c>
      <c r="AA25" s="37">
        <f t="shared" si="33"/>
        <v>2870</v>
      </c>
      <c r="AB25" s="37">
        <f t="shared" si="33"/>
        <v>7240</v>
      </c>
      <c r="AC25" s="37">
        <f t="shared" si="33"/>
        <v>12070</v>
      </c>
      <c r="AD25" s="35">
        <f t="shared" si="29"/>
        <v>52870</v>
      </c>
      <c r="AF25" s="20">
        <f t="shared" si="1"/>
        <v>2.85</v>
      </c>
      <c r="AG25" s="20">
        <f t="shared" si="2"/>
        <v>9</v>
      </c>
      <c r="AH25" s="20">
        <f t="shared" si="3"/>
        <v>14.200000000000001</v>
      </c>
      <c r="AI25" s="20">
        <f t="shared" si="4"/>
        <v>6.8</v>
      </c>
      <c r="AJ25" s="20">
        <f t="shared" si="5"/>
        <v>25.3</v>
      </c>
      <c r="AK25" s="20">
        <f t="shared" si="6"/>
        <v>20.5</v>
      </c>
      <c r="AL25" s="20">
        <f t="shared" si="7"/>
        <v>14</v>
      </c>
      <c r="AM25" s="20">
        <f t="shared" si="8"/>
        <v>22.2</v>
      </c>
      <c r="AN25" s="20">
        <f t="shared" si="9"/>
        <v>26.900000000000002</v>
      </c>
      <c r="AO25" s="20">
        <f t="shared" si="10"/>
        <v>11.700000000000001</v>
      </c>
      <c r="AP25" s="20">
        <f t="shared" si="11"/>
        <v>14.35</v>
      </c>
      <c r="AQ25" s="20">
        <f t="shared" si="12"/>
        <v>36.200000000000003</v>
      </c>
      <c r="AR25" s="20">
        <f t="shared" si="13"/>
        <v>60.35</v>
      </c>
      <c r="AS25" s="35">
        <f t="shared" si="30"/>
        <v>264.35000000000002</v>
      </c>
      <c r="AU25" s="55">
        <v>355780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>
        <v>87</v>
      </c>
      <c r="C26" s="52">
        <v>8650480</v>
      </c>
      <c r="D26" s="52">
        <v>21056860</v>
      </c>
      <c r="E26" s="52">
        <v>3894230</v>
      </c>
      <c r="F26" s="52">
        <v>4402040</v>
      </c>
      <c r="G26" s="52">
        <v>13019070</v>
      </c>
      <c r="H26" s="52">
        <v>7736380</v>
      </c>
      <c r="I26" s="52">
        <v>6693070</v>
      </c>
      <c r="J26" s="52">
        <v>8361480</v>
      </c>
      <c r="K26" s="52">
        <v>12109460</v>
      </c>
      <c r="L26" s="52">
        <v>5284890</v>
      </c>
      <c r="M26" s="52">
        <v>9626070</v>
      </c>
      <c r="N26" s="52">
        <v>16057590</v>
      </c>
      <c r="O26" s="52">
        <v>22500800</v>
      </c>
      <c r="Q26" s="37">
        <f t="shared" si="33"/>
        <v>590</v>
      </c>
      <c r="R26" s="37">
        <f t="shared" si="18"/>
        <v>1840</v>
      </c>
      <c r="S26" s="37">
        <f t="shared" si="33"/>
        <v>2890</v>
      </c>
      <c r="T26" s="37">
        <f t="shared" si="33"/>
        <v>1390</v>
      </c>
      <c r="U26" s="37">
        <f t="shared" si="33"/>
        <v>4850</v>
      </c>
      <c r="V26" s="37">
        <f t="shared" si="33"/>
        <v>4020</v>
      </c>
      <c r="W26" s="37">
        <f t="shared" si="33"/>
        <v>3060</v>
      </c>
      <c r="X26" s="37">
        <f t="shared" si="33"/>
        <v>4620</v>
      </c>
      <c r="Y26" s="37">
        <f t="shared" si="33"/>
        <v>5700</v>
      </c>
      <c r="Z26" s="37">
        <f t="shared" si="33"/>
        <v>2420</v>
      </c>
      <c r="AA26" s="37">
        <f t="shared" si="33"/>
        <v>2530</v>
      </c>
      <c r="AB26" s="37">
        <f t="shared" si="33"/>
        <v>7340</v>
      </c>
      <c r="AC26" s="37">
        <f t="shared" si="33"/>
        <v>11790</v>
      </c>
      <c r="AD26" s="35">
        <f t="shared" si="29"/>
        <v>53040</v>
      </c>
      <c r="AF26" s="20">
        <f t="shared" si="1"/>
        <v>2.95</v>
      </c>
      <c r="AG26" s="20">
        <f t="shared" si="2"/>
        <v>9.2000000000000011</v>
      </c>
      <c r="AH26" s="20">
        <f t="shared" si="3"/>
        <v>14.450000000000001</v>
      </c>
      <c r="AI26" s="20">
        <f t="shared" si="4"/>
        <v>6.95</v>
      </c>
      <c r="AJ26" s="20">
        <f t="shared" si="5"/>
        <v>24.25</v>
      </c>
      <c r="AK26" s="20">
        <f t="shared" si="6"/>
        <v>20.100000000000001</v>
      </c>
      <c r="AL26" s="20">
        <f t="shared" si="7"/>
        <v>15.3</v>
      </c>
      <c r="AM26" s="20">
        <f t="shared" si="8"/>
        <v>23.1</v>
      </c>
      <c r="AN26" s="20">
        <f t="shared" si="9"/>
        <v>28.5</v>
      </c>
      <c r="AO26" s="20">
        <f t="shared" si="10"/>
        <v>12.1</v>
      </c>
      <c r="AP26" s="20">
        <f t="shared" si="11"/>
        <v>12.65</v>
      </c>
      <c r="AQ26" s="20">
        <f t="shared" si="12"/>
        <v>36.700000000000003</v>
      </c>
      <c r="AR26" s="20">
        <f t="shared" si="13"/>
        <v>58.95</v>
      </c>
      <c r="AS26" s="35">
        <f t="shared" si="30"/>
        <v>265.2</v>
      </c>
      <c r="AU26" s="55">
        <v>355780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>
        <v>112</v>
      </c>
      <c r="C27" s="24">
        <v>8651080</v>
      </c>
      <c r="D27" s="24">
        <v>21058750</v>
      </c>
      <c r="E27" s="24">
        <v>3897290</v>
      </c>
      <c r="F27" s="24">
        <v>4403470</v>
      </c>
      <c r="G27" s="24">
        <v>13024790</v>
      </c>
      <c r="H27" s="24">
        <v>7740520</v>
      </c>
      <c r="I27" s="24">
        <v>6696610</v>
      </c>
      <c r="J27" s="24">
        <v>8366450</v>
      </c>
      <c r="K27" s="24">
        <v>12115260</v>
      </c>
      <c r="L27" s="24">
        <v>5287420</v>
      </c>
      <c r="M27" s="24">
        <v>9629230</v>
      </c>
      <c r="N27" s="24">
        <v>16065120</v>
      </c>
      <c r="O27" s="24">
        <v>22512540</v>
      </c>
      <c r="Q27" s="37">
        <f t="shared" si="33"/>
        <v>600</v>
      </c>
      <c r="R27" s="37">
        <f t="shared" si="18"/>
        <v>1890</v>
      </c>
      <c r="S27" s="37">
        <f t="shared" si="33"/>
        <v>3060</v>
      </c>
      <c r="T27" s="37">
        <f t="shared" si="33"/>
        <v>1430</v>
      </c>
      <c r="U27" s="37">
        <f t="shared" si="33"/>
        <v>5720</v>
      </c>
      <c r="V27" s="37">
        <f t="shared" si="33"/>
        <v>4140</v>
      </c>
      <c r="W27" s="37">
        <f t="shared" si="33"/>
        <v>3540</v>
      </c>
      <c r="X27" s="37">
        <f t="shared" si="33"/>
        <v>4970</v>
      </c>
      <c r="Y27" s="37">
        <f t="shared" si="33"/>
        <v>5800</v>
      </c>
      <c r="Z27" s="37">
        <f t="shared" si="33"/>
        <v>2530</v>
      </c>
      <c r="AA27" s="37">
        <f t="shared" si="33"/>
        <v>3160</v>
      </c>
      <c r="AB27" s="37">
        <f t="shared" si="33"/>
        <v>7530</v>
      </c>
      <c r="AC27" s="37">
        <f t="shared" si="33"/>
        <v>11740</v>
      </c>
      <c r="AD27" s="35">
        <f t="shared" si="29"/>
        <v>56110</v>
      </c>
      <c r="AF27" s="20">
        <f t="shared" si="1"/>
        <v>3</v>
      </c>
      <c r="AG27" s="20">
        <f t="shared" si="2"/>
        <v>9.4500000000000011</v>
      </c>
      <c r="AH27" s="20">
        <f t="shared" si="3"/>
        <v>15.3</v>
      </c>
      <c r="AI27" s="20">
        <f t="shared" si="4"/>
        <v>7.15</v>
      </c>
      <c r="AJ27" s="20">
        <f t="shared" si="5"/>
        <v>28.6</v>
      </c>
      <c r="AK27" s="20">
        <f t="shared" si="6"/>
        <v>20.7</v>
      </c>
      <c r="AL27" s="20">
        <f t="shared" si="7"/>
        <v>17.7</v>
      </c>
      <c r="AM27" s="20">
        <f t="shared" si="8"/>
        <v>24.85</v>
      </c>
      <c r="AN27" s="20">
        <f t="shared" si="9"/>
        <v>29</v>
      </c>
      <c r="AO27" s="20">
        <f t="shared" si="10"/>
        <v>12.65</v>
      </c>
      <c r="AP27" s="20">
        <f t="shared" si="11"/>
        <v>15.8</v>
      </c>
      <c r="AQ27" s="20">
        <f t="shared" si="12"/>
        <v>37.65</v>
      </c>
      <c r="AR27" s="20">
        <f t="shared" si="13"/>
        <v>58.7</v>
      </c>
      <c r="AS27" s="35">
        <f t="shared" si="30"/>
        <v>280.55</v>
      </c>
      <c r="AU27" s="55">
        <v>355780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>
        <v>123</v>
      </c>
      <c r="C28" s="24">
        <v>8651660</v>
      </c>
      <c r="D28" s="24">
        <v>21060620</v>
      </c>
      <c r="E28" s="24">
        <v>3900640</v>
      </c>
      <c r="F28" s="24">
        <v>4404890</v>
      </c>
      <c r="G28" s="24">
        <v>13030360</v>
      </c>
      <c r="H28" s="24">
        <v>7744630</v>
      </c>
      <c r="I28" s="24">
        <v>6700220</v>
      </c>
      <c r="J28" s="24">
        <v>8371570</v>
      </c>
      <c r="K28" s="24">
        <v>12121250</v>
      </c>
      <c r="L28" s="24">
        <v>5289940</v>
      </c>
      <c r="M28" s="24">
        <v>9632390</v>
      </c>
      <c r="N28" s="24">
        <v>16072770</v>
      </c>
      <c r="O28" s="24">
        <v>22525100</v>
      </c>
      <c r="Q28" s="37">
        <f t="shared" si="17"/>
        <v>580</v>
      </c>
      <c r="R28" s="37">
        <f t="shared" si="18"/>
        <v>1870</v>
      </c>
      <c r="S28" s="37">
        <f t="shared" si="16"/>
        <v>3350</v>
      </c>
      <c r="T28" s="37">
        <f t="shared" si="19"/>
        <v>1420</v>
      </c>
      <c r="U28" s="37">
        <f t="shared" si="20"/>
        <v>5570</v>
      </c>
      <c r="V28" s="37">
        <f t="shared" si="21"/>
        <v>4110</v>
      </c>
      <c r="W28" s="37">
        <f t="shared" si="22"/>
        <v>3610</v>
      </c>
      <c r="X28" s="37">
        <f t="shared" si="23"/>
        <v>5120</v>
      </c>
      <c r="Y28" s="37">
        <f t="shared" si="24"/>
        <v>5990</v>
      </c>
      <c r="Z28" s="37">
        <f t="shared" si="25"/>
        <v>2520</v>
      </c>
      <c r="AA28" s="37">
        <f t="shared" si="26"/>
        <v>3160</v>
      </c>
      <c r="AB28" s="37">
        <f t="shared" si="27"/>
        <v>7650</v>
      </c>
      <c r="AC28" s="37">
        <f t="shared" si="28"/>
        <v>12560</v>
      </c>
      <c r="AD28" s="35">
        <f t="shared" si="29"/>
        <v>57510</v>
      </c>
      <c r="AF28" s="20">
        <f t="shared" si="1"/>
        <v>2.9</v>
      </c>
      <c r="AG28" s="20">
        <f t="shared" si="2"/>
        <v>9.35</v>
      </c>
      <c r="AH28" s="20">
        <f t="shared" si="3"/>
        <v>16.75</v>
      </c>
      <c r="AI28" s="20">
        <f t="shared" si="4"/>
        <v>7.1000000000000005</v>
      </c>
      <c r="AJ28" s="20">
        <f t="shared" si="5"/>
        <v>27.85</v>
      </c>
      <c r="AK28" s="20">
        <f t="shared" si="6"/>
        <v>20.55</v>
      </c>
      <c r="AL28" s="20">
        <f t="shared" si="7"/>
        <v>18.05</v>
      </c>
      <c r="AM28" s="20">
        <f t="shared" si="8"/>
        <v>25.6</v>
      </c>
      <c r="AN28" s="20">
        <f t="shared" si="9"/>
        <v>29.95</v>
      </c>
      <c r="AO28" s="20">
        <f t="shared" si="10"/>
        <v>12.6</v>
      </c>
      <c r="AP28" s="20">
        <f t="shared" si="11"/>
        <v>15.8</v>
      </c>
      <c r="AQ28" s="20">
        <f t="shared" si="12"/>
        <v>38.25</v>
      </c>
      <c r="AR28" s="20">
        <f t="shared" si="13"/>
        <v>62.800000000000004</v>
      </c>
      <c r="AS28" s="35">
        <f t="shared" si="30"/>
        <v>287.55</v>
      </c>
      <c r="AU28" s="55">
        <v>355780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>
        <v>134</v>
      </c>
      <c r="C29" s="58">
        <v>8652260</v>
      </c>
      <c r="D29" s="58">
        <v>21062520</v>
      </c>
      <c r="E29" s="58">
        <v>3903890</v>
      </c>
      <c r="F29" s="58">
        <v>4406330</v>
      </c>
      <c r="G29" s="58">
        <v>13036000</v>
      </c>
      <c r="H29" s="58">
        <v>7748810</v>
      </c>
      <c r="I29" s="58">
        <v>6703470</v>
      </c>
      <c r="J29" s="58">
        <v>8376520</v>
      </c>
      <c r="K29" s="58">
        <v>12127470</v>
      </c>
      <c r="L29" s="58">
        <v>5292590</v>
      </c>
      <c r="M29" s="58">
        <v>9635620</v>
      </c>
      <c r="N29" s="58">
        <v>16080570</v>
      </c>
      <c r="O29" s="58">
        <v>22538660</v>
      </c>
      <c r="Q29" s="37">
        <f t="shared" si="17"/>
        <v>600</v>
      </c>
      <c r="R29" s="37">
        <f t="shared" si="18"/>
        <v>1900</v>
      </c>
      <c r="S29" s="37">
        <f t="shared" si="16"/>
        <v>3250</v>
      </c>
      <c r="T29" s="37">
        <f t="shared" si="19"/>
        <v>1440</v>
      </c>
      <c r="U29" s="37">
        <f t="shared" si="20"/>
        <v>5640</v>
      </c>
      <c r="V29" s="37">
        <f t="shared" si="21"/>
        <v>4180</v>
      </c>
      <c r="W29" s="37">
        <f t="shared" si="22"/>
        <v>3250</v>
      </c>
      <c r="X29" s="37">
        <f t="shared" si="23"/>
        <v>4950</v>
      </c>
      <c r="Y29" s="37">
        <f t="shared" si="24"/>
        <v>6220</v>
      </c>
      <c r="Z29" s="37">
        <f t="shared" si="25"/>
        <v>2650</v>
      </c>
      <c r="AA29" s="37">
        <f t="shared" si="26"/>
        <v>3230</v>
      </c>
      <c r="AB29" s="37">
        <f t="shared" si="27"/>
        <v>7800</v>
      </c>
      <c r="AC29" s="37">
        <f t="shared" si="28"/>
        <v>13560</v>
      </c>
      <c r="AD29" s="35">
        <f t="shared" si="29"/>
        <v>58670</v>
      </c>
      <c r="AF29" s="20">
        <f t="shared" si="1"/>
        <v>3</v>
      </c>
      <c r="AG29" s="20">
        <f t="shared" si="2"/>
        <v>9.5</v>
      </c>
      <c r="AH29" s="20">
        <f t="shared" si="3"/>
        <v>16.25</v>
      </c>
      <c r="AI29" s="20">
        <f t="shared" si="4"/>
        <v>7.2</v>
      </c>
      <c r="AJ29" s="20">
        <f t="shared" si="5"/>
        <v>28.2</v>
      </c>
      <c r="AK29" s="20">
        <f t="shared" si="6"/>
        <v>20.900000000000002</v>
      </c>
      <c r="AL29" s="20">
        <f t="shared" si="7"/>
        <v>16.25</v>
      </c>
      <c r="AM29" s="20">
        <f t="shared" si="8"/>
        <v>24.75</v>
      </c>
      <c r="AN29" s="20">
        <f t="shared" si="9"/>
        <v>31.1</v>
      </c>
      <c r="AO29" s="20">
        <f t="shared" si="10"/>
        <v>13.25</v>
      </c>
      <c r="AP29" s="20">
        <f t="shared" si="11"/>
        <v>16.149999999999999</v>
      </c>
      <c r="AQ29" s="20">
        <f t="shared" si="12"/>
        <v>39</v>
      </c>
      <c r="AR29" s="20">
        <f t="shared" si="13"/>
        <v>67.8</v>
      </c>
      <c r="AS29" s="35">
        <f t="shared" si="30"/>
        <v>293.35000000000002</v>
      </c>
      <c r="AU29" s="55">
        <v>355780</v>
      </c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>
        <v>88</v>
      </c>
      <c r="C30" s="52">
        <v>8652840</v>
      </c>
      <c r="D30" s="52">
        <v>21064360</v>
      </c>
      <c r="E30" s="52">
        <v>3906810</v>
      </c>
      <c r="F30" s="52">
        <v>4407720</v>
      </c>
      <c r="G30" s="52">
        <v>13041680</v>
      </c>
      <c r="H30" s="52">
        <v>7752930</v>
      </c>
      <c r="I30" s="52">
        <v>6706500</v>
      </c>
      <c r="J30" s="52">
        <v>8381420</v>
      </c>
      <c r="K30" s="52">
        <v>12133520</v>
      </c>
      <c r="L30" s="52">
        <v>5295170</v>
      </c>
      <c r="M30" s="52">
        <v>9638880</v>
      </c>
      <c r="N30" s="52">
        <v>16088070</v>
      </c>
      <c r="O30" s="52">
        <v>22552020</v>
      </c>
      <c r="Q30" s="37">
        <f t="shared" si="17"/>
        <v>580</v>
      </c>
      <c r="R30" s="37">
        <f t="shared" si="18"/>
        <v>1840</v>
      </c>
      <c r="S30" s="37">
        <f t="shared" si="16"/>
        <v>2920</v>
      </c>
      <c r="T30" s="37">
        <f t="shared" si="19"/>
        <v>1390</v>
      </c>
      <c r="U30" s="37">
        <f t="shared" si="20"/>
        <v>5680</v>
      </c>
      <c r="V30" s="37">
        <f t="shared" si="21"/>
        <v>4120</v>
      </c>
      <c r="W30" s="37">
        <f t="shared" si="22"/>
        <v>3030</v>
      </c>
      <c r="X30" s="37">
        <f t="shared" si="23"/>
        <v>4900</v>
      </c>
      <c r="Y30" s="37">
        <f t="shared" si="24"/>
        <v>6050</v>
      </c>
      <c r="Z30" s="37">
        <f t="shared" si="25"/>
        <v>2580</v>
      </c>
      <c r="AA30" s="37">
        <f t="shared" si="26"/>
        <v>3260</v>
      </c>
      <c r="AB30" s="37">
        <f t="shared" si="27"/>
        <v>7500</v>
      </c>
      <c r="AC30" s="37">
        <f t="shared" si="28"/>
        <v>13360</v>
      </c>
      <c r="AD30" s="35">
        <f t="shared" si="29"/>
        <v>57210</v>
      </c>
      <c r="AF30" s="20">
        <f t="shared" si="1"/>
        <v>2.9</v>
      </c>
      <c r="AG30" s="20">
        <f t="shared" si="2"/>
        <v>9.2000000000000011</v>
      </c>
      <c r="AH30" s="20">
        <f t="shared" si="3"/>
        <v>14.6</v>
      </c>
      <c r="AI30" s="20">
        <f t="shared" si="4"/>
        <v>6.95</v>
      </c>
      <c r="AJ30" s="20">
        <f t="shared" si="5"/>
        <v>28.400000000000002</v>
      </c>
      <c r="AK30" s="20">
        <f t="shared" si="6"/>
        <v>20.6</v>
      </c>
      <c r="AL30" s="20">
        <f t="shared" si="7"/>
        <v>15.15</v>
      </c>
      <c r="AM30" s="20">
        <f t="shared" si="8"/>
        <v>24.5</v>
      </c>
      <c r="AN30" s="20">
        <f t="shared" si="9"/>
        <v>30.25</v>
      </c>
      <c r="AO30" s="20">
        <f t="shared" si="10"/>
        <v>12.9</v>
      </c>
      <c r="AP30" s="20">
        <f t="shared" si="11"/>
        <v>16.3</v>
      </c>
      <c r="AQ30" s="20">
        <f t="shared" si="12"/>
        <v>37.5</v>
      </c>
      <c r="AR30" s="20">
        <f t="shared" si="13"/>
        <v>66.8</v>
      </c>
      <c r="AS30" s="35">
        <f t="shared" si="30"/>
        <v>286.05</v>
      </c>
      <c r="AU30" s="55">
        <v>355780</v>
      </c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 t="str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14110</v>
      </c>
      <c r="R38" s="38">
        <f t="shared" ref="R38:AD38" si="60">SUM(R7:R37)</f>
        <v>44370</v>
      </c>
      <c r="S38" s="38">
        <f t="shared" si="60"/>
        <v>74330</v>
      </c>
      <c r="T38" s="38">
        <f t="shared" si="60"/>
        <v>34230</v>
      </c>
      <c r="U38" s="38">
        <f t="shared" si="60"/>
        <v>133080</v>
      </c>
      <c r="V38" s="38">
        <f t="shared" si="60"/>
        <v>99300</v>
      </c>
      <c r="W38" s="38">
        <f t="shared" si="60"/>
        <v>77090</v>
      </c>
      <c r="X38" s="38">
        <f t="shared" si="60"/>
        <v>113250</v>
      </c>
      <c r="Y38" s="38">
        <f t="shared" si="60"/>
        <v>138840</v>
      </c>
      <c r="Z38" s="38">
        <f t="shared" si="60"/>
        <v>59610</v>
      </c>
      <c r="AA38" s="38">
        <f t="shared" si="60"/>
        <v>76360</v>
      </c>
      <c r="AB38" s="38">
        <f t="shared" si="60"/>
        <v>184900</v>
      </c>
      <c r="AC38" s="38">
        <f t="shared" si="60"/>
        <v>296720</v>
      </c>
      <c r="AD38" s="38">
        <f t="shared" si="60"/>
        <v>1346190</v>
      </c>
      <c r="AF38" s="35">
        <f>SUM(AF7:AF37)</f>
        <v>70.550000000000011</v>
      </c>
      <c r="AG38" s="35">
        <f t="shared" ref="AG38:AS38" si="61">SUM(AG7:AG37)</f>
        <v>221.85</v>
      </c>
      <c r="AH38" s="35">
        <f t="shared" si="61"/>
        <v>371.65</v>
      </c>
      <c r="AI38" s="35">
        <f t="shared" si="61"/>
        <v>171.14999999999998</v>
      </c>
      <c r="AJ38" s="35">
        <f t="shared" si="61"/>
        <v>665.40000000000009</v>
      </c>
      <c r="AK38" s="35">
        <f t="shared" si="61"/>
        <v>496.49999999999994</v>
      </c>
      <c r="AL38" s="35">
        <f t="shared" si="61"/>
        <v>385.44999999999993</v>
      </c>
      <c r="AM38" s="35">
        <f t="shared" si="61"/>
        <v>566.25000000000011</v>
      </c>
      <c r="AN38" s="35">
        <f t="shared" si="61"/>
        <v>694.2</v>
      </c>
      <c r="AO38" s="35">
        <f t="shared" si="61"/>
        <v>298.04999999999995</v>
      </c>
      <c r="AP38" s="35">
        <f t="shared" si="61"/>
        <v>381.79999999999995</v>
      </c>
      <c r="AQ38" s="35">
        <f t="shared" si="61"/>
        <v>924.5</v>
      </c>
      <c r="AR38" s="35">
        <f t="shared" si="61"/>
        <v>1483.6</v>
      </c>
      <c r="AS38" s="35">
        <f t="shared" si="61"/>
        <v>6730.9500000000007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2571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2022-12-25T06:22:38Z</dcterms:modified>
</cp:coreProperties>
</file>