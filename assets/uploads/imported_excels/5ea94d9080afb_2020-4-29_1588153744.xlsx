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<sst xmlns="http://schemas.openxmlformats.org/spreadsheetml/2006/main" count="296" uniqueCount="138">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</sst>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5550.0000000001482</v>
      </c>
      <c r="F17" s="11">
        <f t="shared" si="1"/>
        <v>0.58765030286592534</v>
      </c>
      <c r="G17" s="12">
        <f>(Submetering!AX17+Submetering!AY17+Submetering!AZ17+Submetering!BA17+Submetering!BB17)</f>
        <v>5.4944999999999995</v>
      </c>
      <c r="H17" s="11">
        <f t="shared" si="2"/>
        <v>0.99</v>
      </c>
      <c r="I17" s="12">
        <f>'FS Desroches Daily'!CM19</f>
        <v>34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5690.0000000000264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38.4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4620.0000000000864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25.7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4640.0000000001019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17.399999999999999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4649.9999999997281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30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4930.0000000002665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27.7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4449.9999999998927</v>
      </c>
      <c r="F23" s="11">
        <f t="shared" si="1"/>
        <v>0.58765030286592534</v>
      </c>
      <c r="G23" s="12">
        <f>(Submetering!AX23+Submetering!AY23+Submetering!AZ23+Submetering!BA23+Submetering!BB23)</f>
        <v>7.3259999999999996</v>
      </c>
      <c r="H23" s="11">
        <f t="shared" si="2"/>
        <v>0.99</v>
      </c>
      <c r="I23" s="12">
        <f>'FS Desroches Daily'!CM25</f>
        <v>26.7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4769.9999999996189</v>
      </c>
      <c r="F24" s="11">
        <f t="shared" si="1"/>
        <v>0.58765030286592534</v>
      </c>
      <c r="G24" s="12">
        <f>(Submetering!AX24+Submetering!AY24+Submetering!AZ24+Submetering!BA24+Submetering!BB24)</f>
        <v>9.1574999999999989</v>
      </c>
      <c r="H24" s="11">
        <f t="shared" si="2"/>
        <v>0.99</v>
      </c>
      <c r="I24" s="12">
        <f>'FS Desroches Daily'!CM26</f>
        <v>29.5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4890.0000000003365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33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5350.0000000000964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4869.9999999998308</v>
      </c>
      <c r="F27" s="11">
        <f t="shared" si="1"/>
        <v>0.58765030286592534</v>
      </c>
      <c r="G27" s="12">
        <f>(Submetering!AX27+Submetering!AY27+Submetering!AZ27+Submetering!BA27+Submetering!BB27)</f>
        <v>7.3259999999999996</v>
      </c>
      <c r="H27" s="11">
        <f t="shared" si="2"/>
        <v>0.99</v>
      </c>
      <c r="I27" s="12">
        <f>'FS Desroches Daily'!CM29</f>
        <v>19.3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4470.0000000001764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32.5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5789.9999999999018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31.4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 t="e">
        <f>Submetering!E30+Submetering!F30+Submetering!G30+Submetering!H30-Submetering!AV30</f>
        <v>#VALUE!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1800.0000000000239</v>
      </c>
      <c r="F17" s="36">
        <f>'FS Desroches Daily'!F19</f>
        <v>1100.000000000101</v>
      </c>
      <c r="G17" s="35">
        <f>'FS Desroches Daily'!H19</f>
        <v>1900.0000000000127</v>
      </c>
      <c r="H17" s="36">
        <f>'FS Desroches Daily'!J19</f>
        <v>1300.0000000000789</v>
      </c>
      <c r="I17" s="35">
        <f>'FS Desroches Daily'!L19</f>
        <v>2399.9999999999577</v>
      </c>
      <c r="J17" s="36">
        <f>'FS Desroches Daily'!N19</f>
        <v>1300.0000000000789</v>
      </c>
      <c r="K17" s="13">
        <f>'FS Desroches Daily'!P19</f>
        <v>0</v>
      </c>
      <c r="L17" s="35">
        <f>'FS Desroches Daily'!R19</f>
        <v>6</v>
      </c>
      <c r="M17" s="35">
        <f>'FS Desroches Daily'!T19</f>
        <v>286</v>
      </c>
      <c r="N17" s="35">
        <f>'FS Desroches Daily'!V19</f>
        <v>178</v>
      </c>
      <c r="O17" s="35">
        <f>'FS Desroches Daily'!X19</f>
        <v>220.00000000002728</v>
      </c>
      <c r="P17" s="35">
        <f>'FS Desroches Daily'!Z19</f>
        <v>599.99999999993395</v>
      </c>
      <c r="Q17" s="35">
        <f>'FS Desroches Daily'!AB19</f>
        <v>139.99999999998636</v>
      </c>
      <c r="R17" s="35">
        <f>'FS Desroches Daily'!AD19</f>
        <v>330.00000000004093</v>
      </c>
      <c r="S17" s="35">
        <f>'FS Desroches Daily'!AF19</f>
        <v>639.99999999998636</v>
      </c>
      <c r="T17" s="35">
        <f>'FS Desroches Daily'!AH19</f>
        <v>1.2999999999999545</v>
      </c>
      <c r="U17" s="39">
        <f>'FS Desroches Daily'!AJ19</f>
        <v>310.00000000000227</v>
      </c>
      <c r="V17" s="39">
        <f>'FS Desroches Daily'!AL19</f>
        <v>0.21000000000000796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130.00000000002387</v>
      </c>
      <c r="Z17" s="39">
        <f>'FS Desroches Daily'!AU20</f>
        <v>261.86</v>
      </c>
      <c r="AA17" s="39">
        <f>'FS Desroches Daily'!AU20</f>
        <v>261.86</v>
      </c>
      <c r="AB17" s="39">
        <f>'FS Desroches Daily'!AV19</f>
        <v>120.00000000000455</v>
      </c>
      <c r="AC17" s="39">
        <f>'FS Desroches Daily'!AZ19</f>
        <v>60.000000000002274</v>
      </c>
      <c r="AD17" s="39">
        <f>'FS Desroches Daily'!BB19</f>
        <v>109.9999999999568</v>
      </c>
      <c r="AE17" s="39">
        <f>'FS Desroches Daily'!BD19</f>
        <v>10.000000000019327</v>
      </c>
      <c r="AF17" s="35">
        <f>'FS Desroches Daily'!BF19</f>
        <v>29</v>
      </c>
      <c r="AG17" s="36">
        <f>'FS Desroches Daily'!BH19</f>
        <v>40.000000000020464</v>
      </c>
      <c r="AH17" s="36">
        <f>'FS Desroches Daily'!BJ19</f>
        <v>39.99999999996362</v>
      </c>
      <c r="AI17" s="36">
        <f>'FS Desroches Daily'!BL19</f>
        <v>39.999999999992042</v>
      </c>
      <c r="AJ17" s="36">
        <f>'FS Desroches Daily'!BN19</f>
        <v>50.000000000011369</v>
      </c>
      <c r="AK17" s="36">
        <f>'FS Desroches Daily'!BP19</f>
        <v>50.000000000011369</v>
      </c>
      <c r="AL17" s="36">
        <f>'FS Desroches Daily'!BR19</f>
        <v>26</v>
      </c>
      <c r="AM17" s="36">
        <f>'FS Desroches Daily'!BT19</f>
        <v>30.000000000001137</v>
      </c>
      <c r="AN17" s="36">
        <f>'FS Desroches Daily'!BV19</f>
        <v>28</v>
      </c>
      <c r="AO17" s="36">
        <f>'FS Desroches Daily'!BX19</f>
        <v>39.999999999992042</v>
      </c>
      <c r="AP17" s="36">
        <f>'FS Desroches Daily'!BZ19</f>
        <v>40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77.200000000004366</v>
      </c>
      <c r="AU17" s="35">
        <f>'FS Desroches Daily'!CJ19</f>
        <v>243</v>
      </c>
      <c r="AV17" s="35">
        <f>'FS Desroches Daily'!CL19</f>
        <v>550.00000000006821</v>
      </c>
      <c r="AW17" s="35">
        <f>'FS Desroches Daily'!CM19</f>
        <v>34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5.4944999999999995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1800.0000000000239</v>
      </c>
      <c r="F18" s="36">
        <f>'FS Desroches Daily'!F20</f>
        <v>999.99999999988984</v>
      </c>
      <c r="G18" s="35">
        <f>'FS Desroches Daily'!H20</f>
        <v>2000.0000000002237</v>
      </c>
      <c r="H18" s="36">
        <f>'FS Desroches Daily'!J20</f>
        <v>1299.9999999998568</v>
      </c>
      <c r="I18" s="35">
        <f>'FS Desroches Daily'!L20</f>
        <v>2199.9999999999795</v>
      </c>
      <c r="J18" s="36">
        <f>'FS Desroches Daily'!N20</f>
        <v>1199.9999999998679</v>
      </c>
      <c r="K18" s="13">
        <f>'FS Desroches Daily'!P20</f>
        <v>0</v>
      </c>
      <c r="L18" s="35">
        <f>'FS Desroches Daily'!R20</f>
        <v>8</v>
      </c>
      <c r="M18" s="35">
        <f>'FS Desroches Daily'!T20</f>
        <v>235</v>
      </c>
      <c r="N18" s="35">
        <f>'FS Desroches Daily'!V20</f>
        <v>151</v>
      </c>
      <c r="O18" s="35">
        <f>'FS Desroches Daily'!X20</f>
        <v>250</v>
      </c>
      <c r="P18" s="35">
        <f>'FS Desroches Daily'!Z20</f>
        <v>700.00000000014495</v>
      </c>
      <c r="Q18" s="35">
        <f>'FS Desroches Daily'!AB20</f>
        <v>120.00000000000455</v>
      </c>
      <c r="R18" s="35">
        <f>'FS Desroches Daily'!AD20</f>
        <v>379.99999999999545</v>
      </c>
      <c r="S18" s="35">
        <f>'FS Desroches Daily'!AF20</f>
        <v>669.99999999995907</v>
      </c>
      <c r="T18" s="35">
        <f>'FS Desroches Daily'!AH20</f>
        <v>1.0999999999999091</v>
      </c>
      <c r="U18" s="39">
        <f>'FS Desroches Daily'!AJ20</f>
        <v>379.99999999999545</v>
      </c>
      <c r="V18" s="39">
        <f>'FS Desroches Daily'!AL20</f>
        <v>0.21999999999999886</v>
      </c>
      <c r="W18" s="39">
        <f>'FS Desroches Daily'!AN20</f>
        <v>0.17000000000001592</v>
      </c>
      <c r="X18" s="39">
        <f>'FS Desroches Daily'!AP20</f>
        <v>0.15000000000000568</v>
      </c>
      <c r="Y18" s="39">
        <f>'FS Desroches Daily'!AR20</f>
        <v>129.99999999999545</v>
      </c>
      <c r="Z18" s="39">
        <f>'FS Desroches Daily'!AT20</f>
        <v>110.00000000001364</v>
      </c>
      <c r="AA18" s="39">
        <f>'FS Desroches Daily'!AT20</f>
        <v>110.00000000001364</v>
      </c>
      <c r="AB18" s="39">
        <f>'FS Desroches Daily'!AV20</f>
        <v>110.00000000001364</v>
      </c>
      <c r="AC18" s="39">
        <f>'FS Desroches Daily'!AZ20</f>
        <v>60.000000000002274</v>
      </c>
      <c r="AD18" s="39">
        <f>'FS Desroches Daily'!BB20</f>
        <v>120.00000000000455</v>
      </c>
      <c r="AE18" s="39">
        <f>'FS Desroches Daily'!BD20</f>
        <v>19.99999999998181</v>
      </c>
      <c r="AF18" s="35">
        <f>'FS Desroches Daily'!BF20</f>
        <v>30</v>
      </c>
      <c r="AG18" s="36">
        <f>'FS Desroches Daily'!BH20</f>
        <v>30.000000000001137</v>
      </c>
      <c r="AH18" s="36">
        <f>'FS Desroches Daily'!BJ20</f>
        <v>30.000000000029559</v>
      </c>
      <c r="AI18" s="36">
        <f>'FS Desroches Daily'!BL20</f>
        <v>30.000000000001137</v>
      </c>
      <c r="AJ18" s="36">
        <f>'FS Desroches Daily'!BN20</f>
        <v>49.999999999982947</v>
      </c>
      <c r="AK18" s="36">
        <f>'FS Desroches Daily'!BP20</f>
        <v>50.000000000011369</v>
      </c>
      <c r="AL18" s="36">
        <f>'FS Desroches Daily'!BR20</f>
        <v>17</v>
      </c>
      <c r="AM18" s="36">
        <f>'FS Desroches Daily'!BT20</f>
        <v>30.000000000001137</v>
      </c>
      <c r="AN18" s="36">
        <f>'FS Desroches Daily'!BV20</f>
        <v>32</v>
      </c>
      <c r="AO18" s="36">
        <f>'FS Desroches Daily'!BX20</f>
        <v>30.000000000001137</v>
      </c>
      <c r="AP18" s="36">
        <f>'FS Desroches Daily'!BZ20</f>
        <v>43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39.69999999999709</v>
      </c>
      <c r="AU18" s="35">
        <f>'FS Desroches Daily'!CJ20</f>
        <v>172</v>
      </c>
      <c r="AV18" s="35">
        <f>'FS Desroches Daily'!CL20</f>
        <v>409.99999999996817</v>
      </c>
      <c r="AW18" s="35">
        <f>'FS Desroches Daily'!CM20</f>
        <v>38.4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1500.0000000000568</v>
      </c>
      <c r="F19" s="36">
        <f>'FS Desroches Daily'!F21</f>
        <v>799.99999999991189</v>
      </c>
      <c r="G19" s="35">
        <f>'FS Desroches Daily'!H21</f>
        <v>1700.0000000000348</v>
      </c>
      <c r="H19" s="36">
        <f>'FS Desroches Daily'!J21</f>
        <v>1100.000000000101</v>
      </c>
      <c r="I19" s="35">
        <f>'FS Desroches Daily'!L21</f>
        <v>2199.9999999999795</v>
      </c>
      <c r="J19" s="36">
        <f>'FS Desroches Daily'!N21</f>
        <v>1100.000000000101</v>
      </c>
      <c r="K19" s="13">
        <f>'FS Desroches Daily'!P21</f>
        <v>0</v>
      </c>
      <c r="L19" s="35">
        <f>'FS Desroches Daily'!R21</f>
        <v>4</v>
      </c>
      <c r="M19" s="35">
        <f>'FS Desroches Daily'!T21</f>
        <v>214</v>
      </c>
      <c r="N19" s="35">
        <f>'FS Desroches Daily'!V21</f>
        <v>129</v>
      </c>
      <c r="O19" s="35">
        <f>'FS Desroches Daily'!X21</f>
        <v>199.99999999998863</v>
      </c>
      <c r="P19" s="35">
        <f>'FS Desroches Daily'!Z21</f>
        <v>499.99999999972289</v>
      </c>
      <c r="Q19" s="35">
        <f>'FS Desroches Daily'!AB21</f>
        <v>100.00000000002274</v>
      </c>
      <c r="R19" s="35">
        <f>'FS Desroches Daily'!AD21</f>
        <v>289.99999999996362</v>
      </c>
      <c r="S19" s="35">
        <f>'FS Desroches Daily'!AF21</f>
        <v>580.00000000004093</v>
      </c>
      <c r="T19" s="35">
        <f>'FS Desroches Daily'!AH21</f>
        <v>1</v>
      </c>
      <c r="U19" s="39">
        <f>'FS Desroches Daily'!AJ21</f>
        <v>300.00000000001137</v>
      </c>
      <c r="V19" s="39">
        <f>'FS Desroches Daily'!AL21</f>
        <v>0.17000000000001592</v>
      </c>
      <c r="W19" s="39">
        <f>'FS Desroches Daily'!AN21</f>
        <v>0.12999999999999545</v>
      </c>
      <c r="X19" s="39">
        <f>'FS Desroches Daily'!AP21</f>
        <v>0.12000000000000455</v>
      </c>
      <c r="Y19" s="39">
        <f>'FS Desroches Daily'!AR21</f>
        <v>109.99999999998522</v>
      </c>
      <c r="Z19" s="39">
        <f>'FS Desroches Daily'!AT21</f>
        <v>89.999999999974989</v>
      </c>
      <c r="AA19" s="39">
        <f>'FS Desroches Daily'!AT21</f>
        <v>89.999999999974989</v>
      </c>
      <c r="AB19" s="39">
        <f>'FS Desroches Daily'!AV21</f>
        <v>89.999999999974989</v>
      </c>
      <c r="AC19" s="39">
        <f>'FS Desroches Daily'!AZ21</f>
        <v>50.000000000011369</v>
      </c>
      <c r="AD19" s="39">
        <f>'FS Desroches Daily'!BB21</f>
        <v>90.000000000031832</v>
      </c>
      <c r="AE19" s="39">
        <f>'FS Desroches Daily'!BD21</f>
        <v>10.000000000019327</v>
      </c>
      <c r="AF19" s="35">
        <f>'FS Desroches Daily'!BF21</f>
        <v>30</v>
      </c>
      <c r="AG19" s="36">
        <f>'FS Desroches Daily'!BH21</f>
        <v>49.999999999982947</v>
      </c>
      <c r="AH19" s="36">
        <f>'FS Desroches Daily'!BJ21</f>
        <v>60.000000000002274</v>
      </c>
      <c r="AI19" s="36">
        <f>'FS Desroches Daily'!BL21</f>
        <v>60.000000000002274</v>
      </c>
      <c r="AJ19" s="36">
        <f>'FS Desroches Daily'!BN21</f>
        <v>80.000000000012506</v>
      </c>
      <c r="AK19" s="36">
        <f>'FS Desroches Daily'!BP21</f>
        <v>89.999999999974989</v>
      </c>
      <c r="AL19" s="36">
        <f>'FS Desroches Daily'!BR21</f>
        <v>31</v>
      </c>
      <c r="AM19" s="36">
        <f>'FS Desroches Daily'!BT21</f>
        <v>39.999999999992042</v>
      </c>
      <c r="AN19" s="36">
        <f>'FS Desroches Daily'!BV21</f>
        <v>36</v>
      </c>
      <c r="AO19" s="36">
        <f>'FS Desroches Daily'!BX21</f>
        <v>69.999999999993179</v>
      </c>
      <c r="AP19" s="36">
        <f>'FS Desroches Daily'!BZ21</f>
        <v>57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54</v>
      </c>
      <c r="AU19" s="35">
        <f>'FS Desroches Daily'!CJ21</f>
        <v>197</v>
      </c>
      <c r="AV19" s="35">
        <f>'FS Desroches Daily'!CL21</f>
        <v>480.00000000001819</v>
      </c>
      <c r="AW19" s="35">
        <f>'FS Desroches Daily'!CM21</f>
        <v>25.7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1399.9999999998458</v>
      </c>
      <c r="F20" s="36">
        <f>'FS Desroches Daily'!F22</f>
        <v>900.0000000001229</v>
      </c>
      <c r="G20" s="35">
        <f>'FS Desroches Daily'!H22</f>
        <v>1500.0000000000568</v>
      </c>
      <c r="H20" s="36">
        <f>'FS Desroches Daily'!J22</f>
        <v>1200.0000000000898</v>
      </c>
      <c r="I20" s="35">
        <f>'FS Desroches Daily'!L22</f>
        <v>2199.9999999999795</v>
      </c>
      <c r="J20" s="36">
        <f>'FS Desroches Daily'!N22</f>
        <v>999.99999999988984</v>
      </c>
      <c r="K20" s="13">
        <f>'FS Desroches Daily'!P22</f>
        <v>0</v>
      </c>
      <c r="L20" s="35">
        <f>'FS Desroches Daily'!R22</f>
        <v>6</v>
      </c>
      <c r="M20" s="35">
        <f>'FS Desroches Daily'!T22</f>
        <v>85</v>
      </c>
      <c r="N20" s="35">
        <f>'FS Desroches Daily'!V22</f>
        <v>52</v>
      </c>
      <c r="O20" s="35">
        <f>'FS Desroches Daily'!X22</f>
        <v>180.00000000000682</v>
      </c>
      <c r="P20" s="35">
        <f>'FS Desroches Daily'!Z22</f>
        <v>500.00000000016701</v>
      </c>
      <c r="Q20" s="35">
        <f>'FS Desroches Daily'!AB22</f>
        <v>110.00000000001364</v>
      </c>
      <c r="R20" s="35">
        <f>'FS Desroches Daily'!AD22</f>
        <v>300.00000000001137</v>
      </c>
      <c r="S20" s="35">
        <f>'FS Desroches Daily'!AF22</f>
        <v>519.99999999998181</v>
      </c>
      <c r="T20" s="35">
        <f>'FS Desroches Daily'!AH22</f>
        <v>0.90000000000009095</v>
      </c>
      <c r="U20" s="39">
        <f>'FS Desroches Daily'!AJ22</f>
        <v>279.99999999997272</v>
      </c>
      <c r="V20" s="39">
        <f>'FS Desroches Daily'!AL22</f>
        <v>0.15999999999999659</v>
      </c>
      <c r="W20" s="39">
        <f>'FS Desroches Daily'!AN22</f>
        <v>0.13999999999998636</v>
      </c>
      <c r="X20" s="39">
        <f>'FS Desroches Daily'!AP22</f>
        <v>9.9999999999994316E-2</v>
      </c>
      <c r="Y20" s="39">
        <f>'FS Desroches Daily'!AR22</f>
        <v>110.00000000001364</v>
      </c>
      <c r="Z20" s="39">
        <f>'FS Desroches Daily'!AT22</f>
        <v>90.000000000031832</v>
      </c>
      <c r="AA20" s="39">
        <f>'FS Desroches Daily'!AT22</f>
        <v>90.000000000031832</v>
      </c>
      <c r="AB20" s="39">
        <f>'FS Desroches Daily'!AV22</f>
        <v>100.00000000002274</v>
      </c>
      <c r="AC20" s="39">
        <f>'FS Desroches Daily'!AZ22</f>
        <v>40.000000000020464</v>
      </c>
      <c r="AD20" s="39">
        <f>'FS Desroches Daily'!BB22</f>
        <v>79.999999999984084</v>
      </c>
      <c r="AE20" s="39">
        <f>'FS Desroches Daily'!BD22</f>
        <v>0</v>
      </c>
      <c r="AF20" s="35">
        <f>'FS Desroches Daily'!BF22</f>
        <v>30</v>
      </c>
      <c r="AG20" s="36">
        <f>'FS Desroches Daily'!BH22</f>
        <v>10.000000000019327</v>
      </c>
      <c r="AH20" s="36">
        <f>'FS Desroches Daily'!BJ22</f>
        <v>29.999999999972715</v>
      </c>
      <c r="AI20" s="36">
        <f>'FS Desroches Daily'!BL22</f>
        <v>19.99999999998181</v>
      </c>
      <c r="AJ20" s="36">
        <f>'FS Desroches Daily'!BN22</f>
        <v>39.999999999992042</v>
      </c>
      <c r="AK20" s="36">
        <f>'FS Desroches Daily'!BP22</f>
        <v>30.000000000029559</v>
      </c>
      <c r="AL20" s="36">
        <f>'FS Desroches Daily'!BR22</f>
        <v>12</v>
      </c>
      <c r="AM20" s="36">
        <f>'FS Desroches Daily'!BT22</f>
        <v>20.000000000010232</v>
      </c>
      <c r="AN20" s="36">
        <f>'FS Desroches Daily'!BV22</f>
        <v>15</v>
      </c>
      <c r="AO20" s="36">
        <f>'FS Desroches Daily'!BX22</f>
        <v>20.000000000010232</v>
      </c>
      <c r="AP20" s="36">
        <f>'FS Desroches Daily'!BZ22</f>
        <v>29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65.80000000000291</v>
      </c>
      <c r="AU20" s="35">
        <f>'FS Desroches Daily'!CJ22</f>
        <v>198</v>
      </c>
      <c r="AV20" s="35">
        <f>'FS Desroches Daily'!CL22</f>
        <v>360.00000000001364</v>
      </c>
      <c r="AW20" s="35">
        <f>'FS Desroches Daily'!CM22</f>
        <v>17.399999999999999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1400.0000000000678</v>
      </c>
      <c r="F21" s="36">
        <f>'FS Desroches Daily'!F23</f>
        <v>799.99999999991189</v>
      </c>
      <c r="G21" s="35">
        <f>'FS Desroches Daily'!H23</f>
        <v>1799.9999999998017</v>
      </c>
      <c r="H21" s="36">
        <f>'FS Desroches Daily'!J23</f>
        <v>1099.9999999998788</v>
      </c>
      <c r="I21" s="35">
        <f>'FS Desroches Daily'!L23</f>
        <v>2099.9999999999909</v>
      </c>
      <c r="J21" s="36">
        <f>'FS Desroches Daily'!N23</f>
        <v>1000.0000000001119</v>
      </c>
      <c r="K21" s="13">
        <f>'FS Desroches Daily'!P23</f>
        <v>0</v>
      </c>
      <c r="L21" s="35">
        <f>'FS Desroches Daily'!R23</f>
        <v>3</v>
      </c>
      <c r="M21" s="35">
        <f>'FS Desroches Daily'!T23</f>
        <v>92</v>
      </c>
      <c r="N21" s="35">
        <f>'FS Desroches Daily'!V23</f>
        <v>57</v>
      </c>
      <c r="O21" s="35">
        <f>'FS Desroches Daily'!X23</f>
        <v>199.99999999998863</v>
      </c>
      <c r="P21" s="35">
        <f>'FS Desroches Daily'!Z23</f>
        <v>599.99999999993395</v>
      </c>
      <c r="Q21" s="35">
        <f>'FS Desroches Daily'!AB23</f>
        <v>89.999999999974989</v>
      </c>
      <c r="R21" s="35">
        <f>'FS Desroches Daily'!AD23</f>
        <v>259.99999999999091</v>
      </c>
      <c r="S21" s="35">
        <f>'FS Desroches Daily'!AF23</f>
        <v>500</v>
      </c>
      <c r="T21" s="35">
        <f>'FS Desroches Daily'!AH23</f>
        <v>1.0999999999999091</v>
      </c>
      <c r="U21" s="39">
        <f>'FS Desroches Daily'!AJ23</f>
        <v>300.00000000001137</v>
      </c>
      <c r="V21" s="39">
        <f>'FS Desroches Daily'!AL23</f>
        <v>0</v>
      </c>
      <c r="W21" s="39">
        <f>'FS Desroches Daily'!AN23</f>
        <v>0.12000000000000455</v>
      </c>
      <c r="X21" s="39">
        <f>'FS Desroches Daily'!AP23</f>
        <v>0.10999999999998522</v>
      </c>
      <c r="Y21" s="39">
        <f>'FS Desroches Daily'!AR23</f>
        <v>99.999999999994316</v>
      </c>
      <c r="Z21" s="39">
        <f>'FS Desroches Daily'!AT23</f>
        <v>79.999999999984084</v>
      </c>
      <c r="AA21" s="39">
        <f>'FS Desroches Daily'!AT23</f>
        <v>79.999999999984084</v>
      </c>
      <c r="AB21" s="39">
        <f>'FS Desroches Daily'!AV23</f>
        <v>89.999999999974989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19.99999999998181</v>
      </c>
      <c r="AF21" s="35">
        <f>'FS Desroches Daily'!BF23</f>
        <v>31</v>
      </c>
      <c r="AG21" s="36">
        <f>'FS Desroches Daily'!BH23</f>
        <v>19.99999999998181</v>
      </c>
      <c r="AH21" s="36">
        <f>'FS Desroches Daily'!BJ23</f>
        <v>19.99999999998181</v>
      </c>
      <c r="AI21" s="36">
        <f>'FS Desroches Daily'!BL23</f>
        <v>20.000000000010232</v>
      </c>
      <c r="AJ21" s="36">
        <f>'FS Desroches Daily'!BN23</f>
        <v>20.000000000010232</v>
      </c>
      <c r="AK21" s="36">
        <f>'FS Desroches Daily'!BP23</f>
        <v>29.999999999972715</v>
      </c>
      <c r="AL21" s="36">
        <f>'FS Desroches Daily'!BR23</f>
        <v>11</v>
      </c>
      <c r="AM21" s="36">
        <f>'FS Desroches Daily'!BT23</f>
        <v>9.9999999999909051</v>
      </c>
      <c r="AN21" s="36">
        <f>'FS Desroches Daily'!BV23</f>
        <v>14</v>
      </c>
      <c r="AO21" s="36">
        <f>'FS Desroches Daily'!BX23</f>
        <v>19.99999999998181</v>
      </c>
      <c r="AP21" s="36">
        <f>'FS Desroches Daily'!BZ23</f>
        <v>16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60.899999999994179</v>
      </c>
      <c r="AU21" s="35">
        <f>'FS Desroches Daily'!CJ23</f>
        <v>219</v>
      </c>
      <c r="AV21" s="35">
        <f>'FS Desroches Daily'!CL23</f>
        <v>449.99999999993179</v>
      </c>
      <c r="AW21" s="35">
        <f>'FS Desroches Daily'!CM23</f>
        <v>30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1400.0000000000678</v>
      </c>
      <c r="F22" s="36">
        <f>'FS Desroches Daily'!F24</f>
        <v>900.0000000001229</v>
      </c>
      <c r="G22" s="35">
        <f>'FS Desroches Daily'!H24</f>
        <v>1900.0000000000127</v>
      </c>
      <c r="H22" s="36">
        <f>'FS Desroches Daily'!J24</f>
        <v>1200.0000000000898</v>
      </c>
      <c r="I22" s="35">
        <f>'FS Desroches Daily'!L24</f>
        <v>2000.0000000000018</v>
      </c>
      <c r="J22" s="36">
        <f>'FS Desroches Daily'!N24</f>
        <v>999.99999999988984</v>
      </c>
      <c r="K22" s="13">
        <f>'FS Desroches Daily'!P24</f>
        <v>0</v>
      </c>
      <c r="L22" s="35">
        <f>'FS Desroches Daily'!R24</f>
        <v>4</v>
      </c>
      <c r="M22" s="35">
        <f>'FS Desroches Daily'!T24</f>
        <v>262</v>
      </c>
      <c r="N22" s="35">
        <f>'FS Desroches Daily'!V24</f>
        <v>144</v>
      </c>
      <c r="O22" s="35">
        <f>'FS Desroches Daily'!X24</f>
        <v>210.00000000003638</v>
      </c>
      <c r="P22" s="35">
        <f>'FS Desroches Daily'!Z24</f>
        <v>500.00000000016701</v>
      </c>
      <c r="Q22" s="35">
        <f>'FS Desroches Daily'!AB24</f>
        <v>110.00000000001364</v>
      </c>
      <c r="R22" s="35">
        <f>'FS Desroches Daily'!AD24</f>
        <v>260.00000000004775</v>
      </c>
      <c r="S22" s="35">
        <f>'FS Desroches Daily'!AF24</f>
        <v>519.99999999998181</v>
      </c>
      <c r="T22" s="35">
        <f>'FS Desroches Daily'!AH24</f>
        <v>0.79999999999995453</v>
      </c>
      <c r="U22" s="39">
        <f>'FS Desroches Daily'!AJ24</f>
        <v>269.99999999998181</v>
      </c>
      <c r="V22" s="39">
        <f>'FS Desroches Daily'!AL24</f>
        <v>0.21000000000000796</v>
      </c>
      <c r="W22" s="39">
        <f>'FS Desroches Daily'!AN24</f>
        <v>0.11000000000001364</v>
      </c>
      <c r="X22" s="39">
        <f>'FS Desroches Daily'!AP24</f>
        <v>0.10000000000002274</v>
      </c>
      <c r="Y22" s="39">
        <f>'FS Desroches Daily'!AR24</f>
        <v>99.999999999994316</v>
      </c>
      <c r="Z22" s="39">
        <f>'FS Desroches Daily'!AT24</f>
        <v>89.999999999974989</v>
      </c>
      <c r="AA22" s="39">
        <f>'FS Desroches Daily'!AT24</f>
        <v>89.999999999974989</v>
      </c>
      <c r="AB22" s="39">
        <f>'FS Desroches Daily'!AV24</f>
        <v>80.000000000040927</v>
      </c>
      <c r="AC22" s="39">
        <f>'FS Desroches Daily'!AZ24</f>
        <v>39.99999999996362</v>
      </c>
      <c r="AD22" s="39">
        <f>'FS Desroches Daily'!BB24</f>
        <v>69.999999999993179</v>
      </c>
      <c r="AE22" s="39">
        <f>'FS Desroches Daily'!BD24</f>
        <v>10.000000000019327</v>
      </c>
      <c r="AF22" s="35">
        <f>'FS Desroches Daily'!BF24</f>
        <v>33</v>
      </c>
      <c r="AG22" s="36">
        <f>'FS Desroches Daily'!BH24</f>
        <v>20.000000000010232</v>
      </c>
      <c r="AH22" s="36">
        <f>'FS Desroches Daily'!BJ24</f>
        <v>30.000000000029559</v>
      </c>
      <c r="AI22" s="36">
        <f>'FS Desroches Daily'!BL24</f>
        <v>30.000000000001137</v>
      </c>
      <c r="AJ22" s="36">
        <f>'FS Desroches Daily'!BN24</f>
        <v>30.000000000001137</v>
      </c>
      <c r="AK22" s="36">
        <f>'FS Desroches Daily'!BP24</f>
        <v>40.000000000020464</v>
      </c>
      <c r="AL22" s="36">
        <f>'FS Desroches Daily'!BR24</f>
        <v>19</v>
      </c>
      <c r="AM22" s="36">
        <f>'FS Desroches Daily'!BT24</f>
        <v>20.000000000010232</v>
      </c>
      <c r="AN22" s="36">
        <f>'FS Desroches Daily'!BV24</f>
        <v>22</v>
      </c>
      <c r="AO22" s="36">
        <f>'FS Desroches Daily'!BX24</f>
        <v>20.000000000010232</v>
      </c>
      <c r="AP22" s="36">
        <f>'FS Desroches Daily'!BZ24</f>
        <v>36</v>
      </c>
      <c r="AQ22" s="35">
        <f>'FS Desroches Daily'!CB24</f>
        <v>0</v>
      </c>
      <c r="AR22" s="35">
        <f>'FS Desroches Daily'!CD24</f>
        <v>0.19999999999890861</v>
      </c>
      <c r="AS22" s="35">
        <f>'FS Desroches Daily'!CF24</f>
        <v>0</v>
      </c>
      <c r="AT22" s="35">
        <f>'FS Desroches Daily'!CH24</f>
        <v>74</v>
      </c>
      <c r="AU22" s="35">
        <f>'FS Desroches Daily'!CJ24</f>
        <v>204</v>
      </c>
      <c r="AV22" s="35">
        <f>'FS Desroches Daily'!CL24</f>
        <v>470.00000000002728</v>
      </c>
      <c r="AW22" s="35">
        <f>'FS Desroches Daily'!CM24</f>
        <v>27.7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1199.9999999998679</v>
      </c>
      <c r="F23" s="36">
        <f>'FS Desroches Daily'!F25</f>
        <v>900.0000000001229</v>
      </c>
      <c r="G23" s="35">
        <f>'FS Desroches Daily'!H25</f>
        <v>1700.0000000000348</v>
      </c>
      <c r="H23" s="36">
        <f>'FS Desroches Daily'!J25</f>
        <v>999.99999999988984</v>
      </c>
      <c r="I23" s="35">
        <f>'FS Desroches Daily'!L25</f>
        <v>2099.9999999999909</v>
      </c>
      <c r="J23" s="36">
        <f>'FS Desroches Daily'!N25</f>
        <v>800.00000000013392</v>
      </c>
      <c r="K23" s="13">
        <f>'FS Desroches Daily'!P25</f>
        <v>0</v>
      </c>
      <c r="L23" s="35">
        <f>'FS Desroches Daily'!R25</f>
        <v>4</v>
      </c>
      <c r="M23" s="35">
        <f>'FS Desroches Daily'!T25</f>
        <v>167</v>
      </c>
      <c r="N23" s="35">
        <f>'FS Desroches Daily'!V25</f>
        <v>110</v>
      </c>
      <c r="O23" s="35">
        <f>'FS Desroches Daily'!X25</f>
        <v>159.99999999996817</v>
      </c>
      <c r="P23" s="35">
        <f>'FS Desroches Daily'!Z25</f>
        <v>499.99999999972289</v>
      </c>
      <c r="Q23" s="35">
        <f>'FS Desroches Daily'!AB25</f>
        <v>99.999999999965894</v>
      </c>
      <c r="R23" s="35">
        <f>'FS Desroches Daily'!AD25</f>
        <v>179.99999999994998</v>
      </c>
      <c r="S23" s="35">
        <f>'FS Desroches Daily'!AF25</f>
        <v>379.99999999999545</v>
      </c>
      <c r="T23" s="35">
        <f>'FS Desroches Daily'!AH25</f>
        <v>1.4000000000000909</v>
      </c>
      <c r="U23" s="39">
        <f>'FS Desroches Daily'!AJ25</f>
        <v>250</v>
      </c>
      <c r="V23" s="39">
        <f>'FS Desroches Daily'!AL25</f>
        <v>0.18999999999999773</v>
      </c>
      <c r="W23" s="39">
        <f>'FS Desroches Daily'!AN25</f>
        <v>7.9999999999984084E-2</v>
      </c>
      <c r="X23" s="39">
        <f>'FS Desroches Daily'!AP25</f>
        <v>7.9999999999984084E-2</v>
      </c>
      <c r="Y23" s="39">
        <f>'FS Desroches Daily'!AR25</f>
        <v>90.000000000003411</v>
      </c>
      <c r="Z23" s="39">
        <f>'FS Desroches Daily'!AT25</f>
        <v>70.000000000050022</v>
      </c>
      <c r="AA23" s="39">
        <f>'FS Desroches Daily'!AT25</f>
        <v>70.000000000050022</v>
      </c>
      <c r="AB23" s="39">
        <f>'FS Desroches Daily'!AV25</f>
        <v>59.99999999994543</v>
      </c>
      <c r="AC23" s="39">
        <f>'FS Desroches Daily'!AZ25</f>
        <v>50.000000000011369</v>
      </c>
      <c r="AD23" s="39">
        <f>'FS Desroches Daily'!BB25</f>
        <v>50.000000000011369</v>
      </c>
      <c r="AE23" s="39">
        <f>'FS Desroches Daily'!BD25</f>
        <v>9.9999999999909051</v>
      </c>
      <c r="AF23" s="35">
        <f>'FS Desroches Daily'!BF25</f>
        <v>26</v>
      </c>
      <c r="AG23" s="36">
        <f>'FS Desroches Daily'!BH25</f>
        <v>39.999999999992042</v>
      </c>
      <c r="AH23" s="36">
        <f>'FS Desroches Daily'!BJ25</f>
        <v>40.000000000020464</v>
      </c>
      <c r="AI23" s="36">
        <f>'FS Desroches Daily'!BL25</f>
        <v>50.000000000011369</v>
      </c>
      <c r="AJ23" s="36">
        <f>'FS Desroches Daily'!BN25</f>
        <v>59.999999999973852</v>
      </c>
      <c r="AK23" s="36">
        <f>'FS Desroches Daily'!BP25</f>
        <v>60.000000000002274</v>
      </c>
      <c r="AL23" s="36">
        <f>'FS Desroches Daily'!BR25</f>
        <v>30</v>
      </c>
      <c r="AM23" s="36">
        <f>'FS Desroches Daily'!BT25</f>
        <v>29.999999999972715</v>
      </c>
      <c r="AN23" s="36">
        <f>'FS Desroches Daily'!BV25</f>
        <v>28</v>
      </c>
      <c r="AO23" s="36">
        <f>'FS Desroches Daily'!BX25</f>
        <v>50.000000000011369</v>
      </c>
      <c r="AP23" s="36">
        <f>'FS Desroches Daily'!BZ25</f>
        <v>52</v>
      </c>
      <c r="AQ23" s="35">
        <f>'FS Desroches Daily'!CB25</f>
        <v>2.7999999999992724</v>
      </c>
      <c r="AR23" s="35">
        <f>'FS Desroches Daily'!CD25</f>
        <v>0.19999999999890861</v>
      </c>
      <c r="AS23" s="35">
        <f>'FS Desroches Daily'!CF25</f>
        <v>15.5</v>
      </c>
      <c r="AT23" s="35">
        <f>'FS Desroches Daily'!CH25</f>
        <v>65.900000000001455</v>
      </c>
      <c r="AU23" s="35">
        <f>'FS Desroches Daily'!CJ25</f>
        <v>210</v>
      </c>
      <c r="AV23" s="35">
        <f>'FS Desroches Daily'!CL25</f>
        <v>350.00000000002274</v>
      </c>
      <c r="AW23" s="35">
        <f>'FS Desroches Daily'!CM25</f>
        <v>26.7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7.3259999999999996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1400.0000000000678</v>
      </c>
      <c r="F24" s="36">
        <f>'FS Desroches Daily'!F26</f>
        <v>699.99999999970089</v>
      </c>
      <c r="G24" s="35">
        <f>'FS Desroches Daily'!H26</f>
        <v>1799.9999999998017</v>
      </c>
      <c r="H24" s="36">
        <f>'FS Desroches Daily'!J26</f>
        <v>1200.0000000000898</v>
      </c>
      <c r="I24" s="35">
        <f>'FS Desroches Daily'!L26</f>
        <v>2199.9999999999795</v>
      </c>
      <c r="J24" s="36">
        <f>'FS Desroches Daily'!N26</f>
        <v>999.99999999988984</v>
      </c>
      <c r="K24" s="13">
        <f>'FS Desroches Daily'!P26</f>
        <v>0</v>
      </c>
      <c r="L24" s="35">
        <f>'FS Desroches Daily'!R26</f>
        <v>4</v>
      </c>
      <c r="M24" s="35">
        <f>'FS Desroches Daily'!T26</f>
        <v>227</v>
      </c>
      <c r="N24" s="35">
        <f>'FS Desroches Daily'!V26</f>
        <v>109</v>
      </c>
      <c r="O24" s="35">
        <f>'FS Desroches Daily'!X26</f>
        <v>189.99999999999773</v>
      </c>
      <c r="P24" s="35">
        <f>'FS Desroches Daily'!Z26</f>
        <v>599.99999999993395</v>
      </c>
      <c r="Q24" s="35">
        <f>'FS Desroches Daily'!AB26</f>
        <v>100.00000000002274</v>
      </c>
      <c r="R24" s="35">
        <f>'FS Desroches Daily'!AD26</f>
        <v>260.00000000004775</v>
      </c>
      <c r="S24" s="35">
        <f>'FS Desroches Daily'!AF26</f>
        <v>510.00000000004775</v>
      </c>
      <c r="T24" s="35">
        <f>'FS Desroches Daily'!AH26</f>
        <v>1</v>
      </c>
      <c r="U24" s="39">
        <f>'FS Desroches Daily'!AJ26</f>
        <v>260.00000000004775</v>
      </c>
      <c r="V24" s="39">
        <f>'FS Desroches Daily'!AL26</f>
        <v>0.18999999999999773</v>
      </c>
      <c r="W24" s="39">
        <f>'FS Desroches Daily'!AN26</f>
        <v>9.9999999999994316E-2</v>
      </c>
      <c r="X24" s="39">
        <f>'FS Desroches Daily'!AP26</f>
        <v>9.9999999999994316E-2</v>
      </c>
      <c r="Y24" s="39">
        <f>'FS Desroches Daily'!AR26</f>
        <v>99.999999999994316</v>
      </c>
      <c r="Z24" s="39">
        <f>'FS Desroches Daily'!AT26</f>
        <v>89.999999999974989</v>
      </c>
      <c r="AA24" s="39">
        <f>'FS Desroches Daily'!AT26</f>
        <v>89.999999999974989</v>
      </c>
      <c r="AB24" s="39">
        <f>'FS Desroches Daily'!AV26</f>
        <v>80.000000000040927</v>
      </c>
      <c r="AC24" s="39">
        <f>'FS Desroches Daily'!AZ26</f>
        <v>69.999999999993179</v>
      </c>
      <c r="AD24" s="39">
        <f>'FS Desroches Daily'!BB26</f>
        <v>69.999999999993179</v>
      </c>
      <c r="AE24" s="39">
        <f>'FS Desroches Daily'!BD26</f>
        <v>20.000000000010232</v>
      </c>
      <c r="AF24" s="35">
        <f>'FS Desroches Daily'!BF26</f>
        <v>30</v>
      </c>
      <c r="AG24" s="36">
        <f>'FS Desroches Daily'!BH26</f>
        <v>30.000000000001137</v>
      </c>
      <c r="AH24" s="36">
        <f>'FS Desroches Daily'!BJ26</f>
        <v>29.999999999972715</v>
      </c>
      <c r="AI24" s="36">
        <f>'FS Desroches Daily'!BL26</f>
        <v>30.000000000001137</v>
      </c>
      <c r="AJ24" s="36">
        <f>'FS Desroches Daily'!BN26</f>
        <v>30.000000000001137</v>
      </c>
      <c r="AK24" s="36">
        <f>'FS Desroches Daily'!BP26</f>
        <v>50.000000000011369</v>
      </c>
      <c r="AL24" s="36">
        <f>'FS Desroches Daily'!BR26</f>
        <v>20</v>
      </c>
      <c r="AM24" s="36">
        <f>'FS Desroches Daily'!BT26</f>
        <v>20.000000000010232</v>
      </c>
      <c r="AN24" s="36">
        <f>'FS Desroches Daily'!BV26</f>
        <v>19</v>
      </c>
      <c r="AO24" s="36">
        <f>'FS Desroches Daily'!BX26</f>
        <v>30.000000000001137</v>
      </c>
      <c r="AP24" s="36">
        <f>'FS Desroches Daily'!BZ26</f>
        <v>34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53.599999999998545</v>
      </c>
      <c r="AU24" s="35">
        <f>'FS Desroches Daily'!CJ26</f>
        <v>210</v>
      </c>
      <c r="AV24" s="35">
        <f>'FS Desroches Daily'!CL26</f>
        <v>330.00000000004093</v>
      </c>
      <c r="AW24" s="35">
        <f>'FS Desroches Daily'!CM26</f>
        <v>29.5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9.1574999999999989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1500.0000000000568</v>
      </c>
      <c r="F25" s="36">
        <f>'FS Desroches Daily'!F27</f>
        <v>900.0000000001229</v>
      </c>
      <c r="G25" s="35">
        <f>'FS Desroches Daily'!H27</f>
        <v>1800.0000000002458</v>
      </c>
      <c r="H25" s="36">
        <f>'FS Desroches Daily'!J27</f>
        <v>1099.9999999998788</v>
      </c>
      <c r="I25" s="35">
        <f>'FS Desroches Daily'!L27</f>
        <v>2200.0000000002019</v>
      </c>
      <c r="J25" s="36">
        <f>'FS Desroches Daily'!N27</f>
        <v>1200.0000000000898</v>
      </c>
      <c r="K25" s="13">
        <f>'FS Desroches Daily'!P27</f>
        <v>0</v>
      </c>
      <c r="L25" s="35">
        <f>'FS Desroches Daily'!R27</f>
        <v>4</v>
      </c>
      <c r="M25" s="35">
        <f>'FS Desroches Daily'!T27</f>
        <v>228</v>
      </c>
      <c r="N25" s="35">
        <f>'FS Desroches Daily'!V27</f>
        <v>138</v>
      </c>
      <c r="O25" s="35">
        <f>'FS Desroches Daily'!X27</f>
        <v>199.99999999998863</v>
      </c>
      <c r="P25" s="35">
        <f>'FS Desroches Daily'!Z27</f>
        <v>500.00000000016701</v>
      </c>
      <c r="Q25" s="35">
        <f>'FS Desroches Daily'!AB27</f>
        <v>110.00000000001364</v>
      </c>
      <c r="R25" s="35">
        <f>'FS Desroches Daily'!AD27</f>
        <v>289.99999999996362</v>
      </c>
      <c r="S25" s="35">
        <f>'FS Desroches Daily'!AF27</f>
        <v>529.99999999997272</v>
      </c>
      <c r="T25" s="35">
        <f>'FS Desroches Daily'!AH27</f>
        <v>1.5</v>
      </c>
      <c r="U25" s="39">
        <f>'FS Desroches Daily'!AJ27</f>
        <v>279.99999999997272</v>
      </c>
      <c r="V25" s="39">
        <f>'FS Desroches Daily'!AL27</f>
        <v>0.18000000000000682</v>
      </c>
      <c r="W25" s="39">
        <f>'FS Desroches Daily'!AN27</f>
        <v>0.12000000000000455</v>
      </c>
      <c r="X25" s="39">
        <f>'FS Desroches Daily'!AP27</f>
        <v>0.12999999999999545</v>
      </c>
      <c r="Y25" s="39">
        <f>'FS Desroches Daily'!AR27</f>
        <v>99.999999999994316</v>
      </c>
      <c r="Z25" s="39">
        <f>'FS Desroches Daily'!AT27</f>
        <v>100.00000000002274</v>
      </c>
      <c r="AA25" s="39">
        <f>'FS Desroches Daily'!AT27</f>
        <v>100.00000000002274</v>
      </c>
      <c r="AB25" s="39">
        <f>'FS Desroches Daily'!AV27</f>
        <v>89.999999999974989</v>
      </c>
      <c r="AC25" s="39">
        <f>'FS Desroches Daily'!AZ27</f>
        <v>79.999999999984084</v>
      </c>
      <c r="AD25" s="39">
        <f>'FS Desroches Daily'!BB27</f>
        <v>90.000000000031832</v>
      </c>
      <c r="AE25" s="39">
        <f>'FS Desroches Daily'!BD27</f>
        <v>9.9999999999909051</v>
      </c>
      <c r="AF25" s="35">
        <f>'FS Desroches Daily'!BF27</f>
        <v>23</v>
      </c>
      <c r="AG25" s="36">
        <f>'FS Desroches Daily'!BH27</f>
        <v>20.000000000010232</v>
      </c>
      <c r="AH25" s="36">
        <f>'FS Desroches Daily'!BJ27</f>
        <v>40.000000000020464</v>
      </c>
      <c r="AI25" s="36">
        <f>'FS Desroches Daily'!BL27</f>
        <v>30.000000000001137</v>
      </c>
      <c r="AJ25" s="36">
        <f>'FS Desroches Daily'!BN27</f>
        <v>40.000000000020464</v>
      </c>
      <c r="AK25" s="36">
        <f>'FS Desroches Daily'!BP27</f>
        <v>50.000000000011369</v>
      </c>
      <c r="AL25" s="36">
        <f>'FS Desroches Daily'!BR27</f>
        <v>21</v>
      </c>
      <c r="AM25" s="36">
        <f>'FS Desroches Daily'!BT27</f>
        <v>20.000000000010232</v>
      </c>
      <c r="AN25" s="36">
        <f>'FS Desroches Daily'!BV27</f>
        <v>20</v>
      </c>
      <c r="AO25" s="36">
        <f>'FS Desroches Daily'!BX27</f>
        <v>30.000000000001137</v>
      </c>
      <c r="AP25" s="36">
        <f>'FS Desroches Daily'!BZ27</f>
        <v>34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89</v>
      </c>
      <c r="AU25" s="35">
        <f>'FS Desroches Daily'!CJ27</f>
        <v>210</v>
      </c>
      <c r="AV25" s="35">
        <f>'FS Desroches Daily'!CL27</f>
        <v>409.99999999996817</v>
      </c>
      <c r="AW25" s="35">
        <f>'FS Desroches Daily'!CM27</f>
        <v>33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1800.0000000000239</v>
      </c>
      <c r="F26" s="36">
        <f>'FS Desroches Daily'!F28</f>
        <v>900.0000000001229</v>
      </c>
      <c r="G26" s="35">
        <f>'FS Desroches Daily'!H28</f>
        <v>1799.9999999998017</v>
      </c>
      <c r="H26" s="36">
        <f>'FS Desroches Daily'!J28</f>
        <v>1300.0000000000789</v>
      </c>
      <c r="I26" s="35">
        <f>'FS Desroches Daily'!L28</f>
        <v>2299.9999999999686</v>
      </c>
      <c r="J26" s="36">
        <f>'FS Desroches Daily'!N28</f>
        <v>899.99999999990087</v>
      </c>
      <c r="K26" s="13">
        <f>'FS Desroches Daily'!P28</f>
        <v>0</v>
      </c>
      <c r="L26" s="35">
        <f>'FS Desroches Daily'!R28</f>
        <v>4</v>
      </c>
      <c r="M26" s="35">
        <f>'FS Desroches Daily'!T28</f>
        <v>192</v>
      </c>
      <c r="N26" s="35">
        <f>'FS Desroches Daily'!V28</f>
        <v>111</v>
      </c>
      <c r="O26" s="35">
        <f>'FS Desroches Daily'!X28</f>
        <v>210.00000000003638</v>
      </c>
      <c r="P26" s="35">
        <f>'FS Desroches Daily'!Z28</f>
        <v>599.99999999993395</v>
      </c>
      <c r="Q26" s="35">
        <f>'FS Desroches Daily'!AB28</f>
        <v>129.99999999999545</v>
      </c>
      <c r="R26" s="35">
        <f>'FS Desroches Daily'!AD28</f>
        <v>310.00000000000227</v>
      </c>
      <c r="S26" s="35">
        <f>'FS Desroches Daily'!AF28</f>
        <v>610.00000000001364</v>
      </c>
      <c r="T26" s="35">
        <f>'FS Desroches Daily'!AH28</f>
        <v>1.5999999999999091</v>
      </c>
      <c r="U26" s="39">
        <f>'FS Desroches Daily'!AJ28</f>
        <v>350.00000000002274</v>
      </c>
      <c r="V26" s="39">
        <f>'FS Desroches Daily'!AL28</f>
        <v>0.19999999999998863</v>
      </c>
      <c r="W26" s="39">
        <f>'FS Desroches Daily'!AN28</f>
        <v>0.14000000000001478</v>
      </c>
      <c r="X26" s="39">
        <f>'FS Desroches Daily'!AP28</f>
        <v>0.14000000000001478</v>
      </c>
      <c r="Y26" s="39">
        <f>'FS Desroches Daily'!AR28</f>
        <v>120.00000000000455</v>
      </c>
      <c r="Z26" s="39">
        <f>'FS Desroches Daily'!AT28</f>
        <v>129.99999999999545</v>
      </c>
      <c r="AA26" s="39">
        <f>'FS Desroches Daily'!AT28</f>
        <v>129.99999999999545</v>
      </c>
      <c r="AB26" s="39">
        <f>'FS Desroches Daily'!AV28</f>
        <v>110.00000000001364</v>
      </c>
      <c r="AC26" s="39">
        <f>'FS Desroches Daily'!AZ28</f>
        <v>100.00000000002274</v>
      </c>
      <c r="AD26" s="39">
        <f>'FS Desroches Daily'!BB28</f>
        <v>99.999999999965894</v>
      </c>
      <c r="AE26" s="39">
        <f>'FS Desroches Daily'!BD28</f>
        <v>9.9999999999909051</v>
      </c>
      <c r="AF26" s="35">
        <f>'FS Desroches Daily'!BF28</f>
        <v>31</v>
      </c>
      <c r="AG26" s="36">
        <f>'FS Desroches Daily'!BH28</f>
        <v>30.000000000001137</v>
      </c>
      <c r="AH26" s="36">
        <f>'FS Desroches Daily'!BJ28</f>
        <v>49.999999999954525</v>
      </c>
      <c r="AI26" s="36">
        <f>'FS Desroches Daily'!BL28</f>
        <v>39.999999999992042</v>
      </c>
      <c r="AJ26" s="36">
        <f>'FS Desroches Daily'!BN28</f>
        <v>49.999999999982947</v>
      </c>
      <c r="AK26" s="36">
        <f>'FS Desroches Daily'!BP28</f>
        <v>49.999999999954525</v>
      </c>
      <c r="AL26" s="36">
        <f>'FS Desroches Daily'!BR28</f>
        <v>26</v>
      </c>
      <c r="AM26" s="36">
        <f>'FS Desroches Daily'!BT28</f>
        <v>30.000000000001137</v>
      </c>
      <c r="AN26" s="36">
        <f>'FS Desroches Daily'!BV28</f>
        <v>27</v>
      </c>
      <c r="AO26" s="36">
        <f>'FS Desroches Daily'!BX28</f>
        <v>39.999999999992042</v>
      </c>
      <c r="AP26" s="36">
        <f>'FS Desroches Daily'!BZ28</f>
        <v>38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71</v>
      </c>
      <c r="AU26" s="35">
        <f>'FS Desroches Daily'!CJ28</f>
        <v>196</v>
      </c>
      <c r="AV26" s="35">
        <f>'FS Desroches Daily'!CL28</f>
        <v>449.99999999993179</v>
      </c>
      <c r="AW26" s="35">
        <f>'FS Desroches Daily'!CM28</f>
        <v>25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1599.9999999998238</v>
      </c>
      <c r="F27" s="36">
        <f>'FS Desroches Daily'!F29</f>
        <v>899.99999999967883</v>
      </c>
      <c r="G27" s="35">
        <f>'FS Desroches Daily'!H29</f>
        <v>1400.0000000002899</v>
      </c>
      <c r="H27" s="36">
        <f>'FS Desroches Daily'!J29</f>
        <v>1300.0000000000789</v>
      </c>
      <c r="I27" s="35">
        <f>'FS Desroches Daily'!L29</f>
        <v>2299.9999999999686</v>
      </c>
      <c r="J27" s="36">
        <f>'FS Desroches Daily'!N29</f>
        <v>1200.0000000000898</v>
      </c>
      <c r="K27" s="13">
        <f>'FS Desroches Daily'!P29</f>
        <v>0</v>
      </c>
      <c r="L27" s="35">
        <f>'FS Desroches Daily'!R29</f>
        <v>4</v>
      </c>
      <c r="M27" s="35">
        <f>'FS Desroches Daily'!T29</f>
        <v>97</v>
      </c>
      <c r="N27" s="35">
        <f>'FS Desroches Daily'!V29</f>
        <v>66</v>
      </c>
      <c r="O27" s="35">
        <f>'FS Desroches Daily'!X29</f>
        <v>219.99999999997044</v>
      </c>
      <c r="P27" s="35">
        <f>'FS Desroches Daily'!Z29</f>
        <v>500.00000000016701</v>
      </c>
      <c r="Q27" s="35">
        <f>'FS Desroches Daily'!AB29</f>
        <v>120.00000000000455</v>
      </c>
      <c r="R27" s="35">
        <f>'FS Desroches Daily'!AD29</f>
        <v>340.00000000003183</v>
      </c>
      <c r="S27" s="35">
        <f>'FS Desroches Daily'!AF29</f>
        <v>610.00000000001364</v>
      </c>
      <c r="T27" s="35">
        <f>'FS Desroches Daily'!AH29</f>
        <v>1.1000000000001364</v>
      </c>
      <c r="U27" s="39">
        <f>'FS Desroches Daily'!AJ29</f>
        <v>319.99999999999318</v>
      </c>
      <c r="V27" s="39">
        <f>'FS Desroches Daily'!AL29</f>
        <v>0.18000000000000682</v>
      </c>
      <c r="W27" s="39">
        <f>'FS Desroches Daily'!AN29</f>
        <v>0.12999999999999545</v>
      </c>
      <c r="X27" s="39">
        <f>'FS Desroches Daily'!AP29</f>
        <v>0.15000000000000568</v>
      </c>
      <c r="Y27" s="39">
        <f>'FS Desroches Daily'!AR29</f>
        <v>110.00000000001364</v>
      </c>
      <c r="Z27" s="39">
        <f>'FS Desroches Daily'!AT29</f>
        <v>120.00000000000455</v>
      </c>
      <c r="AA27" s="39">
        <f>'FS Desroches Daily'!AT29</f>
        <v>120.00000000000455</v>
      </c>
      <c r="AB27" s="39">
        <f>'FS Desroches Daily'!AV29</f>
        <v>100.00000000002274</v>
      </c>
      <c r="AC27" s="39">
        <f>'FS Desroches Daily'!AZ29</f>
        <v>89.999999999974989</v>
      </c>
      <c r="AD27" s="39">
        <f>'FS Desroches Daily'!BB29</f>
        <v>100.00000000002274</v>
      </c>
      <c r="AE27" s="39">
        <f>'FS Desroches Daily'!BD29</f>
        <v>0</v>
      </c>
      <c r="AF27" s="35">
        <f>'FS Desroches Daily'!BF29</f>
        <v>44</v>
      </c>
      <c r="AG27" s="36">
        <f>'FS Desroches Daily'!BH29</f>
        <v>39.999999999992042</v>
      </c>
      <c r="AH27" s="36">
        <f>'FS Desroches Daily'!BJ29</f>
        <v>40.000000000020464</v>
      </c>
      <c r="AI27" s="36">
        <f>'FS Desroches Daily'!BL29</f>
        <v>39.999999999992042</v>
      </c>
      <c r="AJ27" s="36">
        <f>'FS Desroches Daily'!BN29</f>
        <v>50.000000000011369</v>
      </c>
      <c r="AK27" s="36">
        <f>'FS Desroches Daily'!BP29</f>
        <v>60.000000000002274</v>
      </c>
      <c r="AL27" s="36">
        <f>'FS Desroches Daily'!BR29</f>
        <v>26</v>
      </c>
      <c r="AM27" s="36">
        <f>'FS Desroches Daily'!BT29</f>
        <v>30.000000000001137</v>
      </c>
      <c r="AN27" s="36">
        <f>'FS Desroches Daily'!BV29</f>
        <v>26</v>
      </c>
      <c r="AO27" s="36">
        <f>'FS Desroches Daily'!BX29</f>
        <v>39.999999999992042</v>
      </c>
      <c r="AP27" s="36">
        <f>'FS Desroches Daily'!BZ29</f>
        <v>37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54.900000000001455</v>
      </c>
      <c r="AU27" s="35">
        <f>'FS Desroches Daily'!CJ29</f>
        <v>223</v>
      </c>
      <c r="AV27" s="35">
        <f>'FS Desroches Daily'!CL29</f>
        <v>330.00000000004093</v>
      </c>
      <c r="AW27" s="35">
        <f>'FS Desroches Daily'!CM29</f>
        <v>19.3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7.3259999999999996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1500.0000000000568</v>
      </c>
      <c r="F28" s="36">
        <f>'FS Desroches Daily'!F30</f>
        <v>800.00000000035595</v>
      </c>
      <c r="G28" s="35">
        <f>'FS Desroches Daily'!H30</f>
        <v>1599.9999999998238</v>
      </c>
      <c r="H28" s="36">
        <f>'FS Desroches Daily'!J30</f>
        <v>999.99999999988984</v>
      </c>
      <c r="I28" s="35">
        <f>'FS Desroches Daily'!L30</f>
        <v>2099.9999999999909</v>
      </c>
      <c r="J28" s="36">
        <f>'FS Desroches Daily'!N30</f>
        <v>899.99999999990087</v>
      </c>
      <c r="K28" s="13">
        <f>'FS Desroches Daily'!P30</f>
        <v>0</v>
      </c>
      <c r="L28" s="35">
        <f>'FS Desroches Daily'!R30</f>
        <v>12</v>
      </c>
      <c r="M28" s="35">
        <f>'FS Desroches Daily'!T30</f>
        <v>111</v>
      </c>
      <c r="N28" s="35">
        <f>'FS Desroches Daily'!V30</f>
        <v>78</v>
      </c>
      <c r="O28" s="35">
        <f>'FS Desroches Daily'!X30</f>
        <v>220.00000000002728</v>
      </c>
      <c r="P28" s="35">
        <f>'FS Desroches Daily'!Z30</f>
        <v>599.99999999993395</v>
      </c>
      <c r="Q28" s="35">
        <f>'FS Desroches Daily'!AB30</f>
        <v>129.99999999999545</v>
      </c>
      <c r="R28" s="35">
        <f>'FS Desroches Daily'!AD30</f>
        <v>370.00000000000455</v>
      </c>
      <c r="S28" s="35">
        <f>'FS Desroches Daily'!AF30</f>
        <v>699.99999999998863</v>
      </c>
      <c r="T28" s="35">
        <f>'FS Desroches Daily'!AH30</f>
        <v>1.2000000000000455</v>
      </c>
      <c r="U28" s="39">
        <f>'FS Desroches Daily'!AJ30</f>
        <v>279.99999999997272</v>
      </c>
      <c r="V28" s="39">
        <f>'FS Desroches Daily'!AL30</f>
        <v>0.21999999999999886</v>
      </c>
      <c r="W28" s="39">
        <f>'FS Desroches Daily'!AN30</f>
        <v>0.15000000000000568</v>
      </c>
      <c r="X28" s="39">
        <f>'FS Desroches Daily'!AP30</f>
        <v>0.10999999999998522</v>
      </c>
      <c r="Y28" s="39">
        <f>'FS Desroches Daily'!AR30</f>
        <v>109.99999999998522</v>
      </c>
      <c r="Z28" s="39">
        <f>'FS Desroches Daily'!AT30</f>
        <v>129.99999999999545</v>
      </c>
      <c r="AA28" s="39">
        <f>'FS Desroches Daily'!AT30</f>
        <v>129.99999999999545</v>
      </c>
      <c r="AB28" s="39">
        <f>'FS Desroches Daily'!AV30</f>
        <v>99.999999999965894</v>
      </c>
      <c r="AC28" s="39">
        <f>'FS Desroches Daily'!AZ30</f>
        <v>90.000000000031832</v>
      </c>
      <c r="AD28" s="39">
        <f>'FS Desroches Daily'!BB30</f>
        <v>120.00000000000455</v>
      </c>
      <c r="AE28" s="39">
        <f>'FS Desroches Daily'!BD30</f>
        <v>20.000000000010232</v>
      </c>
      <c r="AF28" s="35">
        <f>'FS Desroches Daily'!BF30</f>
        <v>33</v>
      </c>
      <c r="AG28" s="36">
        <f>'FS Desroches Daily'!BH30</f>
        <v>39.999999999992042</v>
      </c>
      <c r="AH28" s="36">
        <f>'FS Desroches Daily'!BJ30</f>
        <v>50.000000000011369</v>
      </c>
      <c r="AI28" s="36">
        <f>'FS Desroches Daily'!BL30</f>
        <v>39.999999999992042</v>
      </c>
      <c r="AJ28" s="36">
        <f>'FS Desroches Daily'!BN30</f>
        <v>39.999999999992042</v>
      </c>
      <c r="AK28" s="36">
        <f>'FS Desroches Daily'!BP30</f>
        <v>60.000000000002274</v>
      </c>
      <c r="AL28" s="36">
        <f>'FS Desroches Daily'!BR30</f>
        <v>24</v>
      </c>
      <c r="AM28" s="36">
        <f>'FS Desroches Daily'!BT30</f>
        <v>19.99999999998181</v>
      </c>
      <c r="AN28" s="36">
        <f>'FS Desroches Daily'!BV30</f>
        <v>27</v>
      </c>
      <c r="AO28" s="36">
        <f>'FS Desroches Daily'!BX30</f>
        <v>39.999999999992042</v>
      </c>
      <c r="AP28" s="36">
        <f>'FS Desroches Daily'!BZ30</f>
        <v>41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58</v>
      </c>
      <c r="AU28" s="35">
        <f>'FS Desroches Daily'!CJ30</f>
        <v>231</v>
      </c>
      <c r="AV28" s="35">
        <f>'FS Desroches Daily'!CL30</f>
        <v>429.99999999994998</v>
      </c>
      <c r="AW28" s="35">
        <f>'FS Desroches Daily'!CM30</f>
        <v>32.5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1600.0000000000459</v>
      </c>
      <c r="F29" s="36">
        <f>'FS Desroches Daily'!F31</f>
        <v>899.99999999967883</v>
      </c>
      <c r="G29" s="35">
        <f>'FS Desroches Daily'!H31</f>
        <v>2200.0000000002019</v>
      </c>
      <c r="H29" s="36">
        <f>'FS Desroches Daily'!J31</f>
        <v>1500.0000000000568</v>
      </c>
      <c r="I29" s="35">
        <f>'FS Desroches Daily'!L31</f>
        <v>2199.9999999999795</v>
      </c>
      <c r="J29" s="36">
        <f>'FS Desroches Daily'!N31</f>
        <v>1600.0000000000459</v>
      </c>
      <c r="K29" s="13">
        <f>'FS Desroches Daily'!P31</f>
        <v>0</v>
      </c>
      <c r="L29" s="35">
        <f>'FS Desroches Daily'!R31</f>
        <v>5</v>
      </c>
      <c r="M29" s="35">
        <f>'FS Desroches Daily'!T31</f>
        <v>238</v>
      </c>
      <c r="N29" s="35">
        <f>'FS Desroches Daily'!V31</f>
        <v>169</v>
      </c>
      <c r="O29" s="35">
        <f>'FS Desroches Daily'!X31</f>
        <v>219.99999999997044</v>
      </c>
      <c r="P29" s="35">
        <f>'FS Desroches Daily'!Z31</f>
        <v>700.00000000014495</v>
      </c>
      <c r="Q29" s="35">
        <f>'FS Desroches Daily'!AB31</f>
        <v>129.99999999999545</v>
      </c>
      <c r="R29" s="35">
        <f>'FS Desroches Daily'!AD31</f>
        <v>319.99999999999318</v>
      </c>
      <c r="S29" s="35">
        <f>'FS Desroches Daily'!AF31</f>
        <v>589.99999999997499</v>
      </c>
      <c r="T29" s="35">
        <f>'FS Desroches Daily'!AH31</f>
        <v>1.1999999999998181</v>
      </c>
      <c r="U29" s="39">
        <f>'FS Desroches Daily'!AJ31</f>
        <v>270.00000000003865</v>
      </c>
      <c r="V29" s="39">
        <f>'FS Desroches Daily'!AL31</f>
        <v>0.18000000000000682</v>
      </c>
      <c r="W29" s="39">
        <f>'FS Desroches Daily'!AN31</f>
        <v>0.12000000000000455</v>
      </c>
      <c r="X29" s="39">
        <f>'FS Desroches Daily'!AP31</f>
        <v>9.9999999999994316E-2</v>
      </c>
      <c r="Y29" s="39">
        <f>'FS Desroches Daily'!AR31</f>
        <v>110.00000000001364</v>
      </c>
      <c r="Z29" s="39">
        <f>'FS Desroches Daily'!AT31</f>
        <v>99.999999999965894</v>
      </c>
      <c r="AA29" s="39">
        <f>'FS Desroches Daily'!AT31</f>
        <v>99.999999999965894</v>
      </c>
      <c r="AB29" s="39">
        <f>'FS Desroches Daily'!AV31</f>
        <v>90.000000000031832</v>
      </c>
      <c r="AC29" s="39">
        <f>'FS Desroches Daily'!AZ31</f>
        <v>120.00000000000455</v>
      </c>
      <c r="AD29" s="39">
        <f>'FS Desroches Daily'!BB31</f>
        <v>99.999999999965894</v>
      </c>
      <c r="AE29" s="39">
        <f>'FS Desroches Daily'!BD31</f>
        <v>9.9999999999909051</v>
      </c>
      <c r="AF29" s="35">
        <f>'FS Desroches Daily'!BF31</f>
        <v>35</v>
      </c>
      <c r="AG29" s="36">
        <f>'FS Desroches Daily'!BH31</f>
        <v>40.000000000020464</v>
      </c>
      <c r="AH29" s="36">
        <f>'FS Desroches Daily'!BJ31</f>
        <v>40.000000000020464</v>
      </c>
      <c r="AI29" s="36">
        <f>'FS Desroches Daily'!BL31</f>
        <v>40.000000000020464</v>
      </c>
      <c r="AJ29" s="36">
        <f>'FS Desroches Daily'!BN31</f>
        <v>39.999999999992042</v>
      </c>
      <c r="AK29" s="36">
        <f>'FS Desroches Daily'!BP31</f>
        <v>50.000000000011369</v>
      </c>
      <c r="AL29" s="36">
        <f>'FS Desroches Daily'!BR31</f>
        <v>23</v>
      </c>
      <c r="AM29" s="36">
        <f>'FS Desroches Daily'!BT31</f>
        <v>30.000000000001137</v>
      </c>
      <c r="AN29" s="36">
        <f>'FS Desroches Daily'!BV31</f>
        <v>24</v>
      </c>
      <c r="AO29" s="36">
        <f>'FS Desroches Daily'!BX31</f>
        <v>40.000000000020464</v>
      </c>
      <c r="AP29" s="36">
        <f>'FS Desroches Daily'!BZ31</f>
        <v>39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80.30000000000291</v>
      </c>
      <c r="AU29" s="35">
        <f>'FS Desroches Daily'!CJ31</f>
        <v>217</v>
      </c>
      <c r="AV29" s="35">
        <f>'FS Desroches Daily'!CL31</f>
        <v>410.00000000008185</v>
      </c>
      <c r="AW29" s="35">
        <f>'FS Desroches Daily'!CM31</f>
        <v>31.4</v>
      </c>
      <c r="AX29" s="35" t="str">
        <f>IF(LPG!F36-LPG!F35&lt;0,"0",(LPG!F36-LPG!F35)*1.8315)</f>
        <v>0</v>
      </c>
      <c r="AY29" s="35" t="str">
        <f>IF(LPG!H36-LPG!H35&lt;0,"0",(LPG!H36-LPG!H35)*1.8315)</f>
        <v>0</v>
      </c>
      <c r="AZ29" s="35" t="str">
        <f>IF(LPG!J36-LPG!J35&lt;0,"0",(LPG!J36-LPG!J35)*1.8315)</f>
        <v>0</v>
      </c>
      <c r="BA29" s="35" t="str">
        <f>IF(LPG!M36-LPG!M35&lt;0,"0",(LPG!M36-LPG!M35)*1.8315)</f>
        <v>0</v>
      </c>
      <c r="BB29" s="35" t="str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 t="str">
        <f>'FS Desroches Daily'!D32</f>
        <v>0</v>
      </c>
      <c r="F30" s="36" t="str">
        <f>'FS Desroches Daily'!F32</f>
        <v>0</v>
      </c>
      <c r="G30" s="35" t="str">
        <f>'FS Desroches Daily'!H32</f>
        <v>0</v>
      </c>
      <c r="H30" s="36" t="str">
        <f>'FS Desroches Daily'!J32</f>
        <v>0</v>
      </c>
      <c r="I30" s="35" t="str">
        <f>'FS Desroches Daily'!L32</f>
        <v>0</v>
      </c>
      <c r="J30" s="36" t="str">
        <f>'FS Desroches Daily'!N32</f>
        <v/>
      </c>
      <c r="K30" s="13" t="str">
        <f>'FS Desroches Daily'!P32</f>
        <v/>
      </c>
      <c r="L30" s="35" t="str">
        <f>'FS Desroches Daily'!R32</f>
        <v/>
      </c>
      <c r="M30" s="35" t="str">
        <f>'FS Desroches Daily'!T32</f>
        <v/>
      </c>
      <c r="N30" s="35" t="str">
        <f>'FS Desroches Daily'!V32</f>
        <v/>
      </c>
      <c r="O30" s="35" t="str">
        <f>'FS Desroches Daily'!X32</f>
        <v/>
      </c>
      <c r="P30" s="35" t="str">
        <f>'FS Desroches Daily'!Z32</f>
        <v/>
      </c>
      <c r="Q30" s="35" t="str">
        <f>'FS Desroches Daily'!AB32</f>
        <v/>
      </c>
      <c r="R30" s="35" t="str">
        <f>'FS Desroches Daily'!AD32</f>
        <v/>
      </c>
      <c r="S30" s="35" t="str">
        <f>'FS Desroches Daily'!AF32</f>
        <v/>
      </c>
      <c r="T30" s="35" t="str">
        <f>'FS Desroches Daily'!AH32</f>
        <v/>
      </c>
      <c r="U30" s="39" t="str">
        <f>'FS Desroches Daily'!AJ32</f>
        <v/>
      </c>
      <c r="V30" s="39" t="str">
        <f>'FS Desroches Daily'!AL32</f>
        <v/>
      </c>
      <c r="W30" s="39" t="str">
        <f>'FS Desroches Daily'!AN32</f>
        <v/>
      </c>
      <c r="X30" s="39" t="str">
        <f>'FS Desroches Daily'!AP32</f>
        <v/>
      </c>
      <c r="Y30" s="39" t="str">
        <f>'FS Desroches Daily'!AR32</f>
        <v/>
      </c>
      <c r="Z30" s="39" t="str">
        <f>'FS Desroches Daily'!AT32</f>
        <v/>
      </c>
      <c r="AA30" s="39" t="str">
        <f>'FS Desroches Daily'!AT32</f>
        <v/>
      </c>
      <c r="AB30" s="39" t="str">
        <f>'FS Desroches Daily'!AV32</f>
        <v/>
      </c>
      <c r="AC30" s="39" t="str">
        <f>'FS Desroches Daily'!AZ32</f>
        <v/>
      </c>
      <c r="AD30" s="39" t="str">
        <f>'FS Desroches Daily'!BB32</f>
        <v/>
      </c>
      <c r="AE30" s="39" t="str">
        <f>'FS Desroches Daily'!BD32</f>
        <v/>
      </c>
      <c r="AF30" s="35" t="str">
        <f>'FS Desroches Daily'!BF32</f>
        <v/>
      </c>
      <c r="AG30" s="36" t="str">
        <f>'FS Desroches Daily'!BH32</f>
        <v/>
      </c>
      <c r="AH30" s="36" t="str">
        <f>'FS Desroches Daily'!BJ32</f>
        <v/>
      </c>
      <c r="AI30" s="36" t="str">
        <f>'FS Desroches Daily'!BL32</f>
        <v/>
      </c>
      <c r="AJ30" s="36" t="str">
        <f>'FS Desroches Daily'!BN32</f>
        <v/>
      </c>
      <c r="AK30" s="36" t="str">
        <f>'FS Desroches Daily'!BP32</f>
        <v/>
      </c>
      <c r="AL30" s="36" t="str">
        <f>'FS Desroches Daily'!BR32</f>
        <v/>
      </c>
      <c r="AM30" s="36" t="str">
        <f>'FS Desroches Daily'!BT32</f>
        <v/>
      </c>
      <c r="AN30" s="36" t="str">
        <f>'FS Desroches Daily'!BV32</f>
        <v/>
      </c>
      <c r="AO30" s="36" t="str">
        <f>'FS Desroches Daily'!BX32</f>
        <v/>
      </c>
      <c r="AP30" s="36" t="str">
        <f>'FS Desroches Daily'!BZ32</f>
        <v/>
      </c>
      <c r="AQ30" s="35" t="str">
        <f>'FS Desroches Daily'!CB32</f>
        <v/>
      </c>
      <c r="AR30" s="35" t="str">
        <f>'FS Desroches Daily'!CD32</f>
        <v/>
      </c>
      <c r="AS30" s="35" t="str">
        <f>'FS Desroches Daily'!CF32</f>
        <v/>
      </c>
      <c r="AT30" s="35" t="str">
        <f>'FS Desroches Daily'!CH32</f>
        <v/>
      </c>
      <c r="AU30" s="35" t="str">
        <f>'FS Desroches Daily'!CJ32</f>
        <v/>
      </c>
      <c r="AV30" s="35" t="str">
        <f>'FS Desroches Daily'!CL32</f>
        <v/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44300.000000000015</v>
      </c>
      <c r="F33" s="17">
        <f t="shared" ref="F33:BC33" si="1">SUM(F2:F32)</f>
        <v>26100.000000000022</v>
      </c>
      <c r="G33" s="17">
        <f t="shared" si="1"/>
        <v>50200.000000000269</v>
      </c>
      <c r="H33" s="17">
        <f t="shared" si="1"/>
        <v>34799.999999999956</v>
      </c>
      <c r="I33" s="17">
        <f t="shared" si="1"/>
        <v>63199.999999999913</v>
      </c>
      <c r="J33" s="17">
        <f t="shared" si="1"/>
        <v>31600.00000000008</v>
      </c>
      <c r="K33" s="17">
        <f t="shared" si="1"/>
        <v>5</v>
      </c>
      <c r="L33" s="17">
        <f t="shared" si="1"/>
        <v>149</v>
      </c>
      <c r="M33" s="17">
        <f t="shared" si="1"/>
        <v>5480</v>
      </c>
      <c r="N33" s="17">
        <f t="shared" si="1"/>
        <v>3268</v>
      </c>
      <c r="O33" s="17">
        <f t="shared" si="1"/>
        <v>5980.00000000002</v>
      </c>
      <c r="P33" s="17">
        <f t="shared" si="1"/>
        <v>16900.000000000146</v>
      </c>
      <c r="Q33" s="17">
        <f t="shared" si="1"/>
        <v>3259.9999999999909</v>
      </c>
      <c r="R33" s="17">
        <f t="shared" si="1"/>
        <v>8750</v>
      </c>
      <c r="S33" s="17">
        <f t="shared" si="1"/>
        <v>16569.999999999993</v>
      </c>
      <c r="T33" s="17">
        <f t="shared" si="1"/>
        <v>29.5</v>
      </c>
      <c r="U33" s="39">
        <f t="shared" si="1"/>
        <v>8200.0000000000455</v>
      </c>
      <c r="V33" s="39">
        <f t="shared" si="1"/>
        <v>5.0900000000000318</v>
      </c>
      <c r="W33" s="39">
        <f t="shared" si="1"/>
        <v>3.9200000000000159</v>
      </c>
      <c r="X33" s="39">
        <f t="shared" si="1"/>
        <v>3.7299999999999898</v>
      </c>
      <c r="Y33" s="39">
        <f t="shared" si="1"/>
        <v>3500.0000000000018</v>
      </c>
      <c r="Z33" s="39">
        <f t="shared" si="1"/>
        <v>3161.8599999999774</v>
      </c>
      <c r="AA33" s="39">
        <f t="shared" si="1"/>
        <v>3161.8599999999774</v>
      </c>
      <c r="AB33" s="39">
        <f t="shared" si="1"/>
        <v>2480.0000000000182</v>
      </c>
      <c r="AC33" s="39">
        <f t="shared" si="1"/>
        <v>2250</v>
      </c>
      <c r="AD33" s="39">
        <f t="shared" si="1"/>
        <v>2539.9999999999636</v>
      </c>
      <c r="AE33" s="39">
        <f t="shared" si="1"/>
        <v>319.99999999999318</v>
      </c>
      <c r="AF33" s="17">
        <f t="shared" si="1"/>
        <v>897</v>
      </c>
      <c r="AG33" s="36">
        <f t="shared" si="1"/>
        <v>860.00000000001364</v>
      </c>
      <c r="AH33" s="36">
        <f t="shared" si="1"/>
        <v>1050.0000000000114</v>
      </c>
      <c r="AI33" s="36">
        <f t="shared" si="1"/>
        <v>980.00000000001819</v>
      </c>
      <c r="AJ33" s="36">
        <f t="shared" si="1"/>
        <v>1269.9999999999818</v>
      </c>
      <c r="AK33" s="36">
        <f t="shared" si="1"/>
        <v>1439.9999999999977</v>
      </c>
      <c r="AL33" s="36">
        <f t="shared" si="1"/>
        <v>632</v>
      </c>
      <c r="AM33" s="36">
        <f t="shared" si="1"/>
        <v>659.99999999999659</v>
      </c>
      <c r="AN33" s="36">
        <f t="shared" si="1"/>
        <v>689</v>
      </c>
      <c r="AO33" s="36">
        <f t="shared" si="1"/>
        <v>1010.0000000000193</v>
      </c>
      <c r="AP33" s="36">
        <f t="shared" si="1"/>
        <v>1132</v>
      </c>
      <c r="AQ33" s="17">
        <f t="shared" si="1"/>
        <v>2.7999999999992724</v>
      </c>
      <c r="AR33" s="17">
        <f t="shared" si="1"/>
        <v>0.39999999999781721</v>
      </c>
      <c r="AS33" s="17">
        <f t="shared" si="1"/>
        <v>15.5</v>
      </c>
      <c r="AT33" s="17">
        <f t="shared" si="1"/>
        <v>1671.2000000000044</v>
      </c>
      <c r="AU33" s="17">
        <f t="shared" si="1"/>
        <v>6432</v>
      </c>
      <c r="AV33" s="17">
        <f t="shared" si="1"/>
        <v>11580.000000000038</v>
      </c>
      <c r="AW33" s="17">
        <f t="shared" si="1"/>
        <v>775.6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194.13899999999992</v>
      </c>
      <c r="BC33" s="17">
        <f t="shared" si="1"/>
        <v>0</v>
      </c>
    </row>
    <row r="35" spans="5:55" x14ac:dyDescent="0.25">
      <c r="E35" s="42">
        <f>E33/E37</f>
        <v>0.24868360484568108</v>
      </c>
      <c r="G35" s="33">
        <f>G33-M36</f>
        <v>41452.000000000269</v>
      </c>
      <c r="AE35" s="39">
        <f>SUM(U33:AE33)</f>
        <v>25626.459999999977</v>
      </c>
      <c r="AG35" s="36">
        <f>SUM(AG33:AP33)</f>
        <v>9723.00000000004</v>
      </c>
    </row>
    <row r="36" spans="5:55" x14ac:dyDescent="0.25">
      <c r="G36" s="33">
        <f>G35-633*14</f>
        <v>32590.000000000269</v>
      </c>
      <c r="M36" s="33">
        <f>M33+N33</f>
        <v>8748</v>
      </c>
    </row>
    <row r="37" spans="5:55" x14ac:dyDescent="0.25">
      <c r="E37" s="17">
        <f>E33+F33+G33+H33+J33-633*14</f>
        <v>178138.00000000032</v>
      </c>
      <c r="G37" s="41">
        <f>M36/E37</f>
        <v>4.9107994925282561E-2</v>
      </c>
      <c r="M37" s="39">
        <f>AE35</f>
        <v>25626.459999999977</v>
      </c>
    </row>
    <row r="38" spans="5:55" x14ac:dyDescent="0.25">
      <c r="L38" s="31">
        <f>M38/E37</f>
        <v>5.4581279682044383E-2</v>
      </c>
      <c r="M38" s="33">
        <f>AG35</f>
        <v>9723.00000000004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14" activePane="bottomLeft" state="frozen"/>
      <selection pane="bottomLeft" activeCell="CM41" sqref="CM41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>
        <v>1.6452</v>
      </c>
      <c r="D19" s="71">
        <f t="shared" si="3"/>
        <v>1800.0000000000239</v>
      </c>
      <c r="E19" s="64">
        <v>2.6705000000000001</v>
      </c>
      <c r="F19" s="71">
        <f t="shared" si="4"/>
        <v>1100.000000000101</v>
      </c>
      <c r="G19" s="64">
        <v>2.4727999999999999</v>
      </c>
      <c r="H19" s="71">
        <f t="shared" si="5"/>
        <v>1900.0000000000127</v>
      </c>
      <c r="I19" s="64">
        <v>1.177</v>
      </c>
      <c r="J19" s="71">
        <f t="shared" si="43"/>
        <v>1300.0000000000789</v>
      </c>
      <c r="K19" s="64">
        <v>1.8005</v>
      </c>
      <c r="L19" s="71">
        <f t="shared" si="0"/>
        <v>2399.9999999999577</v>
      </c>
      <c r="M19" s="64">
        <v>1.1545000000000001</v>
      </c>
      <c r="N19" s="71">
        <f t="shared" si="6"/>
        <v>1300.0000000000789</v>
      </c>
      <c r="O19" s="64">
        <v>12541</v>
      </c>
      <c r="P19" s="72">
        <f t="shared" si="7"/>
        <v>0</v>
      </c>
      <c r="Q19" s="64">
        <v>5198</v>
      </c>
      <c r="R19" s="72">
        <f t="shared" si="8"/>
        <v>6</v>
      </c>
      <c r="S19" s="64">
        <v>822663</v>
      </c>
      <c r="T19" s="72">
        <f t="shared" si="44"/>
        <v>286</v>
      </c>
      <c r="U19" s="64">
        <v>332813</v>
      </c>
      <c r="V19" s="72">
        <f t="shared" si="10"/>
        <v>178</v>
      </c>
      <c r="W19" s="64">
        <v>323.81</v>
      </c>
      <c r="X19" s="72">
        <f t="shared" si="23"/>
        <v>220.00000000002728</v>
      </c>
      <c r="Y19" s="64">
        <v>2.3647</v>
      </c>
      <c r="Z19" s="72">
        <f t="shared" si="24"/>
        <v>599.99999999993395</v>
      </c>
      <c r="AA19" s="64">
        <v>322.39</v>
      </c>
      <c r="AB19" s="72">
        <f t="shared" si="25"/>
        <v>139.99999999998636</v>
      </c>
      <c r="AC19" s="64">
        <v>294.86</v>
      </c>
      <c r="AD19" s="72">
        <f t="shared" si="26"/>
        <v>330.00000000004093</v>
      </c>
      <c r="AE19" s="64">
        <v>459.11</v>
      </c>
      <c r="AF19" s="72">
        <f t="shared" si="27"/>
        <v>639.99999999998636</v>
      </c>
      <c r="AG19" s="64">
        <v>1179.7</v>
      </c>
      <c r="AH19" s="72">
        <f t="shared" si="11"/>
        <v>1.2999999999999545</v>
      </c>
      <c r="AI19" s="64">
        <v>405.18</v>
      </c>
      <c r="AJ19" s="72">
        <f t="shared" si="28"/>
        <v>310.00000000000227</v>
      </c>
      <c r="AK19" s="64">
        <v>143.22</v>
      </c>
      <c r="AL19" s="72">
        <f t="shared" si="12"/>
        <v>0.21000000000000796</v>
      </c>
      <c r="AM19" s="64">
        <v>144.85</v>
      </c>
      <c r="AN19" s="72">
        <f t="shared" si="13"/>
        <v>0.16999999999998749</v>
      </c>
      <c r="AO19" s="64">
        <v>141.5</v>
      </c>
      <c r="AP19" s="72">
        <f t="shared" si="14"/>
        <v>0.15000000000000568</v>
      </c>
      <c r="AQ19" s="64">
        <v>213.05</v>
      </c>
      <c r="AR19" s="72">
        <f t="shared" si="29"/>
        <v>130.00000000002387</v>
      </c>
      <c r="AS19" s="64">
        <v>339.63</v>
      </c>
      <c r="AT19" s="72">
        <f t="shared" si="30"/>
        <v>120.00000000000455</v>
      </c>
      <c r="AU19" s="64">
        <v>261.75</v>
      </c>
      <c r="AV19" s="72">
        <f t="shared" si="31"/>
        <v>120.00000000000455</v>
      </c>
      <c r="AW19" s="64">
        <v>289.32</v>
      </c>
      <c r="AX19" s="72">
        <f t="shared" si="32"/>
        <v>129.99999999999545</v>
      </c>
      <c r="AY19" s="64">
        <v>340.52</v>
      </c>
      <c r="AZ19" s="72">
        <f t="shared" si="33"/>
        <v>60.000000000002274</v>
      </c>
      <c r="BA19" s="64">
        <v>360.58</v>
      </c>
      <c r="BB19" s="72">
        <f t="shared" si="34"/>
        <v>109.9999999999568</v>
      </c>
      <c r="BC19" s="64">
        <v>203.02</v>
      </c>
      <c r="BD19" s="72">
        <f t="shared" si="35"/>
        <v>10.000000000019327</v>
      </c>
      <c r="BE19" s="66">
        <v>27465</v>
      </c>
      <c r="BF19" s="72">
        <f t="shared" si="15"/>
        <v>29</v>
      </c>
      <c r="BG19" s="67">
        <v>222.99</v>
      </c>
      <c r="BH19" s="72">
        <f t="shared" si="36"/>
        <v>40.000000000020464</v>
      </c>
      <c r="BI19" s="67">
        <v>280.51</v>
      </c>
      <c r="BJ19" s="72">
        <f t="shared" si="37"/>
        <v>39.99999999996362</v>
      </c>
      <c r="BK19" s="67">
        <v>228.53</v>
      </c>
      <c r="BL19" s="72">
        <f t="shared" si="38"/>
        <v>39.999999999992042</v>
      </c>
      <c r="BM19" s="67">
        <v>211.36</v>
      </c>
      <c r="BN19" s="72">
        <f t="shared" si="39"/>
        <v>50.000000000011369</v>
      </c>
      <c r="BO19" s="67">
        <v>275.51</v>
      </c>
      <c r="BP19" s="72">
        <f t="shared" si="40"/>
        <v>50.000000000011369</v>
      </c>
      <c r="BQ19" s="67">
        <v>37685</v>
      </c>
      <c r="BR19" s="72">
        <f t="shared" si="16"/>
        <v>26</v>
      </c>
      <c r="BS19" s="67">
        <v>191.99</v>
      </c>
      <c r="BT19" s="72">
        <f t="shared" si="41"/>
        <v>30.000000000001137</v>
      </c>
      <c r="BU19" s="67">
        <v>28656</v>
      </c>
      <c r="BV19" s="72">
        <f t="shared" si="1"/>
        <v>28</v>
      </c>
      <c r="BW19" s="67">
        <v>221.84</v>
      </c>
      <c r="BX19" s="72">
        <f t="shared" si="42"/>
        <v>39.999999999992042</v>
      </c>
      <c r="BY19" s="67">
        <v>46917</v>
      </c>
      <c r="BZ19" s="72">
        <f t="shared" si="17"/>
        <v>40</v>
      </c>
      <c r="CA19" s="67">
        <v>27497.9</v>
      </c>
      <c r="CB19" s="72">
        <f t="shared" si="18"/>
        <v>0</v>
      </c>
      <c r="CC19" s="67">
        <v>11250.2</v>
      </c>
      <c r="CD19" s="72">
        <f t="shared" si="19"/>
        <v>0</v>
      </c>
      <c r="CE19" s="67">
        <v>5472</v>
      </c>
      <c r="CF19" s="72">
        <f t="shared" si="20"/>
        <v>0</v>
      </c>
      <c r="CG19" s="67">
        <v>42495.8</v>
      </c>
      <c r="CH19" s="72">
        <f t="shared" si="21"/>
        <v>77.200000000004366</v>
      </c>
      <c r="CI19" s="67">
        <v>846808</v>
      </c>
      <c r="CJ19" s="72">
        <f t="shared" si="2"/>
        <v>243</v>
      </c>
      <c r="CK19" s="67">
        <v>549.34</v>
      </c>
      <c r="CL19" s="71">
        <f t="shared" si="22"/>
        <v>550.00000000006821</v>
      </c>
      <c r="CM19" s="72">
        <v>34</v>
      </c>
      <c r="CN19" s="69">
        <v>0</v>
      </c>
      <c r="CO19" s="69">
        <v>0</v>
      </c>
    </row>
    <row r="20" spans="1:93" ht="25.5" customHeight="1" thickBot="1" x14ac:dyDescent="0.45">
      <c r="A20" s="70">
        <v>43938</v>
      </c>
      <c r="B20" s="48"/>
      <c r="C20" s="64">
        <v>1.647</v>
      </c>
      <c r="D20" s="71">
        <f t="shared" si="3"/>
        <v>1800.0000000000239</v>
      </c>
      <c r="E20" s="64">
        <v>2.6715</v>
      </c>
      <c r="F20" s="71">
        <f t="shared" si="4"/>
        <v>999.99999999988984</v>
      </c>
      <c r="G20" s="64">
        <v>2.4748000000000001</v>
      </c>
      <c r="H20" s="71">
        <f t="shared" si="5"/>
        <v>2000.0000000002237</v>
      </c>
      <c r="I20" s="64">
        <v>1.1782999999999999</v>
      </c>
      <c r="J20" s="71">
        <f t="shared" si="43"/>
        <v>1299.9999999998568</v>
      </c>
      <c r="K20" s="64">
        <v>1.8027</v>
      </c>
      <c r="L20" s="71">
        <f t="shared" si="0"/>
        <v>2199.9999999999795</v>
      </c>
      <c r="M20" s="64">
        <v>1.1556999999999999</v>
      </c>
      <c r="N20" s="71">
        <f t="shared" si="6"/>
        <v>1199.9999999998679</v>
      </c>
      <c r="O20" s="64">
        <v>12541</v>
      </c>
      <c r="P20" s="72">
        <f t="shared" si="7"/>
        <v>0</v>
      </c>
      <c r="Q20" s="64">
        <v>5206</v>
      </c>
      <c r="R20" s="72">
        <f t="shared" si="8"/>
        <v>8</v>
      </c>
      <c r="S20" s="64">
        <v>822898</v>
      </c>
      <c r="T20" s="72">
        <f t="shared" si="44"/>
        <v>235</v>
      </c>
      <c r="U20" s="64">
        <v>332964</v>
      </c>
      <c r="V20" s="72">
        <f t="shared" si="10"/>
        <v>151</v>
      </c>
      <c r="W20" s="64">
        <v>324.06</v>
      </c>
      <c r="X20" s="72">
        <f t="shared" si="23"/>
        <v>250</v>
      </c>
      <c r="Y20" s="64">
        <v>2.3654000000000002</v>
      </c>
      <c r="Z20" s="72">
        <f t="shared" si="24"/>
        <v>700.00000000014495</v>
      </c>
      <c r="AA20" s="64">
        <v>322.51</v>
      </c>
      <c r="AB20" s="72">
        <f t="shared" si="25"/>
        <v>120.00000000000455</v>
      </c>
      <c r="AC20" s="64">
        <v>295.24</v>
      </c>
      <c r="AD20" s="72">
        <f t="shared" si="26"/>
        <v>379.99999999999545</v>
      </c>
      <c r="AE20" s="64">
        <v>459.78</v>
      </c>
      <c r="AF20" s="72">
        <f t="shared" si="27"/>
        <v>669.99999999995907</v>
      </c>
      <c r="AG20" s="64">
        <v>1180.8</v>
      </c>
      <c r="AH20" s="72">
        <f t="shared" si="11"/>
        <v>1.0999999999999091</v>
      </c>
      <c r="AI20" s="64">
        <v>405.56</v>
      </c>
      <c r="AJ20" s="72">
        <f t="shared" si="28"/>
        <v>379.99999999999545</v>
      </c>
      <c r="AK20" s="64">
        <v>143.44</v>
      </c>
      <c r="AL20" s="72">
        <f t="shared" si="12"/>
        <v>0.21999999999999886</v>
      </c>
      <c r="AM20" s="64">
        <v>145.02000000000001</v>
      </c>
      <c r="AN20" s="72">
        <f t="shared" si="13"/>
        <v>0.17000000000001592</v>
      </c>
      <c r="AO20" s="64">
        <v>141.65</v>
      </c>
      <c r="AP20" s="72">
        <f t="shared" si="14"/>
        <v>0.15000000000000568</v>
      </c>
      <c r="AQ20" s="64">
        <v>213.18</v>
      </c>
      <c r="AR20" s="72">
        <f t="shared" si="29"/>
        <v>129.99999999999545</v>
      </c>
      <c r="AS20" s="64">
        <v>339.74</v>
      </c>
      <c r="AT20" s="72">
        <f t="shared" si="30"/>
        <v>110.00000000001364</v>
      </c>
      <c r="AU20" s="64">
        <v>261.86</v>
      </c>
      <c r="AV20" s="72">
        <f t="shared" si="31"/>
        <v>110.00000000001364</v>
      </c>
      <c r="AW20" s="64">
        <v>289.44</v>
      </c>
      <c r="AX20" s="72">
        <f t="shared" si="32"/>
        <v>120.00000000000455</v>
      </c>
      <c r="AY20" s="64">
        <v>340.58</v>
      </c>
      <c r="AZ20" s="72">
        <f t="shared" si="33"/>
        <v>60.000000000002274</v>
      </c>
      <c r="BA20" s="64">
        <v>360.7</v>
      </c>
      <c r="BB20" s="72">
        <f t="shared" si="34"/>
        <v>120.00000000000455</v>
      </c>
      <c r="BC20" s="64">
        <v>203.04</v>
      </c>
      <c r="BD20" s="72">
        <f t="shared" si="35"/>
        <v>19.99999999998181</v>
      </c>
      <c r="BE20" s="66">
        <v>27495</v>
      </c>
      <c r="BF20" s="72">
        <f t="shared" si="15"/>
        <v>30</v>
      </c>
      <c r="BG20" s="67">
        <v>223.02</v>
      </c>
      <c r="BH20" s="72">
        <f t="shared" si="36"/>
        <v>30.000000000001137</v>
      </c>
      <c r="BI20" s="67">
        <v>280.54000000000002</v>
      </c>
      <c r="BJ20" s="72">
        <f t="shared" si="37"/>
        <v>30.000000000029559</v>
      </c>
      <c r="BK20" s="67">
        <v>228.56</v>
      </c>
      <c r="BL20" s="72">
        <f t="shared" si="38"/>
        <v>30.000000000001137</v>
      </c>
      <c r="BM20" s="67">
        <v>211.41</v>
      </c>
      <c r="BN20" s="72">
        <f t="shared" si="39"/>
        <v>49.999999999982947</v>
      </c>
      <c r="BO20" s="67">
        <v>275.56</v>
      </c>
      <c r="BP20" s="72">
        <f t="shared" si="40"/>
        <v>50.000000000011369</v>
      </c>
      <c r="BQ20" s="67">
        <v>37702</v>
      </c>
      <c r="BR20" s="72">
        <f t="shared" si="16"/>
        <v>17</v>
      </c>
      <c r="BS20" s="67">
        <v>192.02</v>
      </c>
      <c r="BT20" s="72">
        <f t="shared" si="41"/>
        <v>30.000000000001137</v>
      </c>
      <c r="BU20" s="67">
        <v>28688</v>
      </c>
      <c r="BV20" s="72">
        <f t="shared" si="1"/>
        <v>32</v>
      </c>
      <c r="BW20" s="67">
        <v>221.87</v>
      </c>
      <c r="BX20" s="72">
        <f t="shared" si="42"/>
        <v>30.000000000001137</v>
      </c>
      <c r="BY20" s="67">
        <v>46960</v>
      </c>
      <c r="BZ20" s="72">
        <f t="shared" si="17"/>
        <v>43</v>
      </c>
      <c r="CA20" s="67">
        <v>27497.9</v>
      </c>
      <c r="CB20" s="72">
        <f t="shared" si="18"/>
        <v>0</v>
      </c>
      <c r="CC20" s="67">
        <v>11250.2</v>
      </c>
      <c r="CD20" s="72">
        <f t="shared" si="19"/>
        <v>0</v>
      </c>
      <c r="CE20" s="67">
        <v>5472</v>
      </c>
      <c r="CF20" s="72">
        <f t="shared" si="20"/>
        <v>0</v>
      </c>
      <c r="CG20" s="67">
        <v>42535.5</v>
      </c>
      <c r="CH20" s="72">
        <f t="shared" si="21"/>
        <v>39.69999999999709</v>
      </c>
      <c r="CI20" s="67">
        <v>846980</v>
      </c>
      <c r="CJ20" s="72">
        <f t="shared" si="2"/>
        <v>172</v>
      </c>
      <c r="CK20" s="67">
        <v>549.75</v>
      </c>
      <c r="CL20" s="71">
        <f t="shared" si="22"/>
        <v>409.99999999996817</v>
      </c>
      <c r="CM20" s="72">
        <v>38.4</v>
      </c>
      <c r="CN20" s="69">
        <v>0</v>
      </c>
      <c r="CO20" s="69">
        <v>0</v>
      </c>
    </row>
    <row r="21" spans="1:93" ht="25.5" customHeight="1" thickBot="1" x14ac:dyDescent="0.45">
      <c r="A21" s="70">
        <v>43939</v>
      </c>
      <c r="B21" s="48"/>
      <c r="C21" s="64">
        <v>1.6485000000000001</v>
      </c>
      <c r="D21" s="71">
        <f t="shared" si="3"/>
        <v>1500.0000000000568</v>
      </c>
      <c r="E21" s="64">
        <v>2.6722999999999999</v>
      </c>
      <c r="F21" s="71">
        <f t="shared" si="4"/>
        <v>799.99999999991189</v>
      </c>
      <c r="G21" s="64">
        <v>2.4765000000000001</v>
      </c>
      <c r="H21" s="71">
        <f t="shared" si="5"/>
        <v>1700.0000000000348</v>
      </c>
      <c r="I21" s="64">
        <v>1.1794</v>
      </c>
      <c r="J21" s="71">
        <f t="shared" si="43"/>
        <v>1100.000000000101</v>
      </c>
      <c r="K21" s="64">
        <v>1.8048999999999999</v>
      </c>
      <c r="L21" s="71">
        <f t="shared" si="0"/>
        <v>2199.9999999999795</v>
      </c>
      <c r="M21" s="64">
        <v>1.1568000000000001</v>
      </c>
      <c r="N21" s="71">
        <f t="shared" si="6"/>
        <v>1100.000000000101</v>
      </c>
      <c r="O21" s="64">
        <v>12541</v>
      </c>
      <c r="P21" s="72">
        <f t="shared" si="7"/>
        <v>0</v>
      </c>
      <c r="Q21" s="64">
        <v>5210</v>
      </c>
      <c r="R21" s="72">
        <f t="shared" si="8"/>
        <v>4</v>
      </c>
      <c r="S21" s="64">
        <v>823112</v>
      </c>
      <c r="T21" s="72">
        <f t="shared" si="44"/>
        <v>214</v>
      </c>
      <c r="U21" s="64">
        <v>333093</v>
      </c>
      <c r="V21" s="72">
        <f t="shared" si="10"/>
        <v>129</v>
      </c>
      <c r="W21" s="64">
        <v>324.26</v>
      </c>
      <c r="X21" s="72">
        <f t="shared" si="23"/>
        <v>199.99999999998863</v>
      </c>
      <c r="Y21" s="64">
        <v>2.3658999999999999</v>
      </c>
      <c r="Z21" s="72">
        <f t="shared" si="24"/>
        <v>499.99999999972289</v>
      </c>
      <c r="AA21" s="64">
        <v>322.61</v>
      </c>
      <c r="AB21" s="72">
        <f t="shared" si="25"/>
        <v>100.00000000002274</v>
      </c>
      <c r="AC21" s="64">
        <v>295.52999999999997</v>
      </c>
      <c r="AD21" s="72">
        <f t="shared" si="26"/>
        <v>289.99999999996362</v>
      </c>
      <c r="AE21" s="64">
        <v>460.36</v>
      </c>
      <c r="AF21" s="72">
        <f t="shared" si="27"/>
        <v>580.00000000004093</v>
      </c>
      <c r="AG21" s="64">
        <v>1181.8</v>
      </c>
      <c r="AH21" s="72">
        <f t="shared" si="11"/>
        <v>1</v>
      </c>
      <c r="AI21" s="64">
        <v>405.86</v>
      </c>
      <c r="AJ21" s="72">
        <f t="shared" si="28"/>
        <v>300.00000000001137</v>
      </c>
      <c r="AK21" s="64">
        <v>143.61000000000001</v>
      </c>
      <c r="AL21" s="72">
        <f t="shared" si="12"/>
        <v>0.17000000000001592</v>
      </c>
      <c r="AM21" s="64">
        <v>145.15</v>
      </c>
      <c r="AN21" s="72">
        <f t="shared" si="13"/>
        <v>0.12999999999999545</v>
      </c>
      <c r="AO21" s="64">
        <v>141.77000000000001</v>
      </c>
      <c r="AP21" s="72">
        <f t="shared" si="14"/>
        <v>0.12000000000000455</v>
      </c>
      <c r="AQ21" s="64">
        <v>213.29</v>
      </c>
      <c r="AR21" s="72">
        <f t="shared" si="29"/>
        <v>109.99999999998522</v>
      </c>
      <c r="AS21" s="64">
        <v>339.83</v>
      </c>
      <c r="AT21" s="72">
        <f t="shared" si="30"/>
        <v>89.999999999974989</v>
      </c>
      <c r="AU21" s="64">
        <v>261.95</v>
      </c>
      <c r="AV21" s="72">
        <f t="shared" si="31"/>
        <v>89.999999999974989</v>
      </c>
      <c r="AW21" s="64">
        <v>289.54000000000002</v>
      </c>
      <c r="AX21" s="72">
        <f t="shared" si="32"/>
        <v>100.00000000002274</v>
      </c>
      <c r="AY21" s="64">
        <v>340.63</v>
      </c>
      <c r="AZ21" s="72">
        <f t="shared" si="33"/>
        <v>50.000000000011369</v>
      </c>
      <c r="BA21" s="64">
        <v>360.79</v>
      </c>
      <c r="BB21" s="72">
        <f t="shared" si="34"/>
        <v>90.000000000031832</v>
      </c>
      <c r="BC21" s="64">
        <v>203.05</v>
      </c>
      <c r="BD21" s="72">
        <f t="shared" si="35"/>
        <v>10.000000000019327</v>
      </c>
      <c r="BE21" s="66">
        <v>27525</v>
      </c>
      <c r="BF21" s="72">
        <f t="shared" si="15"/>
        <v>30</v>
      </c>
      <c r="BG21" s="67">
        <v>223.07</v>
      </c>
      <c r="BH21" s="72">
        <f t="shared" si="36"/>
        <v>49.999999999982947</v>
      </c>
      <c r="BI21" s="67">
        <v>280.60000000000002</v>
      </c>
      <c r="BJ21" s="72">
        <f t="shared" si="37"/>
        <v>60.000000000002274</v>
      </c>
      <c r="BK21" s="67">
        <v>228.62</v>
      </c>
      <c r="BL21" s="72">
        <f t="shared" si="38"/>
        <v>60.000000000002274</v>
      </c>
      <c r="BM21" s="67">
        <v>211.49</v>
      </c>
      <c r="BN21" s="72">
        <f t="shared" si="39"/>
        <v>80.000000000012506</v>
      </c>
      <c r="BO21" s="67">
        <v>275.64999999999998</v>
      </c>
      <c r="BP21" s="72">
        <f t="shared" si="40"/>
        <v>89.999999999974989</v>
      </c>
      <c r="BQ21" s="67">
        <v>37733</v>
      </c>
      <c r="BR21" s="72">
        <f t="shared" si="16"/>
        <v>31</v>
      </c>
      <c r="BS21" s="67">
        <v>192.06</v>
      </c>
      <c r="BT21" s="72">
        <f t="shared" si="41"/>
        <v>39.999999999992042</v>
      </c>
      <c r="BU21" s="67">
        <v>28724</v>
      </c>
      <c r="BV21" s="72">
        <f t="shared" si="1"/>
        <v>36</v>
      </c>
      <c r="BW21" s="67">
        <v>221.94</v>
      </c>
      <c r="BX21" s="72">
        <f t="shared" si="42"/>
        <v>69.999999999993179</v>
      </c>
      <c r="BY21" s="67">
        <v>47017</v>
      </c>
      <c r="BZ21" s="72">
        <f t="shared" si="17"/>
        <v>57</v>
      </c>
      <c r="CA21" s="67">
        <v>27497.9</v>
      </c>
      <c r="CB21" s="72">
        <f t="shared" si="18"/>
        <v>0</v>
      </c>
      <c r="CC21" s="67">
        <v>11250.2</v>
      </c>
      <c r="CD21" s="72">
        <f t="shared" si="19"/>
        <v>0</v>
      </c>
      <c r="CE21" s="67">
        <v>5472</v>
      </c>
      <c r="CF21" s="72">
        <f t="shared" si="20"/>
        <v>0</v>
      </c>
      <c r="CG21" s="67">
        <v>42589.5</v>
      </c>
      <c r="CH21" s="72">
        <f t="shared" si="21"/>
        <v>54</v>
      </c>
      <c r="CI21" s="67">
        <v>847177</v>
      </c>
      <c r="CJ21" s="72">
        <f t="shared" si="2"/>
        <v>197</v>
      </c>
      <c r="CK21" s="67">
        <v>550.23</v>
      </c>
      <c r="CL21" s="71">
        <f t="shared" si="22"/>
        <v>480.00000000001819</v>
      </c>
      <c r="CM21" s="72">
        <v>25.7</v>
      </c>
      <c r="CN21" s="69">
        <v>0</v>
      </c>
      <c r="CO21" s="69">
        <v>0</v>
      </c>
    </row>
    <row r="22" spans="1:93" ht="25.5" customHeight="1" thickBot="1" x14ac:dyDescent="0.45">
      <c r="A22" s="70">
        <v>43940</v>
      </c>
      <c r="B22" s="48"/>
      <c r="C22" s="64">
        <v>1.6498999999999999</v>
      </c>
      <c r="D22" s="71">
        <f t="shared" si="3"/>
        <v>1399.9999999998458</v>
      </c>
      <c r="E22" s="64">
        <v>2.6732</v>
      </c>
      <c r="F22" s="71">
        <f t="shared" si="4"/>
        <v>900.0000000001229</v>
      </c>
      <c r="G22" s="64">
        <v>2.4780000000000002</v>
      </c>
      <c r="H22" s="71">
        <f t="shared" si="5"/>
        <v>1500.0000000000568</v>
      </c>
      <c r="I22" s="64">
        <v>1.1806000000000001</v>
      </c>
      <c r="J22" s="71">
        <f t="shared" si="43"/>
        <v>1200.0000000000898</v>
      </c>
      <c r="K22" s="64">
        <v>1.8070999999999999</v>
      </c>
      <c r="L22" s="71">
        <f t="shared" si="0"/>
        <v>2199.9999999999795</v>
      </c>
      <c r="M22" s="64">
        <v>1.1577999999999999</v>
      </c>
      <c r="N22" s="71">
        <f t="shared" si="6"/>
        <v>999.99999999988984</v>
      </c>
      <c r="O22" s="64">
        <v>12541</v>
      </c>
      <c r="P22" s="72">
        <f t="shared" si="7"/>
        <v>0</v>
      </c>
      <c r="Q22" s="64">
        <v>5216</v>
      </c>
      <c r="R22" s="72">
        <f t="shared" si="8"/>
        <v>6</v>
      </c>
      <c r="S22" s="64">
        <v>823197</v>
      </c>
      <c r="T22" s="72">
        <f t="shared" si="44"/>
        <v>85</v>
      </c>
      <c r="U22" s="64">
        <v>333145</v>
      </c>
      <c r="V22" s="72">
        <f t="shared" si="10"/>
        <v>52</v>
      </c>
      <c r="W22" s="64">
        <v>324.44</v>
      </c>
      <c r="X22" s="72">
        <f t="shared" si="23"/>
        <v>180.00000000000682</v>
      </c>
      <c r="Y22" s="64">
        <v>2.3664000000000001</v>
      </c>
      <c r="Z22" s="72">
        <f t="shared" si="24"/>
        <v>500.00000000016701</v>
      </c>
      <c r="AA22" s="64">
        <v>322.72000000000003</v>
      </c>
      <c r="AB22" s="72">
        <f t="shared" si="25"/>
        <v>110.00000000001364</v>
      </c>
      <c r="AC22" s="64">
        <v>295.83</v>
      </c>
      <c r="AD22" s="72">
        <f t="shared" si="26"/>
        <v>300.00000000001137</v>
      </c>
      <c r="AE22" s="64">
        <v>460.88</v>
      </c>
      <c r="AF22" s="72">
        <f t="shared" si="27"/>
        <v>519.99999999998181</v>
      </c>
      <c r="AG22" s="64">
        <v>1182.7</v>
      </c>
      <c r="AH22" s="72">
        <f t="shared" si="11"/>
        <v>0.90000000000009095</v>
      </c>
      <c r="AI22" s="64">
        <v>406.14</v>
      </c>
      <c r="AJ22" s="72">
        <f t="shared" si="28"/>
        <v>279.99999999997272</v>
      </c>
      <c r="AK22" s="64">
        <v>143.77000000000001</v>
      </c>
      <c r="AL22" s="72">
        <f t="shared" si="12"/>
        <v>0.15999999999999659</v>
      </c>
      <c r="AM22" s="64">
        <v>145.29</v>
      </c>
      <c r="AN22" s="72">
        <f t="shared" si="13"/>
        <v>0.13999999999998636</v>
      </c>
      <c r="AO22" s="64">
        <v>141.87</v>
      </c>
      <c r="AP22" s="72">
        <f t="shared" si="14"/>
        <v>9.9999999999994316E-2</v>
      </c>
      <c r="AQ22" s="64">
        <v>213.4</v>
      </c>
      <c r="AR22" s="72">
        <f t="shared" si="29"/>
        <v>110.00000000001364</v>
      </c>
      <c r="AS22" s="64">
        <v>339.92</v>
      </c>
      <c r="AT22" s="72">
        <f t="shared" si="30"/>
        <v>90.000000000031832</v>
      </c>
      <c r="AU22" s="64">
        <v>262.05</v>
      </c>
      <c r="AV22" s="72">
        <f t="shared" si="31"/>
        <v>100.00000000002274</v>
      </c>
      <c r="AW22" s="64">
        <v>289.64</v>
      </c>
      <c r="AX22" s="72">
        <f t="shared" si="32"/>
        <v>99.999999999965894</v>
      </c>
      <c r="AY22" s="64">
        <v>340.67</v>
      </c>
      <c r="AZ22" s="72">
        <f t="shared" si="33"/>
        <v>40.000000000020464</v>
      </c>
      <c r="BA22" s="64">
        <v>360.87</v>
      </c>
      <c r="BB22" s="72">
        <f t="shared" si="34"/>
        <v>79.999999999984084</v>
      </c>
      <c r="BC22" s="64">
        <v>203.05</v>
      </c>
      <c r="BD22" s="72">
        <f t="shared" si="35"/>
        <v>0</v>
      </c>
      <c r="BE22" s="66">
        <v>27555</v>
      </c>
      <c r="BF22" s="72">
        <f t="shared" si="15"/>
        <v>30</v>
      </c>
      <c r="BG22" s="67">
        <v>223.08</v>
      </c>
      <c r="BH22" s="72">
        <f t="shared" si="36"/>
        <v>10.000000000019327</v>
      </c>
      <c r="BI22" s="67">
        <v>280.63</v>
      </c>
      <c r="BJ22" s="72">
        <f t="shared" si="37"/>
        <v>29.999999999972715</v>
      </c>
      <c r="BK22" s="67">
        <v>228.64</v>
      </c>
      <c r="BL22" s="72">
        <f t="shared" si="38"/>
        <v>19.99999999998181</v>
      </c>
      <c r="BM22" s="67">
        <v>211.53</v>
      </c>
      <c r="BN22" s="72">
        <f t="shared" si="39"/>
        <v>39.999999999992042</v>
      </c>
      <c r="BO22" s="67">
        <v>275.68</v>
      </c>
      <c r="BP22" s="72">
        <f t="shared" si="40"/>
        <v>30.000000000029559</v>
      </c>
      <c r="BQ22" s="67">
        <v>37745</v>
      </c>
      <c r="BR22" s="72">
        <f t="shared" si="16"/>
        <v>12</v>
      </c>
      <c r="BS22" s="67">
        <v>192.08</v>
      </c>
      <c r="BT22" s="72">
        <f t="shared" si="41"/>
        <v>20.000000000010232</v>
      </c>
      <c r="BU22" s="67">
        <v>28739</v>
      </c>
      <c r="BV22" s="72">
        <f t="shared" si="1"/>
        <v>15</v>
      </c>
      <c r="BW22" s="67">
        <v>221.96</v>
      </c>
      <c r="BX22" s="72">
        <f t="shared" si="42"/>
        <v>20.000000000010232</v>
      </c>
      <c r="BY22" s="67">
        <v>47046</v>
      </c>
      <c r="BZ22" s="72">
        <f t="shared" si="17"/>
        <v>29</v>
      </c>
      <c r="CA22" s="67">
        <v>27497.9</v>
      </c>
      <c r="CB22" s="72">
        <f t="shared" si="18"/>
        <v>0</v>
      </c>
      <c r="CC22" s="67">
        <v>11250.2</v>
      </c>
      <c r="CD22" s="72">
        <f>IF((CC23-CC21&lt;0), "",CC23-CC21)</f>
        <v>0</v>
      </c>
      <c r="CE22" s="67">
        <v>5472</v>
      </c>
      <c r="CF22" s="72">
        <f t="shared" si="20"/>
        <v>0</v>
      </c>
      <c r="CG22" s="67">
        <v>42655.3</v>
      </c>
      <c r="CH22" s="72">
        <f t="shared" si="21"/>
        <v>65.80000000000291</v>
      </c>
      <c r="CI22" s="67">
        <v>847375</v>
      </c>
      <c r="CJ22" s="72">
        <f t="shared" si="2"/>
        <v>198</v>
      </c>
      <c r="CK22" s="67">
        <v>550.59</v>
      </c>
      <c r="CL22" s="71">
        <f t="shared" si="22"/>
        <v>360.00000000001364</v>
      </c>
      <c r="CM22" s="72">
        <v>17.399999999999999</v>
      </c>
      <c r="CN22" s="69">
        <v>0</v>
      </c>
      <c r="CO22" s="69">
        <v>0</v>
      </c>
    </row>
    <row r="23" spans="1:93" ht="25.5" customHeight="1" thickBot="1" x14ac:dyDescent="0.45">
      <c r="A23" s="70">
        <v>43941</v>
      </c>
      <c r="B23" s="48"/>
      <c r="C23" s="64">
        <v>1.6513</v>
      </c>
      <c r="D23" s="71">
        <f t="shared" si="3"/>
        <v>1400.0000000000678</v>
      </c>
      <c r="E23" s="64">
        <v>2.6739999999999999</v>
      </c>
      <c r="F23" s="71">
        <f t="shared" si="4"/>
        <v>799.99999999991189</v>
      </c>
      <c r="G23" s="64">
        <v>2.4798</v>
      </c>
      <c r="H23" s="71">
        <f t="shared" si="5"/>
        <v>1799.9999999998017</v>
      </c>
      <c r="I23" s="64">
        <v>1.1817</v>
      </c>
      <c r="J23" s="71">
        <f t="shared" si="43"/>
        <v>1099.9999999998788</v>
      </c>
      <c r="K23" s="64">
        <v>1.8091999999999999</v>
      </c>
      <c r="L23" s="71">
        <f t="shared" si="0"/>
        <v>2099.9999999999909</v>
      </c>
      <c r="M23" s="64">
        <v>1.1588000000000001</v>
      </c>
      <c r="N23" s="71">
        <f t="shared" si="6"/>
        <v>1000.0000000001119</v>
      </c>
      <c r="O23" s="64">
        <v>12541</v>
      </c>
      <c r="P23" s="72">
        <f t="shared" si="7"/>
        <v>0</v>
      </c>
      <c r="Q23" s="64">
        <v>5219</v>
      </c>
      <c r="R23" s="72">
        <f t="shared" si="8"/>
        <v>3</v>
      </c>
      <c r="S23" s="64">
        <v>823289</v>
      </c>
      <c r="T23" s="72">
        <f t="shared" si="44"/>
        <v>92</v>
      </c>
      <c r="U23" s="64">
        <v>333202</v>
      </c>
      <c r="V23" s="72">
        <f t="shared" si="10"/>
        <v>57</v>
      </c>
      <c r="W23" s="64">
        <v>324.64</v>
      </c>
      <c r="X23" s="72">
        <f t="shared" si="23"/>
        <v>199.99999999998863</v>
      </c>
      <c r="Y23" s="64">
        <v>2.367</v>
      </c>
      <c r="Z23" s="72">
        <f t="shared" si="24"/>
        <v>599.99999999993395</v>
      </c>
      <c r="AA23" s="64">
        <v>322.81</v>
      </c>
      <c r="AB23" s="72">
        <f t="shared" si="25"/>
        <v>89.999999999974989</v>
      </c>
      <c r="AC23" s="64">
        <v>296.08999999999997</v>
      </c>
      <c r="AD23" s="72">
        <f t="shared" si="26"/>
        <v>259.99999999999091</v>
      </c>
      <c r="AE23" s="64">
        <v>461.38</v>
      </c>
      <c r="AF23" s="72">
        <f t="shared" si="27"/>
        <v>500</v>
      </c>
      <c r="AG23" s="64">
        <v>1183.8</v>
      </c>
      <c r="AH23" s="72">
        <f t="shared" si="11"/>
        <v>1.0999999999999091</v>
      </c>
      <c r="AI23" s="64">
        <v>406.44</v>
      </c>
      <c r="AJ23" s="72">
        <f t="shared" si="28"/>
        <v>300.00000000001137</v>
      </c>
      <c r="AK23" s="64">
        <v>143.94</v>
      </c>
      <c r="AL23" s="72"/>
      <c r="AM23" s="64">
        <v>145.41</v>
      </c>
      <c r="AN23" s="72">
        <f t="shared" si="13"/>
        <v>0.12000000000000455</v>
      </c>
      <c r="AO23" s="64">
        <v>141.97999999999999</v>
      </c>
      <c r="AP23" s="72">
        <f t="shared" si="14"/>
        <v>0.10999999999998522</v>
      </c>
      <c r="AQ23" s="64">
        <v>213.5</v>
      </c>
      <c r="AR23" s="72">
        <f t="shared" si="29"/>
        <v>99.999999999994316</v>
      </c>
      <c r="AS23" s="64">
        <v>340</v>
      </c>
      <c r="AT23" s="72">
        <f t="shared" si="30"/>
        <v>79.999999999984084</v>
      </c>
      <c r="AU23" s="64">
        <v>262.14</v>
      </c>
      <c r="AV23" s="72">
        <f t="shared" si="31"/>
        <v>89.999999999974989</v>
      </c>
      <c r="AW23" s="64">
        <v>289.73</v>
      </c>
      <c r="AX23" s="72">
        <f t="shared" si="32"/>
        <v>90.000000000031832</v>
      </c>
      <c r="AY23" s="64">
        <v>340.72</v>
      </c>
      <c r="AZ23" s="72">
        <f t="shared" si="33"/>
        <v>50.000000000011369</v>
      </c>
      <c r="BA23" s="64">
        <v>360.94</v>
      </c>
      <c r="BB23" s="72">
        <f t="shared" si="34"/>
        <v>69.999999999993179</v>
      </c>
      <c r="BC23" s="64">
        <v>203.07</v>
      </c>
      <c r="BD23" s="72">
        <f t="shared" si="35"/>
        <v>19.99999999998181</v>
      </c>
      <c r="BE23" s="66">
        <v>27586</v>
      </c>
      <c r="BF23" s="72">
        <f t="shared" si="15"/>
        <v>31</v>
      </c>
      <c r="BG23" s="67">
        <v>223.1</v>
      </c>
      <c r="BH23" s="72">
        <f t="shared" si="36"/>
        <v>19.99999999998181</v>
      </c>
      <c r="BI23" s="67">
        <v>280.64999999999998</v>
      </c>
      <c r="BJ23" s="72">
        <f t="shared" si="37"/>
        <v>19.99999999998181</v>
      </c>
      <c r="BK23" s="67">
        <v>228.66</v>
      </c>
      <c r="BL23" s="72">
        <f t="shared" si="38"/>
        <v>20.000000000010232</v>
      </c>
      <c r="BM23" s="67">
        <v>211.55</v>
      </c>
      <c r="BN23" s="72">
        <f t="shared" si="39"/>
        <v>20.000000000010232</v>
      </c>
      <c r="BO23" s="67">
        <v>275.70999999999998</v>
      </c>
      <c r="BP23" s="72">
        <f t="shared" si="40"/>
        <v>29.999999999972715</v>
      </c>
      <c r="BQ23" s="67">
        <v>37756</v>
      </c>
      <c r="BR23" s="72">
        <f t="shared" si="16"/>
        <v>11</v>
      </c>
      <c r="BS23" s="67">
        <v>192.09</v>
      </c>
      <c r="BT23" s="72">
        <f t="shared" si="41"/>
        <v>9.9999999999909051</v>
      </c>
      <c r="BU23" s="67">
        <v>28753</v>
      </c>
      <c r="BV23" s="72">
        <f t="shared" si="1"/>
        <v>14</v>
      </c>
      <c r="BW23" s="67">
        <v>221.98</v>
      </c>
      <c r="BX23" s="72">
        <f t="shared" si="42"/>
        <v>19.99999999998181</v>
      </c>
      <c r="BY23" s="67">
        <v>47062</v>
      </c>
      <c r="BZ23" s="72">
        <f t="shared" si="17"/>
        <v>16</v>
      </c>
      <c r="CA23" s="67">
        <v>27497.9</v>
      </c>
      <c r="CB23" s="72">
        <f t="shared" si="18"/>
        <v>0</v>
      </c>
      <c r="CC23" s="67">
        <v>11250.2</v>
      </c>
      <c r="CD23" s="72">
        <f t="shared" ref="CD23:CD24" si="45">IF((CC24-CC22&lt;0), "",CC24-CC22)</f>
        <v>0</v>
      </c>
      <c r="CE23" s="67">
        <v>5472</v>
      </c>
      <c r="CF23" s="72">
        <f t="shared" si="20"/>
        <v>0</v>
      </c>
      <c r="CG23" s="67">
        <v>42716.2</v>
      </c>
      <c r="CH23" s="72">
        <f t="shared" si="21"/>
        <v>60.899999999994179</v>
      </c>
      <c r="CI23" s="67">
        <v>847594</v>
      </c>
      <c r="CJ23" s="72">
        <f t="shared" si="2"/>
        <v>219</v>
      </c>
      <c r="CK23" s="67">
        <v>551.04</v>
      </c>
      <c r="CL23" s="71">
        <f t="shared" si="22"/>
        <v>449.99999999993179</v>
      </c>
      <c r="CM23" s="72">
        <v>30</v>
      </c>
      <c r="CN23" s="69">
        <v>0</v>
      </c>
      <c r="CO23" s="69">
        <v>0</v>
      </c>
    </row>
    <row r="24" spans="1:93" ht="25.5" customHeight="1" thickBot="1" x14ac:dyDescent="0.45">
      <c r="A24" s="70">
        <v>43942</v>
      </c>
      <c r="B24" s="48"/>
      <c r="C24" s="64">
        <v>1.6527000000000001</v>
      </c>
      <c r="D24" s="71">
        <f t="shared" si="3"/>
        <v>1400.0000000000678</v>
      </c>
      <c r="E24" s="64">
        <v>2.6749000000000001</v>
      </c>
      <c r="F24" s="71">
        <f t="shared" si="4"/>
        <v>900.0000000001229</v>
      </c>
      <c r="G24" s="64">
        <v>2.4817</v>
      </c>
      <c r="H24" s="71">
        <f t="shared" si="5"/>
        <v>1900.0000000000127</v>
      </c>
      <c r="I24" s="64">
        <v>1.1829000000000001</v>
      </c>
      <c r="J24" s="71">
        <f t="shared" si="43"/>
        <v>1200.0000000000898</v>
      </c>
      <c r="K24" s="64">
        <v>1.8111999999999999</v>
      </c>
      <c r="L24" s="71">
        <f t="shared" si="0"/>
        <v>2000.0000000000018</v>
      </c>
      <c r="M24" s="64">
        <v>1.1597999999999999</v>
      </c>
      <c r="N24" s="71">
        <f t="shared" si="6"/>
        <v>999.99999999988984</v>
      </c>
      <c r="O24" s="64">
        <v>12541</v>
      </c>
      <c r="P24" s="72">
        <f t="shared" si="7"/>
        <v>0</v>
      </c>
      <c r="Q24" s="64">
        <v>5223</v>
      </c>
      <c r="R24" s="72">
        <f t="shared" si="8"/>
        <v>4</v>
      </c>
      <c r="S24" s="64">
        <v>823551</v>
      </c>
      <c r="T24" s="72">
        <f t="shared" si="44"/>
        <v>262</v>
      </c>
      <c r="U24" s="64">
        <v>333346</v>
      </c>
      <c r="V24" s="72">
        <f t="shared" si="10"/>
        <v>144</v>
      </c>
      <c r="W24" s="64">
        <v>324.85000000000002</v>
      </c>
      <c r="X24" s="72">
        <f t="shared" si="23"/>
        <v>210.00000000003638</v>
      </c>
      <c r="Y24" s="64">
        <v>2.3675000000000002</v>
      </c>
      <c r="Z24" s="72">
        <f t="shared" si="24"/>
        <v>500.00000000016701</v>
      </c>
      <c r="AA24" s="64">
        <v>322.92</v>
      </c>
      <c r="AB24" s="72">
        <f t="shared" si="25"/>
        <v>110.00000000001364</v>
      </c>
      <c r="AC24" s="64">
        <v>296.35000000000002</v>
      </c>
      <c r="AD24" s="72">
        <f t="shared" si="26"/>
        <v>260.00000000004775</v>
      </c>
      <c r="AE24" s="64">
        <v>461.9</v>
      </c>
      <c r="AF24" s="72">
        <f t="shared" si="27"/>
        <v>519.99999999998181</v>
      </c>
      <c r="AG24" s="64">
        <v>1184.5999999999999</v>
      </c>
      <c r="AH24" s="72">
        <f t="shared" si="11"/>
        <v>0.79999999999995453</v>
      </c>
      <c r="AI24" s="64">
        <v>406.71</v>
      </c>
      <c r="AJ24" s="72">
        <f t="shared" si="28"/>
        <v>269.99999999998181</v>
      </c>
      <c r="AK24" s="64">
        <v>144.15</v>
      </c>
      <c r="AL24" s="72">
        <f t="shared" si="12"/>
        <v>0.21000000000000796</v>
      </c>
      <c r="AM24" s="64">
        <v>145.52000000000001</v>
      </c>
      <c r="AN24" s="72">
        <f t="shared" si="13"/>
        <v>0.11000000000001364</v>
      </c>
      <c r="AO24" s="64">
        <v>142.08000000000001</v>
      </c>
      <c r="AP24" s="72">
        <f t="shared" si="14"/>
        <v>0.10000000000002274</v>
      </c>
      <c r="AQ24" s="64">
        <v>213.6</v>
      </c>
      <c r="AR24" s="72">
        <f t="shared" si="29"/>
        <v>99.999999999994316</v>
      </c>
      <c r="AS24" s="64">
        <v>340.09</v>
      </c>
      <c r="AT24" s="72">
        <f t="shared" si="30"/>
        <v>89.999999999974989</v>
      </c>
      <c r="AU24" s="64">
        <v>262.22000000000003</v>
      </c>
      <c r="AV24" s="72">
        <f t="shared" si="31"/>
        <v>80.000000000040927</v>
      </c>
      <c r="AW24" s="64">
        <v>289.81</v>
      </c>
      <c r="AX24" s="72">
        <f t="shared" si="32"/>
        <v>79.999999999984084</v>
      </c>
      <c r="AY24" s="64">
        <v>340.76</v>
      </c>
      <c r="AZ24" s="72">
        <f t="shared" si="33"/>
        <v>39.99999999996362</v>
      </c>
      <c r="BA24" s="64">
        <v>361.01</v>
      </c>
      <c r="BB24" s="72">
        <f t="shared" si="34"/>
        <v>69.999999999993179</v>
      </c>
      <c r="BC24" s="64">
        <v>203.08</v>
      </c>
      <c r="BD24" s="72">
        <f t="shared" si="35"/>
        <v>10.000000000019327</v>
      </c>
      <c r="BE24" s="66">
        <v>27619</v>
      </c>
      <c r="BF24" s="72">
        <f t="shared" si="15"/>
        <v>33</v>
      </c>
      <c r="BG24" s="67">
        <v>223.12</v>
      </c>
      <c r="BH24" s="72">
        <f t="shared" si="36"/>
        <v>20.000000000010232</v>
      </c>
      <c r="BI24" s="67">
        <v>280.68</v>
      </c>
      <c r="BJ24" s="72">
        <f t="shared" si="37"/>
        <v>30.000000000029559</v>
      </c>
      <c r="BK24" s="67">
        <v>228.69</v>
      </c>
      <c r="BL24" s="72">
        <f t="shared" si="38"/>
        <v>30.000000000001137</v>
      </c>
      <c r="BM24" s="67">
        <v>211.58</v>
      </c>
      <c r="BN24" s="72">
        <f t="shared" si="39"/>
        <v>30.000000000001137</v>
      </c>
      <c r="BO24" s="67">
        <v>275.75</v>
      </c>
      <c r="BP24" s="72">
        <f t="shared" si="40"/>
        <v>40.000000000020464</v>
      </c>
      <c r="BQ24" s="67">
        <v>37775</v>
      </c>
      <c r="BR24" s="72">
        <f t="shared" si="16"/>
        <v>19</v>
      </c>
      <c r="BS24" s="67">
        <v>192.11</v>
      </c>
      <c r="BT24" s="72">
        <f t="shared" si="41"/>
        <v>20.000000000010232</v>
      </c>
      <c r="BU24" s="67">
        <v>28775</v>
      </c>
      <c r="BV24" s="72">
        <f t="shared" si="1"/>
        <v>22</v>
      </c>
      <c r="BW24" s="67">
        <v>222</v>
      </c>
      <c r="BX24" s="72">
        <f t="shared" si="42"/>
        <v>20.000000000010232</v>
      </c>
      <c r="BY24" s="67">
        <v>47098</v>
      </c>
      <c r="BZ24" s="72">
        <f t="shared" si="17"/>
        <v>36</v>
      </c>
      <c r="CA24" s="67">
        <v>27497.9</v>
      </c>
      <c r="CB24" s="72">
        <f t="shared" si="18"/>
        <v>0</v>
      </c>
      <c r="CC24" s="67">
        <v>11250.2</v>
      </c>
      <c r="CD24" s="72">
        <f t="shared" si="45"/>
        <v>0.19999999999890861</v>
      </c>
      <c r="CE24" s="67">
        <v>5472</v>
      </c>
      <c r="CF24" s="72">
        <f t="shared" si="20"/>
        <v>0</v>
      </c>
      <c r="CG24" s="67">
        <v>42790.2</v>
      </c>
      <c r="CH24" s="72">
        <f t="shared" si="21"/>
        <v>74</v>
      </c>
      <c r="CI24" s="67">
        <v>847798</v>
      </c>
      <c r="CJ24" s="72">
        <f t="shared" si="2"/>
        <v>204</v>
      </c>
      <c r="CK24" s="67">
        <v>551.51</v>
      </c>
      <c r="CL24" s="71">
        <f t="shared" si="22"/>
        <v>470.00000000002728</v>
      </c>
      <c r="CM24" s="72">
        <v>27.7</v>
      </c>
      <c r="CN24" s="69">
        <v>0</v>
      </c>
      <c r="CO24" s="69">
        <v>0</v>
      </c>
    </row>
    <row r="25" spans="1:93" ht="25.5" customHeight="1" thickBot="1" x14ac:dyDescent="0.45">
      <c r="A25" s="70">
        <v>43943</v>
      </c>
      <c r="B25" s="48"/>
      <c r="C25" s="64">
        <v>1.6538999999999999</v>
      </c>
      <c r="D25" s="71">
        <f t="shared" si="3"/>
        <v>1199.9999999998679</v>
      </c>
      <c r="E25" s="64">
        <v>2.6758000000000002</v>
      </c>
      <c r="F25" s="71">
        <f t="shared" si="4"/>
        <v>900.0000000001229</v>
      </c>
      <c r="G25" s="64">
        <v>2.4834000000000001</v>
      </c>
      <c r="H25" s="71">
        <f t="shared" si="5"/>
        <v>1700.0000000000348</v>
      </c>
      <c r="I25" s="64">
        <v>1.1839</v>
      </c>
      <c r="J25" s="71">
        <f t="shared" si="43"/>
        <v>999.99999999988984</v>
      </c>
      <c r="K25" s="64">
        <v>1.8132999999999999</v>
      </c>
      <c r="L25" s="71">
        <f t="shared" si="0"/>
        <v>2099.9999999999909</v>
      </c>
      <c r="M25" s="64">
        <v>1.1606000000000001</v>
      </c>
      <c r="N25" s="71">
        <f t="shared" si="6"/>
        <v>800.00000000013392</v>
      </c>
      <c r="O25" s="64">
        <v>12541</v>
      </c>
      <c r="P25" s="72">
        <f t="shared" si="7"/>
        <v>0</v>
      </c>
      <c r="Q25" s="64">
        <v>5227</v>
      </c>
      <c r="R25" s="72">
        <f t="shared" si="8"/>
        <v>4</v>
      </c>
      <c r="S25" s="64">
        <v>823718</v>
      </c>
      <c r="T25" s="72">
        <f t="shared" si="44"/>
        <v>167</v>
      </c>
      <c r="U25" s="64">
        <v>333456</v>
      </c>
      <c r="V25" s="72">
        <f t="shared" si="10"/>
        <v>110</v>
      </c>
      <c r="W25" s="64">
        <v>325.01</v>
      </c>
      <c r="X25" s="72">
        <f t="shared" si="23"/>
        <v>159.99999999996817</v>
      </c>
      <c r="Y25" s="64">
        <v>2.3679999999999999</v>
      </c>
      <c r="Z25" s="72">
        <f t="shared" si="24"/>
        <v>499.99999999972289</v>
      </c>
      <c r="AA25" s="64">
        <v>323.02</v>
      </c>
      <c r="AB25" s="72">
        <f t="shared" si="25"/>
        <v>99.999999999965894</v>
      </c>
      <c r="AC25" s="64">
        <v>296.52999999999997</v>
      </c>
      <c r="AD25" s="72">
        <f t="shared" si="26"/>
        <v>179.99999999994998</v>
      </c>
      <c r="AE25" s="64">
        <v>462.28</v>
      </c>
      <c r="AF25" s="72">
        <f t="shared" si="27"/>
        <v>379.99999999999545</v>
      </c>
      <c r="AG25" s="64">
        <v>1186</v>
      </c>
      <c r="AH25" s="72">
        <f t="shared" si="11"/>
        <v>1.4000000000000909</v>
      </c>
      <c r="AI25" s="64">
        <v>406.96</v>
      </c>
      <c r="AJ25" s="72">
        <f t="shared" si="28"/>
        <v>250</v>
      </c>
      <c r="AK25" s="64">
        <v>144.34</v>
      </c>
      <c r="AL25" s="72">
        <f t="shared" si="12"/>
        <v>0.18999999999999773</v>
      </c>
      <c r="AM25" s="64">
        <v>145.6</v>
      </c>
      <c r="AN25" s="72">
        <f t="shared" si="13"/>
        <v>7.9999999999984084E-2</v>
      </c>
      <c r="AO25" s="64">
        <v>142.16</v>
      </c>
      <c r="AP25" s="72">
        <f t="shared" si="14"/>
        <v>7.9999999999984084E-2</v>
      </c>
      <c r="AQ25" s="64">
        <v>213.69</v>
      </c>
      <c r="AR25" s="72">
        <f t="shared" si="29"/>
        <v>90.000000000003411</v>
      </c>
      <c r="AS25" s="64">
        <v>340.16</v>
      </c>
      <c r="AT25" s="72">
        <f t="shared" si="30"/>
        <v>70.000000000050022</v>
      </c>
      <c r="AU25" s="64">
        <v>262.27999999999997</v>
      </c>
      <c r="AV25" s="72">
        <f t="shared" si="31"/>
        <v>59.99999999994543</v>
      </c>
      <c r="AW25" s="64">
        <v>289.88</v>
      </c>
      <c r="AX25" s="72">
        <f t="shared" si="32"/>
        <v>69.999999999993179</v>
      </c>
      <c r="AY25" s="64">
        <v>340.81</v>
      </c>
      <c r="AZ25" s="72">
        <f t="shared" si="33"/>
        <v>50.000000000011369</v>
      </c>
      <c r="BA25" s="64">
        <v>361.06</v>
      </c>
      <c r="BB25" s="72">
        <f t="shared" si="34"/>
        <v>50.000000000011369</v>
      </c>
      <c r="BC25" s="64">
        <v>203.09</v>
      </c>
      <c r="BD25" s="72">
        <f t="shared" si="35"/>
        <v>9.9999999999909051</v>
      </c>
      <c r="BE25" s="66">
        <v>27645</v>
      </c>
      <c r="BF25" s="72">
        <f t="shared" si="15"/>
        <v>26</v>
      </c>
      <c r="BG25" s="67">
        <v>223.16</v>
      </c>
      <c r="BH25" s="72">
        <f t="shared" si="36"/>
        <v>39.999999999992042</v>
      </c>
      <c r="BI25" s="67">
        <v>280.72000000000003</v>
      </c>
      <c r="BJ25" s="72">
        <f t="shared" si="37"/>
        <v>40.000000000020464</v>
      </c>
      <c r="BK25" s="67">
        <v>228.74</v>
      </c>
      <c r="BL25" s="72">
        <f t="shared" si="38"/>
        <v>50.000000000011369</v>
      </c>
      <c r="BM25" s="67">
        <v>211.64</v>
      </c>
      <c r="BN25" s="72">
        <f t="shared" si="39"/>
        <v>59.999999999973852</v>
      </c>
      <c r="BO25" s="67">
        <v>275.81</v>
      </c>
      <c r="BP25" s="72">
        <f t="shared" si="40"/>
        <v>60.000000000002274</v>
      </c>
      <c r="BQ25" s="67">
        <v>37805</v>
      </c>
      <c r="BR25" s="72">
        <f t="shared" si="16"/>
        <v>30</v>
      </c>
      <c r="BS25" s="67">
        <v>192.14</v>
      </c>
      <c r="BT25" s="72">
        <f t="shared" si="41"/>
        <v>29.999999999972715</v>
      </c>
      <c r="BU25" s="67">
        <v>28803</v>
      </c>
      <c r="BV25" s="72">
        <f t="shared" si="1"/>
        <v>28</v>
      </c>
      <c r="BW25" s="67">
        <v>222.05</v>
      </c>
      <c r="BX25" s="72">
        <f t="shared" si="42"/>
        <v>50.000000000011369</v>
      </c>
      <c r="BY25" s="67">
        <v>47150</v>
      </c>
      <c r="BZ25" s="72">
        <f t="shared" si="17"/>
        <v>52</v>
      </c>
      <c r="CA25" s="67">
        <v>27500.7</v>
      </c>
      <c r="CB25" s="72">
        <f t="shared" si="18"/>
        <v>2.7999999999992724</v>
      </c>
      <c r="CC25" s="67">
        <v>11250.4</v>
      </c>
      <c r="CD25" s="72">
        <f t="shared" si="19"/>
        <v>0.19999999999890861</v>
      </c>
      <c r="CE25" s="67">
        <v>5487.5</v>
      </c>
      <c r="CF25" s="72">
        <f t="shared" si="20"/>
        <v>15.5</v>
      </c>
      <c r="CG25" s="67">
        <v>42856.1</v>
      </c>
      <c r="CH25" s="72">
        <f t="shared" si="21"/>
        <v>65.900000000001455</v>
      </c>
      <c r="CI25" s="67">
        <v>848008</v>
      </c>
      <c r="CJ25" s="72">
        <f t="shared" si="2"/>
        <v>210</v>
      </c>
      <c r="CK25" s="67">
        <v>551.86</v>
      </c>
      <c r="CL25" s="71">
        <f t="shared" si="22"/>
        <v>350.00000000002274</v>
      </c>
      <c r="CM25" s="72">
        <v>26.7</v>
      </c>
      <c r="CN25" s="69">
        <v>0</v>
      </c>
      <c r="CO25" s="69">
        <v>0</v>
      </c>
    </row>
    <row r="26" spans="1:93" ht="25.5" customHeight="1" thickBot="1" x14ac:dyDescent="0.45">
      <c r="A26" s="70">
        <v>43944</v>
      </c>
      <c r="B26" s="48"/>
      <c r="C26" s="64">
        <v>1.6553</v>
      </c>
      <c r="D26" s="71">
        <f t="shared" si="3"/>
        <v>1400.0000000000678</v>
      </c>
      <c r="E26" s="64">
        <v>2.6764999999999999</v>
      </c>
      <c r="F26" s="71">
        <f t="shared" si="4"/>
        <v>699.99999999970089</v>
      </c>
      <c r="G26" s="64">
        <v>2.4851999999999999</v>
      </c>
      <c r="H26" s="71">
        <f t="shared" si="5"/>
        <v>1799.9999999998017</v>
      </c>
      <c r="I26" s="64">
        <v>1.1851</v>
      </c>
      <c r="J26" s="71">
        <f t="shared" si="43"/>
        <v>1200.0000000000898</v>
      </c>
      <c r="K26" s="64">
        <v>1.8154999999999999</v>
      </c>
      <c r="L26" s="71">
        <f t="shared" si="0"/>
        <v>2199.9999999999795</v>
      </c>
      <c r="M26" s="64">
        <v>1.1616</v>
      </c>
      <c r="N26" s="71">
        <f t="shared" si="6"/>
        <v>999.99999999988984</v>
      </c>
      <c r="O26" s="64">
        <v>12541</v>
      </c>
      <c r="P26" s="72">
        <f t="shared" si="7"/>
        <v>0</v>
      </c>
      <c r="Q26" s="64">
        <v>5231</v>
      </c>
      <c r="R26" s="72">
        <f t="shared" si="8"/>
        <v>4</v>
      </c>
      <c r="S26" s="64">
        <v>823945</v>
      </c>
      <c r="T26" s="72">
        <f t="shared" si="44"/>
        <v>227</v>
      </c>
      <c r="U26" s="64">
        <v>333565</v>
      </c>
      <c r="V26" s="72">
        <f t="shared" si="10"/>
        <v>109</v>
      </c>
      <c r="W26" s="64">
        <v>325.2</v>
      </c>
      <c r="X26" s="72">
        <f t="shared" si="23"/>
        <v>189.99999999999773</v>
      </c>
      <c r="Y26" s="64">
        <v>2.3685999999999998</v>
      </c>
      <c r="Z26" s="72">
        <f t="shared" si="24"/>
        <v>599.99999999993395</v>
      </c>
      <c r="AA26" s="64">
        <v>323.12</v>
      </c>
      <c r="AB26" s="72">
        <f t="shared" si="25"/>
        <v>100.00000000002274</v>
      </c>
      <c r="AC26" s="64">
        <v>296.79000000000002</v>
      </c>
      <c r="AD26" s="72">
        <f t="shared" si="26"/>
        <v>260.00000000004775</v>
      </c>
      <c r="AE26" s="64">
        <v>462.79</v>
      </c>
      <c r="AF26" s="72">
        <f t="shared" si="27"/>
        <v>510.00000000004775</v>
      </c>
      <c r="AG26" s="64">
        <v>1187</v>
      </c>
      <c r="AH26" s="72">
        <f t="shared" si="11"/>
        <v>1</v>
      </c>
      <c r="AI26" s="64">
        <v>407.22</v>
      </c>
      <c r="AJ26" s="72">
        <f t="shared" si="28"/>
        <v>260.00000000004775</v>
      </c>
      <c r="AK26" s="64">
        <v>144.53</v>
      </c>
      <c r="AL26" s="72">
        <f t="shared" si="12"/>
        <v>0.18999999999999773</v>
      </c>
      <c r="AM26" s="64">
        <v>145.69999999999999</v>
      </c>
      <c r="AN26" s="72">
        <f t="shared" si="13"/>
        <v>9.9999999999994316E-2</v>
      </c>
      <c r="AO26" s="64">
        <v>142.26</v>
      </c>
      <c r="AP26" s="72">
        <f t="shared" si="14"/>
        <v>9.9999999999994316E-2</v>
      </c>
      <c r="AQ26" s="64">
        <v>213.79</v>
      </c>
      <c r="AR26" s="72">
        <f t="shared" si="29"/>
        <v>99.999999999994316</v>
      </c>
      <c r="AS26" s="64">
        <v>340.25</v>
      </c>
      <c r="AT26" s="72">
        <f t="shared" si="30"/>
        <v>89.999999999974989</v>
      </c>
      <c r="AU26" s="64">
        <v>262.36</v>
      </c>
      <c r="AV26" s="72">
        <f t="shared" si="31"/>
        <v>80.000000000040927</v>
      </c>
      <c r="AW26" s="64">
        <v>289.95999999999998</v>
      </c>
      <c r="AX26" s="72">
        <f t="shared" si="32"/>
        <v>79.999999999984084</v>
      </c>
      <c r="AY26" s="64">
        <v>340.88</v>
      </c>
      <c r="AZ26" s="72">
        <f t="shared" si="33"/>
        <v>69.999999999993179</v>
      </c>
      <c r="BA26" s="64">
        <v>361.13</v>
      </c>
      <c r="BB26" s="72">
        <f t="shared" si="34"/>
        <v>69.999999999993179</v>
      </c>
      <c r="BC26" s="64">
        <v>203.11</v>
      </c>
      <c r="BD26" s="72">
        <f t="shared" si="35"/>
        <v>20.000000000010232</v>
      </c>
      <c r="BE26" s="66">
        <v>27675</v>
      </c>
      <c r="BF26" s="72">
        <f t="shared" si="15"/>
        <v>30</v>
      </c>
      <c r="BG26" s="67">
        <v>223.19</v>
      </c>
      <c r="BH26" s="72">
        <f t="shared" si="36"/>
        <v>30.000000000001137</v>
      </c>
      <c r="BI26" s="67">
        <v>280.75</v>
      </c>
      <c r="BJ26" s="72">
        <f t="shared" si="37"/>
        <v>29.999999999972715</v>
      </c>
      <c r="BK26" s="67">
        <v>228.77</v>
      </c>
      <c r="BL26" s="72">
        <f t="shared" si="38"/>
        <v>30.000000000001137</v>
      </c>
      <c r="BM26" s="67">
        <v>211.67</v>
      </c>
      <c r="BN26" s="72">
        <f t="shared" si="39"/>
        <v>30.000000000001137</v>
      </c>
      <c r="BO26" s="67">
        <v>275.86</v>
      </c>
      <c r="BP26" s="72">
        <f t="shared" si="40"/>
        <v>50.000000000011369</v>
      </c>
      <c r="BQ26" s="67">
        <v>37825</v>
      </c>
      <c r="BR26" s="72">
        <f t="shared" si="16"/>
        <v>20</v>
      </c>
      <c r="BS26" s="67">
        <v>192.16</v>
      </c>
      <c r="BT26" s="72">
        <f t="shared" si="41"/>
        <v>20.000000000010232</v>
      </c>
      <c r="BU26" s="67">
        <v>28822</v>
      </c>
      <c r="BV26" s="72">
        <f t="shared" si="1"/>
        <v>19</v>
      </c>
      <c r="BW26" s="67">
        <v>222.08</v>
      </c>
      <c r="BX26" s="72">
        <f t="shared" si="42"/>
        <v>30.000000000001137</v>
      </c>
      <c r="BY26" s="67">
        <v>47184</v>
      </c>
      <c r="BZ26" s="72">
        <f t="shared" si="17"/>
        <v>34</v>
      </c>
      <c r="CA26" s="67">
        <v>27500.7</v>
      </c>
      <c r="CB26" s="72">
        <f t="shared" si="18"/>
        <v>0</v>
      </c>
      <c r="CC26" s="67">
        <v>11250.4</v>
      </c>
      <c r="CD26" s="72">
        <f t="shared" si="19"/>
        <v>0</v>
      </c>
      <c r="CE26" s="67">
        <v>5487.5</v>
      </c>
      <c r="CF26" s="72">
        <f t="shared" si="20"/>
        <v>0</v>
      </c>
      <c r="CG26" s="67">
        <v>42909.7</v>
      </c>
      <c r="CH26" s="72">
        <f t="shared" si="21"/>
        <v>53.599999999998545</v>
      </c>
      <c r="CI26" s="67">
        <v>848218</v>
      </c>
      <c r="CJ26" s="72">
        <f t="shared" si="2"/>
        <v>210</v>
      </c>
      <c r="CK26" s="67">
        <v>552.19000000000005</v>
      </c>
      <c r="CL26" s="71">
        <f t="shared" si="22"/>
        <v>330.00000000004093</v>
      </c>
      <c r="CM26" s="72">
        <v>29.5</v>
      </c>
      <c r="CN26" s="69">
        <v>0</v>
      </c>
      <c r="CO26" s="69">
        <v>0</v>
      </c>
    </row>
    <row r="27" spans="1:93" ht="25.5" customHeight="1" thickBot="1" x14ac:dyDescent="0.45">
      <c r="A27" s="70">
        <v>43945</v>
      </c>
      <c r="B27" s="48"/>
      <c r="C27" s="64">
        <v>1.6568000000000001</v>
      </c>
      <c r="D27" s="71">
        <f t="shared" si="3"/>
        <v>1500.0000000000568</v>
      </c>
      <c r="E27" s="64">
        <v>2.6774</v>
      </c>
      <c r="F27" s="71">
        <f t="shared" si="4"/>
        <v>900.0000000001229</v>
      </c>
      <c r="G27" s="64">
        <v>2.4870000000000001</v>
      </c>
      <c r="H27" s="71">
        <f t="shared" si="5"/>
        <v>1800.0000000002458</v>
      </c>
      <c r="I27" s="64">
        <v>1.1861999999999999</v>
      </c>
      <c r="J27" s="71">
        <f t="shared" si="43"/>
        <v>1099.9999999998788</v>
      </c>
      <c r="K27" s="64">
        <v>1.8177000000000001</v>
      </c>
      <c r="L27" s="71">
        <f t="shared" si="0"/>
        <v>2200.0000000002019</v>
      </c>
      <c r="M27" s="64">
        <v>1.1628000000000001</v>
      </c>
      <c r="N27" s="71">
        <f t="shared" si="6"/>
        <v>1200.0000000000898</v>
      </c>
      <c r="O27" s="64">
        <v>12541</v>
      </c>
      <c r="P27" s="72">
        <f t="shared" si="7"/>
        <v>0</v>
      </c>
      <c r="Q27" s="64">
        <v>5235</v>
      </c>
      <c r="R27" s="72">
        <f t="shared" si="8"/>
        <v>4</v>
      </c>
      <c r="S27" s="64">
        <v>824173</v>
      </c>
      <c r="T27" s="72">
        <f t="shared" si="44"/>
        <v>228</v>
      </c>
      <c r="U27" s="64">
        <v>333703</v>
      </c>
      <c r="V27" s="72">
        <f t="shared" si="10"/>
        <v>138</v>
      </c>
      <c r="W27" s="64">
        <v>325.39999999999998</v>
      </c>
      <c r="X27" s="72">
        <f t="shared" si="23"/>
        <v>199.99999999998863</v>
      </c>
      <c r="Y27" s="64">
        <v>2.3691</v>
      </c>
      <c r="Z27" s="72">
        <f t="shared" si="24"/>
        <v>500.00000000016701</v>
      </c>
      <c r="AA27" s="64">
        <v>323.23</v>
      </c>
      <c r="AB27" s="72">
        <f t="shared" si="25"/>
        <v>110.00000000001364</v>
      </c>
      <c r="AC27" s="64">
        <v>297.08</v>
      </c>
      <c r="AD27" s="72">
        <f t="shared" si="26"/>
        <v>289.99999999996362</v>
      </c>
      <c r="AE27" s="64">
        <v>463.32</v>
      </c>
      <c r="AF27" s="72">
        <f t="shared" si="27"/>
        <v>529.99999999997272</v>
      </c>
      <c r="AG27" s="64">
        <v>1188.5</v>
      </c>
      <c r="AH27" s="72">
        <f t="shared" si="11"/>
        <v>1.5</v>
      </c>
      <c r="AI27" s="64">
        <v>407.5</v>
      </c>
      <c r="AJ27" s="72">
        <f t="shared" si="28"/>
        <v>279.99999999997272</v>
      </c>
      <c r="AK27" s="64">
        <v>144.71</v>
      </c>
      <c r="AL27" s="72">
        <f t="shared" si="12"/>
        <v>0.18000000000000682</v>
      </c>
      <c r="AM27" s="64">
        <v>145.82</v>
      </c>
      <c r="AN27" s="72">
        <f t="shared" si="13"/>
        <v>0.12000000000000455</v>
      </c>
      <c r="AO27" s="64">
        <v>142.38999999999999</v>
      </c>
      <c r="AP27" s="72">
        <f t="shared" si="14"/>
        <v>0.12999999999999545</v>
      </c>
      <c r="AQ27" s="64">
        <v>213.89</v>
      </c>
      <c r="AR27" s="72">
        <f t="shared" si="29"/>
        <v>99.999999999994316</v>
      </c>
      <c r="AS27" s="64">
        <v>340.35</v>
      </c>
      <c r="AT27" s="72">
        <f t="shared" si="30"/>
        <v>100.00000000002274</v>
      </c>
      <c r="AU27" s="64">
        <v>262.45</v>
      </c>
      <c r="AV27" s="72">
        <f t="shared" si="31"/>
        <v>89.999999999974989</v>
      </c>
      <c r="AW27" s="64">
        <v>290.05</v>
      </c>
      <c r="AX27" s="72">
        <f t="shared" si="32"/>
        <v>90.000000000031832</v>
      </c>
      <c r="AY27" s="64">
        <v>340.96</v>
      </c>
      <c r="AZ27" s="72">
        <f t="shared" si="33"/>
        <v>79.999999999984084</v>
      </c>
      <c r="BA27" s="64">
        <v>361.22</v>
      </c>
      <c r="BB27" s="72">
        <f t="shared" si="34"/>
        <v>90.000000000031832</v>
      </c>
      <c r="BC27" s="64">
        <v>203.12</v>
      </c>
      <c r="BD27" s="72">
        <f t="shared" si="35"/>
        <v>9.9999999999909051</v>
      </c>
      <c r="BE27" s="66">
        <v>27698</v>
      </c>
      <c r="BF27" s="72">
        <f t="shared" si="15"/>
        <v>23</v>
      </c>
      <c r="BG27" s="67">
        <v>223.21</v>
      </c>
      <c r="BH27" s="72">
        <f t="shared" si="36"/>
        <v>20.000000000010232</v>
      </c>
      <c r="BI27" s="67">
        <v>280.79000000000002</v>
      </c>
      <c r="BJ27" s="72">
        <f t="shared" si="37"/>
        <v>40.000000000020464</v>
      </c>
      <c r="BK27" s="67">
        <v>228.8</v>
      </c>
      <c r="BL27" s="72">
        <f t="shared" si="38"/>
        <v>30.000000000001137</v>
      </c>
      <c r="BM27" s="67">
        <v>211.71</v>
      </c>
      <c r="BN27" s="72">
        <f t="shared" si="39"/>
        <v>40.000000000020464</v>
      </c>
      <c r="BO27" s="67">
        <v>275.91000000000003</v>
      </c>
      <c r="BP27" s="72">
        <f t="shared" si="40"/>
        <v>50.000000000011369</v>
      </c>
      <c r="BQ27" s="67">
        <v>37846</v>
      </c>
      <c r="BR27" s="72">
        <f t="shared" si="16"/>
        <v>21</v>
      </c>
      <c r="BS27" s="67">
        <v>192.18</v>
      </c>
      <c r="BT27" s="72">
        <f t="shared" si="41"/>
        <v>20.000000000010232</v>
      </c>
      <c r="BU27" s="67">
        <v>28842</v>
      </c>
      <c r="BV27" s="72">
        <f t="shared" si="1"/>
        <v>20</v>
      </c>
      <c r="BW27" s="67">
        <v>222.11</v>
      </c>
      <c r="BX27" s="72">
        <f t="shared" si="42"/>
        <v>30.000000000001137</v>
      </c>
      <c r="BY27" s="67">
        <v>47218</v>
      </c>
      <c r="BZ27" s="72">
        <f t="shared" si="17"/>
        <v>34</v>
      </c>
      <c r="CA27" s="67">
        <v>27500.7</v>
      </c>
      <c r="CB27" s="72">
        <f t="shared" si="18"/>
        <v>0</v>
      </c>
      <c r="CC27" s="67">
        <v>11250.4</v>
      </c>
      <c r="CD27" s="72">
        <f t="shared" si="19"/>
        <v>0</v>
      </c>
      <c r="CE27" s="67">
        <v>5487.5</v>
      </c>
      <c r="CF27" s="72">
        <f t="shared" si="20"/>
        <v>0</v>
      </c>
      <c r="CG27" s="67">
        <v>42998.7</v>
      </c>
      <c r="CH27" s="72">
        <f t="shared" si="21"/>
        <v>89</v>
      </c>
      <c r="CI27" s="67">
        <v>848428</v>
      </c>
      <c r="CJ27" s="72">
        <f t="shared" si="2"/>
        <v>210</v>
      </c>
      <c r="CK27" s="67">
        <v>552.6</v>
      </c>
      <c r="CL27" s="71">
        <f t="shared" si="22"/>
        <v>409.99999999996817</v>
      </c>
      <c r="CM27" s="72">
        <v>33</v>
      </c>
      <c r="CN27" s="69">
        <v>0</v>
      </c>
      <c r="CO27" s="69">
        <v>0</v>
      </c>
    </row>
    <row r="28" spans="1:93" ht="25.5" customHeight="1" thickBot="1" x14ac:dyDescent="0.45">
      <c r="A28" s="70">
        <v>43946</v>
      </c>
      <c r="B28" s="48"/>
      <c r="C28" s="64">
        <v>1.6586000000000001</v>
      </c>
      <c r="D28" s="71">
        <f t="shared" si="3"/>
        <v>1800.0000000000239</v>
      </c>
      <c r="E28" s="64">
        <v>2.6783000000000001</v>
      </c>
      <c r="F28" s="71">
        <f t="shared" si="4"/>
        <v>900.0000000001229</v>
      </c>
      <c r="G28" s="64">
        <v>2.4887999999999999</v>
      </c>
      <c r="H28" s="71">
        <f t="shared" si="5"/>
        <v>1799.9999999998017</v>
      </c>
      <c r="I28" s="64">
        <v>1.1875</v>
      </c>
      <c r="J28" s="71">
        <f t="shared" si="43"/>
        <v>1300.0000000000789</v>
      </c>
      <c r="K28" s="64">
        <v>1.82</v>
      </c>
      <c r="L28" s="71">
        <f t="shared" si="0"/>
        <v>2299.9999999999686</v>
      </c>
      <c r="M28" s="64">
        <v>1.1637</v>
      </c>
      <c r="N28" s="71">
        <f t="shared" si="6"/>
        <v>899.99999999990087</v>
      </c>
      <c r="O28" s="64">
        <v>12541</v>
      </c>
      <c r="P28" s="72">
        <f t="shared" si="7"/>
        <v>0</v>
      </c>
      <c r="Q28" s="64">
        <v>5239</v>
      </c>
      <c r="R28" s="72">
        <f t="shared" si="8"/>
        <v>4</v>
      </c>
      <c r="S28" s="64">
        <v>824365</v>
      </c>
      <c r="T28" s="72">
        <f t="shared" si="44"/>
        <v>192</v>
      </c>
      <c r="U28" s="64">
        <v>333814</v>
      </c>
      <c r="V28" s="72">
        <f t="shared" si="10"/>
        <v>111</v>
      </c>
      <c r="W28" s="64">
        <v>325.61</v>
      </c>
      <c r="X28" s="72">
        <f t="shared" si="23"/>
        <v>210.00000000003638</v>
      </c>
      <c r="Y28" s="64">
        <v>2.3696999999999999</v>
      </c>
      <c r="Z28" s="72">
        <f t="shared" si="24"/>
        <v>599.99999999993395</v>
      </c>
      <c r="AA28" s="64">
        <v>323.36</v>
      </c>
      <c r="AB28" s="72">
        <f t="shared" si="25"/>
        <v>129.99999999999545</v>
      </c>
      <c r="AC28" s="64">
        <v>297.39</v>
      </c>
      <c r="AD28" s="72">
        <f t="shared" si="26"/>
        <v>310.00000000000227</v>
      </c>
      <c r="AE28" s="64">
        <v>463.93</v>
      </c>
      <c r="AF28" s="72">
        <f t="shared" si="27"/>
        <v>610.00000000001364</v>
      </c>
      <c r="AG28" s="64">
        <v>1190.0999999999999</v>
      </c>
      <c r="AH28" s="72">
        <f t="shared" si="11"/>
        <v>1.5999999999999091</v>
      </c>
      <c r="AI28" s="64">
        <v>407.85</v>
      </c>
      <c r="AJ28" s="72">
        <f t="shared" si="28"/>
        <v>350.00000000002274</v>
      </c>
      <c r="AK28" s="64">
        <v>144.91</v>
      </c>
      <c r="AL28" s="72">
        <f t="shared" si="12"/>
        <v>0.19999999999998863</v>
      </c>
      <c r="AM28" s="64">
        <v>145.96</v>
      </c>
      <c r="AN28" s="72">
        <f t="shared" si="13"/>
        <v>0.14000000000001478</v>
      </c>
      <c r="AO28" s="64">
        <v>142.53</v>
      </c>
      <c r="AP28" s="72">
        <f t="shared" si="14"/>
        <v>0.14000000000001478</v>
      </c>
      <c r="AQ28" s="64">
        <v>214.01</v>
      </c>
      <c r="AR28" s="72">
        <f t="shared" si="29"/>
        <v>120.00000000000455</v>
      </c>
      <c r="AS28" s="64">
        <v>340.48</v>
      </c>
      <c r="AT28" s="72">
        <f t="shared" si="30"/>
        <v>129.99999999999545</v>
      </c>
      <c r="AU28" s="64">
        <v>262.56</v>
      </c>
      <c r="AV28" s="72">
        <f t="shared" si="31"/>
        <v>110.00000000001364</v>
      </c>
      <c r="AW28" s="64">
        <v>290.14999999999998</v>
      </c>
      <c r="AX28" s="72">
        <f t="shared" si="32"/>
        <v>99.999999999965894</v>
      </c>
      <c r="AY28" s="64">
        <v>341.06</v>
      </c>
      <c r="AZ28" s="72">
        <f t="shared" si="33"/>
        <v>100.00000000002274</v>
      </c>
      <c r="BA28" s="64">
        <v>361.32</v>
      </c>
      <c r="BB28" s="72">
        <f t="shared" si="34"/>
        <v>99.999999999965894</v>
      </c>
      <c r="BC28" s="64">
        <v>203.13</v>
      </c>
      <c r="BD28" s="72">
        <f t="shared" si="35"/>
        <v>9.9999999999909051</v>
      </c>
      <c r="BE28" s="66">
        <v>27729</v>
      </c>
      <c r="BF28" s="72">
        <f t="shared" si="15"/>
        <v>31</v>
      </c>
      <c r="BG28" s="67">
        <v>223.24</v>
      </c>
      <c r="BH28" s="72">
        <f t="shared" si="36"/>
        <v>30.000000000001137</v>
      </c>
      <c r="BI28" s="67">
        <v>280.83999999999997</v>
      </c>
      <c r="BJ28" s="72">
        <f t="shared" si="37"/>
        <v>49.999999999954525</v>
      </c>
      <c r="BK28" s="67">
        <v>228.84</v>
      </c>
      <c r="BL28" s="72">
        <f t="shared" si="38"/>
        <v>39.999999999992042</v>
      </c>
      <c r="BM28" s="67">
        <v>211.76</v>
      </c>
      <c r="BN28" s="72">
        <f t="shared" si="39"/>
        <v>49.999999999982947</v>
      </c>
      <c r="BO28" s="67">
        <v>275.95999999999998</v>
      </c>
      <c r="BP28" s="72">
        <f t="shared" si="40"/>
        <v>49.999999999954525</v>
      </c>
      <c r="BQ28" s="67">
        <v>37872</v>
      </c>
      <c r="BR28" s="72">
        <f t="shared" si="16"/>
        <v>26</v>
      </c>
      <c r="BS28" s="67">
        <v>192.21</v>
      </c>
      <c r="BT28" s="72">
        <f t="shared" si="41"/>
        <v>30.000000000001137</v>
      </c>
      <c r="BU28" s="67">
        <v>28869</v>
      </c>
      <c r="BV28" s="72">
        <f t="shared" si="1"/>
        <v>27</v>
      </c>
      <c r="BW28" s="67">
        <v>222.15</v>
      </c>
      <c r="BX28" s="72">
        <f t="shared" si="42"/>
        <v>39.999999999992042</v>
      </c>
      <c r="BY28" s="67">
        <v>47256</v>
      </c>
      <c r="BZ28" s="72">
        <f t="shared" si="17"/>
        <v>38</v>
      </c>
      <c r="CA28" s="67">
        <v>27500.7</v>
      </c>
      <c r="CB28" s="72">
        <f t="shared" si="18"/>
        <v>0</v>
      </c>
      <c r="CC28" s="67">
        <v>11250.4</v>
      </c>
      <c r="CD28" s="72">
        <f t="shared" si="19"/>
        <v>0</v>
      </c>
      <c r="CE28" s="67">
        <v>5487.5</v>
      </c>
      <c r="CF28" s="72">
        <f t="shared" si="20"/>
        <v>0</v>
      </c>
      <c r="CG28" s="67">
        <v>43069.7</v>
      </c>
      <c r="CH28" s="72">
        <f t="shared" si="21"/>
        <v>71</v>
      </c>
      <c r="CI28" s="67">
        <v>848624</v>
      </c>
      <c r="CJ28" s="72">
        <f t="shared" si="2"/>
        <v>196</v>
      </c>
      <c r="CK28" s="67">
        <v>553.04999999999995</v>
      </c>
      <c r="CL28" s="71">
        <f t="shared" si="22"/>
        <v>449.99999999993179</v>
      </c>
      <c r="CM28" s="72">
        <v>25</v>
      </c>
      <c r="CN28" s="69">
        <v>0</v>
      </c>
      <c r="CO28" s="69">
        <v>0</v>
      </c>
    </row>
    <row r="29" spans="1:93" ht="25.5" customHeight="1" thickBot="1" x14ac:dyDescent="0.45">
      <c r="A29" s="70">
        <v>43947</v>
      </c>
      <c r="B29" s="48"/>
      <c r="C29" s="64">
        <v>1.6601999999999999</v>
      </c>
      <c r="D29" s="71">
        <f t="shared" si="3"/>
        <v>1599.9999999998238</v>
      </c>
      <c r="E29" s="64">
        <v>2.6791999999999998</v>
      </c>
      <c r="F29" s="71">
        <f t="shared" si="4"/>
        <v>899.99999999967883</v>
      </c>
      <c r="G29" s="64">
        <v>2.4902000000000002</v>
      </c>
      <c r="H29" s="71">
        <f t="shared" si="5"/>
        <v>1400.0000000002899</v>
      </c>
      <c r="I29" s="64">
        <v>1.1888000000000001</v>
      </c>
      <c r="J29" s="71">
        <f t="shared" si="43"/>
        <v>1300.0000000000789</v>
      </c>
      <c r="K29" s="64">
        <v>1.8223</v>
      </c>
      <c r="L29" s="71">
        <f t="shared" si="0"/>
        <v>2299.9999999999686</v>
      </c>
      <c r="M29" s="64">
        <v>1.1649</v>
      </c>
      <c r="N29" s="71">
        <f t="shared" si="6"/>
        <v>1200.0000000000898</v>
      </c>
      <c r="O29" s="64">
        <v>12541</v>
      </c>
      <c r="P29" s="72">
        <f t="shared" si="7"/>
        <v>0</v>
      </c>
      <c r="Q29" s="64">
        <v>5243</v>
      </c>
      <c r="R29" s="72">
        <f t="shared" si="8"/>
        <v>4</v>
      </c>
      <c r="S29" s="64">
        <v>824462</v>
      </c>
      <c r="T29" s="72">
        <f t="shared" si="44"/>
        <v>97</v>
      </c>
      <c r="U29" s="64">
        <v>333880</v>
      </c>
      <c r="V29" s="72">
        <f t="shared" si="10"/>
        <v>66</v>
      </c>
      <c r="W29" s="64">
        <v>325.83</v>
      </c>
      <c r="X29" s="72">
        <f t="shared" si="23"/>
        <v>219.99999999997044</v>
      </c>
      <c r="Y29" s="64">
        <v>2.3702000000000001</v>
      </c>
      <c r="Z29" s="72">
        <f t="shared" si="24"/>
        <v>500.00000000016701</v>
      </c>
      <c r="AA29" s="64">
        <v>323.48</v>
      </c>
      <c r="AB29" s="72">
        <f t="shared" si="25"/>
        <v>120.00000000000455</v>
      </c>
      <c r="AC29" s="64">
        <v>297.73</v>
      </c>
      <c r="AD29" s="72">
        <f t="shared" si="26"/>
        <v>340.00000000003183</v>
      </c>
      <c r="AE29" s="64">
        <v>464.54</v>
      </c>
      <c r="AF29" s="72">
        <f t="shared" si="27"/>
        <v>610.00000000001364</v>
      </c>
      <c r="AG29" s="64">
        <v>1191.2</v>
      </c>
      <c r="AH29" s="72">
        <f t="shared" si="11"/>
        <v>1.1000000000001364</v>
      </c>
      <c r="AI29" s="64">
        <v>408.17</v>
      </c>
      <c r="AJ29" s="72">
        <f t="shared" si="28"/>
        <v>319.99999999999318</v>
      </c>
      <c r="AK29" s="64">
        <v>145.09</v>
      </c>
      <c r="AL29" s="72">
        <f t="shared" si="12"/>
        <v>0.18000000000000682</v>
      </c>
      <c r="AM29" s="64">
        <v>146.09</v>
      </c>
      <c r="AN29" s="72">
        <f t="shared" si="13"/>
        <v>0.12999999999999545</v>
      </c>
      <c r="AO29" s="64">
        <v>142.68</v>
      </c>
      <c r="AP29" s="72">
        <f t="shared" si="14"/>
        <v>0.15000000000000568</v>
      </c>
      <c r="AQ29" s="64">
        <v>214.12</v>
      </c>
      <c r="AR29" s="72">
        <f t="shared" si="29"/>
        <v>110.00000000001364</v>
      </c>
      <c r="AS29" s="64">
        <v>340.6</v>
      </c>
      <c r="AT29" s="72">
        <f t="shared" si="30"/>
        <v>120.00000000000455</v>
      </c>
      <c r="AU29" s="64">
        <v>262.66000000000003</v>
      </c>
      <c r="AV29" s="72">
        <f t="shared" si="31"/>
        <v>100.00000000002274</v>
      </c>
      <c r="AW29" s="64">
        <v>290.25</v>
      </c>
      <c r="AX29" s="72">
        <f t="shared" si="32"/>
        <v>100.00000000002274</v>
      </c>
      <c r="AY29" s="64">
        <v>341.15</v>
      </c>
      <c r="AZ29" s="72">
        <f t="shared" si="33"/>
        <v>89.999999999974989</v>
      </c>
      <c r="BA29" s="64">
        <v>361.42</v>
      </c>
      <c r="BB29" s="72">
        <f t="shared" si="34"/>
        <v>100.00000000002274</v>
      </c>
      <c r="BC29" s="64">
        <v>203.13</v>
      </c>
      <c r="BD29" s="72">
        <f t="shared" si="35"/>
        <v>0</v>
      </c>
      <c r="BE29" s="66">
        <v>27773</v>
      </c>
      <c r="BF29" s="72">
        <f t="shared" si="15"/>
        <v>44</v>
      </c>
      <c r="BG29" s="67">
        <v>223.28</v>
      </c>
      <c r="BH29" s="72">
        <f t="shared" si="36"/>
        <v>39.999999999992042</v>
      </c>
      <c r="BI29" s="67">
        <v>280.88</v>
      </c>
      <c r="BJ29" s="72">
        <f t="shared" si="37"/>
        <v>40.000000000020464</v>
      </c>
      <c r="BK29" s="67">
        <v>228.88</v>
      </c>
      <c r="BL29" s="72">
        <f t="shared" si="38"/>
        <v>39.999999999992042</v>
      </c>
      <c r="BM29" s="67">
        <v>211.81</v>
      </c>
      <c r="BN29" s="72">
        <f t="shared" si="39"/>
        <v>50.000000000011369</v>
      </c>
      <c r="BO29" s="67">
        <v>276.02</v>
      </c>
      <c r="BP29" s="72">
        <f t="shared" si="40"/>
        <v>60.000000000002274</v>
      </c>
      <c r="BQ29" s="67">
        <v>37898</v>
      </c>
      <c r="BR29" s="72">
        <f t="shared" si="16"/>
        <v>26</v>
      </c>
      <c r="BS29" s="67">
        <v>192.24</v>
      </c>
      <c r="BT29" s="72">
        <f t="shared" si="41"/>
        <v>30.000000000001137</v>
      </c>
      <c r="BU29" s="67">
        <v>28895</v>
      </c>
      <c r="BV29" s="72">
        <f t="shared" si="1"/>
        <v>26</v>
      </c>
      <c r="BW29" s="67">
        <v>222.19</v>
      </c>
      <c r="BX29" s="72">
        <f t="shared" si="42"/>
        <v>39.999999999992042</v>
      </c>
      <c r="BY29" s="67">
        <v>47293</v>
      </c>
      <c r="BZ29" s="72">
        <f t="shared" si="17"/>
        <v>37</v>
      </c>
      <c r="CA29" s="67">
        <v>27500.7</v>
      </c>
      <c r="CB29" s="72">
        <f t="shared" si="18"/>
        <v>0</v>
      </c>
      <c r="CC29" s="67">
        <v>11250.4</v>
      </c>
      <c r="CD29" s="72">
        <f t="shared" si="19"/>
        <v>0</v>
      </c>
      <c r="CE29" s="67">
        <v>5487.5</v>
      </c>
      <c r="CF29" s="72">
        <f t="shared" si="20"/>
        <v>0</v>
      </c>
      <c r="CG29" s="67">
        <v>43124.6</v>
      </c>
      <c r="CH29" s="72">
        <f t="shared" si="21"/>
        <v>54.900000000001455</v>
      </c>
      <c r="CI29" s="67">
        <v>848847</v>
      </c>
      <c r="CJ29" s="72">
        <f t="shared" si="2"/>
        <v>223</v>
      </c>
      <c r="CK29" s="67">
        <v>553.38</v>
      </c>
      <c r="CL29" s="71">
        <f t="shared" si="22"/>
        <v>330.00000000004093</v>
      </c>
      <c r="CM29" s="72">
        <v>19.3</v>
      </c>
      <c r="CN29" s="69">
        <v>0</v>
      </c>
      <c r="CO29" s="69">
        <v>0</v>
      </c>
    </row>
    <row r="30" spans="1:93" ht="25.5" customHeight="1" thickBot="1" x14ac:dyDescent="0.45">
      <c r="A30" s="70">
        <v>43948</v>
      </c>
      <c r="B30" s="48"/>
      <c r="C30" s="64">
        <v>1.6617</v>
      </c>
      <c r="D30" s="71">
        <f t="shared" si="3"/>
        <v>1500.0000000000568</v>
      </c>
      <c r="E30" s="64">
        <v>2.68</v>
      </c>
      <c r="F30" s="71">
        <f t="shared" si="4"/>
        <v>800.00000000035595</v>
      </c>
      <c r="G30" s="64">
        <v>2.4918</v>
      </c>
      <c r="H30" s="71">
        <f t="shared" si="5"/>
        <v>1599.9999999998238</v>
      </c>
      <c r="I30" s="64">
        <v>1.1898</v>
      </c>
      <c r="J30" s="71">
        <f t="shared" si="43"/>
        <v>999.99999999988984</v>
      </c>
      <c r="K30" s="64">
        <v>1.8244</v>
      </c>
      <c r="L30" s="71">
        <f t="shared" si="0"/>
        <v>2099.9999999999909</v>
      </c>
      <c r="M30" s="64">
        <v>1.1657999999999999</v>
      </c>
      <c r="N30" s="71">
        <f t="shared" si="6"/>
        <v>899.99999999990087</v>
      </c>
      <c r="O30" s="64">
        <v>12541</v>
      </c>
      <c r="P30" s="72">
        <f t="shared" si="7"/>
        <v>0</v>
      </c>
      <c r="Q30" s="64">
        <v>5255</v>
      </c>
      <c r="R30" s="72">
        <f t="shared" si="8"/>
        <v>12</v>
      </c>
      <c r="S30" s="64">
        <v>824573</v>
      </c>
      <c r="T30" s="72">
        <f t="shared" si="44"/>
        <v>111</v>
      </c>
      <c r="U30" s="64">
        <v>333958</v>
      </c>
      <c r="V30" s="72">
        <f t="shared" si="10"/>
        <v>78</v>
      </c>
      <c r="W30" s="64">
        <v>326.05</v>
      </c>
      <c r="X30" s="72">
        <f t="shared" si="23"/>
        <v>220.00000000002728</v>
      </c>
      <c r="Y30" s="64">
        <v>2.3708</v>
      </c>
      <c r="Z30" s="72">
        <f t="shared" si="24"/>
        <v>599.99999999993395</v>
      </c>
      <c r="AA30" s="64">
        <v>323.61</v>
      </c>
      <c r="AB30" s="72">
        <f t="shared" si="25"/>
        <v>129.99999999999545</v>
      </c>
      <c r="AC30" s="64">
        <v>298.10000000000002</v>
      </c>
      <c r="AD30" s="72">
        <f t="shared" si="26"/>
        <v>370.00000000000455</v>
      </c>
      <c r="AE30" s="64">
        <v>465.24</v>
      </c>
      <c r="AF30" s="72">
        <f t="shared" si="27"/>
        <v>699.99999999998863</v>
      </c>
      <c r="AG30" s="64">
        <v>1192.4000000000001</v>
      </c>
      <c r="AH30" s="72">
        <f t="shared" si="11"/>
        <v>1.2000000000000455</v>
      </c>
      <c r="AI30" s="64">
        <v>408.45</v>
      </c>
      <c r="AJ30" s="72">
        <f t="shared" si="28"/>
        <v>279.99999999997272</v>
      </c>
      <c r="AK30" s="64">
        <v>145.31</v>
      </c>
      <c r="AL30" s="72">
        <f t="shared" si="12"/>
        <v>0.21999999999999886</v>
      </c>
      <c r="AM30" s="64">
        <v>146.24</v>
      </c>
      <c r="AN30" s="72">
        <f t="shared" si="13"/>
        <v>0.15000000000000568</v>
      </c>
      <c r="AO30" s="64">
        <v>142.79</v>
      </c>
      <c r="AP30" s="72">
        <f t="shared" si="14"/>
        <v>0.10999999999998522</v>
      </c>
      <c r="AQ30" s="64">
        <v>214.23</v>
      </c>
      <c r="AR30" s="72">
        <f t="shared" si="29"/>
        <v>109.99999999998522</v>
      </c>
      <c r="AS30" s="64">
        <v>340.73</v>
      </c>
      <c r="AT30" s="72">
        <f t="shared" si="30"/>
        <v>129.99999999999545</v>
      </c>
      <c r="AU30" s="64">
        <v>262.76</v>
      </c>
      <c r="AV30" s="72">
        <f t="shared" si="31"/>
        <v>99.999999999965894</v>
      </c>
      <c r="AW30" s="64">
        <v>290.35000000000002</v>
      </c>
      <c r="AX30" s="72">
        <f t="shared" si="32"/>
        <v>100.00000000002274</v>
      </c>
      <c r="AY30" s="64">
        <v>341.24</v>
      </c>
      <c r="AZ30" s="72">
        <f t="shared" si="33"/>
        <v>90.000000000031832</v>
      </c>
      <c r="BA30" s="64">
        <v>361.54</v>
      </c>
      <c r="BB30" s="72">
        <f t="shared" si="34"/>
        <v>120.00000000000455</v>
      </c>
      <c r="BC30" s="64">
        <v>203.15</v>
      </c>
      <c r="BD30" s="72">
        <f t="shared" si="35"/>
        <v>20.000000000010232</v>
      </c>
      <c r="BE30" s="66">
        <v>27806</v>
      </c>
      <c r="BF30" s="72">
        <f t="shared" si="15"/>
        <v>33</v>
      </c>
      <c r="BG30" s="67">
        <v>223.32</v>
      </c>
      <c r="BH30" s="72">
        <f t="shared" si="36"/>
        <v>39.999999999992042</v>
      </c>
      <c r="BI30" s="67">
        <v>280.93</v>
      </c>
      <c r="BJ30" s="72">
        <f t="shared" si="37"/>
        <v>50.000000000011369</v>
      </c>
      <c r="BK30" s="67">
        <v>228.92</v>
      </c>
      <c r="BL30" s="72">
        <f t="shared" si="38"/>
        <v>39.999999999992042</v>
      </c>
      <c r="BM30" s="67">
        <v>211.85</v>
      </c>
      <c r="BN30" s="72">
        <f t="shared" si="39"/>
        <v>39.999999999992042</v>
      </c>
      <c r="BO30" s="67">
        <v>276.08</v>
      </c>
      <c r="BP30" s="72">
        <f t="shared" si="40"/>
        <v>60.000000000002274</v>
      </c>
      <c r="BQ30" s="67">
        <v>37922</v>
      </c>
      <c r="BR30" s="72">
        <f t="shared" si="16"/>
        <v>24</v>
      </c>
      <c r="BS30" s="67">
        <v>192.26</v>
      </c>
      <c r="BT30" s="72">
        <f t="shared" si="41"/>
        <v>19.99999999998181</v>
      </c>
      <c r="BU30" s="67">
        <v>28922</v>
      </c>
      <c r="BV30" s="72">
        <f t="shared" si="1"/>
        <v>27</v>
      </c>
      <c r="BW30" s="67">
        <v>222.23</v>
      </c>
      <c r="BX30" s="72">
        <f t="shared" si="42"/>
        <v>39.999999999992042</v>
      </c>
      <c r="BY30" s="67">
        <v>47334</v>
      </c>
      <c r="BZ30" s="72">
        <f t="shared" si="17"/>
        <v>41</v>
      </c>
      <c r="CA30" s="67">
        <v>27500.7</v>
      </c>
      <c r="CB30" s="72">
        <f t="shared" si="18"/>
        <v>0</v>
      </c>
      <c r="CC30" s="67">
        <v>11250.4</v>
      </c>
      <c r="CD30" s="72">
        <f t="shared" si="19"/>
        <v>0</v>
      </c>
      <c r="CE30" s="67">
        <v>5487.5</v>
      </c>
      <c r="CF30" s="72">
        <f t="shared" si="20"/>
        <v>0</v>
      </c>
      <c r="CG30" s="67">
        <v>43182.6</v>
      </c>
      <c r="CH30" s="72">
        <f t="shared" si="21"/>
        <v>58</v>
      </c>
      <c r="CI30" s="67">
        <v>849078</v>
      </c>
      <c r="CJ30" s="72">
        <f t="shared" si="2"/>
        <v>231</v>
      </c>
      <c r="CK30" s="67">
        <v>553.80999999999995</v>
      </c>
      <c r="CL30" s="71">
        <f t="shared" si="22"/>
        <v>429.99999999994998</v>
      </c>
      <c r="CM30" s="72">
        <v>32.5</v>
      </c>
      <c r="CN30" s="69">
        <v>0</v>
      </c>
      <c r="CO30" s="69">
        <v>0</v>
      </c>
    </row>
    <row r="31" spans="1:93" ht="25.5" customHeight="1" thickBot="1" x14ac:dyDescent="0.45">
      <c r="A31" s="70">
        <v>43949</v>
      </c>
      <c r="B31" s="73"/>
      <c r="C31" s="64">
        <v>1.6633</v>
      </c>
      <c r="D31" s="71">
        <f t="shared" si="3"/>
        <v>1600.0000000000459</v>
      </c>
      <c r="E31" s="64">
        <v>2.6808999999999998</v>
      </c>
      <c r="F31" s="71">
        <f t="shared" si="4"/>
        <v>899.99999999967883</v>
      </c>
      <c r="G31" s="64">
        <v>2.4940000000000002</v>
      </c>
      <c r="H31" s="71">
        <f t="shared" si="5"/>
        <v>2200.0000000002019</v>
      </c>
      <c r="I31" s="64">
        <v>1.1913</v>
      </c>
      <c r="J31" s="71">
        <f t="shared" si="43"/>
        <v>1500.0000000000568</v>
      </c>
      <c r="K31" s="64">
        <v>1.8266</v>
      </c>
      <c r="L31" s="71">
        <f t="shared" si="0"/>
        <v>2199.9999999999795</v>
      </c>
      <c r="M31" s="64">
        <v>1.1674</v>
      </c>
      <c r="N31" s="71">
        <f t="shared" si="6"/>
        <v>1600.0000000000459</v>
      </c>
      <c r="O31" s="64">
        <v>12541</v>
      </c>
      <c r="P31" s="74">
        <f t="shared" si="7"/>
        <v>0</v>
      </c>
      <c r="Q31" s="64">
        <v>5260</v>
      </c>
      <c r="R31" s="74">
        <f t="shared" si="8"/>
        <v>5</v>
      </c>
      <c r="S31" s="64">
        <v>824811</v>
      </c>
      <c r="T31" s="74">
        <f t="shared" si="44"/>
        <v>238</v>
      </c>
      <c r="U31" s="64">
        <v>334127</v>
      </c>
      <c r="V31" s="74">
        <f t="shared" si="10"/>
        <v>169</v>
      </c>
      <c r="W31" s="64">
        <v>326.27</v>
      </c>
      <c r="X31" s="72">
        <f t="shared" si="23"/>
        <v>219.99999999997044</v>
      </c>
      <c r="Y31" s="64">
        <v>2.3715000000000002</v>
      </c>
      <c r="Z31" s="72">
        <f t="shared" si="24"/>
        <v>700.00000000014495</v>
      </c>
      <c r="AA31" s="64">
        <v>323.74</v>
      </c>
      <c r="AB31" s="72">
        <f t="shared" si="25"/>
        <v>129.99999999999545</v>
      </c>
      <c r="AC31" s="64">
        <v>298.42</v>
      </c>
      <c r="AD31" s="72">
        <f t="shared" si="26"/>
        <v>319.99999999999318</v>
      </c>
      <c r="AE31" s="64">
        <v>465.83</v>
      </c>
      <c r="AF31" s="72">
        <f t="shared" si="27"/>
        <v>589.99999999997499</v>
      </c>
      <c r="AG31" s="64">
        <v>1193.5999999999999</v>
      </c>
      <c r="AH31" s="74">
        <f t="shared" si="11"/>
        <v>1.1999999999998181</v>
      </c>
      <c r="AI31" s="64">
        <v>408.72</v>
      </c>
      <c r="AJ31" s="72">
        <f t="shared" si="28"/>
        <v>270.00000000003865</v>
      </c>
      <c r="AK31" s="64">
        <v>145.49</v>
      </c>
      <c r="AL31" s="72">
        <f t="shared" si="12"/>
        <v>0.18000000000000682</v>
      </c>
      <c r="AM31" s="64">
        <v>146.36000000000001</v>
      </c>
      <c r="AN31" s="72">
        <f t="shared" si="13"/>
        <v>0.12000000000000455</v>
      </c>
      <c r="AO31" s="64">
        <v>142.88999999999999</v>
      </c>
      <c r="AP31" s="72">
        <f t="shared" si="14"/>
        <v>9.9999999999994316E-2</v>
      </c>
      <c r="AQ31" s="64">
        <v>214.34</v>
      </c>
      <c r="AR31" s="72">
        <f t="shared" si="29"/>
        <v>110.00000000001364</v>
      </c>
      <c r="AS31" s="64">
        <v>340.83</v>
      </c>
      <c r="AT31" s="72">
        <f t="shared" si="30"/>
        <v>99.999999999965894</v>
      </c>
      <c r="AU31" s="64">
        <v>262.85000000000002</v>
      </c>
      <c r="AV31" s="72">
        <f t="shared" si="31"/>
        <v>90.000000000031832</v>
      </c>
      <c r="AW31" s="64">
        <v>290.44</v>
      </c>
      <c r="AX31" s="72">
        <f t="shared" si="32"/>
        <v>89.999999999974989</v>
      </c>
      <c r="AY31" s="64">
        <v>341.36</v>
      </c>
      <c r="AZ31" s="72">
        <f t="shared" si="33"/>
        <v>120.00000000000455</v>
      </c>
      <c r="BA31" s="64">
        <v>361.64</v>
      </c>
      <c r="BB31" s="72">
        <f t="shared" si="34"/>
        <v>99.999999999965894</v>
      </c>
      <c r="BC31" s="64">
        <v>203.16</v>
      </c>
      <c r="BD31" s="72">
        <f t="shared" si="35"/>
        <v>9.9999999999909051</v>
      </c>
      <c r="BE31" s="66">
        <v>27841</v>
      </c>
      <c r="BF31" s="74">
        <f t="shared" si="15"/>
        <v>35</v>
      </c>
      <c r="BG31" s="67">
        <v>223.36</v>
      </c>
      <c r="BH31" s="72">
        <f t="shared" si="36"/>
        <v>40.000000000020464</v>
      </c>
      <c r="BI31" s="67">
        <v>280.97000000000003</v>
      </c>
      <c r="BJ31" s="72">
        <f t="shared" si="37"/>
        <v>40.000000000020464</v>
      </c>
      <c r="BK31" s="67">
        <v>228.96</v>
      </c>
      <c r="BL31" s="72">
        <f t="shared" si="38"/>
        <v>40.000000000020464</v>
      </c>
      <c r="BM31" s="67">
        <v>211.89</v>
      </c>
      <c r="BN31" s="72">
        <f t="shared" si="39"/>
        <v>39.999999999992042</v>
      </c>
      <c r="BO31" s="67">
        <v>276.13</v>
      </c>
      <c r="BP31" s="72">
        <f t="shared" si="40"/>
        <v>50.000000000011369</v>
      </c>
      <c r="BQ31" s="67">
        <v>37945</v>
      </c>
      <c r="BR31" s="72">
        <f t="shared" si="16"/>
        <v>23</v>
      </c>
      <c r="BS31" s="67">
        <v>192.29</v>
      </c>
      <c r="BT31" s="72">
        <f t="shared" si="41"/>
        <v>30.000000000001137</v>
      </c>
      <c r="BU31" s="67">
        <v>28946</v>
      </c>
      <c r="BV31" s="72">
        <f t="shared" si="1"/>
        <v>24</v>
      </c>
      <c r="BW31" s="67">
        <v>222.27</v>
      </c>
      <c r="BX31" s="72">
        <f t="shared" si="42"/>
        <v>40.000000000020464</v>
      </c>
      <c r="BY31" s="67">
        <v>47373</v>
      </c>
      <c r="BZ31" s="72">
        <f t="shared" si="17"/>
        <v>39</v>
      </c>
      <c r="CA31" s="67">
        <v>27500.7</v>
      </c>
      <c r="CB31" s="74">
        <f t="shared" si="18"/>
        <v>0</v>
      </c>
      <c r="CC31" s="67">
        <v>11250.4</v>
      </c>
      <c r="CD31" s="74">
        <f t="shared" si="19"/>
        <v>0</v>
      </c>
      <c r="CE31" s="67">
        <v>5487.5</v>
      </c>
      <c r="CF31" s="74">
        <f t="shared" si="20"/>
        <v>0</v>
      </c>
      <c r="CG31" s="67">
        <v>43262.9</v>
      </c>
      <c r="CH31" s="74">
        <f t="shared" si="21"/>
        <v>80.30000000000291</v>
      </c>
      <c r="CI31" s="67">
        <v>849295</v>
      </c>
      <c r="CJ31" s="74">
        <f t="shared" si="2"/>
        <v>217</v>
      </c>
      <c r="CK31" s="67">
        <v>554.22</v>
      </c>
      <c r="CL31" s="71">
        <f t="shared" si="22"/>
        <v>410.00000000008185</v>
      </c>
      <c r="CM31" s="72">
        <v>31.4</v>
      </c>
      <c r="CN31" s="69">
        <v>0</v>
      </c>
      <c r="CO31" s="69">
        <v>0</v>
      </c>
    </row>
    <row r="32" spans="1:93" ht="25.5" customHeight="1" thickBot="1" x14ac:dyDescent="0.45">
      <c r="A32" s="70">
        <v>43950</v>
      </c>
      <c r="B32" s="75"/>
      <c r="C32" s="64"/>
      <c r="D32" s="71" t="str">
        <f t="shared" si="3"/>
        <v>0</v>
      </c>
      <c r="E32" s="64"/>
      <c r="F32" s="71" t="str">
        <f t="shared" si="4"/>
        <v>0</v>
      </c>
      <c r="G32" s="64"/>
      <c r="H32" s="71" t="str">
        <f t="shared" si="5"/>
        <v>0</v>
      </c>
      <c r="I32" s="64"/>
      <c r="J32" s="71" t="str">
        <f t="shared" si="43"/>
        <v>0</v>
      </c>
      <c r="K32" s="64"/>
      <c r="L32" s="71" t="str">
        <f t="shared" si="0"/>
        <v>0</v>
      </c>
      <c r="M32" s="64"/>
      <c r="N32" s="71" t="str">
        <f t="shared" si="6"/>
        <v/>
      </c>
      <c r="O32" s="64"/>
      <c r="P32" s="74" t="str">
        <f t="shared" si="7"/>
        <v/>
      </c>
      <c r="Q32" s="64"/>
      <c r="R32" s="74" t="str">
        <f t="shared" si="8"/>
        <v/>
      </c>
      <c r="S32" s="64"/>
      <c r="T32" s="74" t="str">
        <f t="shared" si="44"/>
        <v/>
      </c>
      <c r="U32" s="64"/>
      <c r="V32" s="74" t="str">
        <f t="shared" si="10"/>
        <v/>
      </c>
      <c r="W32" s="64"/>
      <c r="X32" s="72" t="str">
        <f t="shared" si="23"/>
        <v/>
      </c>
      <c r="Y32" s="64"/>
      <c r="Z32" s="72" t="str">
        <f t="shared" si="24"/>
        <v/>
      </c>
      <c r="AA32" s="64"/>
      <c r="AB32" s="72" t="str">
        <f t="shared" si="25"/>
        <v/>
      </c>
      <c r="AC32" s="64"/>
      <c r="AD32" s="72" t="str">
        <f t="shared" si="26"/>
        <v/>
      </c>
      <c r="AE32" s="64"/>
      <c r="AF32" s="72" t="str">
        <f t="shared" si="27"/>
        <v/>
      </c>
      <c r="AG32" s="64"/>
      <c r="AH32" s="74" t="str">
        <f t="shared" si="11"/>
        <v/>
      </c>
      <c r="AI32" s="64"/>
      <c r="AJ32" s="72" t="str">
        <f t="shared" si="28"/>
        <v/>
      </c>
      <c r="AK32" s="64"/>
      <c r="AL32" s="72" t="str">
        <f t="shared" si="12"/>
        <v/>
      </c>
      <c r="AM32" s="64"/>
      <c r="AN32" s="72" t="str">
        <f t="shared" si="13"/>
        <v/>
      </c>
      <c r="AO32" s="64"/>
      <c r="AP32" s="72" t="str">
        <f t="shared" si="14"/>
        <v/>
      </c>
      <c r="AQ32" s="64"/>
      <c r="AR32" s="72" t="str">
        <f t="shared" si="29"/>
        <v/>
      </c>
      <c r="AS32" s="64"/>
      <c r="AT32" s="72" t="str">
        <f t="shared" si="30"/>
        <v/>
      </c>
      <c r="AU32" s="64"/>
      <c r="AV32" s="72" t="str">
        <f t="shared" si="31"/>
        <v/>
      </c>
      <c r="AW32" s="64"/>
      <c r="AX32" s="72" t="str">
        <f t="shared" si="32"/>
        <v/>
      </c>
      <c r="AY32" s="64"/>
      <c r="AZ32" s="72" t="str">
        <f t="shared" si="33"/>
        <v/>
      </c>
      <c r="BA32" s="64"/>
      <c r="BB32" s="72" t="str">
        <f t="shared" si="34"/>
        <v/>
      </c>
      <c r="BC32" s="64"/>
      <c r="BD32" s="72" t="str">
        <f t="shared" si="35"/>
        <v/>
      </c>
      <c r="BE32" s="66"/>
      <c r="BF32" s="74" t="str">
        <f t="shared" si="15"/>
        <v/>
      </c>
      <c r="BG32" s="67"/>
      <c r="BH32" s="72" t="str">
        <f t="shared" si="36"/>
        <v/>
      </c>
      <c r="BI32" s="67"/>
      <c r="BJ32" s="72" t="str">
        <f t="shared" si="37"/>
        <v/>
      </c>
      <c r="BK32" s="67"/>
      <c r="BL32" s="72" t="str">
        <f t="shared" si="38"/>
        <v/>
      </c>
      <c r="BM32" s="67"/>
      <c r="BN32" s="72" t="str">
        <f t="shared" si="39"/>
        <v/>
      </c>
      <c r="BO32" s="67"/>
      <c r="BP32" s="72" t="str">
        <f t="shared" si="40"/>
        <v/>
      </c>
      <c r="BQ32" s="67"/>
      <c r="BR32" s="72" t="str">
        <f t="shared" si="16"/>
        <v/>
      </c>
      <c r="BS32" s="67"/>
      <c r="BT32" s="72" t="str">
        <f t="shared" si="41"/>
        <v/>
      </c>
      <c r="BU32" s="67"/>
      <c r="BV32" s="72" t="str">
        <f t="shared" si="1"/>
        <v/>
      </c>
      <c r="BW32" s="67"/>
      <c r="BX32" s="72" t="str">
        <f t="shared" si="42"/>
        <v/>
      </c>
      <c r="BY32" s="67"/>
      <c r="BZ32" s="72" t="str">
        <f t="shared" si="17"/>
        <v/>
      </c>
      <c r="CA32" s="67"/>
      <c r="CB32" s="74" t="str">
        <f t="shared" si="18"/>
        <v/>
      </c>
      <c r="CC32" s="67"/>
      <c r="CD32" s="74" t="str">
        <f t="shared" si="19"/>
        <v/>
      </c>
      <c r="CE32" s="67"/>
      <c r="CF32" s="74" t="str">
        <f t="shared" si="20"/>
        <v/>
      </c>
      <c r="CG32" s="67"/>
      <c r="CH32" s="74" t="str">
        <f t="shared" si="21"/>
        <v/>
      </c>
      <c r="CI32" s="67"/>
      <c r="CJ32" s="74" t="str">
        <f t="shared" si="2"/>
        <v/>
      </c>
      <c r="CK32" s="67"/>
      <c r="CL32" s="71" t="str">
        <f t="shared" si="22"/>
        <v/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149</v>
      </c>
      <c r="AX35" s="72">
        <f t="shared" si="32"/>
        <v>0</v>
      </c>
      <c r="BF35" s="76">
        <f>SUM(BF4:BF33)</f>
        <v>897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7" zoomScaleNormal="100" workbookViewId="0">
      <selection activeCell="Q43" sqref="Q4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>
        <v>0</v>
      </c>
      <c r="C24" s="44">
        <v>0</v>
      </c>
      <c r="D24" s="44">
        <v>0</v>
      </c>
      <c r="E24" s="45">
        <v>15</v>
      </c>
      <c r="F24" s="45">
        <v>4775</v>
      </c>
      <c r="G24" s="45">
        <v>0</v>
      </c>
      <c r="H24" s="45">
        <v>1374</v>
      </c>
      <c r="I24" s="45">
        <v>85</v>
      </c>
      <c r="J24" s="45">
        <v>273</v>
      </c>
      <c r="K24" s="46">
        <v>85</v>
      </c>
      <c r="L24" s="46">
        <v>45</v>
      </c>
      <c r="M24" s="46">
        <v>1152</v>
      </c>
      <c r="N24" s="43">
        <v>85</v>
      </c>
      <c r="O24" s="43">
        <v>0</v>
      </c>
      <c r="P24" s="43">
        <v>54</v>
      </c>
      <c r="Q24" s="43">
        <v>2325</v>
      </c>
    </row>
    <row r="25" spans="1:17" x14ac:dyDescent="0.25">
      <c r="A25" s="27">
        <v>43938</v>
      </c>
      <c r="B25" s="44">
        <v>0</v>
      </c>
      <c r="C25" s="44">
        <v>0</v>
      </c>
      <c r="D25" s="44">
        <v>0</v>
      </c>
      <c r="E25" s="45">
        <v>15</v>
      </c>
      <c r="F25" s="45">
        <v>4775</v>
      </c>
      <c r="G25" s="45">
        <v>0</v>
      </c>
      <c r="H25" s="45">
        <v>1374</v>
      </c>
      <c r="I25" s="45">
        <v>85</v>
      </c>
      <c r="J25" s="45">
        <v>273</v>
      </c>
      <c r="K25" s="46">
        <v>85</v>
      </c>
      <c r="L25" s="46">
        <v>45</v>
      </c>
      <c r="M25" s="46">
        <v>1152</v>
      </c>
      <c r="N25" s="43">
        <v>85</v>
      </c>
      <c r="O25" s="43">
        <v>0</v>
      </c>
      <c r="P25" s="43">
        <v>50</v>
      </c>
      <c r="Q25" s="43">
        <v>2329</v>
      </c>
    </row>
    <row r="26" spans="1:17" x14ac:dyDescent="0.25">
      <c r="A26" s="27">
        <v>43939</v>
      </c>
      <c r="B26" s="44">
        <v>0</v>
      </c>
      <c r="C26" s="44">
        <v>0</v>
      </c>
      <c r="D26" s="44">
        <v>0</v>
      </c>
      <c r="E26" s="45">
        <v>15</v>
      </c>
      <c r="F26" s="45">
        <v>4775</v>
      </c>
      <c r="G26" s="45">
        <v>0</v>
      </c>
      <c r="H26" s="45">
        <v>1374</v>
      </c>
      <c r="I26" s="45">
        <v>85</v>
      </c>
      <c r="J26" s="45">
        <v>273</v>
      </c>
      <c r="K26" s="46">
        <v>85</v>
      </c>
      <c r="L26" s="46">
        <v>45</v>
      </c>
      <c r="M26" s="46">
        <v>1152</v>
      </c>
      <c r="N26" s="43">
        <v>85</v>
      </c>
      <c r="O26" s="43">
        <v>0</v>
      </c>
      <c r="P26" s="43">
        <v>45</v>
      </c>
      <c r="Q26" s="43">
        <v>2333</v>
      </c>
    </row>
    <row r="27" spans="1:17" x14ac:dyDescent="0.25">
      <c r="A27" s="27">
        <v>43940</v>
      </c>
      <c r="B27" s="44">
        <v>0</v>
      </c>
      <c r="C27" s="44">
        <v>0</v>
      </c>
      <c r="D27" s="44">
        <v>0</v>
      </c>
      <c r="E27" s="45">
        <v>15</v>
      </c>
      <c r="F27" s="45">
        <v>4775</v>
      </c>
      <c r="G27" s="45">
        <v>0</v>
      </c>
      <c r="H27" s="45">
        <v>1374</v>
      </c>
      <c r="I27" s="45">
        <v>85</v>
      </c>
      <c r="J27" s="45">
        <v>273</v>
      </c>
      <c r="K27" s="46">
        <v>85</v>
      </c>
      <c r="L27" s="46">
        <v>45</v>
      </c>
      <c r="M27" s="46">
        <v>1152</v>
      </c>
      <c r="N27" s="43">
        <v>85</v>
      </c>
      <c r="O27" s="43">
        <v>0</v>
      </c>
      <c r="P27" s="43">
        <v>44</v>
      </c>
      <c r="Q27" s="43">
        <v>2337</v>
      </c>
    </row>
    <row r="28" spans="1:17" x14ac:dyDescent="0.25">
      <c r="A28" s="27">
        <v>43941</v>
      </c>
      <c r="B28" s="44">
        <v>0</v>
      </c>
      <c r="C28" s="44">
        <v>0</v>
      </c>
      <c r="D28" s="44">
        <v>0</v>
      </c>
      <c r="E28" s="45">
        <v>15</v>
      </c>
      <c r="F28" s="45">
        <v>4775</v>
      </c>
      <c r="G28" s="45">
        <v>0</v>
      </c>
      <c r="H28" s="45">
        <v>1374</v>
      </c>
      <c r="I28" s="45">
        <v>85</v>
      </c>
      <c r="J28" s="45">
        <v>273</v>
      </c>
      <c r="K28" s="46">
        <v>85</v>
      </c>
      <c r="L28" s="46">
        <v>45</v>
      </c>
      <c r="M28" s="46">
        <v>1152</v>
      </c>
      <c r="N28" s="43">
        <v>85</v>
      </c>
      <c r="O28" s="43">
        <v>0</v>
      </c>
      <c r="P28" s="43">
        <v>39</v>
      </c>
      <c r="Q28" s="43">
        <v>2341</v>
      </c>
    </row>
    <row r="29" spans="1:17" x14ac:dyDescent="0.25">
      <c r="A29" s="27">
        <v>43942</v>
      </c>
      <c r="B29" s="44">
        <v>0</v>
      </c>
      <c r="C29" s="44">
        <v>0</v>
      </c>
      <c r="D29" s="44">
        <v>0</v>
      </c>
      <c r="E29" s="45">
        <v>15</v>
      </c>
      <c r="F29" s="45">
        <v>4775</v>
      </c>
      <c r="G29" s="45">
        <v>0</v>
      </c>
      <c r="H29" s="45">
        <v>1374</v>
      </c>
      <c r="I29" s="45">
        <v>85</v>
      </c>
      <c r="J29" s="45">
        <v>273</v>
      </c>
      <c r="K29" s="46">
        <v>85</v>
      </c>
      <c r="L29" s="46">
        <v>45</v>
      </c>
      <c r="M29" s="46">
        <v>1152</v>
      </c>
      <c r="N29" s="43">
        <v>85</v>
      </c>
      <c r="O29" s="43">
        <v>0</v>
      </c>
      <c r="P29" s="43">
        <v>30</v>
      </c>
      <c r="Q29" s="43">
        <v>2345</v>
      </c>
    </row>
    <row r="30" spans="1:17" x14ac:dyDescent="0.25">
      <c r="A30" s="27">
        <v>43943</v>
      </c>
      <c r="B30" s="44">
        <v>0</v>
      </c>
      <c r="C30" s="44">
        <v>0</v>
      </c>
      <c r="D30" s="44">
        <v>0</v>
      </c>
      <c r="E30" s="45">
        <v>15</v>
      </c>
      <c r="F30" s="45">
        <v>4775</v>
      </c>
      <c r="G30" s="45">
        <v>0</v>
      </c>
      <c r="H30" s="45">
        <v>1374</v>
      </c>
      <c r="I30" s="45">
        <v>85</v>
      </c>
      <c r="J30" s="45">
        <v>273</v>
      </c>
      <c r="K30" s="46">
        <v>85</v>
      </c>
      <c r="L30" s="46">
        <v>45</v>
      </c>
      <c r="M30" s="46">
        <v>1152</v>
      </c>
      <c r="N30" s="43">
        <v>85</v>
      </c>
      <c r="O30" s="43">
        <v>0</v>
      </c>
      <c r="P30" s="43">
        <v>29</v>
      </c>
      <c r="Q30" s="43">
        <v>2349</v>
      </c>
    </row>
    <row r="31" spans="1:17" x14ac:dyDescent="0.25">
      <c r="A31" s="27">
        <v>43944</v>
      </c>
      <c r="B31" s="44">
        <v>0</v>
      </c>
      <c r="C31" s="44">
        <v>0</v>
      </c>
      <c r="D31" s="44">
        <v>0</v>
      </c>
      <c r="E31" s="45">
        <v>15</v>
      </c>
      <c r="F31" s="45">
        <v>4775</v>
      </c>
      <c r="G31" s="45">
        <v>0</v>
      </c>
      <c r="H31" s="45">
        <v>1374</v>
      </c>
      <c r="I31" s="45">
        <v>85</v>
      </c>
      <c r="J31" s="45">
        <v>273</v>
      </c>
      <c r="K31" s="46">
        <v>85</v>
      </c>
      <c r="L31" s="46">
        <v>45</v>
      </c>
      <c r="M31" s="46">
        <v>1152</v>
      </c>
      <c r="N31" s="43">
        <v>85</v>
      </c>
      <c r="O31" s="43">
        <v>0</v>
      </c>
      <c r="P31" s="43">
        <v>20</v>
      </c>
      <c r="Q31" s="43">
        <v>2354</v>
      </c>
    </row>
    <row r="32" spans="1:17" x14ac:dyDescent="0.25">
      <c r="A32" s="27">
        <v>43945</v>
      </c>
      <c r="B32" s="44">
        <v>0</v>
      </c>
      <c r="C32" s="44">
        <v>0</v>
      </c>
      <c r="D32" s="44">
        <v>0</v>
      </c>
      <c r="E32" s="45">
        <v>15</v>
      </c>
      <c r="F32" s="45">
        <v>4775</v>
      </c>
      <c r="G32" s="45">
        <v>0</v>
      </c>
      <c r="H32" s="45">
        <v>1374</v>
      </c>
      <c r="I32" s="45">
        <v>85</v>
      </c>
      <c r="J32" s="45">
        <v>273</v>
      </c>
      <c r="K32" s="46">
        <v>85</v>
      </c>
      <c r="L32" s="46">
        <v>45</v>
      </c>
      <c r="M32" s="46">
        <v>1152</v>
      </c>
      <c r="N32" s="43">
        <v>85</v>
      </c>
      <c r="O32" s="43">
        <v>0</v>
      </c>
      <c r="P32" s="43">
        <v>18</v>
      </c>
      <c r="Q32" s="43">
        <v>2359</v>
      </c>
    </row>
    <row r="33" spans="1:17" x14ac:dyDescent="0.25">
      <c r="A33" s="27">
        <v>43946</v>
      </c>
      <c r="B33" s="44">
        <v>0</v>
      </c>
      <c r="C33" s="44">
        <v>0</v>
      </c>
      <c r="D33" s="44">
        <v>0</v>
      </c>
      <c r="E33" s="45">
        <v>15</v>
      </c>
      <c r="F33" s="45">
        <v>4775</v>
      </c>
      <c r="G33" s="45">
        <v>0</v>
      </c>
      <c r="H33" s="45">
        <v>1374</v>
      </c>
      <c r="I33" s="45">
        <v>85</v>
      </c>
      <c r="J33" s="45">
        <v>273</v>
      </c>
      <c r="K33" s="46">
        <v>85</v>
      </c>
      <c r="L33" s="46">
        <v>45</v>
      </c>
      <c r="M33" s="46">
        <v>1152</v>
      </c>
      <c r="N33" s="43">
        <v>85</v>
      </c>
      <c r="O33" s="43">
        <v>0</v>
      </c>
      <c r="P33" s="43">
        <v>15</v>
      </c>
      <c r="Q33" s="43">
        <v>2363</v>
      </c>
    </row>
    <row r="34" spans="1:17" x14ac:dyDescent="0.25">
      <c r="A34" s="27">
        <v>43947</v>
      </c>
      <c r="B34" s="44">
        <v>0</v>
      </c>
      <c r="C34" s="44">
        <v>0</v>
      </c>
      <c r="D34" s="44">
        <v>0</v>
      </c>
      <c r="E34" s="45">
        <v>15</v>
      </c>
      <c r="F34" s="45">
        <v>4775</v>
      </c>
      <c r="G34" s="45">
        <v>0</v>
      </c>
      <c r="H34" s="45">
        <v>1374</v>
      </c>
      <c r="I34" s="45">
        <v>85</v>
      </c>
      <c r="J34" s="45">
        <v>273</v>
      </c>
      <c r="K34" s="46">
        <v>85</v>
      </c>
      <c r="L34" s="46">
        <v>45</v>
      </c>
      <c r="M34" s="46">
        <v>1152</v>
      </c>
      <c r="N34" s="43">
        <v>85</v>
      </c>
      <c r="O34" s="43">
        <v>0</v>
      </c>
      <c r="P34" s="43">
        <v>10</v>
      </c>
      <c r="Q34" s="43">
        <v>2367</v>
      </c>
    </row>
    <row r="35" spans="1:17" x14ac:dyDescent="0.25">
      <c r="A35" s="27">
        <v>43948</v>
      </c>
      <c r="B35" s="44">
        <v>0</v>
      </c>
      <c r="C35" s="44">
        <v>0</v>
      </c>
      <c r="D35" s="44">
        <v>0</v>
      </c>
      <c r="E35" s="45">
        <v>15</v>
      </c>
      <c r="F35" s="45">
        <v>4775</v>
      </c>
      <c r="G35" s="45">
        <v>0</v>
      </c>
      <c r="H35" s="45">
        <v>1374</v>
      </c>
      <c r="I35" s="45">
        <v>85</v>
      </c>
      <c r="J35" s="45">
        <v>273</v>
      </c>
      <c r="K35" s="46">
        <v>85</v>
      </c>
      <c r="L35" s="46">
        <v>45</v>
      </c>
      <c r="M35" s="46">
        <v>1152</v>
      </c>
      <c r="N35" s="43">
        <v>85</v>
      </c>
      <c r="O35" s="43">
        <v>0</v>
      </c>
      <c r="P35" s="43">
        <v>7</v>
      </c>
      <c r="Q35" s="43">
        <v>2371</v>
      </c>
    </row>
    <row r="36" spans="1:17" x14ac:dyDescent="0.25">
      <c r="A36" s="27">
        <v>43949</v>
      </c>
      <c r="B36" s="44">
        <v>0</v>
      </c>
      <c r="C36" s="44">
        <v>0</v>
      </c>
      <c r="D36" s="44">
        <v>0</v>
      </c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>
        <v>0</v>
      </c>
      <c r="C37" s="44">
        <v>0</v>
      </c>
      <c r="D37" s="44">
        <v>0</v>
      </c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>
        <v>0</v>
      </c>
      <c r="C38" s="44">
        <v>0</v>
      </c>
      <c r="D38" s="44">
        <v>0</v>
      </c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>
        <v>0</v>
      </c>
      <c r="C39" s="44">
        <v>0</v>
      </c>
      <c r="D39" s="44">
        <v>0</v>
      </c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2020-04-29T09:48:22Z</dcterms:modified>
</cp:coreProperties>
</file>