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5" i="1"/>
  <c r="S25"/>
  <c r="E20" i="3" l="1"/>
  <c r="E21"/>
  <c r="M19" i="12"/>
  <c r="M20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Q24" s="1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8" l="1"/>
  <c r="J24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2" i="23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Y23"/>
  <c r="T23"/>
  <c r="T19"/>
  <c r="Y19" s="1"/>
  <c r="Y15"/>
  <c r="T15"/>
  <c r="T11"/>
  <c r="Y11" s="1"/>
  <c r="Y7"/>
  <c r="T7"/>
  <c r="T12"/>
  <c r="Y12" s="1"/>
  <c r="Y32"/>
  <c r="T32"/>
  <c r="T28"/>
  <c r="Y28" s="1"/>
  <c r="Y20"/>
  <c r="T20"/>
  <c r="T16"/>
  <c r="Y16" s="1"/>
  <c r="Y8"/>
  <c r="T8"/>
  <c r="T33"/>
  <c r="Y33" s="1"/>
  <c r="Y29"/>
  <c r="T29"/>
  <c r="T25"/>
  <c r="Y25" s="1"/>
  <c r="Y21"/>
  <c r="T21"/>
  <c r="T17"/>
  <c r="Y17" s="1"/>
  <c r="Y13"/>
  <c r="T13"/>
  <c r="T9"/>
  <c r="Y9" s="1"/>
  <c r="Y5"/>
  <c r="T5"/>
  <c r="T34"/>
  <c r="Y34" s="1"/>
  <c r="Y30"/>
  <c r="T30"/>
  <c r="T26"/>
  <c r="Y26" s="1"/>
  <c r="Y22"/>
  <c r="T22"/>
  <c r="T18"/>
  <c r="Y18" s="1"/>
  <c r="Y14"/>
  <c r="T14"/>
  <c r="T10"/>
  <c r="Y10" s="1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<sst xmlns="http://schemas.openxmlformats.org/spreadsheetml/2006/main" count="578" uniqueCount="345">
  <si>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</si>
  <si>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</si>
  <si>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</si>
  <si>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</si>
  <si>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</si>
  <si>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</si>
  <si>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</si>
  <si>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</si>
  <si>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</si>
  <si>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</si>
  <si>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</si>
  <si>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</si>
  <si>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</si>
  <si>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</si>
  <si>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</si>
  <si>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</si>
  <si>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</si>
  <si>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</si>
  <si>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</si>
  <si>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</si>
  <si>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</si>
  <si>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</si>
  <si>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</si>
  <si>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</si>
  <si>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</si>
  <si>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</si>
  <si>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</si>
  <si>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</si>
  <si>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</si>
  <si>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</si>
  <si>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</si>
  <si>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</si>
  <si>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</si>
  <si>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</si>
  <si>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</si>
  <si>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</si>
  <si>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</si>
  <si>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</si>
  <si>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</si>
  <si>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</si>
  <si>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</si>
  <si>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</si>
  <si>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</si>
  <si>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</si>
  <si>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</si>
  <si>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</si>
  <si>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</si>
  <si>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</si>
  <si>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</si>
  <si>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</si>
  <si>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</si>
  <si>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</si>
  <si>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</si>
  <si>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</si>
  <si>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</si>
  <si>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</si>
  <si>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</si>
  <si>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</si>
  <si>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</si>
  <si>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</si>
  <si>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</si>
  <si>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</si>
  <si>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</si>
  <si>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</si>
  <si>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</si>
  <si>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</si>
  <si>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</si>
  <si>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</si>
  <si>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</si>
  <si>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</si>
  <si>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</si>
  <si>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</si>
  <si>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</si>
  <si>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</si>
  <si>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</si>
  <si>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</si>
  <si>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</si>
  <si>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</si>
  <si>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</si>
  <si>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</si>
  <si>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</si>
  <si>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</si>
  <si>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</si>
  <si>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</si>
  <si>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</si>
  <si>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</si>
  <si>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</si>
  <si>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</si>
  <si>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</si>
  <si>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</si>
  <si>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</si>
  <si>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</si>
  <si>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</si>
  <si>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</si>
  <si>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</si>
  <si>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</si>
  <si>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</si>
  <si>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</si>
  <si>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</si>
  <si>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</si>
  <si>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</si>
  <si>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</si>
  <si>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</si>
  <si>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</si>
  <si>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</si>
  <si>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</si>
  <si>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</si>
  <si>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</si>
  <si>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</si>
  <si>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</si>
  <si>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</si>
  <si>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</si>
  <si>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</si>
  <si>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</si>
  <si>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</si>
  <si>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</si>
  <si>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</si>
  <si>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</si>
  <si>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</si>
  <si>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</si>
  <si>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</si>
  <si>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</si>
  <si>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</si>
  <si>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</si>
  <si>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</si>
  <si>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</si>
  <si>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</si>
  <si>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</si>
  <si>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</si>
  <si>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</si>
  <si>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</si>
  <si>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</si>
  <si>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</si>
  <si>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</si>
  <si>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</si>
  <si>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</si>
  <si>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</si>
  <si>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</si>
  <si>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</si>
  <si>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</si>
  <si>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</si>
  <si>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</si>
  <si>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</si>
  <si>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</si>
  <si>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</si>
  <si>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</si>
  <si>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</si>
  <si>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</si>
  <si>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</si>
  <si>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</si>
  <si>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</si>
  <si>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</si>
  <si>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</si>
  <si>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</si>
  <si>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</si>
  <si>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</si>
  <si>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</si>
  <si>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</si>
  <si>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</si>
  <si>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</si>
  <si>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</si>
  <si>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</si>
  <si>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</si>
  <si>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</si>
  <si>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</si>
  <si>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</si>
  <si>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</si>
  <si>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</si>
  <si>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</si>
  <si>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</si>
  <si>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</si>
  <si>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</si>
  <si>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</si>
  <si>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</si>
  <si>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</si>
  <si>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</si>
  <si>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</si>
  <si>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</si>
  <si>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</si>
  <si>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</si>
  <si>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</si>
  <si>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</si>
  <si>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</si>
  <si>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</si>
  <si>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</si>
  <si>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</si>
  <si>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</si>
  <si>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</si>
  <si>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</si>
  <si>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</si>
  <si>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</si>
  <si>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</si>
  <si>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</si>
  <si>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</si>
  <si>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</si>
  <si>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</si>
  <si>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</si>
  <si>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</si>
  <si>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</si>
  <si>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</si>
  <si>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</si>
  <si>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</si>
  <si>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</si>
  <si>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</si>
  <si>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</si>
  <si>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</si>
  <si>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</si>
  <si>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</si>
  <si>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</si>
  <si>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</si>
  <si>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</si>
  <si>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</si>
  <si>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</si>
  <si>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</si>
  <si>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</si>
  <si>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</si>
  <si>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</si>
  <si>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</si>
  <si>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</si>
  <si>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</si>
  <si>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</si>
  <si>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</si>
  <si>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</si>
  <si>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</si>
  <si>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</si>
  <si>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</si>
  <si>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</si>
  <si>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</si>
  <si>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</si>
  <si>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</si>
  <si>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</si>
  <si>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</si>
  <si>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</si>
  <si>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</si>
  <si>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</si>
  <si>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</si>
  <si>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</si>
  <si>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</si>
  <si>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</si>
  <si>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</si>
  <si>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</si>
  <si>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</si>
  <si>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</si>
  <si>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</si>
  <si>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</si>
  <si>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</si>
  <si>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</si>
  <si>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</si>
  <si>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</si>
  <si>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</si>
  <si>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</si>
  <si>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</si>
  <si>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</si>
  <si>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</si>
  <si>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</si>
  <si>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</si>
  <si>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</si>
  <si>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</si>
  <si>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</si>
  <si>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</si>
  <si>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</si>
  <si>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</si>
  <si>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</si>
  <si>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</si>
  <si>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</si>
  <si>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</si>
  <si>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</si>
  <si>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</si>
  <si>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</si>
  <si>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</si>
  <si>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</si>
  <si>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</si>
  <si>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</si>
  <si>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</si>
  <si>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</si>
  <si>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</si>
  <si>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</si>
  <si>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</si>
  <si>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</si>
  <si>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</si>
  <si>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</si>
  <si>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</si>
  <si>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</si>
  <si>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</si>
  <si>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</si>
  <si>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</si>
  <si>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</si>
  <si>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</si>
  <si>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</si>
  <si>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</si>
  <si>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</si>
  <si>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</si>
  <si>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</si>
  <si>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</si>
  <si>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</si>
  <si>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</si>
  <si>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</si>
  <si>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</si>
  <si>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</si>
  <si>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</si>
  <si>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</si>
  <si>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</si>
  <si>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</si>
  <si>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</si>
  <si>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</si>
  <si>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</si>
  <si>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</si>
  <si>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</si>
  <si>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</si>
  <si>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</si>
  <si>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</si>
  <si>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</si>
  <si>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</si>
  <si>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</si>
  <si>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</si>
  <si>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</si>
  <si>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</si>
  <si>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</si>
  <si>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</si>
  <si>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</si>
  <si>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</si>
  <si>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</si>
  <si>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</si>
  <si>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</si>
  <si>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</si>
  <si>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</si>
  <si>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</si>
  <si>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</si>
  <si>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</si>
  <si>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</si>
  <si>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</si>
  <si>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</si>
  <si>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</si>
  <si>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</si>
  <si>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</si>
  <si>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</si>
  <si>
    <t>T132CWQ</t>
  </si>
  <si>
    <t>Othuman</t>
  </si>
  <si>
    <t>T882DKQ</t>
  </si>
  <si>
    <t>Gudlack</t>
  </si>
  <si>
    <t>T391DKR</t>
  </si>
  <si>
    <t>Kaswa</t>
  </si>
  <si>
    <t>T840DDW</t>
  </si>
  <si>
    <t>Godlisen</t>
  </si>
  <si>
    <t xml:space="preserve">                                   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</si>
</sst>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2" fontId="64" fillId="0" borderId="0" xfId="0" applyNumberFormat="1" applyFont="1" applyFill="1" applyBorder="1" applyAlignment="1">
      <alignment horizontal="right"/>
    </xf>
    <xf numFmtId="0" fontId="49" fillId="0" borderId="43" xfId="0" applyFont="1" applyBorder="1" applyAlignment="1">
      <alignment horizontal="center" vertical="center" wrapText="1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3168</c:v>
                </c:pt>
                <c:pt idx="9">
                  <c:v>3237</c:v>
                </c:pt>
                <c:pt idx="10">
                  <c:v>3269</c:v>
                </c:pt>
                <c:pt idx="11">
                  <c:v>2665</c:v>
                </c:pt>
                <c:pt idx="12">
                  <c:v>2643</c:v>
                </c:pt>
                <c:pt idx="13">
                  <c:v>2618</c:v>
                </c:pt>
                <c:pt idx="14">
                  <c:v>2546</c:v>
                </c:pt>
                <c:pt idx="15">
                  <c:v>2694</c:v>
                </c:pt>
                <c:pt idx="16">
                  <c:v>2839</c:v>
                </c:pt>
                <c:pt idx="17">
                  <c:v>2733</c:v>
                </c:pt>
                <c:pt idx="18">
                  <c:v>2856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5268992"/>
        <c:axId val="13527488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5276416"/>
        <c:axId val="135277952"/>
      </c:lineChart>
      <c:catAx>
        <c:axId val="13526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74880"/>
        <c:crosses val="autoZero"/>
        <c:auto val="1"/>
        <c:lblAlgn val="ctr"/>
        <c:lblOffset val="100"/>
      </c:catAx>
      <c:valAx>
        <c:axId val="13527488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68992"/>
        <c:crosses val="autoZero"/>
        <c:crossBetween val="between"/>
        <c:majorUnit val="200"/>
      </c:valAx>
      <c:catAx>
        <c:axId val="135276416"/>
        <c:scaling>
          <c:orientation val="minMax"/>
        </c:scaling>
        <c:delete val="1"/>
        <c:axPos val="b"/>
        <c:tickLblPos val="none"/>
        <c:crossAx val="135277952"/>
        <c:crosses val="autoZero"/>
        <c:auto val="1"/>
        <c:lblAlgn val="ctr"/>
        <c:lblOffset val="100"/>
      </c:catAx>
      <c:valAx>
        <c:axId val="1352779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76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5320320"/>
        <c:axId val="13532185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5323648"/>
        <c:axId val="135325184"/>
      </c:lineChart>
      <c:catAx>
        <c:axId val="13532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21856"/>
        <c:crosses val="autoZero"/>
        <c:auto val="1"/>
        <c:lblAlgn val="ctr"/>
        <c:lblOffset val="100"/>
      </c:catAx>
      <c:valAx>
        <c:axId val="135321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20320"/>
        <c:crosses val="autoZero"/>
        <c:crossBetween val="between"/>
        <c:majorUnit val="200"/>
      </c:valAx>
      <c:catAx>
        <c:axId val="135323648"/>
        <c:scaling>
          <c:orientation val="minMax"/>
        </c:scaling>
        <c:delete val="1"/>
        <c:axPos val="b"/>
        <c:tickLblPos val="none"/>
        <c:crossAx val="135325184"/>
        <c:crosses val="autoZero"/>
        <c:auto val="1"/>
        <c:lblAlgn val="ctr"/>
        <c:lblOffset val="100"/>
      </c:catAx>
      <c:valAx>
        <c:axId val="1353251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23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5979392"/>
        <c:axId val="95980928"/>
      </c:lineChart>
      <c:catAx>
        <c:axId val="9597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80928"/>
        <c:crosses val="autoZero"/>
        <c:auto val="1"/>
        <c:lblAlgn val="ctr"/>
        <c:lblOffset val="200"/>
        <c:tickLblSkip val="1"/>
      </c:catAx>
      <c:valAx>
        <c:axId val="959809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7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6005504"/>
        <c:axId val="96429184"/>
      </c:lineChart>
      <c:catAx>
        <c:axId val="9600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29184"/>
        <c:crosses val="autoZero"/>
        <c:auto val="1"/>
        <c:lblAlgn val="ctr"/>
        <c:lblOffset val="100"/>
      </c:catAx>
      <c:valAx>
        <c:axId val="964291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0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5487104"/>
        <c:axId val="95489024"/>
      </c:lineChart>
      <c:catAx>
        <c:axId val="95487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89024"/>
        <c:crosses val="autoZero"/>
        <c:auto val="1"/>
        <c:lblAlgn val="ctr"/>
        <c:lblOffset val="100"/>
      </c:catAx>
      <c:valAx>
        <c:axId val="954890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871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5542656"/>
        <c:axId val="96458240"/>
      </c:lineChart>
      <c:catAx>
        <c:axId val="95542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58240"/>
        <c:crosses val="autoZero"/>
        <c:auto val="1"/>
        <c:lblAlgn val="ctr"/>
        <c:lblOffset val="100"/>
      </c:catAx>
      <c:valAx>
        <c:axId val="964582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426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-334806.56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7011584"/>
        <c:axId val="97013120"/>
      </c:lineChart>
      <c:catAx>
        <c:axId val="9701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13120"/>
        <c:crosses val="autoZero"/>
        <c:auto val="1"/>
        <c:lblAlgn val="ctr"/>
        <c:lblOffset val="100"/>
      </c:catAx>
      <c:valAx>
        <c:axId val="970131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1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7051008"/>
        <c:axId val="97052544"/>
      </c:lineChart>
      <c:catAx>
        <c:axId val="9705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52544"/>
        <c:crosses val="autoZero"/>
        <c:auto val="1"/>
        <c:lblAlgn val="ctr"/>
        <c:lblOffset val="100"/>
      </c:catAx>
      <c:valAx>
        <c:axId val="97052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5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7486336"/>
        <c:axId val="97487872"/>
      </c:lineChart>
      <c:catAx>
        <c:axId val="9748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87872"/>
        <c:crosses val="autoZero"/>
        <c:auto val="1"/>
        <c:lblAlgn val="ctr"/>
        <c:lblOffset val="100"/>
      </c:catAx>
      <c:valAx>
        <c:axId val="97487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8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034"/>
          <c:y val="7.471324705112199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7516544"/>
        <c:axId val="98259712"/>
      </c:lineChart>
      <c:catAx>
        <c:axId val="9751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59712"/>
        <c:crosses val="autoZero"/>
        <c:auto val="1"/>
        <c:lblAlgn val="ctr"/>
        <c:lblOffset val="200"/>
        <c:tickLblSkip val="1"/>
      </c:catAx>
      <c:valAx>
        <c:axId val="982597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1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8292864"/>
        <c:axId val="98294400"/>
      </c:lineChart>
      <c:catAx>
        <c:axId val="9829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94400"/>
        <c:crosses val="autoZero"/>
        <c:auto val="1"/>
        <c:lblAlgn val="ctr"/>
        <c:lblOffset val="100"/>
      </c:catAx>
      <c:valAx>
        <c:axId val="98294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9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8052736"/>
        <c:axId val="98099968"/>
      </c:lineChart>
      <c:catAx>
        <c:axId val="98052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99968"/>
        <c:crosses val="autoZero"/>
        <c:auto val="1"/>
        <c:lblAlgn val="ctr"/>
        <c:lblOffset val="100"/>
      </c:catAx>
      <c:valAx>
        <c:axId val="980999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527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8612352"/>
        <c:axId val="98614272"/>
      </c:lineChart>
      <c:catAx>
        <c:axId val="98612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14272"/>
        <c:crosses val="autoZero"/>
        <c:auto val="1"/>
        <c:lblAlgn val="ctr"/>
        <c:lblOffset val="100"/>
      </c:catAx>
      <c:valAx>
        <c:axId val="986142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123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8844032"/>
        <c:axId val="98849920"/>
      </c:lineChart>
      <c:catAx>
        <c:axId val="9884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49920"/>
        <c:crosses val="autoZero"/>
        <c:auto val="1"/>
        <c:lblAlgn val="ctr"/>
        <c:lblOffset val="100"/>
      </c:catAx>
      <c:valAx>
        <c:axId val="98849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4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8883456"/>
        <c:axId val="98884992"/>
      </c:lineChart>
      <c:catAx>
        <c:axId val="9888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84992"/>
        <c:crosses val="autoZero"/>
        <c:auto val="1"/>
        <c:lblAlgn val="ctr"/>
        <c:lblOffset val="100"/>
      </c:catAx>
      <c:valAx>
        <c:axId val="98884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8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9048448"/>
        <c:axId val="99058432"/>
      </c:lineChart>
      <c:catAx>
        <c:axId val="9904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58432"/>
        <c:crosses val="autoZero"/>
        <c:auto val="1"/>
        <c:lblAlgn val="ctr"/>
        <c:lblOffset val="100"/>
      </c:catAx>
      <c:valAx>
        <c:axId val="99058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4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411"/>
          <c:y val="7.471324705112238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9354496"/>
        <c:axId val="9935603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9361920"/>
        <c:axId val="99363456"/>
      </c:lineChart>
      <c:catAx>
        <c:axId val="993544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56032"/>
        <c:crosses val="autoZero"/>
        <c:lblAlgn val="ctr"/>
        <c:lblOffset val="100"/>
        <c:tickMarkSkip val="1"/>
      </c:catAx>
      <c:valAx>
        <c:axId val="993560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54496"/>
        <c:crosses val="autoZero"/>
        <c:crossBetween val="between"/>
      </c:valAx>
      <c:catAx>
        <c:axId val="99361920"/>
        <c:scaling>
          <c:orientation val="minMax"/>
        </c:scaling>
        <c:delete val="1"/>
        <c:axPos val="b"/>
        <c:numFmt formatCode="[$-409]d\-mmm\-yy;@" sourceLinked="1"/>
        <c:tickLblPos val="none"/>
        <c:crossAx val="99363456"/>
        <c:crosses val="autoZero"/>
        <c:lblAlgn val="ctr"/>
        <c:lblOffset val="100"/>
      </c:catAx>
      <c:valAx>
        <c:axId val="9936345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619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9404416"/>
        <c:axId val="99721600"/>
      </c:lineChart>
      <c:catAx>
        <c:axId val="9940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21600"/>
        <c:crosses val="autoZero"/>
        <c:auto val="1"/>
        <c:lblAlgn val="ctr"/>
        <c:lblOffset val="100"/>
      </c:catAx>
      <c:valAx>
        <c:axId val="9972160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0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9815808"/>
        <c:axId val="99817344"/>
      </c:lineChart>
      <c:catAx>
        <c:axId val="9981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17344"/>
        <c:crosses val="autoZero"/>
        <c:auto val="1"/>
        <c:lblAlgn val="ctr"/>
        <c:lblOffset val="100"/>
      </c:catAx>
      <c:valAx>
        <c:axId val="998173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1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9856768"/>
        <c:axId val="9985830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9859840"/>
        <c:axId val="95691904"/>
      </c:lineChart>
      <c:catAx>
        <c:axId val="998567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58304"/>
        <c:crosses val="autoZero"/>
        <c:lblAlgn val="ctr"/>
        <c:lblOffset val="100"/>
        <c:tickMarkSkip val="1"/>
      </c:catAx>
      <c:valAx>
        <c:axId val="99858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56768"/>
        <c:crosses val="autoZero"/>
        <c:crossBetween val="between"/>
      </c:valAx>
      <c:catAx>
        <c:axId val="99859840"/>
        <c:scaling>
          <c:orientation val="minMax"/>
        </c:scaling>
        <c:delete val="1"/>
        <c:axPos val="b"/>
        <c:numFmt formatCode="General" sourceLinked="1"/>
        <c:tickLblPos val="none"/>
        <c:crossAx val="95691904"/>
        <c:crosses val="autoZero"/>
        <c:lblAlgn val="ctr"/>
        <c:lblOffset val="100"/>
      </c:catAx>
      <c:valAx>
        <c:axId val="956919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598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5728384"/>
        <c:axId val="95729920"/>
      </c:lineChart>
      <c:catAx>
        <c:axId val="95728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29920"/>
        <c:crosses val="autoZero"/>
        <c:auto val="1"/>
        <c:lblAlgn val="ctr"/>
        <c:lblOffset val="100"/>
      </c:catAx>
      <c:valAx>
        <c:axId val="95729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2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02045952"/>
        <c:axId val="102064128"/>
      </c:lineChart>
      <c:catAx>
        <c:axId val="10204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64128"/>
        <c:crosses val="autoZero"/>
        <c:auto val="1"/>
        <c:lblAlgn val="ctr"/>
        <c:lblOffset val="100"/>
      </c:catAx>
      <c:valAx>
        <c:axId val="102064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4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5763840"/>
        <c:axId val="13576537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5779456"/>
        <c:axId val="135780992"/>
      </c:lineChart>
      <c:catAx>
        <c:axId val="1357638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5376"/>
        <c:crosses val="autoZero"/>
        <c:lblAlgn val="ctr"/>
        <c:lblOffset val="100"/>
        <c:tickMarkSkip val="1"/>
      </c:catAx>
      <c:valAx>
        <c:axId val="1357653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3840"/>
        <c:crosses val="autoZero"/>
        <c:crossBetween val="between"/>
      </c:valAx>
      <c:catAx>
        <c:axId val="135779456"/>
        <c:scaling>
          <c:orientation val="minMax"/>
        </c:scaling>
        <c:delete val="1"/>
        <c:axPos val="b"/>
        <c:numFmt formatCode="[$-409]d\-mmm\-yy;@" sourceLinked="1"/>
        <c:tickLblPos val="none"/>
        <c:crossAx val="135780992"/>
        <c:crosses val="autoZero"/>
        <c:lblAlgn val="ctr"/>
        <c:lblOffset val="100"/>
      </c:catAx>
      <c:valAx>
        <c:axId val="13578099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794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6290688"/>
        <c:axId val="1362922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6293760"/>
        <c:axId val="136311936"/>
      </c:lineChart>
      <c:catAx>
        <c:axId val="1362906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92224"/>
        <c:crosses val="autoZero"/>
        <c:lblAlgn val="ctr"/>
        <c:lblOffset val="100"/>
        <c:tickMarkSkip val="1"/>
      </c:catAx>
      <c:valAx>
        <c:axId val="136292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90688"/>
        <c:crosses val="autoZero"/>
        <c:crossBetween val="between"/>
      </c:valAx>
      <c:catAx>
        <c:axId val="136293760"/>
        <c:scaling>
          <c:orientation val="minMax"/>
        </c:scaling>
        <c:delete val="1"/>
        <c:axPos val="b"/>
        <c:numFmt formatCode="General" sourceLinked="1"/>
        <c:tickLblPos val="none"/>
        <c:crossAx val="136311936"/>
        <c:crosses val="autoZero"/>
        <c:lblAlgn val="ctr"/>
        <c:lblOffset val="100"/>
      </c:catAx>
      <c:valAx>
        <c:axId val="1363119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937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7682304"/>
        <c:axId val="13768409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7685632"/>
        <c:axId val="163451264"/>
      </c:lineChart>
      <c:catAx>
        <c:axId val="1376823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84096"/>
        <c:crosses val="autoZero"/>
        <c:lblAlgn val="ctr"/>
        <c:lblOffset val="100"/>
        <c:tickMarkSkip val="1"/>
      </c:catAx>
      <c:valAx>
        <c:axId val="1376840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82304"/>
        <c:crosses val="autoZero"/>
        <c:crossBetween val="between"/>
      </c:valAx>
      <c:catAx>
        <c:axId val="137685632"/>
        <c:scaling>
          <c:orientation val="minMax"/>
        </c:scaling>
        <c:delete val="1"/>
        <c:axPos val="b"/>
        <c:numFmt formatCode="[$-409]d\-mmm\-yy;@" sourceLinked="1"/>
        <c:tickLblPos val="none"/>
        <c:crossAx val="163451264"/>
        <c:crosses val="autoZero"/>
        <c:lblAlgn val="ctr"/>
        <c:lblOffset val="100"/>
      </c:catAx>
      <c:valAx>
        <c:axId val="1634512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856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3497856"/>
        <c:axId val="1634993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3501184"/>
        <c:axId val="163502720"/>
      </c:lineChart>
      <c:catAx>
        <c:axId val="1634978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99392"/>
        <c:crosses val="autoZero"/>
        <c:lblAlgn val="ctr"/>
        <c:lblOffset val="100"/>
        <c:tickMarkSkip val="1"/>
      </c:catAx>
      <c:valAx>
        <c:axId val="163499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97856"/>
        <c:crosses val="autoZero"/>
        <c:crossBetween val="between"/>
      </c:valAx>
      <c:catAx>
        <c:axId val="163501184"/>
        <c:scaling>
          <c:orientation val="minMax"/>
        </c:scaling>
        <c:delete val="1"/>
        <c:axPos val="b"/>
        <c:numFmt formatCode="General" sourceLinked="1"/>
        <c:tickLblPos val="none"/>
        <c:crossAx val="163502720"/>
        <c:crosses val="autoZero"/>
        <c:lblAlgn val="ctr"/>
        <c:lblOffset val="100"/>
      </c:catAx>
      <c:valAx>
        <c:axId val="1635027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011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4793344"/>
        <c:axId val="164811904"/>
      </c:lineChart>
      <c:catAx>
        <c:axId val="164793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11904"/>
        <c:crosses val="autoZero"/>
        <c:auto val="1"/>
        <c:lblAlgn val="ctr"/>
        <c:lblOffset val="100"/>
      </c:catAx>
      <c:valAx>
        <c:axId val="164811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933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4820480"/>
        <c:axId val="164822400"/>
      </c:lineChart>
      <c:catAx>
        <c:axId val="164820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22400"/>
        <c:crosses val="autoZero"/>
        <c:auto val="1"/>
        <c:lblAlgn val="ctr"/>
        <c:lblOffset val="100"/>
      </c:catAx>
      <c:valAx>
        <c:axId val="1648224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204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5478400"/>
        <c:axId val="165479936"/>
      </c:lineChart>
      <c:catAx>
        <c:axId val="16547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79936"/>
        <c:crosses val="autoZero"/>
        <c:auto val="1"/>
        <c:lblAlgn val="ctr"/>
        <c:lblOffset val="200"/>
        <c:tickLblSkip val="1"/>
      </c:catAx>
      <c:valAx>
        <c:axId val="1654799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7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5508608"/>
        <c:axId val="165510144"/>
      </c:lineChart>
      <c:catAx>
        <c:axId val="16550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10144"/>
        <c:crosses val="autoZero"/>
        <c:auto val="1"/>
        <c:lblAlgn val="ctr"/>
        <c:lblOffset val="100"/>
      </c:catAx>
      <c:valAx>
        <c:axId val="1655101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0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2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-334806.56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5534720"/>
        <c:axId val="165683968"/>
      </c:lineChart>
      <c:catAx>
        <c:axId val="16553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83968"/>
        <c:crosses val="autoZero"/>
        <c:auto val="1"/>
        <c:lblAlgn val="ctr"/>
        <c:lblOffset val="100"/>
      </c:catAx>
      <c:valAx>
        <c:axId val="165683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3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6531840"/>
        <c:axId val="166533760"/>
      </c:lineChart>
      <c:catAx>
        <c:axId val="166531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33760"/>
        <c:crosses val="autoZero"/>
        <c:auto val="1"/>
        <c:lblAlgn val="ctr"/>
        <c:lblOffset val="100"/>
      </c:catAx>
      <c:valAx>
        <c:axId val="1665337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318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6558720"/>
        <c:axId val="166724736"/>
      </c:lineChart>
      <c:catAx>
        <c:axId val="166558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24736"/>
        <c:crosses val="autoZero"/>
        <c:auto val="1"/>
        <c:lblAlgn val="ctr"/>
        <c:lblOffset val="100"/>
      </c:catAx>
      <c:valAx>
        <c:axId val="1667247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58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6741504"/>
        <c:axId val="166743040"/>
      </c:lineChart>
      <c:catAx>
        <c:axId val="16674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43040"/>
        <c:crosses val="autoZero"/>
        <c:auto val="1"/>
        <c:lblAlgn val="ctr"/>
        <c:lblOffset val="200"/>
        <c:tickLblSkip val="1"/>
      </c:catAx>
      <c:valAx>
        <c:axId val="1667430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4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6775808"/>
        <c:axId val="166781696"/>
      </c:lineChart>
      <c:catAx>
        <c:axId val="16677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81696"/>
        <c:crosses val="autoZero"/>
        <c:auto val="1"/>
        <c:lblAlgn val="ctr"/>
        <c:lblOffset val="100"/>
      </c:catAx>
      <c:valAx>
        <c:axId val="1667816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7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2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-334806.56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7219968"/>
        <c:axId val="167221504"/>
      </c:lineChart>
      <c:catAx>
        <c:axId val="16721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21504"/>
        <c:crosses val="autoZero"/>
        <c:auto val="1"/>
        <c:lblAlgn val="ctr"/>
        <c:lblOffset val="100"/>
      </c:catAx>
      <c:valAx>
        <c:axId val="167221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1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8311040"/>
        <c:axId val="168333696"/>
      </c:lineChart>
      <c:catAx>
        <c:axId val="168311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33696"/>
        <c:crosses val="autoZero"/>
        <c:auto val="1"/>
        <c:lblAlgn val="ctr"/>
        <c:lblOffset val="100"/>
      </c:catAx>
      <c:valAx>
        <c:axId val="1683336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110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7838464"/>
        <c:axId val="167840384"/>
      </c:lineChart>
      <c:catAx>
        <c:axId val="167838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40384"/>
        <c:crosses val="autoZero"/>
        <c:auto val="1"/>
        <c:lblAlgn val="ctr"/>
        <c:lblOffset val="100"/>
      </c:catAx>
      <c:valAx>
        <c:axId val="1678403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3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7877632"/>
        <c:axId val="167891712"/>
      </c:lineChart>
      <c:catAx>
        <c:axId val="16787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91712"/>
        <c:crosses val="autoZero"/>
        <c:auto val="1"/>
        <c:lblAlgn val="ctr"/>
        <c:lblOffset val="200"/>
        <c:tickLblSkip val="1"/>
      </c:catAx>
      <c:valAx>
        <c:axId val="1678917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7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8895232"/>
        <c:axId val="168896768"/>
      </c:lineChart>
      <c:catAx>
        <c:axId val="16889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96768"/>
        <c:crosses val="autoZero"/>
        <c:auto val="1"/>
        <c:lblAlgn val="ctr"/>
        <c:lblOffset val="100"/>
      </c:catAx>
      <c:valAx>
        <c:axId val="16889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9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41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8921344"/>
        <c:axId val="168689664"/>
      </c:lineChart>
      <c:catAx>
        <c:axId val="16892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89664"/>
        <c:crosses val="autoZero"/>
        <c:auto val="1"/>
        <c:lblAlgn val="ctr"/>
        <c:lblOffset val="100"/>
      </c:catAx>
      <c:valAx>
        <c:axId val="168689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2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8730624"/>
        <c:axId val="168732544"/>
      </c:lineChart>
      <c:catAx>
        <c:axId val="168730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32544"/>
        <c:crosses val="autoZero"/>
        <c:auto val="1"/>
        <c:lblAlgn val="ctr"/>
        <c:lblOffset val="100"/>
      </c:catAx>
      <c:valAx>
        <c:axId val="1687325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306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9437440"/>
        <c:axId val="169456000"/>
      </c:lineChart>
      <c:catAx>
        <c:axId val="169437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56000"/>
        <c:crosses val="autoZero"/>
        <c:auto val="1"/>
        <c:lblAlgn val="ctr"/>
        <c:lblOffset val="100"/>
      </c:catAx>
      <c:valAx>
        <c:axId val="1694560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374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9218816"/>
        <c:axId val="169220352"/>
      </c:lineChart>
      <c:catAx>
        <c:axId val="16921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20352"/>
        <c:crosses val="autoZero"/>
        <c:auto val="1"/>
        <c:lblAlgn val="ctr"/>
        <c:lblOffset val="200"/>
        <c:tickLblSkip val="1"/>
      </c:catAx>
      <c:valAx>
        <c:axId val="1692203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1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9244928"/>
        <c:axId val="169254912"/>
      </c:lineChart>
      <c:catAx>
        <c:axId val="16924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54912"/>
        <c:crosses val="autoZero"/>
        <c:auto val="1"/>
        <c:lblAlgn val="ctr"/>
        <c:lblOffset val="100"/>
      </c:catAx>
      <c:valAx>
        <c:axId val="169254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4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41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9746432"/>
        <c:axId val="169747968"/>
      </c:lineChart>
      <c:catAx>
        <c:axId val="16974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47968"/>
        <c:crosses val="autoZero"/>
        <c:auto val="1"/>
        <c:lblAlgn val="ctr"/>
        <c:lblOffset val="100"/>
      </c:catAx>
      <c:valAx>
        <c:axId val="169747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4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44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3168</v>
      </c>
      <c r="F11" s="418">
        <f>('UTILITY REPORT 1'!E12*'UTILITY REPORT 1'!D12)/'UTILITY REPORT 1'!F12</f>
        <v>0.39324810606060606</v>
      </c>
      <c r="G11" s="418">
        <f>IF('Utility summery'!M15&lt;0,"0",'Utility summery'!M15)</f>
        <v>88</v>
      </c>
      <c r="H11" s="423">
        <v>0</v>
      </c>
      <c r="I11" s="418">
        <f>IF('UTILITY REPORT 1'!G12&lt;0,"0",'UTILITY REPORT 1'!G12)</f>
        <v>46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3237</v>
      </c>
      <c r="F12" s="418">
        <f>('UTILITY REPORT 1'!E13*'UTILITY REPORT 1'!D13)/'UTILITY REPORT 1'!F13</f>
        <v>0.39665739882607354</v>
      </c>
      <c r="G12" s="418">
        <f>IF('Utility summery'!M16&lt;0,"0",'Utility summery'!M16)</f>
        <v>57.243999999976957</v>
      </c>
      <c r="H12" s="423">
        <v>0</v>
      </c>
      <c r="I12" s="418">
        <f>IF('UTILITY REPORT 1'!G13&lt;0,"0",'UTILITY REPORT 1'!G13)</f>
        <v>50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3269</v>
      </c>
      <c r="F13" s="418">
        <f>('UTILITY REPORT 1'!E14*'UTILITY REPORT 1'!D14)/'UTILITY REPORT 1'!F14</f>
        <v>0.35691342918323649</v>
      </c>
      <c r="G13" s="418">
        <f>IF('Utility summery'!M17&lt;0,"0",'Utility summery'!M17)</f>
        <v>64.328000000043545</v>
      </c>
      <c r="H13" s="423">
        <v>0</v>
      </c>
      <c r="I13" s="418">
        <f>IF('UTILITY REPORT 1'!G14&lt;0,"0",'UTILITY REPORT 1'!G14)</f>
        <v>61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2665</v>
      </c>
      <c r="F14" s="418">
        <f>('UTILITY REPORT 1'!E15*'UTILITY REPORT 1'!D15)/'UTILITY REPORT 1'!F15</f>
        <v>0.406656660412758</v>
      </c>
      <c r="G14" s="418">
        <f>IF('Utility summery'!M18&lt;0,"0",'Utility summery'!M18)</f>
        <v>63.227999999979517</v>
      </c>
      <c r="H14" s="423">
        <v>0</v>
      </c>
      <c r="I14" s="418">
        <f>IF('UTILITY REPORT 1'!G15&lt;0,"0",'UTILITY REPORT 1'!G15)</f>
        <v>181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2643</v>
      </c>
      <c r="F15" s="418">
        <f>('UTILITY REPORT 1'!E16*'UTILITY REPORT 1'!D16)/'UTILITY REPORT 1'!F16</f>
        <v>0.40256905032160423</v>
      </c>
      <c r="G15" s="418">
        <f>IF('Utility summery'!M19&lt;0,"0",'Utility summery'!M19)</f>
        <v>59.708000000030736</v>
      </c>
      <c r="H15" s="423">
        <v>0</v>
      </c>
      <c r="I15" s="418">
        <f>IF('UTILITY REPORT 1'!G16&lt;0,"0",'UTILITY REPORT 1'!G16)</f>
        <v>46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2618</v>
      </c>
      <c r="F16" s="418">
        <f>('UTILITY REPORT 1'!E17*'UTILITY REPORT 1'!D17)/'UTILITY REPORT 1'!F17</f>
        <v>0.4014820473644003</v>
      </c>
      <c r="G16" s="418">
        <f>IF('Utility summery'!M20&lt;0,"0",'Utility summery'!M20)</f>
        <v>59.091999999969268</v>
      </c>
      <c r="H16" s="423">
        <v>0</v>
      </c>
      <c r="I16" s="418">
        <f>IF('UTILITY REPORT 1'!G17&lt;0,"0",'UTILITY REPORT 1'!G17)</f>
        <v>47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2546</v>
      </c>
      <c r="F17" s="418">
        <f>('UTILITY REPORT 1'!E18*'UTILITY REPORT 1'!D18)/'UTILITY REPORT 1'!F18</f>
        <v>0.40802435192458758</v>
      </c>
      <c r="G17" s="418">
        <f>IF('Utility summery'!M21&lt;0,"0",'Utility summery'!M21)</f>
        <v>44</v>
      </c>
      <c r="H17" s="423">
        <v>0</v>
      </c>
      <c r="I17" s="418">
        <f>IF('UTILITY REPORT 1'!G18&lt;0,"0",'UTILITY REPORT 1'!G18)</f>
        <v>40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2694</v>
      </c>
      <c r="F18" s="418">
        <f>('UTILITY REPORT 1'!E19*'UTILITY REPORT 1'!D19)/'UTILITY REPORT 1'!F19</f>
        <v>0.40934669636228654</v>
      </c>
      <c r="G18" s="418">
        <f>IF('Utility summery'!M22&lt;0,"0",'Utility summery'!M22)</f>
        <v>56.847999999992318</v>
      </c>
      <c r="H18" s="423">
        <v>0</v>
      </c>
      <c r="I18" s="418">
        <f>IF('UTILITY REPORT 1'!G19&lt;0,"0",'UTILITY REPORT 1'!G19)</f>
        <v>52</v>
      </c>
      <c r="J18" s="423">
        <v>0</v>
      </c>
      <c r="K18" s="417">
        <f>'UTILITY REPORT 1'!C19</f>
        <v>6.49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2839</v>
      </c>
      <c r="F19" s="418">
        <f>('UTILITY REPORT 1'!E20*'UTILITY REPORT 1'!D20)/'UTILITY REPORT 1'!F20</f>
        <v>0.41046143008101443</v>
      </c>
      <c r="G19" s="418">
        <f>IF('Utility summery'!M23&lt;0,"0",'Utility summery'!M23)</f>
        <v>61.952000000007686</v>
      </c>
      <c r="H19" s="423">
        <v>0</v>
      </c>
      <c r="I19" s="418">
        <f>IF('UTILITY REPORT 1'!G20&lt;0,"0",'UTILITY REPORT 1'!G20)</f>
        <v>53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2733</v>
      </c>
      <c r="F20" s="418">
        <f>('UTILITY REPORT 1'!E21*'UTILITY REPORT 1'!D21)/'UTILITY REPORT 1'!F21</f>
        <v>0.42041712403951703</v>
      </c>
      <c r="G20" s="418">
        <f>IF('Utility summery'!M24&lt;0,"0",'Utility summery'!M24)</f>
        <v>67.804000000015378</v>
      </c>
      <c r="H20" s="423">
        <v>0</v>
      </c>
      <c r="I20" s="418">
        <f>IF('UTILITY REPORT 1'!G21&lt;0,"0",'UTILITY REPORT 1'!G21)</f>
        <v>58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2856</v>
      </c>
      <c r="F21" s="418">
        <f>('UTILITY REPORT 1'!E22*'UTILITY REPORT 1'!D22)/'UTILITY REPORT 1'!F22</f>
        <v>0.41581932773109243</v>
      </c>
      <c r="G21" s="418">
        <f>IF('Utility summery'!M25&lt;0,"0",'Utility summery'!M25)</f>
        <v>65.955999999959033</v>
      </c>
      <c r="H21" s="423">
        <v>0</v>
      </c>
      <c r="I21" s="418">
        <f>IF('UTILITY REPORT 1'!G22&lt;0,"0",'UTILITY REPORT 1'!G22)</f>
        <v>66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 t="str">
        <f>IF('Utility summery'!M26&lt;0,"0",'Utility summery'!M26)</f>
        <v>0</v>
      </c>
      <c r="H22" s="423">
        <v>0</v>
      </c>
      <c r="I22" s="418" t="str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119.14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112</v>
      </c>
      <c r="F11" s="456">
        <f>'UTILITY REPORT 1'!E12</f>
        <v>1245.81</v>
      </c>
      <c r="G11" s="457">
        <f>'UTILITY REPORT 1'!F12</f>
        <v>3168</v>
      </c>
      <c r="H11" s="456">
        <f>IF('Kit report'!F13&lt;0,"0",'Kit report'!F13)</f>
        <v>215.99999999991269</v>
      </c>
      <c r="I11" s="456">
        <f>IF('Kit report'!X13&lt;0,"0",'Kit report'!X13)</f>
        <v>260.00000000003638</v>
      </c>
      <c r="J11" s="456">
        <f>IF('Utility summery'!H15&lt;0,"0",'Utility summery'!H15)</f>
        <v>77</v>
      </c>
      <c r="K11" s="457">
        <f>IF('UTILITY REPORT 1'!H12&lt;0,"0",'UTILITY REPORT 1'!H12)</f>
        <v>0</v>
      </c>
      <c r="L11" s="456">
        <f>'Water-Meter'!K15</f>
        <v>2</v>
      </c>
      <c r="M11" s="457">
        <f>'Water-Meter'!H15</f>
        <v>0</v>
      </c>
      <c r="N11" s="457">
        <f>'Water-Meter'!Q15</f>
        <v>3</v>
      </c>
      <c r="O11" s="456" t="e">
        <f>K11*E11+H11*I11+#REF!*#REF!+J11*L11</f>
        <v>#REF!</v>
      </c>
      <c r="P11" s="462">
        <f>'Water-Meter'!E15</f>
        <v>46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27</v>
      </c>
      <c r="W11" s="30">
        <f>'Water-Meter'!AN15</f>
        <v>44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25</v>
      </c>
      <c r="F12" s="456">
        <f>'UTILITY REPORT 1'!E13</f>
        <v>1283.98</v>
      </c>
      <c r="G12" s="457">
        <f>'UTILITY REPORT 1'!F13</f>
        <v>3237</v>
      </c>
      <c r="H12" s="456">
        <f>IF('Kit report'!F14&lt;0,"0",'Kit report'!F14)</f>
        <v>216.00000000013097</v>
      </c>
      <c r="I12" s="456">
        <f>IF('Kit report'!X14&lt;0,"0",'Kit report'!X14)</f>
        <v>279.99999999992724</v>
      </c>
      <c r="J12" s="456">
        <f>IF('Utility summery'!H16&lt;0,"0",'Utility summery'!H16)</f>
        <v>50</v>
      </c>
      <c r="K12" s="457">
        <f>IF('UTILITY REPORT 1'!H13&lt;0,"0",'UTILITY REPORT 1'!H13)</f>
        <v>0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50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17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43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250.64</v>
      </c>
      <c r="F13" s="456">
        <f>'UTILITY REPORT 1'!E14</f>
        <v>1166.75</v>
      </c>
      <c r="G13" s="457">
        <f>'UTILITY REPORT 1'!F14</f>
        <v>3269</v>
      </c>
      <c r="H13" s="456">
        <f>IF('Kit report'!F15&lt;0,"0",'Kit report'!F15)</f>
        <v>240</v>
      </c>
      <c r="I13" s="456">
        <f>IF('Kit report'!X15&lt;0,"0",'Kit report'!X15)</f>
        <v>239.99999999996362</v>
      </c>
      <c r="J13" s="456">
        <f>IF('Utility summery'!H17&lt;0,"0",'Utility summery'!H17)</f>
        <v>46</v>
      </c>
      <c r="K13" s="457">
        <f>IF('UTILITY REPORT 1'!H14&lt;0,"0",'UTILITY REPORT 1'!H14)</f>
        <v>0</v>
      </c>
      <c r="L13" s="456">
        <f>'Water-Meter'!K17</f>
        <v>1</v>
      </c>
      <c r="M13" s="457">
        <f>'Water-Meter'!H17</f>
        <v>0</v>
      </c>
      <c r="N13" s="457">
        <f>'Water-Meter'!Q17</f>
        <v>6</v>
      </c>
      <c r="O13" s="456" t="e">
        <f>K13*E13+H13*I13+#REF!*#REF!+J13*L13</f>
        <v>#REF!</v>
      </c>
      <c r="P13" s="462">
        <f>'Water-Meter'!E17</f>
        <v>61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33</v>
      </c>
      <c r="W13" s="30">
        <f>'Water-Meter'!AN17</f>
        <v>49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22.54</v>
      </c>
      <c r="F14" s="456">
        <f>'UTILITY REPORT 1'!E15</f>
        <v>1083.74</v>
      </c>
      <c r="G14" s="457">
        <f>'UTILITY REPORT 1'!F15</f>
        <v>2665</v>
      </c>
      <c r="H14" s="456">
        <f>IF('Kit report'!F16&lt;0,"0",'Kit report'!F16)</f>
        <v>215.99999999991269</v>
      </c>
      <c r="I14" s="456">
        <f>IF('Kit report'!X16&lt;0,"0",'Kit report'!X16)</f>
        <v>300</v>
      </c>
      <c r="J14" s="456">
        <f>IF('Utility summery'!H18&lt;0,"0",'Utility summery'!H18)</f>
        <v>42</v>
      </c>
      <c r="K14" s="457" t="str">
        <f>IF('UTILITY REPORT 1'!H15&lt;0,"0",'UTILITY REPORT 1'!H15)</f>
        <v>0</v>
      </c>
      <c r="L14" s="456">
        <f>'Water-Meter'!K18</f>
        <v>1</v>
      </c>
      <c r="M14" s="457">
        <f>'Water-Meter'!H18</f>
        <v>0</v>
      </c>
      <c r="N14" s="457">
        <f>'Water-Meter'!Q18</f>
        <v>2</v>
      </c>
      <c r="O14" s="456" t="e">
        <f>K14*E14+H14*I14+#REF!*#REF!+J14*L14</f>
        <v>#REF!</v>
      </c>
      <c r="P14" s="462">
        <f>'Water-Meter'!E18</f>
        <v>181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16</v>
      </c>
      <c r="U14" s="242">
        <f>IF('Water-Meter'!AG18&lt;0,"0",'Water-Meter'!AG18)</f>
        <v>0</v>
      </c>
      <c r="V14" s="242">
        <f>IF('Water-Meter'!AJ18&lt;0,"0",'Water-Meter'!AJ18)</f>
        <v>29</v>
      </c>
      <c r="W14" s="30">
        <f>'Water-Meter'!AN18</f>
        <v>45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160.49</v>
      </c>
      <c r="F15" s="456">
        <f>'UTILITY REPORT 1'!E16</f>
        <v>1063.99</v>
      </c>
      <c r="G15" s="457">
        <f>'UTILITY REPORT 1'!F16</f>
        <v>2643</v>
      </c>
      <c r="H15" s="456">
        <f>IF('Kit report'!F17&lt;0,"0",'Kit report'!F17)</f>
        <v>227.99999999995634</v>
      </c>
      <c r="I15" s="456">
        <f>IF('Kit report'!X17&lt;0,"0",'Kit report'!X17)</f>
        <v>180.00000000010914</v>
      </c>
      <c r="J15" s="456">
        <f>IF('Utility summery'!H19&lt;0,"0",'Utility summery'!H19)</f>
        <v>44</v>
      </c>
      <c r="K15" s="457">
        <f>IF('UTILITY REPORT 1'!H16&lt;0,"0",'UTILITY REPORT 1'!H16)</f>
        <v>177</v>
      </c>
      <c r="L15" s="456">
        <f>'Water-Meter'!K19</f>
        <v>1</v>
      </c>
      <c r="M15" s="457">
        <f>'Water-Meter'!H19</f>
        <v>0</v>
      </c>
      <c r="N15" s="457">
        <f>'Water-Meter'!Q19</f>
        <v>2</v>
      </c>
      <c r="O15" s="456" t="e">
        <f>K15*E15+H15*I15+#REF!*#REF!+J15*L15</f>
        <v>#REF!</v>
      </c>
      <c r="P15" s="462">
        <f>'Water-Meter'!E19</f>
        <v>46</v>
      </c>
      <c r="Q15" s="242">
        <f>IF('Water-Meter'!U19&lt;0,"0",'Water-Meter'!U19)</f>
        <v>89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19</v>
      </c>
      <c r="W15" s="30">
        <f>'Water-Meter'!AN19</f>
        <v>125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101.91</v>
      </c>
      <c r="F16" s="456">
        <f>'UTILITY REPORT 1'!E17</f>
        <v>1051.08</v>
      </c>
      <c r="G16" s="457">
        <f>'UTILITY REPORT 1'!F17</f>
        <v>2618</v>
      </c>
      <c r="H16" s="456">
        <f>IF('Kit report'!F18&lt;0,"0",'Kit report'!F18)</f>
        <v>216.00000000013097</v>
      </c>
      <c r="I16" s="456">
        <f>IF('Kit report'!X18&lt;0,"0",'Kit report'!X18)</f>
        <v>300</v>
      </c>
      <c r="J16" s="456">
        <f>IF('Utility summery'!H20&lt;0,"0",'Utility summery'!H20)</f>
        <v>45</v>
      </c>
      <c r="K16" s="457">
        <f>IF('UTILITY REPORT 1'!H17&lt;0,"0",'UTILITY REPORT 1'!H17)</f>
        <v>35</v>
      </c>
      <c r="L16" s="456">
        <f>'Water-Meter'!K20</f>
        <v>1</v>
      </c>
      <c r="M16" s="457">
        <f>'Water-Meter'!H20</f>
        <v>0</v>
      </c>
      <c r="N16" s="457">
        <f>'Water-Meter'!Q20</f>
        <v>5</v>
      </c>
      <c r="O16" s="456" t="e">
        <f>K16*E16+H16*I16+#REF!*#REF!+J16*L16</f>
        <v>#REF!</v>
      </c>
      <c r="P16" s="462">
        <f>'Water-Meter'!E20</f>
        <v>47</v>
      </c>
      <c r="Q16" s="242">
        <f>IF('Water-Meter'!U20&lt;0,"0",'Water-Meter'!U20)</f>
        <v>82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39</v>
      </c>
      <c r="W16" s="30">
        <f>'Water-Meter'!AN20</f>
        <v>137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1038.83</v>
      </c>
      <c r="G17" s="457">
        <f>'UTILITY REPORT 1'!F18</f>
        <v>2546</v>
      </c>
      <c r="H17" s="456">
        <f>IF('Kit report'!F19&lt;0,"0",'Kit report'!F19)</f>
        <v>203.99999999986903</v>
      </c>
      <c r="I17" s="456">
        <f>IF('Kit report'!X19&lt;0,"0",'Kit report'!X19)</f>
        <v>200</v>
      </c>
      <c r="J17" s="456">
        <f>IF('Utility summery'!H21&lt;0,"0",'Utility summery'!H21)</f>
        <v>42</v>
      </c>
      <c r="K17" s="457">
        <f>IF('UTILITY REPORT 1'!H18&lt;0,"0",'UTILITY REPORT 1'!H18)</f>
        <v>38</v>
      </c>
      <c r="L17" s="456">
        <f>'Water-Meter'!K21</f>
        <v>2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40</v>
      </c>
      <c r="Q17" s="242">
        <f>IF('Water-Meter'!U21&lt;0,"0",'Water-Meter'!U21)</f>
        <v>82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17</v>
      </c>
      <c r="U17" s="242">
        <f>IF('Water-Meter'!AG21&lt;0,"0",'Water-Meter'!AG21)</f>
        <v>0</v>
      </c>
      <c r="V17" s="242">
        <f>IF('Water-Meter'!AJ21&lt;0,"0",'Water-Meter'!AJ21)</f>
        <v>29</v>
      </c>
      <c r="W17" s="30">
        <f>'Water-Meter'!AN21</f>
        <v>128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146.31</v>
      </c>
      <c r="F18" s="456">
        <f>'UTILITY REPORT 1'!E19</f>
        <v>1102.78</v>
      </c>
      <c r="G18" s="457">
        <f>'UTILITY REPORT 1'!F19</f>
        <v>2694</v>
      </c>
      <c r="H18" s="456">
        <f>IF('Kit report'!F20&lt;0,"0",'Kit report'!F20)</f>
        <v>240</v>
      </c>
      <c r="I18" s="456">
        <f>IF('Kit report'!X20&lt;0,"0",'Kit report'!X20)</f>
        <v>159.99999999985448</v>
      </c>
      <c r="J18" s="456">
        <f>IF('Utility summery'!H22&lt;0,"0",'Utility summery'!H22)</f>
        <v>45</v>
      </c>
      <c r="K18" s="457">
        <f>IF('UTILITY REPORT 1'!H19&lt;0,"0",'UTILITY REPORT 1'!H19)</f>
        <v>38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52</v>
      </c>
      <c r="Q18" s="242">
        <f>IF('Water-Meter'!U22&lt;0,"0",'Water-Meter'!U22)</f>
        <v>81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16</v>
      </c>
      <c r="U18" s="242">
        <f>IF('Water-Meter'!AG22&lt;0,"0",'Water-Meter'!AG22)</f>
        <v>0</v>
      </c>
      <c r="V18" s="242">
        <f>IF('Water-Meter'!AJ22&lt;0,"0",'Water-Meter'!AJ22)</f>
        <v>28</v>
      </c>
      <c r="W18" s="30">
        <f>'Water-Meter'!AN22</f>
        <v>125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1165.3</v>
      </c>
      <c r="G19" s="457">
        <f>'UTILITY REPORT 1'!F20</f>
        <v>2839</v>
      </c>
      <c r="H19" s="456">
        <f>IF('Kit report'!F21&lt;0,"0",'Kit report'!F21)</f>
        <v>252.00000000004366</v>
      </c>
      <c r="I19" s="456">
        <f>IF('Kit report'!X21&lt;0,"0",'Kit report'!X21)</f>
        <v>280.00000000010914</v>
      </c>
      <c r="J19" s="456">
        <f>IF('Utility summery'!H23&lt;0,"0",'Utility summery'!H23)</f>
        <v>46</v>
      </c>
      <c r="K19" s="457">
        <f>IF('UTILITY REPORT 1'!H20&lt;0,"0",'UTILITY REPORT 1'!H20)</f>
        <v>38</v>
      </c>
      <c r="L19" s="456">
        <f>'Water-Meter'!K23</f>
        <v>1</v>
      </c>
      <c r="M19" s="457">
        <f>'Water-Meter'!H23</f>
        <v>0</v>
      </c>
      <c r="N19" s="457">
        <f>'Water-Meter'!Q23</f>
        <v>4</v>
      </c>
      <c r="O19" s="456" t="e">
        <f>K19*E19+H19*I19+#REF!*#REF!+J19*L19</f>
        <v>#REF!</v>
      </c>
      <c r="P19" s="462">
        <f>'Water-Meter'!E23</f>
        <v>53</v>
      </c>
      <c r="Q19" s="242">
        <f>IF('Water-Meter'!U23&lt;0,"0",'Water-Meter'!U23)</f>
        <v>81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27</v>
      </c>
      <c r="W19" s="30">
        <f>'Water-Meter'!AN23</f>
        <v>125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346.21000000000004</v>
      </c>
      <c r="F20" s="456">
        <f>'UTILITY REPORT 1'!E21</f>
        <v>1149</v>
      </c>
      <c r="G20" s="457">
        <f>'UTILITY REPORT 1'!F21</f>
        <v>2733</v>
      </c>
      <c r="H20" s="456">
        <f>IF('Kit report'!F22&lt;0,"0",'Kit report'!F22)</f>
        <v>252.00000000004366</v>
      </c>
      <c r="I20" s="456">
        <f>IF('Kit report'!X22&lt;0,"0",'Kit report'!X22)</f>
        <v>260.00000000003638</v>
      </c>
      <c r="J20" s="456">
        <f>IF('Utility summery'!H24&lt;0,"0",'Utility summery'!H24)</f>
        <v>49</v>
      </c>
      <c r="K20" s="457">
        <f>IF('UTILITY REPORT 1'!H21&lt;0,"0",'UTILITY REPORT 1'!H21)</f>
        <v>37</v>
      </c>
      <c r="L20" s="456">
        <f>'Water-Meter'!K24</f>
        <v>1</v>
      </c>
      <c r="M20" s="457">
        <f>'Water-Meter'!H24</f>
        <v>0</v>
      </c>
      <c r="N20" s="457">
        <f>'Water-Meter'!Q24</f>
        <v>4</v>
      </c>
      <c r="O20" s="456" t="e">
        <f>K20*E20+H20*I20+#REF!*#REF!+J20*L20</f>
        <v>#REF!</v>
      </c>
      <c r="P20" s="462">
        <f>'Water-Meter'!E24</f>
        <v>58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16</v>
      </c>
      <c r="U20" s="242">
        <f>IF('Water-Meter'!AG24&lt;0,"0",'Water-Meter'!AG24)</f>
        <v>0</v>
      </c>
      <c r="V20" s="242">
        <f>IF('Water-Meter'!AJ24&lt;0,"0",'Water-Meter'!AJ24)</f>
        <v>30</v>
      </c>
      <c r="W20" s="30">
        <f>'Water-Meter'!AN24</f>
        <v>46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67.459999999999994</v>
      </c>
      <c r="F21" s="456">
        <f>'UTILITY REPORT 1'!E22</f>
        <v>1187.58</v>
      </c>
      <c r="G21" s="457">
        <f>'UTILITY REPORT 1'!F22</f>
        <v>2856</v>
      </c>
      <c r="H21" s="456">
        <f>IF('Kit report'!F23&lt;0,"0",'Kit report'!F23)</f>
        <v>252.00000000004366</v>
      </c>
      <c r="I21" s="456">
        <f>IF('Kit report'!X23&lt;0,"0",'Kit report'!X23)</f>
        <v>239.99999999996362</v>
      </c>
      <c r="J21" s="456">
        <f>IF('Utility summery'!H25&lt;0,"0",'Utility summery'!H25)</f>
        <v>40</v>
      </c>
      <c r="K21" s="457">
        <f>IF('UTILITY REPORT 1'!H22&lt;0,"0",'UTILITY REPORT 1'!H22)</f>
        <v>130</v>
      </c>
      <c r="L21" s="456">
        <f>'Water-Meter'!K25</f>
        <v>1</v>
      </c>
      <c r="M21" s="457" t="str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66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16</v>
      </c>
      <c r="U21" s="242">
        <f>IF('Water-Meter'!AG25&lt;0,"0",'Water-Meter'!AG25)</f>
        <v>0</v>
      </c>
      <c r="V21" s="242">
        <f>IF('Water-Meter'!AJ25&lt;0,"0",'Water-Meter'!AJ25)</f>
        <v>28</v>
      </c>
      <c r="W21" s="30">
        <f>'Water-Meter'!AN25</f>
        <v>44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 t="str">
        <f>IF('Kit report'!F24&lt;0,"0",'Kit report'!F24)</f>
        <v>0</v>
      </c>
      <c r="I22" s="456" t="str">
        <f>IF('Kit report'!X24&lt;0,"0",'Kit report'!X24)</f>
        <v>0</v>
      </c>
      <c r="J22" s="456" t="str">
        <f>IF('Utility summery'!H26&lt;0,"0",'Utility summery'!H26)</f>
        <v>0</v>
      </c>
      <c r="K22" s="457" t="str">
        <f>IF('UTILITY REPORT 1'!H23&lt;0,"0",'UTILITY REPORT 1'!H23)</f>
        <v>0</v>
      </c>
      <c r="L22" s="456" t="str">
        <f>'Water-Meter'!K26</f>
        <v>0</v>
      </c>
      <c r="M22" s="457" t="str">
        <f>'Water-Meter'!H26</f>
        <v>0</v>
      </c>
      <c r="N22" s="457" t="str">
        <f>'Water-Meter'!Q26</f>
        <v>0</v>
      </c>
      <c r="O22" s="456" t="e">
        <f>K22*E22+H22*I22+#REF!*#REF!+J22*L22</f>
        <v>#REF!</v>
      </c>
      <c r="P22" s="462" t="str">
        <f>'Water-Meter'!E26</f>
        <v>0</v>
      </c>
      <c r="Q22" s="242" t="str">
        <f>IF('Water-Meter'!U26&lt;0,"0",'Water-Meter'!U26)</f>
        <v>0</v>
      </c>
      <c r="R22" s="242" t="str">
        <f>IF('Water-Meter'!X26&lt;0,"0",'Water-Meter'!X26)</f>
        <v>0</v>
      </c>
      <c r="S22" s="242" t="str">
        <f>IF('Water-Meter'!AA26&lt;0,"0",'Water-Meter'!AA26)</f>
        <v>0</v>
      </c>
      <c r="T22" s="242" t="str">
        <f>IF('Water-Meter'!AD26&lt;0,"0",'Water-Meter'!AD26)</f>
        <v>0</v>
      </c>
      <c r="U22" s="242" t="str">
        <f>IF('Water-Meter'!AG26&lt;0,"0",'Water-Meter'!AG26)</f>
        <v>0</v>
      </c>
      <c r="V22" s="242" t="str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 t="e">
        <f>IF('Utility summery'!H28&lt;0,"0",'Utility summery'!H28)</f>
        <v>#VALUE!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 t="e">
        <f>IF('Utility summery'!H29&lt;0,"0",'Utility summery'!H29)</f>
        <v>#VALUE!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5" t="s">
        <v>314</v>
      </c>
      <c r="B1" s="865"/>
      <c r="C1" s="865"/>
      <c r="D1" s="865"/>
      <c r="E1" s="865"/>
      <c r="F1" s="865"/>
      <c r="G1" s="865"/>
      <c r="H1" s="865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119.14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5.1999999999999998E-2</v>
      </c>
      <c r="C12" s="405">
        <f>'Summery Report'!E14</f>
        <v>15.58</v>
      </c>
      <c r="D12" s="406">
        <v>1</v>
      </c>
      <c r="E12" s="405">
        <f>Gen!S20</f>
        <v>1245.81</v>
      </c>
      <c r="F12" s="405">
        <f>Gen!T20</f>
        <v>3168</v>
      </c>
      <c r="G12" s="405">
        <f>'Water-Meter'!E15</f>
        <v>46</v>
      </c>
      <c r="H12" s="405">
        <f>'Utility report '!AC15</f>
        <v>0</v>
      </c>
      <c r="I12" s="405">
        <f>Gen!AJ20</f>
        <v>112</v>
      </c>
    </row>
    <row r="13" spans="1:9" ht="13.5">
      <c r="A13" s="402">
        <f>Gen!A21</f>
        <v>44297</v>
      </c>
      <c r="B13" s="404">
        <f>Gen!B21</f>
        <v>0.104</v>
      </c>
      <c r="C13" s="405">
        <f>'Summery Report'!E15</f>
        <v>11.69</v>
      </c>
      <c r="D13" s="406">
        <v>1</v>
      </c>
      <c r="E13" s="405">
        <f>Gen!S21</f>
        <v>1283.98</v>
      </c>
      <c r="F13" s="405">
        <f>Gen!T21</f>
        <v>3237</v>
      </c>
      <c r="G13" s="405">
        <f>'Water-Meter'!E16</f>
        <v>50</v>
      </c>
      <c r="H13" s="405">
        <f>'Utility report '!AC16</f>
        <v>0</v>
      </c>
      <c r="I13" s="405">
        <f>Gen!AJ21</f>
        <v>25</v>
      </c>
    </row>
    <row r="14" spans="1:9" ht="13.5">
      <c r="A14" s="402">
        <f>Gen!A22</f>
        <v>44298</v>
      </c>
      <c r="B14" s="404">
        <f>Gen!B22</f>
        <v>0.104</v>
      </c>
      <c r="C14" s="405">
        <f>'Summery Report'!E16</f>
        <v>12.99</v>
      </c>
      <c r="D14" s="406">
        <v>1</v>
      </c>
      <c r="E14" s="405">
        <f>Gen!S22</f>
        <v>1166.75</v>
      </c>
      <c r="F14" s="405">
        <f>Gen!T22</f>
        <v>3269</v>
      </c>
      <c r="G14" s="405">
        <f>'Water-Meter'!E17</f>
        <v>61</v>
      </c>
      <c r="H14" s="405">
        <f>'Utility report '!AC17</f>
        <v>0</v>
      </c>
      <c r="I14" s="405">
        <f>Gen!AJ22</f>
        <v>250.64</v>
      </c>
    </row>
    <row r="15" spans="1:9" ht="13.5">
      <c r="A15" s="402">
        <f>Gen!A23</f>
        <v>44299</v>
      </c>
      <c r="B15" s="404">
        <f>Gen!B23</f>
        <v>1.2999999999999999E-2</v>
      </c>
      <c r="C15" s="405">
        <f>'Summery Report'!E17</f>
        <v>14.29</v>
      </c>
      <c r="D15" s="406">
        <v>1</v>
      </c>
      <c r="E15" s="405">
        <f>Gen!S23</f>
        <v>1083.74</v>
      </c>
      <c r="F15" s="405">
        <f>Gen!T23</f>
        <v>2665</v>
      </c>
      <c r="G15" s="405">
        <f>'Water-Meter'!E18</f>
        <v>181</v>
      </c>
      <c r="H15" s="405">
        <f>'Utility report '!AC18</f>
        <v>-48865</v>
      </c>
      <c r="I15" s="405">
        <f>Gen!AJ23</f>
        <v>22.54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1063.99</v>
      </c>
      <c r="F16" s="405">
        <f>Gen!T24</f>
        <v>2643</v>
      </c>
      <c r="G16" s="405">
        <f>'Water-Meter'!E19</f>
        <v>46</v>
      </c>
      <c r="H16" s="405">
        <f>'Utility report '!AC19</f>
        <v>177</v>
      </c>
      <c r="I16" s="405">
        <f>Gen!AJ24</f>
        <v>160.49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1051.08</v>
      </c>
      <c r="F17" s="405">
        <f>Gen!T25</f>
        <v>2618</v>
      </c>
      <c r="G17" s="405">
        <f>'Water-Meter'!E20</f>
        <v>47</v>
      </c>
      <c r="H17" s="405">
        <f>'Utility report '!AC20</f>
        <v>35</v>
      </c>
      <c r="I17" s="405">
        <f>Gen!AJ25</f>
        <v>101.91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1038.83</v>
      </c>
      <c r="F18" s="405">
        <f>Gen!T26</f>
        <v>2546</v>
      </c>
      <c r="G18" s="405">
        <f>'Water-Meter'!E21</f>
        <v>40</v>
      </c>
      <c r="H18" s="405">
        <f>'Utility report '!AC21</f>
        <v>38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1.2999999999999999E-2</v>
      </c>
      <c r="C19" s="405">
        <f>'Summery Report'!E21</f>
        <v>6.49</v>
      </c>
      <c r="D19" s="406">
        <v>1</v>
      </c>
      <c r="E19" s="405">
        <f>Gen!S27</f>
        <v>1102.78</v>
      </c>
      <c r="F19" s="405">
        <f>Gen!T27</f>
        <v>2694</v>
      </c>
      <c r="G19" s="405">
        <f>'Water-Meter'!E22</f>
        <v>52</v>
      </c>
      <c r="H19" s="405">
        <f>'Utility report '!AC22</f>
        <v>38</v>
      </c>
      <c r="I19" s="405">
        <f>Gen!AJ27</f>
        <v>146.31</v>
      </c>
    </row>
    <row r="20" spans="1:9" ht="13.5">
      <c r="A20" s="402">
        <f>Gen!A28</f>
        <v>44304</v>
      </c>
      <c r="B20" s="404">
        <f>Gen!B28</f>
        <v>3.9E-2</v>
      </c>
      <c r="C20" s="405">
        <f>'Summery Report'!E22</f>
        <v>0</v>
      </c>
      <c r="D20" s="406">
        <v>1</v>
      </c>
      <c r="E20" s="405">
        <f>Gen!S28</f>
        <v>1165.3</v>
      </c>
      <c r="F20" s="405">
        <f>Gen!T28</f>
        <v>2839</v>
      </c>
      <c r="G20" s="405">
        <f>'Water-Meter'!E23</f>
        <v>53</v>
      </c>
      <c r="H20" s="405">
        <f>'Utility report '!AC23</f>
        <v>38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6.5000000000000002E-2</v>
      </c>
      <c r="C21" s="405">
        <f>'Summery Report'!E23</f>
        <v>0</v>
      </c>
      <c r="D21" s="406">
        <v>1</v>
      </c>
      <c r="E21" s="405">
        <f>Gen!S29</f>
        <v>1149</v>
      </c>
      <c r="F21" s="405">
        <f>Gen!T29</f>
        <v>2733</v>
      </c>
      <c r="G21" s="405">
        <f>'Water-Meter'!E24</f>
        <v>58</v>
      </c>
      <c r="H21" s="405">
        <f>'Utility report '!AC24</f>
        <v>37</v>
      </c>
      <c r="I21" s="405">
        <f>Gen!AJ29</f>
        <v>346.21000000000004</v>
      </c>
    </row>
    <row r="22" spans="1:9" ht="13.5">
      <c r="A22" s="402">
        <f>Gen!A30</f>
        <v>44306</v>
      </c>
      <c r="B22" s="404">
        <f>Gen!B30</f>
        <v>5.1999999999999998E-2</v>
      </c>
      <c r="C22" s="405">
        <f>'Summery Report'!E24</f>
        <v>0</v>
      </c>
      <c r="D22" s="406">
        <v>1</v>
      </c>
      <c r="E22" s="405">
        <f>Gen!S30</f>
        <v>1187.58</v>
      </c>
      <c r="F22" s="405">
        <f>Gen!T30</f>
        <v>2856</v>
      </c>
      <c r="G22" s="405">
        <f>'Water-Meter'!E25</f>
        <v>66</v>
      </c>
      <c r="H22" s="405">
        <f>'Utility report '!AC25</f>
        <v>130</v>
      </c>
      <c r="I22" s="405">
        <f>Gen!AJ30</f>
        <v>67.459999999999994</v>
      </c>
    </row>
    <row r="23" spans="1:9" ht="13.5">
      <c r="A23" s="402">
        <f>Gen!A31</f>
        <v>44307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 t="str">
        <f>'Water-Meter'!E26</f>
        <v>0</v>
      </c>
      <c r="H23" s="405">
        <f>'Utility report '!AC26</f>
        <v>-518</v>
      </c>
      <c r="I23" s="405">
        <f>Gen!AJ31</f>
        <v>0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44309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6" t="s">
        <v>135</v>
      </c>
      <c r="E4" s="866"/>
      <c r="F4" s="866"/>
      <c r="G4" s="867" t="s">
        <v>20</v>
      </c>
      <c r="H4" s="867"/>
      <c r="I4" s="867"/>
      <c r="J4" s="868" t="s">
        <v>54</v>
      </c>
      <c r="K4" s="868"/>
      <c r="L4" s="868"/>
      <c r="M4" s="868"/>
      <c r="N4" s="869" t="s">
        <v>143</v>
      </c>
      <c r="O4" s="869"/>
      <c r="P4" s="869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44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>
        <f>Gen!U20</f>
        <v>0.39324810606060606</v>
      </c>
      <c r="D15" s="152">
        <f>Gen!T20</f>
        <v>3168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77</v>
      </c>
      <c r="I15" s="296">
        <f>'Water-Meter'!E15</f>
        <v>46</v>
      </c>
      <c r="J15" s="154">
        <f>'Lpg (2)'!B19</f>
        <v>85</v>
      </c>
      <c r="K15" s="154">
        <f>'Lpg (2)'!C19</f>
        <v>85</v>
      </c>
      <c r="L15" s="154">
        <f>'Lpg (2)'!D19</f>
        <v>79</v>
      </c>
      <c r="M15" s="449">
        <f>'Lpg (2)'!G19</f>
        <v>88</v>
      </c>
      <c r="N15" s="151">
        <f t="shared" si="2"/>
        <v>4435.2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284.67265725288831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>
        <f>Gen!U21</f>
        <v>0.39665739882607354</v>
      </c>
      <c r="D16" s="152">
        <f>Gen!T21</f>
        <v>3237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50</v>
      </c>
      <c r="I16" s="296">
        <f>'Water-Meter'!E16</f>
        <v>50</v>
      </c>
      <c r="J16" s="154">
        <f>'Lpg (2)'!B20</f>
        <v>85</v>
      </c>
      <c r="K16" s="154">
        <f>'Lpg (2)'!C20</f>
        <v>85</v>
      </c>
      <c r="L16" s="154">
        <f>'Lpg (2)'!D20</f>
        <v>75</v>
      </c>
      <c r="M16" s="449">
        <f>'Lpg (2)'!G20</f>
        <v>57.243999999976957</v>
      </c>
      <c r="N16" s="151">
        <f t="shared" si="2"/>
        <v>4531.7999999999993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387.66467065868261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>
        <f>Gen!U22</f>
        <v>0.35691342918323649</v>
      </c>
      <c r="D17" s="152">
        <f>Gen!T22</f>
        <v>3269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46</v>
      </c>
      <c r="I17" s="296">
        <f>'Water-Meter'!E17</f>
        <v>61</v>
      </c>
      <c r="J17" s="154">
        <f>'Lpg (2)'!B21</f>
        <v>85</v>
      </c>
      <c r="K17" s="154">
        <f>'Lpg (2)'!C22</f>
        <v>85</v>
      </c>
      <c r="L17" s="154">
        <f>'Lpg (2)'!D21</f>
        <v>65</v>
      </c>
      <c r="M17" s="449">
        <f>'Lpg (2)'!G21</f>
        <v>64.328000000043545</v>
      </c>
      <c r="N17" s="151">
        <f t="shared" si="2"/>
        <v>4576.5999999999995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352.31716705157811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>
        <f>Gen!U23</f>
        <v>0.406656660412758</v>
      </c>
      <c r="D18" s="152">
        <f>Gen!T23</f>
        <v>2665</v>
      </c>
      <c r="E18" s="152">
        <f>Gen!AK23</f>
        <v>0</v>
      </c>
      <c r="F18" s="152">
        <f>Gen!AS23</f>
        <v>0</v>
      </c>
      <c r="G18" s="153">
        <f>'Utility report '!AC18</f>
        <v>-48865</v>
      </c>
      <c r="H18" s="153">
        <f>'Utility report '!AE18</f>
        <v>42</v>
      </c>
      <c r="I18" s="296">
        <f>'Water-Meter'!E18</f>
        <v>181</v>
      </c>
      <c r="J18" s="154">
        <f>'Lpg (2)'!B22</f>
        <v>85</v>
      </c>
      <c r="K18" s="154">
        <f>'Lpg (2)'!C23</f>
        <v>85</v>
      </c>
      <c r="L18" s="154">
        <f>'Lpg (2)'!D22</f>
        <v>60</v>
      </c>
      <c r="M18" s="449">
        <f>'Lpg (2)'!G22</f>
        <v>63.227999999979517</v>
      </c>
      <c r="N18" s="151">
        <f t="shared" si="2"/>
        <v>3730.9999999999995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261.09167249825049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>
        <f>Gen!U24</f>
        <v>0.40256905032160423</v>
      </c>
      <c r="D19" s="152">
        <f>Gen!T24</f>
        <v>2643</v>
      </c>
      <c r="E19" s="152">
        <f>Gen!AK24</f>
        <v>0</v>
      </c>
      <c r="F19" s="152">
        <f>Gen!AS24</f>
        <v>0</v>
      </c>
      <c r="G19" s="153">
        <f>'Utility report '!AC19</f>
        <v>177</v>
      </c>
      <c r="H19" s="153">
        <f>'Utility report '!AE19</f>
        <v>44</v>
      </c>
      <c r="I19" s="296">
        <f>'Water-Meter'!E19</f>
        <v>46</v>
      </c>
      <c r="J19" s="154">
        <f>'Lpg (2)'!B23</f>
        <v>85</v>
      </c>
      <c r="K19" s="154">
        <f>'Lpg (2)'!C24</f>
        <v>85</v>
      </c>
      <c r="L19" s="154">
        <f>'Lpg (2)'!D23</f>
        <v>55</v>
      </c>
      <c r="M19" s="449">
        <f>'Lpg (2)'!G23</f>
        <v>59.708000000030736</v>
      </c>
      <c r="N19" s="151">
        <f t="shared" si="2"/>
        <v>3700.2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258.9363191042687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>
        <f>Gen!U25</f>
        <v>0.4014820473644003</v>
      </c>
      <c r="D20" s="152">
        <f>Gen!T25</f>
        <v>2618</v>
      </c>
      <c r="E20" s="152">
        <f>Gen!AK25</f>
        <v>0</v>
      </c>
      <c r="F20" s="152">
        <f>Gen!AS25</f>
        <v>0</v>
      </c>
      <c r="G20" s="153">
        <f>'Utility report '!AC20</f>
        <v>35</v>
      </c>
      <c r="H20" s="153">
        <f>'Utility report '!AE20</f>
        <v>45</v>
      </c>
      <c r="I20" s="296">
        <f>'Water-Meter'!E20</f>
        <v>47</v>
      </c>
      <c r="J20" s="154">
        <f>'Lpg (2)'!B24</f>
        <v>85</v>
      </c>
      <c r="K20" s="154">
        <f>'Lpg (2)'!C25</f>
        <v>85</v>
      </c>
      <c r="L20" s="154">
        <f>'Lpg (2)'!D24</f>
        <v>51</v>
      </c>
      <c r="M20" s="449">
        <f>'Lpg (2)'!G24</f>
        <v>59.091999999969268</v>
      </c>
      <c r="N20" s="151">
        <f t="shared" si="2"/>
        <v>3665.2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403.2123212321232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>
        <f>Gen!U26</f>
        <v>0.40802435192458758</v>
      </c>
      <c r="D21" s="152">
        <f>Gen!T26</f>
        <v>2546</v>
      </c>
      <c r="E21" s="152">
        <f>Gen!AK26</f>
        <v>0</v>
      </c>
      <c r="F21" s="152">
        <f>Gen!AS26</f>
        <v>0</v>
      </c>
      <c r="G21" s="153">
        <f>'Utility report '!AC21</f>
        <v>38</v>
      </c>
      <c r="H21" s="153">
        <f>'Utility report '!AE21</f>
        <v>42</v>
      </c>
      <c r="I21" s="296">
        <f>'Water-Meter'!E21</f>
        <v>40</v>
      </c>
      <c r="J21" s="154">
        <f>'Lpg (2)'!B25</f>
        <v>85</v>
      </c>
      <c r="K21" s="154">
        <f>'Lpg (2)'!C25</f>
        <v>85</v>
      </c>
      <c r="L21" s="154">
        <f>'Lpg (2)'!D25</f>
        <v>49</v>
      </c>
      <c r="M21" s="449">
        <f>'Lpg (2)'!G25</f>
        <v>44</v>
      </c>
      <c r="N21" s="151">
        <f t="shared" si="2"/>
        <v>3564.3999999999996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457.56097560975604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>
        <f>Gen!U27</f>
        <v>0.40934669636228654</v>
      </c>
      <c r="D22" s="152">
        <f>Gen!T27</f>
        <v>2694</v>
      </c>
      <c r="E22" s="152">
        <f>Gen!AK27</f>
        <v>0</v>
      </c>
      <c r="F22" s="152">
        <f>Gen!AS27</f>
        <v>0</v>
      </c>
      <c r="G22" s="153">
        <f>'Utility report '!AC22</f>
        <v>38</v>
      </c>
      <c r="H22" s="153">
        <f>'Utility report '!AE22</f>
        <v>45</v>
      </c>
      <c r="I22" s="296">
        <f>'Water-Meter'!E22</f>
        <v>52</v>
      </c>
      <c r="J22" s="154">
        <f>'Lpg (2)'!B26</f>
        <v>85</v>
      </c>
      <c r="K22" s="154">
        <f>'Lpg (2)'!C26</f>
        <v>85</v>
      </c>
      <c r="L22" s="154">
        <f>'Lpg (2)'!D26</f>
        <v>45</v>
      </c>
      <c r="M22" s="449">
        <f>'Lpg (2)'!G26</f>
        <v>56.847999999992318</v>
      </c>
      <c r="N22" s="151">
        <f t="shared" si="2"/>
        <v>3771.6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581.14021571648686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>
        <f>Gen!U28</f>
        <v>0.41046143008101443</v>
      </c>
      <c r="D23" s="152">
        <f>Gen!T28</f>
        <v>2839</v>
      </c>
      <c r="E23" s="152">
        <f>Gen!AK28</f>
        <v>0</v>
      </c>
      <c r="F23" s="152">
        <f>Gen!AS28</f>
        <v>0</v>
      </c>
      <c r="G23" s="153">
        <f>'Utility report '!AC23</f>
        <v>38</v>
      </c>
      <c r="H23" s="153">
        <f>'Utility report '!AE23</f>
        <v>46</v>
      </c>
      <c r="I23" s="296">
        <f>'Water-Meter'!E23</f>
        <v>53</v>
      </c>
      <c r="J23" s="154">
        <f>'Lpg (2)'!B27</f>
        <v>85</v>
      </c>
      <c r="K23" s="154">
        <f>'Lpg (2)'!C27</f>
        <v>85</v>
      </c>
      <c r="L23" s="154">
        <f>'Lpg (2)'!D27</f>
        <v>40</v>
      </c>
      <c r="M23" s="449">
        <f>'Lpg (2)'!G27</f>
        <v>61.952000000007686</v>
      </c>
      <c r="N23" s="151">
        <f t="shared" si="2"/>
        <v>3974.6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>
        <f>Gen!U29</f>
        <v>0.42041712403951703</v>
      </c>
      <c r="D24" s="152">
        <f>Gen!T29</f>
        <v>2733</v>
      </c>
      <c r="E24" s="152">
        <f>Gen!AK29</f>
        <v>0</v>
      </c>
      <c r="F24" s="152">
        <f>Gen!AS29</f>
        <v>0</v>
      </c>
      <c r="G24" s="153">
        <f>'Utility report '!AC24</f>
        <v>37</v>
      </c>
      <c r="H24" s="153">
        <f>'Utility report '!AE24</f>
        <v>49</v>
      </c>
      <c r="I24" s="296">
        <f>'Water-Meter'!E24</f>
        <v>58</v>
      </c>
      <c r="J24" s="154">
        <f>'Lpg (2)'!B28</f>
        <v>85</v>
      </c>
      <c r="K24" s="154">
        <f>'Lpg (2)'!C28</f>
        <v>85</v>
      </c>
      <c r="L24" s="154">
        <f>'Lpg (2)'!D28</f>
        <v>35</v>
      </c>
      <c r="M24" s="449">
        <f>'Lpg (2)'!G28</f>
        <v>67.804000000015378</v>
      </c>
      <c r="N24" s="151">
        <f t="shared" si="2"/>
        <v>3826.2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>
        <f>Gen!U30</f>
        <v>0.41581932773109243</v>
      </c>
      <c r="D25" s="152">
        <f>Gen!T30</f>
        <v>2856</v>
      </c>
      <c r="E25" s="152">
        <f>Gen!AK30</f>
        <v>0</v>
      </c>
      <c r="F25" s="152">
        <f>Gen!AS30</f>
        <v>0</v>
      </c>
      <c r="G25" s="153">
        <f>'Utility report '!AC25</f>
        <v>130</v>
      </c>
      <c r="H25" s="153">
        <f>'Utility report '!AE25</f>
        <v>40</v>
      </c>
      <c r="I25" s="296">
        <f>'Water-Meter'!E25</f>
        <v>66</v>
      </c>
      <c r="J25" s="154">
        <f>'Lpg (2)'!B29</f>
        <v>85</v>
      </c>
      <c r="K25" s="154">
        <f>'Lpg (2)'!C29</f>
        <v>85</v>
      </c>
      <c r="L25" s="154">
        <f>'Lpg (2)'!D29</f>
        <v>31</v>
      </c>
      <c r="M25" s="449">
        <f>'Lpg (2)'!G29</f>
        <v>65.955999999959033</v>
      </c>
      <c r="N25" s="151">
        <f t="shared" si="2"/>
        <v>3998.3999999999996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-518</v>
      </c>
      <c r="H26" s="153">
        <f>'Utility report '!AE26</f>
        <v>-215230</v>
      </c>
      <c r="I26" s="296" t="str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-334806.56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 t="e">
        <f>'Utility report '!AE28</f>
        <v>#VALUE!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 t="e">
        <f>'Utility report '!AE29</f>
        <v>#VALUE!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57472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 t="e">
        <f t="shared" si="3"/>
        <v>#VALUE!</v>
      </c>
      <c r="I39" s="453">
        <f t="shared" si="3"/>
        <v>1505</v>
      </c>
      <c r="J39" s="453">
        <f t="shared" si="3"/>
        <v>1020</v>
      </c>
      <c r="K39" s="453">
        <f t="shared" si="3"/>
        <v>1033</v>
      </c>
      <c r="L39" s="453">
        <f t="shared" si="3"/>
        <v>1240</v>
      </c>
      <c r="M39" s="453">
        <f t="shared" si="3"/>
        <v>-333476.88</v>
      </c>
      <c r="N39" s="453">
        <f t="shared" si="3"/>
        <v>80460.799999999988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4" zoomScalePageLayoutView="85" workbookViewId="0">
      <pane xSplit="1" topLeftCell="M1" activePane="topRight" state="frozen"/>
      <selection pane="topRight" activeCell="AD28" sqref="AD2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7">
        <f>A6</f>
        <v>44287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878"/>
      <c r="AD1" s="878"/>
      <c r="AE1" s="878"/>
      <c r="AF1" s="878"/>
      <c r="AG1" s="878"/>
      <c r="AH1" s="878"/>
      <c r="AI1" s="878"/>
      <c r="AJ1" s="878"/>
      <c r="AK1" s="879"/>
    </row>
    <row r="2" spans="1:37" ht="61.5" customHeight="1" thickBot="1">
      <c r="A2" s="137" t="s">
        <v>98</v>
      </c>
      <c r="B2" s="880" t="s">
        <v>99</v>
      </c>
      <c r="C2" s="881"/>
      <c r="D2" s="882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70" t="s">
        <v>103</v>
      </c>
      <c r="P2" s="870"/>
      <c r="Q2" s="870"/>
      <c r="R2" s="870"/>
      <c r="S2" s="870"/>
      <c r="T2" s="870"/>
      <c r="U2" s="870"/>
      <c r="V2" s="870"/>
      <c r="W2" s="870"/>
      <c r="X2" s="870"/>
      <c r="Y2" s="870"/>
      <c r="Z2" s="870"/>
      <c r="AA2" s="284" t="s">
        <v>104</v>
      </c>
      <c r="AB2" s="880" t="s">
        <v>164</v>
      </c>
      <c r="AC2" s="882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3">
        <f>SUM(D3/B3)</f>
        <v>1.3262195121951219</v>
      </c>
      <c r="G3" s="884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70" t="s">
        <v>112</v>
      </c>
      <c r="P3" s="870"/>
      <c r="Q3" s="870"/>
      <c r="R3" s="870"/>
      <c r="S3" s="871" t="s">
        <v>113</v>
      </c>
      <c r="T3" s="872"/>
      <c r="U3" s="872"/>
      <c r="V3" s="873"/>
      <c r="W3" s="874" t="s">
        <v>114</v>
      </c>
      <c r="X3" s="875"/>
      <c r="Y3" s="875"/>
      <c r="Z3" s="876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>
        <v>6.2</v>
      </c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>
        <v>6.2</v>
      </c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>
        <v>6.2</v>
      </c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>
        <v>6.2</v>
      </c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42252.400000000009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40831.760000000009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450214.19999999995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5.1999999999999998E-2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269.67030902658189</v>
      </c>
      <c r="G15" s="438">
        <f t="shared" si="0"/>
        <v>269.67030902658189</v>
      </c>
      <c r="H15" s="720">
        <f>Gen!C20</f>
        <v>39223.360000000008</v>
      </c>
      <c r="I15" s="720">
        <f>Gen!E20</f>
        <v>0</v>
      </c>
      <c r="J15" s="759">
        <f>Gen!T20</f>
        <v>3168</v>
      </c>
      <c r="K15" s="764">
        <f>Gen!AK20</f>
        <v>0</v>
      </c>
      <c r="L15" s="755">
        <f t="shared" si="17"/>
        <v>3168</v>
      </c>
      <c r="M15" s="448">
        <f>'Water-Meter'!K55</f>
        <v>617.48166598200839</v>
      </c>
      <c r="N15" s="715">
        <f>'Water-Meter'!E15</f>
        <v>46</v>
      </c>
      <c r="O15" s="706"/>
      <c r="P15" s="713">
        <v>19032</v>
      </c>
      <c r="Q15" s="725">
        <f t="shared" si="2"/>
        <v>0</v>
      </c>
      <c r="R15" s="426">
        <f t="shared" si="5"/>
        <v>0</v>
      </c>
      <c r="S15" s="701">
        <v>6.2</v>
      </c>
      <c r="T15" s="702">
        <v>17869</v>
      </c>
      <c r="U15" s="725">
        <f t="shared" si="6"/>
        <v>0</v>
      </c>
      <c r="V15" s="427">
        <f t="shared" si="16"/>
        <v>0</v>
      </c>
      <c r="W15" s="706">
        <v>1.8</v>
      </c>
      <c r="X15" s="707">
        <v>27767</v>
      </c>
      <c r="Y15" s="725">
        <f t="shared" si="8"/>
        <v>15</v>
      </c>
      <c r="Z15" s="705">
        <f t="shared" si="9"/>
        <v>27</v>
      </c>
      <c r="AA15" s="712">
        <f t="shared" si="10"/>
        <v>751005</v>
      </c>
      <c r="AB15" s="709">
        <v>48890</v>
      </c>
      <c r="AC15" s="690">
        <f t="shared" si="11"/>
        <v>0</v>
      </c>
      <c r="AD15" s="692">
        <v>214781</v>
      </c>
      <c r="AE15" s="178">
        <f>AD15-AD14</f>
        <v>77</v>
      </c>
      <c r="AF15" s="719">
        <f>'Lpg (2)'!B19*2000/85</f>
        <v>2000</v>
      </c>
      <c r="AG15" s="266">
        <f>'Lpg (2)'!C19*1000/85</f>
        <v>1000</v>
      </c>
      <c r="AH15" s="732">
        <f>'Lpg (2)'!D19*1000/85</f>
        <v>929.41176470588232</v>
      </c>
      <c r="AI15" s="722">
        <f t="shared" ref="AI15:AI35" si="18">SUM(AF15*2000)+(AG15*1000)+(AH15*1000)</f>
        <v>5929411.7647058824</v>
      </c>
      <c r="AJ15" s="428">
        <f t="shared" si="4"/>
        <v>-4000000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0.104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367.23460744017194</v>
      </c>
      <c r="G16" s="438">
        <f t="shared" si="0"/>
        <v>367.23460744017194</v>
      </c>
      <c r="H16" s="720">
        <f>Gen!C21</f>
        <v>37865.55000000001</v>
      </c>
      <c r="I16" s="720">
        <f>Gen!E21</f>
        <v>0</v>
      </c>
      <c r="J16" s="759">
        <f>Gen!T21</f>
        <v>3237</v>
      </c>
      <c r="K16" s="764">
        <f>Gen!AK21</f>
        <v>0</v>
      </c>
      <c r="L16" s="755">
        <f t="shared" si="17"/>
        <v>3237</v>
      </c>
      <c r="M16" s="448">
        <f>'Water-Meter'!K56</f>
        <v>582.16664678656252</v>
      </c>
      <c r="N16" s="715">
        <f>'Water-Meter'!E16</f>
        <v>50</v>
      </c>
      <c r="O16" s="706"/>
      <c r="P16" s="713">
        <v>19032</v>
      </c>
      <c r="Q16" s="725">
        <f t="shared" si="2"/>
        <v>0</v>
      </c>
      <c r="R16" s="426">
        <f t="shared" si="5"/>
        <v>0</v>
      </c>
      <c r="S16" s="701">
        <v>6.2</v>
      </c>
      <c r="T16" s="702">
        <v>17869</v>
      </c>
      <c r="U16" s="725">
        <f t="shared" si="6"/>
        <v>0</v>
      </c>
      <c r="V16" s="427">
        <f t="shared" si="16"/>
        <v>0</v>
      </c>
      <c r="W16" s="706">
        <v>1.8</v>
      </c>
      <c r="X16" s="707">
        <v>27791</v>
      </c>
      <c r="Y16" s="725">
        <f t="shared" si="8"/>
        <v>24</v>
      </c>
      <c r="Z16" s="705">
        <f t="shared" si="9"/>
        <v>43.2</v>
      </c>
      <c r="AA16" s="712">
        <f t="shared" si="10"/>
        <v>1202515.2000000002</v>
      </c>
      <c r="AB16" s="709">
        <v>48890</v>
      </c>
      <c r="AC16" s="690">
        <f t="shared" si="11"/>
        <v>0</v>
      </c>
      <c r="AD16" s="692">
        <v>214831</v>
      </c>
      <c r="AE16" s="178">
        <f t="shared" si="15"/>
        <v>50</v>
      </c>
      <c r="AF16" s="719">
        <f>'Lpg (2)'!B20*2000/85</f>
        <v>2000</v>
      </c>
      <c r="AG16" s="266">
        <f>'Lpg (2)'!C20*1000/85</f>
        <v>1000</v>
      </c>
      <c r="AH16" s="732">
        <f>'Lpg (2)'!D20*1000/85</f>
        <v>882.35294117647061</v>
      </c>
      <c r="AI16" s="722">
        <f t="shared" si="18"/>
        <v>5882352.9411764704</v>
      </c>
      <c r="AJ16" s="428">
        <f t="shared" si="4"/>
        <v>47058.823529412039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0.104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333.74992958936514</v>
      </c>
      <c r="G17" s="438">
        <f t="shared" si="0"/>
        <v>333.74992958936514</v>
      </c>
      <c r="H17" s="720">
        <f>Gen!C22</f>
        <v>36556.570000000007</v>
      </c>
      <c r="I17" s="720">
        <f>Gen!E22</f>
        <v>0</v>
      </c>
      <c r="J17" s="759">
        <f>Gen!T22</f>
        <v>3269</v>
      </c>
      <c r="K17" s="764">
        <f>Gen!AK22</f>
        <v>0</v>
      </c>
      <c r="L17" s="755">
        <f t="shared" si="17"/>
        <v>3269</v>
      </c>
      <c r="M17" s="448">
        <f>'Water-Meter'!K57</f>
        <v>546.81755549947343</v>
      </c>
      <c r="N17" s="715">
        <f>'Water-Meter'!E17</f>
        <v>61</v>
      </c>
      <c r="O17" s="706"/>
      <c r="P17" s="713">
        <v>19032</v>
      </c>
      <c r="Q17" s="725">
        <f>SUM(P18-P16)</f>
        <v>0</v>
      </c>
      <c r="R17" s="426">
        <f t="shared" si="5"/>
        <v>0</v>
      </c>
      <c r="S17" s="701">
        <v>6.2</v>
      </c>
      <c r="T17" s="702">
        <v>17869</v>
      </c>
      <c r="U17" s="725">
        <f t="shared" si="6"/>
        <v>0</v>
      </c>
      <c r="V17" s="427">
        <f t="shared" ref="V17:V36" si="19">SUM(U17*S17)</f>
        <v>0</v>
      </c>
      <c r="W17" s="706">
        <v>1.8</v>
      </c>
      <c r="X17" s="707">
        <v>27815</v>
      </c>
      <c r="Y17" s="725">
        <f t="shared" si="8"/>
        <v>24</v>
      </c>
      <c r="Z17" s="705">
        <f t="shared" si="9"/>
        <v>43.2</v>
      </c>
      <c r="AA17" s="712">
        <f t="shared" si="10"/>
        <v>1202515.2000000002</v>
      </c>
      <c r="AB17" s="709">
        <v>48890</v>
      </c>
      <c r="AC17" s="690">
        <f t="shared" si="11"/>
        <v>0</v>
      </c>
      <c r="AD17" s="692">
        <v>214877</v>
      </c>
      <c r="AE17" s="178">
        <f t="shared" si="15"/>
        <v>46</v>
      </c>
      <c r="AF17" s="719">
        <f>'Lpg (2)'!B21*2000/85</f>
        <v>2000</v>
      </c>
      <c r="AG17" s="266">
        <f>'Lpg (2)'!C21*1000/85</f>
        <v>1000</v>
      </c>
      <c r="AH17" s="732">
        <f>'Lpg (2)'!D21*1000/85</f>
        <v>764.70588235294122</v>
      </c>
      <c r="AI17" s="722">
        <f t="shared" si="18"/>
        <v>5764705.8823529407</v>
      </c>
      <c r="AJ17" s="428">
        <f t="shared" si="4"/>
        <v>117647.05882352963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1.2999999999999999E-2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247.33205038488455</v>
      </c>
      <c r="G18" s="438">
        <f t="shared" si="0"/>
        <v>247.33205038488455</v>
      </c>
      <c r="H18" s="720">
        <f>Gen!C23</f>
        <v>35139.180000000008</v>
      </c>
      <c r="I18" s="720">
        <f>Gen!E23</f>
        <v>0</v>
      </c>
      <c r="J18" s="759">
        <f>Gen!T23</f>
        <v>2665</v>
      </c>
      <c r="K18" s="764">
        <f>Gen!AK23</f>
        <v>0</v>
      </c>
      <c r="L18" s="755">
        <f t="shared" si="17"/>
        <v>2665</v>
      </c>
      <c r="M18" s="448">
        <f>'Water-Meter'!K58</f>
        <v>502.23159250400187</v>
      </c>
      <c r="N18" s="715">
        <f>'Water-Meter'!E18</f>
        <v>181</v>
      </c>
      <c r="O18" s="706"/>
      <c r="P18" s="713">
        <v>19032</v>
      </c>
      <c r="Q18" s="725"/>
      <c r="R18" s="426">
        <f t="shared" si="5"/>
        <v>0</v>
      </c>
      <c r="S18" s="701">
        <v>6.2</v>
      </c>
      <c r="T18" s="702">
        <v>17869</v>
      </c>
      <c r="U18" s="725">
        <f t="shared" si="6"/>
        <v>0</v>
      </c>
      <c r="V18" s="427">
        <f t="shared" si="19"/>
        <v>0</v>
      </c>
      <c r="W18" s="706">
        <v>1.8</v>
      </c>
      <c r="X18" s="707">
        <v>27836</v>
      </c>
      <c r="Y18" s="725">
        <f t="shared" si="8"/>
        <v>21</v>
      </c>
      <c r="Z18" s="705">
        <f t="shared" si="9"/>
        <v>37.800000000000004</v>
      </c>
      <c r="AA18" s="712">
        <f t="shared" si="10"/>
        <v>1052994.6000000001</v>
      </c>
      <c r="AB18" s="709">
        <v>25</v>
      </c>
      <c r="AC18" s="690">
        <f t="shared" si="11"/>
        <v>-48865</v>
      </c>
      <c r="AD18" s="692">
        <v>214919</v>
      </c>
      <c r="AE18" s="178">
        <f t="shared" si="15"/>
        <v>42</v>
      </c>
      <c r="AF18" s="719">
        <f>'Lpg (2)'!B22*2000/85</f>
        <v>2000</v>
      </c>
      <c r="AG18" s="266">
        <f>'Lpg (2)'!C22*1000/85</f>
        <v>1000</v>
      </c>
      <c r="AH18" s="732">
        <f>'Lpg (2)'!D22*1000/85</f>
        <v>705.88235294117646</v>
      </c>
      <c r="AI18" s="722">
        <f t="shared" si="18"/>
        <v>5705882.3529411769</v>
      </c>
      <c r="AJ18" s="428">
        <f t="shared" si="4"/>
        <v>58823.529411763884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245.29028486575979</v>
      </c>
      <c r="G19" s="438">
        <f t="shared" si="0"/>
        <v>245.29028486575979</v>
      </c>
      <c r="H19" s="720">
        <f>Gen!C24</f>
        <v>34032.900000000009</v>
      </c>
      <c r="I19" s="720">
        <f>Gen!E24</f>
        <v>0</v>
      </c>
      <c r="J19" s="759">
        <f>Gen!T24</f>
        <v>2643</v>
      </c>
      <c r="K19" s="764">
        <f>Gen!AK24</f>
        <v>0</v>
      </c>
      <c r="L19" s="755">
        <f t="shared" si="17"/>
        <v>2643</v>
      </c>
      <c r="M19" s="448">
        <f>'Water-Meter'!K59</f>
        <v>356.75911145995639</v>
      </c>
      <c r="N19" s="715">
        <f>'Water-Meter'!E19</f>
        <v>46</v>
      </c>
      <c r="O19" s="706"/>
      <c r="P19" s="713">
        <v>19032</v>
      </c>
      <c r="Q19" s="725"/>
      <c r="R19" s="426">
        <f t="shared" si="5"/>
        <v>0</v>
      </c>
      <c r="S19" s="701">
        <v>6.2</v>
      </c>
      <c r="T19" s="702">
        <v>17893</v>
      </c>
      <c r="U19" s="725">
        <f t="shared" si="6"/>
        <v>24</v>
      </c>
      <c r="V19" s="427">
        <f t="shared" si="19"/>
        <v>148.80000000000001</v>
      </c>
      <c r="W19" s="706">
        <v>1.8</v>
      </c>
      <c r="X19" s="707">
        <v>27836</v>
      </c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>
        <v>202</v>
      </c>
      <c r="AC19" s="690">
        <f t="shared" si="11"/>
        <v>177</v>
      </c>
      <c r="AD19" s="692">
        <v>214963</v>
      </c>
      <c r="AE19" s="178">
        <f t="shared" si="15"/>
        <v>44</v>
      </c>
      <c r="AF19" s="719">
        <f>'Lpg (2)'!B23*2000/85</f>
        <v>2000</v>
      </c>
      <c r="AG19" s="266">
        <f>'Lpg (2)'!C23*1000/85</f>
        <v>1000</v>
      </c>
      <c r="AH19" s="732">
        <f>'Lpg (2)'!D23*1000/85</f>
        <v>647.05882352941171</v>
      </c>
      <c r="AI19" s="722">
        <f t="shared" si="18"/>
        <v>5647058.823529412</v>
      </c>
      <c r="AJ19" s="428">
        <f t="shared" si="4"/>
        <v>58823.529411764815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381.9628914110923</v>
      </c>
      <c r="G20" s="438">
        <f t="shared" si="0"/>
        <v>381.9628914110923</v>
      </c>
      <c r="H20" s="720">
        <f>Gen!C25</f>
        <v>32808.420000000006</v>
      </c>
      <c r="I20" s="720">
        <f>Gen!E25</f>
        <v>0</v>
      </c>
      <c r="J20" s="759">
        <f>Gen!T25</f>
        <v>2618</v>
      </c>
      <c r="K20" s="764">
        <f>Gen!AK25</f>
        <v>0</v>
      </c>
      <c r="L20" s="755">
        <f t="shared" si="17"/>
        <v>2618</v>
      </c>
      <c r="M20" s="448">
        <f>'Water-Meter'!K60</f>
        <v>349.48945603113521</v>
      </c>
      <c r="N20" s="715">
        <f>'Water-Meter'!E20</f>
        <v>47</v>
      </c>
      <c r="O20" s="706"/>
      <c r="P20" s="713">
        <v>19032</v>
      </c>
      <c r="Q20" s="725" t="e">
        <f>SUM(#REF!-P20)</f>
        <v>#REF!</v>
      </c>
      <c r="R20" s="426" t="e">
        <f t="shared" si="5"/>
        <v>#REF!</v>
      </c>
      <c r="S20" s="701">
        <v>6.2</v>
      </c>
      <c r="T20" s="702">
        <v>17893</v>
      </c>
      <c r="U20" s="725">
        <f t="shared" si="6"/>
        <v>0</v>
      </c>
      <c r="V20" s="427">
        <f t="shared" si="19"/>
        <v>0</v>
      </c>
      <c r="W20" s="706">
        <v>1.8</v>
      </c>
      <c r="X20" s="707">
        <v>27857</v>
      </c>
      <c r="Y20" s="725">
        <f t="shared" si="8"/>
        <v>21</v>
      </c>
      <c r="Z20" s="705">
        <f t="shared" si="9"/>
        <v>37.800000000000004</v>
      </c>
      <c r="AA20" s="712">
        <f t="shared" si="10"/>
        <v>1054809.0000000002</v>
      </c>
      <c r="AB20" s="709">
        <v>237</v>
      </c>
      <c r="AC20" s="690">
        <f t="shared" si="11"/>
        <v>35</v>
      </c>
      <c r="AD20" s="692">
        <v>215008</v>
      </c>
      <c r="AE20" s="178">
        <f t="shared" si="15"/>
        <v>45</v>
      </c>
      <c r="AF20" s="719">
        <f>'Lpg (2)'!B24*2000/85</f>
        <v>2000</v>
      </c>
      <c r="AG20" s="266">
        <f>'Lpg (2)'!C24*1000/85</f>
        <v>1000</v>
      </c>
      <c r="AH20" s="732">
        <f>'Lpg (2)'!D24*1000/85</f>
        <v>600</v>
      </c>
      <c r="AI20" s="722">
        <f t="shared" si="18"/>
        <v>5600000</v>
      </c>
      <c r="AJ20" s="428">
        <f t="shared" si="4"/>
        <v>47058.823529412039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433.44735276621054</v>
      </c>
      <c r="G21" s="438">
        <f t="shared" si="0"/>
        <v>433.44735276621054</v>
      </c>
      <c r="H21" s="720">
        <f>Gen!C26</f>
        <v>31655.430000000004</v>
      </c>
      <c r="I21" s="720">
        <f>Gen!E26</f>
        <v>0</v>
      </c>
      <c r="J21" s="759">
        <f>Gen!T26</f>
        <v>2546</v>
      </c>
      <c r="K21" s="764">
        <f>Gen!AK26</f>
        <v>0</v>
      </c>
      <c r="L21" s="755">
        <f t="shared" si="17"/>
        <v>2546</v>
      </c>
      <c r="M21" s="448">
        <f>'Water-Meter'!K61</f>
        <v>442.38384423477908</v>
      </c>
      <c r="N21" s="715">
        <f>'Water-Meter'!E21</f>
        <v>40</v>
      </c>
      <c r="O21" s="706"/>
      <c r="P21" s="713">
        <v>19032</v>
      </c>
      <c r="Q21" s="725" t="e">
        <f>SUM(P21-#REF!)</f>
        <v>#REF!</v>
      </c>
      <c r="R21" s="426" t="e">
        <f t="shared" si="5"/>
        <v>#REF!</v>
      </c>
      <c r="S21" s="701">
        <v>6.2</v>
      </c>
      <c r="T21" s="702">
        <v>17893</v>
      </c>
      <c r="U21" s="725">
        <f>T22-T20</f>
        <v>0</v>
      </c>
      <c r="V21" s="427">
        <f t="shared" si="19"/>
        <v>0</v>
      </c>
      <c r="W21" s="706">
        <v>1.8</v>
      </c>
      <c r="X21" s="707">
        <v>27881</v>
      </c>
      <c r="Y21" s="725">
        <f t="shared" si="8"/>
        <v>24</v>
      </c>
      <c r="Z21" s="705">
        <f t="shared" si="9"/>
        <v>43.2</v>
      </c>
      <c r="AA21" s="712">
        <f t="shared" si="10"/>
        <v>1206532.8</v>
      </c>
      <c r="AB21" s="709">
        <v>275</v>
      </c>
      <c r="AC21" s="690">
        <f t="shared" si="11"/>
        <v>38</v>
      </c>
      <c r="AD21" s="692">
        <v>215050</v>
      </c>
      <c r="AE21" s="178">
        <f t="shared" si="15"/>
        <v>42</v>
      </c>
      <c r="AF21" s="719">
        <f>'Lpg (2)'!B25*2000/85</f>
        <v>2000</v>
      </c>
      <c r="AG21" s="266">
        <f>'Lpg (2)'!C25*1000/85</f>
        <v>1000</v>
      </c>
      <c r="AH21" s="732">
        <f>'Lpg (2)'!D25*1000/85</f>
        <v>576.47058823529414</v>
      </c>
      <c r="AI21" s="722">
        <f t="shared" si="18"/>
        <v>5576470.5882352944</v>
      </c>
      <c r="AJ21" s="428">
        <f t="shared" si="4"/>
        <v>23529.411764705554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1.2999999999999999E-2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550.51392386034797</v>
      </c>
      <c r="G22" s="438">
        <f t="shared" si="0"/>
        <v>550.51392386034797</v>
      </c>
      <c r="H22" s="720">
        <f>Gen!C27</f>
        <v>30616.600000000006</v>
      </c>
      <c r="I22" s="720">
        <f>Gen!E27</f>
        <v>0</v>
      </c>
      <c r="J22" s="759">
        <f>Gen!T27</f>
        <v>2694</v>
      </c>
      <c r="K22" s="764">
        <f>Gen!AK27</f>
        <v>0</v>
      </c>
      <c r="L22" s="755">
        <f t="shared" si="17"/>
        <v>2694</v>
      </c>
      <c r="M22" s="448">
        <f>'Water-Meter'!K62</f>
        <v>460.85304023474418</v>
      </c>
      <c r="N22" s="715">
        <f>'Water-Meter'!E22</f>
        <v>52</v>
      </c>
      <c r="O22" s="706"/>
      <c r="P22" s="713">
        <v>19032</v>
      </c>
      <c r="Q22" s="725">
        <f t="shared" si="2"/>
        <v>0</v>
      </c>
      <c r="R22" s="426">
        <f t="shared" si="5"/>
        <v>0</v>
      </c>
      <c r="S22" s="701">
        <v>6.2</v>
      </c>
      <c r="T22" s="702">
        <v>17893</v>
      </c>
      <c r="U22" s="725">
        <f t="shared" ref="U22:U23" si="20">T23-T21</f>
        <v>0</v>
      </c>
      <c r="V22" s="427">
        <f t="shared" si="19"/>
        <v>0</v>
      </c>
      <c r="W22" s="706">
        <v>1.8</v>
      </c>
      <c r="X22" s="707">
        <v>27905</v>
      </c>
      <c r="Y22" s="725">
        <f t="shared" si="8"/>
        <v>24</v>
      </c>
      <c r="Z22" s="705">
        <f t="shared" si="9"/>
        <v>43.2</v>
      </c>
      <c r="AA22" s="712">
        <f t="shared" si="10"/>
        <v>1207569.6000000001</v>
      </c>
      <c r="AB22" s="709">
        <v>313</v>
      </c>
      <c r="AC22" s="690">
        <f t="shared" si="11"/>
        <v>38</v>
      </c>
      <c r="AD22" s="692">
        <v>215095</v>
      </c>
      <c r="AE22" s="178">
        <f t="shared" si="15"/>
        <v>45</v>
      </c>
      <c r="AF22" s="719">
        <f>'Lpg (2)'!B26*2000/85</f>
        <v>2000</v>
      </c>
      <c r="AG22" s="266">
        <f>'Lpg (2)'!C26*1000/85</f>
        <v>1000</v>
      </c>
      <c r="AH22" s="732">
        <f>'Lpg (2)'!D26*1000/85</f>
        <v>529.41176470588232</v>
      </c>
      <c r="AI22" s="722">
        <f t="shared" si="18"/>
        <v>5529411.7647058824</v>
      </c>
      <c r="AJ22" s="428">
        <f t="shared" si="4"/>
        <v>47058.823529412039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3.9E-2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29367.510000000006</v>
      </c>
      <c r="I23" s="720">
        <f>Gen!E28</f>
        <v>0</v>
      </c>
      <c r="J23" s="759">
        <f>Gen!T28</f>
        <v>2839</v>
      </c>
      <c r="K23" s="764">
        <f>Gen!AK28</f>
        <v>0</v>
      </c>
      <c r="L23" s="755">
        <f t="shared" si="17"/>
        <v>2839</v>
      </c>
      <c r="M23" s="448">
        <f>'Water-Meter'!K63</f>
        <v>499.96315781067227</v>
      </c>
      <c r="N23" s="715">
        <f>'Water-Meter'!E23</f>
        <v>53</v>
      </c>
      <c r="O23" s="706"/>
      <c r="P23" s="713">
        <v>19032</v>
      </c>
      <c r="Q23" s="725">
        <f t="shared" si="2"/>
        <v>0</v>
      </c>
      <c r="R23" s="426">
        <f t="shared" si="5"/>
        <v>0</v>
      </c>
      <c r="S23" s="701">
        <v>6.2</v>
      </c>
      <c r="T23" s="702">
        <v>17893</v>
      </c>
      <c r="U23" s="725">
        <f t="shared" si="20"/>
        <v>0</v>
      </c>
      <c r="V23" s="427">
        <f t="shared" si="19"/>
        <v>0</v>
      </c>
      <c r="W23" s="706">
        <v>1.8</v>
      </c>
      <c r="X23" s="707">
        <v>27929</v>
      </c>
      <c r="Y23" s="725">
        <f t="shared" si="8"/>
        <v>24</v>
      </c>
      <c r="Z23" s="705">
        <f>SUM(Y23*W24)</f>
        <v>43.2</v>
      </c>
      <c r="AA23" s="712">
        <f t="shared" si="10"/>
        <v>1207958.4000000001</v>
      </c>
      <c r="AB23" s="709">
        <v>351</v>
      </c>
      <c r="AC23" s="690">
        <f t="shared" si="11"/>
        <v>38</v>
      </c>
      <c r="AD23" s="864">
        <v>215141</v>
      </c>
      <c r="AE23" s="178">
        <f t="shared" si="15"/>
        <v>46</v>
      </c>
      <c r="AF23" s="719">
        <f>'Lpg (2)'!B27*2000/85</f>
        <v>2000</v>
      </c>
      <c r="AG23" s="266">
        <f>'Lpg (2)'!C27*1000/85</f>
        <v>1000</v>
      </c>
      <c r="AH23" s="732">
        <f>'Lpg (2)'!D27*1000/85</f>
        <v>470.58823529411762</v>
      </c>
      <c r="AI23" s="722">
        <f t="shared" si="18"/>
        <v>5470588.2352941176</v>
      </c>
      <c r="AJ23" s="428">
        <f t="shared" si="4"/>
        <v>58823.529411764815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6.5000000000000002E-2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28202.210000000006</v>
      </c>
      <c r="I24" s="720">
        <f>Gen!E29</f>
        <v>0</v>
      </c>
      <c r="J24" s="759">
        <f>Gen!T29</f>
        <v>2733</v>
      </c>
      <c r="K24" s="764">
        <f>Gen!AK29</f>
        <v>0</v>
      </c>
      <c r="L24" s="755">
        <f t="shared" si="17"/>
        <v>2733</v>
      </c>
      <c r="M24" s="448">
        <f>'Water-Meter'!K64</f>
        <v>560.76227206855549</v>
      </c>
      <c r="N24" s="715">
        <f>'Water-Meter'!E24</f>
        <v>58</v>
      </c>
      <c r="O24" s="706"/>
      <c r="P24" s="713">
        <v>19032</v>
      </c>
      <c r="Q24" s="725">
        <f t="shared" si="2"/>
        <v>0</v>
      </c>
      <c r="R24" s="426">
        <f t="shared" si="5"/>
        <v>0</v>
      </c>
      <c r="S24" s="701">
        <v>6.2</v>
      </c>
      <c r="T24" s="702">
        <v>17893</v>
      </c>
      <c r="U24" s="725">
        <f t="shared" si="6"/>
        <v>0</v>
      </c>
      <c r="V24" s="427">
        <f t="shared" si="19"/>
        <v>0</v>
      </c>
      <c r="W24" s="706">
        <v>1.8</v>
      </c>
      <c r="X24" s="707">
        <v>27953</v>
      </c>
      <c r="Y24" s="725">
        <f t="shared" si="8"/>
        <v>24</v>
      </c>
      <c r="Z24" s="705" t="e">
        <f>SUM(Y24*#REF!)</f>
        <v>#REF!</v>
      </c>
      <c r="AA24" s="712" t="e">
        <f t="shared" si="10"/>
        <v>#REF!</v>
      </c>
      <c r="AB24" s="709">
        <v>388</v>
      </c>
      <c r="AC24" s="690">
        <f t="shared" si="11"/>
        <v>37</v>
      </c>
      <c r="AD24" s="693">
        <v>215190</v>
      </c>
      <c r="AE24" s="178">
        <f t="shared" si="15"/>
        <v>49</v>
      </c>
      <c r="AF24" s="719">
        <f>'Lpg (2)'!B28*2000/85</f>
        <v>2000</v>
      </c>
      <c r="AG24" s="266">
        <f>'Lpg (2)'!C28*1000/85</f>
        <v>1000</v>
      </c>
      <c r="AH24" s="732">
        <f>'Lpg (2)'!D28*1000/85</f>
        <v>411.76470588235293</v>
      </c>
      <c r="AI24" s="722">
        <f t="shared" si="18"/>
        <v>5411764.7058823528</v>
      </c>
      <c r="AJ24" s="428">
        <f t="shared" si="4"/>
        <v>58823.529411764815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5.1999999999999998E-2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26707.000000000007</v>
      </c>
      <c r="I25" s="720">
        <f>Gen!E30</f>
        <v>15000</v>
      </c>
      <c r="J25" s="759">
        <f>Gen!T30</f>
        <v>2856</v>
      </c>
      <c r="K25" s="764">
        <f>Gen!AK30</f>
        <v>0</v>
      </c>
      <c r="L25" s="755">
        <f t="shared" si="17"/>
        <v>2856</v>
      </c>
      <c r="M25" s="448">
        <f>'Water-Meter'!K65</f>
        <v>499.23768889017356</v>
      </c>
      <c r="N25" s="715">
        <f>'Water-Meter'!E25</f>
        <v>66</v>
      </c>
      <c r="O25" s="706"/>
      <c r="P25" s="713">
        <v>19032</v>
      </c>
      <c r="Q25" s="725">
        <f t="shared" si="2"/>
        <v>0</v>
      </c>
      <c r="R25" s="426">
        <f t="shared" si="5"/>
        <v>0</v>
      </c>
      <c r="S25" s="701">
        <v>6.2</v>
      </c>
      <c r="T25" s="702">
        <v>17909</v>
      </c>
      <c r="U25" s="725">
        <f t="shared" si="6"/>
        <v>16</v>
      </c>
      <c r="V25" s="427">
        <f t="shared" si="19"/>
        <v>99.2</v>
      </c>
      <c r="W25" s="706">
        <v>1.8</v>
      </c>
      <c r="X25" s="707">
        <v>27962</v>
      </c>
      <c r="Y25" s="725">
        <f t="shared" si="8"/>
        <v>9</v>
      </c>
      <c r="Z25" s="705">
        <f t="shared" si="9"/>
        <v>16.2</v>
      </c>
      <c r="AA25" s="712">
        <f t="shared" si="10"/>
        <v>0</v>
      </c>
      <c r="AB25" s="709">
        <v>518</v>
      </c>
      <c r="AC25" s="690">
        <f t="shared" si="11"/>
        <v>130</v>
      </c>
      <c r="AD25" s="693">
        <v>215230</v>
      </c>
      <c r="AE25" s="178">
        <f t="shared" si="15"/>
        <v>40</v>
      </c>
      <c r="AF25" s="719">
        <f>'Lpg (2)'!B29*2000/85</f>
        <v>2000</v>
      </c>
      <c r="AG25" s="266">
        <f>'Lpg (2)'!C29*1000/85</f>
        <v>1000</v>
      </c>
      <c r="AH25" s="732">
        <f>'Lpg (2)'!D29*1000/85</f>
        <v>364.70588235294116</v>
      </c>
      <c r="AI25" s="722">
        <f t="shared" si="18"/>
        <v>5364705.8823529407</v>
      </c>
      <c r="AJ25" s="428">
        <f t="shared" si="4"/>
        <v>47058.823529412039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25451.960000000006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431.38915033446347</v>
      </c>
      <c r="N26" s="715" t="str">
        <f>'Water-Meter'!E26</f>
        <v>0</v>
      </c>
      <c r="O26" s="706"/>
      <c r="P26" s="713"/>
      <c r="Q26" s="725">
        <f t="shared" si="2"/>
        <v>-19032</v>
      </c>
      <c r="R26" s="426">
        <f t="shared" si="5"/>
        <v>0</v>
      </c>
      <c r="S26" s="701"/>
      <c r="T26" s="702"/>
      <c r="U26" s="725">
        <f t="shared" si="6"/>
        <v>-17909</v>
      </c>
      <c r="V26" s="427">
        <f t="shared" si="19"/>
        <v>0</v>
      </c>
      <c r="W26" s="701"/>
      <c r="X26" s="707"/>
      <c r="Y26" s="725">
        <f t="shared" si="8"/>
        <v>-27962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-518</v>
      </c>
      <c r="AD26" s="693"/>
      <c r="AE26" s="178">
        <f t="shared" si="15"/>
        <v>-215230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5364705.8823529407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25451.960000000006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25451.960000000006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 t="s">
        <v>344</v>
      </c>
      <c r="AE28" s="178" t="e">
        <f t="shared" si="15"/>
        <v>#VALUE!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25451.960000000006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 t="e">
        <f t="shared" si="15"/>
        <v>#VALUE!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25451.960000000006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25451.960000000006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25451.960000000006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25451.960000000006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25451.960000000006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25451.960000000006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25451.960000000006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60647</v>
      </c>
      <c r="K37" s="770"/>
      <c r="L37" s="756">
        <f t="shared" si="17"/>
        <v>60647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9" sqref="W29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5" t="s">
        <v>150</v>
      </c>
      <c r="C1" s="886"/>
      <c r="D1" s="886"/>
      <c r="E1" s="886"/>
      <c r="F1" s="887"/>
      <c r="G1" s="157"/>
      <c r="H1" s="885" t="s">
        <v>151</v>
      </c>
      <c r="I1" s="886"/>
      <c r="J1" s="886"/>
      <c r="K1" s="886"/>
      <c r="L1" s="887"/>
      <c r="M1" s="885" t="s">
        <v>170</v>
      </c>
      <c r="N1" s="886"/>
      <c r="O1" s="886"/>
      <c r="P1" s="886"/>
      <c r="Q1" s="887"/>
      <c r="R1" s="157"/>
      <c r="T1" s="885" t="s">
        <v>166</v>
      </c>
      <c r="U1" s="886"/>
      <c r="V1" s="886"/>
      <c r="W1" s="886"/>
      <c r="X1" s="887"/>
      <c r="Y1" s="885" t="s">
        <v>169</v>
      </c>
      <c r="Z1" s="886"/>
      <c r="AA1" s="886"/>
      <c r="AB1" s="886"/>
      <c r="AC1" s="887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8" t="s">
        <v>156</v>
      </c>
      <c r="C3" s="889"/>
      <c r="D3" s="166"/>
      <c r="E3" s="577">
        <v>9204</v>
      </c>
      <c r="F3" s="584" t="s">
        <v>157</v>
      </c>
      <c r="G3" s="585"/>
      <c r="H3" s="888" t="s">
        <v>156</v>
      </c>
      <c r="I3" s="889"/>
      <c r="J3" s="611">
        <f>'Water-Meter'!G5</f>
        <v>75790</v>
      </c>
      <c r="K3" s="586">
        <f>'Water-Meter'!G5</f>
        <v>75790</v>
      </c>
      <c r="L3" s="241"/>
      <c r="M3" s="888" t="s">
        <v>156</v>
      </c>
      <c r="N3" s="889"/>
      <c r="O3" s="166"/>
      <c r="P3" s="587">
        <f>'Water-Meter'!J5</f>
        <v>8362</v>
      </c>
      <c r="Q3" s="165"/>
      <c r="R3" s="241"/>
      <c r="S3" s="640"/>
      <c r="T3" s="888" t="s">
        <v>156</v>
      </c>
      <c r="U3" s="889"/>
      <c r="V3" s="166"/>
      <c r="W3" s="578">
        <v>8073</v>
      </c>
      <c r="X3" s="588">
        <f t="shared" ref="X3:X35" si="0">(W3-V3)*200</f>
        <v>1614600</v>
      </c>
      <c r="Y3" s="888" t="s">
        <v>156</v>
      </c>
      <c r="Z3" s="889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5.1999999999999998E-2</v>
      </c>
      <c r="B13" s="592">
        <f>Gen!A20</f>
        <v>44296</v>
      </c>
      <c r="C13" s="576"/>
      <c r="D13" s="581">
        <f t="shared" si="1"/>
        <v>9226</v>
      </c>
      <c r="E13" s="577">
        <v>9227.7999999999993</v>
      </c>
      <c r="F13" s="581">
        <f t="shared" si="2"/>
        <v>215.99999999991269</v>
      </c>
      <c r="G13" s="576"/>
      <c r="H13" s="623">
        <f t="shared" si="6"/>
        <v>44296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8379</v>
      </c>
      <c r="Q13" s="576">
        <f t="shared" si="8"/>
        <v>0</v>
      </c>
      <c r="R13" s="626">
        <f t="shared" si="4"/>
        <v>0</v>
      </c>
      <c r="S13" s="627">
        <f>Gen!T20</f>
        <v>3168</v>
      </c>
      <c r="T13" s="628">
        <f t="shared" si="9"/>
        <v>44296</v>
      </c>
      <c r="U13" s="576"/>
      <c r="V13" s="581">
        <f t="shared" si="5"/>
        <v>8092.3</v>
      </c>
      <c r="W13" s="578">
        <v>8093.6</v>
      </c>
      <c r="X13" s="581">
        <f t="shared" si="0"/>
        <v>260.00000000003638</v>
      </c>
      <c r="Y13" s="623">
        <f t="shared" si="10"/>
        <v>44296</v>
      </c>
      <c r="Z13" s="576"/>
      <c r="AA13" s="576"/>
      <c r="AB13" s="580">
        <f>'Water-Meter'!P15</f>
        <v>21158</v>
      </c>
      <c r="AC13" s="633">
        <f t="shared" si="11"/>
        <v>-21155</v>
      </c>
    </row>
    <row r="14" spans="1:29" ht="19.5" thickBot="1">
      <c r="A14" s="642">
        <f>Gen!B21</f>
        <v>0.104</v>
      </c>
      <c r="B14" s="592">
        <f>Gen!A21</f>
        <v>44297</v>
      </c>
      <c r="C14" s="576"/>
      <c r="D14" s="581">
        <f t="shared" si="1"/>
        <v>9227.7999999999993</v>
      </c>
      <c r="E14" s="577">
        <v>9229.6</v>
      </c>
      <c r="F14" s="581">
        <f t="shared" si="2"/>
        <v>216.00000000013097</v>
      </c>
      <c r="G14" s="576"/>
      <c r="H14" s="623">
        <f t="shared" si="6"/>
        <v>44297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8381</v>
      </c>
      <c r="Q14" s="576">
        <v>8095</v>
      </c>
      <c r="R14" s="626">
        <f t="shared" si="4"/>
        <v>5.0123839009287927</v>
      </c>
      <c r="S14" s="627">
        <f>Gen!T21</f>
        <v>3237</v>
      </c>
      <c r="T14" s="628">
        <f t="shared" si="9"/>
        <v>44297</v>
      </c>
      <c r="U14" s="576"/>
      <c r="V14" s="581">
        <f t="shared" si="5"/>
        <v>8093.6</v>
      </c>
      <c r="W14" s="578">
        <v>8095</v>
      </c>
      <c r="X14" s="581">
        <f t="shared" si="0"/>
        <v>279.99999999992724</v>
      </c>
      <c r="Y14" s="623">
        <f t="shared" si="10"/>
        <v>44297</v>
      </c>
      <c r="Z14" s="576"/>
      <c r="AA14" s="576"/>
      <c r="AB14" s="580">
        <f>'Water-Meter'!P16</f>
        <v>21161</v>
      </c>
      <c r="AC14" s="633">
        <v>20490</v>
      </c>
    </row>
    <row r="15" spans="1:29" ht="19.5" thickBot="1">
      <c r="A15" s="642">
        <f>Gen!B22</f>
        <v>0.104</v>
      </c>
      <c r="B15" s="592">
        <f>Gen!A22</f>
        <v>44298</v>
      </c>
      <c r="C15" s="576"/>
      <c r="D15" s="581">
        <f t="shared" si="1"/>
        <v>9229.6</v>
      </c>
      <c r="E15" s="577">
        <v>9231.6</v>
      </c>
      <c r="F15" s="581">
        <f t="shared" si="2"/>
        <v>240</v>
      </c>
      <c r="G15" s="576"/>
      <c r="H15" s="623">
        <f t="shared" si="6"/>
        <v>44298</v>
      </c>
      <c r="I15" s="576"/>
      <c r="J15" s="624">
        <f>'Water-Meter'!G17</f>
        <v>75790</v>
      </c>
      <c r="K15" s="625">
        <f>'Water-Meter'!G17</f>
        <v>75790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8382</v>
      </c>
      <c r="Q15" s="576">
        <f t="shared" si="8"/>
        <v>0</v>
      </c>
      <c r="R15" s="626">
        <f t="shared" si="4"/>
        <v>0</v>
      </c>
      <c r="S15" s="627">
        <f>Gen!T22</f>
        <v>3269</v>
      </c>
      <c r="T15" s="628">
        <f t="shared" si="9"/>
        <v>44298</v>
      </c>
      <c r="U15" s="576"/>
      <c r="V15" s="581">
        <f t="shared" si="5"/>
        <v>8095</v>
      </c>
      <c r="W15" s="578">
        <v>8096.2</v>
      </c>
      <c r="X15" s="581">
        <f t="shared" si="0"/>
        <v>239.99999999996362</v>
      </c>
      <c r="Y15" s="623">
        <f t="shared" si="10"/>
        <v>44298</v>
      </c>
      <c r="Z15" s="576"/>
      <c r="AA15" s="576"/>
      <c r="AB15" s="580">
        <f>'Water-Meter'!P17</f>
        <v>21167</v>
      </c>
      <c r="AC15" s="633">
        <f t="shared" si="11"/>
        <v>-21161</v>
      </c>
    </row>
    <row r="16" spans="1:29" ht="19.5" thickBot="1">
      <c r="A16" s="642">
        <f>Gen!B23</f>
        <v>1.2999999999999999E-2</v>
      </c>
      <c r="B16" s="592">
        <f>Gen!A23</f>
        <v>44299</v>
      </c>
      <c r="C16" s="576"/>
      <c r="D16" s="581">
        <f t="shared" si="1"/>
        <v>9231.6</v>
      </c>
      <c r="E16" s="577">
        <v>9233.4</v>
      </c>
      <c r="F16" s="581">
        <f>SUM(E16-D16)*120</f>
        <v>215.99999999991269</v>
      </c>
      <c r="G16" s="576"/>
      <c r="H16" s="623">
        <f t="shared" si="6"/>
        <v>44299</v>
      </c>
      <c r="I16" s="576"/>
      <c r="J16" s="624">
        <f>'Water-Meter'!G18</f>
        <v>75790</v>
      </c>
      <c r="K16" s="625">
        <f>'Water-Meter'!G18</f>
        <v>75790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8383</v>
      </c>
      <c r="Q16" s="576">
        <f t="shared" si="8"/>
        <v>0</v>
      </c>
      <c r="R16" s="626">
        <f t="shared" si="4"/>
        <v>0</v>
      </c>
      <c r="S16" s="627">
        <f>Gen!T23</f>
        <v>2665</v>
      </c>
      <c r="T16" s="628">
        <f t="shared" si="9"/>
        <v>44299</v>
      </c>
      <c r="U16" s="576"/>
      <c r="V16" s="581">
        <f t="shared" si="5"/>
        <v>8096.2</v>
      </c>
      <c r="W16" s="578">
        <v>8097.7</v>
      </c>
      <c r="X16" s="581">
        <f t="shared" si="0"/>
        <v>300</v>
      </c>
      <c r="Y16" s="623">
        <f t="shared" si="10"/>
        <v>44299</v>
      </c>
      <c r="Z16" s="576"/>
      <c r="AA16" s="576"/>
      <c r="AB16" s="580">
        <f>'Water-Meter'!P18</f>
        <v>21169</v>
      </c>
      <c r="AC16" s="633">
        <f t="shared" si="11"/>
        <v>-21167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9233.4</v>
      </c>
      <c r="E17" s="577">
        <v>9235.2999999999993</v>
      </c>
      <c r="F17" s="581">
        <f>SUM(E17-D17)*120</f>
        <v>227.99999999995634</v>
      </c>
      <c r="G17" s="576"/>
      <c r="H17" s="623">
        <f t="shared" si="6"/>
        <v>44300</v>
      </c>
      <c r="I17" s="576"/>
      <c r="J17" s="624">
        <f>'Water-Meter'!G19</f>
        <v>75790</v>
      </c>
      <c r="K17" s="625">
        <f>'Water-Meter'!G19</f>
        <v>75790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8384</v>
      </c>
      <c r="Q17" s="576">
        <f t="shared" si="8"/>
        <v>0</v>
      </c>
      <c r="R17" s="626">
        <f t="shared" si="4"/>
        <v>0</v>
      </c>
      <c r="S17" s="627">
        <f>Gen!T24</f>
        <v>2643</v>
      </c>
      <c r="T17" s="628">
        <f t="shared" si="9"/>
        <v>44300</v>
      </c>
      <c r="U17" s="576"/>
      <c r="V17" s="581">
        <f t="shared" si="5"/>
        <v>8097.7</v>
      </c>
      <c r="W17" s="578">
        <v>8098.6</v>
      </c>
      <c r="X17" s="581">
        <f t="shared" si="0"/>
        <v>180.00000000010914</v>
      </c>
      <c r="Y17" s="623">
        <f t="shared" si="10"/>
        <v>44300</v>
      </c>
      <c r="Z17" s="576"/>
      <c r="AA17" s="576"/>
      <c r="AB17" s="580">
        <f>'Water-Meter'!P19</f>
        <v>21171</v>
      </c>
      <c r="AC17" s="633">
        <f t="shared" si="11"/>
        <v>-21169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9235.2999999999993</v>
      </c>
      <c r="E18" s="577">
        <v>9237.1</v>
      </c>
      <c r="F18" s="581">
        <f t="shared" ref="F18:F22" si="12">SUM(E18-D18)*120</f>
        <v>216.00000000013097</v>
      </c>
      <c r="G18" s="576"/>
      <c r="H18" s="623">
        <f t="shared" si="6"/>
        <v>44301</v>
      </c>
      <c r="I18" s="576"/>
      <c r="J18" s="624">
        <f>'Water-Meter'!G20</f>
        <v>75790</v>
      </c>
      <c r="K18" s="625">
        <f>'Water-Meter'!G20</f>
        <v>75790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8385</v>
      </c>
      <c r="P18" s="580">
        <f>'Water-Meter'!J20</f>
        <v>8385</v>
      </c>
      <c r="Q18" s="576">
        <f t="shared" si="8"/>
        <v>0</v>
      </c>
      <c r="R18" s="626">
        <f t="shared" si="4"/>
        <v>0</v>
      </c>
      <c r="S18" s="627">
        <f>Gen!T25</f>
        <v>2618</v>
      </c>
      <c r="T18" s="628">
        <f t="shared" si="9"/>
        <v>44301</v>
      </c>
      <c r="U18" s="576"/>
      <c r="V18" s="581">
        <f t="shared" si="5"/>
        <v>8098.6</v>
      </c>
      <c r="W18" s="578">
        <v>8100.1</v>
      </c>
      <c r="X18" s="581">
        <f t="shared" si="0"/>
        <v>300</v>
      </c>
      <c r="Y18" s="623">
        <f t="shared" si="10"/>
        <v>44301</v>
      </c>
      <c r="Z18" s="576"/>
      <c r="AA18" s="576"/>
      <c r="AB18" s="580">
        <f>'Water-Meter'!P20</f>
        <v>21176</v>
      </c>
      <c r="AC18" s="633">
        <f t="shared" si="11"/>
        <v>-21171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9237.1</v>
      </c>
      <c r="E19" s="577">
        <v>9238.7999999999993</v>
      </c>
      <c r="F19" s="581">
        <f t="shared" si="12"/>
        <v>203.99999999986903</v>
      </c>
      <c r="G19" s="576"/>
      <c r="H19" s="623">
        <f t="shared" si="6"/>
        <v>44302</v>
      </c>
      <c r="I19" s="579"/>
      <c r="J19" s="624">
        <f>'Water-Meter'!G21</f>
        <v>75790</v>
      </c>
      <c r="K19" s="625">
        <f>'Water-Meter'!G21</f>
        <v>75790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8387</v>
      </c>
      <c r="P19" s="580">
        <f>'Water-Meter'!J21</f>
        <v>8387</v>
      </c>
      <c r="Q19" s="576">
        <f t="shared" si="8"/>
        <v>-8385</v>
      </c>
      <c r="R19" s="626">
        <f t="shared" si="4"/>
        <v>-5.1919504643962853</v>
      </c>
      <c r="S19" s="627">
        <f>Gen!T26</f>
        <v>2546</v>
      </c>
      <c r="T19" s="628">
        <f t="shared" si="9"/>
        <v>44302</v>
      </c>
      <c r="U19" s="579"/>
      <c r="V19" s="581">
        <f t="shared" si="5"/>
        <v>8100.1</v>
      </c>
      <c r="W19" s="578">
        <v>8101.1</v>
      </c>
      <c r="X19" s="581">
        <f t="shared" si="0"/>
        <v>200</v>
      </c>
      <c r="Y19" s="623">
        <f t="shared" si="10"/>
        <v>44302</v>
      </c>
      <c r="Z19" s="579"/>
      <c r="AA19" s="576"/>
      <c r="AB19" s="580">
        <f>'Water-Meter'!P21</f>
        <v>21178</v>
      </c>
      <c r="AC19" s="633">
        <f t="shared" si="11"/>
        <v>-21176</v>
      </c>
    </row>
    <row r="20" spans="1:29" ht="19.5" thickBot="1">
      <c r="A20" s="642">
        <f>Gen!B27</f>
        <v>1.2999999999999999E-2</v>
      </c>
      <c r="B20" s="592">
        <f>Gen!A27</f>
        <v>44303</v>
      </c>
      <c r="C20" s="579"/>
      <c r="D20" s="581">
        <f t="shared" si="1"/>
        <v>9238.7999999999993</v>
      </c>
      <c r="E20" s="577">
        <v>9240.7999999999993</v>
      </c>
      <c r="F20" s="581">
        <f t="shared" si="12"/>
        <v>240</v>
      </c>
      <c r="G20" s="576"/>
      <c r="H20" s="623">
        <f t="shared" si="6"/>
        <v>44303</v>
      </c>
      <c r="I20" s="579"/>
      <c r="J20" s="624">
        <f>'Water-Meter'!G22</f>
        <v>75790</v>
      </c>
      <c r="K20" s="625">
        <f>'Water-Meter'!G22</f>
        <v>75790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8389</v>
      </c>
      <c r="P20" s="580">
        <f>'Water-Meter'!J22</f>
        <v>8389</v>
      </c>
      <c r="Q20" s="576">
        <f t="shared" si="8"/>
        <v>-8387</v>
      </c>
      <c r="R20" s="626">
        <f t="shared" si="4"/>
        <v>-5.193188854489164</v>
      </c>
      <c r="S20" s="627">
        <f>Gen!T27</f>
        <v>2694</v>
      </c>
      <c r="T20" s="628">
        <f t="shared" si="9"/>
        <v>44303</v>
      </c>
      <c r="U20" s="579"/>
      <c r="V20" s="581">
        <f t="shared" si="5"/>
        <v>8101.1</v>
      </c>
      <c r="W20" s="578">
        <v>8101.9</v>
      </c>
      <c r="X20" s="581">
        <f t="shared" si="0"/>
        <v>159.99999999985448</v>
      </c>
      <c r="Y20" s="623">
        <f t="shared" si="10"/>
        <v>44303</v>
      </c>
      <c r="Z20" s="579"/>
      <c r="AA20" s="576"/>
      <c r="AB20" s="580">
        <f>'Water-Meter'!P22</f>
        <v>21183</v>
      </c>
      <c r="AC20" s="633">
        <f t="shared" si="11"/>
        <v>-21178</v>
      </c>
    </row>
    <row r="21" spans="1:29" ht="19.5" thickBot="1">
      <c r="A21" s="642">
        <f>Gen!B28</f>
        <v>3.9E-2</v>
      </c>
      <c r="B21" s="592">
        <f>Gen!A28</f>
        <v>44304</v>
      </c>
      <c r="C21" s="579"/>
      <c r="D21" s="581">
        <f t="shared" si="1"/>
        <v>9240.7999999999993</v>
      </c>
      <c r="E21" s="577">
        <v>9242.9</v>
      </c>
      <c r="F21" s="581">
        <f t="shared" si="12"/>
        <v>252.00000000004366</v>
      </c>
      <c r="G21" s="576"/>
      <c r="H21" s="623">
        <f t="shared" si="6"/>
        <v>44304</v>
      </c>
      <c r="I21" s="579"/>
      <c r="J21" s="624">
        <f>'Water-Meter'!G23</f>
        <v>75790</v>
      </c>
      <c r="K21" s="625">
        <f>'Water-Meter'!G23</f>
        <v>75790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8390</v>
      </c>
      <c r="P21" s="580">
        <f>'Water-Meter'!J23</f>
        <v>8390</v>
      </c>
      <c r="Q21" s="576">
        <f t="shared" ref="Q21:Q35" si="13">N21-O20</f>
        <v>-8389</v>
      </c>
      <c r="R21" s="626">
        <f t="shared" ref="R21:R35" si="14">SUM(Q21/1615)</f>
        <v>-5.1944272445820436</v>
      </c>
      <c r="S21" s="627">
        <f>Gen!T28</f>
        <v>2839</v>
      </c>
      <c r="T21" s="628">
        <f t="shared" si="9"/>
        <v>44304</v>
      </c>
      <c r="U21" s="579"/>
      <c r="V21" s="581">
        <f t="shared" si="5"/>
        <v>8101.9</v>
      </c>
      <c r="W21" s="578">
        <v>8103.3</v>
      </c>
      <c r="X21" s="581">
        <f t="shared" si="0"/>
        <v>280.00000000010914</v>
      </c>
      <c r="Y21" s="623">
        <f t="shared" si="10"/>
        <v>44304</v>
      </c>
      <c r="Z21" s="579"/>
      <c r="AA21" s="576"/>
      <c r="AB21" s="580">
        <f>'Water-Meter'!P23</f>
        <v>21187</v>
      </c>
      <c r="AC21" s="633">
        <f t="shared" si="11"/>
        <v>-21183</v>
      </c>
    </row>
    <row r="22" spans="1:29" ht="19.5" thickBot="1">
      <c r="A22" s="642">
        <f>Gen!B29</f>
        <v>6.5000000000000002E-2</v>
      </c>
      <c r="B22" s="592">
        <f>Gen!A29</f>
        <v>44305</v>
      </c>
      <c r="C22" s="576"/>
      <c r="D22" s="581">
        <f t="shared" si="1"/>
        <v>9242.9</v>
      </c>
      <c r="E22" s="577">
        <v>9245</v>
      </c>
      <c r="F22" s="581">
        <f t="shared" si="12"/>
        <v>252.00000000004366</v>
      </c>
      <c r="G22" s="576"/>
      <c r="H22" s="623">
        <f t="shared" si="6"/>
        <v>44305</v>
      </c>
      <c r="I22" s="576"/>
      <c r="J22" s="624">
        <f>'Water-Meter'!G24</f>
        <v>75790</v>
      </c>
      <c r="K22" s="625">
        <f>'Water-Meter'!G24</f>
        <v>75790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8391</v>
      </c>
      <c r="P22" s="580">
        <f>'Water-Meter'!J24</f>
        <v>8391</v>
      </c>
      <c r="Q22" s="576">
        <f t="shared" si="13"/>
        <v>-8390</v>
      </c>
      <c r="R22" s="626">
        <f t="shared" si="14"/>
        <v>-5.1950464396284826</v>
      </c>
      <c r="S22" s="627">
        <f>Gen!T29</f>
        <v>2733</v>
      </c>
      <c r="T22" s="628">
        <f t="shared" si="9"/>
        <v>44305</v>
      </c>
      <c r="U22" s="576"/>
      <c r="V22" s="581">
        <f t="shared" si="5"/>
        <v>8103.3</v>
      </c>
      <c r="W22" s="578">
        <v>8104.6</v>
      </c>
      <c r="X22" s="581">
        <f t="shared" si="0"/>
        <v>260.00000000003638</v>
      </c>
      <c r="Y22" s="623">
        <f t="shared" si="10"/>
        <v>44305</v>
      </c>
      <c r="Z22" s="576"/>
      <c r="AA22" s="576"/>
      <c r="AB22" s="580">
        <f>'Water-Meter'!P24</f>
        <v>21191</v>
      </c>
      <c r="AC22" s="633">
        <f t="shared" si="11"/>
        <v>-21187</v>
      </c>
    </row>
    <row r="23" spans="1:29" ht="19.5" thickBot="1">
      <c r="A23" s="642">
        <f>Gen!B30</f>
        <v>5.1999999999999998E-2</v>
      </c>
      <c r="B23" s="592">
        <f>Gen!A30</f>
        <v>44306</v>
      </c>
      <c r="C23" s="579"/>
      <c r="D23" s="581">
        <f t="shared" si="1"/>
        <v>9245</v>
      </c>
      <c r="E23" s="577">
        <v>9247.1</v>
      </c>
      <c r="F23" s="581">
        <f t="shared" ref="F23:F34" si="15">SUM(E23-D23)*120</f>
        <v>252.00000000004366</v>
      </c>
      <c r="G23" s="576"/>
      <c r="H23" s="623">
        <f t="shared" si="6"/>
        <v>44306</v>
      </c>
      <c r="I23" s="579"/>
      <c r="J23" s="624">
        <f>'Water-Meter'!G25</f>
        <v>75790</v>
      </c>
      <c r="K23" s="625">
        <f>'Water-Meter'!G26</f>
        <v>0</v>
      </c>
      <c r="L23" s="576">
        <f t="shared" si="3"/>
        <v>-75790</v>
      </c>
      <c r="M23" s="623">
        <f t="shared" si="7"/>
        <v>44306</v>
      </c>
      <c r="N23" s="579"/>
      <c r="O23" s="6">
        <f>'Water-Meter'!J25</f>
        <v>8392</v>
      </c>
      <c r="P23" s="580">
        <f>'Water-Meter'!J25</f>
        <v>8392</v>
      </c>
      <c r="Q23" s="576">
        <f t="shared" si="13"/>
        <v>-8391</v>
      </c>
      <c r="R23" s="626">
        <f t="shared" si="14"/>
        <v>-5.1956656346749224</v>
      </c>
      <c r="S23" s="627">
        <f>Gen!T30</f>
        <v>2856</v>
      </c>
      <c r="T23" s="628">
        <f t="shared" si="9"/>
        <v>44306</v>
      </c>
      <c r="U23" s="579"/>
      <c r="V23" s="581">
        <f t="shared" si="5"/>
        <v>8104.6</v>
      </c>
      <c r="W23" s="578">
        <v>8105.8</v>
      </c>
      <c r="X23" s="581">
        <f t="shared" si="0"/>
        <v>239.99999999996362</v>
      </c>
      <c r="Y23" s="623">
        <f t="shared" si="10"/>
        <v>44306</v>
      </c>
      <c r="Z23" s="579"/>
      <c r="AA23" s="576"/>
      <c r="AB23" s="580">
        <f>'Water-Meter'!P25</f>
        <v>21194</v>
      </c>
      <c r="AC23" s="633">
        <f t="shared" si="11"/>
        <v>-21191</v>
      </c>
    </row>
    <row r="24" spans="1:29" ht="19.5" thickBot="1">
      <c r="A24" s="642">
        <f>Gen!B31</f>
        <v>0</v>
      </c>
      <c r="B24" s="592">
        <f>Gen!A31</f>
        <v>44307</v>
      </c>
      <c r="C24" s="579"/>
      <c r="D24" s="581">
        <f t="shared" ref="D24:D35" si="16">SUM(E23)</f>
        <v>9247.1</v>
      </c>
      <c r="E24" s="577"/>
      <c r="F24" s="581">
        <f t="shared" si="15"/>
        <v>-1109652</v>
      </c>
      <c r="G24" s="576"/>
      <c r="H24" s="623">
        <f t="shared" si="6"/>
        <v>44307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-8392</v>
      </c>
      <c r="R24" s="626">
        <f t="shared" si="14"/>
        <v>-5.1962848297213622</v>
      </c>
      <c r="S24" s="627">
        <f>Gen!T31</f>
        <v>0</v>
      </c>
      <c r="T24" s="628">
        <f t="shared" si="9"/>
        <v>44307</v>
      </c>
      <c r="U24" s="579"/>
      <c r="V24" s="581">
        <f t="shared" si="5"/>
        <v>8105.8</v>
      </c>
      <c r="W24" s="578"/>
      <c r="X24" s="581">
        <f t="shared" si="0"/>
        <v>-1621160</v>
      </c>
      <c r="Y24" s="623">
        <f t="shared" si="10"/>
        <v>44307</v>
      </c>
      <c r="Z24" s="579"/>
      <c r="AA24" s="576"/>
      <c r="AB24" s="580">
        <f>'Water-Meter'!P26</f>
        <v>0</v>
      </c>
      <c r="AC24" s="633">
        <f t="shared" si="11"/>
        <v>-21194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44308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44308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44308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44309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44309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-75790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opLeftCell="A7"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90">
        <f>A5</f>
        <v>44287</v>
      </c>
      <c r="B1" s="890"/>
      <c r="C1" s="890"/>
      <c r="D1" s="890"/>
      <c r="E1" s="890"/>
      <c r="F1" s="890"/>
      <c r="G1" s="890"/>
      <c r="H1" s="890"/>
      <c r="I1" s="890"/>
      <c r="J1" s="890"/>
      <c r="K1" s="890"/>
      <c r="L1" s="890"/>
    </row>
    <row r="2" spans="1:13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42252.400000000009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49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40831.760000000009</v>
      </c>
      <c r="K13" s="295">
        <f>'Water-Meter'!E14</f>
        <v>47</v>
      </c>
      <c r="L13" s="653">
        <f>'Lpg (2)'!G18</f>
        <v>44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5.1999999999999998E-2</v>
      </c>
      <c r="D14" s="434">
        <f t="shared" si="0"/>
        <v>15.58</v>
      </c>
      <c r="E14" s="74">
        <v>15.58</v>
      </c>
      <c r="F14" s="70">
        <f>Gen!U20</f>
        <v>0.39324810606060606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39223.360000000008</v>
      </c>
      <c r="K14" s="295">
        <f>'Water-Meter'!E15</f>
        <v>46</v>
      </c>
      <c r="L14" s="653">
        <f>'Lpg (2)'!G19</f>
        <v>88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25</v>
      </c>
      <c r="C15" s="87">
        <f>Gen!B21</f>
        <v>0.104</v>
      </c>
      <c r="D15" s="434">
        <f t="shared" si="0"/>
        <v>11.69</v>
      </c>
      <c r="E15" s="74">
        <v>11.69</v>
      </c>
      <c r="F15" s="70">
        <f>Gen!U21</f>
        <v>0.39665739882607354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37865.55000000001</v>
      </c>
      <c r="K15" s="295">
        <f>'Water-Meter'!E16</f>
        <v>50</v>
      </c>
      <c r="L15" s="653">
        <f>'Lpg (2)'!G20</f>
        <v>57.243999999976957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24</v>
      </c>
      <c r="C16" s="87">
        <f>Gen!B22</f>
        <v>0.104</v>
      </c>
      <c r="D16" s="434">
        <f t="shared" si="0"/>
        <v>12.99</v>
      </c>
      <c r="E16" s="74">
        <v>12.99</v>
      </c>
      <c r="F16" s="70">
        <f>Gen!U22</f>
        <v>0.35691342918323649</v>
      </c>
      <c r="G16" s="85">
        <f>Gen!T20</f>
        <v>3168</v>
      </c>
      <c r="H16" s="85">
        <f>Gen!AK22</f>
        <v>0</v>
      </c>
      <c r="I16" s="85">
        <f t="shared" si="1"/>
        <v>3168</v>
      </c>
      <c r="J16" s="446">
        <f>Gen!C22</f>
        <v>36556.570000000007</v>
      </c>
      <c r="K16" s="295">
        <f>'Water-Meter'!E17</f>
        <v>61</v>
      </c>
      <c r="L16" s="653">
        <f>'Lpg (2)'!G21</f>
        <v>64.328000000043545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24</v>
      </c>
      <c r="C17" s="87">
        <f>Gen!B23</f>
        <v>1.2999999999999999E-2</v>
      </c>
      <c r="D17" s="434">
        <f t="shared" si="0"/>
        <v>14.29</v>
      </c>
      <c r="E17" s="74">
        <v>14.29</v>
      </c>
      <c r="F17" s="70">
        <f>Gen!U23</f>
        <v>0.406656660412758</v>
      </c>
      <c r="G17" s="85">
        <f>Gen!T21</f>
        <v>3237</v>
      </c>
      <c r="H17" s="85">
        <f>Gen!AK23</f>
        <v>0</v>
      </c>
      <c r="I17" s="85">
        <f t="shared" si="1"/>
        <v>3237</v>
      </c>
      <c r="J17" s="446">
        <f>Gen!C23</f>
        <v>35139.180000000008</v>
      </c>
      <c r="K17" s="295">
        <f>'Water-Meter'!E18</f>
        <v>181</v>
      </c>
      <c r="L17" s="653">
        <f>'Lpg (2)'!G22</f>
        <v>63.227999999979517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24</v>
      </c>
      <c r="C18" s="87">
        <f>Gen!B24</f>
        <v>0</v>
      </c>
      <c r="D18" s="434">
        <f t="shared" si="0"/>
        <v>14.29</v>
      </c>
      <c r="E18" s="74">
        <v>14.29</v>
      </c>
      <c r="F18" s="70">
        <f>Gen!U24</f>
        <v>0.40256905032160423</v>
      </c>
      <c r="G18" s="85">
        <f>Gen!T22</f>
        <v>3269</v>
      </c>
      <c r="H18" s="85">
        <f>Gen!AK24</f>
        <v>0</v>
      </c>
      <c r="I18" s="85">
        <f t="shared" si="1"/>
        <v>3269</v>
      </c>
      <c r="J18" s="446">
        <f>Gen!C24</f>
        <v>34032.900000000009</v>
      </c>
      <c r="K18" s="295">
        <f>'Water-Meter'!E19</f>
        <v>46</v>
      </c>
      <c r="L18" s="653">
        <f>'Lpg (2)'!G23</f>
        <v>59.708000000030736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24</v>
      </c>
      <c r="C19" s="87">
        <f>Gen!B25</f>
        <v>0</v>
      </c>
      <c r="D19" s="434">
        <f t="shared" si="0"/>
        <v>9.09</v>
      </c>
      <c r="E19" s="74">
        <v>9.09</v>
      </c>
      <c r="F19" s="70">
        <f>Gen!U25</f>
        <v>0.4014820473644003</v>
      </c>
      <c r="G19" s="85">
        <f>Gen!T23</f>
        <v>2665</v>
      </c>
      <c r="H19" s="85">
        <f>Gen!AK25</f>
        <v>0</v>
      </c>
      <c r="I19" s="85">
        <f t="shared" si="1"/>
        <v>2665</v>
      </c>
      <c r="J19" s="446">
        <f>Gen!C25</f>
        <v>32808.420000000006</v>
      </c>
      <c r="K19" s="295">
        <f>'Water-Meter'!E20</f>
        <v>47</v>
      </c>
      <c r="L19" s="653">
        <f>'Lpg (2)'!G24</f>
        <v>59.091999999969268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24</v>
      </c>
      <c r="C20" s="87">
        <f>Gen!B26</f>
        <v>0</v>
      </c>
      <c r="D20" s="434">
        <f t="shared" si="0"/>
        <v>7.79</v>
      </c>
      <c r="E20" s="74">
        <v>7.79</v>
      </c>
      <c r="F20" s="70">
        <f>Gen!U26</f>
        <v>0.40802435192458758</v>
      </c>
      <c r="G20" s="85">
        <f>Gen!T24</f>
        <v>2643</v>
      </c>
      <c r="H20" s="85">
        <f>Gen!AK26</f>
        <v>0</v>
      </c>
      <c r="I20" s="85">
        <f t="shared" si="1"/>
        <v>2643</v>
      </c>
      <c r="J20" s="446">
        <f>Gen!C26</f>
        <v>31655.430000000004</v>
      </c>
      <c r="K20" s="295">
        <f>'Water-Meter'!E21</f>
        <v>40</v>
      </c>
      <c r="L20" s="653">
        <f>'Lpg (2)'!G25</f>
        <v>44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25</v>
      </c>
      <c r="C21" s="87">
        <f>Gen!B27</f>
        <v>1.2999999999999999E-2</v>
      </c>
      <c r="D21" s="434">
        <f t="shared" si="0"/>
        <v>6.49</v>
      </c>
      <c r="E21" s="74">
        <v>6.49</v>
      </c>
      <c r="F21" s="70">
        <f>Gen!U27</f>
        <v>0.40934669636228654</v>
      </c>
      <c r="G21" s="85">
        <f>Gen!T25</f>
        <v>2618</v>
      </c>
      <c r="H21" s="85">
        <f>Gen!AK27</f>
        <v>0</v>
      </c>
      <c r="I21" s="85">
        <f t="shared" si="1"/>
        <v>2618</v>
      </c>
      <c r="J21" s="446">
        <f>Gen!C27</f>
        <v>30616.600000000006</v>
      </c>
      <c r="K21" s="295">
        <f>'Water-Meter'!E22</f>
        <v>52</v>
      </c>
      <c r="L21" s="653">
        <f>'Lpg (2)'!G26</f>
        <v>56.847999999992318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24</v>
      </c>
      <c r="C22" s="87">
        <f>Gen!B28</f>
        <v>3.9E-2</v>
      </c>
      <c r="D22" s="434">
        <f t="shared" si="0"/>
        <v>0</v>
      </c>
      <c r="E22" s="74"/>
      <c r="F22" s="70">
        <f>Gen!U28</f>
        <v>0.41046143008101443</v>
      </c>
      <c r="G22" s="85">
        <f>Gen!T26</f>
        <v>2546</v>
      </c>
      <c r="H22" s="85">
        <f>Gen!AK28</f>
        <v>0</v>
      </c>
      <c r="I22" s="85">
        <f t="shared" si="1"/>
        <v>2546</v>
      </c>
      <c r="J22" s="446">
        <f>Gen!C28</f>
        <v>29367.510000000006</v>
      </c>
      <c r="K22" s="295">
        <f>'Water-Meter'!E23</f>
        <v>53</v>
      </c>
      <c r="L22" s="653">
        <f>'Lpg (2)'!G27</f>
        <v>61.952000000007686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24</v>
      </c>
      <c r="C23" s="87">
        <f>Gen!B29</f>
        <v>6.5000000000000002E-2</v>
      </c>
      <c r="D23" s="434">
        <f t="shared" si="0"/>
        <v>0</v>
      </c>
      <c r="E23" s="74"/>
      <c r="F23" s="70">
        <f>Gen!U29</f>
        <v>0.42041712403951703</v>
      </c>
      <c r="G23" s="85">
        <f>Gen!T27</f>
        <v>2694</v>
      </c>
      <c r="H23" s="85">
        <f>Gen!AK29</f>
        <v>0</v>
      </c>
      <c r="I23" s="85">
        <f t="shared" si="1"/>
        <v>2694</v>
      </c>
      <c r="J23" s="446">
        <f>Gen!C29</f>
        <v>28202.210000000006</v>
      </c>
      <c r="K23" s="295">
        <f>'Water-Meter'!E24</f>
        <v>58</v>
      </c>
      <c r="L23" s="653">
        <f>'Lpg (2)'!G28</f>
        <v>67.804000000015378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24</v>
      </c>
      <c r="C24" s="87">
        <f>Gen!B30</f>
        <v>5.1999999999999998E-2</v>
      </c>
      <c r="D24" s="434">
        <f t="shared" si="0"/>
        <v>0</v>
      </c>
      <c r="E24" s="74"/>
      <c r="F24" s="70">
        <f>Gen!U30</f>
        <v>0.41581932773109243</v>
      </c>
      <c r="G24" s="85">
        <f>Gen!T28</f>
        <v>2839</v>
      </c>
      <c r="H24" s="85">
        <f>Gen!AK30</f>
        <v>0</v>
      </c>
      <c r="I24" s="85">
        <f t="shared" si="1"/>
        <v>2839</v>
      </c>
      <c r="J24" s="446">
        <f>Gen!C30</f>
        <v>26707.000000000007</v>
      </c>
      <c r="K24" s="295">
        <f>'Water-Meter'!E25</f>
        <v>66</v>
      </c>
      <c r="L24" s="653">
        <f>'Lpg (2)'!G29</f>
        <v>65.955999999959033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-159399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2733</v>
      </c>
      <c r="H25" s="85">
        <f>Gen!AK31</f>
        <v>0</v>
      </c>
      <c r="I25" s="85">
        <f t="shared" si="1"/>
        <v>2733</v>
      </c>
      <c r="J25" s="446">
        <f>Gen!C31</f>
        <v>25451.960000000006</v>
      </c>
      <c r="K25" s="295" t="str">
        <f>'Water-Meter'!E26</f>
        <v>0</v>
      </c>
      <c r="L25" s="653">
        <f>'Lpg (2)'!G30</f>
        <v>-334806.56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2856</v>
      </c>
      <c r="H26" s="85">
        <f>Gen!AK32</f>
        <v>0</v>
      </c>
      <c r="I26" s="85">
        <f t="shared" si="1"/>
        <v>2856</v>
      </c>
      <c r="J26" s="446">
        <f>Gen!C32</f>
        <v>25451.960000000006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25451.960000000006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25451.960000000006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25451.960000000006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25451.960000000006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25451.960000000006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25451.960000000006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25451.960000000006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25451.960000000006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25451.960000000006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25451.960000000006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3" workbookViewId="0">
      <pane xSplit="1" topLeftCell="G1" activePane="topRight" state="frozen"/>
      <selection pane="topRight" activeCell="AA29" sqref="AA2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2">
        <f>A6</f>
        <v>44287</v>
      </c>
      <c r="B1" s="893"/>
      <c r="C1" s="893"/>
      <c r="D1" s="893"/>
      <c r="E1" s="893"/>
      <c r="F1" s="893"/>
      <c r="G1" s="893"/>
      <c r="H1" s="893"/>
      <c r="I1" s="893"/>
      <c r="J1" s="893"/>
      <c r="K1" s="893"/>
      <c r="L1" s="893"/>
      <c r="M1" s="893"/>
      <c r="N1" s="893"/>
      <c r="O1" s="893"/>
      <c r="P1" s="893"/>
      <c r="Q1" s="893"/>
      <c r="R1" s="893"/>
      <c r="S1" s="893"/>
      <c r="T1" s="893"/>
      <c r="U1" s="893"/>
      <c r="V1" s="893"/>
      <c r="W1" s="893"/>
      <c r="X1" s="893"/>
      <c r="Y1" s="893"/>
      <c r="Z1" s="893"/>
      <c r="AA1" s="893"/>
      <c r="AB1" s="893"/>
      <c r="AC1" s="19"/>
    </row>
    <row r="2" spans="1:29" ht="12" customHeight="1" thickBot="1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  <c r="U2" s="893"/>
      <c r="V2" s="893"/>
      <c r="W2" s="893"/>
      <c r="X2" s="893"/>
      <c r="Y2" s="893"/>
      <c r="Z2" s="893"/>
      <c r="AA2" s="893"/>
      <c r="AB2" s="893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4" t="s">
        <v>298</v>
      </c>
      <c r="L3" s="895"/>
      <c r="M3" s="896"/>
      <c r="N3" s="894" t="s">
        <v>299</v>
      </c>
      <c r="O3" s="895"/>
      <c r="P3" s="896"/>
      <c r="Q3" s="894" t="s">
        <v>300</v>
      </c>
      <c r="R3" s="895"/>
      <c r="S3" s="896"/>
      <c r="T3" s="894" t="s">
        <v>301</v>
      </c>
      <c r="U3" s="895"/>
      <c r="V3" s="896"/>
      <c r="W3" s="894" t="s">
        <v>302</v>
      </c>
      <c r="X3" s="895"/>
      <c r="Y3" s="896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13853.38</v>
      </c>
      <c r="D5" s="145">
        <v>22273</v>
      </c>
      <c r="E5" s="851"/>
      <c r="F5" s="851"/>
      <c r="G5" s="851"/>
      <c r="H5" s="851"/>
      <c r="I5" s="145">
        <v>31842.2</v>
      </c>
      <c r="J5" s="861">
        <v>21219.4</v>
      </c>
      <c r="K5" s="857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44287</v>
      </c>
      <c r="B6" s="851"/>
      <c r="C6" s="850">
        <v>12242.97</v>
      </c>
      <c r="D6" s="145">
        <v>22273</v>
      </c>
      <c r="E6" s="852"/>
      <c r="F6" s="145"/>
      <c r="G6" s="145"/>
      <c r="H6" s="145"/>
      <c r="I6" s="145">
        <v>31847.200000000001</v>
      </c>
      <c r="J6" s="848">
        <v>21223.7</v>
      </c>
      <c r="K6" s="858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6">
        <f>Gen!A12</f>
        <v>44288</v>
      </c>
      <c r="B7" s="851"/>
      <c r="C7" s="850">
        <v>10771.09</v>
      </c>
      <c r="D7" s="145">
        <v>22273</v>
      </c>
      <c r="E7" s="852"/>
      <c r="F7" s="145"/>
      <c r="G7" s="145"/>
      <c r="H7" s="145"/>
      <c r="I7" s="145">
        <v>31852.7</v>
      </c>
      <c r="J7" s="848">
        <v>21227.1</v>
      </c>
      <c r="K7" s="858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6">
        <f>Gen!A13</f>
        <v>44289</v>
      </c>
      <c r="B8" s="851"/>
      <c r="C8" s="850">
        <v>9237.36</v>
      </c>
      <c r="D8" s="145">
        <v>22273</v>
      </c>
      <c r="E8" s="852"/>
      <c r="F8" s="850"/>
      <c r="G8" s="145">
        <v>139.29</v>
      </c>
      <c r="H8" s="145"/>
      <c r="I8" s="145">
        <v>31858.2</v>
      </c>
      <c r="J8" s="848">
        <v>21230.9</v>
      </c>
      <c r="K8" s="858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6">
        <f>Gen!A14</f>
        <v>44290</v>
      </c>
      <c r="B9" s="851"/>
      <c r="C9" s="850">
        <v>7917.58</v>
      </c>
      <c r="D9" s="145">
        <v>22273</v>
      </c>
      <c r="E9" s="852"/>
      <c r="F9" s="853"/>
      <c r="G9" s="145"/>
      <c r="H9" s="145"/>
      <c r="I9" s="145">
        <v>31863.8</v>
      </c>
      <c r="J9" s="848">
        <v>21235.5</v>
      </c>
      <c r="K9" s="858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6">
        <f>Gen!A15</f>
        <v>44291</v>
      </c>
      <c r="B10" s="851"/>
      <c r="C10" s="850">
        <v>6308.49</v>
      </c>
      <c r="D10" s="145">
        <v>22273</v>
      </c>
      <c r="E10" s="852"/>
      <c r="F10" s="145"/>
      <c r="G10" s="145">
        <v>218.51</v>
      </c>
      <c r="H10" s="145"/>
      <c r="I10" s="145">
        <v>31869.200000000001</v>
      </c>
      <c r="J10" s="848">
        <v>21239.8</v>
      </c>
      <c r="K10" s="858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6">
        <f>Gen!A16</f>
        <v>44292</v>
      </c>
      <c r="B11" s="851"/>
      <c r="C11" s="850">
        <v>4758.5</v>
      </c>
      <c r="D11" s="145">
        <v>22273</v>
      </c>
      <c r="E11" s="852"/>
      <c r="F11" s="145"/>
      <c r="G11" s="145">
        <v>42.44</v>
      </c>
      <c r="H11" s="145"/>
      <c r="I11" s="145">
        <v>31874.5</v>
      </c>
      <c r="J11" s="848">
        <v>21244.1</v>
      </c>
      <c r="K11" s="858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6">
        <f>Gen!A17</f>
        <v>44293</v>
      </c>
      <c r="B12" s="851"/>
      <c r="C12" s="850">
        <v>3448.96</v>
      </c>
      <c r="D12" s="145">
        <v>22273</v>
      </c>
      <c r="E12" s="852"/>
      <c r="F12" s="145"/>
      <c r="G12" s="145">
        <v>117.14</v>
      </c>
      <c r="H12" s="145"/>
      <c r="I12" s="145">
        <v>31879.8</v>
      </c>
      <c r="J12" s="848">
        <v>21247.599999999999</v>
      </c>
      <c r="K12" s="858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1469.5600000000002</v>
      </c>
    </row>
    <row r="13" spans="1:29" ht="20.100000000000001" customHeight="1" thickBot="1">
      <c r="A13" s="856">
        <f>Gen!A18</f>
        <v>44294</v>
      </c>
      <c r="B13" s="851"/>
      <c r="C13" s="850">
        <v>19981.400000000001</v>
      </c>
      <c r="D13" s="145">
        <v>22273</v>
      </c>
      <c r="E13" s="852"/>
      <c r="F13" s="145"/>
      <c r="G13" s="145">
        <v>156.32</v>
      </c>
      <c r="H13" s="145"/>
      <c r="I13" s="145">
        <v>31884.9</v>
      </c>
      <c r="J13" s="848">
        <v>21252.1</v>
      </c>
      <c r="K13" s="858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 thickBot="1">
      <c r="A14" s="856">
        <f>Gen!A19</f>
        <v>44295</v>
      </c>
      <c r="B14" s="851"/>
      <c r="C14" s="850">
        <v>18558.759999999998</v>
      </c>
      <c r="D14" s="145">
        <v>22273</v>
      </c>
      <c r="E14" s="852"/>
      <c r="F14" s="145"/>
      <c r="G14" s="145">
        <v>302.12</v>
      </c>
      <c r="H14" s="145"/>
      <c r="I14" s="145">
        <v>31889.7</v>
      </c>
      <c r="J14" s="848">
        <v>21256.3</v>
      </c>
      <c r="K14" s="858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24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49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 thickBot="1">
      <c r="A15" s="856">
        <f>Gen!A20</f>
        <v>44296</v>
      </c>
      <c r="B15" s="851"/>
      <c r="C15" s="850">
        <v>16950.36</v>
      </c>
      <c r="D15" s="145">
        <v>22273</v>
      </c>
      <c r="E15" s="852"/>
      <c r="F15" s="145"/>
      <c r="G15" s="862">
        <v>112</v>
      </c>
      <c r="H15" s="145"/>
      <c r="I15" s="145">
        <v>31894.5</v>
      </c>
      <c r="J15" s="848">
        <v>21260.799999999999</v>
      </c>
      <c r="K15" s="858">
        <f t="shared" si="0"/>
        <v>36140</v>
      </c>
      <c r="L15" s="305">
        <v>36140</v>
      </c>
      <c r="M15" s="304">
        <f t="shared" si="1"/>
        <v>0</v>
      </c>
      <c r="N15" s="306" t="e">
        <f>#REF!</f>
        <v>#REF!</v>
      </c>
      <c r="O15" s="125">
        <v>31076</v>
      </c>
      <c r="P15" s="304" t="e">
        <f t="shared" si="11"/>
        <v>#REF!</v>
      </c>
      <c r="Q15" s="304">
        <f t="shared" si="4"/>
        <v>36368</v>
      </c>
      <c r="R15" s="125">
        <v>36368</v>
      </c>
      <c r="S15" s="304">
        <f t="shared" si="5"/>
        <v>0</v>
      </c>
      <c r="T15" s="304">
        <f t="shared" si="6"/>
        <v>33539</v>
      </c>
      <c r="U15" s="305">
        <v>33539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145</v>
      </c>
      <c r="AC15" s="684">
        <f>Gen!AR20</f>
        <v>1357.81</v>
      </c>
    </row>
    <row r="16" spans="1:29" ht="20.100000000000001" customHeight="1" thickBot="1">
      <c r="A16" s="856">
        <f>Gen!A21</f>
        <v>44297</v>
      </c>
      <c r="B16" s="851"/>
      <c r="C16" s="850">
        <v>15592.55</v>
      </c>
      <c r="D16" s="145">
        <v>22273</v>
      </c>
      <c r="E16" s="852"/>
      <c r="F16" s="145"/>
      <c r="G16" s="145">
        <v>25</v>
      </c>
      <c r="H16" s="145"/>
      <c r="I16" s="145">
        <v>31899.200000000001</v>
      </c>
      <c r="J16" s="848">
        <v>21265.1</v>
      </c>
      <c r="K16" s="858">
        <f t="shared" si="0"/>
        <v>36140</v>
      </c>
      <c r="L16" s="305">
        <v>36165</v>
      </c>
      <c r="M16" s="304">
        <f>L16-K16</f>
        <v>25</v>
      </c>
      <c r="N16" s="306">
        <f t="shared" si="2"/>
        <v>31076</v>
      </c>
      <c r="O16" s="125">
        <v>31076</v>
      </c>
      <c r="P16" s="304">
        <f t="shared" si="3"/>
        <v>0</v>
      </c>
      <c r="Q16" s="304">
        <f t="shared" si="4"/>
        <v>36368</v>
      </c>
      <c r="R16" s="125">
        <v>36368</v>
      </c>
      <c r="S16" s="304">
        <f t="shared" si="5"/>
        <v>0</v>
      </c>
      <c r="T16" s="304">
        <f t="shared" si="6"/>
        <v>33539</v>
      </c>
      <c r="U16" s="305">
        <v>33539</v>
      </c>
      <c r="V16" s="304">
        <f t="shared" si="7"/>
        <v>0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25</v>
      </c>
      <c r="AA16" s="125">
        <v>240</v>
      </c>
      <c r="AB16" s="125">
        <v>130</v>
      </c>
      <c r="AC16" s="684">
        <f>Gen!AR21</f>
        <v>1308.98</v>
      </c>
    </row>
    <row r="17" spans="1:29" ht="20.100000000000001" customHeight="1" thickBot="1">
      <c r="A17" s="856">
        <f>Gen!A22</f>
        <v>44298</v>
      </c>
      <c r="B17" s="851"/>
      <c r="C17" s="850">
        <v>14283.57</v>
      </c>
      <c r="D17" s="145">
        <v>22273</v>
      </c>
      <c r="E17" s="852"/>
      <c r="F17" s="145"/>
      <c r="G17" s="145">
        <v>250.64</v>
      </c>
      <c r="H17" s="145"/>
      <c r="I17" s="145">
        <v>31903.9</v>
      </c>
      <c r="J17" s="848">
        <v>21269.5</v>
      </c>
      <c r="K17" s="858">
        <f>L16</f>
        <v>36165</v>
      </c>
      <c r="L17" s="305">
        <v>36165</v>
      </c>
      <c r="M17" s="304">
        <f>L17-K17</f>
        <v>0</v>
      </c>
      <c r="N17" s="306">
        <f t="shared" si="2"/>
        <v>31076</v>
      </c>
      <c r="O17" s="125">
        <v>31076</v>
      </c>
      <c r="P17" s="304">
        <f t="shared" si="3"/>
        <v>0</v>
      </c>
      <c r="Q17" s="304">
        <f t="shared" si="4"/>
        <v>36368</v>
      </c>
      <c r="R17" s="125">
        <v>36392</v>
      </c>
      <c r="S17" s="304">
        <f t="shared" si="5"/>
        <v>24</v>
      </c>
      <c r="T17" s="304">
        <f t="shared" si="6"/>
        <v>33539</v>
      </c>
      <c r="U17" s="305">
        <v>33539</v>
      </c>
      <c r="V17" s="304">
        <f t="shared" si="7"/>
        <v>0</v>
      </c>
      <c r="W17" s="306">
        <f t="shared" si="8"/>
        <v>22034</v>
      </c>
      <c r="X17" s="673">
        <v>22034</v>
      </c>
      <c r="Y17" s="304">
        <f t="shared" si="9"/>
        <v>0</v>
      </c>
      <c r="Z17" s="307">
        <f t="shared" si="10"/>
        <v>24</v>
      </c>
      <c r="AA17" s="125">
        <v>245</v>
      </c>
      <c r="AB17" s="125">
        <v>125</v>
      </c>
      <c r="AC17" s="684">
        <f>Gen!AR22</f>
        <v>1417.3899999999999</v>
      </c>
    </row>
    <row r="18" spans="1:29" ht="20.100000000000001" customHeight="1" thickBot="1">
      <c r="A18" s="856">
        <f>Gen!A23</f>
        <v>44299</v>
      </c>
      <c r="B18" s="851"/>
      <c r="C18" s="850">
        <v>12866.18</v>
      </c>
      <c r="D18" s="145">
        <v>22273</v>
      </c>
      <c r="E18" s="145"/>
      <c r="F18" s="145"/>
      <c r="G18" s="145">
        <v>22.54</v>
      </c>
      <c r="H18" s="145"/>
      <c r="I18" s="145">
        <v>31908.7</v>
      </c>
      <c r="J18" s="848">
        <v>21273.9</v>
      </c>
      <c r="K18" s="858">
        <f>L17</f>
        <v>36165</v>
      </c>
      <c r="L18" s="305">
        <v>36165</v>
      </c>
      <c r="M18" s="304">
        <f t="shared" si="1"/>
        <v>0</v>
      </c>
      <c r="N18" s="306">
        <f t="shared" si="2"/>
        <v>31076</v>
      </c>
      <c r="O18" s="125">
        <v>31076</v>
      </c>
      <c r="P18" s="304">
        <f t="shared" si="3"/>
        <v>0</v>
      </c>
      <c r="Q18" s="304">
        <f t="shared" si="4"/>
        <v>36392</v>
      </c>
      <c r="R18" s="125">
        <v>36392</v>
      </c>
      <c r="S18" s="304">
        <f t="shared" si="5"/>
        <v>0</v>
      </c>
      <c r="T18" s="304">
        <f t="shared" si="6"/>
        <v>33539</v>
      </c>
      <c r="U18" s="305">
        <v>33563</v>
      </c>
      <c r="V18" s="304">
        <f t="shared" si="7"/>
        <v>24</v>
      </c>
      <c r="W18" s="306">
        <f t="shared" si="8"/>
        <v>22034</v>
      </c>
      <c r="X18" s="673">
        <v>22034</v>
      </c>
      <c r="Y18" s="304">
        <f t="shared" si="9"/>
        <v>0</v>
      </c>
      <c r="Z18" s="307">
        <f t="shared" si="10"/>
        <v>24</v>
      </c>
      <c r="AA18" s="125">
        <v>240</v>
      </c>
      <c r="AB18" s="125">
        <v>125</v>
      </c>
      <c r="AC18" s="684">
        <f>Gen!AR23</f>
        <v>1106.28</v>
      </c>
    </row>
    <row r="19" spans="1:29" ht="20.100000000000001" customHeight="1" thickBot="1">
      <c r="A19" s="856">
        <f>Gen!A24</f>
        <v>44300</v>
      </c>
      <c r="B19" s="851"/>
      <c r="C19" s="850">
        <v>11759.9</v>
      </c>
      <c r="D19" s="145">
        <v>22273</v>
      </c>
      <c r="E19" s="145"/>
      <c r="F19" s="145"/>
      <c r="G19" s="145">
        <v>160.49</v>
      </c>
      <c r="H19" s="145"/>
      <c r="I19" s="145">
        <v>31913.7</v>
      </c>
      <c r="J19" s="848">
        <v>21276.9</v>
      </c>
      <c r="K19" s="858">
        <f t="shared" si="0"/>
        <v>36165</v>
      </c>
      <c r="L19" s="305">
        <v>36165</v>
      </c>
      <c r="M19" s="304">
        <f t="shared" si="1"/>
        <v>0</v>
      </c>
      <c r="N19" s="306">
        <f t="shared" si="2"/>
        <v>31076</v>
      </c>
      <c r="O19" s="125">
        <v>31100</v>
      </c>
      <c r="P19" s="304">
        <f t="shared" si="3"/>
        <v>24</v>
      </c>
      <c r="Q19" s="304">
        <f t="shared" si="4"/>
        <v>36392</v>
      </c>
      <c r="R19" s="125">
        <v>36392</v>
      </c>
      <c r="S19" s="304">
        <f t="shared" si="5"/>
        <v>0</v>
      </c>
      <c r="T19" s="304">
        <f t="shared" si="6"/>
        <v>33563</v>
      </c>
      <c r="U19" s="305">
        <v>33563</v>
      </c>
      <c r="V19" s="304">
        <f t="shared" si="7"/>
        <v>0</v>
      </c>
      <c r="W19" s="306">
        <f t="shared" si="8"/>
        <v>22034</v>
      </c>
      <c r="X19" s="673">
        <v>22034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120</v>
      </c>
      <c r="AC19" s="684">
        <f>Gen!AR24</f>
        <v>1224.48</v>
      </c>
    </row>
    <row r="20" spans="1:29" ht="20.100000000000001" customHeight="1" thickBot="1">
      <c r="A20" s="856">
        <f>Gen!A25</f>
        <v>44301</v>
      </c>
      <c r="B20" s="851"/>
      <c r="C20" s="850">
        <v>10535.42</v>
      </c>
      <c r="D20" s="145">
        <v>22273</v>
      </c>
      <c r="E20" s="145"/>
      <c r="F20" s="145"/>
      <c r="G20" s="145">
        <v>101.91</v>
      </c>
      <c r="H20" s="145"/>
      <c r="I20" s="145">
        <v>31917.3</v>
      </c>
      <c r="J20" s="848">
        <v>21280.2</v>
      </c>
      <c r="K20" s="858">
        <f t="shared" si="0"/>
        <v>36165</v>
      </c>
      <c r="L20" s="305">
        <v>36189</v>
      </c>
      <c r="M20" s="304">
        <f t="shared" si="1"/>
        <v>24</v>
      </c>
      <c r="N20" s="306">
        <f t="shared" si="2"/>
        <v>31100</v>
      </c>
      <c r="O20" s="125">
        <v>31100</v>
      </c>
      <c r="P20" s="304">
        <f t="shared" si="3"/>
        <v>0</v>
      </c>
      <c r="Q20" s="304">
        <f t="shared" si="4"/>
        <v>36392</v>
      </c>
      <c r="R20" s="125">
        <v>36392</v>
      </c>
      <c r="S20" s="304">
        <f t="shared" si="5"/>
        <v>0</v>
      </c>
      <c r="T20" s="304">
        <f t="shared" si="6"/>
        <v>33563</v>
      </c>
      <c r="U20" s="305">
        <v>33563</v>
      </c>
      <c r="V20" s="304">
        <f t="shared" si="7"/>
        <v>0</v>
      </c>
      <c r="W20" s="306">
        <f t="shared" si="8"/>
        <v>22034</v>
      </c>
      <c r="X20" s="673">
        <v>22034</v>
      </c>
      <c r="Y20" s="304">
        <f t="shared" si="9"/>
        <v>0</v>
      </c>
      <c r="Z20" s="307">
        <f t="shared" si="10"/>
        <v>24</v>
      </c>
      <c r="AA20" s="125">
        <v>230</v>
      </c>
      <c r="AB20" s="125">
        <v>120</v>
      </c>
      <c r="AC20" s="684">
        <f>Gen!AR25</f>
        <v>1152.99</v>
      </c>
    </row>
    <row r="21" spans="1:29" ht="20.100000000000001" customHeight="1" thickBot="1">
      <c r="A21" s="856">
        <f>Gen!A26</f>
        <v>44302</v>
      </c>
      <c r="B21" s="851"/>
      <c r="C21" s="850">
        <v>9382.43</v>
      </c>
      <c r="D21" s="145">
        <v>22273</v>
      </c>
      <c r="E21" s="145"/>
      <c r="F21" s="145"/>
      <c r="G21" s="145"/>
      <c r="H21" s="145"/>
      <c r="I21" s="145">
        <v>31921.599999999999</v>
      </c>
      <c r="J21" s="848">
        <v>21283.1</v>
      </c>
      <c r="K21" s="858">
        <f t="shared" si="0"/>
        <v>36189</v>
      </c>
      <c r="L21" s="305">
        <v>36189</v>
      </c>
      <c r="M21" s="304">
        <f t="shared" si="1"/>
        <v>0</v>
      </c>
      <c r="N21" s="306">
        <f t="shared" si="2"/>
        <v>31100</v>
      </c>
      <c r="O21" s="125">
        <v>31100</v>
      </c>
      <c r="P21" s="304">
        <f t="shared" si="3"/>
        <v>0</v>
      </c>
      <c r="Q21" s="304">
        <f t="shared" si="4"/>
        <v>36392</v>
      </c>
      <c r="R21" s="125">
        <v>36392</v>
      </c>
      <c r="S21" s="304">
        <f t="shared" si="5"/>
        <v>0</v>
      </c>
      <c r="T21" s="304">
        <f t="shared" si="6"/>
        <v>33563</v>
      </c>
      <c r="U21" s="305">
        <v>33587</v>
      </c>
      <c r="V21" s="304">
        <f t="shared" si="7"/>
        <v>24</v>
      </c>
      <c r="W21" s="306">
        <f t="shared" si="8"/>
        <v>22034</v>
      </c>
      <c r="X21" s="673">
        <v>22034</v>
      </c>
      <c r="Y21" s="304">
        <f t="shared" si="9"/>
        <v>0</v>
      </c>
      <c r="Z21" s="307">
        <f t="shared" si="10"/>
        <v>24</v>
      </c>
      <c r="AA21" s="125">
        <v>220</v>
      </c>
      <c r="AB21" s="125">
        <v>125</v>
      </c>
      <c r="AC21" s="684">
        <f>Gen!AR26</f>
        <v>1038.83</v>
      </c>
    </row>
    <row r="22" spans="1:29" ht="18.75" customHeight="1" thickBot="1">
      <c r="A22" s="856">
        <f>Gen!A27</f>
        <v>44303</v>
      </c>
      <c r="B22" s="851"/>
      <c r="C22" s="850">
        <v>8343.6</v>
      </c>
      <c r="D22" s="145">
        <v>22273</v>
      </c>
      <c r="E22" s="145"/>
      <c r="F22" s="145"/>
      <c r="G22" s="145">
        <v>146.31</v>
      </c>
      <c r="H22" s="145"/>
      <c r="I22" s="145">
        <v>31925.8</v>
      </c>
      <c r="J22" s="848">
        <v>21286.1</v>
      </c>
      <c r="K22" s="858">
        <f t="shared" si="0"/>
        <v>36189</v>
      </c>
      <c r="L22" s="305">
        <v>36189</v>
      </c>
      <c r="M22" s="304">
        <f t="shared" si="1"/>
        <v>0</v>
      </c>
      <c r="N22" s="306">
        <f t="shared" si="2"/>
        <v>31100</v>
      </c>
      <c r="O22" s="125">
        <v>31125</v>
      </c>
      <c r="P22" s="304">
        <f t="shared" si="3"/>
        <v>25</v>
      </c>
      <c r="Q22" s="304">
        <f t="shared" si="4"/>
        <v>36392</v>
      </c>
      <c r="R22" s="125">
        <v>36392</v>
      </c>
      <c r="S22" s="304">
        <f t="shared" si="5"/>
        <v>0</v>
      </c>
      <c r="T22" s="304">
        <f t="shared" si="6"/>
        <v>33587</v>
      </c>
      <c r="U22" s="305">
        <v>33587</v>
      </c>
      <c r="V22" s="304">
        <f t="shared" si="7"/>
        <v>0</v>
      </c>
      <c r="W22" s="306">
        <f t="shared" si="8"/>
        <v>22034</v>
      </c>
      <c r="X22" s="673">
        <v>22034</v>
      </c>
      <c r="Y22" s="304">
        <f t="shared" si="9"/>
        <v>0</v>
      </c>
      <c r="Z22" s="307">
        <f t="shared" si="10"/>
        <v>25</v>
      </c>
      <c r="AA22" s="125">
        <v>225</v>
      </c>
      <c r="AB22" s="125">
        <v>120</v>
      </c>
      <c r="AC22" s="684">
        <f>Gen!AR27</f>
        <v>1249.0899999999999</v>
      </c>
    </row>
    <row r="23" spans="1:29" ht="20.100000000000001" customHeight="1" thickBot="1">
      <c r="A23" s="856">
        <f>Gen!A28</f>
        <v>44304</v>
      </c>
      <c r="B23" s="851"/>
      <c r="C23" s="850">
        <v>7094.51</v>
      </c>
      <c r="D23" s="145">
        <v>22273</v>
      </c>
      <c r="E23" s="852"/>
      <c r="F23" s="145"/>
      <c r="G23" s="145"/>
      <c r="H23" s="145"/>
      <c r="I23" s="145">
        <v>31930.400000000001</v>
      </c>
      <c r="J23" s="848">
        <v>21289.200000000001</v>
      </c>
      <c r="K23" s="858">
        <f t="shared" si="0"/>
        <v>36189</v>
      </c>
      <c r="L23" s="305">
        <v>36189</v>
      </c>
      <c r="M23" s="304">
        <f t="shared" si="1"/>
        <v>0</v>
      </c>
      <c r="N23" s="306">
        <f t="shared" si="2"/>
        <v>31125</v>
      </c>
      <c r="O23" s="125">
        <v>31125</v>
      </c>
      <c r="P23" s="304">
        <f t="shared" si="3"/>
        <v>0</v>
      </c>
      <c r="Q23" s="304">
        <f t="shared" si="4"/>
        <v>36392</v>
      </c>
      <c r="R23" s="125">
        <v>36416</v>
      </c>
      <c r="S23" s="304">
        <f t="shared" si="5"/>
        <v>24</v>
      </c>
      <c r="T23" s="304">
        <f t="shared" si="6"/>
        <v>33587</v>
      </c>
      <c r="U23" s="305">
        <v>33587</v>
      </c>
      <c r="V23" s="304">
        <f t="shared" si="7"/>
        <v>0</v>
      </c>
      <c r="W23" s="306">
        <f t="shared" si="8"/>
        <v>22034</v>
      </c>
      <c r="X23" s="673">
        <v>22034</v>
      </c>
      <c r="Y23" s="304">
        <f t="shared" si="9"/>
        <v>0</v>
      </c>
      <c r="Z23" s="307">
        <f t="shared" si="10"/>
        <v>24</v>
      </c>
      <c r="AA23" s="125">
        <v>220</v>
      </c>
      <c r="AB23" s="125">
        <v>122</v>
      </c>
      <c r="AC23" s="684">
        <f>Gen!AR28</f>
        <v>1165.3</v>
      </c>
    </row>
    <row r="24" spans="1:29" ht="20.100000000000001" customHeight="1" thickBot="1">
      <c r="A24" s="856">
        <f>Gen!A29</f>
        <v>44305</v>
      </c>
      <c r="B24" s="851"/>
      <c r="C24" s="850">
        <v>5929.21</v>
      </c>
      <c r="D24" s="145">
        <v>22273</v>
      </c>
      <c r="E24" s="145"/>
      <c r="F24" s="145"/>
      <c r="G24" s="145">
        <v>346.21</v>
      </c>
      <c r="H24" s="145"/>
      <c r="I24" s="145">
        <v>31935</v>
      </c>
      <c r="J24" s="848">
        <v>21292.6</v>
      </c>
      <c r="K24" s="858">
        <f t="shared" si="0"/>
        <v>36189</v>
      </c>
      <c r="L24" s="305">
        <v>36213</v>
      </c>
      <c r="M24" s="304">
        <f t="shared" si="1"/>
        <v>24</v>
      </c>
      <c r="N24" s="306">
        <f t="shared" si="2"/>
        <v>31125</v>
      </c>
      <c r="O24" s="125">
        <v>31125</v>
      </c>
      <c r="P24" s="304">
        <f t="shared" si="3"/>
        <v>0</v>
      </c>
      <c r="Q24" s="304">
        <f t="shared" si="4"/>
        <v>36416</v>
      </c>
      <c r="R24" s="125">
        <v>36416</v>
      </c>
      <c r="S24" s="304">
        <f t="shared" si="5"/>
        <v>0</v>
      </c>
      <c r="T24" s="304">
        <f t="shared" si="6"/>
        <v>33587</v>
      </c>
      <c r="U24" s="305">
        <v>33587</v>
      </c>
      <c r="V24" s="304">
        <f t="shared" si="7"/>
        <v>0</v>
      </c>
      <c r="W24" s="306">
        <f t="shared" si="8"/>
        <v>22034</v>
      </c>
      <c r="X24" s="673">
        <v>22034</v>
      </c>
      <c r="Y24" s="304">
        <f t="shared" si="9"/>
        <v>0</v>
      </c>
      <c r="Z24" s="307">
        <f t="shared" si="10"/>
        <v>24</v>
      </c>
      <c r="AA24" s="125">
        <v>215</v>
      </c>
      <c r="AB24" s="125">
        <v>120</v>
      </c>
      <c r="AC24" s="684">
        <f>Gen!AR29</f>
        <v>1495.21</v>
      </c>
    </row>
    <row r="25" spans="1:29" ht="18.75" customHeight="1">
      <c r="A25" s="856">
        <f>Gen!A30</f>
        <v>44306</v>
      </c>
      <c r="B25" s="851"/>
      <c r="C25" s="863">
        <v>4434</v>
      </c>
      <c r="D25" s="145">
        <v>22273</v>
      </c>
      <c r="E25" s="145"/>
      <c r="F25" s="145"/>
      <c r="G25" s="145">
        <v>67.459999999999994</v>
      </c>
      <c r="H25" s="145"/>
      <c r="I25" s="145">
        <v>31939.8</v>
      </c>
      <c r="J25" s="848">
        <v>21295.7</v>
      </c>
      <c r="K25" s="858">
        <f t="shared" si="0"/>
        <v>36213</v>
      </c>
      <c r="L25" s="305">
        <v>36213</v>
      </c>
      <c r="M25" s="304">
        <f t="shared" si="1"/>
        <v>0</v>
      </c>
      <c r="N25" s="306">
        <f t="shared" si="2"/>
        <v>31125</v>
      </c>
      <c r="O25" s="125">
        <v>31125</v>
      </c>
      <c r="P25" s="304">
        <f t="shared" si="3"/>
        <v>0</v>
      </c>
      <c r="Q25" s="304">
        <f t="shared" si="4"/>
        <v>36416</v>
      </c>
      <c r="R25" s="125">
        <v>36416</v>
      </c>
      <c r="S25" s="304">
        <f t="shared" si="5"/>
        <v>0</v>
      </c>
      <c r="T25" s="304">
        <f t="shared" si="6"/>
        <v>33587</v>
      </c>
      <c r="U25" s="305">
        <v>33611</v>
      </c>
      <c r="V25" s="304">
        <f t="shared" si="7"/>
        <v>24</v>
      </c>
      <c r="W25" s="306">
        <f t="shared" si="8"/>
        <v>22034</v>
      </c>
      <c r="X25" s="673">
        <v>22034</v>
      </c>
      <c r="Y25" s="304">
        <f t="shared" si="9"/>
        <v>0</v>
      </c>
      <c r="Z25" s="307">
        <f t="shared" si="10"/>
        <v>24</v>
      </c>
      <c r="AA25" s="125">
        <v>226</v>
      </c>
      <c r="AB25" s="125">
        <v>130</v>
      </c>
      <c r="AC25" s="684">
        <f>Gen!AR30</f>
        <v>1255.04</v>
      </c>
    </row>
    <row r="26" spans="1:29" ht="20.100000000000001" customHeight="1">
      <c r="A26" s="856">
        <f>Gen!A31</f>
        <v>44307</v>
      </c>
      <c r="B26" s="851"/>
      <c r="C26" s="850">
        <v>3178.96</v>
      </c>
      <c r="D26" s="145">
        <v>22273</v>
      </c>
      <c r="E26" s="145"/>
      <c r="F26" s="145"/>
      <c r="G26" s="145"/>
      <c r="H26" s="145"/>
      <c r="I26" s="145">
        <v>31944.7</v>
      </c>
      <c r="J26" s="848">
        <v>21298.9</v>
      </c>
      <c r="K26" s="858">
        <f t="shared" si="0"/>
        <v>36213</v>
      </c>
      <c r="L26" s="305"/>
      <c r="M26" s="304">
        <f t="shared" si="1"/>
        <v>-36213</v>
      </c>
      <c r="N26" s="306">
        <f t="shared" si="2"/>
        <v>31125</v>
      </c>
      <c r="O26" s="125"/>
      <c r="P26" s="304">
        <f t="shared" si="3"/>
        <v>-31125</v>
      </c>
      <c r="Q26" s="304">
        <f t="shared" si="4"/>
        <v>36416</v>
      </c>
      <c r="R26" s="305"/>
      <c r="S26" s="304">
        <f t="shared" si="5"/>
        <v>-36416</v>
      </c>
      <c r="T26" s="304">
        <f t="shared" si="6"/>
        <v>33611</v>
      </c>
      <c r="U26" s="305"/>
      <c r="V26" s="304">
        <f t="shared" si="7"/>
        <v>-33611</v>
      </c>
      <c r="W26" s="306">
        <f t="shared" si="8"/>
        <v>22034</v>
      </c>
      <c r="X26" s="305"/>
      <c r="Y26" s="304">
        <f t="shared" si="9"/>
        <v>-22034</v>
      </c>
      <c r="Z26" s="307">
        <f t="shared" ref="Z26:Z37" si="12">Y26+V26+S26+P26+M26</f>
        <v>-159399</v>
      </c>
      <c r="AA26" s="125"/>
      <c r="AB26" s="125"/>
      <c r="AC26" s="684">
        <f>Gen!AR31</f>
        <v>0</v>
      </c>
    </row>
    <row r="27" spans="1:29" ht="20.100000000000001" customHeight="1">
      <c r="A27" s="856">
        <f>Gen!A32</f>
        <v>44308</v>
      </c>
      <c r="B27" s="851"/>
      <c r="C27" s="850"/>
      <c r="D27" s="789"/>
      <c r="E27" s="145"/>
      <c r="F27" s="145"/>
      <c r="G27" s="145"/>
      <c r="H27" s="145"/>
      <c r="I27" s="145"/>
      <c r="J27" s="848"/>
      <c r="K27" s="85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6">
        <f>Gen!A33</f>
        <v>44309</v>
      </c>
      <c r="B28" s="860"/>
      <c r="C28" s="788"/>
      <c r="D28" s="789"/>
      <c r="E28" s="305"/>
      <c r="F28" s="305"/>
      <c r="G28" s="305"/>
      <c r="H28" s="305"/>
      <c r="I28" s="305"/>
      <c r="J28" s="305"/>
      <c r="K28" s="85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4" workbookViewId="0">
      <pane xSplit="1" topLeftCell="R1" activePane="topRight" state="frozen"/>
      <selection pane="topRight" activeCell="AC33" sqref="AC33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6"/>
      <c r="B1" s="906"/>
    </row>
    <row r="2" spans="1:46" ht="26.25">
      <c r="A2" s="906"/>
      <c r="B2" s="906"/>
      <c r="D2" s="907">
        <f>A11</f>
        <v>44287</v>
      </c>
      <c r="E2" s="907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C2" s="908"/>
      <c r="AD2" s="908"/>
      <c r="AE2" s="908"/>
      <c r="AF2" s="908"/>
      <c r="AG2" s="908"/>
      <c r="AH2" s="908"/>
      <c r="AI2" s="908"/>
      <c r="AJ2" s="908"/>
      <c r="AK2" s="908"/>
      <c r="AL2" s="908"/>
      <c r="AM2" s="908"/>
      <c r="AN2" s="908"/>
      <c r="AO2" s="908"/>
      <c r="AP2" s="908"/>
      <c r="AQ2" s="908"/>
      <c r="AR2" s="908"/>
      <c r="AS2" s="908"/>
      <c r="AT2" s="908"/>
    </row>
    <row r="3" spans="1:46" ht="12.75" customHeight="1">
      <c r="A3" s="906"/>
      <c r="B3" s="906"/>
      <c r="H3" s="909"/>
      <c r="I3" s="909"/>
      <c r="J3" s="909"/>
      <c r="K3" s="181"/>
      <c r="Q3" s="181"/>
    </row>
    <row r="4" spans="1:46" ht="11.25" customHeight="1">
      <c r="A4" s="906"/>
      <c r="B4" s="906"/>
      <c r="H4" s="909"/>
      <c r="I4" s="909"/>
      <c r="J4" s="909"/>
      <c r="K4" s="181"/>
      <c r="Q4" s="181"/>
    </row>
    <row r="5" spans="1:46" ht="12" thickBot="1">
      <c r="A5" s="906"/>
      <c r="B5" s="906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6"/>
      <c r="B6" s="906"/>
      <c r="C6" s="186"/>
      <c r="F6" s="910" t="s">
        <v>57</v>
      </c>
      <c r="G6" s="911"/>
      <c r="H6" s="911"/>
      <c r="I6" s="911"/>
      <c r="J6" s="911"/>
      <c r="K6" s="911"/>
      <c r="L6" s="912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3" t="s">
        <v>201</v>
      </c>
      <c r="G7" s="914"/>
      <c r="H7" s="914"/>
      <c r="I7" s="914"/>
      <c r="J7" s="914"/>
      <c r="K7" s="914"/>
      <c r="L7" s="915"/>
      <c r="M7" s="916" t="s">
        <v>40</v>
      </c>
      <c r="N7" s="917"/>
      <c r="O7" s="917"/>
      <c r="P7" s="917"/>
      <c r="Q7" s="917"/>
      <c r="R7" s="918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0.156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>
        <v>0.13</v>
      </c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>
        <v>9.0999999999999998E-2</v>
      </c>
      <c r="C16" s="802">
        <f t="shared" si="6"/>
        <v>27031.500000000004</v>
      </c>
      <c r="D16" s="803"/>
      <c r="E16" s="800">
        <v>15000</v>
      </c>
      <c r="F16" s="846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6">
        <v>6.5000000000000002E-2</v>
      </c>
      <c r="C17" s="802">
        <f t="shared" si="6"/>
        <v>43721.960000000006</v>
      </c>
      <c r="D17" s="803">
        <v>18000</v>
      </c>
      <c r="E17" s="800"/>
      <c r="F17" s="804"/>
      <c r="G17" s="801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109</v>
      </c>
      <c r="AI17" s="386"/>
      <c r="AJ17" s="271">
        <f t="shared" si="3"/>
        <v>119.14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1469.5600000000002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6">
        <v>9.0999999999999998E-2</v>
      </c>
      <c r="C18" s="802">
        <f t="shared" si="6"/>
        <v>42252.400000000009</v>
      </c>
      <c r="D18" s="803"/>
      <c r="E18" s="800"/>
      <c r="F18" s="804"/>
      <c r="G18" s="801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42252.400000000009</v>
      </c>
    </row>
    <row r="19" spans="1:46" ht="13.5" customHeight="1">
      <c r="A19" s="575">
        <v>44295</v>
      </c>
      <c r="B19" s="826">
        <v>6.5000000000000002E-2</v>
      </c>
      <c r="C19" s="802">
        <f t="shared" si="6"/>
        <v>40831.760000000009</v>
      </c>
      <c r="D19" s="803"/>
      <c r="E19" s="800"/>
      <c r="F19" s="804"/>
      <c r="G19" s="801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40831.760000000009</v>
      </c>
    </row>
    <row r="20" spans="1:46" ht="15.75">
      <c r="A20" s="575">
        <v>44296</v>
      </c>
      <c r="B20" s="826">
        <v>5.1999999999999998E-2</v>
      </c>
      <c r="C20" s="802">
        <f t="shared" si="6"/>
        <v>39223.360000000008</v>
      </c>
      <c r="D20" s="803"/>
      <c r="E20" s="800"/>
      <c r="F20" s="804"/>
      <c r="G20" s="801"/>
      <c r="H20" s="219">
        <v>1245.81</v>
      </c>
      <c r="I20" s="223"/>
      <c r="J20" s="204"/>
      <c r="K20" s="204"/>
      <c r="L20" s="525"/>
      <c r="M20" s="298"/>
      <c r="N20" s="206">
        <v>3168</v>
      </c>
      <c r="O20" s="206"/>
      <c r="P20" s="206"/>
      <c r="Q20" s="206"/>
      <c r="R20" s="563"/>
      <c r="S20" s="570">
        <f t="shared" si="0"/>
        <v>1245.81</v>
      </c>
      <c r="T20" s="218">
        <f t="shared" si="1"/>
        <v>3168</v>
      </c>
      <c r="U20" s="571">
        <f t="shared" si="4"/>
        <v>0.39324810606060606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112</v>
      </c>
      <c r="AI20" s="386"/>
      <c r="AJ20" s="271">
        <f t="shared" si="3"/>
        <v>112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1357.81</v>
      </c>
      <c r="AS20" s="221">
        <f t="shared" si="7"/>
        <v>0</v>
      </c>
      <c r="AT20" s="283">
        <f t="shared" si="5"/>
        <v>39223.360000000008</v>
      </c>
    </row>
    <row r="21" spans="1:46" ht="15.75">
      <c r="A21" s="575">
        <v>44297</v>
      </c>
      <c r="B21" s="826">
        <v>0.104</v>
      </c>
      <c r="C21" s="802">
        <f t="shared" si="6"/>
        <v>37865.55000000001</v>
      </c>
      <c r="D21" s="803"/>
      <c r="E21" s="800"/>
      <c r="F21" s="804"/>
      <c r="G21" s="801">
        <v>1283.98</v>
      </c>
      <c r="H21" s="219"/>
      <c r="I21" s="223"/>
      <c r="J21" s="204"/>
      <c r="K21" s="204"/>
      <c r="L21" s="494"/>
      <c r="M21" s="298">
        <v>3237</v>
      </c>
      <c r="N21" s="298"/>
      <c r="O21" s="206"/>
      <c r="P21" s="206"/>
      <c r="Q21" s="206"/>
      <c r="R21" s="562"/>
      <c r="S21" s="570">
        <f t="shared" si="0"/>
        <v>1283.98</v>
      </c>
      <c r="T21" s="218">
        <f t="shared" si="1"/>
        <v>3237</v>
      </c>
      <c r="U21" s="571">
        <f t="shared" si="4"/>
        <v>0.39665739882607354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>
        <v>25</v>
      </c>
      <c r="AI21" s="386"/>
      <c r="AJ21" s="271">
        <f t="shared" si="3"/>
        <v>25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1308.98</v>
      </c>
      <c r="AS21" s="221">
        <f t="shared" si="7"/>
        <v>0</v>
      </c>
      <c r="AT21" s="283">
        <f t="shared" si="5"/>
        <v>37865.55000000001</v>
      </c>
    </row>
    <row r="22" spans="1:46" ht="15.75">
      <c r="A22" s="575">
        <v>44298</v>
      </c>
      <c r="B22" s="826">
        <v>0.104</v>
      </c>
      <c r="C22" s="802">
        <f t="shared" si="6"/>
        <v>36556.570000000007</v>
      </c>
      <c r="D22" s="803"/>
      <c r="E22" s="800"/>
      <c r="F22" s="805"/>
      <c r="G22" s="801"/>
      <c r="H22" s="204"/>
      <c r="I22" s="223"/>
      <c r="J22" s="204">
        <v>1166.75</v>
      </c>
      <c r="K22" s="204"/>
      <c r="L22" s="525"/>
      <c r="M22" s="298"/>
      <c r="N22" s="298"/>
      <c r="O22" s="206"/>
      <c r="P22" s="206">
        <v>3269</v>
      </c>
      <c r="Q22" s="206"/>
      <c r="R22" s="562"/>
      <c r="S22" s="570">
        <f t="shared" si="0"/>
        <v>1166.75</v>
      </c>
      <c r="T22" s="218">
        <f t="shared" si="1"/>
        <v>3269</v>
      </c>
      <c r="U22" s="571">
        <f t="shared" si="4"/>
        <v>0.35691342918323649</v>
      </c>
      <c r="V22" s="211"/>
      <c r="W22" s="219"/>
      <c r="X22" s="197">
        <v>37.14</v>
      </c>
      <c r="Y22" s="219">
        <v>213.5</v>
      </c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250.64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1417.3899999999999</v>
      </c>
      <c r="AS22" s="221">
        <f t="shared" si="7"/>
        <v>0</v>
      </c>
      <c r="AT22" s="283">
        <f t="shared" si="5"/>
        <v>36556.570000000007</v>
      </c>
    </row>
    <row r="23" spans="1:46" ht="13.5" customHeight="1">
      <c r="A23" s="575">
        <v>44299</v>
      </c>
      <c r="B23" s="826">
        <v>1.2999999999999999E-2</v>
      </c>
      <c r="C23" s="802">
        <f t="shared" si="6"/>
        <v>35139.180000000008</v>
      </c>
      <c r="D23" s="803"/>
      <c r="E23" s="800"/>
      <c r="F23" s="805"/>
      <c r="G23" s="801"/>
      <c r="H23" s="219"/>
      <c r="I23" s="223"/>
      <c r="J23" s="204"/>
      <c r="K23" s="204">
        <v>1083.74</v>
      </c>
      <c r="L23" s="525"/>
      <c r="M23" s="298"/>
      <c r="N23" s="206"/>
      <c r="O23" s="206"/>
      <c r="P23" s="206"/>
      <c r="Q23" s="206">
        <v>2665</v>
      </c>
      <c r="R23" s="562"/>
      <c r="S23" s="570">
        <f t="shared" si="0"/>
        <v>1083.74</v>
      </c>
      <c r="T23" s="218">
        <f t="shared" si="1"/>
        <v>2665</v>
      </c>
      <c r="U23" s="571">
        <f t="shared" si="4"/>
        <v>0.406656660412758</v>
      </c>
      <c r="V23" s="211"/>
      <c r="W23" s="219"/>
      <c r="X23" s="197">
        <v>22.54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22.54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1106.28</v>
      </c>
      <c r="AS23" s="221">
        <f t="shared" si="7"/>
        <v>0</v>
      </c>
      <c r="AT23" s="283">
        <f t="shared" si="5"/>
        <v>35139.180000000008</v>
      </c>
    </row>
    <row r="24" spans="1:46" ht="15.75">
      <c r="A24" s="575">
        <v>44300</v>
      </c>
      <c r="B24" s="826">
        <v>0</v>
      </c>
      <c r="C24" s="802">
        <f t="shared" si="6"/>
        <v>34032.900000000009</v>
      </c>
      <c r="D24" s="806"/>
      <c r="E24" s="800"/>
      <c r="F24" s="805"/>
      <c r="G24" s="801"/>
      <c r="H24" s="204">
        <v>1063.99</v>
      </c>
      <c r="I24" s="223"/>
      <c r="J24" s="204"/>
      <c r="K24" s="204"/>
      <c r="L24" s="525"/>
      <c r="M24" s="298"/>
      <c r="N24" s="298">
        <v>2643</v>
      </c>
      <c r="O24" s="206"/>
      <c r="P24" s="206"/>
      <c r="Q24" s="206"/>
      <c r="R24" s="562"/>
      <c r="S24" s="570">
        <f>SUM(F24:L24)</f>
        <v>1063.99</v>
      </c>
      <c r="T24" s="218">
        <f t="shared" si="1"/>
        <v>2643</v>
      </c>
      <c r="U24" s="571">
        <f>S24/T24</f>
        <v>0.40256905032160423</v>
      </c>
      <c r="V24" s="211"/>
      <c r="W24" s="219"/>
      <c r="X24" s="197">
        <v>13.49</v>
      </c>
      <c r="Y24" s="219"/>
      <c r="Z24" s="204"/>
      <c r="AA24" s="273"/>
      <c r="AB24" s="219"/>
      <c r="AC24" s="219"/>
      <c r="AD24" s="219"/>
      <c r="AE24" s="219"/>
      <c r="AF24" s="219"/>
      <c r="AG24" s="219"/>
      <c r="AH24" s="219">
        <v>147</v>
      </c>
      <c r="AI24" s="386"/>
      <c r="AJ24" s="271">
        <f t="shared" si="3"/>
        <v>160.49</v>
      </c>
      <c r="AK24" s="213"/>
      <c r="AL24" s="213"/>
      <c r="AM24" s="213"/>
      <c r="AN24" s="213"/>
      <c r="AO24" s="213"/>
      <c r="AP24" s="213"/>
      <c r="AQ24" s="213"/>
      <c r="AR24" s="215">
        <f>SUM(AJ24+S24)</f>
        <v>1224.48</v>
      </c>
      <c r="AS24" s="221">
        <f t="shared" si="7"/>
        <v>0</v>
      </c>
      <c r="AT24" s="283">
        <f t="shared" si="5"/>
        <v>34032.900000000009</v>
      </c>
    </row>
    <row r="25" spans="1:46" ht="15.75">
      <c r="A25" s="575">
        <v>44301</v>
      </c>
      <c r="B25" s="826">
        <v>0</v>
      </c>
      <c r="C25" s="802">
        <f t="shared" si="6"/>
        <v>32808.420000000006</v>
      </c>
      <c r="D25" s="803"/>
      <c r="E25" s="800"/>
      <c r="F25" s="804"/>
      <c r="G25" s="801">
        <v>1051.08</v>
      </c>
      <c r="H25" s="219"/>
      <c r="I25" s="223"/>
      <c r="J25" s="204"/>
      <c r="K25" s="204"/>
      <c r="L25" s="525"/>
      <c r="M25" s="298">
        <v>2618</v>
      </c>
      <c r="N25" s="206"/>
      <c r="O25" s="206"/>
      <c r="P25" s="206"/>
      <c r="Q25" s="206"/>
      <c r="R25" s="562"/>
      <c r="S25" s="570">
        <f t="shared" si="0"/>
        <v>1051.08</v>
      </c>
      <c r="T25" s="218">
        <f>SUM(M25:R25)</f>
        <v>2618</v>
      </c>
      <c r="U25" s="571">
        <f t="shared" si="4"/>
        <v>0.4014820473644003</v>
      </c>
      <c r="V25" s="211"/>
      <c r="W25" s="219"/>
      <c r="X25" s="197">
        <v>17.649999999999999</v>
      </c>
      <c r="Y25" s="219"/>
      <c r="Z25" s="204">
        <v>84.26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101.91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1152.99</v>
      </c>
      <c r="AS25" s="221">
        <f t="shared" si="7"/>
        <v>0</v>
      </c>
      <c r="AT25" s="283">
        <f t="shared" si="5"/>
        <v>32808.420000000006</v>
      </c>
    </row>
    <row r="26" spans="1:46" ht="15.75">
      <c r="A26" s="575">
        <v>44302</v>
      </c>
      <c r="B26" s="826">
        <v>0</v>
      </c>
      <c r="C26" s="802">
        <f t="shared" si="6"/>
        <v>31655.430000000004</v>
      </c>
      <c r="D26" s="803"/>
      <c r="E26" s="800"/>
      <c r="F26" s="805"/>
      <c r="G26" s="801"/>
      <c r="H26" s="219"/>
      <c r="I26" s="205"/>
      <c r="J26" s="204"/>
      <c r="K26" s="204">
        <v>1038.83</v>
      </c>
      <c r="L26" s="525"/>
      <c r="M26" s="298"/>
      <c r="N26" s="206"/>
      <c r="O26" s="206"/>
      <c r="P26" s="206"/>
      <c r="Q26" s="206">
        <v>2546</v>
      </c>
      <c r="R26" s="562"/>
      <c r="S26" s="570">
        <f t="shared" si="0"/>
        <v>1038.83</v>
      </c>
      <c r="T26" s="218">
        <f>SUM(M26:R26)</f>
        <v>2546</v>
      </c>
      <c r="U26" s="571">
        <f t="shared" si="4"/>
        <v>0.40802435192458758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1038.83</v>
      </c>
      <c r="AS26" s="221">
        <f t="shared" si="7"/>
        <v>0</v>
      </c>
      <c r="AT26" s="283">
        <f t="shared" si="5"/>
        <v>31655.430000000004</v>
      </c>
    </row>
    <row r="27" spans="1:46" ht="15.75">
      <c r="A27" s="575">
        <v>44303</v>
      </c>
      <c r="B27" s="826">
        <v>1.2999999999999999E-2</v>
      </c>
      <c r="C27" s="802">
        <f t="shared" si="6"/>
        <v>30616.600000000006</v>
      </c>
      <c r="D27" s="803"/>
      <c r="E27" s="800"/>
      <c r="F27" s="804"/>
      <c r="G27" s="801"/>
      <c r="H27" s="219">
        <v>1102.78</v>
      </c>
      <c r="I27" s="205"/>
      <c r="J27" s="204"/>
      <c r="K27" s="204"/>
      <c r="L27" s="525"/>
      <c r="M27" s="298"/>
      <c r="N27" s="206">
        <v>2694</v>
      </c>
      <c r="O27" s="206"/>
      <c r="P27" s="206"/>
      <c r="Q27" s="206"/>
      <c r="R27" s="562"/>
      <c r="S27" s="570">
        <f t="shared" si="0"/>
        <v>1102.78</v>
      </c>
      <c r="T27" s="218">
        <f t="shared" si="1"/>
        <v>2694</v>
      </c>
      <c r="U27" s="571">
        <f t="shared" si="4"/>
        <v>0.40934669636228654</v>
      </c>
      <c r="V27" s="211"/>
      <c r="W27" s="219"/>
      <c r="X27" s="197">
        <v>79.650000000000006</v>
      </c>
      <c r="Y27" s="219"/>
      <c r="Z27" s="204"/>
      <c r="AA27" s="273"/>
      <c r="AB27" s="219">
        <v>66.66</v>
      </c>
      <c r="AC27" s="219"/>
      <c r="AD27" s="219"/>
      <c r="AE27" s="219"/>
      <c r="AF27" s="219"/>
      <c r="AG27" s="219"/>
      <c r="AH27" s="219"/>
      <c r="AI27" s="386"/>
      <c r="AJ27" s="271">
        <f t="shared" si="3"/>
        <v>146.31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1249.0899999999999</v>
      </c>
      <c r="AS27" s="221">
        <f t="shared" si="7"/>
        <v>0</v>
      </c>
      <c r="AT27" s="283">
        <f t="shared" si="5"/>
        <v>30616.600000000006</v>
      </c>
    </row>
    <row r="28" spans="1:46" ht="15.75">
      <c r="A28" s="575">
        <v>44304</v>
      </c>
      <c r="B28" s="826">
        <v>3.9E-2</v>
      </c>
      <c r="C28" s="802">
        <f t="shared" si="6"/>
        <v>29367.510000000006</v>
      </c>
      <c r="D28" s="803"/>
      <c r="E28" s="800"/>
      <c r="F28" s="804"/>
      <c r="G28" s="801"/>
      <c r="H28" s="219"/>
      <c r="I28" s="205"/>
      <c r="J28" s="204">
        <v>1165.3</v>
      </c>
      <c r="K28" s="204"/>
      <c r="L28" s="525"/>
      <c r="M28" s="298"/>
      <c r="N28" s="206"/>
      <c r="O28" s="206"/>
      <c r="P28" s="206">
        <v>2839</v>
      </c>
      <c r="Q28" s="206"/>
      <c r="R28" s="562"/>
      <c r="S28" s="570">
        <f t="shared" si="0"/>
        <v>1165.3</v>
      </c>
      <c r="T28" s="218">
        <f t="shared" si="1"/>
        <v>2839</v>
      </c>
      <c r="U28" s="571">
        <f t="shared" si="4"/>
        <v>0.41046143008101443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1165.3</v>
      </c>
      <c r="AS28" s="221">
        <f t="shared" si="7"/>
        <v>0</v>
      </c>
      <c r="AT28" s="283">
        <f>C28</f>
        <v>29367.510000000006</v>
      </c>
    </row>
    <row r="29" spans="1:46" ht="15.75">
      <c r="A29" s="575">
        <v>44305</v>
      </c>
      <c r="B29" s="826">
        <v>6.5000000000000002E-2</v>
      </c>
      <c r="C29" s="802">
        <f t="shared" si="6"/>
        <v>28202.210000000006</v>
      </c>
      <c r="D29" s="803"/>
      <c r="E29" s="800"/>
      <c r="F29" s="804"/>
      <c r="G29" s="801">
        <v>1149</v>
      </c>
      <c r="H29" s="219"/>
      <c r="I29" s="205"/>
      <c r="J29" s="204"/>
      <c r="K29" s="204"/>
      <c r="L29" s="525"/>
      <c r="M29" s="298">
        <v>2733</v>
      </c>
      <c r="N29" s="206"/>
      <c r="O29" s="206"/>
      <c r="P29" s="206"/>
      <c r="Q29" s="206"/>
      <c r="R29" s="562"/>
      <c r="S29" s="570">
        <f t="shared" si="0"/>
        <v>1149</v>
      </c>
      <c r="T29" s="218">
        <f t="shared" si="1"/>
        <v>2733</v>
      </c>
      <c r="U29" s="571">
        <f t="shared" si="4"/>
        <v>0.42041712403951703</v>
      </c>
      <c r="V29" s="211"/>
      <c r="W29" s="219"/>
      <c r="X29" s="197">
        <v>24.72</v>
      </c>
      <c r="Y29" s="219"/>
      <c r="Z29" s="204">
        <v>85.63</v>
      </c>
      <c r="AA29" s="273"/>
      <c r="AB29" s="219"/>
      <c r="AC29" s="219"/>
      <c r="AD29" s="219">
        <v>130.86000000000001</v>
      </c>
      <c r="AE29" s="219"/>
      <c r="AF29" s="219"/>
      <c r="AG29" s="219"/>
      <c r="AH29" s="219">
        <v>105</v>
      </c>
      <c r="AI29" s="386"/>
      <c r="AJ29" s="271">
        <f t="shared" si="3"/>
        <v>346.21000000000004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1495.21</v>
      </c>
      <c r="AS29" s="221">
        <f t="shared" si="7"/>
        <v>0</v>
      </c>
      <c r="AT29" s="283">
        <f t="shared" si="5"/>
        <v>28202.210000000006</v>
      </c>
    </row>
    <row r="30" spans="1:46" ht="15.75">
      <c r="A30" s="575">
        <v>44306</v>
      </c>
      <c r="B30" s="826">
        <v>5.1999999999999998E-2</v>
      </c>
      <c r="C30" s="802">
        <f t="shared" si="6"/>
        <v>26707.000000000007</v>
      </c>
      <c r="D30" s="803"/>
      <c r="E30" s="800">
        <v>15000</v>
      </c>
      <c r="F30" s="847" t="s">
        <v>319</v>
      </c>
      <c r="G30" s="801"/>
      <c r="H30" s="219"/>
      <c r="I30" s="205"/>
      <c r="J30" s="204"/>
      <c r="K30" s="204">
        <v>1187.58</v>
      </c>
      <c r="L30" s="525"/>
      <c r="M30" s="298"/>
      <c r="N30" s="206"/>
      <c r="O30" s="206"/>
      <c r="P30" s="206"/>
      <c r="Q30" s="206">
        <v>2856</v>
      </c>
      <c r="R30" s="562"/>
      <c r="S30" s="570">
        <f t="shared" si="0"/>
        <v>1187.58</v>
      </c>
      <c r="T30" s="218">
        <f t="shared" si="1"/>
        <v>2856</v>
      </c>
      <c r="U30" s="571">
        <f t="shared" si="4"/>
        <v>0.41581932773109243</v>
      </c>
      <c r="V30" s="211"/>
      <c r="W30" s="219"/>
      <c r="X30" s="197"/>
      <c r="Y30" s="219"/>
      <c r="Z30" s="204"/>
      <c r="AA30" s="273"/>
      <c r="AB30" s="219"/>
      <c r="AC30" s="219">
        <v>67.459999999999994</v>
      </c>
      <c r="AD30" s="219"/>
      <c r="AE30" s="219"/>
      <c r="AF30" s="219"/>
      <c r="AG30" s="219"/>
      <c r="AH30" s="219"/>
      <c r="AI30" s="386"/>
      <c r="AJ30" s="271">
        <f t="shared" si="3"/>
        <v>67.459999999999994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1255.04</v>
      </c>
      <c r="AS30" s="221">
        <f t="shared" si="7"/>
        <v>0</v>
      </c>
      <c r="AT30" s="283">
        <f t="shared" si="5"/>
        <v>26707.000000000007</v>
      </c>
    </row>
    <row r="31" spans="1:46" ht="15.75">
      <c r="A31" s="575">
        <v>44307</v>
      </c>
      <c r="B31" s="826"/>
      <c r="C31" s="802">
        <f t="shared" si="6"/>
        <v>25451.960000000006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25451.960000000006</v>
      </c>
    </row>
    <row r="32" spans="1:46" ht="15.75">
      <c r="A32" s="575">
        <v>44308</v>
      </c>
      <c r="B32" s="826"/>
      <c r="C32" s="802">
        <f t="shared" si="6"/>
        <v>25451.960000000006</v>
      </c>
      <c r="D32" s="803"/>
      <c r="E32" s="800"/>
      <c r="F32" s="804"/>
      <c r="G32" s="801"/>
      <c r="H32" s="204"/>
      <c r="I32" s="204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25451.960000000006</v>
      </c>
    </row>
    <row r="33" spans="1:46" ht="15.75">
      <c r="A33" s="575">
        <v>44309</v>
      </c>
      <c r="B33" s="826"/>
      <c r="C33" s="802">
        <f t="shared" si="6"/>
        <v>25451.960000000006</v>
      </c>
      <c r="D33" s="803"/>
      <c r="E33" s="800"/>
      <c r="F33" s="804"/>
      <c r="G33" s="801"/>
      <c r="H33" s="204"/>
      <c r="I33" s="204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25451.960000000006</v>
      </c>
    </row>
    <row r="34" spans="1:46" ht="15.75">
      <c r="A34" s="575">
        <v>44310</v>
      </c>
      <c r="B34" s="826"/>
      <c r="C34" s="802">
        <f t="shared" si="6"/>
        <v>25451.960000000006</v>
      </c>
      <c r="D34" s="803"/>
      <c r="E34" s="800"/>
      <c r="F34" s="804"/>
      <c r="G34" s="801"/>
      <c r="H34" s="219"/>
      <c r="I34" s="205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25451.960000000006</v>
      </c>
    </row>
    <row r="35" spans="1:46" ht="15.75">
      <c r="A35" s="575">
        <v>44311</v>
      </c>
      <c r="B35" s="826"/>
      <c r="C35" s="802">
        <f t="shared" si="6"/>
        <v>25451.960000000006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25451.960000000006</v>
      </c>
    </row>
    <row r="36" spans="1:46" ht="15.75">
      <c r="A36" s="575">
        <v>44312</v>
      </c>
      <c r="B36" s="826"/>
      <c r="C36" s="802">
        <f t="shared" si="6"/>
        <v>25451.960000000006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25451.960000000006</v>
      </c>
    </row>
    <row r="37" spans="1:46" ht="15.75">
      <c r="A37" s="575">
        <v>44313</v>
      </c>
      <c r="B37" s="826"/>
      <c r="C37" s="802">
        <f t="shared" si="6"/>
        <v>25451.960000000006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25451.960000000006</v>
      </c>
    </row>
    <row r="38" spans="1:46" ht="15.75">
      <c r="A38" s="575">
        <v>44314</v>
      </c>
      <c r="B38" s="826"/>
      <c r="C38" s="802">
        <f t="shared" si="6"/>
        <v>25451.960000000006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25451.960000000006</v>
      </c>
    </row>
    <row r="39" spans="1:46" ht="15.75">
      <c r="A39" s="575">
        <v>44315</v>
      </c>
      <c r="B39" s="826"/>
      <c r="C39" s="802">
        <f t="shared" si="6"/>
        <v>25451.960000000006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25451.960000000006</v>
      </c>
    </row>
    <row r="40" spans="1:46" ht="15.75">
      <c r="A40" s="575">
        <v>44316</v>
      </c>
      <c r="B40" s="826"/>
      <c r="C40" s="802">
        <f t="shared" si="6"/>
        <v>25451.960000000006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25451.960000000006</v>
      </c>
    </row>
    <row r="41" spans="1:46" ht="15.75">
      <c r="A41" s="575"/>
      <c r="B41" s="826"/>
      <c r="C41" s="802">
        <f t="shared" si="6"/>
        <v>25451.960000000006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25451.960000000006</v>
      </c>
    </row>
    <row r="42" spans="1:46" ht="14.25">
      <c r="A42" s="575"/>
      <c r="B42" s="574"/>
      <c r="C42" s="802">
        <f t="shared" si="6"/>
        <v>25451.960000000006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25451.960000000006</v>
      </c>
    </row>
    <row r="43" spans="1:46" ht="14.25">
      <c r="A43" s="495" t="s">
        <v>25</v>
      </c>
      <c r="B43" s="469">
        <f>AVERAGE(B11:B42)</f>
        <v>8.43E-2</v>
      </c>
      <c r="C43" s="798">
        <f t="shared" si="6"/>
        <v>25451.960000000006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25451.960000000006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18000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6260.9500000000007</v>
      </c>
      <c r="H45" s="308">
        <f t="shared" si="8"/>
        <v>6006.13</v>
      </c>
      <c r="I45" s="313">
        <f t="shared" si="8"/>
        <v>0</v>
      </c>
      <c r="J45" s="308">
        <f t="shared" si="8"/>
        <v>6236.68</v>
      </c>
      <c r="K45" s="313">
        <f t="shared" si="8"/>
        <v>5979.5499999999993</v>
      </c>
      <c r="L45" s="308">
        <f t="shared" si="8"/>
        <v>0</v>
      </c>
      <c r="M45" s="313">
        <f t="shared" si="8"/>
        <v>18567</v>
      </c>
      <c r="N45" s="553">
        <f t="shared" si="8"/>
        <v>11680</v>
      </c>
      <c r="O45" s="313">
        <f t="shared" si="8"/>
        <v>0</v>
      </c>
      <c r="P45" s="308">
        <f>SUM(P11:P43)</f>
        <v>15691</v>
      </c>
      <c r="Q45" s="313">
        <f>SUM(Q11:Q44)</f>
        <v>14709</v>
      </c>
      <c r="R45" s="308">
        <f>SUM(R11:R44)</f>
        <v>0</v>
      </c>
      <c r="S45" s="551">
        <f>SUM(G45:L45)</f>
        <v>24483.31</v>
      </c>
      <c r="T45" s="308">
        <f>SUM(M45:R45)</f>
        <v>60647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430.28</v>
      </c>
      <c r="Y45" s="234">
        <f t="shared" si="9"/>
        <v>213.5</v>
      </c>
      <c r="Z45" s="546">
        <f t="shared" si="9"/>
        <v>533.84</v>
      </c>
      <c r="AA45" s="234">
        <f t="shared" si="9"/>
        <v>0</v>
      </c>
      <c r="AB45" s="546">
        <f t="shared" si="9"/>
        <v>66.66</v>
      </c>
      <c r="AC45" s="234">
        <f>SUM(AC10:AC44)</f>
        <v>122.35999999999999</v>
      </c>
      <c r="AD45" s="546">
        <f>SUM(AD10:AD44)</f>
        <v>130.86000000000001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853</v>
      </c>
      <c r="AI45" s="234">
        <f>SUM(AI9:AI39)</f>
        <v>230.2</v>
      </c>
      <c r="AJ45" s="546">
        <f>SUM(AJ9:AJ44)</f>
        <v>2580.7000000000003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27064.009999999995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789.78419354838707</v>
      </c>
      <c r="T47" s="316">
        <f>S45*2315</f>
        <v>56678862.650000006</v>
      </c>
      <c r="U47" s="317" t="s">
        <v>244</v>
      </c>
      <c r="AR47" s="522">
        <f>AR45*2143</f>
        <v>57998173.429999992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24761.407885539538</v>
      </c>
      <c r="U48" s="317" t="s">
        <v>245</v>
      </c>
      <c r="W48" s="191"/>
      <c r="X48" s="191"/>
      <c r="Y48" s="191"/>
      <c r="Z48" s="191"/>
      <c r="AA48" s="191"/>
      <c r="AR48" s="316">
        <f>AR47/2289</f>
        <v>25337.777820008734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9" t="s">
        <v>241</v>
      </c>
      <c r="C50" s="920"/>
      <c r="D50" s="920"/>
      <c r="E50" s="920"/>
      <c r="F50" s="921"/>
      <c r="H50" s="897" t="s">
        <v>213</v>
      </c>
      <c r="I50" s="898"/>
      <c r="J50" s="898"/>
      <c r="K50" s="898"/>
      <c r="L50" s="899"/>
      <c r="N50" s="900" t="s">
        <v>309</v>
      </c>
      <c r="O50" s="901"/>
      <c r="P50" s="901"/>
      <c r="Q50" s="901"/>
      <c r="R50" s="902"/>
      <c r="T50" s="903" t="s">
        <v>226</v>
      </c>
      <c r="U50" s="904"/>
      <c r="V50" s="904"/>
      <c r="W50" s="904"/>
      <c r="X50" s="904"/>
      <c r="Y50" s="905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>
        <v>44293</v>
      </c>
      <c r="C54" s="498"/>
      <c r="D54" s="500"/>
      <c r="E54" s="499"/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>
        <v>44296</v>
      </c>
      <c r="C59" s="302" t="s">
        <v>336</v>
      </c>
      <c r="D59" s="382">
        <v>112</v>
      </c>
      <c r="E59" s="302" t="s">
        <v>337</v>
      </c>
      <c r="F59" s="526" t="s">
        <v>326</v>
      </c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>
        <v>44297</v>
      </c>
      <c r="C60" s="498" t="s">
        <v>338</v>
      </c>
      <c r="D60" s="382">
        <v>25</v>
      </c>
      <c r="E60" s="302" t="s">
        <v>339</v>
      </c>
      <c r="F60" s="526" t="s">
        <v>326</v>
      </c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>
        <v>44300</v>
      </c>
      <c r="C61" s="302" t="s">
        <v>340</v>
      </c>
      <c r="D61" s="382">
        <v>126</v>
      </c>
      <c r="E61" s="302" t="s">
        <v>341</v>
      </c>
      <c r="F61" s="526" t="s">
        <v>326</v>
      </c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>
        <v>44300</v>
      </c>
      <c r="C62" s="302" t="s">
        <v>335</v>
      </c>
      <c r="D62" s="382">
        <v>21</v>
      </c>
      <c r="E62" s="302" t="s">
        <v>341</v>
      </c>
      <c r="F62" s="526" t="s">
        <v>326</v>
      </c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>
        <v>44305</v>
      </c>
      <c r="C63" s="302" t="s">
        <v>342</v>
      </c>
      <c r="D63" s="382">
        <v>105</v>
      </c>
      <c r="E63" s="302" t="s">
        <v>343</v>
      </c>
      <c r="F63" s="526" t="s">
        <v>326</v>
      </c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35" sqref="F3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4"/>
      <c r="D6" s="925"/>
      <c r="E6" s="926"/>
      <c r="F6" s="926"/>
      <c r="G6" s="48" t="s">
        <v>4</v>
      </c>
      <c r="H6" s="46" t="s">
        <v>14</v>
      </c>
      <c r="I6" s="41"/>
      <c r="J6" s="113"/>
    </row>
    <row r="7" spans="1:15" ht="18" customHeight="1">
      <c r="A7" s="927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8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3">
        <f t="shared" si="2"/>
        <v>7592600</v>
      </c>
      <c r="J17" s="844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75936</v>
      </c>
      <c r="G18" s="268">
        <f t="shared" si="0"/>
        <v>44</v>
      </c>
      <c r="H18" s="111">
        <f>[5]Gen!B19</f>
        <v>0.01</v>
      </c>
      <c r="I18" s="843">
        <f t="shared" si="2"/>
        <v>7593600</v>
      </c>
      <c r="J18" s="844">
        <f t="shared" si="1"/>
        <v>5.794353139485883E-6</v>
      </c>
      <c r="M18" s="156"/>
      <c r="N18" s="156"/>
    </row>
    <row r="19" spans="1:14" ht="18.75">
      <c r="A19" s="94">
        <f>Gen!A20</f>
        <v>44296</v>
      </c>
      <c r="B19" s="268">
        <v>85</v>
      </c>
      <c r="C19" s="268">
        <v>85</v>
      </c>
      <c r="D19" s="268">
        <v>79</v>
      </c>
      <c r="E19" s="268"/>
      <c r="F19" s="268">
        <v>75956</v>
      </c>
      <c r="G19" s="268">
        <f t="shared" si="0"/>
        <v>88</v>
      </c>
      <c r="H19" s="111">
        <f>[5]Gen!B20</f>
        <v>0.01</v>
      </c>
      <c r="I19" s="843">
        <f t="shared" si="2"/>
        <v>7595600</v>
      </c>
      <c r="J19" s="844">
        <f t="shared" si="1"/>
        <v>1.1585654852809521E-5</v>
      </c>
      <c r="M19" s="156"/>
      <c r="N19" s="156"/>
    </row>
    <row r="20" spans="1:14" ht="18.75">
      <c r="A20" s="94">
        <f>Gen!A21</f>
        <v>44297</v>
      </c>
      <c r="B20" s="268">
        <v>85</v>
      </c>
      <c r="C20" s="268">
        <v>85</v>
      </c>
      <c r="D20" s="268">
        <v>75</v>
      </c>
      <c r="E20" s="268"/>
      <c r="F20" s="268">
        <v>75969.009999999995</v>
      </c>
      <c r="G20" s="268">
        <f t="shared" si="0"/>
        <v>57.243999999976957</v>
      </c>
      <c r="H20" s="111">
        <f>[5]Gen!B21</f>
        <v>0.01</v>
      </c>
      <c r="I20" s="843">
        <f t="shared" si="2"/>
        <v>7596900.9999999991</v>
      </c>
      <c r="J20" s="844">
        <f t="shared" si="1"/>
        <v>7.535177831062556E-6</v>
      </c>
    </row>
    <row r="21" spans="1:14" ht="18.75">
      <c r="A21" s="94">
        <f>Gen!A22</f>
        <v>44298</v>
      </c>
      <c r="B21" s="268">
        <v>85</v>
      </c>
      <c r="C21" s="268">
        <v>85</v>
      </c>
      <c r="D21" s="268">
        <v>65</v>
      </c>
      <c r="E21" s="268"/>
      <c r="F21" s="268">
        <v>75983.63</v>
      </c>
      <c r="G21" s="268">
        <f t="shared" si="0"/>
        <v>64.328000000043545</v>
      </c>
      <c r="H21" s="111">
        <f>[5]Gen!B22</f>
        <v>0.03</v>
      </c>
      <c r="I21" s="843">
        <f t="shared" si="2"/>
        <v>2532787.666666667</v>
      </c>
      <c r="J21" s="844">
        <f t="shared" si="1"/>
        <v>2.539810219650346E-5</v>
      </c>
    </row>
    <row r="22" spans="1:14" ht="18.75">
      <c r="A22" s="94">
        <f>Gen!A23</f>
        <v>44299</v>
      </c>
      <c r="B22" s="268">
        <v>85</v>
      </c>
      <c r="C22" s="268">
        <v>85</v>
      </c>
      <c r="D22" s="268">
        <v>60</v>
      </c>
      <c r="E22" s="268"/>
      <c r="F22" s="268">
        <v>75998</v>
      </c>
      <c r="G22" s="268">
        <f t="shared" si="0"/>
        <v>63.227999999979517</v>
      </c>
      <c r="H22" s="111">
        <f>[5]Gen!B23</f>
        <v>0.22</v>
      </c>
      <c r="I22" s="843">
        <f t="shared" si="2"/>
        <v>345445.45454545453</v>
      </c>
      <c r="J22" s="844">
        <f t="shared" si="1"/>
        <v>1.8303323771672272E-4</v>
      </c>
    </row>
    <row r="23" spans="1:14" ht="18.75">
      <c r="A23" s="94">
        <f>Gen!A24</f>
        <v>44300</v>
      </c>
      <c r="B23" s="268">
        <v>85</v>
      </c>
      <c r="C23" s="268">
        <v>85</v>
      </c>
      <c r="D23" s="268">
        <v>55</v>
      </c>
      <c r="E23" s="268"/>
      <c r="F23" s="268">
        <v>76011.570000000007</v>
      </c>
      <c r="G23" s="268">
        <f>(F23-F22)*4.4</f>
        <v>59.708000000030736</v>
      </c>
      <c r="H23" s="111">
        <f>[5]Gen!B24</f>
        <v>0.23</v>
      </c>
      <c r="I23" s="843">
        <f t="shared" si="2"/>
        <v>330485.08695652173</v>
      </c>
      <c r="J23" s="844">
        <f t="shared" si="1"/>
        <v>1.8066775886890733E-4</v>
      </c>
    </row>
    <row r="24" spans="1:14" ht="18.75">
      <c r="A24" s="94">
        <f>Gen!A25</f>
        <v>44301</v>
      </c>
      <c r="B24" s="268">
        <v>85</v>
      </c>
      <c r="C24" s="268">
        <v>85</v>
      </c>
      <c r="D24" s="268">
        <v>51</v>
      </c>
      <c r="E24" s="268"/>
      <c r="F24" s="268">
        <v>76025</v>
      </c>
      <c r="G24" s="268">
        <f t="shared" si="0"/>
        <v>59.091999999969268</v>
      </c>
      <c r="H24" s="111">
        <f>[5]Gen!B25</f>
        <v>0.21</v>
      </c>
      <c r="I24" s="843">
        <f t="shared" si="2"/>
        <v>362023.80952380953</v>
      </c>
      <c r="J24" s="844">
        <f t="shared" si="1"/>
        <v>1.6322683327844192E-4</v>
      </c>
    </row>
    <row r="25" spans="1:14" ht="18.75">
      <c r="A25" s="94">
        <f>Gen!A26</f>
        <v>44302</v>
      </c>
      <c r="B25" s="268">
        <v>85</v>
      </c>
      <c r="C25" s="268">
        <v>85</v>
      </c>
      <c r="D25" s="268">
        <v>49</v>
      </c>
      <c r="E25" s="268"/>
      <c r="F25" s="268">
        <v>76035</v>
      </c>
      <c r="G25" s="268">
        <f t="shared" si="0"/>
        <v>44</v>
      </c>
      <c r="H25" s="111">
        <f>[5]Gen!B26</f>
        <v>0.03</v>
      </c>
      <c r="I25" s="843">
        <f t="shared" si="2"/>
        <v>2534500</v>
      </c>
      <c r="J25" s="844">
        <f t="shared" si="1"/>
        <v>1.7360426119550208E-5</v>
      </c>
    </row>
    <row r="26" spans="1:14" ht="18.75">
      <c r="A26" s="94">
        <f>Gen!A27</f>
        <v>44303</v>
      </c>
      <c r="B26" s="268">
        <v>85</v>
      </c>
      <c r="C26" s="268">
        <v>85</v>
      </c>
      <c r="D26" s="268">
        <v>45</v>
      </c>
      <c r="E26" s="268"/>
      <c r="F26" s="268">
        <v>76047.92</v>
      </c>
      <c r="G26" s="268">
        <f t="shared" si="0"/>
        <v>56.847999999992318</v>
      </c>
      <c r="H26" s="111">
        <f>[5]Gen!B27</f>
        <v>0.06</v>
      </c>
      <c r="I26" s="843">
        <f t="shared" si="2"/>
        <v>1267465.3333333333</v>
      </c>
      <c r="J26" s="844">
        <f t="shared" si="1"/>
        <v>4.4851719810345099E-5</v>
      </c>
    </row>
    <row r="27" spans="1:14" ht="18.75">
      <c r="A27" s="94">
        <f>Gen!A28</f>
        <v>44304</v>
      </c>
      <c r="B27" s="268">
        <v>85</v>
      </c>
      <c r="C27" s="268">
        <v>85</v>
      </c>
      <c r="D27" s="268">
        <v>40</v>
      </c>
      <c r="E27" s="268"/>
      <c r="F27" s="268">
        <v>76062</v>
      </c>
      <c r="G27" s="268">
        <f t="shared" si="0"/>
        <v>61.952000000007686</v>
      </c>
      <c r="H27" s="111">
        <f>[5]Gen!B28</f>
        <v>0.05</v>
      </c>
      <c r="I27" s="843">
        <f t="shared" si="2"/>
        <v>1521240</v>
      </c>
      <c r="J27" s="844">
        <f t="shared" si="1"/>
        <v>4.0724671978128163E-5</v>
      </c>
    </row>
    <row r="28" spans="1:14" ht="18.75">
      <c r="A28" s="94">
        <f>Gen!A29</f>
        <v>44305</v>
      </c>
      <c r="B28" s="268">
        <v>85</v>
      </c>
      <c r="C28" s="268">
        <v>85</v>
      </c>
      <c r="D28" s="268">
        <v>35</v>
      </c>
      <c r="E28" s="268"/>
      <c r="F28" s="268">
        <v>76077.41</v>
      </c>
      <c r="G28" s="268">
        <f t="shared" si="0"/>
        <v>67.804000000015378</v>
      </c>
      <c r="H28" s="111">
        <f>[5]Gen!B29</f>
        <v>7.7899999999999997E-2</v>
      </c>
      <c r="I28" s="843">
        <f t="shared" si="2"/>
        <v>976603.46598202828</v>
      </c>
      <c r="J28" s="844">
        <f t="shared" si="1"/>
        <v>6.9428383537257617E-5</v>
      </c>
    </row>
    <row r="29" spans="1:14" ht="18.75">
      <c r="A29" s="94">
        <f>Gen!A30</f>
        <v>44306</v>
      </c>
      <c r="B29" s="268">
        <v>85</v>
      </c>
      <c r="C29" s="268">
        <v>85</v>
      </c>
      <c r="D29" s="268">
        <v>31</v>
      </c>
      <c r="E29" s="268"/>
      <c r="F29" s="268">
        <v>76092.399999999994</v>
      </c>
      <c r="G29" s="268">
        <f t="shared" si="0"/>
        <v>65.955999999959033</v>
      </c>
      <c r="H29" s="111">
        <f>[5]Gen!B30</f>
        <v>0.12989999999999999</v>
      </c>
      <c r="I29" s="843">
        <f t="shared" si="2"/>
        <v>585776.75134719012</v>
      </c>
      <c r="J29" s="844">
        <f t="shared" si="1"/>
        <v>1.1259579668921836E-4</v>
      </c>
    </row>
    <row r="30" spans="1:14" ht="18.75">
      <c r="A30" s="94">
        <f>Gen!A31</f>
        <v>44307</v>
      </c>
      <c r="B30" s="268"/>
      <c r="C30" s="268"/>
      <c r="D30" s="268"/>
      <c r="E30" s="268"/>
      <c r="F30" s="268"/>
      <c r="G30" s="268">
        <f t="shared" si="0"/>
        <v>-334806.56</v>
      </c>
      <c r="H30" s="111">
        <f>[5]Gen!B31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44308</v>
      </c>
      <c r="B31" s="268"/>
      <c r="C31" s="268"/>
      <c r="D31" s="268"/>
      <c r="E31" s="268"/>
      <c r="F31" s="268"/>
      <c r="G31" s="268">
        <f t="shared" si="0"/>
        <v>0</v>
      </c>
      <c r="H31" s="111">
        <f>[5]Gen!B32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44309</v>
      </c>
      <c r="B32" s="268"/>
      <c r="C32" s="268"/>
      <c r="D32" s="268"/>
      <c r="E32" s="268"/>
      <c r="F32" s="268"/>
      <c r="G32" s="268">
        <f t="shared" si="0"/>
        <v>0</v>
      </c>
      <c r="H32" s="111">
        <f>[5]Gen!B33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0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3" t="s">
        <v>6</v>
      </c>
      <c r="D42" s="923"/>
      <c r="E42" s="2">
        <f t="shared" ref="E42" si="4">SUM(E10:E40)</f>
        <v>0</v>
      </c>
      <c r="F42" s="2">
        <f>SUM(F10:F41)</f>
        <v>1519065.2499999998</v>
      </c>
      <c r="G42" s="101">
        <f>SUM(G10:G40)</f>
        <v>-332229.7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2"/>
      <c r="C45" s="922"/>
      <c r="D45" s="922"/>
      <c r="E45" s="922"/>
      <c r="F45" s="922"/>
      <c r="G45" s="922"/>
      <c r="H45" s="922"/>
      <c r="I45" s="831"/>
      <c r="J45" s="838"/>
    </row>
    <row r="46" spans="1:10">
      <c r="A46" s="19"/>
      <c r="B46" s="922"/>
      <c r="C46" s="922"/>
      <c r="D46" s="922"/>
      <c r="E46" s="922"/>
      <c r="F46" s="922"/>
      <c r="G46" s="922"/>
      <c r="H46" s="922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3" zoomScale="94" zoomScaleNormal="94" workbookViewId="0">
      <pane xSplit="1" topLeftCell="R1" activePane="topRight" state="frozen"/>
      <selection pane="topRight" activeCell="AI29" sqref="AI2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48" t="s">
        <v>315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949"/>
      <c r="AA1" s="949"/>
      <c r="AB1" s="949"/>
      <c r="AC1" s="949"/>
      <c r="AD1" s="949"/>
      <c r="AE1" s="949"/>
      <c r="AF1" s="949"/>
      <c r="AG1" s="949"/>
      <c r="AH1" s="949"/>
      <c r="AI1" s="949"/>
      <c r="AJ1" s="949"/>
      <c r="AK1" s="949"/>
      <c r="AL1" s="949"/>
      <c r="AM1" s="949"/>
      <c r="AN1" s="949"/>
    </row>
    <row r="2" spans="1:40" ht="13.5" customHeight="1" thickTop="1">
      <c r="A2" s="29"/>
      <c r="B2" s="29"/>
      <c r="C2" s="947" t="s">
        <v>52</v>
      </c>
      <c r="D2" s="947"/>
      <c r="E2" s="947"/>
      <c r="F2" s="947" t="s">
        <v>17</v>
      </c>
      <c r="G2" s="947"/>
      <c r="H2" s="947"/>
      <c r="I2" s="947" t="s">
        <v>131</v>
      </c>
      <c r="J2" s="947"/>
      <c r="K2" s="947"/>
      <c r="L2" s="947" t="s">
        <v>134</v>
      </c>
      <c r="M2" s="947"/>
      <c r="N2" s="947"/>
      <c r="O2" s="947" t="s">
        <v>132</v>
      </c>
      <c r="P2" s="947"/>
      <c r="Q2" s="947"/>
      <c r="R2" s="252"/>
      <c r="S2" s="956" t="s">
        <v>181</v>
      </c>
      <c r="T2" s="957"/>
      <c r="U2" s="958"/>
      <c r="V2" s="956" t="s">
        <v>182</v>
      </c>
      <c r="W2" s="957"/>
      <c r="X2" s="958"/>
      <c r="Y2" s="956" t="s">
        <v>183</v>
      </c>
      <c r="Z2" s="957"/>
      <c r="AA2" s="958"/>
      <c r="AB2" s="956" t="s">
        <v>184</v>
      </c>
      <c r="AC2" s="957"/>
      <c r="AD2" s="958"/>
      <c r="AE2" s="950" t="s">
        <v>239</v>
      </c>
      <c r="AF2" s="951"/>
      <c r="AG2" s="962"/>
      <c r="AH2" s="950" t="s">
        <v>243</v>
      </c>
      <c r="AI2" s="951"/>
      <c r="AJ2" s="962"/>
      <c r="AK2" s="950" t="s">
        <v>240</v>
      </c>
      <c r="AL2" s="951"/>
      <c r="AM2" s="951"/>
      <c r="AN2" s="954" t="s">
        <v>189</v>
      </c>
    </row>
    <row r="3" spans="1:40" ht="21.75" customHeight="1" thickBot="1">
      <c r="A3" s="945" t="s">
        <v>7</v>
      </c>
      <c r="B3" s="29"/>
      <c r="C3" s="947" t="s">
        <v>133</v>
      </c>
      <c r="D3" s="947" t="s">
        <v>15</v>
      </c>
      <c r="E3" s="947" t="s">
        <v>16</v>
      </c>
      <c r="F3" s="947" t="s">
        <v>133</v>
      </c>
      <c r="G3" s="947" t="s">
        <v>15</v>
      </c>
      <c r="H3" s="947" t="s">
        <v>16</v>
      </c>
      <c r="I3" s="947" t="s">
        <v>133</v>
      </c>
      <c r="J3" s="947" t="s">
        <v>15</v>
      </c>
      <c r="K3" s="947" t="s">
        <v>16</v>
      </c>
      <c r="L3" s="947" t="s">
        <v>133</v>
      </c>
      <c r="M3" s="947" t="s">
        <v>15</v>
      </c>
      <c r="N3" s="947" t="s">
        <v>16</v>
      </c>
      <c r="O3" s="947" t="s">
        <v>133</v>
      </c>
      <c r="P3" s="947" t="s">
        <v>15</v>
      </c>
      <c r="Q3" s="947" t="s">
        <v>16</v>
      </c>
      <c r="R3" s="964" t="s">
        <v>185</v>
      </c>
      <c r="S3" s="959"/>
      <c r="T3" s="960"/>
      <c r="U3" s="961"/>
      <c r="V3" s="959"/>
      <c r="W3" s="960"/>
      <c r="X3" s="961"/>
      <c r="Y3" s="959"/>
      <c r="Z3" s="960"/>
      <c r="AA3" s="961"/>
      <c r="AB3" s="959"/>
      <c r="AC3" s="960"/>
      <c r="AD3" s="961"/>
      <c r="AE3" s="952"/>
      <c r="AF3" s="953"/>
      <c r="AG3" s="963"/>
      <c r="AH3" s="952"/>
      <c r="AI3" s="953"/>
      <c r="AJ3" s="963"/>
      <c r="AK3" s="952"/>
      <c r="AL3" s="953"/>
      <c r="AM3" s="953"/>
      <c r="AN3" s="955"/>
    </row>
    <row r="4" spans="1:40" ht="15.75" thickTop="1">
      <c r="A4" s="946"/>
      <c r="B4" s="244"/>
      <c r="C4" s="947"/>
      <c r="D4" s="947"/>
      <c r="E4" s="947"/>
      <c r="F4" s="947"/>
      <c r="G4" s="947"/>
      <c r="H4" s="947"/>
      <c r="I4" s="947"/>
      <c r="J4" s="947"/>
      <c r="K4" s="947"/>
      <c r="L4" s="947"/>
      <c r="M4" s="947"/>
      <c r="N4" s="947"/>
      <c r="O4" s="947"/>
      <c r="P4" s="947"/>
      <c r="Q4" s="947"/>
      <c r="R4" s="964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>
        <v>253584</v>
      </c>
      <c r="E15" s="58">
        <f t="shared" si="1"/>
        <v>46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8377</v>
      </c>
      <c r="J15" s="1">
        <v>8379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>
        <v>21158</v>
      </c>
      <c r="Q15" s="474">
        <f t="shared" si="7"/>
        <v>3</v>
      </c>
      <c r="R15" s="250"/>
      <c r="S15" s="245">
        <f t="shared" si="15"/>
        <v>68194</v>
      </c>
      <c r="T15" s="384">
        <v>68194</v>
      </c>
      <c r="U15" s="475">
        <f t="shared" si="16"/>
        <v>0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18918</v>
      </c>
      <c r="AC15" s="610">
        <v>18935</v>
      </c>
      <c r="AD15" s="609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30557</v>
      </c>
      <c r="AI15" s="385">
        <v>30584</v>
      </c>
      <c r="AJ15" s="475">
        <f t="shared" si="20"/>
        <v>27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44</v>
      </c>
    </row>
    <row r="16" spans="1:40" ht="23.1" customHeight="1">
      <c r="A16" s="57">
        <f>Gen!A21</f>
        <v>44297</v>
      </c>
      <c r="B16" s="4"/>
      <c r="C16" s="95">
        <f t="shared" si="0"/>
        <v>253584</v>
      </c>
      <c r="D16" s="1">
        <v>253634</v>
      </c>
      <c r="E16" s="58">
        <f>IF((D16-D15)&lt;0,"0",(D16-D15))</f>
        <v>50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8379</v>
      </c>
      <c r="J16" s="1">
        <v>8381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21158</v>
      </c>
      <c r="P16" s="383">
        <v>21161</v>
      </c>
      <c r="Q16" s="474">
        <f t="shared" si="7"/>
        <v>3</v>
      </c>
      <c r="R16" s="250"/>
      <c r="S16" s="245">
        <f t="shared" si="15"/>
        <v>68194</v>
      </c>
      <c r="T16" s="384">
        <v>68194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90129</v>
      </c>
      <c r="AA16" s="475">
        <f t="shared" si="18"/>
        <v>0</v>
      </c>
      <c r="AB16" s="606">
        <f t="shared" si="22"/>
        <v>18935</v>
      </c>
      <c r="AC16" s="610">
        <v>18952</v>
      </c>
      <c r="AD16" s="609">
        <f t="shared" si="23"/>
        <v>17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30584</v>
      </c>
      <c r="AI16" s="385">
        <v>30610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43</v>
      </c>
    </row>
    <row r="17" spans="1:40" ht="23.1" customHeight="1">
      <c r="A17" s="57">
        <f>Gen!A22</f>
        <v>44298</v>
      </c>
      <c r="B17" s="4"/>
      <c r="C17" s="95">
        <f t="shared" si="0"/>
        <v>253634</v>
      </c>
      <c r="D17" s="1">
        <v>253695</v>
      </c>
      <c r="E17" s="474">
        <f>IF((D17-D16)&lt;0,"0",(D17-D16))</f>
        <v>61</v>
      </c>
      <c r="F17" s="95">
        <f t="shared" si="2"/>
        <v>75790</v>
      </c>
      <c r="G17" s="387">
        <v>75790</v>
      </c>
      <c r="H17" s="474">
        <f t="shared" si="13"/>
        <v>0</v>
      </c>
      <c r="I17" s="95">
        <f t="shared" si="3"/>
        <v>8381</v>
      </c>
      <c r="J17" s="1">
        <v>8382</v>
      </c>
      <c r="K17" s="474">
        <f t="shared" si="28"/>
        <v>1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21161</v>
      </c>
      <c r="P17" s="383">
        <v>21167</v>
      </c>
      <c r="Q17" s="474">
        <f t="shared" si="7"/>
        <v>6</v>
      </c>
      <c r="R17" s="250"/>
      <c r="S17" s="245">
        <f t="shared" si="15"/>
        <v>68194</v>
      </c>
      <c r="T17" s="384">
        <v>68194</v>
      </c>
      <c r="U17" s="475">
        <f t="shared" si="16"/>
        <v>0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90129</v>
      </c>
      <c r="Z17" s="384">
        <v>90129</v>
      </c>
      <c r="AA17" s="475">
        <f>IF((Z17-Z16)&lt;0,"0",(Z17-Z16))</f>
        <v>0</v>
      </c>
      <c r="AB17" s="606">
        <f t="shared" si="22"/>
        <v>18952</v>
      </c>
      <c r="AC17" s="610">
        <v>18968</v>
      </c>
      <c r="AD17" s="609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30610</v>
      </c>
      <c r="AI17" s="385">
        <v>30643</v>
      </c>
      <c r="AJ17" s="475">
        <f t="shared" si="20"/>
        <v>33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49</v>
      </c>
    </row>
    <row r="18" spans="1:40" ht="23.1" customHeight="1">
      <c r="A18" s="57">
        <f>Gen!A23</f>
        <v>44299</v>
      </c>
      <c r="B18" s="4"/>
      <c r="C18" s="95">
        <f t="shared" si="0"/>
        <v>253695</v>
      </c>
      <c r="D18" s="1">
        <v>253876</v>
      </c>
      <c r="E18" s="474">
        <f t="shared" ref="E18:E37" si="29">IF((D18-D17)&lt;0,"0",(D18-D17))</f>
        <v>181</v>
      </c>
      <c r="F18" s="95">
        <f t="shared" si="2"/>
        <v>75790</v>
      </c>
      <c r="G18" s="387">
        <v>75790</v>
      </c>
      <c r="H18" s="474">
        <f t="shared" si="13"/>
        <v>0</v>
      </c>
      <c r="I18" s="95"/>
      <c r="J18" s="1">
        <v>8383</v>
      </c>
      <c r="K18" s="474">
        <f t="shared" si="28"/>
        <v>1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21167</v>
      </c>
      <c r="P18" s="383">
        <v>21169</v>
      </c>
      <c r="Q18" s="474">
        <f t="shared" si="7"/>
        <v>2</v>
      </c>
      <c r="R18" s="250"/>
      <c r="S18" s="245">
        <f t="shared" si="15"/>
        <v>68194</v>
      </c>
      <c r="T18" s="384">
        <v>68194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90129</v>
      </c>
      <c r="Z18" s="384">
        <v>90129</v>
      </c>
      <c r="AA18" s="475">
        <f t="shared" si="18"/>
        <v>0</v>
      </c>
      <c r="AB18" s="606">
        <f t="shared" si="22"/>
        <v>18968</v>
      </c>
      <c r="AC18" s="610">
        <v>18984</v>
      </c>
      <c r="AD18" s="609">
        <f t="shared" si="23"/>
        <v>16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30643</v>
      </c>
      <c r="AI18" s="385">
        <v>30672</v>
      </c>
      <c r="AJ18" s="475">
        <f t="shared" si="20"/>
        <v>29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45</v>
      </c>
    </row>
    <row r="19" spans="1:40" ht="23.1" customHeight="1">
      <c r="A19" s="57">
        <f>Gen!A24</f>
        <v>44300</v>
      </c>
      <c r="B19" s="4"/>
      <c r="C19" s="95">
        <f t="shared" si="0"/>
        <v>253876</v>
      </c>
      <c r="D19" s="1">
        <v>253922</v>
      </c>
      <c r="E19" s="474">
        <f t="shared" si="29"/>
        <v>46</v>
      </c>
      <c r="F19" s="95">
        <f t="shared" si="2"/>
        <v>75790</v>
      </c>
      <c r="G19" s="387">
        <v>75790</v>
      </c>
      <c r="H19" s="474">
        <f t="shared" si="13"/>
        <v>0</v>
      </c>
      <c r="I19" s="95">
        <f t="shared" si="3"/>
        <v>8383</v>
      </c>
      <c r="J19" s="1">
        <v>8384</v>
      </c>
      <c r="K19" s="474">
        <f t="shared" si="28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21169</v>
      </c>
      <c r="P19" s="383">
        <v>21171</v>
      </c>
      <c r="Q19" s="474">
        <f t="shared" si="7"/>
        <v>2</v>
      </c>
      <c r="R19" s="250"/>
      <c r="S19" s="245">
        <f t="shared" si="15"/>
        <v>68194</v>
      </c>
      <c r="T19" s="384">
        <v>68283</v>
      </c>
      <c r="U19" s="475">
        <f t="shared" si="16"/>
        <v>89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90129</v>
      </c>
      <c r="Z19" s="384">
        <v>90129</v>
      </c>
      <c r="AA19" s="475">
        <f t="shared" si="18"/>
        <v>0</v>
      </c>
      <c r="AB19" s="606">
        <f t="shared" si="22"/>
        <v>18984</v>
      </c>
      <c r="AC19" s="610">
        <v>19001</v>
      </c>
      <c r="AD19" s="609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30672</v>
      </c>
      <c r="AI19" s="385">
        <v>30691</v>
      </c>
      <c r="AJ19" s="475">
        <f t="shared" si="20"/>
        <v>19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125</v>
      </c>
    </row>
    <row r="20" spans="1:40" ht="23.1" customHeight="1">
      <c r="A20" s="57">
        <f>Gen!A25</f>
        <v>44301</v>
      </c>
      <c r="B20" s="4"/>
      <c r="C20" s="95">
        <f t="shared" si="0"/>
        <v>253922</v>
      </c>
      <c r="D20" s="1">
        <v>253969</v>
      </c>
      <c r="E20" s="474">
        <f t="shared" si="29"/>
        <v>47</v>
      </c>
      <c r="F20" s="95">
        <f t="shared" si="2"/>
        <v>75790</v>
      </c>
      <c r="G20" s="387">
        <v>75790</v>
      </c>
      <c r="H20" s="474">
        <f t="shared" si="13"/>
        <v>0</v>
      </c>
      <c r="I20" s="95">
        <f t="shared" si="3"/>
        <v>8384</v>
      </c>
      <c r="J20" s="1">
        <v>8385</v>
      </c>
      <c r="K20" s="474">
        <f t="shared" si="28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21171</v>
      </c>
      <c r="P20" s="383">
        <v>21176</v>
      </c>
      <c r="Q20" s="474">
        <f t="shared" si="7"/>
        <v>5</v>
      </c>
      <c r="R20" s="250"/>
      <c r="S20" s="245">
        <f t="shared" si="15"/>
        <v>68283</v>
      </c>
      <c r="T20" s="384">
        <v>68365</v>
      </c>
      <c r="U20" s="475">
        <f t="shared" si="16"/>
        <v>82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90129</v>
      </c>
      <c r="Z20" s="384">
        <v>90129</v>
      </c>
      <c r="AA20" s="475">
        <f t="shared" si="18"/>
        <v>0</v>
      </c>
      <c r="AB20" s="606">
        <f t="shared" si="22"/>
        <v>19001</v>
      </c>
      <c r="AC20" s="610">
        <v>19017</v>
      </c>
      <c r="AD20" s="609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30691</v>
      </c>
      <c r="AI20" s="385">
        <v>30730</v>
      </c>
      <c r="AJ20" s="475">
        <f t="shared" si="20"/>
        <v>39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137</v>
      </c>
    </row>
    <row r="21" spans="1:40" ht="23.1" customHeight="1">
      <c r="A21" s="57">
        <f>Gen!A26</f>
        <v>44302</v>
      </c>
      <c r="B21" s="4"/>
      <c r="C21" s="95">
        <f t="shared" si="0"/>
        <v>253969</v>
      </c>
      <c r="D21" s="1">
        <v>254009</v>
      </c>
      <c r="E21" s="474">
        <f t="shared" si="29"/>
        <v>40</v>
      </c>
      <c r="F21" s="95">
        <f t="shared" si="2"/>
        <v>75790</v>
      </c>
      <c r="G21" s="387">
        <v>75790</v>
      </c>
      <c r="H21" s="474">
        <f t="shared" si="13"/>
        <v>0</v>
      </c>
      <c r="I21" s="95">
        <f t="shared" si="3"/>
        <v>8385</v>
      </c>
      <c r="J21" s="1">
        <v>8387</v>
      </c>
      <c r="K21" s="474">
        <f t="shared" si="28"/>
        <v>2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21176</v>
      </c>
      <c r="P21" s="383">
        <v>21178</v>
      </c>
      <c r="Q21" s="474">
        <f t="shared" si="7"/>
        <v>2</v>
      </c>
      <c r="R21" s="250"/>
      <c r="S21" s="245">
        <f t="shared" si="15"/>
        <v>68365</v>
      </c>
      <c r="T21" s="384">
        <v>68447</v>
      </c>
      <c r="U21" s="475">
        <f t="shared" si="16"/>
        <v>82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90129</v>
      </c>
      <c r="Z21" s="384">
        <v>90129</v>
      </c>
      <c r="AA21" s="475">
        <f t="shared" si="18"/>
        <v>0</v>
      </c>
      <c r="AB21" s="606">
        <f t="shared" si="22"/>
        <v>19017</v>
      </c>
      <c r="AC21" s="610">
        <v>19034</v>
      </c>
      <c r="AD21" s="609">
        <f t="shared" si="23"/>
        <v>17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30730</v>
      </c>
      <c r="AI21" s="385">
        <v>30759</v>
      </c>
      <c r="AJ21" s="475">
        <f t="shared" si="20"/>
        <v>29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128</v>
      </c>
    </row>
    <row r="22" spans="1:40" ht="23.1" customHeight="1">
      <c r="A22" s="57">
        <f>Gen!A27</f>
        <v>44303</v>
      </c>
      <c r="B22" s="4"/>
      <c r="C22" s="95">
        <f t="shared" si="0"/>
        <v>254009</v>
      </c>
      <c r="D22" s="1">
        <v>254061</v>
      </c>
      <c r="E22" s="474">
        <f t="shared" si="29"/>
        <v>52</v>
      </c>
      <c r="F22" s="95">
        <f t="shared" si="2"/>
        <v>75790</v>
      </c>
      <c r="G22" s="387">
        <v>75790</v>
      </c>
      <c r="H22" s="474">
        <f t="shared" si="13"/>
        <v>0</v>
      </c>
      <c r="I22" s="95">
        <f t="shared" si="3"/>
        <v>8387</v>
      </c>
      <c r="J22" s="1">
        <v>8389</v>
      </c>
      <c r="K22" s="474">
        <f t="shared" si="28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21178</v>
      </c>
      <c r="P22" s="383">
        <v>21183</v>
      </c>
      <c r="Q22" s="474">
        <f t="shared" si="7"/>
        <v>5</v>
      </c>
      <c r="R22" s="250"/>
      <c r="S22" s="245">
        <f t="shared" si="15"/>
        <v>68447</v>
      </c>
      <c r="T22" s="384">
        <v>68528</v>
      </c>
      <c r="U22" s="475">
        <f t="shared" si="16"/>
        <v>81</v>
      </c>
      <c r="V22" s="245">
        <f t="shared" si="31"/>
        <v>73031</v>
      </c>
      <c r="W22" s="384">
        <v>73031</v>
      </c>
      <c r="X22" s="475">
        <f t="shared" si="17"/>
        <v>0</v>
      </c>
      <c r="Y22" s="245">
        <f t="shared" si="9"/>
        <v>90129</v>
      </c>
      <c r="Z22" s="384">
        <v>90129</v>
      </c>
      <c r="AA22" s="475">
        <f t="shared" si="18"/>
        <v>0</v>
      </c>
      <c r="AB22" s="606">
        <f t="shared" si="22"/>
        <v>19034</v>
      </c>
      <c r="AC22" s="610">
        <v>19050</v>
      </c>
      <c r="AD22" s="609">
        <f t="shared" si="23"/>
        <v>16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30759</v>
      </c>
      <c r="AI22" s="385">
        <v>30787</v>
      </c>
      <c r="AJ22" s="475">
        <f t="shared" si="20"/>
        <v>28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125</v>
      </c>
    </row>
    <row r="23" spans="1:40" ht="23.1" customHeight="1">
      <c r="A23" s="57">
        <f>Gen!A28</f>
        <v>44304</v>
      </c>
      <c r="B23" s="4"/>
      <c r="C23" s="95">
        <f t="shared" si="0"/>
        <v>254061</v>
      </c>
      <c r="D23" s="1">
        <v>254114</v>
      </c>
      <c r="E23" s="474">
        <f t="shared" si="29"/>
        <v>53</v>
      </c>
      <c r="F23" s="95">
        <f t="shared" si="2"/>
        <v>75790</v>
      </c>
      <c r="G23" s="387">
        <v>75790</v>
      </c>
      <c r="H23" s="474">
        <f t="shared" si="13"/>
        <v>0</v>
      </c>
      <c r="I23" s="95">
        <f t="shared" si="3"/>
        <v>8389</v>
      </c>
      <c r="J23" s="1">
        <v>8390</v>
      </c>
      <c r="K23" s="474">
        <f t="shared" si="28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21183</v>
      </c>
      <c r="P23" s="383">
        <v>21187</v>
      </c>
      <c r="Q23" s="474">
        <f t="shared" si="7"/>
        <v>4</v>
      </c>
      <c r="R23" s="250"/>
      <c r="S23" s="245">
        <f t="shared" si="15"/>
        <v>68528</v>
      </c>
      <c r="T23" s="384">
        <v>68609</v>
      </c>
      <c r="U23" s="475">
        <f t="shared" si="16"/>
        <v>81</v>
      </c>
      <c r="V23" s="245">
        <f t="shared" si="31"/>
        <v>73031</v>
      </c>
      <c r="W23" s="384">
        <v>73031</v>
      </c>
      <c r="X23" s="475">
        <f t="shared" si="17"/>
        <v>0</v>
      </c>
      <c r="Y23" s="245">
        <f t="shared" si="9"/>
        <v>90129</v>
      </c>
      <c r="Z23" s="384">
        <v>90129</v>
      </c>
      <c r="AA23" s="475">
        <f t="shared" si="18"/>
        <v>0</v>
      </c>
      <c r="AB23" s="606">
        <f t="shared" si="22"/>
        <v>19050</v>
      </c>
      <c r="AC23" s="607">
        <v>19067</v>
      </c>
      <c r="AD23" s="609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30787</v>
      </c>
      <c r="AI23" s="385">
        <v>30814</v>
      </c>
      <c r="AJ23" s="475">
        <f t="shared" si="20"/>
        <v>27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125</v>
      </c>
    </row>
    <row r="24" spans="1:40" ht="23.1" customHeight="1">
      <c r="A24" s="57">
        <f>Gen!A29</f>
        <v>44305</v>
      </c>
      <c r="B24" s="4"/>
      <c r="C24" s="95">
        <f t="shared" si="0"/>
        <v>254114</v>
      </c>
      <c r="D24" s="1">
        <v>254172</v>
      </c>
      <c r="E24" s="474">
        <f t="shared" si="29"/>
        <v>58</v>
      </c>
      <c r="F24" s="95">
        <f t="shared" si="2"/>
        <v>75790</v>
      </c>
      <c r="G24" s="387">
        <v>75790</v>
      </c>
      <c r="H24" s="474">
        <f t="shared" si="13"/>
        <v>0</v>
      </c>
      <c r="I24" s="95">
        <f t="shared" si="3"/>
        <v>8390</v>
      </c>
      <c r="J24" s="1">
        <v>8391</v>
      </c>
      <c r="K24" s="474">
        <f t="shared" si="28"/>
        <v>1</v>
      </c>
      <c r="L24" s="95">
        <f t="shared" si="5"/>
        <v>0</v>
      </c>
      <c r="M24" s="1"/>
      <c r="N24" s="474">
        <f t="shared" si="14"/>
        <v>0</v>
      </c>
      <c r="O24" s="95">
        <f t="shared" si="6"/>
        <v>21187</v>
      </c>
      <c r="P24" s="383">
        <v>21191</v>
      </c>
      <c r="Q24" s="474">
        <f t="shared" si="7"/>
        <v>4</v>
      </c>
      <c r="R24" s="250"/>
      <c r="S24" s="245">
        <f t="shared" si="15"/>
        <v>68609</v>
      </c>
      <c r="T24" s="384">
        <v>68609</v>
      </c>
      <c r="U24" s="475">
        <f t="shared" si="16"/>
        <v>0</v>
      </c>
      <c r="V24" s="245">
        <f t="shared" si="31"/>
        <v>73031</v>
      </c>
      <c r="W24" s="384">
        <v>73031</v>
      </c>
      <c r="X24" s="475">
        <f t="shared" si="17"/>
        <v>0</v>
      </c>
      <c r="Y24" s="245">
        <f t="shared" si="9"/>
        <v>90129</v>
      </c>
      <c r="Z24" s="384">
        <v>90129</v>
      </c>
      <c r="AA24" s="475">
        <f t="shared" si="18"/>
        <v>0</v>
      </c>
      <c r="AB24" s="606">
        <f t="shared" si="22"/>
        <v>19067</v>
      </c>
      <c r="AC24" s="607">
        <v>19083</v>
      </c>
      <c r="AD24" s="609">
        <f t="shared" si="23"/>
        <v>16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30814</v>
      </c>
      <c r="AI24" s="385">
        <v>30844</v>
      </c>
      <c r="AJ24" s="475">
        <f t="shared" si="20"/>
        <v>30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46</v>
      </c>
    </row>
    <row r="25" spans="1:40" ht="23.1" customHeight="1">
      <c r="A25" s="57">
        <f>Gen!A30</f>
        <v>44306</v>
      </c>
      <c r="B25" s="4"/>
      <c r="C25" s="95">
        <f>D24</f>
        <v>254172</v>
      </c>
      <c r="D25" s="1">
        <v>254238</v>
      </c>
      <c r="E25" s="474">
        <f t="shared" si="29"/>
        <v>66</v>
      </c>
      <c r="F25" s="95">
        <f t="shared" si="2"/>
        <v>75790</v>
      </c>
      <c r="G25" s="387">
        <v>75790</v>
      </c>
      <c r="H25" s="474" t="str">
        <f>IF((G26-G24)&lt;0,"0",(G26-G24))</f>
        <v>0</v>
      </c>
      <c r="I25" s="95">
        <f t="shared" ref="I25:I37" si="32">J24</f>
        <v>8391</v>
      </c>
      <c r="J25" s="1">
        <v>8392</v>
      </c>
      <c r="K25" s="474">
        <f t="shared" si="28"/>
        <v>1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21191</v>
      </c>
      <c r="P25" s="383">
        <v>21194</v>
      </c>
      <c r="Q25" s="474">
        <f t="shared" si="7"/>
        <v>3</v>
      </c>
      <c r="R25" s="250"/>
      <c r="S25" s="245">
        <f t="shared" ref="S25:S37" si="35">T24</f>
        <v>68609</v>
      </c>
      <c r="T25" s="384">
        <v>68609</v>
      </c>
      <c r="U25" s="475">
        <f t="shared" ref="U25:U37" si="36">IF((T25-T24)&lt;0,"0",(T25-T24))</f>
        <v>0</v>
      </c>
      <c r="V25" s="245">
        <f t="shared" si="31"/>
        <v>73031</v>
      </c>
      <c r="W25" s="384">
        <v>73031</v>
      </c>
      <c r="X25" s="475">
        <f t="shared" si="17"/>
        <v>0</v>
      </c>
      <c r="Y25" s="245">
        <f t="shared" si="9"/>
        <v>90129</v>
      </c>
      <c r="Z25" s="384">
        <v>90129</v>
      </c>
      <c r="AA25" s="475">
        <f t="shared" si="18"/>
        <v>0</v>
      </c>
      <c r="AB25" s="606">
        <f t="shared" si="22"/>
        <v>19083</v>
      </c>
      <c r="AC25" s="607">
        <v>19099</v>
      </c>
      <c r="AD25" s="609">
        <f t="shared" si="23"/>
        <v>16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30844</v>
      </c>
      <c r="AI25" s="385">
        <v>30872</v>
      </c>
      <c r="AJ25" s="475">
        <f t="shared" si="20"/>
        <v>28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44</v>
      </c>
    </row>
    <row r="26" spans="1:40" ht="23.1" customHeight="1">
      <c r="A26" s="57">
        <f>Gen!A31</f>
        <v>44307</v>
      </c>
      <c r="B26" s="4"/>
      <c r="C26" s="95">
        <f>D25</f>
        <v>254238</v>
      </c>
      <c r="D26" s="1"/>
      <c r="E26" s="474" t="str">
        <f t="shared" si="29"/>
        <v>0</v>
      </c>
      <c r="F26" s="95">
        <f>G26</f>
        <v>0</v>
      </c>
      <c r="G26" s="387"/>
      <c r="H26" s="474" t="str">
        <f t="shared" ref="H26:H27" si="37">IF((G27-G25)&lt;0,"0",(G27-G25))</f>
        <v>0</v>
      </c>
      <c r="I26" s="95">
        <f t="shared" si="32"/>
        <v>8392</v>
      </c>
      <c r="J26" s="1"/>
      <c r="K26" s="474" t="str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21194</v>
      </c>
      <c r="P26" s="383"/>
      <c r="Q26" s="474" t="str">
        <f t="shared" si="7"/>
        <v>0</v>
      </c>
      <c r="R26" s="250"/>
      <c r="S26" s="245">
        <f t="shared" si="35"/>
        <v>68609</v>
      </c>
      <c r="T26" s="384"/>
      <c r="U26" s="475" t="str">
        <f t="shared" si="36"/>
        <v>0</v>
      </c>
      <c r="V26" s="245">
        <f t="shared" si="31"/>
        <v>73031</v>
      </c>
      <c r="W26" s="384"/>
      <c r="X26" s="475" t="str">
        <f t="shared" si="17"/>
        <v>0</v>
      </c>
      <c r="Y26" s="245">
        <f t="shared" si="9"/>
        <v>90129</v>
      </c>
      <c r="Z26" s="384"/>
      <c r="AA26" s="475" t="str">
        <f t="shared" si="18"/>
        <v>0</v>
      </c>
      <c r="AB26" s="606">
        <f t="shared" si="22"/>
        <v>19099</v>
      </c>
      <c r="AC26" s="607"/>
      <c r="AD26" s="609" t="str">
        <f t="shared" si="23"/>
        <v>0</v>
      </c>
      <c r="AE26" s="245">
        <f t="shared" si="10"/>
        <v>18300</v>
      </c>
      <c r="AF26" s="385"/>
      <c r="AG26" s="475" t="str">
        <f t="shared" si="19"/>
        <v>0</v>
      </c>
      <c r="AH26" s="245">
        <f t="shared" si="11"/>
        <v>30872</v>
      </c>
      <c r="AI26" s="385"/>
      <c r="AJ26" s="475" t="str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44308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44309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1153</v>
      </c>
    </row>
    <row r="38" spans="1:41" ht="18.75">
      <c r="A38" s="57"/>
      <c r="B38" s="21"/>
      <c r="C38" s="965" t="s">
        <v>6</v>
      </c>
      <c r="D38" s="965"/>
      <c r="E38" s="22">
        <f>SUM(E6:E36)</f>
        <v>1594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30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1594</v>
      </c>
      <c r="S38" s="247"/>
      <c r="T38" s="247"/>
      <c r="U38" s="257">
        <f>SUM(U6:U37)</f>
        <v>1153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1153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4"/>
      <c r="B42" s="277"/>
      <c r="C42" s="931" t="s">
        <v>222</v>
      </c>
      <c r="D42" s="932"/>
      <c r="E42" s="932"/>
      <c r="F42" s="932"/>
      <c r="G42" s="932"/>
      <c r="H42" s="932"/>
      <c r="I42" s="932"/>
      <c r="J42" s="932"/>
      <c r="K42" s="933"/>
      <c r="R42" s="19"/>
    </row>
    <row r="43" spans="1:41" ht="24.75" customHeight="1">
      <c r="A43" s="935"/>
      <c r="B43" s="19"/>
      <c r="C43" s="937" t="s">
        <v>216</v>
      </c>
      <c r="D43" s="938"/>
      <c r="E43" s="939" t="s">
        <v>237</v>
      </c>
      <c r="F43" s="940"/>
      <c r="G43" s="941" t="s">
        <v>217</v>
      </c>
      <c r="H43" s="942"/>
      <c r="I43" s="941" t="s">
        <v>238</v>
      </c>
      <c r="J43" s="942"/>
      <c r="K43" s="929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5"/>
      <c r="B44" s="19"/>
      <c r="C44" s="943" t="s">
        <v>218</v>
      </c>
      <c r="D44" s="944"/>
      <c r="E44" s="943" t="s">
        <v>219</v>
      </c>
      <c r="F44" s="944"/>
      <c r="G44" s="943" t="s">
        <v>220</v>
      </c>
      <c r="H44" s="944"/>
      <c r="I44" s="943" t="s">
        <v>221</v>
      </c>
      <c r="J44" s="944"/>
      <c r="K44" s="930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6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>
        <v>298</v>
      </c>
      <c r="D56" s="325">
        <f t="shared" si="49"/>
        <v>215.55333333333334</v>
      </c>
      <c r="E56" s="6">
        <v>274</v>
      </c>
      <c r="F56" s="325">
        <f t="shared" si="50"/>
        <v>82.649180327868848</v>
      </c>
      <c r="G56" s="618">
        <v>217</v>
      </c>
      <c r="H56" s="325">
        <f t="shared" si="51"/>
        <v>82.72062663185379</v>
      </c>
      <c r="I56" s="6">
        <v>291</v>
      </c>
      <c r="J56" s="325">
        <f t="shared" si="52"/>
        <v>201.24350649350649</v>
      </c>
      <c r="K56" s="331">
        <f t="shared" si="53"/>
        <v>582.16664678656252</v>
      </c>
    </row>
    <row r="57" spans="1:15" ht="13.5">
      <c r="A57" s="293">
        <f>Gen!A22</f>
        <v>44298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185</v>
      </c>
      <c r="H57" s="325">
        <f t="shared" si="51"/>
        <v>70.522193211488258</v>
      </c>
      <c r="I57" s="6">
        <v>289</v>
      </c>
      <c r="J57" s="325">
        <f t="shared" si="52"/>
        <v>199.8603896103896</v>
      </c>
      <c r="K57" s="331">
        <f t="shared" si="53"/>
        <v>546.81755549947343</v>
      </c>
    </row>
    <row r="58" spans="1:15" ht="13.5">
      <c r="A58" s="293">
        <f>Gen!A23</f>
        <v>44299</v>
      </c>
      <c r="B58" s="19"/>
      <c r="C58" s="62">
        <v>260</v>
      </c>
      <c r="D58" s="325">
        <f t="shared" si="49"/>
        <v>188.06666666666666</v>
      </c>
      <c r="E58" s="6">
        <v>225</v>
      </c>
      <c r="F58" s="325">
        <f t="shared" si="50"/>
        <v>67.868852459016395</v>
      </c>
      <c r="G58" s="618">
        <v>120</v>
      </c>
      <c r="H58" s="325">
        <f t="shared" si="51"/>
        <v>45.744125326370757</v>
      </c>
      <c r="I58" s="6">
        <v>290</v>
      </c>
      <c r="J58" s="325">
        <f t="shared" si="52"/>
        <v>200.55194805194805</v>
      </c>
      <c r="K58" s="331">
        <f t="shared" si="53"/>
        <v>502.23159250400187</v>
      </c>
    </row>
    <row r="59" spans="1:15" ht="13.5">
      <c r="A59" s="293">
        <f>Gen!A24</f>
        <v>44300</v>
      </c>
      <c r="B59" s="19"/>
      <c r="C59" s="62">
        <v>258</v>
      </c>
      <c r="D59" s="325">
        <f t="shared" si="49"/>
        <v>186.62</v>
      </c>
      <c r="E59" s="6">
        <v>223</v>
      </c>
      <c r="F59" s="325">
        <f t="shared" si="50"/>
        <v>67.265573770491798</v>
      </c>
      <c r="G59" s="618">
        <v>5</v>
      </c>
      <c r="H59" s="325">
        <f t="shared" si="51"/>
        <v>1.9060052219321149</v>
      </c>
      <c r="I59" s="6">
        <v>146</v>
      </c>
      <c r="J59" s="325">
        <f t="shared" si="52"/>
        <v>100.96753246753246</v>
      </c>
      <c r="K59" s="331">
        <f t="shared" si="53"/>
        <v>356.75911145995639</v>
      </c>
    </row>
    <row r="60" spans="1:15" ht="13.5">
      <c r="A60" s="293">
        <f>Gen!A25</f>
        <v>44301</v>
      </c>
      <c r="B60" s="19"/>
      <c r="C60" s="62">
        <v>125</v>
      </c>
      <c r="D60" s="325">
        <f t="shared" si="49"/>
        <v>90.416666666666671</v>
      </c>
      <c r="E60" s="6">
        <v>90</v>
      </c>
      <c r="F60" s="325">
        <f t="shared" si="50"/>
        <v>27.147540983606557</v>
      </c>
      <c r="G60" s="618">
        <v>300</v>
      </c>
      <c r="H60" s="325">
        <f t="shared" si="51"/>
        <v>114.36031331592689</v>
      </c>
      <c r="I60" s="6">
        <v>170</v>
      </c>
      <c r="J60" s="325">
        <f t="shared" si="52"/>
        <v>117.56493506493507</v>
      </c>
      <c r="K60" s="331">
        <f t="shared" si="53"/>
        <v>349.48945603113521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>
        <v>123</v>
      </c>
      <c r="D61" s="325">
        <f t="shared" si="49"/>
        <v>88.97</v>
      </c>
      <c r="E61" s="6">
        <v>200</v>
      </c>
      <c r="F61" s="325">
        <f t="shared" si="50"/>
        <v>60.327868852459019</v>
      </c>
      <c r="G61" s="618">
        <v>250</v>
      </c>
      <c r="H61" s="325">
        <f t="shared" si="51"/>
        <v>95.300261096605738</v>
      </c>
      <c r="I61" s="6">
        <v>286</v>
      </c>
      <c r="J61" s="325">
        <f t="shared" si="52"/>
        <v>197.78571428571428</v>
      </c>
      <c r="K61" s="331">
        <f t="shared" si="53"/>
        <v>442.38384423477908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>
        <v>175</v>
      </c>
      <c r="D62" s="325">
        <f t="shared" si="49"/>
        <v>126.58333333333333</v>
      </c>
      <c r="E62" s="6">
        <v>140</v>
      </c>
      <c r="F62" s="325">
        <f t="shared" si="50"/>
        <v>42.229508196721312</v>
      </c>
      <c r="G62" s="618">
        <v>240</v>
      </c>
      <c r="H62" s="325">
        <f t="shared" si="51"/>
        <v>91.488250652741513</v>
      </c>
      <c r="I62" s="6">
        <v>290</v>
      </c>
      <c r="J62" s="325">
        <f t="shared" si="52"/>
        <v>200.55194805194805</v>
      </c>
      <c r="K62" s="331">
        <f t="shared" si="53"/>
        <v>460.85304023474418</v>
      </c>
    </row>
    <row r="63" spans="1:15" ht="13.5">
      <c r="A63" s="293">
        <f>Gen!A28</f>
        <v>44304</v>
      </c>
      <c r="B63" s="19"/>
      <c r="C63" s="62">
        <v>236</v>
      </c>
      <c r="D63" s="325">
        <f t="shared" si="49"/>
        <v>170.70666666666668</v>
      </c>
      <c r="E63" s="6">
        <v>200</v>
      </c>
      <c r="F63" s="325">
        <f t="shared" si="50"/>
        <v>60.327868852459019</v>
      </c>
      <c r="G63" s="477">
        <v>183</v>
      </c>
      <c r="H63" s="325">
        <f t="shared" si="51"/>
        <v>69.759791122715399</v>
      </c>
      <c r="I63" s="6">
        <v>288</v>
      </c>
      <c r="J63" s="325">
        <f t="shared" si="52"/>
        <v>199.16883116883116</v>
      </c>
      <c r="K63" s="331">
        <f t="shared" si="53"/>
        <v>499.96315781067227</v>
      </c>
    </row>
    <row r="64" spans="1:15" ht="13.5">
      <c r="A64" s="293">
        <f>Gen!A29</f>
        <v>44305</v>
      </c>
      <c r="B64" s="19"/>
      <c r="C64" s="62">
        <v>300</v>
      </c>
      <c r="D64" s="325">
        <f t="shared" si="49"/>
        <v>217</v>
      </c>
      <c r="E64" s="6">
        <v>289</v>
      </c>
      <c r="F64" s="325">
        <f t="shared" si="50"/>
        <v>87.173770491803282</v>
      </c>
      <c r="G64" s="477">
        <v>147</v>
      </c>
      <c r="H64" s="325">
        <f t="shared" si="51"/>
        <v>56.036553524804177</v>
      </c>
      <c r="I64" s="6">
        <v>290</v>
      </c>
      <c r="J64" s="325">
        <f t="shared" si="52"/>
        <v>200.55194805194805</v>
      </c>
      <c r="K64" s="331">
        <f t="shared" si="53"/>
        <v>560.76227206855549</v>
      </c>
    </row>
    <row r="65" spans="1:11" ht="13.5">
      <c r="A65" s="293">
        <f>Gen!A30</f>
        <v>44306</v>
      </c>
      <c r="B65" s="19"/>
      <c r="C65" s="62">
        <v>275</v>
      </c>
      <c r="D65" s="325">
        <f t="shared" si="49"/>
        <v>198.91666666666666</v>
      </c>
      <c r="E65" s="6">
        <v>240</v>
      </c>
      <c r="F65" s="325">
        <f t="shared" si="50"/>
        <v>72.393442622950815</v>
      </c>
      <c r="G65" s="477">
        <v>70</v>
      </c>
      <c r="H65" s="325">
        <f t="shared" si="51"/>
        <v>26.68407310704961</v>
      </c>
      <c r="I65" s="6">
        <v>291</v>
      </c>
      <c r="J65" s="325">
        <f t="shared" si="52"/>
        <v>201.24350649350649</v>
      </c>
      <c r="K65" s="331">
        <f t="shared" si="53"/>
        <v>499.23768889017356</v>
      </c>
    </row>
    <row r="66" spans="1:11" ht="13.5">
      <c r="A66" s="293">
        <f>Gen!A31</f>
        <v>44307</v>
      </c>
      <c r="B66" s="19"/>
      <c r="C66" s="62">
        <v>145</v>
      </c>
      <c r="D66" s="325">
        <f t="shared" si="49"/>
        <v>104.88333333333334</v>
      </c>
      <c r="E66" s="6">
        <v>110</v>
      </c>
      <c r="F66" s="325">
        <f t="shared" si="50"/>
        <v>33.180327868852459</v>
      </c>
      <c r="G66" s="477">
        <v>247</v>
      </c>
      <c r="H66" s="325">
        <f t="shared" si="51"/>
        <v>94.156657963446477</v>
      </c>
      <c r="I66" s="6">
        <v>288</v>
      </c>
      <c r="J66" s="325">
        <f t="shared" si="52"/>
        <v>199.16883116883116</v>
      </c>
      <c r="K66" s="331">
        <f t="shared" si="53"/>
        <v>431.38915033446347</v>
      </c>
    </row>
    <row r="67" spans="1:11" ht="13.5">
      <c r="A67" s="293">
        <f>Gen!A32</f>
        <v>44308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44309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6" t="s">
        <v>316</v>
      </c>
      <c r="B2" s="967"/>
      <c r="C2" s="967"/>
      <c r="D2" s="967"/>
      <c r="E2" s="96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44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54.527777777777779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5.1999999999999998E-2</v>
      </c>
      <c r="D14" s="434">
        <f t="shared" si="2"/>
        <v>4.0039999999999996</v>
      </c>
      <c r="E14" s="74"/>
      <c r="F14" s="70">
        <f>Gen!U20</f>
        <v>0.39324810606060606</v>
      </c>
      <c r="G14" s="85">
        <f>Gen!T20</f>
        <v>3168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46</v>
      </c>
      <c r="L14" s="447">
        <f>'Lpg (2)'!G19</f>
        <v>88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2.9621212121212119</v>
      </c>
      <c r="U14" s="122">
        <f t="shared" si="6"/>
        <v>109.05555555555556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0.104</v>
      </c>
      <c r="D15" s="434">
        <f t="shared" si="2"/>
        <v>8.0079999999999991</v>
      </c>
      <c r="E15" s="74"/>
      <c r="F15" s="70">
        <f>Gen!U21</f>
        <v>0.39665739882607354</v>
      </c>
      <c r="G15" s="85">
        <f>Gen!T21</f>
        <v>3237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50</v>
      </c>
      <c r="L15" s="447">
        <f>'Lpg (2)'!G20</f>
        <v>57.243999999976957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3.2196969696969697</v>
      </c>
      <c r="U15" s="122">
        <f t="shared" si="6"/>
        <v>70.940638888860335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0.104</v>
      </c>
      <c r="D16" s="434">
        <f t="shared" si="2"/>
        <v>8.0079999999999991</v>
      </c>
      <c r="E16" s="74"/>
      <c r="F16" s="70">
        <f>Gen!U22</f>
        <v>0.35691342918323649</v>
      </c>
      <c r="G16" s="85">
        <f>Gen!T22</f>
        <v>3269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61</v>
      </c>
      <c r="L16" s="447">
        <f>'Lpg (2)'!G21</f>
        <v>64.328000000043545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3.9280303030303032</v>
      </c>
      <c r="U16" s="122">
        <f t="shared" si="6"/>
        <v>79.719611111165079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1.2999999999999999E-2</v>
      </c>
      <c r="D17" s="434">
        <f t="shared" si="2"/>
        <v>1.0009999999999999</v>
      </c>
      <c r="E17" s="74"/>
      <c r="F17" s="70">
        <f>Gen!U23</f>
        <v>0.406656660412758</v>
      </c>
      <c r="G17" s="85">
        <f>Gen!T23</f>
        <v>2665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181</v>
      </c>
      <c r="L17" s="447">
        <f>'Lpg (2)'!G22</f>
        <v>63.227999999979517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11.655303030303031</v>
      </c>
      <c r="U17" s="122">
        <f t="shared" si="6"/>
        <v>78.35641666664128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0.40256905032160423</v>
      </c>
      <c r="G18" s="85">
        <f>Gen!T24</f>
        <v>2643</v>
      </c>
      <c r="H18" s="85">
        <f>[1]Gen!AJ27</f>
        <v>597.9</v>
      </c>
      <c r="I18" s="85">
        <f t="shared" si="0"/>
        <v>3240.9</v>
      </c>
      <c r="J18" s="85">
        <f>[1]Gen!AT24</f>
        <v>29915.45000000003</v>
      </c>
      <c r="K18" s="69">
        <f>'Water-Meter'!E19</f>
        <v>46</v>
      </c>
      <c r="L18" s="447">
        <f>'Lpg (2)'!G23</f>
        <v>59.708000000030736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7161902.8650000002</v>
      </c>
      <c r="R18" s="76" t="e">
        <f t="shared" si="3"/>
        <v>#DIV/0!</v>
      </c>
      <c r="S18" s="438" t="e">
        <f t="shared" si="4"/>
        <v>#DIV/0!</v>
      </c>
      <c r="T18" s="76">
        <f t="shared" si="5"/>
        <v>2.9621212121212119</v>
      </c>
      <c r="U18" s="122">
        <f t="shared" si="6"/>
        <v>73.994194444482531</v>
      </c>
      <c r="V18" s="17">
        <f t="shared" si="7"/>
        <v>7161979.8213156564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>
        <f>Gen!U25</f>
        <v>0.4014820473644003</v>
      </c>
      <c r="G19" s="85">
        <f>Gen!T25</f>
        <v>2618</v>
      </c>
      <c r="H19" s="85">
        <f>[1]Gen!AJ28</f>
        <v>227.73000000000002</v>
      </c>
      <c r="I19" s="85">
        <f t="shared" si="0"/>
        <v>2845.73</v>
      </c>
      <c r="J19" s="85">
        <f>[1]Gen!AT25</f>
        <v>42248.240000000034</v>
      </c>
      <c r="K19" s="69">
        <f>'Water-Meter'!E20</f>
        <v>47</v>
      </c>
      <c r="L19" s="447">
        <f>'Lpg (2)'!G24</f>
        <v>59.091999999969268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6288636.4404999996</v>
      </c>
      <c r="R19" s="76" t="e">
        <f t="shared" si="3"/>
        <v>#DIV/0!</v>
      </c>
      <c r="S19" s="438" t="e">
        <f t="shared" si="4"/>
        <v>#DIV/0!</v>
      </c>
      <c r="T19" s="76">
        <f t="shared" si="5"/>
        <v>3.0265151515151514</v>
      </c>
      <c r="U19" s="122">
        <f t="shared" si="6"/>
        <v>73.230805555517463</v>
      </c>
      <c r="V19" s="17">
        <f t="shared" si="7"/>
        <v>6288712.6978207063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>
        <f>Gen!U26</f>
        <v>0.40802435192458758</v>
      </c>
      <c r="G20" s="85">
        <f>Gen!T26</f>
        <v>2546</v>
      </c>
      <c r="H20" s="85">
        <f>[1]Gen!AJ29</f>
        <v>88.289999999999992</v>
      </c>
      <c r="I20" s="85">
        <f t="shared" si="0"/>
        <v>2634.29</v>
      </c>
      <c r="J20" s="85">
        <f>[1]Gen!AT26</f>
        <v>39497.370000000032</v>
      </c>
      <c r="K20" s="69">
        <f>'Water-Meter'!E21</f>
        <v>40</v>
      </c>
      <c r="L20" s="447">
        <f>'Lpg (2)'!G25</f>
        <v>44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5821385.7565000001</v>
      </c>
      <c r="R20" s="76" t="e">
        <f t="shared" si="3"/>
        <v>#DIV/0!</v>
      </c>
      <c r="S20" s="438" t="e">
        <f t="shared" si="4"/>
        <v>#DIV/0!</v>
      </c>
      <c r="T20" s="76">
        <f t="shared" si="5"/>
        <v>2.5757575757575757</v>
      </c>
      <c r="U20" s="122">
        <f t="shared" si="6"/>
        <v>54.527777777777779</v>
      </c>
      <c r="V20" s="17">
        <f t="shared" si="7"/>
        <v>5821442.8600353543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1.2999999999999999E-2</v>
      </c>
      <c r="D21" s="434">
        <f t="shared" si="2"/>
        <v>1.0009999999999999</v>
      </c>
      <c r="E21" s="74"/>
      <c r="F21" s="70">
        <f>Gen!U27</f>
        <v>0.40934669636228654</v>
      </c>
      <c r="G21" s="85">
        <f>Gen!T27</f>
        <v>2694</v>
      </c>
      <c r="H21" s="85">
        <f>[1]Gen!AJ30</f>
        <v>783.92</v>
      </c>
      <c r="I21" s="85">
        <f t="shared" si="0"/>
        <v>3477.92</v>
      </c>
      <c r="J21" s="85">
        <f>[1]Gen!AT27</f>
        <v>36688.350000000035</v>
      </c>
      <c r="K21" s="69">
        <f>'Water-Meter'!E22</f>
        <v>52</v>
      </c>
      <c r="L21" s="447">
        <f>'Lpg (2)'!G26</f>
        <v>56.847999999992318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7685681.5120000001</v>
      </c>
      <c r="R21" s="76">
        <f t="shared" si="3"/>
        <v>4847.224437178983</v>
      </c>
      <c r="S21" s="438" t="e">
        <f t="shared" si="4"/>
        <v>#DIV/0!</v>
      </c>
      <c r="T21" s="76">
        <f t="shared" si="5"/>
        <v>3.3484848484848486</v>
      </c>
      <c r="U21" s="122">
        <f t="shared" si="6"/>
        <v>70.449888888879372</v>
      </c>
      <c r="V21" s="17">
        <f t="shared" si="7"/>
        <v>7685755.3103737375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3.9E-2</v>
      </c>
      <c r="D22" s="434">
        <f t="shared" si="2"/>
        <v>3.0030000000000001</v>
      </c>
      <c r="E22" s="74"/>
      <c r="F22" s="70">
        <f>Gen!U28</f>
        <v>0.41046143008101443</v>
      </c>
      <c r="G22" s="85">
        <f>Gen!T28</f>
        <v>2839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53</v>
      </c>
      <c r="L22" s="447">
        <f>'Lpg (2)'!G27</f>
        <v>61.952000000007686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3.4128787878787881</v>
      </c>
      <c r="U22" s="122">
        <f t="shared" si="6"/>
        <v>76.775111111120637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6.5000000000000002E-2</v>
      </c>
      <c r="D23" s="434">
        <f t="shared" si="2"/>
        <v>5.0049999999999999</v>
      </c>
      <c r="E23" s="74"/>
      <c r="F23" s="70">
        <f>Gen!U29</f>
        <v>0.42041712403951703</v>
      </c>
      <c r="G23" s="85">
        <f>Gen!T29</f>
        <v>2733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58</v>
      </c>
      <c r="L23" s="447">
        <f>'Lpg (2)'!G28</f>
        <v>67.804000000015378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3.7348484848484849</v>
      </c>
      <c r="U23" s="122">
        <f t="shared" si="6"/>
        <v>84.027305555574614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5.1999999999999998E-2</v>
      </c>
      <c r="D24" s="434">
        <f t="shared" si="2"/>
        <v>4.0039999999999996</v>
      </c>
      <c r="E24" s="74"/>
      <c r="F24" s="70">
        <f>Gen!U30</f>
        <v>0.41581932773109243</v>
      </c>
      <c r="G24" s="85">
        <f>Gen!T30</f>
        <v>2856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66</v>
      </c>
      <c r="L24" s="447">
        <f>'Lpg (2)'!G29</f>
        <v>65.955999999959033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4.25</v>
      </c>
      <c r="U24" s="122">
        <f t="shared" si="6"/>
        <v>81.737138888838118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 t="str">
        <f>'Water-Meter'!E26</f>
        <v>0</v>
      </c>
      <c r="L25" s="447">
        <f>'Lpg (2)'!G30</f>
        <v>-334806.56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-414914.94777777774</v>
      </c>
      <c r="V25" s="17">
        <f t="shared" si="7"/>
        <v>-34710.255277777731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1594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9" t="s">
        <v>180</v>
      </c>
      <c r="B1" s="970"/>
      <c r="C1" s="970"/>
      <c r="D1" s="970"/>
      <c r="E1" s="970"/>
      <c r="F1" s="970"/>
      <c r="G1" s="971"/>
    </row>
    <row r="2" spans="1:7" ht="13.5" thickBot="1">
      <c r="A2" s="300"/>
      <c r="B2" s="972" t="s">
        <v>175</v>
      </c>
      <c r="C2" s="973"/>
      <c r="D2" s="974"/>
      <c r="E2" s="972" t="s">
        <v>176</v>
      </c>
      <c r="F2" s="973"/>
      <c r="G2" s="974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9" t="s">
        <v>230</v>
      </c>
      <c r="B1" s="970"/>
      <c r="C1" s="970"/>
      <c r="D1" s="970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5"/>
      <c r="C76" s="976"/>
      <c r="D76" s="976"/>
      <c r="E76" s="977"/>
      <c r="H76" s="975"/>
      <c r="I76" s="976"/>
      <c r="J76" s="976"/>
      <c r="K76" s="976"/>
      <c r="L76" s="977"/>
    </row>
    <row r="77" spans="1:12">
      <c r="B77" s="978"/>
      <c r="C77" s="979"/>
      <c r="D77" s="979"/>
      <c r="E77" s="980"/>
      <c r="H77" s="978"/>
      <c r="I77" s="979"/>
      <c r="J77" s="979"/>
      <c r="K77" s="979"/>
      <c r="L77" s="980"/>
    </row>
    <row r="78" spans="1:12">
      <c r="B78" s="978"/>
      <c r="C78" s="979"/>
      <c r="D78" s="979"/>
      <c r="E78" s="980"/>
      <c r="H78" s="978"/>
      <c r="I78" s="979"/>
      <c r="J78" s="979"/>
      <c r="K78" s="979"/>
      <c r="L78" s="980"/>
    </row>
    <row r="79" spans="1:12">
      <c r="B79" s="978"/>
      <c r="C79" s="979"/>
      <c r="D79" s="979"/>
      <c r="E79" s="980"/>
      <c r="H79" s="978"/>
      <c r="I79" s="979"/>
      <c r="J79" s="979"/>
      <c r="K79" s="979"/>
      <c r="L79" s="980"/>
    </row>
    <row r="80" spans="1:12">
      <c r="B80" s="978"/>
      <c r="C80" s="979"/>
      <c r="D80" s="979"/>
      <c r="E80" s="980"/>
      <c r="H80" s="978"/>
      <c r="I80" s="979"/>
      <c r="J80" s="979"/>
      <c r="K80" s="979"/>
      <c r="L80" s="980"/>
    </row>
    <row r="81" spans="2:12">
      <c r="B81" s="978"/>
      <c r="C81" s="979"/>
      <c r="D81" s="979"/>
      <c r="E81" s="980"/>
      <c r="H81" s="978"/>
      <c r="I81" s="979"/>
      <c r="J81" s="979"/>
      <c r="K81" s="979"/>
      <c r="L81" s="980"/>
    </row>
    <row r="82" spans="2:12">
      <c r="B82" s="978"/>
      <c r="C82" s="979"/>
      <c r="D82" s="979"/>
      <c r="E82" s="980"/>
      <c r="H82" s="978"/>
      <c r="I82" s="979"/>
      <c r="J82" s="979"/>
      <c r="K82" s="979"/>
      <c r="L82" s="980"/>
    </row>
    <row r="83" spans="2:12">
      <c r="B83" s="978"/>
      <c r="C83" s="979"/>
      <c r="D83" s="979"/>
      <c r="E83" s="980"/>
      <c r="H83" s="978"/>
      <c r="I83" s="979"/>
      <c r="J83" s="979"/>
      <c r="K83" s="979"/>
      <c r="L83" s="980"/>
    </row>
    <row r="84" spans="2:12">
      <c r="B84" s="978"/>
      <c r="C84" s="979"/>
      <c r="D84" s="979"/>
      <c r="E84" s="980"/>
      <c r="H84" s="978"/>
      <c r="I84" s="979"/>
      <c r="J84" s="979"/>
      <c r="K84" s="979"/>
      <c r="L84" s="980"/>
    </row>
    <row r="85" spans="2:12">
      <c r="B85" s="978"/>
      <c r="C85" s="979"/>
      <c r="D85" s="979"/>
      <c r="E85" s="980"/>
      <c r="H85" s="978"/>
      <c r="I85" s="979"/>
      <c r="J85" s="979"/>
      <c r="K85" s="979"/>
      <c r="L85" s="980"/>
    </row>
    <row r="86" spans="2:12">
      <c r="B86" s="978"/>
      <c r="C86" s="979"/>
      <c r="D86" s="979"/>
      <c r="E86" s="980"/>
      <c r="H86" s="978"/>
      <c r="I86" s="979"/>
      <c r="J86" s="979"/>
      <c r="K86" s="979"/>
      <c r="L86" s="980"/>
    </row>
    <row r="87" spans="2:12">
      <c r="B87" s="978"/>
      <c r="C87" s="979"/>
      <c r="D87" s="979"/>
      <c r="E87" s="980"/>
      <c r="H87" s="978"/>
      <c r="I87" s="979"/>
      <c r="J87" s="979"/>
      <c r="K87" s="979"/>
      <c r="L87" s="980"/>
    </row>
    <row r="88" spans="2:12">
      <c r="B88" s="978"/>
      <c r="C88" s="979"/>
      <c r="D88" s="979"/>
      <c r="E88" s="980"/>
      <c r="H88" s="978"/>
      <c r="I88" s="979"/>
      <c r="J88" s="979"/>
      <c r="K88" s="979"/>
      <c r="L88" s="980"/>
    </row>
    <row r="89" spans="2:12">
      <c r="B89" s="978"/>
      <c r="C89" s="979"/>
      <c r="D89" s="979"/>
      <c r="E89" s="980"/>
      <c r="H89" s="978"/>
      <c r="I89" s="979"/>
      <c r="J89" s="979"/>
      <c r="K89" s="979"/>
      <c r="L89" s="980"/>
    </row>
    <row r="90" spans="2:12" ht="13.5" thickBot="1">
      <c r="B90" s="981"/>
      <c r="C90" s="982"/>
      <c r="D90" s="982"/>
      <c r="E90" s="983"/>
      <c r="H90" s="981"/>
      <c r="I90" s="982"/>
      <c r="J90" s="982"/>
      <c r="K90" s="982"/>
      <c r="L90" s="983"/>
    </row>
    <row r="91" spans="2:12">
      <c r="B91" s="984" t="s">
        <v>312</v>
      </c>
      <c r="C91" s="985"/>
      <c r="D91" s="985"/>
      <c r="E91" s="986"/>
      <c r="H91" s="984" t="s">
        <v>313</v>
      </c>
      <c r="I91" s="985"/>
      <c r="J91" s="985"/>
      <c r="K91" s="985"/>
      <c r="L91" s="986"/>
    </row>
    <row r="92" spans="2:12">
      <c r="B92" s="987"/>
      <c r="C92" s="988"/>
      <c r="D92" s="988"/>
      <c r="E92" s="989"/>
      <c r="H92" s="987"/>
      <c r="I92" s="988"/>
      <c r="J92" s="988"/>
      <c r="K92" s="988"/>
      <c r="L92" s="989"/>
    </row>
    <row r="93" spans="2:12" ht="13.5" thickBot="1">
      <c r="B93" s="990"/>
      <c r="C93" s="991"/>
      <c r="D93" s="991"/>
      <c r="E93" s="992"/>
      <c r="H93" s="990"/>
      <c r="I93" s="991"/>
      <c r="J93" s="991"/>
      <c r="K93" s="991"/>
      <c r="L93" s="99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D26" sqref="D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3" t="s">
        <v>254</v>
      </c>
      <c r="B1" s="993"/>
      <c r="C1" s="993"/>
      <c r="D1" s="993"/>
      <c r="E1" s="993"/>
      <c r="F1" s="993"/>
      <c r="G1" s="993"/>
      <c r="H1" s="993"/>
      <c r="I1" s="993"/>
      <c r="J1" s="993"/>
    </row>
    <row r="2" spans="1:10" ht="19.5" thickBot="1">
      <c r="A2" s="1002">
        <f>A5</f>
        <v>44287</v>
      </c>
      <c r="B2" s="1003"/>
      <c r="C2" s="1003"/>
      <c r="D2" s="1003"/>
      <c r="E2" s="1003"/>
      <c r="F2" s="1003"/>
      <c r="G2" s="1003"/>
      <c r="H2" s="1003"/>
      <c r="I2" s="1003"/>
      <c r="J2" s="1003"/>
    </row>
    <row r="3" spans="1:10" ht="15.75" thickBot="1">
      <c r="A3" s="994" t="s">
        <v>7</v>
      </c>
      <c r="B3" s="996" t="s">
        <v>255</v>
      </c>
      <c r="C3" s="440"/>
      <c r="D3" s="998" t="s">
        <v>256</v>
      </c>
      <c r="E3" s="999"/>
      <c r="F3" s="1000" t="s">
        <v>257</v>
      </c>
      <c r="G3" s="1001"/>
      <c r="H3" s="999"/>
      <c r="I3" s="1000" t="s">
        <v>258</v>
      </c>
      <c r="J3" s="999"/>
    </row>
    <row r="4" spans="1:10" ht="30.75" thickBot="1">
      <c r="A4" s="995"/>
      <c r="B4" s="997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119.14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42252.400000000009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40831.760000000009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5.1999999999999998E-2</v>
      </c>
      <c r="C14" s="443">
        <f>Gen!AJ20</f>
        <v>112</v>
      </c>
      <c r="D14" s="444">
        <f>Gen!S20</f>
        <v>1245.81</v>
      </c>
      <c r="E14" s="395">
        <f>Gen!C20</f>
        <v>39223.360000000008</v>
      </c>
      <c r="F14" s="396">
        <f>'Water-Meter'!E15</f>
        <v>46</v>
      </c>
      <c r="G14" s="397">
        <f>'Water-Meter'!AN15</f>
        <v>44</v>
      </c>
      <c r="H14" s="395">
        <f>'Utility report '!AC15</f>
        <v>0</v>
      </c>
      <c r="I14" s="394">
        <f>'Kit report'!F13</f>
        <v>215.99999999991269</v>
      </c>
      <c r="J14" s="395">
        <f>'Kit report'!X13</f>
        <v>260.00000000003638</v>
      </c>
    </row>
    <row r="15" spans="1:10" ht="17.100000000000001" customHeight="1" thickBot="1">
      <c r="A15" s="217">
        <f>Gen!A21</f>
        <v>44297</v>
      </c>
      <c r="B15" s="399">
        <f>Gen!B21</f>
        <v>0.104</v>
      </c>
      <c r="C15" s="443">
        <f>Gen!AJ21</f>
        <v>25</v>
      </c>
      <c r="D15" s="444">
        <f>Gen!S21</f>
        <v>1283.98</v>
      </c>
      <c r="E15" s="395">
        <f>Gen!C21</f>
        <v>37865.55000000001</v>
      </c>
      <c r="F15" s="396">
        <f>'Water-Meter'!E16</f>
        <v>50</v>
      </c>
      <c r="G15" s="397">
        <f>'Water-Meter'!AN16</f>
        <v>43</v>
      </c>
      <c r="H15" s="395">
        <f>'Utility report '!AC16</f>
        <v>0</v>
      </c>
      <c r="I15" s="394">
        <f>'Kit report'!F14</f>
        <v>216.00000000013097</v>
      </c>
      <c r="J15" s="395">
        <f>'Kit report'!X14</f>
        <v>279.99999999992724</v>
      </c>
    </row>
    <row r="16" spans="1:10" ht="17.100000000000001" customHeight="1" thickBot="1">
      <c r="A16" s="217">
        <f>Gen!A22</f>
        <v>44298</v>
      </c>
      <c r="B16" s="399">
        <f>Gen!B22</f>
        <v>0.104</v>
      </c>
      <c r="C16" s="443">
        <f>Gen!AJ22</f>
        <v>250.64</v>
      </c>
      <c r="D16" s="444">
        <f>Gen!S22</f>
        <v>1166.75</v>
      </c>
      <c r="E16" s="395">
        <f>Gen!C22</f>
        <v>36556.570000000007</v>
      </c>
      <c r="F16" s="396">
        <f>'Water-Meter'!E17</f>
        <v>61</v>
      </c>
      <c r="G16" s="397">
        <f>'Water-Meter'!AN17</f>
        <v>49</v>
      </c>
      <c r="H16" s="395">
        <f>'Utility report '!AC17</f>
        <v>0</v>
      </c>
      <c r="I16" s="394">
        <f>'Kit report'!F15</f>
        <v>240</v>
      </c>
      <c r="J16" s="395">
        <f>'Kit report'!X15</f>
        <v>239.99999999996362</v>
      </c>
    </row>
    <row r="17" spans="1:10" ht="17.100000000000001" customHeight="1" thickBot="1">
      <c r="A17" s="217">
        <f>Gen!A23</f>
        <v>44299</v>
      </c>
      <c r="B17" s="399">
        <f>Gen!B23</f>
        <v>1.2999999999999999E-2</v>
      </c>
      <c r="C17" s="443">
        <f>Gen!AJ23</f>
        <v>22.54</v>
      </c>
      <c r="D17" s="444">
        <f>Gen!S23</f>
        <v>1083.74</v>
      </c>
      <c r="E17" s="395">
        <f>Gen!C23</f>
        <v>35139.180000000008</v>
      </c>
      <c r="F17" s="396">
        <f>'Water-Meter'!E18</f>
        <v>181</v>
      </c>
      <c r="G17" s="397">
        <f>'Water-Meter'!AN18</f>
        <v>45</v>
      </c>
      <c r="H17" s="395">
        <f>'Utility report '!AC18</f>
        <v>-48865</v>
      </c>
      <c r="I17" s="394">
        <f>'Kit report'!F16</f>
        <v>215.99999999991269</v>
      </c>
      <c r="J17" s="395">
        <f>'Kit report'!X16</f>
        <v>300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160.49</v>
      </c>
      <c r="D18" s="444">
        <f>Gen!S24</f>
        <v>1063.99</v>
      </c>
      <c r="E18" s="395">
        <f>Gen!C24</f>
        <v>34032.900000000009</v>
      </c>
      <c r="F18" s="396">
        <f>'Water-Meter'!E19</f>
        <v>46</v>
      </c>
      <c r="G18" s="397">
        <f>'Water-Meter'!AN19</f>
        <v>125</v>
      </c>
      <c r="H18" s="395">
        <f>'Utility report '!AC19</f>
        <v>177</v>
      </c>
      <c r="I18" s="394">
        <f>'Kit report'!F17</f>
        <v>227.99999999995634</v>
      </c>
      <c r="J18" s="395">
        <f>'Kit report'!X17</f>
        <v>180.00000000010914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101.91</v>
      </c>
      <c r="D19" s="444">
        <f>Gen!S25</f>
        <v>1051.08</v>
      </c>
      <c r="E19" s="395">
        <f>Gen!C25</f>
        <v>32808.420000000006</v>
      </c>
      <c r="F19" s="396">
        <f>'Water-Meter'!E20</f>
        <v>47</v>
      </c>
      <c r="G19" s="397">
        <f>'Water-Meter'!AN20</f>
        <v>137</v>
      </c>
      <c r="H19" s="395">
        <f>'Utility report '!AC20</f>
        <v>35</v>
      </c>
      <c r="I19" s="394">
        <f>'Kit report'!F18</f>
        <v>216.00000000013097</v>
      </c>
      <c r="J19" s="395">
        <f>'Kit report'!X18</f>
        <v>300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1038.83</v>
      </c>
      <c r="E20" s="395">
        <f>Gen!C26</f>
        <v>31655.430000000004</v>
      </c>
      <c r="F20" s="396">
        <f>'Water-Meter'!E21</f>
        <v>40</v>
      </c>
      <c r="G20" s="397">
        <f>'Water-Meter'!AN21</f>
        <v>128</v>
      </c>
      <c r="H20" s="395">
        <f>'Utility report '!AC21</f>
        <v>38</v>
      </c>
      <c r="I20" s="394">
        <f>'Kit report'!F19</f>
        <v>203.99999999986903</v>
      </c>
      <c r="J20" s="395">
        <f>'Kit report'!X19</f>
        <v>200</v>
      </c>
    </row>
    <row r="21" spans="1:10" ht="15.75" thickBot="1">
      <c r="A21" s="217">
        <f>Gen!A27</f>
        <v>44303</v>
      </c>
      <c r="B21" s="399">
        <f>Gen!B27</f>
        <v>1.2999999999999999E-2</v>
      </c>
      <c r="C21" s="443">
        <f>Gen!AJ27</f>
        <v>146.31</v>
      </c>
      <c r="D21" s="444">
        <f>Gen!S27</f>
        <v>1102.78</v>
      </c>
      <c r="E21" s="395">
        <f>Gen!C27</f>
        <v>30616.600000000006</v>
      </c>
      <c r="F21" s="396">
        <f>'Water-Meter'!E22</f>
        <v>52</v>
      </c>
      <c r="G21" s="397">
        <f>'Water-Meter'!AN22</f>
        <v>125</v>
      </c>
      <c r="H21" s="395">
        <f>'Utility report '!AC22</f>
        <v>38</v>
      </c>
      <c r="I21" s="394">
        <f>'Kit report'!F20</f>
        <v>240</v>
      </c>
      <c r="J21" s="395">
        <f>'Kit report'!X20</f>
        <v>159.99999999985448</v>
      </c>
    </row>
    <row r="22" spans="1:10" ht="15" customHeight="1" thickBot="1">
      <c r="A22" s="217">
        <f>Gen!A28</f>
        <v>44304</v>
      </c>
      <c r="B22" s="399">
        <f>Gen!B28</f>
        <v>3.9E-2</v>
      </c>
      <c r="C22" s="443">
        <f>Gen!AJ28</f>
        <v>0</v>
      </c>
      <c r="D22" s="444">
        <f>Gen!S28</f>
        <v>1165.3</v>
      </c>
      <c r="E22" s="395">
        <f>Gen!C28</f>
        <v>29367.510000000006</v>
      </c>
      <c r="F22" s="396">
        <f>'Water-Meter'!E23</f>
        <v>53</v>
      </c>
      <c r="G22" s="397">
        <f>'Water-Meter'!AN23</f>
        <v>125</v>
      </c>
      <c r="H22" s="395">
        <f>'Utility report '!AC23</f>
        <v>38</v>
      </c>
      <c r="I22" s="394">
        <f>'Kit report'!F21</f>
        <v>252.00000000004366</v>
      </c>
      <c r="J22" s="395">
        <f>'Kit report'!X21</f>
        <v>280.00000000010914</v>
      </c>
    </row>
    <row r="23" spans="1:10" ht="15" customHeight="1" thickBot="1">
      <c r="A23" s="217">
        <f>Gen!A29</f>
        <v>44305</v>
      </c>
      <c r="B23" s="399">
        <f>Gen!B29</f>
        <v>6.5000000000000002E-2</v>
      </c>
      <c r="C23" s="443">
        <f>Gen!AJ29</f>
        <v>346.21000000000004</v>
      </c>
      <c r="D23" s="444">
        <f>Gen!S29</f>
        <v>1149</v>
      </c>
      <c r="E23" s="395">
        <f>Gen!C29</f>
        <v>28202.210000000006</v>
      </c>
      <c r="F23" s="396">
        <f>'Water-Meter'!E24</f>
        <v>58</v>
      </c>
      <c r="G23" s="397">
        <f>'Water-Meter'!AN24</f>
        <v>46</v>
      </c>
      <c r="H23" s="395">
        <f>'Utility report '!AC24</f>
        <v>37</v>
      </c>
      <c r="I23" s="394">
        <f>'Kit report'!F22</f>
        <v>252.00000000004366</v>
      </c>
      <c r="J23" s="395">
        <f>'Kit report'!X22</f>
        <v>260.00000000003638</v>
      </c>
    </row>
    <row r="24" spans="1:10" ht="15" customHeight="1" thickBot="1">
      <c r="A24" s="217">
        <f>Gen!A30</f>
        <v>44306</v>
      </c>
      <c r="B24" s="399">
        <f>Gen!B30</f>
        <v>5.1999999999999998E-2</v>
      </c>
      <c r="C24" s="443">
        <f>Gen!AJ30</f>
        <v>67.459999999999994</v>
      </c>
      <c r="D24" s="444">
        <f>Gen!S30</f>
        <v>1187.58</v>
      </c>
      <c r="E24" s="395">
        <f>Gen!C30</f>
        <v>26707.000000000007</v>
      </c>
      <c r="F24" s="396">
        <f>'Water-Meter'!E25</f>
        <v>66</v>
      </c>
      <c r="G24" s="397">
        <f>'Water-Meter'!AN25</f>
        <v>44</v>
      </c>
      <c r="H24" s="395">
        <f>'Utility report '!AC25</f>
        <v>130</v>
      </c>
      <c r="I24" s="394">
        <f>'Kit report'!F23</f>
        <v>252.00000000004366</v>
      </c>
      <c r="J24" s="395">
        <f>'Kit report'!X23</f>
        <v>239.99999999996362</v>
      </c>
    </row>
    <row r="25" spans="1:10" ht="15" customHeight="1" thickBot="1">
      <c r="A25" s="217">
        <f>Gen!A31</f>
        <v>44307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25451.960000000006</v>
      </c>
      <c r="F25" s="396" t="str">
        <f>'Water-Meter'!E26</f>
        <v>0</v>
      </c>
      <c r="G25" s="397">
        <f>'Water-Meter'!AN26</f>
        <v>0</v>
      </c>
      <c r="H25" s="395">
        <f>'Utility report '!AC26</f>
        <v>-518</v>
      </c>
      <c r="I25" s="394">
        <f>'Kit report'!F24</f>
        <v>-1109652</v>
      </c>
      <c r="J25" s="395">
        <f>'Kit report'!X24</f>
        <v>-1621160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25451.960000000006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44309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25451.960000000006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25451.960000000006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25451.960000000006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25451.960000000006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25451.960000000006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25451.960000000006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25451.960000000006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25451.960000000006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25451.960000000006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25451.960000000006</v>
      </c>
      <c r="F36" s="396">
        <f>'Water-Meter'!E37</f>
        <v>0</v>
      </c>
      <c r="G36" s="397">
        <f>'Water-Meter'!AN37</f>
        <v>1153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2021-04-21T05:39:16Z</dcterms:modified>
</cp:coreProperties>
</file>