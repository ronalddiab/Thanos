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2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52511" fullCalcOnLoad="1"/>
</workbook>
</file>

<file path=xl/calcChain.xml><?xml version="1.0" encoding="utf-8"?>
<calcChain xmlns="http://schemas.openxmlformats.org/spreadsheetml/2006/main"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Z12" i="12" s="1"/>
  <c r="BG17" i="1"/>
  <c r="BE14" i="1"/>
  <c r="BE15" i="1"/>
  <c r="Y11" i="12" s="1"/>
  <c r="BE16" i="1"/>
  <c r="Y12" i="12" s="1"/>
  <c r="E53" i="11"/>
  <c r="D53" i="11"/>
  <c r="E52" i="11"/>
  <c r="D52" i="11"/>
  <c r="F53" i="11"/>
  <c r="G53" i="11" s="1"/>
  <c r="Y6" i="1"/>
  <c r="Y7" i="1"/>
  <c r="W6" i="1"/>
  <c r="W7" i="1"/>
  <c r="U6" i="1"/>
  <c r="U7" i="1"/>
  <c r="S7" i="1"/>
  <c r="A1" i="2"/>
  <c r="BM37" i="1"/>
  <c r="E7" i="6"/>
  <c r="AI2" i="12" s="1"/>
  <c r="E8" i="6"/>
  <c r="AI3" i="12" s="1"/>
  <c r="E9" i="6"/>
  <c r="AI4" i="12" s="1"/>
  <c r="E10" i="6"/>
  <c r="AI5" i="12" s="1"/>
  <c r="E11" i="6"/>
  <c r="AI6" i="12"/>
  <c r="E12" i="6"/>
  <c r="AI7" i="12" s="1"/>
  <c r="E13" i="6"/>
  <c r="AI8" i="12" s="1"/>
  <c r="E14" i="6"/>
  <c r="AI9" i="12" s="1"/>
  <c r="E15" i="6"/>
  <c r="AI10" i="12" s="1"/>
  <c r="E16" i="6"/>
  <c r="AI11" i="12" s="1"/>
  <c r="E17" i="6"/>
  <c r="AI12" i="12"/>
  <c r="E18" i="6"/>
  <c r="AI13" i="12" s="1"/>
  <c r="E19" i="6"/>
  <c r="AI14" i="12"/>
  <c r="E20" i="6"/>
  <c r="AI15" i="12" s="1"/>
  <c r="E21" i="6"/>
  <c r="AI16" i="12" s="1"/>
  <c r="E22" i="6"/>
  <c r="AI17" i="12" s="1"/>
  <c r="E23" i="6"/>
  <c r="E24" i="6"/>
  <c r="AI19" i="12" s="1"/>
  <c r="E25" i="6"/>
  <c r="AI20" i="12" s="1"/>
  <c r="E26" i="6"/>
  <c r="AI21" i="12" s="1"/>
  <c r="E27" i="6"/>
  <c r="AI22" i="12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/>
  <c r="E34" i="6"/>
  <c r="AI29" i="12" s="1"/>
  <c r="E35" i="6"/>
  <c r="AI30" i="12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/>
  <c r="B7" i="13"/>
  <c r="B8" i="13" s="1"/>
  <c r="B9" i="13" s="1"/>
  <c r="B10" i="13" s="1"/>
  <c r="B11" i="13" s="1"/>
  <c r="B12" i="13" s="1"/>
  <c r="B13" i="13" s="1"/>
  <c r="B14" i="13"/>
  <c r="B15" i="13" s="1"/>
  <c r="B16" i="13" s="1"/>
  <c r="B17" i="13" s="1"/>
  <c r="B18" i="13" s="1"/>
  <c r="B19" i="13" s="1"/>
  <c r="B20" i="13" s="1"/>
  <c r="B21" i="13" s="1"/>
  <c r="B22" i="13" s="1"/>
  <c r="B23" i="13"/>
  <c r="B24" i="13" s="1"/>
  <c r="B25" i="13" s="1"/>
  <c r="B26" i="13" s="1"/>
  <c r="B27" i="13" s="1"/>
  <c r="B28" i="13" s="1"/>
  <c r="B29" i="13" s="1"/>
  <c r="B30" i="13"/>
  <c r="B31" i="13" s="1"/>
  <c r="B32" i="13" s="1"/>
  <c r="B3" i="12"/>
  <c r="B4" i="12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AJ12" i="12" s="1"/>
  <c r="G18" i="6"/>
  <c r="AJ13" i="12"/>
  <c r="C18" i="6"/>
  <c r="C17" i="6"/>
  <c r="AH12" i="12"/>
  <c r="S17" i="1"/>
  <c r="S31" i="1"/>
  <c r="AG25" i="1"/>
  <c r="N21" i="12"/>
  <c r="AX8" i="1"/>
  <c r="V4" i="12" s="1"/>
  <c r="AX9" i="1"/>
  <c r="V5" i="12"/>
  <c r="AX10" i="1"/>
  <c r="V6" i="12" s="1"/>
  <c r="K38" i="2"/>
  <c r="I38" i="2"/>
  <c r="J36" i="1"/>
  <c r="F32" i="12" s="1"/>
  <c r="AE5" i="1"/>
  <c r="M33" i="1"/>
  <c r="C34" i="2"/>
  <c r="AD29" i="12" s="1"/>
  <c r="C32" i="2"/>
  <c r="AD27" i="12"/>
  <c r="AZ27" i="1"/>
  <c r="W23" i="12" s="1"/>
  <c r="AN30" i="1"/>
  <c r="Q26" i="12"/>
  <c r="W30" i="1"/>
  <c r="I26" i="12" s="1"/>
  <c r="BE22" i="1"/>
  <c r="Y18" i="12"/>
  <c r="G22" i="6"/>
  <c r="AJ17" i="12" s="1"/>
  <c r="C22" i="2"/>
  <c r="AD17" i="12"/>
  <c r="C23" i="2"/>
  <c r="AD18" i="12" s="1"/>
  <c r="C24" i="2"/>
  <c r="AD19" i="12"/>
  <c r="C25" i="2"/>
  <c r="AD20" i="12" s="1"/>
  <c r="C26" i="2"/>
  <c r="AD21" i="12"/>
  <c r="C27" i="2"/>
  <c r="AD22" i="12" s="1"/>
  <c r="C28" i="2"/>
  <c r="AD23" i="12"/>
  <c r="C29" i="2"/>
  <c r="AD24" i="12" s="1"/>
  <c r="C30" i="2"/>
  <c r="AD25" i="12"/>
  <c r="C31" i="2"/>
  <c r="AD26" i="12" s="1"/>
  <c r="C33" i="2"/>
  <c r="AD28" i="12"/>
  <c r="C35" i="2"/>
  <c r="AD30" i="12" s="1"/>
  <c r="C36" i="2"/>
  <c r="AD31" i="12"/>
  <c r="C37" i="2"/>
  <c r="C21" i="2"/>
  <c r="AD16" i="12"/>
  <c r="C10" i="2"/>
  <c r="AD5" i="12" s="1"/>
  <c r="C11" i="2"/>
  <c r="AD6" i="12"/>
  <c r="C12" i="2"/>
  <c r="AD7" i="12" s="1"/>
  <c r="C13" i="2"/>
  <c r="AD8" i="12"/>
  <c r="C14" i="2"/>
  <c r="AD9" i="12" s="1"/>
  <c r="C15" i="2"/>
  <c r="AD10" i="12"/>
  <c r="C16" i="2"/>
  <c r="AD11" i="12" s="1"/>
  <c r="C17" i="2"/>
  <c r="AD12" i="12"/>
  <c r="C18" i="2"/>
  <c r="AD13" i="12" s="1"/>
  <c r="C19" i="2"/>
  <c r="AD14" i="12"/>
  <c r="C20" i="2"/>
  <c r="AD15" i="12" s="1"/>
  <c r="J16" i="1"/>
  <c r="F12" i="12"/>
  <c r="E13" i="2"/>
  <c r="AE8" i="12" s="1"/>
  <c r="V37" i="2"/>
  <c r="S37" i="2"/>
  <c r="O37" i="2"/>
  <c r="G37" i="2"/>
  <c r="AF32" i="12" s="1"/>
  <c r="E37" i="2"/>
  <c r="AE32" i="1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/>
  <c r="AV36" i="1"/>
  <c r="U32" i="12" s="1"/>
  <c r="AT36" i="1"/>
  <c r="T32" i="12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42" i="11"/>
  <c r="E41" i="11"/>
  <c r="E34" i="11"/>
  <c r="C37" i="6"/>
  <c r="G37" i="6"/>
  <c r="G36" i="6"/>
  <c r="AJ31" i="12"/>
  <c r="AH32" i="12"/>
  <c r="J37" i="6"/>
  <c r="AJ32" i="12"/>
  <c r="K36" i="1"/>
  <c r="G32" i="12" s="1"/>
  <c r="D42" i="11"/>
  <c r="Y35" i="1"/>
  <c r="J31" i="12" s="1"/>
  <c r="Y34" i="1"/>
  <c r="J30" i="12" s="1"/>
  <c r="Y33" i="1"/>
  <c r="J29" i="12" s="1"/>
  <c r="Y32" i="1"/>
  <c r="J28" i="12"/>
  <c r="Y31" i="1"/>
  <c r="J27" i="12" s="1"/>
  <c r="Y30" i="1"/>
  <c r="J26" i="12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/>
  <c r="Y15" i="1"/>
  <c r="J11" i="12" s="1"/>
  <c r="Y14" i="1"/>
  <c r="J10" i="12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J2" i="12"/>
  <c r="Y5" i="1"/>
  <c r="D41" i="11"/>
  <c r="F41" i="11" s="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/>
  <c r="W28" i="1"/>
  <c r="I24" i="12" s="1"/>
  <c r="W29" i="1"/>
  <c r="I25" i="12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/>
  <c r="W19" i="1"/>
  <c r="I15" i="12" s="1"/>
  <c r="W20" i="1"/>
  <c r="I16" i="12" s="1"/>
  <c r="W21" i="1"/>
  <c r="I17" i="12" s="1"/>
  <c r="W22" i="1"/>
  <c r="I18" i="12" s="1"/>
  <c r="W23" i="1"/>
  <c r="I19" i="12" s="1"/>
  <c r="I2" i="12"/>
  <c r="I3" i="12"/>
  <c r="W8" i="1"/>
  <c r="I4" i="12" s="1"/>
  <c r="W9" i="1"/>
  <c r="I5" i="12"/>
  <c r="W10" i="1"/>
  <c r="I6" i="12" s="1"/>
  <c r="W11" i="1"/>
  <c r="I7" i="12" s="1"/>
  <c r="W12" i="1"/>
  <c r="I8" i="12" s="1"/>
  <c r="W13" i="1"/>
  <c r="W5" i="1"/>
  <c r="S5" i="1"/>
  <c r="C30" i="6"/>
  <c r="E28" i="2"/>
  <c r="AE23" i="12" s="1"/>
  <c r="E26" i="2"/>
  <c r="AE21" i="12"/>
  <c r="E27" i="2"/>
  <c r="AE22" i="12" s="1"/>
  <c r="G41" i="11"/>
  <c r="F42" i="11"/>
  <c r="G42" i="11" s="1"/>
  <c r="AE23" i="1"/>
  <c r="M19" i="12"/>
  <c r="AG11" i="1"/>
  <c r="N7" i="12" s="1"/>
  <c r="AA33" i="1"/>
  <c r="K29" i="12"/>
  <c r="Q24" i="1"/>
  <c r="H20" i="12" s="1"/>
  <c r="Q25" i="1"/>
  <c r="H21" i="12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/>
  <c r="AP31" i="1"/>
  <c r="R27" i="12" s="1"/>
  <c r="AP32" i="1"/>
  <c r="R28" i="12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/>
  <c r="AP27" i="1"/>
  <c r="R23" i="12" s="1"/>
  <c r="AP28" i="1"/>
  <c r="R24" i="12" s="1"/>
  <c r="AP29" i="1"/>
  <c r="R25" i="12" s="1"/>
  <c r="AP19" i="1"/>
  <c r="R15" i="12" s="1"/>
  <c r="C35" i="6"/>
  <c r="C36" i="6"/>
  <c r="G8" i="6"/>
  <c r="AJ3" i="12" s="1"/>
  <c r="G9" i="6"/>
  <c r="AJ4" i="12" s="1"/>
  <c r="G10" i="6"/>
  <c r="AJ5" i="12"/>
  <c r="G11" i="6"/>
  <c r="AJ6" i="12" s="1"/>
  <c r="G12" i="6"/>
  <c r="AJ7" i="12"/>
  <c r="G13" i="6"/>
  <c r="AJ8" i="12" s="1"/>
  <c r="G14" i="6"/>
  <c r="AJ9" i="12" s="1"/>
  <c r="G15" i="6"/>
  <c r="AJ10" i="12" s="1"/>
  <c r="G16" i="6"/>
  <c r="AJ11" i="12" s="1"/>
  <c r="G19" i="6"/>
  <c r="AJ14" i="12" s="1"/>
  <c r="G20" i="6"/>
  <c r="AJ15" i="12"/>
  <c r="G21" i="6"/>
  <c r="AJ16" i="12" s="1"/>
  <c r="G23" i="6"/>
  <c r="AJ18" i="12"/>
  <c r="G24" i="6"/>
  <c r="AJ19" i="12" s="1"/>
  <c r="G25" i="6"/>
  <c r="AJ20" i="12" s="1"/>
  <c r="G26" i="6"/>
  <c r="AJ21" i="12" s="1"/>
  <c r="G27" i="6"/>
  <c r="AJ22" i="12" s="1"/>
  <c r="G28" i="6"/>
  <c r="AJ23" i="12" s="1"/>
  <c r="G29" i="6"/>
  <c r="AJ24" i="12"/>
  <c r="G30" i="6"/>
  <c r="AJ25" i="12" s="1"/>
  <c r="G31" i="6"/>
  <c r="AJ26" i="12"/>
  <c r="G32" i="6"/>
  <c r="AJ27" i="12" s="1"/>
  <c r="G33" i="6"/>
  <c r="AJ28" i="12" s="1"/>
  <c r="G34" i="6"/>
  <c r="AJ29" i="12" s="1"/>
  <c r="G35" i="6"/>
  <c r="AJ30" i="12" s="1"/>
  <c r="C8" i="6"/>
  <c r="C9" i="6"/>
  <c r="C10" i="6"/>
  <c r="AH5" i="12" s="1"/>
  <c r="C11" i="6"/>
  <c r="C12" i="6"/>
  <c r="C13" i="6"/>
  <c r="C14" i="6"/>
  <c r="AH9" i="12" s="1"/>
  <c r="C15" i="6"/>
  <c r="C16" i="6"/>
  <c r="C19" i="6"/>
  <c r="C20" i="6"/>
  <c r="AH15" i="12" s="1"/>
  <c r="C21" i="6"/>
  <c r="C22" i="6"/>
  <c r="C23" i="6"/>
  <c r="C24" i="6"/>
  <c r="K24" i="6" s="1"/>
  <c r="G19" i="13" s="1"/>
  <c r="C25" i="6"/>
  <c r="C26" i="6"/>
  <c r="C27" i="6"/>
  <c r="C28" i="6"/>
  <c r="K28" i="6" s="1"/>
  <c r="G23" i="13" s="1"/>
  <c r="C29" i="6"/>
  <c r="C31" i="6"/>
  <c r="C32" i="6"/>
  <c r="C33" i="6"/>
  <c r="K33" i="6" s="1"/>
  <c r="G28" i="13" s="1"/>
  <c r="C34" i="6"/>
  <c r="Q7" i="1"/>
  <c r="H3" i="12" s="1"/>
  <c r="Q8" i="1"/>
  <c r="Q37" i="1" s="1"/>
  <c r="H4" i="12"/>
  <c r="Q9" i="1"/>
  <c r="H5" i="12" s="1"/>
  <c r="Q10" i="1"/>
  <c r="H6" i="12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/>
  <c r="Q17" i="1"/>
  <c r="H13" i="12" s="1"/>
  <c r="Q18" i="1"/>
  <c r="H14" i="12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/>
  <c r="Q28" i="1"/>
  <c r="H24" i="12" s="1"/>
  <c r="Q29" i="1"/>
  <c r="H25" i="12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/>
  <c r="AX7" i="1"/>
  <c r="V3" i="12" s="1"/>
  <c r="AX11" i="1"/>
  <c r="V7" i="12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/>
  <c r="AX18" i="1"/>
  <c r="V14" i="12" s="1"/>
  <c r="AX19" i="1"/>
  <c r="V15" i="12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/>
  <c r="AX34" i="1"/>
  <c r="V30" i="12" s="1"/>
  <c r="AX35" i="1"/>
  <c r="V31" i="12"/>
  <c r="AA7" i="1"/>
  <c r="K3" i="12" s="1"/>
  <c r="AA8" i="1"/>
  <c r="K4" i="12" s="1"/>
  <c r="AA9" i="1"/>
  <c r="K5" i="12" s="1"/>
  <c r="AA10" i="1"/>
  <c r="K6" i="12" s="1"/>
  <c r="AA11" i="1"/>
  <c r="K7" i="12" s="1"/>
  <c r="AA12" i="1"/>
  <c r="K8" i="12" s="1"/>
  <c r="AA13" i="1"/>
  <c r="K9" i="12" s="1"/>
  <c r="AA14" i="1"/>
  <c r="K10" i="12"/>
  <c r="AA15" i="1"/>
  <c r="K11" i="12" s="1"/>
  <c r="AA16" i="1"/>
  <c r="K12" i="12" s="1"/>
  <c r="AA17" i="1"/>
  <c r="K13" i="12" s="1"/>
  <c r="AA18" i="1"/>
  <c r="K14" i="12" s="1"/>
  <c r="AA19" i="1"/>
  <c r="K15" i="12" s="1"/>
  <c r="AA20" i="1"/>
  <c r="K16" i="12"/>
  <c r="AA21" i="1"/>
  <c r="K17" i="12" s="1"/>
  <c r="AA22" i="1"/>
  <c r="K18" i="12"/>
  <c r="AA23" i="1"/>
  <c r="K19" i="12" s="1"/>
  <c r="AA24" i="1"/>
  <c r="K20" i="12" s="1"/>
  <c r="AA25" i="1"/>
  <c r="K21" i="12" s="1"/>
  <c r="AA26" i="1"/>
  <c r="K22" i="12" s="1"/>
  <c r="AA27" i="1"/>
  <c r="K23" i="12" s="1"/>
  <c r="AA28" i="1"/>
  <c r="K24" i="12" s="1"/>
  <c r="AA29" i="1"/>
  <c r="K25" i="12" s="1"/>
  <c r="AA30" i="1"/>
  <c r="K26" i="12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BB8" i="1" s="1"/>
  <c r="Z4" i="12"/>
  <c r="BG9" i="1"/>
  <c r="Z5" i="12" s="1"/>
  <c r="BG10" i="1"/>
  <c r="Z6" i="12"/>
  <c r="BG11" i="1"/>
  <c r="Z7" i="12" s="1"/>
  <c r="BG12" i="1"/>
  <c r="Z8" i="12" s="1"/>
  <c r="BG13" i="1"/>
  <c r="Z9" i="12" s="1"/>
  <c r="BG14" i="1"/>
  <c r="Z10" i="12" s="1"/>
  <c r="BG15" i="1"/>
  <c r="Z11" i="12" s="1"/>
  <c r="Z13" i="12"/>
  <c r="BG18" i="1"/>
  <c r="Z14" i="12" s="1"/>
  <c r="BG19" i="1"/>
  <c r="Z15" i="12"/>
  <c r="BG20" i="1"/>
  <c r="Z16" i="12" s="1"/>
  <c r="BG21" i="1"/>
  <c r="Z17" i="12" s="1"/>
  <c r="BG22" i="1"/>
  <c r="Z18" i="12" s="1"/>
  <c r="BG23" i="1"/>
  <c r="Z19" i="12" s="1"/>
  <c r="BG24" i="1"/>
  <c r="Z20" i="12" s="1"/>
  <c r="BG25" i="1"/>
  <c r="Z21" i="12"/>
  <c r="BG26" i="1"/>
  <c r="Z22" i="12" s="1"/>
  <c r="BG27" i="1"/>
  <c r="Z23" i="12"/>
  <c r="BG28" i="1"/>
  <c r="Z24" i="12" s="1"/>
  <c r="BG29" i="1"/>
  <c r="BG30" i="1"/>
  <c r="Z26" i="12" s="1"/>
  <c r="BG31" i="1"/>
  <c r="BG32" i="1"/>
  <c r="BG33" i="1"/>
  <c r="Z29" i="12" s="1"/>
  <c r="BG34" i="1"/>
  <c r="Z30" i="12"/>
  <c r="BG35" i="1"/>
  <c r="Z31" i="12" s="1"/>
  <c r="BE7" i="1"/>
  <c r="Y3" i="12"/>
  <c r="BE8" i="1"/>
  <c r="Y4" i="12" s="1"/>
  <c r="BE9" i="1"/>
  <c r="Y5" i="12" s="1"/>
  <c r="BE10" i="1"/>
  <c r="Y6" i="12" s="1"/>
  <c r="BE11" i="1"/>
  <c r="Y7" i="12" s="1"/>
  <c r="BE12" i="1"/>
  <c r="Y8" i="12" s="1"/>
  <c r="BE13" i="1"/>
  <c r="BB13" i="1" s="1"/>
  <c r="X9" i="12" s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/>
  <c r="BE27" i="1"/>
  <c r="Y23" i="12" s="1"/>
  <c r="BE28" i="1"/>
  <c r="Y24" i="12" s="1"/>
  <c r="BE29" i="1"/>
  <c r="Y25" i="12" s="1"/>
  <c r="BE30" i="1"/>
  <c r="BE31" i="1"/>
  <c r="Y27" i="12" s="1"/>
  <c r="BE32" i="1"/>
  <c r="Y28" i="12"/>
  <c r="BK7" i="1"/>
  <c r="AB3" i="12" s="1"/>
  <c r="BK8" i="1"/>
  <c r="AB4" i="12"/>
  <c r="BK9" i="1"/>
  <c r="BK10" i="1"/>
  <c r="AB6" i="12"/>
  <c r="BK11" i="1"/>
  <c r="AB7" i="12" s="1"/>
  <c r="BK12" i="1"/>
  <c r="AB8" i="12"/>
  <c r="BK13" i="1"/>
  <c r="AB9" i="12" s="1"/>
  <c r="BK14" i="1"/>
  <c r="AB10" i="12"/>
  <c r="BK15" i="1"/>
  <c r="AB11" i="12" s="1"/>
  <c r="BK16" i="1"/>
  <c r="AB12" i="12"/>
  <c r="BK17" i="1"/>
  <c r="BK18" i="1"/>
  <c r="AB14" i="12"/>
  <c r="BK19" i="1"/>
  <c r="AB15" i="12" s="1"/>
  <c r="BK20" i="1"/>
  <c r="AB16" i="12"/>
  <c r="BK21" i="1"/>
  <c r="AB17" i="12" s="1"/>
  <c r="BK22" i="1"/>
  <c r="AB18" i="12"/>
  <c r="BK23" i="1"/>
  <c r="AB19" i="12" s="1"/>
  <c r="BK24" i="1"/>
  <c r="AB20" i="12"/>
  <c r="BK25" i="1"/>
  <c r="AB21" i="12" s="1"/>
  <c r="BK26" i="1"/>
  <c r="AB22" i="12"/>
  <c r="BK27" i="1"/>
  <c r="AB23" i="12" s="1"/>
  <c r="BK28" i="1"/>
  <c r="AB24" i="12"/>
  <c r="BK29" i="1"/>
  <c r="AB25" i="12" s="1"/>
  <c r="BK30" i="1"/>
  <c r="AB26" i="12"/>
  <c r="BK31" i="1"/>
  <c r="AB27" i="12" s="1"/>
  <c r="BK32" i="1"/>
  <c r="AB28" i="12"/>
  <c r="BK33" i="1"/>
  <c r="AB29" i="12" s="1"/>
  <c r="BK34" i="1"/>
  <c r="AB30" i="12"/>
  <c r="BK35" i="1"/>
  <c r="AB31" i="12" s="1"/>
  <c r="BI7" i="1"/>
  <c r="AA3" i="12"/>
  <c r="BI8" i="1"/>
  <c r="AA4" i="12" s="1"/>
  <c r="BI9" i="1"/>
  <c r="AA5" i="12"/>
  <c r="BI10" i="1"/>
  <c r="AA6" i="12" s="1"/>
  <c r="BI11" i="1"/>
  <c r="AA7" i="12"/>
  <c r="BI12" i="1"/>
  <c r="AU11" i="9" s="1"/>
  <c r="BI13" i="1"/>
  <c r="AA9" i="12"/>
  <c r="BI14" i="1"/>
  <c r="AA10" i="12" s="1"/>
  <c r="BI15" i="1"/>
  <c r="AA11" i="12"/>
  <c r="BI16" i="1"/>
  <c r="BI17" i="1"/>
  <c r="AA13" i="12" s="1"/>
  <c r="BI18" i="1"/>
  <c r="BB18" i="1" s="1"/>
  <c r="BI19" i="1"/>
  <c r="AA15" i="12" s="1"/>
  <c r="BI20" i="1"/>
  <c r="AA16" i="12"/>
  <c r="BI21" i="1"/>
  <c r="AA17" i="12" s="1"/>
  <c r="BI22" i="1"/>
  <c r="AA18" i="12" s="1"/>
  <c r="BI23" i="1"/>
  <c r="AA19" i="12" s="1"/>
  <c r="BI24" i="1"/>
  <c r="AU23" i="9" s="1"/>
  <c r="BI25" i="1"/>
  <c r="AA21" i="12" s="1"/>
  <c r="BI26" i="1"/>
  <c r="AA22" i="12"/>
  <c r="BI27" i="1"/>
  <c r="AA23" i="12" s="1"/>
  <c r="BI28" i="1"/>
  <c r="AA24" i="12"/>
  <c r="BI29" i="1"/>
  <c r="AA25" i="12" s="1"/>
  <c r="BI30" i="1"/>
  <c r="AA26" i="12" s="1"/>
  <c r="BI31" i="1"/>
  <c r="AA27" i="12" s="1"/>
  <c r="BI32" i="1"/>
  <c r="AA28" i="12" s="1"/>
  <c r="BI33" i="1"/>
  <c r="AA29" i="12" s="1"/>
  <c r="BI34" i="1"/>
  <c r="AA30" i="12" s="1"/>
  <c r="BI35" i="1"/>
  <c r="AA31" i="12" s="1"/>
  <c r="AZ7" i="1"/>
  <c r="W3" i="12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/>
  <c r="AZ14" i="1"/>
  <c r="W10" i="12" s="1"/>
  <c r="AZ15" i="1"/>
  <c r="W11" i="12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/>
  <c r="AZ31" i="1"/>
  <c r="W27" i="12" s="1"/>
  <c r="AZ32" i="1"/>
  <c r="W28" i="12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/>
  <c r="AV18" i="1"/>
  <c r="U14" i="12" s="1"/>
  <c r="AV19" i="1"/>
  <c r="U15" i="12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/>
  <c r="AV34" i="1"/>
  <c r="U30" i="12" s="1"/>
  <c r="AV35" i="1"/>
  <c r="U31" i="12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/>
  <c r="AT20" i="1"/>
  <c r="T16" i="12" s="1"/>
  <c r="AT21" i="1"/>
  <c r="T17" i="12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/>
  <c r="AR7" i="1"/>
  <c r="S3" i="12" s="1"/>
  <c r="AR8" i="1"/>
  <c r="S4" i="12"/>
  <c r="AR9" i="1"/>
  <c r="S5" i="12" s="1"/>
  <c r="AR10" i="1"/>
  <c r="S6" i="12" s="1"/>
  <c r="AR11" i="1"/>
  <c r="S7" i="12" s="1"/>
  <c r="AR12" i="1"/>
  <c r="S8" i="12" s="1"/>
  <c r="AR13" i="1"/>
  <c r="S9" i="12" s="1"/>
  <c r="AR14" i="1"/>
  <c r="BC14" i="1" s="1"/>
  <c r="AR15" i="1"/>
  <c r="S11" i="12" s="1"/>
  <c r="AR16" i="1"/>
  <c r="S12" i="12"/>
  <c r="AR17" i="1"/>
  <c r="S13" i="12" s="1"/>
  <c r="AR18" i="1"/>
  <c r="S14" i="12"/>
  <c r="AR19" i="1"/>
  <c r="S15" i="12" s="1"/>
  <c r="AR20" i="1"/>
  <c r="S16" i="12" s="1"/>
  <c r="AR21" i="1"/>
  <c r="S17" i="12" s="1"/>
  <c r="AR22" i="1"/>
  <c r="BC22" i="1" s="1"/>
  <c r="AR23" i="1"/>
  <c r="S19" i="12" s="1"/>
  <c r="AR24" i="1"/>
  <c r="S20" i="12"/>
  <c r="AR25" i="1"/>
  <c r="S21" i="12" s="1"/>
  <c r="AR26" i="1"/>
  <c r="S22" i="12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/>
  <c r="AR33" i="1"/>
  <c r="S29" i="12" s="1"/>
  <c r="AR34" i="1"/>
  <c r="S30" i="12"/>
  <c r="AR35" i="1"/>
  <c r="S31" i="12" s="1"/>
  <c r="AN7" i="1"/>
  <c r="AN8" i="1"/>
  <c r="Q4" i="12" s="1"/>
  <c r="AN9" i="1"/>
  <c r="Q5" i="12" s="1"/>
  <c r="AN10" i="1"/>
  <c r="Q6" i="12" s="1"/>
  <c r="AN11" i="1"/>
  <c r="BC11" i="1" s="1"/>
  <c r="Q7" i="12"/>
  <c r="AN12" i="1"/>
  <c r="Q8" i="12" s="1"/>
  <c r="AN13" i="1"/>
  <c r="Q9" i="12"/>
  <c r="AN14" i="1"/>
  <c r="Q10" i="12" s="1"/>
  <c r="AN15" i="1"/>
  <c r="Q11" i="12" s="1"/>
  <c r="AN16" i="1"/>
  <c r="Q12" i="12" s="1"/>
  <c r="AN17" i="1"/>
  <c r="AN18" i="1"/>
  <c r="Q14" i="12" s="1"/>
  <c r="AN19" i="1"/>
  <c r="Q15" i="12"/>
  <c r="AN20" i="1"/>
  <c r="Q16" i="12" s="1"/>
  <c r="AN21" i="1"/>
  <c r="Q17" i="12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/>
  <c r="AN28" i="1"/>
  <c r="Q24" i="12" s="1"/>
  <c r="AN29" i="1"/>
  <c r="Q25" i="12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/>
  <c r="AK8" i="1"/>
  <c r="P4" i="12" s="1"/>
  <c r="AK9" i="1"/>
  <c r="P5" i="12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/>
  <c r="AK16" i="1"/>
  <c r="P12" i="12" s="1"/>
  <c r="AK17" i="1"/>
  <c r="P13" i="12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/>
  <c r="AK24" i="1"/>
  <c r="P20" i="12" s="1"/>
  <c r="AK25" i="1"/>
  <c r="P21" i="12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/>
  <c r="AK32" i="1"/>
  <c r="P28" i="12" s="1"/>
  <c r="AK33" i="1"/>
  <c r="P29" i="12"/>
  <c r="AK34" i="1"/>
  <c r="P30" i="12" s="1"/>
  <c r="AK35" i="1"/>
  <c r="P31" i="12" s="1"/>
  <c r="AI7" i="1"/>
  <c r="O3" i="12" s="1"/>
  <c r="AI8" i="1"/>
  <c r="O4" i="12" s="1"/>
  <c r="AI9" i="1"/>
  <c r="O5" i="12" s="1"/>
  <c r="AI10" i="1"/>
  <c r="O6" i="12"/>
  <c r="AI11" i="1"/>
  <c r="O7" i="12" s="1"/>
  <c r="AI12" i="1"/>
  <c r="O8" i="12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L18" i="1" s="1"/>
  <c r="O14" i="12"/>
  <c r="AI19" i="1"/>
  <c r="O15" i="12" s="1"/>
  <c r="AI20" i="1"/>
  <c r="O16" i="12"/>
  <c r="AI21" i="1"/>
  <c r="O17" i="12" s="1"/>
  <c r="AI22" i="1"/>
  <c r="O18" i="12" s="1"/>
  <c r="AI23" i="1"/>
  <c r="O19" i="12" s="1"/>
  <c r="AI24" i="1"/>
  <c r="AL24" i="1" s="1"/>
  <c r="AI25" i="1"/>
  <c r="O21" i="12" s="1"/>
  <c r="AI26" i="1"/>
  <c r="O22" i="12"/>
  <c r="AI27" i="1"/>
  <c r="O23" i="12" s="1"/>
  <c r="AI28" i="1"/>
  <c r="O24" i="12"/>
  <c r="AI29" i="1"/>
  <c r="O25" i="12" s="1"/>
  <c r="AI30" i="1"/>
  <c r="O26" i="12" s="1"/>
  <c r="AI31" i="1"/>
  <c r="O27" i="12" s="1"/>
  <c r="AI32" i="1"/>
  <c r="AL32" i="1" s="1"/>
  <c r="AI33" i="1"/>
  <c r="O29" i="12" s="1"/>
  <c r="AI34" i="1"/>
  <c r="AL34" i="1" s="1"/>
  <c r="O30" i="12"/>
  <c r="AI35" i="1"/>
  <c r="O31" i="12" s="1"/>
  <c r="AC7" i="1"/>
  <c r="L3" i="12"/>
  <c r="AC8" i="1"/>
  <c r="L4" i="12" s="1"/>
  <c r="AC9" i="1"/>
  <c r="L5" i="12" s="1"/>
  <c r="AC10" i="1"/>
  <c r="L6" i="12" s="1"/>
  <c r="AC11" i="1"/>
  <c r="L7" i="12" s="1"/>
  <c r="AC12" i="1"/>
  <c r="L8" i="12" s="1"/>
  <c r="AC13" i="1"/>
  <c r="L9" i="12"/>
  <c r="AC14" i="1"/>
  <c r="L10" i="12" s="1"/>
  <c r="AC15" i="1"/>
  <c r="L11" i="12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/>
  <c r="AC22" i="1"/>
  <c r="L18" i="12" s="1"/>
  <c r="AC23" i="1"/>
  <c r="L19" i="12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/>
  <c r="AC30" i="1"/>
  <c r="L26" i="12" s="1"/>
  <c r="AC31" i="1"/>
  <c r="L27" i="12"/>
  <c r="AC32" i="1"/>
  <c r="L28" i="12" s="1"/>
  <c r="AC33" i="1"/>
  <c r="L29" i="12" s="1"/>
  <c r="AC34" i="1"/>
  <c r="L30" i="12" s="1"/>
  <c r="AC35" i="1"/>
  <c r="L31" i="12" s="1"/>
  <c r="AE7" i="1"/>
  <c r="M3" i="12" s="1"/>
  <c r="AE8" i="1"/>
  <c r="AL8" i="1" s="1"/>
  <c r="M4" i="12"/>
  <c r="AE9" i="1"/>
  <c r="M5" i="12" s="1"/>
  <c r="AE10" i="1"/>
  <c r="M6" i="12"/>
  <c r="AE11" i="1"/>
  <c r="M7" i="12" s="1"/>
  <c r="AE12" i="1"/>
  <c r="M8" i="12" s="1"/>
  <c r="AE13" i="1"/>
  <c r="M9" i="12" s="1"/>
  <c r="AE14" i="1"/>
  <c r="AL14" i="1" s="1"/>
  <c r="AE15" i="1"/>
  <c r="M11" i="12" s="1"/>
  <c r="AE16" i="1"/>
  <c r="AL16" i="1" s="1"/>
  <c r="M12" i="12"/>
  <c r="AE17" i="1"/>
  <c r="M13" i="12" s="1"/>
  <c r="AE18" i="1"/>
  <c r="M14" i="12"/>
  <c r="AE19" i="1"/>
  <c r="M15" i="12" s="1"/>
  <c r="AE20" i="1"/>
  <c r="M16" i="12" s="1"/>
  <c r="AE21" i="1"/>
  <c r="M17" i="12" s="1"/>
  <c r="AE22" i="1"/>
  <c r="AL22" i="1" s="1"/>
  <c r="AE24" i="1"/>
  <c r="M20" i="12" s="1"/>
  <c r="AE25" i="1"/>
  <c r="AL25" i="1" s="1"/>
  <c r="M21" i="12"/>
  <c r="AE26" i="1"/>
  <c r="M22" i="12" s="1"/>
  <c r="AE27" i="1"/>
  <c r="M23" i="12"/>
  <c r="AE28" i="1"/>
  <c r="M24" i="12" s="1"/>
  <c r="AE29" i="1"/>
  <c r="M25" i="12" s="1"/>
  <c r="AE30" i="1"/>
  <c r="M26" i="12" s="1"/>
  <c r="AE31" i="1"/>
  <c r="AL31" i="1" s="1"/>
  <c r="AE32" i="1"/>
  <c r="M28" i="12" s="1"/>
  <c r="AE33" i="1"/>
  <c r="AL33" i="1" s="1"/>
  <c r="M29" i="12"/>
  <c r="AE34" i="1"/>
  <c r="M30" i="12" s="1"/>
  <c r="AE35" i="1"/>
  <c r="M31" i="12"/>
  <c r="AE6" i="1"/>
  <c r="M2" i="12" s="1"/>
  <c r="AG6" i="1"/>
  <c r="N2" i="12" s="1"/>
  <c r="AG7" i="1"/>
  <c r="N3" i="12" s="1"/>
  <c r="AG8" i="1"/>
  <c r="AG37" i="1" s="1"/>
  <c r="AG9" i="1"/>
  <c r="N5" i="12" s="1"/>
  <c r="AG13" i="1"/>
  <c r="N9" i="12"/>
  <c r="AG14" i="1"/>
  <c r="N10" i="12" s="1"/>
  <c r="AG15" i="1"/>
  <c r="N11" i="12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N17" i="12"/>
  <c r="AG22" i="1"/>
  <c r="N18" i="12" s="1"/>
  <c r="AG23" i="1"/>
  <c r="N19" i="12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/>
  <c r="AG31" i="1"/>
  <c r="N27" i="12" s="1"/>
  <c r="AG32" i="1"/>
  <c r="N28" i="12"/>
  <c r="AG33" i="1"/>
  <c r="N29" i="12" s="1"/>
  <c r="AG34" i="1"/>
  <c r="N30" i="12" s="1"/>
  <c r="AG35" i="1"/>
  <c r="N31" i="12" s="1"/>
  <c r="AC6" i="1"/>
  <c r="L2" i="12" s="1"/>
  <c r="O6" i="1"/>
  <c r="O7" i="1"/>
  <c r="O8" i="1"/>
  <c r="O9" i="1"/>
  <c r="O10" i="1"/>
  <c r="O11" i="1"/>
  <c r="O12" i="1"/>
  <c r="G11" i="9" s="1"/>
  <c r="O13" i="1"/>
  <c r="O14" i="1"/>
  <c r="O15" i="1"/>
  <c r="O16" i="1"/>
  <c r="G15" i="9" s="1"/>
  <c r="O17" i="1"/>
  <c r="O18" i="1"/>
  <c r="O19" i="1"/>
  <c r="O20" i="1"/>
  <c r="K20" i="1" s="1"/>
  <c r="G16" i="12" s="1"/>
  <c r="O21" i="1"/>
  <c r="O22" i="1"/>
  <c r="O23" i="1"/>
  <c r="O24" i="1"/>
  <c r="K24" i="1" s="1"/>
  <c r="G20" i="12" s="1"/>
  <c r="O25" i="1"/>
  <c r="O26" i="1"/>
  <c r="O27" i="1"/>
  <c r="O28" i="1"/>
  <c r="K28" i="1" s="1"/>
  <c r="G24" i="12" s="1"/>
  <c r="O29" i="1"/>
  <c r="O30" i="1"/>
  <c r="O31" i="1"/>
  <c r="O32" i="1"/>
  <c r="O33" i="1"/>
  <c r="K33" i="1" s="1"/>
  <c r="G29" i="12" s="1"/>
  <c r="O34" i="1"/>
  <c r="O35" i="1"/>
  <c r="G34" i="9" s="1"/>
  <c r="M6" i="1"/>
  <c r="M7" i="1"/>
  <c r="M8" i="1"/>
  <c r="M9" i="1"/>
  <c r="K9" i="1" s="1"/>
  <c r="G5" i="12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K25" i="1" s="1"/>
  <c r="G21" i="12" s="1"/>
  <c r="M26" i="1"/>
  <c r="M27" i="1"/>
  <c r="M28" i="1"/>
  <c r="M29" i="1"/>
  <c r="M30" i="1"/>
  <c r="M31" i="1"/>
  <c r="M32" i="1"/>
  <c r="M34" i="1"/>
  <c r="K34" i="1" s="1"/>
  <c r="G30" i="12" s="1"/>
  <c r="M35" i="1"/>
  <c r="J6" i="1"/>
  <c r="F2" i="12"/>
  <c r="J7" i="1"/>
  <c r="J8" i="1"/>
  <c r="F4" i="12"/>
  <c r="J9" i="1"/>
  <c r="F5" i="12" s="1"/>
  <c r="J10" i="1"/>
  <c r="F6" i="12"/>
  <c r="J11" i="1"/>
  <c r="F7" i="12" s="1"/>
  <c r="J12" i="1"/>
  <c r="F8" i="12"/>
  <c r="J13" i="1"/>
  <c r="F9" i="12" s="1"/>
  <c r="J14" i="1"/>
  <c r="F10" i="12"/>
  <c r="J15" i="1"/>
  <c r="F11" i="12" s="1"/>
  <c r="J17" i="1"/>
  <c r="F13" i="12"/>
  <c r="J18" i="1"/>
  <c r="F14" i="12" s="1"/>
  <c r="J19" i="1"/>
  <c r="F15" i="12"/>
  <c r="J20" i="1"/>
  <c r="F16" i="12" s="1"/>
  <c r="J21" i="1"/>
  <c r="F17" i="12"/>
  <c r="J22" i="1"/>
  <c r="F18" i="12" s="1"/>
  <c r="J23" i="1"/>
  <c r="F19" i="12"/>
  <c r="J24" i="1"/>
  <c r="F20" i="12" s="1"/>
  <c r="J25" i="1"/>
  <c r="F21" i="12"/>
  <c r="J26" i="1"/>
  <c r="F22" i="12" s="1"/>
  <c r="J27" i="1"/>
  <c r="F23" i="12"/>
  <c r="J28" i="1"/>
  <c r="F24" i="12" s="1"/>
  <c r="J29" i="1"/>
  <c r="F25" i="12"/>
  <c r="J30" i="1"/>
  <c r="F26" i="12" s="1"/>
  <c r="J31" i="1"/>
  <c r="F27" i="12"/>
  <c r="J32" i="1"/>
  <c r="F28" i="12" s="1"/>
  <c r="J33" i="1"/>
  <c r="F29" i="12"/>
  <c r="J34" i="1"/>
  <c r="F30" i="12" s="1"/>
  <c r="J35" i="1"/>
  <c r="F31" i="12"/>
  <c r="AA6" i="1"/>
  <c r="K2" i="12" s="1"/>
  <c r="C7" i="6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BI6" i="1"/>
  <c r="AA2" i="12"/>
  <c r="BG6" i="1"/>
  <c r="Z2" i="12" s="1"/>
  <c r="BE6" i="1"/>
  <c r="Y2" i="12"/>
  <c r="AZ6" i="1"/>
  <c r="W2" i="12" s="1"/>
  <c r="AX6" i="1"/>
  <c r="V2" i="12"/>
  <c r="AT6" i="1"/>
  <c r="T2" i="12" s="1"/>
  <c r="AR6" i="1"/>
  <c r="S2" i="12"/>
  <c r="AP6" i="1"/>
  <c r="R2" i="12" s="1"/>
  <c r="AN6" i="1"/>
  <c r="Q2" i="12"/>
  <c r="AK6" i="1"/>
  <c r="P2" i="12" s="1"/>
  <c r="AI6" i="1"/>
  <c r="O2" i="12"/>
  <c r="Q6" i="1"/>
  <c r="H2" i="12" s="1"/>
  <c r="BK5" i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C37" i="1" s="1"/>
  <c r="AA5" i="1"/>
  <c r="U5" i="1"/>
  <c r="Q5" i="1"/>
  <c r="O5" i="1"/>
  <c r="K5" i="1" s="1"/>
  <c r="M5" i="1"/>
  <c r="J5" i="1"/>
  <c r="K31" i="6"/>
  <c r="G26" i="13"/>
  <c r="AH26" i="12"/>
  <c r="K29" i="6"/>
  <c r="G24" i="13" s="1"/>
  <c r="AH24" i="12"/>
  <c r="K27" i="6"/>
  <c r="G22" i="13" s="1"/>
  <c r="AH22" i="12"/>
  <c r="K13" i="6"/>
  <c r="G8" i="13"/>
  <c r="AH8" i="12"/>
  <c r="K12" i="6"/>
  <c r="G7" i="13"/>
  <c r="AH7" i="12"/>
  <c r="K25" i="6"/>
  <c r="G20" i="13" s="1"/>
  <c r="AH20" i="12"/>
  <c r="K7" i="6"/>
  <c r="G2" i="13"/>
  <c r="AH2" i="12"/>
  <c r="AH18" i="12"/>
  <c r="K9" i="6"/>
  <c r="G4" i="13" s="1"/>
  <c r="AH4" i="12"/>
  <c r="K26" i="6"/>
  <c r="G21" i="13"/>
  <c r="AH21" i="12"/>
  <c r="K11" i="6"/>
  <c r="G6" i="13"/>
  <c r="AH6" i="12"/>
  <c r="K22" i="6"/>
  <c r="G17" i="13" s="1"/>
  <c r="AH17" i="12"/>
  <c r="K8" i="6"/>
  <c r="G3" i="13" s="1"/>
  <c r="AH3" i="12"/>
  <c r="K34" i="6"/>
  <c r="G29" i="13" s="1"/>
  <c r="AH29" i="12"/>
  <c r="K21" i="6"/>
  <c r="G16" i="13"/>
  <c r="AH16" i="12"/>
  <c r="K20" i="6"/>
  <c r="G15" i="13" s="1"/>
  <c r="K36" i="6"/>
  <c r="G31" i="13" s="1"/>
  <c r="AH31" i="12"/>
  <c r="K32" i="6"/>
  <c r="G27" i="13"/>
  <c r="AH27" i="12"/>
  <c r="K19" i="6"/>
  <c r="G14" i="13" s="1"/>
  <c r="AH14" i="12"/>
  <c r="K35" i="6"/>
  <c r="G30" i="13" s="1"/>
  <c r="AH30" i="12"/>
  <c r="K16" i="6"/>
  <c r="G11" i="13"/>
  <c r="AH11" i="12"/>
  <c r="K15" i="6"/>
  <c r="G10" i="13"/>
  <c r="AH10" i="12"/>
  <c r="AA12" i="12"/>
  <c r="BB16" i="1"/>
  <c r="BC16" i="1" s="1"/>
  <c r="Z27" i="12"/>
  <c r="BB31" i="1"/>
  <c r="Z25" i="12"/>
  <c r="BB29" i="1"/>
  <c r="Y26" i="12"/>
  <c r="BB30" i="1"/>
  <c r="BB11" i="1"/>
  <c r="K16" i="1"/>
  <c r="G12" i="12" s="1"/>
  <c r="K31" i="1"/>
  <c r="G27" i="12" s="1"/>
  <c r="K27" i="1"/>
  <c r="G23" i="12" s="1"/>
  <c r="K23" i="1"/>
  <c r="G19" i="12" s="1"/>
  <c r="K19" i="1"/>
  <c r="G15" i="12"/>
  <c r="K15" i="1"/>
  <c r="G11" i="12" s="1"/>
  <c r="K11" i="1"/>
  <c r="G7" i="12"/>
  <c r="K7" i="1"/>
  <c r="G3" i="12" s="1"/>
  <c r="K35" i="1"/>
  <c r="G31" i="12" s="1"/>
  <c r="K29" i="1"/>
  <c r="G25" i="12" s="1"/>
  <c r="K21" i="1"/>
  <c r="G17" i="12"/>
  <c r="AA37" i="1"/>
  <c r="BB19" i="1"/>
  <c r="X15" i="12" s="1"/>
  <c r="AI37" i="1"/>
  <c r="AL12" i="1"/>
  <c r="AX37" i="1"/>
  <c r="BG37" i="1"/>
  <c r="BB22" i="1"/>
  <c r="BB23" i="1"/>
  <c r="BB27" i="1"/>
  <c r="X23" i="12" s="1"/>
  <c r="M37" i="1"/>
  <c r="BB7" i="1"/>
  <c r="BB28" i="1"/>
  <c r="BB26" i="1"/>
  <c r="X22" i="12" s="1"/>
  <c r="BB20" i="1"/>
  <c r="BB14" i="1"/>
  <c r="X10" i="12" s="1"/>
  <c r="BB10" i="1"/>
  <c r="K17" i="1"/>
  <c r="G13" i="12" s="1"/>
  <c r="K14" i="1"/>
  <c r="G10" i="12" s="1"/>
  <c r="K13" i="1"/>
  <c r="G9" i="12"/>
  <c r="K26" i="1"/>
  <c r="G22" i="12"/>
  <c r="K18" i="1"/>
  <c r="G14" i="12"/>
  <c r="K10" i="1"/>
  <c r="G6" i="12"/>
  <c r="K30" i="1"/>
  <c r="G26" i="12"/>
  <c r="K22" i="1"/>
  <c r="G18" i="12"/>
  <c r="AL6" i="1"/>
  <c r="AL30" i="1"/>
  <c r="AL28" i="1"/>
  <c r="AL20" i="1"/>
  <c r="AL10" i="1"/>
  <c r="AL29" i="1"/>
  <c r="AL23" i="1"/>
  <c r="AL21" i="1"/>
  <c r="AL17" i="1"/>
  <c r="AL15" i="1"/>
  <c r="AL13" i="1"/>
  <c r="AL9" i="1"/>
  <c r="AL7" i="1"/>
  <c r="K6" i="1"/>
  <c r="G2" i="12" s="1"/>
  <c r="X12" i="12"/>
  <c r="BC7" i="1"/>
  <c r="X3" i="12"/>
  <c r="BC29" i="1"/>
  <c r="X25" i="12"/>
  <c r="X6" i="12"/>
  <c r="X27" i="12"/>
  <c r="X16" i="12"/>
  <c r="BC30" i="1"/>
  <c r="X26" i="12"/>
  <c r="X19" i="12"/>
  <c r="BC13" i="1"/>
  <c r="X24" i="12"/>
  <c r="BC19" i="1"/>
  <c r="X7" i="12"/>
  <c r="BC27" i="1"/>
  <c r="X18" i="12"/>
  <c r="G6" i="6"/>
  <c r="C6" i="6"/>
  <c r="K6" i="6"/>
  <c r="G6" i="2"/>
  <c r="E6" i="2"/>
  <c r="C6" i="2"/>
  <c r="H6" i="11"/>
  <c r="D34" i="11"/>
  <c r="J46" i="1"/>
  <c r="I10" i="9"/>
  <c r="I11" i="9"/>
  <c r="C7" i="9"/>
  <c r="J8" i="6"/>
  <c r="AJ6" i="9" s="1"/>
  <c r="J9" i="6"/>
  <c r="AJ7" i="9"/>
  <c r="J11" i="6"/>
  <c r="AJ9" i="9" s="1"/>
  <c r="J12" i="6"/>
  <c r="AJ10" i="9"/>
  <c r="J14" i="6"/>
  <c r="AJ12" i="9" s="1"/>
  <c r="J15" i="6"/>
  <c r="AJ13" i="9"/>
  <c r="J16" i="6"/>
  <c r="AJ14" i="9" s="1"/>
  <c r="J17" i="6"/>
  <c r="AJ15" i="9"/>
  <c r="J18" i="6"/>
  <c r="AJ16" i="9" s="1"/>
  <c r="J19" i="6"/>
  <c r="AJ17" i="9"/>
  <c r="J20" i="6"/>
  <c r="AJ18" i="9" s="1"/>
  <c r="J21" i="6"/>
  <c r="AJ19" i="9"/>
  <c r="J22" i="6"/>
  <c r="AJ20" i="9" s="1"/>
  <c r="J23" i="6"/>
  <c r="AJ21" i="9"/>
  <c r="J24" i="6"/>
  <c r="AJ22" i="9" s="1"/>
  <c r="J28" i="6"/>
  <c r="AJ26" i="9" s="1"/>
  <c r="J30" i="6"/>
  <c r="AJ28" i="9"/>
  <c r="J31" i="6"/>
  <c r="AJ29" i="9" s="1"/>
  <c r="J32" i="6"/>
  <c r="AJ30" i="9"/>
  <c r="J33" i="6"/>
  <c r="AJ31" i="9" s="1"/>
  <c r="J35" i="6"/>
  <c r="J36" i="6"/>
  <c r="H8" i="6"/>
  <c r="H9" i="6"/>
  <c r="H10" i="6"/>
  <c r="H11" i="6"/>
  <c r="H13" i="6"/>
  <c r="H14" i="6"/>
  <c r="H15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6" i="6"/>
  <c r="AH29" i="9"/>
  <c r="AH30" i="9"/>
  <c r="AH31" i="9"/>
  <c r="I34" i="6"/>
  <c r="E35" i="2"/>
  <c r="AE30" i="12"/>
  <c r="E31" i="2"/>
  <c r="I29" i="9"/>
  <c r="I7" i="6"/>
  <c r="I8" i="6"/>
  <c r="H7" i="6"/>
  <c r="G7" i="6"/>
  <c r="C5" i="9"/>
  <c r="C6" i="9"/>
  <c r="C8" i="9"/>
  <c r="I56" i="1"/>
  <c r="H12" i="6"/>
  <c r="I11" i="6"/>
  <c r="I12" i="6"/>
  <c r="AH11" i="9"/>
  <c r="I15" i="6"/>
  <c r="I16" i="6"/>
  <c r="I17" i="6"/>
  <c r="I18" i="6"/>
  <c r="I19" i="6"/>
  <c r="AH18" i="9"/>
  <c r="I21" i="6"/>
  <c r="AH20" i="9"/>
  <c r="I23" i="6"/>
  <c r="I24" i="6"/>
  <c r="I25" i="6"/>
  <c r="I26" i="6"/>
  <c r="I27" i="6"/>
  <c r="I28" i="6"/>
  <c r="I29" i="6"/>
  <c r="I30" i="6"/>
  <c r="I35" i="6"/>
  <c r="I36" i="6"/>
  <c r="C26" i="9"/>
  <c r="C27" i="9"/>
  <c r="G8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O9" i="2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O19" i="2"/>
  <c r="R17" i="9" s="1"/>
  <c r="O20" i="2"/>
  <c r="R18" i="9"/>
  <c r="O21" i="2"/>
  <c r="R19" i="9" s="1"/>
  <c r="O22" i="2"/>
  <c r="R20" i="9"/>
  <c r="O23" i="2"/>
  <c r="R21" i="9" s="1"/>
  <c r="O24" i="2"/>
  <c r="R22" i="9"/>
  <c r="O25" i="2"/>
  <c r="R23" i="9" s="1"/>
  <c r="O26" i="2"/>
  <c r="R24" i="9"/>
  <c r="O27" i="2"/>
  <c r="R25" i="9" s="1"/>
  <c r="O28" i="2"/>
  <c r="R26" i="9"/>
  <c r="O29" i="2"/>
  <c r="R27" i="9" s="1"/>
  <c r="O30" i="2"/>
  <c r="O31" i="2"/>
  <c r="R29" i="9"/>
  <c r="O32" i="2"/>
  <c r="R30" i="9"/>
  <c r="O33" i="2"/>
  <c r="R31" i="9"/>
  <c r="O34" i="2"/>
  <c r="R32" i="9"/>
  <c r="O35" i="2"/>
  <c r="O36" i="2"/>
  <c r="G8" i="2"/>
  <c r="AF3" i="12"/>
  <c r="G9" i="2"/>
  <c r="AF4" i="12"/>
  <c r="G10" i="2"/>
  <c r="AF5" i="12"/>
  <c r="G11" i="2"/>
  <c r="AF6" i="12"/>
  <c r="G12" i="2"/>
  <c r="AF7" i="12"/>
  <c r="G13" i="2"/>
  <c r="AF8" i="12"/>
  <c r="G14" i="2"/>
  <c r="AF9" i="12"/>
  <c r="G15" i="2"/>
  <c r="AF10" i="12"/>
  <c r="G16" i="2"/>
  <c r="AF11" i="12"/>
  <c r="G17" i="2"/>
  <c r="AF12" i="12"/>
  <c r="G18" i="2"/>
  <c r="AF13" i="12"/>
  <c r="G19" i="2"/>
  <c r="AF14" i="12"/>
  <c r="G20" i="2"/>
  <c r="AF15" i="12"/>
  <c r="G21" i="2"/>
  <c r="AF16" i="12"/>
  <c r="G22" i="2"/>
  <c r="AF17" i="12"/>
  <c r="G23" i="2"/>
  <c r="AF18" i="12"/>
  <c r="G24" i="2"/>
  <c r="AF19" i="12"/>
  <c r="G25" i="2"/>
  <c r="AF20" i="12"/>
  <c r="G26" i="2"/>
  <c r="AF21" i="12"/>
  <c r="G27" i="2"/>
  <c r="AF22" i="12"/>
  <c r="G28" i="2"/>
  <c r="AF23" i="12"/>
  <c r="G29" i="2"/>
  <c r="AF24" i="12"/>
  <c r="G30" i="2"/>
  <c r="AF25" i="12"/>
  <c r="G31" i="2"/>
  <c r="AF26" i="12"/>
  <c r="G32" i="2"/>
  <c r="AF27" i="12"/>
  <c r="G33" i="2"/>
  <c r="AF28" i="12"/>
  <c r="G34" i="2"/>
  <c r="AF29" i="12"/>
  <c r="G35" i="2"/>
  <c r="AF30" i="12"/>
  <c r="G36" i="2"/>
  <c r="AF31" i="12"/>
  <c r="E8" i="2"/>
  <c r="E9" i="2"/>
  <c r="E10" i="2"/>
  <c r="E11" i="2"/>
  <c r="E12" i="2"/>
  <c r="K11" i="9"/>
  <c r="E14" i="2"/>
  <c r="E15" i="2"/>
  <c r="E16" i="2"/>
  <c r="E17" i="2"/>
  <c r="E18" i="2"/>
  <c r="E19" i="2"/>
  <c r="E20" i="2"/>
  <c r="E21" i="2"/>
  <c r="E22" i="2"/>
  <c r="E23" i="2"/>
  <c r="E24" i="2"/>
  <c r="E25" i="2"/>
  <c r="K24" i="9"/>
  <c r="K25" i="9"/>
  <c r="E29" i="2"/>
  <c r="E30" i="2"/>
  <c r="E32" i="2"/>
  <c r="E33" i="2"/>
  <c r="E34" i="2"/>
  <c r="E36" i="2"/>
  <c r="AE31" i="12" s="1"/>
  <c r="C8" i="2"/>
  <c r="C9" i="2"/>
  <c r="I8" i="9"/>
  <c r="I9" i="9"/>
  <c r="I12" i="9"/>
  <c r="I14" i="9"/>
  <c r="I15" i="9"/>
  <c r="I16" i="9"/>
  <c r="I17" i="9"/>
  <c r="I18" i="9"/>
  <c r="I19" i="9"/>
  <c r="I21" i="9"/>
  <c r="I22" i="9"/>
  <c r="I23" i="9"/>
  <c r="I24" i="9"/>
  <c r="I25" i="9"/>
  <c r="I26" i="9"/>
  <c r="I27" i="9"/>
  <c r="I28" i="9"/>
  <c r="I30" i="9"/>
  <c r="I31" i="9"/>
  <c r="I32" i="9"/>
  <c r="AT6" i="9"/>
  <c r="AT7" i="9"/>
  <c r="AT9" i="9"/>
  <c r="AT10" i="9"/>
  <c r="AT11" i="9"/>
  <c r="AT12" i="9"/>
  <c r="AT13" i="9"/>
  <c r="AT14" i="9"/>
  <c r="AT15" i="9"/>
  <c r="AT17" i="9"/>
  <c r="AT18" i="9"/>
  <c r="AT19" i="9"/>
  <c r="AT20" i="9"/>
  <c r="AT21" i="9"/>
  <c r="AT22" i="9"/>
  <c r="AT26" i="9"/>
  <c r="AT27" i="9"/>
  <c r="AT28" i="9"/>
  <c r="AT29" i="9"/>
  <c r="AT30" i="9"/>
  <c r="AT31" i="9"/>
  <c r="AT32" i="9"/>
  <c r="AT33" i="9"/>
  <c r="AT34" i="9"/>
  <c r="AT35" i="9"/>
  <c r="AU6" i="9"/>
  <c r="AU7" i="9"/>
  <c r="AU8" i="9"/>
  <c r="AU9" i="9"/>
  <c r="AU10" i="9"/>
  <c r="AU12" i="9"/>
  <c r="AU13" i="9"/>
  <c r="AU14" i="9"/>
  <c r="AU15" i="9"/>
  <c r="AU16" i="9"/>
  <c r="AU18" i="9"/>
  <c r="AU19" i="9"/>
  <c r="AU20" i="9"/>
  <c r="AU21" i="9"/>
  <c r="AU22" i="9"/>
  <c r="AU25" i="9"/>
  <c r="AU26" i="9"/>
  <c r="AU27" i="9"/>
  <c r="AU29" i="9"/>
  <c r="AU30" i="9"/>
  <c r="AU31" i="9"/>
  <c r="AU32" i="9"/>
  <c r="AU34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G7" i="9"/>
  <c r="G9" i="9"/>
  <c r="G12" i="9"/>
  <c r="G13" i="9"/>
  <c r="G14" i="9"/>
  <c r="G17" i="9"/>
  <c r="G18" i="9"/>
  <c r="G20" i="9"/>
  <c r="G21" i="9"/>
  <c r="G22" i="9"/>
  <c r="G24" i="9"/>
  <c r="G26" i="9"/>
  <c r="G27" i="9"/>
  <c r="G28" i="9"/>
  <c r="G29" i="9"/>
  <c r="G30" i="9"/>
  <c r="G33" i="9"/>
  <c r="E33" i="9"/>
  <c r="C10" i="9"/>
  <c r="C13" i="9"/>
  <c r="C14" i="9"/>
  <c r="C17" i="9"/>
  <c r="C18" i="9"/>
  <c r="C19" i="9"/>
  <c r="C20" i="9"/>
  <c r="C21" i="9"/>
  <c r="C22" i="9"/>
  <c r="C25" i="9"/>
  <c r="C28" i="9"/>
  <c r="C30" i="9"/>
  <c r="C31" i="9"/>
  <c r="C32" i="9"/>
  <c r="C25" i="7"/>
  <c r="E28" i="7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AT5" i="9"/>
  <c r="AU5" i="9"/>
  <c r="G5" i="9"/>
  <c r="I9" i="6"/>
  <c r="I10" i="6"/>
  <c r="I32" i="6"/>
  <c r="G7" i="2"/>
  <c r="AF2" i="12" s="1"/>
  <c r="E7" i="2"/>
  <c r="AE2" i="12" s="1"/>
  <c r="C7" i="2"/>
  <c r="AD2" i="12" s="1"/>
  <c r="BM38" i="1"/>
  <c r="BO37" i="1"/>
  <c r="BO38" i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/>
  <c r="BP42" i="1" s="1"/>
  <c r="BO42" i="1"/>
  <c r="BO43" i="1" s="1"/>
  <c r="BM42" i="1"/>
  <c r="BM43" i="1"/>
  <c r="BQ39" i="1"/>
  <c r="BS39" i="1" s="1"/>
  <c r="BO39" i="1"/>
  <c r="BO41" i="1" s="1"/>
  <c r="BO40" i="1" s="1"/>
  <c r="BM39" i="1"/>
  <c r="BM41" i="1"/>
  <c r="BM40" i="1" s="1"/>
  <c r="J26" i="6"/>
  <c r="AJ24" i="9" s="1"/>
  <c r="J25" i="6"/>
  <c r="AJ23" i="9"/>
  <c r="J13" i="6"/>
  <c r="AJ11" i="9" s="1"/>
  <c r="J10" i="6"/>
  <c r="AJ8" i="9" s="1"/>
  <c r="AH7" i="9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T25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485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R7" i="9"/>
  <c r="R16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/>
  <c r="BI33" i="9"/>
  <c r="W46" i="2"/>
  <c r="BJ33" i="9"/>
  <c r="X46" i="2"/>
  <c r="BK33" i="9"/>
  <c r="Y46" i="2"/>
  <c r="BL33" i="9"/>
  <c r="Z46" i="2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/>
  <c r="BI34" i="9"/>
  <c r="W47" i="2" s="1"/>
  <c r="BJ34" i="9"/>
  <c r="X47" i="2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E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/>
  <c r="F2368" i="10"/>
  <c r="F2369" i="10" s="1"/>
  <c r="G2368" i="10"/>
  <c r="G2369" i="10" s="1"/>
  <c r="G2370" i="10" s="1"/>
  <c r="C2368" i="10"/>
  <c r="C2369" i="10" s="1"/>
  <c r="C2366" i="10"/>
  <c r="C2352" i="10"/>
  <c r="O2352" i="10" s="1"/>
  <c r="C2349" i="10"/>
  <c r="E65" i="10"/>
  <c r="F65" i="10"/>
  <c r="G65" i="10"/>
  <c r="H65" i="10"/>
  <c r="I65" i="10"/>
  <c r="D2366" i="10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53" i="10" s="1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H11" i="4"/>
  <c r="F12" i="4"/>
  <c r="H12" i="4"/>
  <c r="F13" i="4"/>
  <c r="H13" i="4"/>
  <c r="F14" i="4"/>
  <c r="F15" i="4"/>
  <c r="H15" i="4" s="1"/>
  <c r="F16" i="4"/>
  <c r="H16" i="4"/>
  <c r="F17" i="4"/>
  <c r="F18" i="4"/>
  <c r="H18" i="4"/>
  <c r="F19" i="4"/>
  <c r="G19" i="4" s="1"/>
  <c r="F20" i="4"/>
  <c r="H20" i="4"/>
  <c r="F21" i="4"/>
  <c r="H21" i="4" s="1"/>
  <c r="F22" i="4"/>
  <c r="F23" i="4"/>
  <c r="H23" i="4"/>
  <c r="F24" i="4"/>
  <c r="H24" i="4" s="1"/>
  <c r="F25" i="4"/>
  <c r="F26" i="4"/>
  <c r="G26" i="4"/>
  <c r="F27" i="4"/>
  <c r="H27" i="4"/>
  <c r="F28" i="4"/>
  <c r="H28" i="4"/>
  <c r="F29" i="4"/>
  <c r="H29" i="4"/>
  <c r="F30" i="4"/>
  <c r="G30" i="4"/>
  <c r="F31" i="4"/>
  <c r="H31" i="4"/>
  <c r="F32" i="4"/>
  <c r="H32" i="4"/>
  <c r="F33" i="4"/>
  <c r="F34" i="4"/>
  <c r="H34" i="4" s="1"/>
  <c r="F35" i="4"/>
  <c r="H35" i="4" s="1"/>
  <c r="F36" i="4"/>
  <c r="H36" i="4"/>
  <c r="F37" i="4"/>
  <c r="H37" i="4" s="1"/>
  <c r="F38" i="4"/>
  <c r="H38" i="4" s="1"/>
  <c r="J39" i="4" s="1"/>
  <c r="F39" i="4"/>
  <c r="H39" i="4" s="1"/>
  <c r="F40" i="4"/>
  <c r="H40" i="4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H2370" i="10" s="1"/>
  <c r="J2369" i="10"/>
  <c r="K2369" i="10"/>
  <c r="L2369" i="10"/>
  <c r="M2369" i="10"/>
  <c r="M2370" i="10" s="1"/>
  <c r="N2369" i="10"/>
  <c r="N2366" i="10"/>
  <c r="M2366" i="10"/>
  <c r="L2366" i="10"/>
  <c r="L2370" i="10" s="1"/>
  <c r="K2366" i="10"/>
  <c r="J2366" i="10"/>
  <c r="O63" i="10"/>
  <c r="O14" i="10"/>
  <c r="O65" i="10" s="1"/>
  <c r="O64" i="10"/>
  <c r="M19" i="10"/>
  <c r="M65" i="10"/>
  <c r="N19" i="10"/>
  <c r="N66" i="10" s="1"/>
  <c r="N65" i="10"/>
  <c r="O15" i="10"/>
  <c r="O16" i="10"/>
  <c r="O17" i="10"/>
  <c r="O19" i="10" s="1"/>
  <c r="O18" i="10"/>
  <c r="O4" i="10"/>
  <c r="O7" i="10"/>
  <c r="O8" i="10"/>
  <c r="O9" i="10"/>
  <c r="O10" i="10"/>
  <c r="O11" i="10"/>
  <c r="O12" i="10"/>
  <c r="O13" i="10"/>
  <c r="O2351" i="10"/>
  <c r="J65" i="10"/>
  <c r="K65" i="10"/>
  <c r="K66" i="10" s="1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G31" i="9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/>
  <c r="C20" i="7"/>
  <c r="E23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Y41" i="2"/>
  <c r="BP36" i="9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G48" i="6"/>
  <c r="AH16" i="9"/>
  <c r="AH14" i="9"/>
  <c r="R28" i="9"/>
  <c r="AT23" i="9"/>
  <c r="C48" i="6"/>
  <c r="AH32" i="9"/>
  <c r="E28" i="9"/>
  <c r="E16" i="9"/>
  <c r="AU28" i="9"/>
  <c r="I20" i="9"/>
  <c r="C24" i="9"/>
  <c r="H35" i="6"/>
  <c r="H38" i="6" s="1"/>
  <c r="C33" i="9"/>
  <c r="H16" i="6"/>
  <c r="AH22" i="9"/>
  <c r="K26" i="9"/>
  <c r="G10" i="9"/>
  <c r="G16" i="9"/>
  <c r="I31" i="6"/>
  <c r="J34" i="6"/>
  <c r="AJ32" i="9" s="1"/>
  <c r="AH10" i="9"/>
  <c r="E11" i="9"/>
  <c r="AH27" i="9"/>
  <c r="E32" i="9"/>
  <c r="R6" i="9"/>
  <c r="I13" i="6"/>
  <c r="I33" i="6"/>
  <c r="AH17" i="9"/>
  <c r="AH12" i="9"/>
  <c r="C11" i="9"/>
  <c r="C16" i="9"/>
  <c r="I22" i="6"/>
  <c r="AU24" i="9"/>
  <c r="AU33" i="9"/>
  <c r="D5" i="10"/>
  <c r="O5" i="10" s="1"/>
  <c r="C15" i="9"/>
  <c r="AH21" i="9"/>
  <c r="AH24" i="9"/>
  <c r="AH25" i="9"/>
  <c r="J29" i="6"/>
  <c r="AJ27" i="9"/>
  <c r="E48" i="6"/>
  <c r="AH13" i="9"/>
  <c r="AH26" i="9"/>
  <c r="C34" i="9"/>
  <c r="I66" i="10"/>
  <c r="J7" i="6"/>
  <c r="AJ2" i="12"/>
  <c r="K27" i="9"/>
  <c r="AE24" i="12"/>
  <c r="K28" i="9"/>
  <c r="AE25" i="12"/>
  <c r="K15" i="9"/>
  <c r="AE12" i="12"/>
  <c r="K29" i="9"/>
  <c r="AE26" i="12"/>
  <c r="K12" i="9"/>
  <c r="AE9" i="12"/>
  <c r="K23" i="9"/>
  <c r="AE20" i="12"/>
  <c r="K14" i="9"/>
  <c r="AE11" i="12"/>
  <c r="K13" i="9"/>
  <c r="AE10" i="12"/>
  <c r="K22" i="9"/>
  <c r="AE19" i="12"/>
  <c r="K10" i="9"/>
  <c r="AE7" i="12"/>
  <c r="I7" i="9"/>
  <c r="AD4" i="12"/>
  <c r="K21" i="9"/>
  <c r="AE18" i="12"/>
  <c r="K9" i="9"/>
  <c r="AE6" i="12"/>
  <c r="I6" i="9"/>
  <c r="AD3" i="12"/>
  <c r="K20" i="9"/>
  <c r="AE17" i="12"/>
  <c r="K8" i="9"/>
  <c r="AE5" i="12"/>
  <c r="K19" i="9"/>
  <c r="AE16" i="12"/>
  <c r="K7" i="9"/>
  <c r="AE4" i="12"/>
  <c r="K32" i="9"/>
  <c r="AE29" i="12"/>
  <c r="K18" i="9"/>
  <c r="AE15" i="12"/>
  <c r="K6" i="9"/>
  <c r="AE3" i="12"/>
  <c r="K31" i="9"/>
  <c r="AE28" i="12"/>
  <c r="K17" i="9"/>
  <c r="AE14" i="12"/>
  <c r="K30" i="9"/>
  <c r="AE27" i="12"/>
  <c r="K16" i="9"/>
  <c r="AE13" i="12"/>
  <c r="Q1433" i="10"/>
  <c r="Q1395" i="10"/>
  <c r="G13" i="4"/>
  <c r="Q1936" i="10"/>
  <c r="Q614" i="10"/>
  <c r="G11" i="4"/>
  <c r="I17" i="4" s="1"/>
  <c r="H35" i="2"/>
  <c r="I30" i="13"/>
  <c r="Q889" i="10"/>
  <c r="Q118" i="10"/>
  <c r="Q2291" i="10"/>
  <c r="Q1532" i="10"/>
  <c r="Q1423" i="10"/>
  <c r="Q1325" i="10"/>
  <c r="Q1465" i="10"/>
  <c r="Q22" i="10"/>
  <c r="Q863" i="10"/>
  <c r="Q688" i="10"/>
  <c r="P2362" i="10"/>
  <c r="G18" i="4"/>
  <c r="G20" i="4"/>
  <c r="Q509" i="10"/>
  <c r="Q1254" i="10"/>
  <c r="Q1567" i="10"/>
  <c r="Q2049" i="10"/>
  <c r="Q1207" i="10"/>
  <c r="Q1037" i="10"/>
  <c r="H10" i="4"/>
  <c r="J10" i="4"/>
  <c r="Q1934" i="10"/>
  <c r="Q2092" i="10"/>
  <c r="Q779" i="10"/>
  <c r="P2361" i="10"/>
  <c r="Q1626" i="10"/>
  <c r="Q948" i="10"/>
  <c r="Q2349" i="10"/>
  <c r="Q1200" i="10"/>
  <c r="Q620" i="10"/>
  <c r="P7" i="10"/>
  <c r="Q540" i="10"/>
  <c r="Q2033" i="10"/>
  <c r="Q1548" i="10"/>
  <c r="Q1470" i="10"/>
  <c r="Q2121" i="10"/>
  <c r="G39" i="4"/>
  <c r="G27" i="4"/>
  <c r="Q2314" i="10"/>
  <c r="Q808" i="10"/>
  <c r="Q684" i="10"/>
  <c r="G23" i="4"/>
  <c r="Q2125" i="10"/>
  <c r="Q711" i="10"/>
  <c r="Q959" i="10"/>
  <c r="Q2328" i="10"/>
  <c r="Q2192" i="10"/>
  <c r="Q615" i="10"/>
  <c r="Q2104" i="10"/>
  <c r="Q1494" i="10"/>
  <c r="Q1756" i="10"/>
  <c r="Q693" i="10"/>
  <c r="Q520" i="10"/>
  <c r="Q456" i="10"/>
  <c r="Q106" i="10"/>
  <c r="Q153" i="10"/>
  <c r="Q2008" i="10"/>
  <c r="G34" i="4"/>
  <c r="Z41" i="2"/>
  <c r="BQ36" i="9" s="1"/>
  <c r="H26" i="4"/>
  <c r="G24" i="4"/>
  <c r="G35" i="4"/>
  <c r="G31" i="4"/>
  <c r="G15" i="4"/>
  <c r="C2370" i="10"/>
  <c r="G21" i="4"/>
  <c r="G29" i="4"/>
  <c r="G37" i="4"/>
  <c r="J2370" i="10"/>
  <c r="N2370" i="10"/>
  <c r="J2353" i="10"/>
  <c r="Q2157" i="10"/>
  <c r="Q1551" i="10"/>
  <c r="Q653" i="10"/>
  <c r="Q839" i="10"/>
  <c r="Q455" i="10"/>
  <c r="Q1034" i="10"/>
  <c r="Q2056" i="10"/>
  <c r="Q1689" i="10"/>
  <c r="Q2211" i="10"/>
  <c r="Q369" i="10"/>
  <c r="Q1231" i="10"/>
  <c r="Q216" i="10"/>
  <c r="P31" i="10"/>
  <c r="Q1407" i="10"/>
  <c r="Q1490" i="10"/>
  <c r="Q1673" i="10"/>
  <c r="Q2064" i="10"/>
  <c r="Q34" i="10"/>
  <c r="Q2254" i="10"/>
  <c r="Q1701" i="10"/>
  <c r="Q525" i="10"/>
  <c r="Q743" i="10"/>
  <c r="Q2363" i="10"/>
  <c r="X43" i="2"/>
  <c r="Q1130" i="10"/>
  <c r="P8" i="10"/>
  <c r="Q2232" i="10"/>
  <c r="Q2243" i="10"/>
  <c r="Q242" i="10"/>
  <c r="Q816" i="10"/>
  <c r="Q1421" i="10"/>
  <c r="Q977" i="10"/>
  <c r="Q479" i="10"/>
  <c r="H30" i="4"/>
  <c r="Q1708" i="10"/>
  <c r="Q637" i="10"/>
  <c r="Q2220" i="10"/>
  <c r="Q949" i="10"/>
  <c r="Q1261" i="10"/>
  <c r="Q82" i="10"/>
  <c r="Q1987" i="10"/>
  <c r="Q1468" i="10"/>
  <c r="Q1153" i="10"/>
  <c r="Q988" i="10"/>
  <c r="Q63" i="10"/>
  <c r="Q1416" i="10"/>
  <c r="Q2259" i="10"/>
  <c r="Q690" i="10"/>
  <c r="Q2071" i="10"/>
  <c r="Q552" i="10"/>
  <c r="Q505" i="10"/>
  <c r="Q2174" i="10"/>
  <c r="Q799" i="10"/>
  <c r="Q1326" i="10"/>
  <c r="Q836" i="10"/>
  <c r="Q1482" i="10"/>
  <c r="P17" i="10"/>
  <c r="Q2189" i="10"/>
  <c r="Q1679" i="10"/>
  <c r="Q1882" i="10"/>
  <c r="Q967" i="10"/>
  <c r="Q391" i="10"/>
  <c r="Q2057" i="10"/>
  <c r="Q1992" i="10"/>
  <c r="Q1769" i="10"/>
  <c r="Q2293" i="10"/>
  <c r="Q421" i="10"/>
  <c r="Q632" i="10"/>
  <c r="Q301" i="10"/>
  <c r="Q137" i="10"/>
  <c r="Q1691" i="10"/>
  <c r="P63" i="10"/>
  <c r="Q1663" i="10"/>
  <c r="Q1746" i="10"/>
  <c r="Q294" i="10"/>
  <c r="Q245" i="10"/>
  <c r="Q2210" i="10"/>
  <c r="Q516" i="10"/>
  <c r="Q881" i="10"/>
  <c r="Q2286" i="10"/>
  <c r="Q1765" i="10"/>
  <c r="Q2350" i="10"/>
  <c r="Q1834" i="10"/>
  <c r="Q871" i="10"/>
  <c r="Q439" i="10"/>
  <c r="Q874" i="10"/>
  <c r="Q1085" i="10"/>
  <c r="Q1976" i="10"/>
  <c r="Q1897" i="10"/>
  <c r="Q2309" i="10"/>
  <c r="Q357" i="10"/>
  <c r="Q696" i="10"/>
  <c r="Q2014" i="10"/>
  <c r="Q1510" i="10"/>
  <c r="Q2046" i="10"/>
  <c r="Q985" i="10"/>
  <c r="Q223" i="10"/>
  <c r="Q1644" i="10"/>
  <c r="Q2012" i="10"/>
  <c r="Q1021" i="10"/>
  <c r="Q1271" i="10"/>
  <c r="Q1013" i="10"/>
  <c r="Q2329" i="10"/>
  <c r="Q921" i="10"/>
  <c r="Q469" i="10"/>
  <c r="Q1257" i="10"/>
  <c r="Q847" i="10"/>
  <c r="Q1404" i="10"/>
  <c r="Q1045" i="10"/>
  <c r="Q2166" i="10"/>
  <c r="Q1126" i="10"/>
  <c r="Q2047" i="10"/>
  <c r="Q1288" i="10"/>
  <c r="Q2083" i="10"/>
  <c r="Q363" i="10"/>
  <c r="Q626" i="10"/>
  <c r="Q1815" i="10"/>
  <c r="Q1177" i="10"/>
  <c r="Q431" i="10"/>
  <c r="Q1121" i="10"/>
  <c r="Q785" i="10"/>
  <c r="Q1542" i="10"/>
  <c r="Q1004" i="10"/>
  <c r="Q524" i="10"/>
  <c r="Q1840" i="10"/>
  <c r="Q1994" i="10"/>
  <c r="G14" i="4"/>
  <c r="I27" i="4" s="1"/>
  <c r="H14" i="4"/>
  <c r="J14" i="4"/>
  <c r="P33" i="10"/>
  <c r="Q2221" i="10"/>
  <c r="Q1749" i="10"/>
  <c r="Q2315" i="10"/>
  <c r="Q1946" i="10"/>
  <c r="Q1223" i="10"/>
  <c r="Q327" i="10"/>
  <c r="Q702" i="10"/>
  <c r="Q1296" i="10"/>
  <c r="Q1928" i="10"/>
  <c r="Q2199" i="10"/>
  <c r="Q1089" i="10"/>
  <c r="Q165" i="10"/>
  <c r="Q864" i="10"/>
  <c r="Q972" i="10"/>
  <c r="Q265" i="10"/>
  <c r="Q1947" i="10"/>
  <c r="Q593" i="10"/>
  <c r="Q1805" i="10"/>
  <c r="Q1874" i="10"/>
  <c r="Q383" i="10"/>
  <c r="Q1956" i="10"/>
  <c r="Q1509" i="10"/>
  <c r="Q1552" i="10"/>
  <c r="Q625" i="10"/>
  <c r="Q2302" i="10"/>
  <c r="Q1893" i="10"/>
  <c r="Q2283" i="10"/>
  <c r="Q1898" i="10"/>
  <c r="Q1127" i="10"/>
  <c r="Q375" i="10"/>
  <c r="Q750" i="10"/>
  <c r="Q1203" i="10"/>
  <c r="Q1912" i="10"/>
  <c r="Q2255" i="10"/>
  <c r="Q833" i="10"/>
  <c r="Q101" i="10"/>
  <c r="Q2067" i="10"/>
  <c r="Q719" i="10"/>
  <c r="Q735" i="10"/>
  <c r="Q413" i="10"/>
  <c r="Q1471" i="10"/>
  <c r="Q503" i="10"/>
  <c r="G38" i="4"/>
  <c r="Q1628" i="10"/>
  <c r="Q1964" i="10"/>
  <c r="Q1397" i="10"/>
  <c r="Q1527" i="10"/>
  <c r="Q1205" i="10"/>
  <c r="P64" i="10"/>
  <c r="Q1287" i="10"/>
  <c r="Q277" i="10"/>
  <c r="Q1088" i="10"/>
  <c r="Q660" i="10"/>
  <c r="Q1340" i="10"/>
  <c r="Q1665" i="10"/>
  <c r="Q353" i="10"/>
  <c r="Q1062" i="10"/>
  <c r="Q1919" i="10"/>
  <c r="Q1059" i="10"/>
  <c r="Q274" i="10"/>
  <c r="Q299" i="10"/>
  <c r="Q562" i="10"/>
  <c r="Q1427" i="10"/>
  <c r="Q1399" i="10"/>
  <c r="Q390" i="10"/>
  <c r="Q2246" i="10"/>
  <c r="P51" i="10"/>
  <c r="Q2054" i="10"/>
  <c r="Q365" i="10"/>
  <c r="Q1208" i="10"/>
  <c r="Q2178" i="10"/>
  <c r="P18" i="10"/>
  <c r="Q157" i="10"/>
  <c r="Q1370" i="10"/>
  <c r="Q581" i="10"/>
  <c r="Q1933" i="10"/>
  <c r="Q2318" i="10"/>
  <c r="Q320" i="10"/>
  <c r="Q1036" i="10"/>
  <c r="Q2171" i="10"/>
  <c r="Q1580" i="10"/>
  <c r="Q1900" i="10"/>
  <c r="Q1461" i="10"/>
  <c r="Q1993" i="10"/>
  <c r="Q2348" i="10"/>
  <c r="Q1671" i="10"/>
  <c r="Q120" i="10"/>
  <c r="Q1056" i="10"/>
  <c r="Q617" i="10"/>
  <c r="Q1276" i="10"/>
  <c r="Q2327" i="10"/>
  <c r="Q1891" i="10"/>
  <c r="Q998" i="10"/>
  <c r="Q1791" i="10"/>
  <c r="Q1841" i="10"/>
  <c r="Q235" i="10"/>
  <c r="Q498" i="10"/>
  <c r="Q2368" i="10"/>
  <c r="Q1636" i="10"/>
  <c r="Q694" i="10"/>
  <c r="Q1954" i="10"/>
  <c r="Q2316" i="10"/>
  <c r="Q2207" i="10"/>
  <c r="Q2142" i="10"/>
  <c r="Q1843" i="10"/>
  <c r="Q2303" i="10"/>
  <c r="Q1647" i="10"/>
  <c r="Q105" i="10"/>
  <c r="P49" i="10"/>
  <c r="Q2250" i="10"/>
  <c r="Q1813" i="10"/>
  <c r="Q2010" i="10"/>
  <c r="Q263" i="10"/>
  <c r="Q638" i="10"/>
  <c r="Q1864" i="10"/>
  <c r="P22" i="10"/>
  <c r="Q1875" i="10"/>
  <c r="Q1531" i="10"/>
  <c r="Q393" i="10"/>
  <c r="Q1133" i="10"/>
  <c r="Q2002" i="10"/>
  <c r="Q127" i="10"/>
  <c r="Q1245" i="10"/>
  <c r="Q1680" i="10"/>
  <c r="Q252" i="10"/>
  <c r="Q2009" i="10"/>
  <c r="Q1962" i="10"/>
  <c r="Q1322" i="10"/>
  <c r="Q311" i="10"/>
  <c r="Q1848" i="10"/>
  <c r="P54" i="10"/>
  <c r="Q645" i="10"/>
  <c r="Q1007" i="10"/>
  <c r="Q1811" i="10"/>
  <c r="Q2345" i="10"/>
  <c r="Q1709" i="10"/>
  <c r="Q759" i="10"/>
  <c r="Q1361" i="10"/>
  <c r="Q1358" i="10"/>
  <c r="P65" i="10"/>
  <c r="Q2266" i="10"/>
  <c r="Q1877" i="10"/>
  <c r="Q1559" i="10"/>
  <c r="Q2074" i="10"/>
  <c r="Q1434" i="10"/>
  <c r="Q135" i="10"/>
  <c r="Q574" i="10"/>
  <c r="Q91" i="10"/>
  <c r="Q1736" i="10"/>
  <c r="Q92" i="10"/>
  <c r="Q837" i="10"/>
  <c r="Q2030" i="10"/>
  <c r="Q1547" i="10"/>
  <c r="Q1623" i="10"/>
  <c r="Q314" i="10"/>
  <c r="Q1069" i="10"/>
  <c r="Q1278" i="10"/>
  <c r="Q2153" i="10"/>
  <c r="Q2130" i="10"/>
  <c r="Q296" i="10"/>
  <c r="Q1895" i="10"/>
  <c r="Q733" i="10"/>
  <c r="Q1744" i="10"/>
  <c r="Q621" i="10"/>
  <c r="Q2334" i="10"/>
  <c r="Q2085" i="10"/>
  <c r="Q569" i="10"/>
  <c r="Q2026" i="10"/>
  <c r="Q1386" i="10"/>
  <c r="Q183" i="10"/>
  <c r="Q622" i="10"/>
  <c r="Q2364" i="10"/>
  <c r="Q1720" i="10"/>
  <c r="Q340" i="10"/>
  <c r="Q901" i="10"/>
  <c r="Q2158" i="10"/>
  <c r="Q1419" i="10"/>
  <c r="Q1739" i="10"/>
  <c r="Q169" i="10"/>
  <c r="Q1236" i="10"/>
  <c r="Q2093" i="10"/>
  <c r="Q1394" i="10"/>
  <c r="Q11" i="10"/>
  <c r="Q1884" i="10"/>
  <c r="Q1653" i="10"/>
  <c r="Q2279" i="10"/>
  <c r="Q1393" i="10"/>
  <c r="Q513" i="10"/>
  <c r="Q1937" i="10"/>
  <c r="Q559" i="10"/>
  <c r="Q960" i="10"/>
  <c r="Q941" i="10"/>
  <c r="Q1163" i="10"/>
  <c r="Q1493" i="10"/>
  <c r="Q1040" i="10"/>
  <c r="Q934" i="10"/>
  <c r="Q1635" i="10"/>
  <c r="Q587" i="10"/>
  <c r="Q853" i="10"/>
  <c r="Q171" i="10"/>
  <c r="Q382" i="10"/>
  <c r="Q1138" i="10"/>
  <c r="Q1312" i="10"/>
  <c r="Q1146" i="10"/>
  <c r="Q1698" i="10"/>
  <c r="Q2252" i="10"/>
  <c r="Q1723" i="10"/>
  <c r="Q672" i="10"/>
  <c r="Q664" i="10"/>
  <c r="Q1513" i="10"/>
  <c r="Q2149" i="10"/>
  <c r="Q1927" i="10"/>
  <c r="H22" i="4"/>
  <c r="J35" i="4" s="1"/>
  <c r="G22" i="4"/>
  <c r="Q1392" i="10"/>
  <c r="Q1079" i="10"/>
  <c r="Q1869" i="10"/>
  <c r="Q1495" i="10"/>
  <c r="Q991" i="10"/>
  <c r="Q1275" i="10"/>
  <c r="Q748" i="10"/>
  <c r="Q517" i="10"/>
  <c r="Q2136" i="10"/>
  <c r="Q24" i="10"/>
  <c r="Q59" i="10"/>
  <c r="Q718" i="10"/>
  <c r="Q423" i="10"/>
  <c r="Q551" i="10"/>
  <c r="Q1418" i="10"/>
  <c r="Q1930" i="10"/>
  <c r="Q220" i="10"/>
  <c r="Q1519" i="10"/>
  <c r="Q2117" i="10"/>
  <c r="Q2310" i="10"/>
  <c r="Q945" i="10"/>
  <c r="Q1726" i="10"/>
  <c r="Q644" i="10"/>
  <c r="Q1792" i="10"/>
  <c r="Q2144" i="10"/>
  <c r="P2345" i="10"/>
  <c r="Q1577" i="10"/>
  <c r="Q869" i="10"/>
  <c r="P36" i="10"/>
  <c r="Q1825" i="10"/>
  <c r="Q1582" i="10"/>
  <c r="Q306" i="10"/>
  <c r="Q1144" i="10"/>
  <c r="Q1779" i="10"/>
  <c r="Q728" i="10"/>
  <c r="Q465" i="10"/>
  <c r="Q575" i="10"/>
  <c r="Q1942" i="10"/>
  <c r="Q1803" i="10"/>
  <c r="Q1068" i="10"/>
  <c r="P2365" i="10"/>
  <c r="Q1886" i="10"/>
  <c r="Q704" i="10"/>
  <c r="Q410" i="10"/>
  <c r="Q441" i="10"/>
  <c r="Q185" i="10"/>
  <c r="Q671" i="10"/>
  <c r="Q1478" i="10"/>
  <c r="Q1990" i="10"/>
  <c r="P26" i="10"/>
  <c r="Q1787" i="10"/>
  <c r="Q1252" i="10"/>
  <c r="Q996" i="10"/>
  <c r="Q477" i="10"/>
  <c r="Q1918" i="10"/>
  <c r="Q657" i="10"/>
  <c r="P59" i="10"/>
  <c r="Q2324" i="10"/>
  <c r="Q2260" i="10"/>
  <c r="Q2145" i="10"/>
  <c r="Q1917" i="10"/>
  <c r="Q1631" i="10"/>
  <c r="Q761" i="10"/>
  <c r="P34" i="10"/>
  <c r="Q1565" i="10"/>
  <c r="Q1986" i="10"/>
  <c r="Q1730" i="10"/>
  <c r="Q1474" i="10"/>
  <c r="Q1175" i="10"/>
  <c r="Q663" i="10"/>
  <c r="Q143" i="10"/>
  <c r="Q399" i="10"/>
  <c r="Q326" i="10"/>
  <c r="Q662" i="10"/>
  <c r="Q1082" i="10"/>
  <c r="Q1959" i="10"/>
  <c r="Q1139" i="10"/>
  <c r="Q944" i="10"/>
  <c r="Q289" i="10"/>
  <c r="Q1870" i="10"/>
  <c r="Q1633" i="10"/>
  <c r="Q1764" i="10"/>
  <c r="Q1344" i="10"/>
  <c r="Q915" i="10"/>
  <c r="Q515" i="10"/>
  <c r="Q32" i="10"/>
  <c r="Q2103" i="10"/>
  <c r="Q1847" i="10"/>
  <c r="Q1491" i="10"/>
  <c r="Q2346" i="10"/>
  <c r="X40" i="2"/>
  <c r="Q1154" i="10"/>
  <c r="Q1026" i="10"/>
  <c r="Q898" i="10"/>
  <c r="Q770" i="10"/>
  <c r="Q698" i="10"/>
  <c r="Q634" i="10"/>
  <c r="Q570" i="10"/>
  <c r="Q506" i="10"/>
  <c r="Q398" i="10"/>
  <c r="Q270" i="10"/>
  <c r="Q142" i="10"/>
  <c r="Q14" i="10"/>
  <c r="Q435" i="10"/>
  <c r="Q371" i="10"/>
  <c r="Q307" i="10"/>
  <c r="Q243" i="10"/>
  <c r="Q179" i="10"/>
  <c r="Q115" i="10"/>
  <c r="Q9" i="10"/>
  <c r="Q392" i="10"/>
  <c r="Q1963" i="10"/>
  <c r="Q680" i="10"/>
  <c r="Q636" i="10"/>
  <c r="Q1479" i="10"/>
  <c r="Q597" i="10"/>
  <c r="Q1801" i="10"/>
  <c r="Q2116" i="10"/>
  <c r="Q1604" i="10"/>
  <c r="Q1432" i="10"/>
  <c r="Q1304" i="10"/>
  <c r="Q1091" i="10"/>
  <c r="Q835" i="10"/>
  <c r="Q603" i="10"/>
  <c r="Q464" i="10"/>
  <c r="Q208" i="10"/>
  <c r="Q2359" i="10"/>
  <c r="V43" i="2"/>
  <c r="V44" i="2"/>
  <c r="V45" i="2" s="1"/>
  <c r="Q55" i="10"/>
  <c r="Q2063" i="10"/>
  <c r="Q1935" i="10"/>
  <c r="Q1807" i="10"/>
  <c r="Q1667" i="10"/>
  <c r="Q1411" i="10"/>
  <c r="Q905" i="10"/>
  <c r="Q2366" i="10"/>
  <c r="Q1198" i="10"/>
  <c r="Q1134" i="10"/>
  <c r="Q1070" i="10"/>
  <c r="Q1006" i="10"/>
  <c r="Q942" i="10"/>
  <c r="Q878" i="10"/>
  <c r="Q814" i="10"/>
  <c r="Q1581" i="10"/>
  <c r="Q852" i="10"/>
  <c r="Q372" i="10"/>
  <c r="Q225" i="10"/>
  <c r="Q2019" i="10"/>
  <c r="Q1104" i="10"/>
  <c r="Q146" i="10"/>
  <c r="Q1742" i="10"/>
  <c r="Q1905" i="10"/>
  <c r="P56" i="10"/>
  <c r="Q917" i="10"/>
  <c r="Q1601" i="10"/>
  <c r="Q2263" i="10"/>
  <c r="Q1365" i="10"/>
  <c r="Q2036" i="10"/>
  <c r="Q1780" i="10"/>
  <c r="Q1540" i="10"/>
  <c r="Q1476" i="10"/>
  <c r="Q1412" i="10"/>
  <c r="Q1348" i="10"/>
  <c r="Q1284" i="10"/>
  <c r="Q1179" i="10"/>
  <c r="Q1051" i="10"/>
  <c r="Q923" i="10"/>
  <c r="Q795" i="10"/>
  <c r="Q667" i="10"/>
  <c r="Q1310" i="10"/>
  <c r="Q532" i="10"/>
  <c r="Q1212" i="10"/>
  <c r="P58" i="10"/>
  <c r="Q1462" i="10"/>
  <c r="Q193" i="10"/>
  <c r="Q426" i="10"/>
  <c r="Q2051" i="10"/>
  <c r="Q1387" i="10"/>
  <c r="Q1120" i="10"/>
  <c r="Q860" i="10"/>
  <c r="Q210" i="10"/>
  <c r="Q77" i="10"/>
  <c r="Q1678" i="10"/>
  <c r="Q332" i="10"/>
  <c r="Q1873" i="10"/>
  <c r="Q2249" i="10"/>
  <c r="P48" i="10"/>
  <c r="Q260" i="10"/>
  <c r="Q885" i="10"/>
  <c r="Q1329" i="10"/>
  <c r="Q1585" i="10"/>
  <c r="Q204" i="10"/>
  <c r="Q2247" i="10"/>
  <c r="Q276" i="10"/>
  <c r="Q1333" i="10"/>
  <c r="Q2172" i="10"/>
  <c r="Q2044" i="10"/>
  <c r="Q1916" i="10"/>
  <c r="Q1788" i="10"/>
  <c r="Q1660" i="10"/>
  <c r="Q986" i="10"/>
  <c r="Q95" i="10"/>
  <c r="Q1778" i="10"/>
  <c r="Q1145" i="10"/>
  <c r="Q2272" i="10"/>
  <c r="Q783" i="10"/>
  <c r="Q1782" i="10"/>
  <c r="Q567" i="10"/>
  <c r="Q1535" i="10"/>
  <c r="Q1638" i="10"/>
  <c r="Q908" i="10"/>
  <c r="Q1064" i="10"/>
  <c r="P2350" i="10"/>
  <c r="Q1477" i="10"/>
  <c r="Q64" i="10"/>
  <c r="F54" i="7" s="1"/>
  <c r="Q810" i="10"/>
  <c r="Q54" i="10"/>
  <c r="Q232" i="10"/>
  <c r="Q1354" i="10"/>
  <c r="Q1866" i="10"/>
  <c r="Q781" i="10"/>
  <c r="Q1391" i="10"/>
  <c r="Q2053" i="10"/>
  <c r="Q2294" i="10"/>
  <c r="Q1073" i="10"/>
  <c r="Q2110" i="10"/>
  <c r="Q418" i="10"/>
  <c r="Q1760" i="10"/>
  <c r="Q2096" i="10"/>
  <c r="Q212" i="10"/>
  <c r="Q1641" i="10"/>
  <c r="Q997" i="10"/>
  <c r="P2343" i="10"/>
  <c r="Q1953" i="10"/>
  <c r="Q1838" i="10"/>
  <c r="Q50" i="10"/>
  <c r="Q1080" i="10"/>
  <c r="Q1715" i="10"/>
  <c r="Q792" i="10"/>
  <c r="Q74" i="10"/>
  <c r="Q152" i="10"/>
  <c r="Q1814" i="10"/>
  <c r="Q1931" i="10"/>
  <c r="Q1132" i="10"/>
  <c r="Q258" i="10"/>
  <c r="Q1630" i="10"/>
  <c r="Q736" i="10"/>
  <c r="Q474" i="10"/>
  <c r="Q473" i="10"/>
  <c r="Q217" i="10"/>
  <c r="Q543" i="10"/>
  <c r="Q1414" i="10"/>
  <c r="Q1926" i="10"/>
  <c r="Q20" i="10"/>
  <c r="Q1851" i="10"/>
  <c r="Q2351" i="10"/>
  <c r="Q1028" i="10"/>
  <c r="Q226" i="10"/>
  <c r="Q1662" i="10"/>
  <c r="Q529" i="10"/>
  <c r="P2342" i="10"/>
  <c r="Q2332" i="10"/>
  <c r="Q2268" i="10"/>
  <c r="Q2161" i="10"/>
  <c r="Q1949" i="10"/>
  <c r="Q1693" i="10"/>
  <c r="Q1017" i="10"/>
  <c r="Q2299" i="10"/>
  <c r="Q1437" i="10"/>
  <c r="Q2018" i="10"/>
  <c r="Q1762" i="10"/>
  <c r="Q1506" i="10"/>
  <c r="Q1239" i="10"/>
  <c r="Q727" i="10"/>
  <c r="Q111" i="10"/>
  <c r="Q367" i="10"/>
  <c r="Q262" i="10"/>
  <c r="Q630" i="10"/>
  <c r="Q1018" i="10"/>
  <c r="Q1831" i="10"/>
  <c r="Q883" i="10"/>
  <c r="Q749" i="10"/>
  <c r="Q1270" i="10"/>
  <c r="Q376" i="10"/>
  <c r="Q1377" i="10"/>
  <c r="Q1892" i="10"/>
  <c r="Q1376" i="10"/>
  <c r="Q979" i="10"/>
  <c r="Q547" i="10"/>
  <c r="Q96" i="10"/>
  <c r="Q83" i="10"/>
  <c r="Q1879" i="10"/>
  <c r="Q1555" i="10"/>
  <c r="Q428" i="10"/>
  <c r="Q1170" i="10"/>
  <c r="Q1042" i="10"/>
  <c r="Q914" i="10"/>
  <c r="Q786" i="10"/>
  <c r="Q706" i="10"/>
  <c r="Q642" i="10"/>
  <c r="Q578" i="10"/>
  <c r="Q514" i="10"/>
  <c r="Q414" i="10"/>
  <c r="Q286" i="10"/>
  <c r="Q158" i="10"/>
  <c r="Q30" i="10"/>
  <c r="Q443" i="10"/>
  <c r="Q379" i="10"/>
  <c r="Q315" i="10"/>
  <c r="Q251" i="10"/>
  <c r="Q187" i="10"/>
  <c r="Q123" i="10"/>
  <c r="Q25" i="10"/>
  <c r="Q328" i="10"/>
  <c r="Q1129" i="10"/>
  <c r="Q362" i="10"/>
  <c r="Q880" i="10"/>
  <c r="Q1217" i="10"/>
  <c r="Q180" i="10"/>
  <c r="Q2180" i="10"/>
  <c r="Q2186" i="10"/>
  <c r="Q1668" i="10"/>
  <c r="Q1448" i="10"/>
  <c r="Q1320" i="10"/>
  <c r="Q1123" i="10"/>
  <c r="Q867" i="10"/>
  <c r="Q619" i="10"/>
  <c r="Q491" i="10"/>
  <c r="Q240" i="10"/>
  <c r="Q2347" i="10"/>
  <c r="Q47" i="10"/>
  <c r="Q2079" i="10"/>
  <c r="Q1951" i="10"/>
  <c r="Q1823" i="10"/>
  <c r="Q1695" i="10"/>
  <c r="Q1443" i="10"/>
  <c r="Q1033" i="10"/>
  <c r="Q6" i="10"/>
  <c r="C35" i="7" s="1"/>
  <c r="E39" i="7" s="1"/>
  <c r="Q1206" i="10"/>
  <c r="Q1142" i="10"/>
  <c r="Q1078" i="10"/>
  <c r="Q1014" i="10"/>
  <c r="Q950" i="10"/>
  <c r="Q886" i="10"/>
  <c r="Q822" i="10"/>
  <c r="Q758" i="10"/>
  <c r="Q596" i="10"/>
  <c r="Q729" i="10"/>
  <c r="Q97" i="10"/>
  <c r="Q856" i="10"/>
  <c r="Q1168" i="10"/>
  <c r="Q402" i="10"/>
  <c r="Q1486" i="10"/>
  <c r="Q1777" i="10"/>
  <c r="P24" i="10"/>
  <c r="Q789" i="10"/>
  <c r="Q1537" i="10"/>
  <c r="Q2151" i="10"/>
  <c r="Q1213" i="10"/>
  <c r="Q2068" i="10"/>
  <c r="Q1812" i="10"/>
  <c r="Q1556" i="10"/>
  <c r="Q1484" i="10"/>
  <c r="Q1420" i="10"/>
  <c r="Q1356" i="10"/>
  <c r="Q1292" i="10"/>
  <c r="Q1195" i="10"/>
  <c r="Q1067" i="10"/>
  <c r="Q939" i="10"/>
  <c r="Q811" i="10"/>
  <c r="Q683" i="10"/>
  <c r="Q1566" i="10"/>
  <c r="Q322" i="10"/>
  <c r="Q1148" i="10"/>
  <c r="Q1913" i="10"/>
  <c r="Q1590" i="10"/>
  <c r="Q129" i="10"/>
  <c r="Q298" i="10"/>
  <c r="Q2115" i="10"/>
  <c r="Q1515" i="10"/>
  <c r="Q1152" i="10"/>
  <c r="Q896" i="10"/>
  <c r="Q338" i="10"/>
  <c r="Q149" i="10"/>
  <c r="Q1550" i="10"/>
  <c r="Q1977" i="10"/>
  <c r="Q1809" i="10"/>
  <c r="Q2219" i="10"/>
  <c r="P32" i="10"/>
  <c r="Q52" i="10"/>
  <c r="Q821" i="10"/>
  <c r="Q1297" i="10"/>
  <c r="Q1553" i="10"/>
  <c r="Q2188" i="10"/>
  <c r="Q2183" i="10"/>
  <c r="Q348" i="10"/>
  <c r="Q1269" i="10"/>
  <c r="Q2202" i="10"/>
  <c r="Q2060" i="10"/>
  <c r="Q1932" i="10"/>
  <c r="Q1804" i="10"/>
  <c r="Q1676" i="10"/>
  <c r="Q191" i="10"/>
  <c r="Q268" i="10"/>
  <c r="Q2150" i="10"/>
  <c r="Q173" i="10"/>
  <c r="Q937" i="10"/>
  <c r="Q2277" i="10"/>
  <c r="Q669" i="10"/>
  <c r="Q531" i="10"/>
  <c r="Q938" i="10"/>
  <c r="Q182" i="10"/>
  <c r="Q2342" i="10"/>
  <c r="V40" i="2"/>
  <c r="V42" i="2"/>
  <c r="V41" i="2"/>
  <c r="Q1290" i="10"/>
  <c r="Q1802" i="10"/>
  <c r="Q1277" i="10"/>
  <c r="Q1263" i="10"/>
  <c r="Q1989" i="10"/>
  <c r="Q2278" i="10"/>
  <c r="P2351" i="10"/>
  <c r="Q2105" i="10"/>
  <c r="Q162" i="10"/>
  <c r="Q1712" i="10"/>
  <c r="Q2048" i="10"/>
  <c r="Q605" i="10"/>
  <c r="Q2224" i="10"/>
  <c r="Q1125" i="10"/>
  <c r="Q961" i="10"/>
  <c r="Q2081" i="10"/>
  <c r="Q2094" i="10"/>
  <c r="Q389" i="10"/>
  <c r="Q1016" i="10"/>
  <c r="Q1611" i="10"/>
  <c r="Q848" i="10"/>
  <c r="Q202" i="10"/>
  <c r="Q69" i="10"/>
  <c r="Q1686" i="10"/>
  <c r="Q2059" i="10"/>
  <c r="Q1196" i="10"/>
  <c r="Q500" i="10"/>
  <c r="Q1374" i="10"/>
  <c r="Q768" i="10"/>
  <c r="Q512" i="10"/>
  <c r="Q26" i="10"/>
  <c r="Q249" i="10"/>
  <c r="Q344" i="10"/>
  <c r="Q1350" i="10"/>
  <c r="Q1862" i="10"/>
  <c r="Q813" i="10"/>
  <c r="Q1915" i="10"/>
  <c r="Q745" i="10"/>
  <c r="Q1060" i="10"/>
  <c r="Q482" i="10"/>
  <c r="Q1406" i="10"/>
  <c r="Q316" i="10"/>
  <c r="P2349" i="10"/>
  <c r="P11" i="10"/>
  <c r="Q2276" i="10"/>
  <c r="Q2177" i="10"/>
  <c r="Q1981" i="10"/>
  <c r="Q1725" i="10"/>
  <c r="Q1233" i="10"/>
  <c r="Q2223" i="10"/>
  <c r="Q1309" i="10"/>
  <c r="Q2050" i="10"/>
  <c r="Q1794" i="10"/>
  <c r="Q1538" i="10"/>
  <c r="Q1282" i="10"/>
  <c r="Q791" i="10"/>
  <c r="Q65" i="10"/>
  <c r="C54" i="7"/>
  <c r="Q335" i="10"/>
  <c r="Q198" i="10"/>
  <c r="Q598" i="10"/>
  <c r="Q954" i="10"/>
  <c r="Q1703" i="10"/>
  <c r="Q627" i="10"/>
  <c r="Q284" i="10"/>
  <c r="Q1357" i="10"/>
  <c r="Q18" i="10"/>
  <c r="Q981" i="10"/>
  <c r="Q2020" i="10"/>
  <c r="Q1408" i="10"/>
  <c r="Q1043" i="10"/>
  <c r="Q579" i="10"/>
  <c r="Q160" i="10"/>
  <c r="Q67" i="10"/>
  <c r="Q1911" i="10"/>
  <c r="Q1619" i="10"/>
  <c r="Q713" i="10"/>
  <c r="Q1186" i="10"/>
  <c r="Q1058" i="10"/>
  <c r="Q930" i="10"/>
  <c r="Q802" i="10"/>
  <c r="Q714" i="10"/>
  <c r="Q650" i="10"/>
  <c r="Q586" i="10"/>
  <c r="Q522" i="10"/>
  <c r="Q430" i="10"/>
  <c r="Q302" i="10"/>
  <c r="Q174" i="10"/>
  <c r="Q46" i="10"/>
  <c r="Q451" i="10"/>
  <c r="Q387" i="10"/>
  <c r="Q323" i="10"/>
  <c r="Q259" i="10"/>
  <c r="Q195" i="10"/>
  <c r="Q131" i="10"/>
  <c r="Q41" i="10"/>
  <c r="Q264" i="10"/>
  <c r="Q1052" i="10"/>
  <c r="Q417" i="10"/>
  <c r="Q1008" i="10"/>
  <c r="Q2126" i="10"/>
  <c r="Q897" i="10"/>
  <c r="Q2244" i="10"/>
  <c r="Q1557" i="10"/>
  <c r="Q1732" i="10"/>
  <c r="Q1464" i="10"/>
  <c r="Q1336" i="10"/>
  <c r="Q1155" i="10"/>
  <c r="Q899" i="10"/>
  <c r="Q643" i="10"/>
  <c r="Q507" i="10"/>
  <c r="Q272" i="10"/>
  <c r="Q16" i="10"/>
  <c r="Q39" i="10"/>
  <c r="Q2095" i="10"/>
  <c r="Q1967" i="10"/>
  <c r="Q1839" i="10"/>
  <c r="Q1711" i="10"/>
  <c r="Q1475" i="10"/>
  <c r="Q1161" i="10"/>
  <c r="P2370" i="10"/>
  <c r="Q1214" i="10"/>
  <c r="Q1150" i="10"/>
  <c r="Q1086" i="10"/>
  <c r="Q1022" i="10"/>
  <c r="Q958" i="10"/>
  <c r="Q894" i="10"/>
  <c r="Q830" i="10"/>
  <c r="Q766" i="10"/>
  <c r="Q194" i="10"/>
  <c r="Q2091" i="10"/>
  <c r="Q511" i="10"/>
  <c r="Q744" i="10"/>
  <c r="Q1232" i="10"/>
  <c r="Q572" i="10"/>
  <c r="Q1199" i="10"/>
  <c r="Q1607" i="10"/>
  <c r="Q2321" i="10"/>
  <c r="Q661" i="10"/>
  <c r="Q1473" i="10"/>
  <c r="Q1929" i="10"/>
  <c r="Q957" i="10"/>
  <c r="Q2100" i="10"/>
  <c r="Q1844" i="10"/>
  <c r="Q1588" i="10"/>
  <c r="Q1492" i="10"/>
  <c r="Q1428" i="10"/>
  <c r="Q1364" i="10"/>
  <c r="Q1300" i="10"/>
  <c r="Q1211" i="10"/>
  <c r="Q1083" i="10"/>
  <c r="Q955" i="10"/>
  <c r="Q827" i="10"/>
  <c r="Q699" i="10"/>
  <c r="Q1822" i="10"/>
  <c r="Q66" i="10"/>
  <c r="Q1084" i="10"/>
  <c r="Q2027" i="10"/>
  <c r="Q1718" i="10"/>
  <c r="Q37" i="10"/>
  <c r="Q170" i="10"/>
  <c r="Q840" i="10"/>
  <c r="Q1643" i="10"/>
  <c r="Q1184" i="10"/>
  <c r="Q928" i="10"/>
  <c r="Q466" i="10"/>
  <c r="Q213" i="10"/>
  <c r="Q1422" i="10"/>
  <c r="Q993" i="10"/>
  <c r="Q1745" i="10"/>
  <c r="Q2187" i="10"/>
  <c r="P16" i="10"/>
  <c r="Q28" i="10"/>
  <c r="Q757" i="10"/>
  <c r="Q1265" i="10"/>
  <c r="Q1521" i="10"/>
  <c r="Q2204" i="10"/>
  <c r="Q2119" i="10"/>
  <c r="Q929" i="10"/>
  <c r="Q1149" i="10"/>
  <c r="Q2234" i="10"/>
  <c r="Q2076" i="10"/>
  <c r="Q1948" i="10"/>
  <c r="Q1820" i="10"/>
  <c r="Q1692" i="10"/>
  <c r="Q1564" i="10"/>
  <c r="Q1767" i="10"/>
  <c r="Q351" i="10"/>
  <c r="Q1522" i="10"/>
  <c r="Q2267" i="10"/>
  <c r="Q2169" i="10"/>
  <c r="Q444" i="10"/>
  <c r="Q1307" i="10"/>
  <c r="Q1247" i="10"/>
  <c r="Q560" i="10"/>
  <c r="P5" i="10"/>
  <c r="Q394" i="10"/>
  <c r="Q872" i="10"/>
  <c r="Q76" i="10"/>
  <c r="Q292" i="10"/>
  <c r="Q601" i="10"/>
  <c r="Q2168" i="10"/>
  <c r="Q1656" i="10"/>
  <c r="Q691" i="10"/>
  <c r="Q1002" i="10"/>
  <c r="Q246" i="10"/>
  <c r="Q119" i="10"/>
  <c r="Q1255" i="10"/>
  <c r="Q1770" i="10"/>
  <c r="Q1405" i="10"/>
  <c r="Q1081" i="10"/>
  <c r="Q1957" i="10"/>
  <c r="Q2270" i="10"/>
  <c r="P2344" i="10"/>
  <c r="Q1854" i="10"/>
  <c r="Q1616" i="10"/>
  <c r="Q2128" i="10"/>
  <c r="Q1705" i="10"/>
  <c r="Q585" i="10"/>
  <c r="Q255" i="10"/>
  <c r="Q1618" i="10"/>
  <c r="Q1687" i="10"/>
  <c r="Q2217" i="10"/>
  <c r="Q100" i="10"/>
  <c r="Q1001" i="10"/>
  <c r="Q1318" i="10"/>
  <c r="Q528" i="10"/>
  <c r="Q1228" i="10"/>
  <c r="Q266" i="10"/>
  <c r="Q904" i="10"/>
  <c r="Q2175" i="10"/>
  <c r="Q116" i="10"/>
  <c r="Q2184" i="10"/>
  <c r="Q2194" i="10"/>
  <c r="Q1672" i="10"/>
  <c r="Q819" i="10"/>
  <c r="Q906" i="10"/>
  <c r="Q150" i="10"/>
  <c r="Q49" i="10"/>
  <c r="Q1306" i="10"/>
  <c r="Q1818" i="10"/>
  <c r="Q1165" i="10"/>
  <c r="Q1295" i="10"/>
  <c r="Q2005" i="10"/>
  <c r="Q447" i="10"/>
  <c r="Q609" i="10"/>
  <c r="Q849" i="10"/>
  <c r="Q1367" i="10"/>
  <c r="Q476" i="10"/>
  <c r="Q1939" i="10"/>
  <c r="Q1985" i="10"/>
  <c r="Q2319" i="10"/>
  <c r="Q947" i="10"/>
  <c r="Q1066" i="10"/>
  <c r="Q310" i="10"/>
  <c r="Q103" i="10"/>
  <c r="Q1191" i="10"/>
  <c r="Q1738" i="10"/>
  <c r="Q1533" i="10"/>
  <c r="Q825" i="10"/>
  <c r="Q1925" i="10"/>
  <c r="Q2262" i="10"/>
  <c r="P61" i="10"/>
  <c r="Q132" i="10"/>
  <c r="Q381" i="10"/>
  <c r="Q1664" i="10"/>
  <c r="Q2016" i="10"/>
  <c r="Q989" i="10"/>
  <c r="Q2176" i="10"/>
  <c r="Q1253" i="10"/>
  <c r="Q412" i="10"/>
  <c r="Q2163" i="10"/>
  <c r="Q1005" i="10"/>
  <c r="Q261" i="10"/>
  <c r="Q952" i="10"/>
  <c r="Q1483" i="10"/>
  <c r="Q2099" i="10"/>
  <c r="Q330" i="10"/>
  <c r="Q145" i="10"/>
  <c r="Q1558" i="10"/>
  <c r="Q2143" i="10"/>
  <c r="Q1260" i="10"/>
  <c r="Q628" i="10"/>
  <c r="Q975" i="10"/>
  <c r="Q800" i="10"/>
  <c r="Q544" i="10"/>
  <c r="Q90" i="10"/>
  <c r="Q281" i="10"/>
  <c r="Q88" i="10"/>
  <c r="Q1286" i="10"/>
  <c r="Q1798" i="10"/>
  <c r="Q1293" i="10"/>
  <c r="Q1979" i="10"/>
  <c r="Q1225" i="10"/>
  <c r="Q1092" i="10"/>
  <c r="Q612" i="10"/>
  <c r="Q1039" i="10"/>
  <c r="Q60" i="10"/>
  <c r="Q2344" i="10"/>
  <c r="P19" i="10"/>
  <c r="Q2284" i="10"/>
  <c r="Q2193" i="10"/>
  <c r="Q2013" i="10"/>
  <c r="Q1757" i="10"/>
  <c r="Q1311" i="10"/>
  <c r="Q2073" i="10"/>
  <c r="Q1101" i="10"/>
  <c r="Q2082" i="10"/>
  <c r="Q1826" i="10"/>
  <c r="Q1570" i="10"/>
  <c r="Q1314" i="10"/>
  <c r="Q855" i="10"/>
  <c r="P2364" i="10"/>
  <c r="Q303" i="10"/>
  <c r="Q134" i="10"/>
  <c r="Q566" i="10"/>
  <c r="Q890" i="10"/>
  <c r="Q1459" i="10"/>
  <c r="Q499" i="10"/>
  <c r="Q2212" i="10"/>
  <c r="Q1180" i="10"/>
  <c r="Q764" i="10"/>
  <c r="Q452" i="10"/>
  <c r="Q2148" i="10"/>
  <c r="Q1440" i="10"/>
  <c r="Q1107" i="10"/>
  <c r="Q611" i="10"/>
  <c r="Q224" i="10"/>
  <c r="Q51" i="10"/>
  <c r="Q1943" i="10"/>
  <c r="Q1683" i="10"/>
  <c r="Q969" i="10"/>
  <c r="Q1202" i="10"/>
  <c r="Q1074" i="10"/>
  <c r="Q946" i="10"/>
  <c r="Q818" i="10"/>
  <c r="Q722" i="10"/>
  <c r="Q658" i="10"/>
  <c r="Q594" i="10"/>
  <c r="Q530" i="10"/>
  <c r="Q446" i="10"/>
  <c r="Q318" i="10"/>
  <c r="Q190" i="10"/>
  <c r="Q62" i="10"/>
  <c r="Q459" i="10"/>
  <c r="Q395" i="10"/>
  <c r="Q331" i="10"/>
  <c r="Q267" i="10"/>
  <c r="Q203" i="10"/>
  <c r="Q139" i="10"/>
  <c r="Q57" i="10"/>
  <c r="Q200" i="10"/>
  <c r="Q724" i="10"/>
  <c r="Q161" i="10"/>
  <c r="Q1136" i="10"/>
  <c r="Q1614" i="10"/>
  <c r="P40" i="10"/>
  <c r="Q1569" i="10"/>
  <c r="Q1301" i="10"/>
  <c r="Q1796" i="10"/>
  <c r="Q1480" i="10"/>
  <c r="Q1352" i="10"/>
  <c r="Q1187" i="10"/>
  <c r="Q931" i="10"/>
  <c r="Q675" i="10"/>
  <c r="Q523" i="10"/>
  <c r="Q304" i="10"/>
  <c r="Q48" i="10"/>
  <c r="Q31" i="10"/>
  <c r="Q2111" i="10"/>
  <c r="Q1983" i="10"/>
  <c r="Q1855" i="10"/>
  <c r="Q1727" i="10"/>
  <c r="Q1507" i="10"/>
  <c r="Q1241" i="10"/>
  <c r="Q44" i="10"/>
  <c r="Q1222" i="10"/>
  <c r="Q1158" i="10"/>
  <c r="Q1094" i="10"/>
  <c r="Q1030" i="10"/>
  <c r="Q966" i="10"/>
  <c r="Q902" i="10"/>
  <c r="Q838" i="10"/>
  <c r="Q774" i="10"/>
  <c r="Q333" i="10"/>
  <c r="Q1835" i="10"/>
  <c r="Q1023" i="10"/>
  <c r="Q616" i="10"/>
  <c r="Q553" i="10"/>
  <c r="Q700" i="10"/>
  <c r="Q687" i="10"/>
  <c r="Q1351" i="10"/>
  <c r="Q2289" i="10"/>
  <c r="Q533" i="10"/>
  <c r="Q1409" i="10"/>
  <c r="Q1655" i="10"/>
  <c r="Q701" i="10"/>
  <c r="Q2132" i="10"/>
  <c r="Q1876" i="10"/>
  <c r="Q1620" i="10"/>
  <c r="Q1500" i="10"/>
  <c r="Q1436" i="10"/>
  <c r="Q1372" i="10"/>
  <c r="Q1308" i="10"/>
  <c r="Q1227" i="10"/>
  <c r="Q1099" i="10"/>
  <c r="Q971" i="10"/>
  <c r="Q843" i="10"/>
  <c r="Q715" i="10"/>
  <c r="Q2078" i="10"/>
  <c r="Q397" i="10"/>
  <c r="Q1020" i="10"/>
  <c r="Q1899" i="10"/>
  <c r="Q1846" i="10"/>
  <c r="Q280" i="10"/>
  <c r="Q42" i="10"/>
  <c r="Q776" i="10"/>
  <c r="Q1731" i="10"/>
  <c r="Q1216" i="10"/>
  <c r="Q422" i="10"/>
  <c r="Q2214" i="10"/>
  <c r="P47" i="10"/>
  <c r="Q1563" i="10"/>
  <c r="Q624" i="10"/>
  <c r="Q568" i="10"/>
  <c r="Q1249" i="10"/>
  <c r="Q1591" i="10"/>
  <c r="Q1624" i="10"/>
  <c r="Q1360" i="10"/>
  <c r="Q1194" i="10"/>
  <c r="Q438" i="10"/>
  <c r="Q167" i="10"/>
  <c r="Q1063" i="10"/>
  <c r="Q1674" i="10"/>
  <c r="Q2198" i="10"/>
  <c r="Q140" i="10"/>
  <c r="Q1861" i="10"/>
  <c r="Q2245" i="10"/>
  <c r="P45" i="10"/>
  <c r="P2359" i="10"/>
  <c r="Q189" i="10"/>
  <c r="Q1632" i="10"/>
  <c r="Q1968" i="10"/>
  <c r="Q1317" i="10"/>
  <c r="Q1463" i="10"/>
  <c r="Q1321" i="10"/>
  <c r="Q228" i="10"/>
  <c r="Q2227" i="10"/>
  <c r="Q1721" i="10"/>
  <c r="Q133" i="10"/>
  <c r="Q888" i="10"/>
  <c r="Q1355" i="10"/>
  <c r="Q2035" i="10"/>
  <c r="Q458" i="10"/>
  <c r="Q209" i="10"/>
  <c r="Q1430" i="10"/>
  <c r="Q2369" i="10"/>
  <c r="Q2370" i="10"/>
  <c r="Q756" i="10"/>
  <c r="Q440" i="10"/>
  <c r="Q832" i="10"/>
  <c r="Q576" i="10"/>
  <c r="Q154" i="10"/>
  <c r="Q313" i="10"/>
  <c r="Q21" i="10"/>
  <c r="Q1183" i="10"/>
  <c r="Q1734" i="10"/>
  <c r="Q1549" i="10"/>
  <c r="Q2043" i="10"/>
  <c r="Q1371" i="10"/>
  <c r="Q1124" i="10"/>
  <c r="Q740" i="10"/>
  <c r="Q527" i="10"/>
  <c r="Q36" i="10"/>
  <c r="Q1169" i="10"/>
  <c r="P27" i="10"/>
  <c r="Q2292" i="10"/>
  <c r="Q2209" i="10"/>
  <c r="Q2045" i="10"/>
  <c r="Q1789" i="10"/>
  <c r="Q1375" i="10"/>
  <c r="Q1817" i="10"/>
  <c r="Q845" i="10"/>
  <c r="Q2114" i="10"/>
  <c r="Q1858" i="10"/>
  <c r="Q1602" i="10"/>
  <c r="Q1346" i="10"/>
  <c r="Q919" i="10"/>
  <c r="Q168" i="10"/>
  <c r="Q271" i="10"/>
  <c r="Q70" i="10"/>
  <c r="Q534" i="10"/>
  <c r="Q826" i="10"/>
  <c r="Q1097" i="10"/>
  <c r="Q256" i="10"/>
  <c r="Q1685" i="10"/>
  <c r="Q450" i="10"/>
  <c r="Q1072" i="10"/>
  <c r="P2347" i="10"/>
  <c r="Q1429" i="10"/>
  <c r="Q1472" i="10"/>
  <c r="Q1171" i="10"/>
  <c r="Q659" i="10"/>
  <c r="Q288" i="10"/>
  <c r="Q35" i="10"/>
  <c r="Q1975" i="10"/>
  <c r="Q1719" i="10"/>
  <c r="Q1209" i="10"/>
  <c r="Q1218" i="10"/>
  <c r="Q1090" i="10"/>
  <c r="Q962" i="10"/>
  <c r="Q834" i="10"/>
  <c r="Q730" i="10"/>
  <c r="Q666" i="10"/>
  <c r="Q602" i="10"/>
  <c r="Q538" i="10"/>
  <c r="Q462" i="10"/>
  <c r="Q334" i="10"/>
  <c r="Q206" i="10"/>
  <c r="Q78" i="10"/>
  <c r="Q467" i="10"/>
  <c r="Q403" i="10"/>
  <c r="Q339" i="10"/>
  <c r="Q275" i="10"/>
  <c r="Q211" i="10"/>
  <c r="Q147" i="10"/>
  <c r="Q73" i="10"/>
  <c r="Q136" i="10"/>
  <c r="Q461" i="10"/>
  <c r="Q767" i="10"/>
  <c r="P2353" i="10"/>
  <c r="Q943" i="10"/>
  <c r="Q2305" i="10"/>
  <c r="Q1441" i="10"/>
  <c r="Q829" i="10"/>
  <c r="Q1860" i="10"/>
  <c r="Q1496" i="10"/>
  <c r="Q1368" i="10"/>
  <c r="Q1219" i="10"/>
  <c r="Q963" i="10"/>
  <c r="Q707" i="10"/>
  <c r="Q539" i="10"/>
  <c r="Q336" i="10"/>
  <c r="Q80" i="10"/>
  <c r="Q23" i="10"/>
  <c r="Q87" i="10"/>
  <c r="Q1999" i="10"/>
  <c r="Q1871" i="10"/>
  <c r="Q1743" i="10"/>
  <c r="Q1539" i="10"/>
  <c r="Q1283" i="10"/>
  <c r="Q300" i="10"/>
  <c r="Q1230" i="10"/>
  <c r="Q1166" i="10"/>
  <c r="Q1102" i="10"/>
  <c r="Q1038" i="10"/>
  <c r="Q974" i="10"/>
  <c r="Q910" i="10"/>
  <c r="Q846" i="10"/>
  <c r="Q782" i="10"/>
  <c r="Q61" i="10"/>
  <c r="Q1467" i="10"/>
  <c r="Q1398" i="10"/>
  <c r="Q488" i="10"/>
  <c r="Q1323" i="10"/>
  <c r="Q828" i="10"/>
  <c r="Q13" i="10"/>
  <c r="Q665" i="10"/>
  <c r="Q2257" i="10"/>
  <c r="Q324" i="10"/>
  <c r="Q1345" i="10"/>
  <c r="Q857" i="10"/>
  <c r="Q404" i="10"/>
  <c r="Q2164" i="10"/>
  <c r="Q1908" i="10"/>
  <c r="Q1652" i="10"/>
  <c r="Q1508" i="10"/>
  <c r="Q1444" i="10"/>
  <c r="Q1380" i="10"/>
  <c r="Q1316" i="10"/>
  <c r="Q1243" i="10"/>
  <c r="Q1115" i="10"/>
  <c r="Q987" i="10"/>
  <c r="Q859" i="10"/>
  <c r="Q731" i="10"/>
  <c r="Q877" i="10"/>
  <c r="Q269" i="10"/>
  <c r="Q956" i="10"/>
  <c r="Q1771" i="10"/>
  <c r="Q1974" i="10"/>
  <c r="Q639" i="10"/>
  <c r="Q449" i="10"/>
  <c r="Q712" i="10"/>
  <c r="Q1795" i="10"/>
  <c r="Q1248" i="10"/>
  <c r="Q992" i="10"/>
  <c r="Q604" i="10"/>
  <c r="Q341" i="10"/>
  <c r="Q1071" i="10"/>
  <c r="Q2206" i="10"/>
  <c r="Q1543" i="10"/>
  <c r="Q2123" i="10"/>
  <c r="Q2313" i="10"/>
  <c r="Q769" i="10"/>
  <c r="Q629" i="10"/>
  <c r="Q1141" i="10"/>
  <c r="Q1457" i="10"/>
  <c r="Q2236" i="10"/>
  <c r="Q1865" i="10"/>
  <c r="P46" i="10"/>
  <c r="Q893" i="10"/>
  <c r="Q1589" i="10"/>
  <c r="Q2108" i="10"/>
  <c r="Q1980" i="10"/>
  <c r="Q1852" i="10"/>
  <c r="Q1724" i="10"/>
  <c r="Q1596" i="10"/>
  <c r="Q755" i="10"/>
  <c r="Q230" i="10"/>
  <c r="Q1266" i="10"/>
  <c r="Q1373" i="10"/>
  <c r="Q1965" i="10"/>
  <c r="P2346" i="10"/>
  <c r="Q1108" i="10"/>
  <c r="Q1766" i="10"/>
  <c r="Q122" i="10"/>
  <c r="Q692" i="10"/>
  <c r="Q177" i="10"/>
  <c r="Q1128" i="10"/>
  <c r="Q1646" i="10"/>
  <c r="P44" i="10"/>
  <c r="Q1593" i="10"/>
  <c r="Q1349" i="10"/>
  <c r="Q1784" i="10"/>
  <c r="Q1488" i="10"/>
  <c r="Q1258" i="10"/>
  <c r="Q494" i="10"/>
  <c r="Q247" i="10"/>
  <c r="Q999" i="10"/>
  <c r="Q1642" i="10"/>
  <c r="Q2154" i="10"/>
  <c r="Q1303" i="10"/>
  <c r="Q1829" i="10"/>
  <c r="Q2229" i="10"/>
  <c r="P37" i="10"/>
  <c r="Q68" i="10"/>
  <c r="Q772" i="10"/>
  <c r="Q2000" i="10"/>
  <c r="Q2335" i="10"/>
  <c r="Q128" i="10"/>
  <c r="Q38" i="10"/>
  <c r="Q1362" i="10"/>
  <c r="Q717" i="10"/>
  <c r="Q2061" i="10"/>
  <c r="Q1105" i="10"/>
  <c r="Q1076" i="10"/>
  <c r="Q1830" i="10"/>
  <c r="Q58" i="10"/>
  <c r="Q564" i="10"/>
  <c r="Q113" i="10"/>
  <c r="Q1160" i="10"/>
  <c r="Q1518" i="10"/>
  <c r="P28" i="10"/>
  <c r="Q1561" i="10"/>
  <c r="Q1285" i="10"/>
  <c r="Q1800" i="10"/>
  <c r="Q1572" i="10"/>
  <c r="Q1162" i="10"/>
  <c r="Q406" i="10"/>
  <c r="Q199" i="10"/>
  <c r="Q1095" i="10"/>
  <c r="Q1690" i="10"/>
  <c r="Q710" i="10"/>
  <c r="Q1938" i="10"/>
  <c r="Q2312" i="10"/>
  <c r="Q1172" i="10"/>
  <c r="Q250" i="10"/>
  <c r="Q305" i="10"/>
  <c r="Q1902" i="10"/>
  <c r="Q1657" i="10"/>
  <c r="Q1752" i="10"/>
  <c r="Q1828" i="10"/>
  <c r="Q841" i="10"/>
  <c r="Q526" i="10"/>
  <c r="Q231" i="10"/>
  <c r="Q935" i="10"/>
  <c r="Q1610" i="10"/>
  <c r="Q2122" i="10"/>
  <c r="Q1753" i="10"/>
  <c r="Q1797" i="10"/>
  <c r="Q2213" i="10"/>
  <c r="P29" i="10"/>
  <c r="Q380" i="10"/>
  <c r="Q29" i="10"/>
  <c r="Q1584" i="10"/>
  <c r="Q1920" i="10"/>
  <c r="Q1445" i="10"/>
  <c r="Q1961" i="10"/>
  <c r="Q1385" i="10"/>
  <c r="Q484" i="10"/>
  <c r="Q2269" i="10"/>
  <c r="Q1049" i="10"/>
  <c r="Q248" i="10"/>
  <c r="Q780" i="10"/>
  <c r="Q1193" i="10"/>
  <c r="Q1971" i="10"/>
  <c r="Q536" i="10"/>
  <c r="Q273" i="10"/>
  <c r="Q1302" i="10"/>
  <c r="Q1197" i="10"/>
  <c r="Q873" i="10"/>
  <c r="Q876" i="10"/>
  <c r="Q109" i="10"/>
  <c r="P42" i="10"/>
  <c r="Q608" i="10"/>
  <c r="Q218" i="10"/>
  <c r="Q345" i="10"/>
  <c r="Q85" i="10"/>
  <c r="Q1055" i="10"/>
  <c r="Q1670" i="10"/>
  <c r="Q2190" i="10"/>
  <c r="Q2107" i="10"/>
  <c r="Q1499" i="10"/>
  <c r="Q1156" i="10"/>
  <c r="Q868" i="10"/>
  <c r="Q93" i="10"/>
  <c r="Q164" i="10"/>
  <c r="Q1041" i="10"/>
  <c r="P35" i="10"/>
  <c r="Q2300" i="10"/>
  <c r="Q2225" i="10"/>
  <c r="Q2077" i="10"/>
  <c r="Q1821" i="10"/>
  <c r="Q1439" i="10"/>
  <c r="Q1431" i="10"/>
  <c r="Q589" i="10"/>
  <c r="Q2146" i="10"/>
  <c r="Q1890" i="10"/>
  <c r="Q1634" i="10"/>
  <c r="Q1378" i="10"/>
  <c r="Q983" i="10"/>
  <c r="Q424" i="10"/>
  <c r="Q239" i="10"/>
  <c r="P2358" i="10"/>
  <c r="Q502" i="10"/>
  <c r="Q762" i="10"/>
  <c r="Q5" i="10"/>
  <c r="C34" i="7"/>
  <c r="E38" i="7" s="1"/>
  <c r="P2363" i="10"/>
  <c r="Q1700" i="10"/>
  <c r="Q1438" i="10"/>
  <c r="Q1065" i="10"/>
  <c r="Q2273" i="10"/>
  <c r="Q573" i="10"/>
  <c r="Q1504" i="10"/>
  <c r="Q1235" i="10"/>
  <c r="Q723" i="10"/>
  <c r="Q352" i="10"/>
  <c r="Q19" i="10"/>
  <c r="Q2007" i="10"/>
  <c r="Q1751" i="10"/>
  <c r="Q1299" i="10"/>
  <c r="Q1234" i="10"/>
  <c r="Q1106" i="10"/>
  <c r="Q978" i="10"/>
  <c r="Q850" i="10"/>
  <c r="Q738" i="10"/>
  <c r="Q674" i="10"/>
  <c r="Q610" i="10"/>
  <c r="Q546" i="10"/>
  <c r="Q478" i="10"/>
  <c r="Q350" i="10"/>
  <c r="Q222" i="10"/>
  <c r="Q94" i="10"/>
  <c r="Q475" i="10"/>
  <c r="Q411" i="10"/>
  <c r="Q347" i="10"/>
  <c r="Q283" i="10"/>
  <c r="Q219" i="10"/>
  <c r="Q155" i="10"/>
  <c r="Q89" i="10"/>
  <c r="Q72" i="10"/>
  <c r="Q591" i="10"/>
  <c r="Q1526" i="10"/>
  <c r="Q1451" i="10"/>
  <c r="Q117" i="10"/>
  <c r="Q2235" i="10"/>
  <c r="Q1313" i="10"/>
  <c r="Q84" i="10"/>
  <c r="Q1924" i="10"/>
  <c r="Q1512" i="10"/>
  <c r="Q1384" i="10"/>
  <c r="Q1251" i="10"/>
  <c r="Q995" i="10"/>
  <c r="Q739" i="10"/>
  <c r="Q555" i="10"/>
  <c r="Q368" i="10"/>
  <c r="Q112" i="10"/>
  <c r="Q15" i="10"/>
  <c r="Q79" i="10"/>
  <c r="Q2015" i="10"/>
  <c r="Q1887" i="10"/>
  <c r="Q1759" i="10"/>
  <c r="Q1571" i="10"/>
  <c r="Q1315" i="10"/>
  <c r="Q521" i="10"/>
  <c r="Q1238" i="10"/>
  <c r="Q1174" i="10"/>
  <c r="Q1110" i="10"/>
  <c r="Q1046" i="10"/>
  <c r="Q982" i="10"/>
  <c r="Q918" i="10"/>
  <c r="Q854" i="10"/>
  <c r="Q790" i="10"/>
  <c r="Q1103" i="10"/>
  <c r="Q1244" i="10"/>
  <c r="Q1654" i="10"/>
  <c r="Q234" i="10"/>
  <c r="Q1579" i="10"/>
  <c r="Q912" i="10"/>
  <c r="Q181" i="10"/>
  <c r="Q2275" i="10"/>
  <c r="Q2203" i="10"/>
  <c r="Q2358" i="10"/>
  <c r="T43" i="2"/>
  <c r="T44" i="2"/>
  <c r="Q1281" i="10"/>
  <c r="Q2196" i="10"/>
  <c r="Q673" i="10"/>
  <c r="Q2218" i="10"/>
  <c r="Q1940" i="10"/>
  <c r="Q1684" i="10"/>
  <c r="Q1516" i="10"/>
  <c r="Q1452" i="10"/>
  <c r="Q1388" i="10"/>
  <c r="Q1324" i="10"/>
  <c r="Q1259" i="10"/>
  <c r="Q1131" i="10"/>
  <c r="Q1003" i="10"/>
  <c r="Q875" i="10"/>
  <c r="Q747" i="10"/>
  <c r="Q2239" i="10"/>
  <c r="Q141" i="10"/>
  <c r="Q892" i="10"/>
  <c r="Q1595" i="10"/>
  <c r="Q2102" i="10"/>
  <c r="Q895" i="10"/>
  <c r="Q385" i="10"/>
  <c r="Q648" i="10"/>
  <c r="Q1859" i="10"/>
  <c r="Q108" i="10"/>
  <c r="Q1024" i="10"/>
  <c r="Q668" i="10"/>
  <c r="Q405" i="10"/>
  <c r="Q815" i="10"/>
  <c r="Q2062" i="10"/>
  <c r="Q1415" i="10"/>
  <c r="Q2065" i="10"/>
  <c r="Q2297" i="10"/>
  <c r="Q1025" i="10"/>
  <c r="Q565" i="10"/>
  <c r="Q1077" i="10"/>
  <c r="Q1425" i="10"/>
  <c r="Q1681" i="10"/>
  <c r="Q1737" i="10"/>
  <c r="P14" i="10"/>
  <c r="Q765" i="10"/>
  <c r="Q1525" i="10"/>
  <c r="Q2124" i="10"/>
  <c r="Q1996" i="10"/>
  <c r="Q1868" i="10"/>
  <c r="Q1740" i="10"/>
  <c r="Q1612" i="10"/>
  <c r="Q1520" i="10"/>
  <c r="Q486" i="10"/>
  <c r="Q1015" i="10"/>
  <c r="Q2162" i="10"/>
  <c r="Q1837" i="10"/>
  <c r="P39" i="10"/>
  <c r="Q980" i="10"/>
  <c r="Q2022" i="10"/>
  <c r="Q425" i="10"/>
  <c r="Q429" i="10"/>
  <c r="Q703" i="10"/>
  <c r="Q1178" i="10"/>
  <c r="Q1682" i="10"/>
  <c r="Q2248" i="10"/>
  <c r="Q900" i="10"/>
  <c r="Q361" i="10"/>
  <c r="Q1215" i="10"/>
  <c r="Q495" i="10"/>
  <c r="Q1401" i="10"/>
  <c r="Q1880" i="10"/>
  <c r="Q1505" i="10"/>
  <c r="Q1651" i="10"/>
  <c r="Q590" i="10"/>
  <c r="Q295" i="10"/>
  <c r="Q807" i="10"/>
  <c r="Q1546" i="10"/>
  <c r="Q2058" i="10"/>
  <c r="Q2191" i="10"/>
  <c r="Q1733" i="10"/>
  <c r="Q2181" i="10"/>
  <c r="P13" i="10"/>
  <c r="Q561" i="10"/>
  <c r="Q911" i="10"/>
  <c r="Q916" i="10"/>
  <c r="Q1888" i="10"/>
  <c r="Q1637" i="10"/>
  <c r="Q2231" i="10"/>
  <c r="Q1449" i="10"/>
  <c r="Q613" i="10"/>
  <c r="Q2301" i="10"/>
  <c r="Q1447" i="10"/>
  <c r="Q879" i="10"/>
  <c r="Q652" i="10"/>
  <c r="P6" i="10"/>
  <c r="Q1907" i="10"/>
  <c r="Q600" i="10"/>
  <c r="Q337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F66" i="10"/>
  <c r="M66" i="10"/>
  <c r="E2353" i="10"/>
  <c r="M2353" i="10"/>
  <c r="C2353" i="10"/>
  <c r="C37" i="1"/>
  <c r="C38" i="1"/>
  <c r="G37" i="1"/>
  <c r="G38" i="1" s="1"/>
  <c r="BR42" i="1"/>
  <c r="O2368" i="10"/>
  <c r="G32" i="4"/>
  <c r="G28" i="4"/>
  <c r="J66" i="10"/>
  <c r="F2370" i="10"/>
  <c r="H66" i="10"/>
  <c r="E2370" i="10"/>
  <c r="E33" i="7"/>
  <c r="G40" i="4"/>
  <c r="G36" i="4"/>
  <c r="D2370" i="10"/>
  <c r="C66" i="10"/>
  <c r="G16" i="4"/>
  <c r="G12" i="4"/>
  <c r="BQ43" i="1"/>
  <c r="L66" i="10"/>
  <c r="D2353" i="10"/>
  <c r="O38" i="2"/>
  <c r="R33" i="9"/>
  <c r="G2353" i="10"/>
  <c r="J15" i="4"/>
  <c r="E45" i="7"/>
  <c r="E51" i="7"/>
  <c r="BO36" i="9"/>
  <c r="F2353" i="10"/>
  <c r="L2353" i="10"/>
  <c r="S38" i="2"/>
  <c r="C22" i="7"/>
  <c r="E25" i="7"/>
  <c r="J13" i="4"/>
  <c r="J11" i="4"/>
  <c r="J16" i="4"/>
  <c r="O2366" i="10"/>
  <c r="I2370" i="10"/>
  <c r="I2353" i="10"/>
  <c r="K2353" i="10"/>
  <c r="O2349" i="10"/>
  <c r="O2353" i="10"/>
  <c r="H2353" i="10"/>
  <c r="D66" i="10"/>
  <c r="G38" i="2"/>
  <c r="U37" i="1"/>
  <c r="U38" i="1"/>
  <c r="S37" i="1"/>
  <c r="S38" i="1"/>
  <c r="K5" i="9"/>
  <c r="E38" i="2"/>
  <c r="I5" i="9"/>
  <c r="C38" i="2"/>
  <c r="I33" i="9"/>
  <c r="BM44" i="1"/>
  <c r="H12" i="2"/>
  <c r="W12" i="2" s="1"/>
  <c r="BN10" i="9" s="1"/>
  <c r="G25" i="9"/>
  <c r="BR39" i="1"/>
  <c r="BL39" i="1"/>
  <c r="BL40" i="1" s="1"/>
  <c r="BN40" i="1" s="1"/>
  <c r="BL41" i="1"/>
  <c r="D6" i="10"/>
  <c r="O6" i="10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/>
  <c r="E37" i="7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4" i="9"/>
  <c r="E35" i="9"/>
  <c r="G6" i="9"/>
  <c r="H34" i="2"/>
  <c r="I29" i="13" s="1"/>
  <c r="E6" i="9"/>
  <c r="C9" i="9"/>
  <c r="G32" i="9"/>
  <c r="E31" i="9"/>
  <c r="E30" i="9"/>
  <c r="E29" i="9"/>
  <c r="E27" i="9"/>
  <c r="E26" i="9"/>
  <c r="E25" i="9"/>
  <c r="E24" i="9"/>
  <c r="E22" i="9"/>
  <c r="E21" i="9"/>
  <c r="E20" i="9"/>
  <c r="E19" i="9"/>
  <c r="E18" i="9"/>
  <c r="E14" i="9"/>
  <c r="E13" i="9"/>
  <c r="E12" i="9"/>
  <c r="E10" i="9"/>
  <c r="E9" i="9"/>
  <c r="E7" i="9"/>
  <c r="E8" i="9"/>
  <c r="E5" i="9"/>
  <c r="BQ41" i="1"/>
  <c r="BQ40" i="1"/>
  <c r="BR40" i="1" s="1"/>
  <c r="BS40" i="1"/>
  <c r="AW5" i="9"/>
  <c r="BS42" i="1"/>
  <c r="BL43" i="1"/>
  <c r="BP43" i="1"/>
  <c r="BO44" i="1"/>
  <c r="BN42" i="1"/>
  <c r="BL44" i="1"/>
  <c r="BQ44" i="1"/>
  <c r="H28" i="2"/>
  <c r="AH19" i="9"/>
  <c r="H24" i="2"/>
  <c r="W24" i="2" s="1"/>
  <c r="BN22" i="9" s="1"/>
  <c r="H16" i="2"/>
  <c r="P14" i="9" s="1"/>
  <c r="H26" i="2"/>
  <c r="W26" i="2" s="1"/>
  <c r="BN24" i="9" s="1"/>
  <c r="H14" i="2"/>
  <c r="H18" i="2"/>
  <c r="I13" i="13" s="1"/>
  <c r="I20" i="6"/>
  <c r="AH9" i="9"/>
  <c r="AH15" i="9"/>
  <c r="H9" i="2"/>
  <c r="W9" i="2" s="1"/>
  <c r="BN7" i="9" s="1"/>
  <c r="BN39" i="1"/>
  <c r="H30" i="2"/>
  <c r="AH28" i="9"/>
  <c r="H22" i="2"/>
  <c r="X22" i="2" s="1"/>
  <c r="E17" i="9"/>
  <c r="H19" i="2"/>
  <c r="H15" i="2"/>
  <c r="H21" i="2"/>
  <c r="W21" i="2" s="1"/>
  <c r="BN19" i="9" s="1"/>
  <c r="E15" i="9"/>
  <c r="H10" i="2"/>
  <c r="AH6" i="9"/>
  <c r="E38" i="6"/>
  <c r="H32" i="2"/>
  <c r="Q32" i="2" s="1"/>
  <c r="AG38" i="1"/>
  <c r="H36" i="2"/>
  <c r="W36" i="2" s="1"/>
  <c r="V38" i="2"/>
  <c r="V39" i="2" s="1"/>
  <c r="H33" i="2"/>
  <c r="H29" i="2"/>
  <c r="H23" i="2"/>
  <c r="U23" i="2" s="1"/>
  <c r="G38" i="6"/>
  <c r="H20" i="2"/>
  <c r="I15" i="13" s="1"/>
  <c r="I13" i="9"/>
  <c r="AH8" i="9"/>
  <c r="H7" i="2"/>
  <c r="I2" i="13"/>
  <c r="H13" i="2"/>
  <c r="U13" i="2" s="1"/>
  <c r="BM11" i="9" s="1"/>
  <c r="H25" i="2"/>
  <c r="P23" i="9" s="1"/>
  <c r="H11" i="2"/>
  <c r="I6" i="13"/>
  <c r="H17" i="2"/>
  <c r="AI38" i="1"/>
  <c r="H31" i="2"/>
  <c r="I26" i="13"/>
  <c r="H27" i="2"/>
  <c r="X27" i="2" s="1"/>
  <c r="C38" i="6"/>
  <c r="AH23" i="9"/>
  <c r="M38" i="1"/>
  <c r="T38" i="2"/>
  <c r="BG38" i="1"/>
  <c r="AX38" i="1"/>
  <c r="AA38" i="1"/>
  <c r="H13" i="11"/>
  <c r="I13" i="11"/>
  <c r="H8" i="2"/>
  <c r="I3" i="13" s="1"/>
  <c r="AJ5" i="9"/>
  <c r="A51" i="6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33" i="4"/>
  <c r="J36" i="4" s="1"/>
  <c r="G33" i="4"/>
  <c r="I36" i="4" s="1"/>
  <c r="H25" i="4"/>
  <c r="G25" i="4"/>
  <c r="I32" i="4" s="1"/>
  <c r="H17" i="4"/>
  <c r="J18" i="4" s="1"/>
  <c r="G17" i="4"/>
  <c r="I30" i="4" s="1"/>
  <c r="K2370" i="10"/>
  <c r="D51" i="7"/>
  <c r="C35" i="9"/>
  <c r="W35" i="2"/>
  <c r="X35" i="2"/>
  <c r="Y35" i="2"/>
  <c r="Q35" i="2"/>
  <c r="S39" i="2"/>
  <c r="U35" i="2"/>
  <c r="BO38" i="9"/>
  <c r="J12" i="4"/>
  <c r="Z35" i="2"/>
  <c r="T45" i="2"/>
  <c r="I8" i="13"/>
  <c r="U10" i="2"/>
  <c r="BM8" i="9"/>
  <c r="I5" i="13"/>
  <c r="P12" i="9"/>
  <c r="I9" i="13"/>
  <c r="X23" i="2"/>
  <c r="I18" i="13"/>
  <c r="P20" i="9"/>
  <c r="I4" i="13"/>
  <c r="I19" i="13"/>
  <c r="X12" i="2"/>
  <c r="Z12" i="2" s="1"/>
  <c r="BQ10" i="9" s="1"/>
  <c r="I7" i="13"/>
  <c r="U27" i="2"/>
  <c r="BM25" i="9" s="1"/>
  <c r="Q20" i="2"/>
  <c r="X18" i="9"/>
  <c r="Q29" i="2"/>
  <c r="X27" i="9"/>
  <c r="I24" i="13"/>
  <c r="I16" i="13"/>
  <c r="X15" i="2"/>
  <c r="I10" i="13"/>
  <c r="U16" i="2"/>
  <c r="BM14" i="9"/>
  <c r="I12" i="13"/>
  <c r="W19" i="2"/>
  <c r="BN17" i="9"/>
  <c r="I14" i="13"/>
  <c r="P28" i="9"/>
  <c r="I25" i="13"/>
  <c r="X18" i="2"/>
  <c r="Y18" i="2" s="1"/>
  <c r="BP16" i="9" s="1"/>
  <c r="Z18" i="2"/>
  <c r="BQ16" i="9"/>
  <c r="I23" i="13"/>
  <c r="I31" i="13"/>
  <c r="P30" i="9"/>
  <c r="I27" i="13"/>
  <c r="P32" i="9"/>
  <c r="O66" i="10"/>
  <c r="Q7" i="2"/>
  <c r="X5" i="9"/>
  <c r="Q12" i="2"/>
  <c r="X10" i="9"/>
  <c r="U12" i="2"/>
  <c r="BM10" i="9" s="1"/>
  <c r="P10" i="9"/>
  <c r="U24" i="2"/>
  <c r="BM22" i="9"/>
  <c r="BP39" i="1"/>
  <c r="W34" i="2"/>
  <c r="BN32" i="9" s="1"/>
  <c r="Q34" i="2"/>
  <c r="X32" i="9" s="1"/>
  <c r="Q24" i="2"/>
  <c r="X22" i="9"/>
  <c r="P22" i="9"/>
  <c r="W16" i="2"/>
  <c r="BN14" i="9" s="1"/>
  <c r="BN43" i="1"/>
  <c r="BL16" i="1"/>
  <c r="BQ16" i="1"/>
  <c r="BS16" i="1" s="1"/>
  <c r="Q16" i="2"/>
  <c r="X14" i="9"/>
  <c r="X14" i="2"/>
  <c r="BO12" i="9"/>
  <c r="W14" i="2"/>
  <c r="BN12" i="9"/>
  <c r="Q18" i="2"/>
  <c r="X16" i="9" s="1"/>
  <c r="BL13" i="1"/>
  <c r="E9" i="13" s="1"/>
  <c r="BQ13" i="1"/>
  <c r="BS13" i="1" s="1"/>
  <c r="U18" i="2"/>
  <c r="BM16" i="9" s="1"/>
  <c r="U14" i="2"/>
  <c r="BM12" i="9"/>
  <c r="Q14" i="2"/>
  <c r="X12" i="9" s="1"/>
  <c r="P16" i="9"/>
  <c r="W18" i="2"/>
  <c r="BN16" i="9" s="1"/>
  <c r="X30" i="2"/>
  <c r="W30" i="2"/>
  <c r="BN28" i="9"/>
  <c r="Q30" i="2"/>
  <c r="X28" i="9"/>
  <c r="P13" i="9"/>
  <c r="Q22" i="2"/>
  <c r="X20" i="9" s="1"/>
  <c r="U9" i="2"/>
  <c r="BM7" i="9"/>
  <c r="Q13" i="2"/>
  <c r="X11" i="9"/>
  <c r="P17" i="9"/>
  <c r="U19" i="2"/>
  <c r="BM17" i="9" s="1"/>
  <c r="U22" i="2"/>
  <c r="BM20" i="9" s="1"/>
  <c r="Z22" i="2"/>
  <c r="BQ20" i="9"/>
  <c r="U30" i="2"/>
  <c r="BM28" i="9"/>
  <c r="U21" i="2"/>
  <c r="BM19" i="9"/>
  <c r="BL29" i="1"/>
  <c r="BQ29" i="1"/>
  <c r="Q19" i="2"/>
  <c r="X17" i="9"/>
  <c r="X19" i="2"/>
  <c r="Y19" i="2"/>
  <c r="BP17" i="9"/>
  <c r="W15" i="2"/>
  <c r="BN13" i="9"/>
  <c r="U15" i="2"/>
  <c r="BM13" i="9" s="1"/>
  <c r="Q15" i="2"/>
  <c r="X13" i="9"/>
  <c r="X21" i="2"/>
  <c r="X10" i="2"/>
  <c r="Y10" i="2" s="1"/>
  <c r="BP8" i="9" s="1"/>
  <c r="W10" i="2"/>
  <c r="BN8" i="9" s="1"/>
  <c r="P8" i="9"/>
  <c r="Q10" i="2"/>
  <c r="X8" i="9"/>
  <c r="U32" i="2"/>
  <c r="BM30" i="9" s="1"/>
  <c r="W29" i="2"/>
  <c r="BN27" i="9" s="1"/>
  <c r="X30" i="9"/>
  <c r="X33" i="2"/>
  <c r="Z33" i="2" s="1"/>
  <c r="BQ31" i="9" s="1"/>
  <c r="W32" i="2"/>
  <c r="BN30" i="9" s="1"/>
  <c r="Q25" i="2"/>
  <c r="X23" i="9" s="1"/>
  <c r="W33" i="2"/>
  <c r="BN31" i="9" s="1"/>
  <c r="U7" i="2"/>
  <c r="BM5" i="9" s="1"/>
  <c r="BL30" i="1"/>
  <c r="BQ30" i="1"/>
  <c r="BR30" i="1" s="1"/>
  <c r="P31" i="9"/>
  <c r="X29" i="2"/>
  <c r="Q33" i="2"/>
  <c r="X31" i="9" s="1"/>
  <c r="U36" i="2"/>
  <c r="Q36" i="2"/>
  <c r="P11" i="9"/>
  <c r="E39" i="2"/>
  <c r="K33" i="9" s="1"/>
  <c r="P27" i="9"/>
  <c r="U29" i="2"/>
  <c r="BM27" i="9"/>
  <c r="X20" i="2"/>
  <c r="P21" i="9"/>
  <c r="Q23" i="2"/>
  <c r="X21" i="9" s="1"/>
  <c r="BM21" i="9"/>
  <c r="W23" i="2"/>
  <c r="BN21" i="9" s="1"/>
  <c r="P18" i="9"/>
  <c r="X17" i="2"/>
  <c r="Z17" i="2" s="1"/>
  <c r="BQ15" i="9" s="1"/>
  <c r="Y17" i="2"/>
  <c r="BP15" i="9" s="1"/>
  <c r="X7" i="2"/>
  <c r="BO5" i="9" s="1"/>
  <c r="W7" i="2"/>
  <c r="BN5" i="9" s="1"/>
  <c r="P5" i="9"/>
  <c r="U17" i="2"/>
  <c r="BM15" i="9" s="1"/>
  <c r="P15" i="9"/>
  <c r="Q11" i="2"/>
  <c r="X9" i="9" s="1"/>
  <c r="P9" i="9"/>
  <c r="X11" i="2"/>
  <c r="Y11" i="2" s="1"/>
  <c r="W11" i="2"/>
  <c r="BN9" i="9" s="1"/>
  <c r="U11" i="2"/>
  <c r="BM9" i="9"/>
  <c r="BL14" i="1"/>
  <c r="BQ14" i="1"/>
  <c r="T39" i="2"/>
  <c r="G39" i="2"/>
  <c r="Q38" i="1"/>
  <c r="W31" i="2"/>
  <c r="BN29" i="9"/>
  <c r="P29" i="9"/>
  <c r="X31" i="2"/>
  <c r="U31" i="2"/>
  <c r="BM29" i="9"/>
  <c r="Q31" i="2"/>
  <c r="X29" i="9" s="1"/>
  <c r="P25" i="9"/>
  <c r="Q27" i="2"/>
  <c r="X25" i="9" s="1"/>
  <c r="BL22" i="1"/>
  <c r="C39" i="6"/>
  <c r="AH34" i="9" s="1"/>
  <c r="C39" i="2"/>
  <c r="I34" i="9"/>
  <c r="O39" i="2"/>
  <c r="R34" i="9"/>
  <c r="G39" i="6"/>
  <c r="J42" i="6"/>
  <c r="AJ37" i="9" s="1"/>
  <c r="J37" i="4"/>
  <c r="I38" i="4"/>
  <c r="I34" i="4"/>
  <c r="BL7" i="1"/>
  <c r="E18" i="13"/>
  <c r="BQ22" i="1"/>
  <c r="BS22" i="1" s="1"/>
  <c r="Y23" i="2"/>
  <c r="BP21" i="9" s="1"/>
  <c r="BO16" i="9"/>
  <c r="BO10" i="9"/>
  <c r="E26" i="13"/>
  <c r="BS14" i="1"/>
  <c r="E10" i="13"/>
  <c r="E25" i="13"/>
  <c r="E12" i="13"/>
  <c r="BP22" i="1"/>
  <c r="Y14" i="2"/>
  <c r="BP12" i="9" s="1"/>
  <c r="BP13" i="1"/>
  <c r="Z14" i="2"/>
  <c r="BQ12" i="9"/>
  <c r="BN13" i="1"/>
  <c r="Z21" i="2"/>
  <c r="BQ19" i="9" s="1"/>
  <c r="BO17" i="9"/>
  <c r="Z19" i="2"/>
  <c r="BQ17" i="9" s="1"/>
  <c r="BO31" i="9"/>
  <c r="BS30" i="1"/>
  <c r="BO8" i="9"/>
  <c r="Z10" i="2"/>
  <c r="BQ8" i="9"/>
  <c r="Y33" i="2"/>
  <c r="BP31" i="9"/>
  <c r="BO25" i="9"/>
  <c r="BP14" i="1"/>
  <c r="BN30" i="1"/>
  <c r="BO15" i="9"/>
  <c r="Z20" i="2"/>
  <c r="BQ18" i="9" s="1"/>
  <c r="BP30" i="1"/>
  <c r="BO27" i="9"/>
  <c r="BN14" i="1"/>
  <c r="BQ5" i="9"/>
  <c r="Y7" i="2"/>
  <c r="BP5" i="9" s="1"/>
  <c r="Z11" i="2"/>
  <c r="BQ9" i="9" s="1"/>
  <c r="BP9" i="9"/>
  <c r="BN22" i="1"/>
  <c r="Y31" i="2"/>
  <c r="BP29" i="9" s="1"/>
  <c r="Z31" i="2"/>
  <c r="BQ29" i="9"/>
  <c r="BO29" i="9"/>
  <c r="BQ7" i="1"/>
  <c r="BS7" i="1" s="1"/>
  <c r="BR14" i="1"/>
  <c r="BR16" i="1"/>
  <c r="BR7" i="1"/>
  <c r="BE35" i="1"/>
  <c r="BB35" i="1"/>
  <c r="BC35" i="1" s="1"/>
  <c r="BE34" i="1"/>
  <c r="Y30" i="12" s="1"/>
  <c r="BE33" i="1"/>
  <c r="BB33" i="1"/>
  <c r="X29" i="12" s="1"/>
  <c r="BB34" i="1"/>
  <c r="X30" i="12" s="1"/>
  <c r="X31" i="12"/>
  <c r="Y29" i="12"/>
  <c r="Y31" i="12"/>
  <c r="E3" i="13" l="1"/>
  <c r="BP7" i="1"/>
  <c r="BN7" i="1"/>
  <c r="Z30" i="2"/>
  <c r="BQ28" i="9" s="1"/>
  <c r="Y30" i="2"/>
  <c r="BP28" i="9" s="1"/>
  <c r="BO13" i="9"/>
  <c r="Y15" i="2"/>
  <c r="BP13" i="9" s="1"/>
  <c r="Z15" i="2"/>
  <c r="BQ13" i="9" s="1"/>
  <c r="BO18" i="9"/>
  <c r="Y20" i="2"/>
  <c r="BP18" i="9" s="1"/>
  <c r="BO19" i="9"/>
  <c r="Y21" i="2"/>
  <c r="BP19" i="9" s="1"/>
  <c r="BR29" i="1"/>
  <c r="BS29" i="1"/>
  <c r="Z23" i="2"/>
  <c r="BQ21" i="9" s="1"/>
  <c r="BO21" i="9"/>
  <c r="E27" i="11"/>
  <c r="F27" i="11" s="1"/>
  <c r="AH33" i="9"/>
  <c r="W28" i="2"/>
  <c r="BN26" i="9" s="1"/>
  <c r="P26" i="9"/>
  <c r="X28" i="2"/>
  <c r="Q28" i="2"/>
  <c r="X26" i="9" s="1"/>
  <c r="U28" i="2"/>
  <c r="BM26" i="9" s="1"/>
  <c r="O2369" i="10"/>
  <c r="BC34" i="1"/>
  <c r="BL34" i="1" s="1"/>
  <c r="BE37" i="1"/>
  <c r="BE38" i="1" s="1"/>
  <c r="BR22" i="1"/>
  <c r="BO9" i="9"/>
  <c r="BP40" i="1"/>
  <c r="Y12" i="2"/>
  <c r="BP10" i="9" s="1"/>
  <c r="BR13" i="1"/>
  <c r="I28" i="4"/>
  <c r="J40" i="4"/>
  <c r="U8" i="2"/>
  <c r="BM6" i="9" s="1"/>
  <c r="BN29" i="1"/>
  <c r="BP29" i="1"/>
  <c r="U26" i="2"/>
  <c r="BM24" i="9" s="1"/>
  <c r="BP16" i="1"/>
  <c r="BN16" i="1"/>
  <c r="I14" i="4"/>
  <c r="Z27" i="2"/>
  <c r="BQ25" i="9" s="1"/>
  <c r="Y27" i="2"/>
  <c r="BP25" i="9" s="1"/>
  <c r="W17" i="2"/>
  <c r="BN15" i="9" s="1"/>
  <c r="Q17" i="2"/>
  <c r="X15" i="9" s="1"/>
  <c r="F34" i="11"/>
  <c r="G34" i="11" s="1"/>
  <c r="G35" i="11" s="1"/>
  <c r="E39" i="6"/>
  <c r="BO20" i="9"/>
  <c r="Y22" i="2"/>
  <c r="BP20" i="9" s="1"/>
  <c r="BR43" i="1"/>
  <c r="BS43" i="1"/>
  <c r="Z43" i="2"/>
  <c r="BQ38" i="9" s="1"/>
  <c r="Y43" i="2"/>
  <c r="BP38" i="9" s="1"/>
  <c r="X44" i="2"/>
  <c r="X45" i="2"/>
  <c r="BO40" i="9" s="1"/>
  <c r="I31" i="4"/>
  <c r="I40" i="4"/>
  <c r="I39" i="4"/>
  <c r="I35" i="4"/>
  <c r="I10" i="4"/>
  <c r="I19" i="4"/>
  <c r="I11" i="4"/>
  <c r="I15" i="4"/>
  <c r="I12" i="4"/>
  <c r="I13" i="4"/>
  <c r="I23" i="4"/>
  <c r="I20" i="4"/>
  <c r="I22" i="4"/>
  <c r="I21" i="4"/>
  <c r="Q8" i="2"/>
  <c r="W8" i="2"/>
  <c r="BN6" i="9" s="1"/>
  <c r="Y40" i="2"/>
  <c r="BP35" i="9" s="1"/>
  <c r="Z40" i="2"/>
  <c r="BQ35" i="9" s="1"/>
  <c r="BO35" i="9"/>
  <c r="BC33" i="1"/>
  <c r="BL33" i="1" s="1"/>
  <c r="BO28" i="9"/>
  <c r="I18" i="4"/>
  <c r="I24" i="4"/>
  <c r="E42" i="4"/>
  <c r="C38" i="7" s="1"/>
  <c r="E42" i="7" s="1"/>
  <c r="X8" i="2"/>
  <c r="P6" i="9"/>
  <c r="Z29" i="2"/>
  <c r="BQ27" i="9" s="1"/>
  <c r="Y29" i="2"/>
  <c r="BP27" i="9" s="1"/>
  <c r="I16" i="4"/>
  <c r="I28" i="13"/>
  <c r="U33" i="2"/>
  <c r="BM31" i="9" s="1"/>
  <c r="O2370" i="10"/>
  <c r="I29" i="4"/>
  <c r="E37" i="1"/>
  <c r="E38" i="1" s="1"/>
  <c r="I25" i="4"/>
  <c r="I26" i="4"/>
  <c r="I20" i="13"/>
  <c r="X25" i="2"/>
  <c r="U25" i="2"/>
  <c r="BM23" i="9" s="1"/>
  <c r="W25" i="2"/>
  <c r="BN23" i="9" s="1"/>
  <c r="I21" i="13"/>
  <c r="Q26" i="2"/>
  <c r="X24" i="9" s="1"/>
  <c r="X26" i="2"/>
  <c r="P24" i="9"/>
  <c r="J34" i="4"/>
  <c r="J33" i="4"/>
  <c r="J38" i="4"/>
  <c r="J25" i="4"/>
  <c r="W27" i="2"/>
  <c r="BN25" i="9" s="1"/>
  <c r="X32" i="2"/>
  <c r="P19" i="9"/>
  <c r="P7" i="9"/>
  <c r="U34" i="2"/>
  <c r="BM32" i="9" s="1"/>
  <c r="X34" i="2"/>
  <c r="I22" i="13"/>
  <c r="X13" i="2"/>
  <c r="I37" i="4"/>
  <c r="J17" i="4"/>
  <c r="W20" i="2"/>
  <c r="BN18" i="9" s="1"/>
  <c r="W13" i="2"/>
  <c r="BN11" i="9" s="1"/>
  <c r="X36" i="2"/>
  <c r="U20" i="2"/>
  <c r="BM18" i="9" s="1"/>
  <c r="Q21" i="2"/>
  <c r="X19" i="9" s="1"/>
  <c r="W22" i="2"/>
  <c r="BN20" i="9" s="1"/>
  <c r="Q9" i="2"/>
  <c r="X7" i="9" s="1"/>
  <c r="X9" i="2"/>
  <c r="X16" i="2"/>
  <c r="X24" i="2"/>
  <c r="I33" i="4"/>
  <c r="I11" i="13"/>
  <c r="I17" i="13"/>
  <c r="H19" i="4"/>
  <c r="J19" i="4" s="1"/>
  <c r="BC5" i="1"/>
  <c r="BC18" i="1"/>
  <c r="BL18" i="1" s="1"/>
  <c r="X14" i="12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X4" i="12"/>
  <c r="BC8" i="1"/>
  <c r="BL8" i="1" s="1"/>
  <c r="C29" i="9"/>
  <c r="C12" i="9"/>
  <c r="G23" i="9"/>
  <c r="G19" i="9"/>
  <c r="AT24" i="9"/>
  <c r="BC26" i="1"/>
  <c r="AL11" i="1"/>
  <c r="AL19" i="1"/>
  <c r="BL19" i="1" s="1"/>
  <c r="AL27" i="1"/>
  <c r="BL27" i="1" s="1"/>
  <c r="AL35" i="1"/>
  <c r="BL35" i="1" s="1"/>
  <c r="AL26" i="1"/>
  <c r="BB5" i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G54" i="11" s="1"/>
  <c r="C23" i="9"/>
  <c r="G35" i="9"/>
  <c r="AT16" i="9"/>
  <c r="AT8" i="9"/>
  <c r="I14" i="6"/>
  <c r="J27" i="6"/>
  <c r="AJ25" i="9" s="1"/>
  <c r="BC28" i="1"/>
  <c r="BL28" i="1" s="1"/>
  <c r="BC23" i="1"/>
  <c r="BL23" i="1" s="1"/>
  <c r="BC20" i="1"/>
  <c r="BL20" i="1" s="1"/>
  <c r="BC31" i="1"/>
  <c r="BL31" i="1" s="1"/>
  <c r="BC10" i="1"/>
  <c r="BL10" i="1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G43" i="1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BB36" i="1"/>
  <c r="X32" i="12" s="1"/>
  <c r="I32" i="13" l="1"/>
  <c r="Q37" i="2"/>
  <c r="U37" i="2"/>
  <c r="W37" i="2"/>
  <c r="X37" i="2"/>
  <c r="E19" i="13"/>
  <c r="BN23" i="1"/>
  <c r="BQ23" i="1"/>
  <c r="BP23" i="1"/>
  <c r="D13" i="11"/>
  <c r="E13" i="11" s="1"/>
  <c r="J38" i="1"/>
  <c r="E31" i="13"/>
  <c r="BP35" i="1"/>
  <c r="BN35" i="1"/>
  <c r="BQ35" i="1"/>
  <c r="BC21" i="1"/>
  <c r="BL21" i="1" s="1"/>
  <c r="BN28" i="1"/>
  <c r="BP28" i="1"/>
  <c r="E24" i="13"/>
  <c r="BQ28" i="1"/>
  <c r="BC24" i="1"/>
  <c r="BL24" i="1" s="1"/>
  <c r="X20" i="12"/>
  <c r="BC6" i="1"/>
  <c r="X2" i="12"/>
  <c r="BB37" i="1"/>
  <c r="BB38" i="1" s="1"/>
  <c r="BC9" i="1"/>
  <c r="BL9" i="1" s="1"/>
  <c r="X5" i="12"/>
  <c r="E16" i="13"/>
  <c r="BQ20" i="1"/>
  <c r="BP20" i="1"/>
  <c r="BN20" i="1"/>
  <c r="I38" i="6"/>
  <c r="BC25" i="1"/>
  <c r="BL25" i="1" s="1"/>
  <c r="X21" i="12"/>
  <c r="BL26" i="1"/>
  <c r="BL11" i="1"/>
  <c r="AL37" i="1"/>
  <c r="BQ18" i="1"/>
  <c r="BP18" i="1"/>
  <c r="E14" i="13"/>
  <c r="BN18" i="1"/>
  <c r="J38" i="6"/>
  <c r="Y24" i="2"/>
  <c r="BP22" i="9" s="1"/>
  <c r="Z24" i="2"/>
  <c r="BQ22" i="9" s="1"/>
  <c r="BO22" i="9"/>
  <c r="Z34" i="2"/>
  <c r="BQ32" i="9" s="1"/>
  <c r="Y34" i="2"/>
  <c r="BP32" i="9" s="1"/>
  <c r="BO32" i="9"/>
  <c r="Z32" i="2"/>
  <c r="BQ30" i="9" s="1"/>
  <c r="BO30" i="9"/>
  <c r="Y32" i="2"/>
  <c r="BP30" i="9" s="1"/>
  <c r="J28" i="4"/>
  <c r="Z8" i="2"/>
  <c r="BQ6" i="9" s="1"/>
  <c r="X38" i="2"/>
  <c r="Y8" i="2"/>
  <c r="BP6" i="9" s="1"/>
  <c r="BO6" i="9"/>
  <c r="H38" i="2"/>
  <c r="Z16" i="2"/>
  <c r="BQ14" i="9" s="1"/>
  <c r="BO14" i="9"/>
  <c r="Y16" i="2"/>
  <c r="BP14" i="9" s="1"/>
  <c r="G5" i="13"/>
  <c r="K38" i="6"/>
  <c r="BC15" i="1"/>
  <c r="BL15" i="1" s="1"/>
  <c r="X11" i="12"/>
  <c r="BQ27" i="1"/>
  <c r="BN27" i="1"/>
  <c r="E23" i="13"/>
  <c r="BP27" i="1"/>
  <c r="BC32" i="1"/>
  <c r="BL32" i="1" s="1"/>
  <c r="BC17" i="1"/>
  <c r="BL17" i="1" s="1"/>
  <c r="Z9" i="2"/>
  <c r="BQ7" i="9" s="1"/>
  <c r="Y9" i="2"/>
  <c r="BP7" i="9" s="1"/>
  <c r="BO7" i="9"/>
  <c r="J23" i="4"/>
  <c r="BO11" i="9"/>
  <c r="Z13" i="2"/>
  <c r="BQ11" i="9" s="1"/>
  <c r="Y13" i="2"/>
  <c r="BP11" i="9" s="1"/>
  <c r="Z26" i="2"/>
  <c r="BQ24" i="9" s="1"/>
  <c r="Y26" i="2"/>
  <c r="BP24" i="9" s="1"/>
  <c r="BO24" i="9"/>
  <c r="X6" i="9"/>
  <c r="Q38" i="2"/>
  <c r="Y44" i="2"/>
  <c r="BP39" i="9" s="1"/>
  <c r="Z44" i="2"/>
  <c r="BQ39" i="9" s="1"/>
  <c r="BO39" i="9"/>
  <c r="E29" i="13"/>
  <c r="BP33" i="1"/>
  <c r="BQ33" i="1"/>
  <c r="BN33" i="1"/>
  <c r="BN10" i="1"/>
  <c r="E6" i="13"/>
  <c r="BP10" i="1"/>
  <c r="BQ10" i="1"/>
  <c r="G4" i="12"/>
  <c r="K37" i="1"/>
  <c r="K38" i="1" s="1"/>
  <c r="BC36" i="1"/>
  <c r="BL36" i="1" s="1"/>
  <c r="BP31" i="1"/>
  <c r="BQ31" i="1"/>
  <c r="E27" i="13"/>
  <c r="BN31" i="1"/>
  <c r="BC12" i="1"/>
  <c r="BL12" i="1" s="1"/>
  <c r="X8" i="12"/>
  <c r="E15" i="13"/>
  <c r="BQ19" i="1"/>
  <c r="BP19" i="1"/>
  <c r="BN19" i="1"/>
  <c r="BQ8" i="1"/>
  <c r="BP8" i="1"/>
  <c r="BN8" i="1"/>
  <c r="E4" i="13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5" i="2"/>
  <c r="BP23" i="9" s="1"/>
  <c r="BO23" i="9"/>
  <c r="Z25" i="2"/>
  <c r="BQ23" i="9" s="1"/>
  <c r="BP34" i="1"/>
  <c r="E30" i="13"/>
  <c r="BN34" i="1"/>
  <c r="BQ34" i="1"/>
  <c r="Y28" i="2"/>
  <c r="BP26" i="9" s="1"/>
  <c r="Z28" i="2"/>
  <c r="BQ26" i="9" s="1"/>
  <c r="BO26" i="9"/>
  <c r="BQ36" i="1" l="1"/>
  <c r="BN36" i="1"/>
  <c r="BP36" i="1"/>
  <c r="E32" i="13"/>
  <c r="BR31" i="1"/>
  <c r="BS31" i="1"/>
  <c r="BS19" i="1"/>
  <c r="BR19" i="1"/>
  <c r="BS8" i="1"/>
  <c r="BR8" i="1"/>
  <c r="E11" i="13"/>
  <c r="BN15" i="1"/>
  <c r="BP15" i="1"/>
  <c r="BQ15" i="1"/>
  <c r="BN11" i="1"/>
  <c r="BQ11" i="1"/>
  <c r="BP11" i="1"/>
  <c r="E7" i="13"/>
  <c r="BR28" i="1"/>
  <c r="BS28" i="1"/>
  <c r="BP21" i="1"/>
  <c r="E17" i="13"/>
  <c r="BN21" i="1"/>
  <c r="BQ21" i="1"/>
  <c r="BR23" i="1"/>
  <c r="BS23" i="1"/>
  <c r="X33" i="9"/>
  <c r="Q39" i="2"/>
  <c r="X34" i="9" s="1"/>
  <c r="BQ26" i="1"/>
  <c r="BP26" i="1"/>
  <c r="BN26" i="1"/>
  <c r="E22" i="13"/>
  <c r="E8" i="13"/>
  <c r="BQ12" i="1"/>
  <c r="BN12" i="1"/>
  <c r="BP12" i="1"/>
  <c r="BS10" i="1"/>
  <c r="BR10" i="1"/>
  <c r="E28" i="13"/>
  <c r="BN32" i="1"/>
  <c r="BQ32" i="1"/>
  <c r="BP32" i="1"/>
  <c r="BS27" i="1"/>
  <c r="BR27" i="1"/>
  <c r="X39" i="2"/>
  <c r="C43" i="7"/>
  <c r="E47" i="7" s="1"/>
  <c r="Z38" i="2"/>
  <c r="BQ33" i="9" s="1"/>
  <c r="BO33" i="9"/>
  <c r="Y38" i="2"/>
  <c r="BP33" i="9" s="1"/>
  <c r="J39" i="6"/>
  <c r="AJ34" i="9" s="1"/>
  <c r="AJ33" i="9"/>
  <c r="BS18" i="1"/>
  <c r="BR18" i="1"/>
  <c r="BN9" i="1"/>
  <c r="BQ9" i="1"/>
  <c r="BP9" i="1"/>
  <c r="E5" i="13"/>
  <c r="BR34" i="1"/>
  <c r="BS34" i="1"/>
  <c r="BQ17" i="1"/>
  <c r="BN17" i="1"/>
  <c r="E13" i="13"/>
  <c r="BP17" i="1"/>
  <c r="BC37" i="1"/>
  <c r="F13" i="11" s="1"/>
  <c r="G13" i="11" s="1"/>
  <c r="BL6" i="1"/>
  <c r="BS35" i="1"/>
  <c r="BR35" i="1"/>
  <c r="BS33" i="1"/>
  <c r="BR33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S20" i="1"/>
  <c r="BR20" i="1"/>
  <c r="BQ24" i="1"/>
  <c r="BN24" i="1"/>
  <c r="BP24" i="1"/>
  <c r="E20" i="13"/>
  <c r="Z37" i="2"/>
  <c r="Y37" i="2"/>
  <c r="BS9" i="1" l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Z39" i="2"/>
  <c r="BQ34" i="9" s="1"/>
  <c r="Y39" i="2"/>
  <c r="BP34" i="9" s="1"/>
  <c r="BO34" i="9"/>
  <c r="BS32" i="1"/>
  <c r="BR32" i="1"/>
  <c r="BS26" i="1"/>
  <c r="BR26" i="1"/>
  <c r="BR36" i="1"/>
  <c r="BS36" i="1"/>
  <c r="BQ37" i="1" l="1"/>
  <c r="BS6" i="1"/>
  <c r="BR6" i="1"/>
  <c r="K13" i="11"/>
  <c r="BN37" i="1"/>
  <c r="BP37" i="1"/>
  <c r="BL38" i="1"/>
  <c r="BN38" i="1" l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<sst xmlns="http://schemas.openxmlformats.org/spreadsheetml/2006/main" count="886" uniqueCount="412">
  <si>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</si>
  <si>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</si>
  <si>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</si>
  <si>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</si>
  <si>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</si>
  <si>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</si>
  <si>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</si>
  <si>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</si>
  <si>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</si>
  <si>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</si>
  <si>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</si>
  <si>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</si>
  <si>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</si>
  <si>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</si>
  <si>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</si>
  <si>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</si>
  <si>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</si>
  <si>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</si>
  <si>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</si>
  <si>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</si>
  <si>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</si>
  <si>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</si>
  <si>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</si>
  <si>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</si>
  <si>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</si>
  <si>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</si>
  <si>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</si>
  <si>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</si>
  <si>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</si>
  <si>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</si>
  <si>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</si>
  <si>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</si>
  <si>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</si>
  <si>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</si>
  <si>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</si>
  <si>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</si>
  <si>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</si>
  <si>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</si>
  <si>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</si>
  <si>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</si>
  <si>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</si>
  <si>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</si>
  <si>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</si>
  <si>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</si>
  <si>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</si>
  <si>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</si>
  <si>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</si>
  <si>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</si>
  <si>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</si>
  <si>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</si>
  <si>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</si>
  <si>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</si>
  <si>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</si>
  <si>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</si>
  <si>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</si>
  <si>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</si>
  <si>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</si>
  <si>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</si>
  <si>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</si>
  <si>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</si>
  <si>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</si>
  <si>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</si>
  <si>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</si>
  <si>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</si>
  <si>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</si>
  <si>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</si>
  <si>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</si>
  <si>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</si>
  <si>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</si>
  <si>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</si>
  <si>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</si>
  <si>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</si>
  <si>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</si>
  <si>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</si>
  <si>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</si>
  <si>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</si>
  <si>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</si>
  <si>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</si>
  <si>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</si>
  <si>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</si>
  <si>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</si>
  <si>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</si>
  <si>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</si>
  <si>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</si>
  <si>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</si>
  <si>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</si>
  <si>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</si>
  <si>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</si>
  <si>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</si>
  <si>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</si>
  <si>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</si>
  <si>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</si>
  <si>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</si>
  <si>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</si>
  <si>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</si>
  <si>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</si>
  <si>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</si>
  <si>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</si>
  <si>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</si>
  <si>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</si>
  <si>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</si>
  <si>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</si>
  <si>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</si>
  <si>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</si>
  <si>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</si>
  <si>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</si>
  <si>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</si>
  <si>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</si>
  <si>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</si>
  <si>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</si>
  <si>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</si>
  <si>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</si>
  <si>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</si>
  <si>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</si>
  <si>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</si>
  <si>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</si>
  <si>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</si>
  <si>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</si>
  <si>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</si>
  <si>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</si>
  <si>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</si>
  <si>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</si>
  <si>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</si>
  <si>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</si>
  <si>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</si>
  <si>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</si>
  <si>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</si>
  <si>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</si>
  <si>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</si>
  <si>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</si>
  <si>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</si>
  <si>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</si>
  <si>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</si>
  <si>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</si>
  <si>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</si>
  <si>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</si>
  <si>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</si>
  <si>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</si>
  <si>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</si>
  <si>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</si>
  <si>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</si>
  <si>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</si>
  <si>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</si>
  <si>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</si>
  <si>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</si>
  <si>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</si>
  <si>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</si>
  <si>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</si>
  <si>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</si>
  <si>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</si>
  <si>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</si>
  <si>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</si>
  <si>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</si>
  <si>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</si>
  <si>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</si>
  <si>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</si>
  <si>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</si>
  <si>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</si>
  <si>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</si>
  <si>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</si>
  <si>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</si>
  <si>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</si>
  <si>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</si>
  <si>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</si>
  <si>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</si>
  <si>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</si>
  <si>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</si>
  <si>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</si>
  <si>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</si>
  <si>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</si>
  <si>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</si>
  <si>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</si>
  <si>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</si>
  <si>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</si>
  <si>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</si>
  <si>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</si>
  <si>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</si>
  <si>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</si>
  <si>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</si>
  <si>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</si>
  <si>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</si>
  <si>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</si>
  <si>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</si>
  <si>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</si>
  <si>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</si>
  <si>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</si>
  <si>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</si>
  <si>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</si>
  <si>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</si>
  <si>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</si>
  <si>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</si>
  <si>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</si>
  <si>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</si>
  <si>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</si>
  <si>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</si>
  <si>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</si>
  <si>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</si>
  <si>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</si>
  <si>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</si>
  <si>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</si>
  <si>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</si>
  <si>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</si>
  <si>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</si>
  <si>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</si>
  <si>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</si>
  <si>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</si>
  <si>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</si>
  <si>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</si>
  <si>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</si>
  <si>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</si>
  <si>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</si>
  <si>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</si>
  <si>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</si>
  <si>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</si>
  <si>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</si>
  <si>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</si>
  <si>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</si>
  <si>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</si>
  <si>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</si>
  <si>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</si>
  <si>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</si>
  <si>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</si>
  <si>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</si>
  <si>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</si>
  <si>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</si>
  <si>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</si>
  <si>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</si>
  <si>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</si>
  <si>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</si>
  <si>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</si>
  <si>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</si>
  <si>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</si>
  <si>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</si>
  <si>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</si>
  <si>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</si>
  <si>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</si>
  <si>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</si>
  <si>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</si>
  <si>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</si>
  <si>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</si>
  <si>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</si>
  <si>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</si>
  <si>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</si>
  <si>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</si>
  <si>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</si>
  <si>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</si>
  <si>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</si>
  <si>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</si>
  <si>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</si>
  <si>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</si>
  <si>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</si>
  <si>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</si>
  <si>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</si>
  <si>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</si>
  <si>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</si>
  <si>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</si>
  <si>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</si>
  <si>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</si>
  <si>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</si>
  <si>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</si>
  <si>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</si>
  <si>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</si>
  <si>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</si>
  <si>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</si>
  <si>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</si>
  <si>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</si>
  <si>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</si>
  <si>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</si>
  <si>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</si>
  <si>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</si>
  <si>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</si>
  <si>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</si>
  <si>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</si>
  <si>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</si>
  <si>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</si>
  <si>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</si>
  <si>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</si>
  <si>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</si>
  <si>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</si>
  <si>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</si>
  <si>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</si>
  <si>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</si>
  <si>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</si>
  <si>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</si>
  <si>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</si>
  <si>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</si>
  <si>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</si>
  <si>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</si>
  <si>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</si>
  <si>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</si>
  <si>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</si>
  <si>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</si>
  <si>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</si>
  <si>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</si>
  <si>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</si>
  <si>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</si>
  <si>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</si>
  <si>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</si>
  <si>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</si>
  <si>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</si>
  <si>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</si>
  <si>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</si>
  <si>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</si>
  <si>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</si>
  <si>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</si>
  <si>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</si>
  <si>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</si>
  <si>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</si>
  <si>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</si>
  <si>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</si>
  <si>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</si>
  <si>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</si>
  <si>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</si>
  <si>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</si>
  <si>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</si>
  <si>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</si>
  <si>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</si>
  <si>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</si>
  <si>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</si>
  <si>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</si>
  <si>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</si>
  <si>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</si>
  <si>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</si>
  <si>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</si>
  <si>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</si>
  <si>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</si>
  <si>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</si>
  <si>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</si>
  <si>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</si>
  <si>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</si>
  <si>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</si>
  <si>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</si>
  <si>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</si>
  <si>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</si>
  <si>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</si>
  <si>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</si>
  <si>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</si>
  <si>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</si>
  <si>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</si>
  <si>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</si>
  <si>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</si>
  <si>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</si>
  <si>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</si>
  <si>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</si>
  <si>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</si>
  <si>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</si>
  <si>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</si>
  <si>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</si>
  <si>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</si>
  <si>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</si>
  <si>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</si>
  <si>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</si>
  <si>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</si>
  <si>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</si>
  <si>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</si>
  <si>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</si>
  <si>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</si>
  <si>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</si>
  <si>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</si>
  <si>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</si>
  <si>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</si>
  <si>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</si>
  <si>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</si>
  <si>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</si>
  <si>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</si>
  <si>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</si>
  <si>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</si>
  <si>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</si>
  <si>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</si>
  <si>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</si>
  <si>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</si>
  <si>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</si>
  <si>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</si>
  <si>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</si>
  <si>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</si>
  <si>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</si>
  <si>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</si>
  <si>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</si>
  <si>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</si>
  <si>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</si>
  <si>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</si>
  <si>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September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</si>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</sst>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8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14" fillId="2" borderId="4" xfId="0" applyNumberFormat="1" applyFont="1" applyFill="1" applyBorder="1" applyAlignment="1" applyProtection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0" xfId="0" applyFont="1" applyBorder="1" applyAlignment="1" applyProtection="1">
      <alignment horizontal="center"/>
      <protection locked="0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110" xfId="0" applyFont="1" applyBorder="1" applyAlignment="1" applyProtection="1">
      <alignment horizontal="center"/>
      <protection locked="0"/>
    </xf>
    <xf numFmtId="0" fontId="70" fillId="0" borderId="23" xfId="0" applyFont="1" applyBorder="1" applyAlignment="1">
      <alignment horizontal="center"/>
    </xf>
    <xf numFmtId="1" fontId="65" fillId="2" borderId="106" xfId="0" applyNumberFormat="1" applyFont="1" applyFill="1" applyBorder="1" applyAlignment="1" applyProtection="1">
      <alignment horizontal="center" vertical="center" textRotation="90"/>
    </xf>
    <xf numFmtId="1" fontId="65" fillId="2" borderId="0" xfId="0" applyNumberFormat="1" applyFont="1" applyFill="1" applyBorder="1" applyAlignment="1" applyProtection="1">
      <alignment horizontal="center" vertical="center" textRotation="90"/>
    </xf>
    <xf numFmtId="1" fontId="65" fillId="2" borderId="110" xfId="0" applyNumberFormat="1" applyFont="1" applyFill="1" applyBorder="1" applyAlignment="1" applyProtection="1">
      <alignment horizontal="center" vertical="center" textRotation="90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43" fontId="4" fillId="0" borderId="1" xfId="1" applyFont="1" applyBorder="1" applyAlignment="1" applyProtection="1">
      <alignment horizontal="center" vertical="center" wrapText="1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413256"/>
        <c:axId val="686374184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373792"/>
        <c:axId val="686373008"/>
      </c:lineChart>
      <c:catAx>
        <c:axId val="8844132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63741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86374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4413256"/>
        <c:crosses val="autoZero"/>
        <c:crossBetween val="between"/>
      </c:valAx>
      <c:catAx>
        <c:axId val="68637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86373008"/>
        <c:crosses val="autoZero"/>
        <c:auto val="0"/>
        <c:lblAlgn val="ctr"/>
        <c:lblOffset val="100"/>
        <c:noMultiLvlLbl val="0"/>
      </c:catAx>
      <c:valAx>
        <c:axId val="68637300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63737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102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189984"/>
        <c:axId val="748188024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187240"/>
        <c:axId val="748189592"/>
      </c:lineChart>
      <c:catAx>
        <c:axId val="748189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81880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48188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8189984"/>
        <c:crosses val="autoZero"/>
        <c:crossBetween val="between"/>
      </c:valAx>
      <c:catAx>
        <c:axId val="748187240"/>
        <c:scaling>
          <c:orientation val="minMax"/>
        </c:scaling>
        <c:delete val="1"/>
        <c:axPos val="b"/>
        <c:majorTickMark val="out"/>
        <c:minorTickMark val="none"/>
        <c:tickLblPos val="nextTo"/>
        <c:crossAx val="748189592"/>
        <c:crosses val="autoZero"/>
        <c:auto val="0"/>
        <c:lblAlgn val="ctr"/>
        <c:lblOffset val="100"/>
        <c:noMultiLvlLbl val="0"/>
      </c:catAx>
      <c:valAx>
        <c:axId val="74818959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818724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Temp."/>
      <sheetName val="Fuel"/>
      <sheetName val="swimming pool"/>
      <sheetName val="submeters "/>
      <sheetName val="M-Rep"/>
      <sheetName val="Tot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32">
          <cell r="AO32" t="str">
            <v>N/A</v>
          </cell>
        </row>
        <row r="54">
          <cell r="AO54">
            <v>243175</v>
          </cell>
        </row>
        <row r="55">
          <cell r="AO55">
            <v>75064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D37" sqref="D37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5" t="s">
        <v>365</v>
      </c>
      <c r="B1" s="956" t="s">
        <v>10</v>
      </c>
      <c r="C1" s="956" t="s">
        <v>366</v>
      </c>
      <c r="D1" s="956" t="s">
        <v>367</v>
      </c>
      <c r="E1" s="949" t="s">
        <v>370</v>
      </c>
      <c r="F1" s="950" t="s">
        <v>371</v>
      </c>
      <c r="G1" s="949" t="s">
        <v>372</v>
      </c>
      <c r="H1" s="950" t="s">
        <v>373</v>
      </c>
      <c r="I1" s="949" t="s">
        <v>374</v>
      </c>
      <c r="J1" s="949" t="s">
        <v>375</v>
      </c>
      <c r="K1" s="949" t="s">
        <v>368</v>
      </c>
    </row>
    <row r="2" spans="1:12">
      <c r="A2" s="959" t="s">
        <v>369</v>
      </c>
      <c r="B2" s="960">
        <v>1</v>
      </c>
      <c r="C2" s="961">
        <v>9</v>
      </c>
      <c r="D2" s="962">
        <v>2019</v>
      </c>
      <c r="E2" s="954">
        <f>Elect!BL6</f>
        <v>36003.51</v>
      </c>
      <c r="F2" s="951">
        <v>1.1499999999999999</v>
      </c>
      <c r="G2" s="952">
        <f>Gas!K7</f>
        <v>1737.98</v>
      </c>
      <c r="H2" s="951">
        <v>3.8</v>
      </c>
      <c r="I2" s="952">
        <f>Water!H7</f>
        <v>635.09999999999991</v>
      </c>
      <c r="J2" s="953">
        <v>10</v>
      </c>
      <c r="K2" s="952">
        <f>Elect!BM6</f>
        <v>179</v>
      </c>
    </row>
    <row r="3" spans="1:12">
      <c r="A3" s="963" t="s">
        <v>369</v>
      </c>
      <c r="B3" s="957">
        <f>B2+1</f>
        <v>2</v>
      </c>
      <c r="C3" s="958">
        <v>9</v>
      </c>
      <c r="D3" s="964">
        <v>2019</v>
      </c>
      <c r="E3" s="954">
        <f>Elect!BL7</f>
        <v>33787.520000000004</v>
      </c>
      <c r="F3" s="951">
        <v>1.1499999999999999</v>
      </c>
      <c r="G3" s="952">
        <f>Gas!K8</f>
        <v>1139.3600000000001</v>
      </c>
      <c r="H3" s="951">
        <v>3.8</v>
      </c>
      <c r="I3" s="952">
        <f>Water!H8</f>
        <v>564.91999999999996</v>
      </c>
      <c r="J3" s="953">
        <v>10</v>
      </c>
      <c r="K3" s="952">
        <f>Elect!BM7</f>
        <v>169</v>
      </c>
    </row>
    <row r="4" spans="1:12">
      <c r="A4" s="963" t="s">
        <v>369</v>
      </c>
      <c r="B4" s="957">
        <f t="shared" ref="B4:B32" si="0">B3+1</f>
        <v>3</v>
      </c>
      <c r="C4" s="958">
        <v>9</v>
      </c>
      <c r="D4" s="964">
        <v>2019</v>
      </c>
      <c r="E4" s="954">
        <f>Elect!BL8</f>
        <v>40099.06</v>
      </c>
      <c r="F4" s="951">
        <v>1.1499999999999999</v>
      </c>
      <c r="G4" s="952">
        <f>Gas!K9</f>
        <v>1115.24</v>
      </c>
      <c r="H4" s="951">
        <v>3.8</v>
      </c>
      <c r="I4" s="952">
        <f>Water!H9</f>
        <v>576.52</v>
      </c>
      <c r="J4" s="953">
        <v>10</v>
      </c>
      <c r="K4" s="952">
        <f>Elect!BM8</f>
        <v>178</v>
      </c>
    </row>
    <row r="5" spans="1:12">
      <c r="A5" s="963" t="s">
        <v>369</v>
      </c>
      <c r="B5" s="957">
        <f t="shared" si="0"/>
        <v>4</v>
      </c>
      <c r="C5" s="958">
        <v>9</v>
      </c>
      <c r="D5" s="964">
        <v>2019</v>
      </c>
      <c r="E5" s="954">
        <f>Elect!BL9</f>
        <v>36289.42</v>
      </c>
      <c r="F5" s="951">
        <v>1.1499999999999999</v>
      </c>
      <c r="G5" s="952">
        <f>Gas!K10</f>
        <v>1208.2</v>
      </c>
      <c r="H5" s="951">
        <v>3.8</v>
      </c>
      <c r="I5" s="952">
        <f>Water!H10</f>
        <v>563.75999999999988</v>
      </c>
      <c r="J5" s="953">
        <v>10</v>
      </c>
      <c r="K5" s="952">
        <f>Elect!BM9</f>
        <v>191</v>
      </c>
    </row>
    <row r="6" spans="1:12">
      <c r="A6" s="963" t="s">
        <v>369</v>
      </c>
      <c r="B6" s="957">
        <f t="shared" si="0"/>
        <v>5</v>
      </c>
      <c r="C6" s="958">
        <v>9</v>
      </c>
      <c r="D6" s="964">
        <v>2019</v>
      </c>
      <c r="E6" s="954">
        <f>Elect!BL10</f>
        <v>36358.86</v>
      </c>
      <c r="F6" s="951">
        <v>1.1499999999999999</v>
      </c>
      <c r="G6" s="952">
        <f>Gas!K11</f>
        <v>1068.76</v>
      </c>
      <c r="H6" s="951">
        <v>3.8</v>
      </c>
      <c r="I6" s="952">
        <f>Water!H11</f>
        <v>580</v>
      </c>
      <c r="J6" s="953">
        <v>10</v>
      </c>
      <c r="K6" s="952">
        <f>Elect!BM10</f>
        <v>175</v>
      </c>
    </row>
    <row r="7" spans="1:12">
      <c r="A7" s="963" t="s">
        <v>369</v>
      </c>
      <c r="B7" s="957">
        <f t="shared" si="0"/>
        <v>6</v>
      </c>
      <c r="C7" s="958">
        <v>9</v>
      </c>
      <c r="D7" s="964">
        <v>2019</v>
      </c>
      <c r="E7" s="954">
        <f>Elect!BL11</f>
        <v>36104.83</v>
      </c>
      <c r="F7" s="951">
        <v>1.1499999999999999</v>
      </c>
      <c r="G7" s="952">
        <f>Gas!K12</f>
        <v>1188.1000000000001</v>
      </c>
      <c r="H7" s="951">
        <v>3.8</v>
      </c>
      <c r="I7" s="952">
        <f>Water!H12</f>
        <v>556.79999999999995</v>
      </c>
      <c r="J7" s="953">
        <v>10</v>
      </c>
      <c r="K7" s="952">
        <f>Elect!BM11</f>
        <v>182</v>
      </c>
    </row>
    <row r="8" spans="1:12">
      <c r="A8" s="963" t="s">
        <v>369</v>
      </c>
      <c r="B8" s="957">
        <f t="shared" si="0"/>
        <v>7</v>
      </c>
      <c r="C8" s="958">
        <v>9</v>
      </c>
      <c r="D8" s="964">
        <v>2019</v>
      </c>
      <c r="E8" s="954">
        <f>Elect!BL12</f>
        <v>35064.57</v>
      </c>
      <c r="F8" s="951">
        <v>1.1499999999999999</v>
      </c>
      <c r="G8" s="952">
        <f>Gas!K13</f>
        <v>1297.78</v>
      </c>
      <c r="H8" s="951">
        <v>3.8</v>
      </c>
      <c r="I8" s="952">
        <f>Water!H13</f>
        <v>596.82000000000005</v>
      </c>
      <c r="J8" s="953">
        <v>10</v>
      </c>
      <c r="K8" s="952">
        <f>Elect!BM12</f>
        <v>180</v>
      </c>
    </row>
    <row r="9" spans="1:12">
      <c r="A9" s="963" t="s">
        <v>369</v>
      </c>
      <c r="B9" s="957">
        <f t="shared" si="0"/>
        <v>8</v>
      </c>
      <c r="C9" s="958">
        <v>9</v>
      </c>
      <c r="D9" s="964">
        <v>2019</v>
      </c>
      <c r="E9" s="954">
        <f>Elect!BL13</f>
        <v>36961.300000000003</v>
      </c>
      <c r="F9" s="951">
        <v>1.1499999999999999</v>
      </c>
      <c r="G9" s="952">
        <f>Gas!K14</f>
        <v>1156.8200000000002</v>
      </c>
      <c r="H9" s="951">
        <v>3.8</v>
      </c>
      <c r="I9" s="952">
        <f>Water!H14</f>
        <v>552.16</v>
      </c>
      <c r="J9" s="953">
        <v>10</v>
      </c>
      <c r="K9" s="952">
        <f>Elect!BM13</f>
        <v>207</v>
      </c>
    </row>
    <row r="10" spans="1:12">
      <c r="A10" s="963" t="s">
        <v>369</v>
      </c>
      <c r="B10" s="957">
        <f t="shared" si="0"/>
        <v>9</v>
      </c>
      <c r="C10" s="958">
        <v>9</v>
      </c>
      <c r="D10" s="964">
        <v>2019</v>
      </c>
      <c r="E10" s="954">
        <f>Elect!BL14</f>
        <v>37468.450000000004</v>
      </c>
      <c r="F10" s="951">
        <v>1.1499999999999999</v>
      </c>
      <c r="G10" s="952">
        <f>Gas!K15</f>
        <v>1761.94</v>
      </c>
      <c r="H10" s="951">
        <v>3.8</v>
      </c>
      <c r="I10" s="952">
        <f>Water!H15</f>
        <v>632.78</v>
      </c>
      <c r="J10" s="953">
        <v>10</v>
      </c>
      <c r="K10" s="952">
        <f>Elect!BM14</f>
        <v>170</v>
      </c>
    </row>
    <row r="11" spans="1:12">
      <c r="A11" s="963" t="s">
        <v>369</v>
      </c>
      <c r="B11" s="957">
        <f t="shared" si="0"/>
        <v>10</v>
      </c>
      <c r="C11" s="958">
        <v>9</v>
      </c>
      <c r="D11" s="964">
        <v>2019</v>
      </c>
      <c r="E11" s="954">
        <f>Elect!BL15</f>
        <v>34176.720000000001</v>
      </c>
      <c r="F11" s="951">
        <v>1.1499999999999999</v>
      </c>
      <c r="G11" s="952">
        <f>Gas!K16</f>
        <v>940.74</v>
      </c>
      <c r="H11" s="951">
        <v>3.8</v>
      </c>
      <c r="I11" s="952">
        <f>Water!H16</f>
        <v>544.04</v>
      </c>
      <c r="J11" s="953">
        <v>10</v>
      </c>
      <c r="K11" s="952">
        <f>Elect!BM15</f>
        <v>145</v>
      </c>
    </row>
    <row r="12" spans="1:12">
      <c r="A12" s="963" t="s">
        <v>369</v>
      </c>
      <c r="B12" s="957">
        <f t="shared" si="0"/>
        <v>11</v>
      </c>
      <c r="C12" s="958">
        <v>9</v>
      </c>
      <c r="D12" s="964">
        <v>2019</v>
      </c>
      <c r="E12" s="954">
        <f>Elect!BL16</f>
        <v>36833.360000000001</v>
      </c>
      <c r="F12" s="951">
        <v>1.1499999999999999</v>
      </c>
      <c r="G12" s="952">
        <f>Gas!K17</f>
        <v>1095.6400000000001</v>
      </c>
      <c r="H12" s="951">
        <v>3.8</v>
      </c>
      <c r="I12" s="952">
        <f>Water!H17</f>
        <v>586.96</v>
      </c>
      <c r="J12" s="953">
        <v>10</v>
      </c>
      <c r="K12" s="952">
        <f>Elect!BM16</f>
        <v>160</v>
      </c>
      <c r="L12" s="933" t="s">
        <v>9</v>
      </c>
    </row>
    <row r="13" spans="1:12">
      <c r="A13" s="963" t="s">
        <v>369</v>
      </c>
      <c r="B13" s="957">
        <f t="shared" si="0"/>
        <v>12</v>
      </c>
      <c r="C13" s="958">
        <v>9</v>
      </c>
      <c r="D13" s="964">
        <v>2019</v>
      </c>
      <c r="E13" s="954">
        <f>Elect!BL17</f>
        <v>35222</v>
      </c>
      <c r="F13" s="951">
        <v>1.1499999999999999</v>
      </c>
      <c r="G13" s="952">
        <f>Gas!K18</f>
        <v>1569.6399999999999</v>
      </c>
      <c r="H13" s="951">
        <v>3.8</v>
      </c>
      <c r="I13" s="952">
        <f>Water!H18</f>
        <v>510.97999999999996</v>
      </c>
      <c r="J13" s="953">
        <v>10</v>
      </c>
      <c r="K13" s="952">
        <f>Elect!BM17</f>
        <v>170</v>
      </c>
      <c r="L13" s="933" t="s">
        <v>376</v>
      </c>
    </row>
    <row r="14" spans="1:12">
      <c r="A14" s="963" t="s">
        <v>369</v>
      </c>
      <c r="B14" s="957">
        <f t="shared" si="0"/>
        <v>13</v>
      </c>
      <c r="C14" s="958">
        <v>9</v>
      </c>
      <c r="D14" s="964">
        <v>2019</v>
      </c>
      <c r="E14" s="954">
        <f>Elect!BL18</f>
        <v>34180.79</v>
      </c>
      <c r="F14" s="951">
        <v>1.1499999999999999</v>
      </c>
      <c r="G14" s="952">
        <f>Gas!K19</f>
        <v>1042.44</v>
      </c>
      <c r="H14" s="951">
        <v>3.8</v>
      </c>
      <c r="I14" s="952">
        <f>Water!H19</f>
        <v>618.8599999999999</v>
      </c>
      <c r="J14" s="953">
        <v>10</v>
      </c>
      <c r="K14" s="952">
        <f>Elect!BM18</f>
        <v>220</v>
      </c>
    </row>
    <row r="15" spans="1:12">
      <c r="A15" s="963" t="s">
        <v>369</v>
      </c>
      <c r="B15" s="957">
        <f t="shared" si="0"/>
        <v>14</v>
      </c>
      <c r="C15" s="958">
        <v>9</v>
      </c>
      <c r="D15" s="964">
        <v>2019</v>
      </c>
      <c r="E15" s="954">
        <f>Elect!BL19</f>
        <v>35928.479999999996</v>
      </c>
      <c r="F15" s="951">
        <v>1.1499999999999999</v>
      </c>
      <c r="G15" s="952">
        <f>Gas!K20</f>
        <v>1239.08</v>
      </c>
      <c r="H15" s="951">
        <v>3.8</v>
      </c>
      <c r="I15" s="952">
        <f>Water!H20</f>
        <v>574.19999999999993</v>
      </c>
      <c r="J15" s="953">
        <v>10</v>
      </c>
      <c r="K15" s="952">
        <f>Elect!BM19</f>
        <v>238</v>
      </c>
    </row>
    <row r="16" spans="1:12">
      <c r="A16" s="963" t="s">
        <v>369</v>
      </c>
      <c r="B16" s="957">
        <f t="shared" si="0"/>
        <v>15</v>
      </c>
      <c r="C16" s="958">
        <v>9</v>
      </c>
      <c r="D16" s="964">
        <v>2019</v>
      </c>
      <c r="E16" s="954">
        <f>Elect!BL20</f>
        <v>36037.31</v>
      </c>
      <c r="F16" s="951">
        <v>1.1499999999999999</v>
      </c>
      <c r="G16" s="952">
        <f>Gas!K21</f>
        <v>1206.94</v>
      </c>
      <c r="H16" s="951">
        <v>3.8</v>
      </c>
      <c r="I16" s="952">
        <f>Water!H21</f>
        <v>508.07999999999993</v>
      </c>
      <c r="J16" s="953">
        <v>10</v>
      </c>
      <c r="K16" s="952">
        <f>Elect!BM20</f>
        <v>236</v>
      </c>
    </row>
    <row r="17" spans="1:11">
      <c r="A17" s="963" t="s">
        <v>369</v>
      </c>
      <c r="B17" s="957">
        <f t="shared" si="0"/>
        <v>16</v>
      </c>
      <c r="C17" s="958">
        <v>9</v>
      </c>
      <c r="D17" s="964">
        <v>2019</v>
      </c>
      <c r="E17" s="954">
        <f>Elect!BL21</f>
        <v>35301.99</v>
      </c>
      <c r="F17" s="951">
        <v>1.1499999999999999</v>
      </c>
      <c r="G17" s="952">
        <f>Gas!K22</f>
        <v>1330.6599999999999</v>
      </c>
      <c r="H17" s="951">
        <v>3.8</v>
      </c>
      <c r="I17" s="952">
        <f>Water!H22</f>
        <v>615.38</v>
      </c>
      <c r="J17" s="953">
        <v>10</v>
      </c>
      <c r="K17" s="952">
        <f>Elect!BM21</f>
        <v>162</v>
      </c>
    </row>
    <row r="18" spans="1:11">
      <c r="A18" s="963" t="s">
        <v>369</v>
      </c>
      <c r="B18" s="957">
        <f t="shared" si="0"/>
        <v>17</v>
      </c>
      <c r="C18" s="958">
        <v>9</v>
      </c>
      <c r="D18" s="964">
        <v>2019</v>
      </c>
      <c r="E18" s="954">
        <f>Elect!BL22</f>
        <v>31036.25</v>
      </c>
      <c r="F18" s="951">
        <v>1.1499999999999999</v>
      </c>
      <c r="G18" s="952">
        <f>Gas!K23</f>
        <v>1443.34</v>
      </c>
      <c r="H18" s="951">
        <v>3.8</v>
      </c>
      <c r="I18" s="952">
        <f>Water!H23</f>
        <v>603.78</v>
      </c>
      <c r="J18" s="953">
        <v>10</v>
      </c>
      <c r="K18" s="952">
        <f>Elect!BM22</f>
        <v>178</v>
      </c>
    </row>
    <row r="19" spans="1:11">
      <c r="A19" s="963" t="s">
        <v>369</v>
      </c>
      <c r="B19" s="957">
        <f t="shared" si="0"/>
        <v>18</v>
      </c>
      <c r="C19" s="958">
        <v>9</v>
      </c>
      <c r="D19" s="964">
        <v>2019</v>
      </c>
      <c r="E19" s="954">
        <f>Elect!BL23</f>
        <v>35444.559999999998</v>
      </c>
      <c r="F19" s="951">
        <v>1.1499999999999999</v>
      </c>
      <c r="G19" s="952">
        <f>Gas!K24</f>
        <v>1522.2600000000002</v>
      </c>
      <c r="H19" s="951">
        <v>3.8</v>
      </c>
      <c r="I19" s="952">
        <f>Water!H24</f>
        <v>767.92</v>
      </c>
      <c r="J19" s="953">
        <v>10</v>
      </c>
      <c r="K19" s="952">
        <f>Elect!BM23</f>
        <v>196</v>
      </c>
    </row>
    <row r="20" spans="1:11">
      <c r="A20" s="963" t="s">
        <v>369</v>
      </c>
      <c r="B20" s="957">
        <f t="shared" si="0"/>
        <v>19</v>
      </c>
      <c r="C20" s="958">
        <v>9</v>
      </c>
      <c r="D20" s="964">
        <v>2019</v>
      </c>
      <c r="E20" s="954">
        <f>Elect!BL24</f>
        <v>35247.01</v>
      </c>
      <c r="F20" s="951">
        <v>1.1499999999999999</v>
      </c>
      <c r="G20" s="952">
        <f>Gas!K25</f>
        <v>1089.94</v>
      </c>
      <c r="H20" s="951">
        <v>3.8</v>
      </c>
      <c r="I20" s="952">
        <f>Water!H25</f>
        <v>532.43999999999994</v>
      </c>
      <c r="J20" s="953">
        <v>10</v>
      </c>
      <c r="K20" s="952">
        <f>Elect!BM24</f>
        <v>243</v>
      </c>
    </row>
    <row r="21" spans="1:11">
      <c r="A21" s="963" t="s">
        <v>369</v>
      </c>
      <c r="B21" s="957">
        <f t="shared" si="0"/>
        <v>20</v>
      </c>
      <c r="C21" s="958">
        <v>9</v>
      </c>
      <c r="D21" s="964">
        <v>2019</v>
      </c>
      <c r="E21" s="954">
        <f>Elect!BL25</f>
        <v>34070.11</v>
      </c>
      <c r="F21" s="951">
        <v>1.1499999999999999</v>
      </c>
      <c r="G21" s="952">
        <f>Gas!K26</f>
        <v>1489.38</v>
      </c>
      <c r="H21" s="951">
        <v>3.8</v>
      </c>
      <c r="I21" s="952">
        <f>Water!H26</f>
        <v>732.54</v>
      </c>
      <c r="J21" s="953">
        <v>10</v>
      </c>
      <c r="K21" s="952">
        <f>Elect!BM25</f>
        <v>242</v>
      </c>
    </row>
    <row r="22" spans="1:11">
      <c r="A22" s="963" t="s">
        <v>369</v>
      </c>
      <c r="B22" s="957">
        <f t="shared" si="0"/>
        <v>21</v>
      </c>
      <c r="C22" s="958">
        <v>9</v>
      </c>
      <c r="D22" s="964">
        <v>2019</v>
      </c>
      <c r="E22" s="954">
        <f>Elect!BL26</f>
        <v>0</v>
      </c>
      <c r="F22" s="951">
        <v>1.1499999999999999</v>
      </c>
      <c r="G22" s="952">
        <f>Gas!K27</f>
        <v>0</v>
      </c>
      <c r="H22" s="951">
        <v>3.8</v>
      </c>
      <c r="I22" s="952">
        <f>Water!H27</f>
        <v>0</v>
      </c>
      <c r="J22" s="953">
        <v>10</v>
      </c>
      <c r="K22" s="952">
        <f>Elect!BM26</f>
        <v>0</v>
      </c>
    </row>
    <row r="23" spans="1:11">
      <c r="A23" s="963" t="s">
        <v>369</v>
      </c>
      <c r="B23" s="957">
        <f t="shared" si="0"/>
        <v>22</v>
      </c>
      <c r="C23" s="958">
        <v>9</v>
      </c>
      <c r="D23" s="964">
        <v>2019</v>
      </c>
      <c r="E23" s="954">
        <f>Elect!BL27</f>
        <v>0</v>
      </c>
      <c r="F23" s="951">
        <v>1.1499999999999999</v>
      </c>
      <c r="G23" s="952">
        <f>Gas!K28</f>
        <v>0</v>
      </c>
      <c r="H23" s="951">
        <v>3.8</v>
      </c>
      <c r="I23" s="952">
        <f>Water!H28</f>
        <v>0</v>
      </c>
      <c r="J23" s="953">
        <v>10</v>
      </c>
      <c r="K23" s="952">
        <f>Elect!BM27</f>
        <v>0</v>
      </c>
    </row>
    <row r="24" spans="1:11">
      <c r="A24" s="963" t="s">
        <v>369</v>
      </c>
      <c r="B24" s="957">
        <f t="shared" si="0"/>
        <v>23</v>
      </c>
      <c r="C24" s="958">
        <v>9</v>
      </c>
      <c r="D24" s="964">
        <v>2019</v>
      </c>
      <c r="E24" s="954">
        <f>Elect!BL28</f>
        <v>0</v>
      </c>
      <c r="F24" s="951">
        <v>1.1499999999999999</v>
      </c>
      <c r="G24" s="952">
        <f>Gas!K29</f>
        <v>0</v>
      </c>
      <c r="H24" s="951">
        <v>3.8</v>
      </c>
      <c r="I24" s="952">
        <f>Water!H29</f>
        <v>0</v>
      </c>
      <c r="J24" s="953">
        <v>10</v>
      </c>
      <c r="K24" s="952">
        <f>Elect!BM28</f>
        <v>0</v>
      </c>
    </row>
    <row r="25" spans="1:11">
      <c r="A25" s="963" t="s">
        <v>369</v>
      </c>
      <c r="B25" s="957">
        <f t="shared" si="0"/>
        <v>24</v>
      </c>
      <c r="C25" s="958">
        <v>9</v>
      </c>
      <c r="D25" s="964">
        <v>2019</v>
      </c>
      <c r="E25" s="954">
        <f>Elect!BL29</f>
        <v>0</v>
      </c>
      <c r="F25" s="951">
        <v>1.1499999999999999</v>
      </c>
      <c r="G25" s="952">
        <f>Gas!K30</f>
        <v>0</v>
      </c>
      <c r="H25" s="951">
        <v>3.8</v>
      </c>
      <c r="I25" s="952">
        <f>Water!H30</f>
        <v>0</v>
      </c>
      <c r="J25" s="953">
        <v>10</v>
      </c>
      <c r="K25" s="952">
        <f>Elect!BM29</f>
        <v>0</v>
      </c>
    </row>
    <row r="26" spans="1:11">
      <c r="A26" s="963" t="s">
        <v>369</v>
      </c>
      <c r="B26" s="957">
        <f>B25+1</f>
        <v>25</v>
      </c>
      <c r="C26" s="958">
        <v>9</v>
      </c>
      <c r="D26" s="964">
        <v>2019</v>
      </c>
      <c r="E26" s="954">
        <f>Elect!BL30</f>
        <v>0</v>
      </c>
      <c r="F26" s="951">
        <v>1.1499999999999999</v>
      </c>
      <c r="G26" s="952">
        <f>Gas!K31</f>
        <v>0</v>
      </c>
      <c r="H26" s="951">
        <v>3.8</v>
      </c>
      <c r="I26" s="952">
        <f>Water!H31</f>
        <v>0</v>
      </c>
      <c r="J26" s="953">
        <v>10</v>
      </c>
      <c r="K26" s="952">
        <f>Elect!BM30</f>
        <v>0</v>
      </c>
    </row>
    <row r="27" spans="1:11">
      <c r="A27" s="963" t="s">
        <v>369</v>
      </c>
      <c r="B27" s="957">
        <f t="shared" si="0"/>
        <v>26</v>
      </c>
      <c r="C27" s="958">
        <v>9</v>
      </c>
      <c r="D27" s="964">
        <v>2019</v>
      </c>
      <c r="E27" s="954">
        <f>Elect!BL31</f>
        <v>0</v>
      </c>
      <c r="F27" s="951">
        <v>1.1499999999999999</v>
      </c>
      <c r="G27" s="952">
        <f>Gas!K32</f>
        <v>0</v>
      </c>
      <c r="H27" s="951">
        <v>3.8</v>
      </c>
      <c r="I27" s="952">
        <f>Water!H32</f>
        <v>0</v>
      </c>
      <c r="J27" s="953">
        <v>10</v>
      </c>
      <c r="K27" s="952">
        <f>Elect!BM31</f>
        <v>0</v>
      </c>
    </row>
    <row r="28" spans="1:11">
      <c r="A28" s="963" t="s">
        <v>369</v>
      </c>
      <c r="B28" s="957">
        <f t="shared" si="0"/>
        <v>27</v>
      </c>
      <c r="C28" s="958">
        <v>9</v>
      </c>
      <c r="D28" s="964">
        <v>2019</v>
      </c>
      <c r="E28" s="954">
        <f>Elect!BL32</f>
        <v>0</v>
      </c>
      <c r="F28" s="951">
        <v>1.1499999999999999</v>
      </c>
      <c r="G28" s="952">
        <f>Gas!K33</f>
        <v>0</v>
      </c>
      <c r="H28" s="951">
        <v>3.8</v>
      </c>
      <c r="I28" s="952">
        <f>Water!H33</f>
        <v>0</v>
      </c>
      <c r="J28" s="953">
        <v>10</v>
      </c>
      <c r="K28" s="952">
        <f>Elect!BM32</f>
        <v>0</v>
      </c>
    </row>
    <row r="29" spans="1:11">
      <c r="A29" s="963" t="s">
        <v>369</v>
      </c>
      <c r="B29" s="957">
        <f t="shared" si="0"/>
        <v>28</v>
      </c>
      <c r="C29" s="958">
        <v>9</v>
      </c>
      <c r="D29" s="964">
        <v>2019</v>
      </c>
      <c r="E29" s="954">
        <f>Elect!BL33</f>
        <v>0</v>
      </c>
      <c r="F29" s="951">
        <v>1.1499999999999999</v>
      </c>
      <c r="G29" s="952">
        <f>Gas!K34</f>
        <v>0</v>
      </c>
      <c r="H29" s="951">
        <v>3.8</v>
      </c>
      <c r="I29" s="952">
        <f>Water!H34</f>
        <v>0</v>
      </c>
      <c r="J29" s="953">
        <v>10</v>
      </c>
      <c r="K29" s="952">
        <f>Elect!BM33</f>
        <v>0</v>
      </c>
    </row>
    <row r="30" spans="1:11">
      <c r="A30" s="963" t="s">
        <v>369</v>
      </c>
      <c r="B30" s="957">
        <f t="shared" si="0"/>
        <v>29</v>
      </c>
      <c r="C30" s="958">
        <v>9</v>
      </c>
      <c r="D30" s="964">
        <v>2019</v>
      </c>
      <c r="E30" s="954">
        <f>Elect!BL34</f>
        <v>0</v>
      </c>
      <c r="F30" s="951">
        <v>1.1499999999999999</v>
      </c>
      <c r="G30" s="952">
        <f>Gas!K35</f>
        <v>0</v>
      </c>
      <c r="H30" s="951">
        <v>3.8</v>
      </c>
      <c r="I30" s="952">
        <f>Water!H35</f>
        <v>0</v>
      </c>
      <c r="J30" s="953">
        <v>10</v>
      </c>
      <c r="K30" s="952">
        <f>Elect!BM34</f>
        <v>0</v>
      </c>
    </row>
    <row r="31" spans="1:11">
      <c r="A31" s="963" t="s">
        <v>369</v>
      </c>
      <c r="B31" s="957">
        <f t="shared" si="0"/>
        <v>30</v>
      </c>
      <c r="C31" s="958">
        <v>9</v>
      </c>
      <c r="D31" s="964">
        <v>2019</v>
      </c>
      <c r="E31" s="954">
        <f>Elect!BL35</f>
        <v>0</v>
      </c>
      <c r="F31" s="951">
        <v>1.1499999999999999</v>
      </c>
      <c r="G31" s="952">
        <f>Gas!K36</f>
        <v>0</v>
      </c>
      <c r="H31" s="951">
        <v>3.8</v>
      </c>
      <c r="I31" s="952">
        <f>Water!H36</f>
        <v>0</v>
      </c>
      <c r="J31" s="953">
        <v>10</v>
      </c>
      <c r="K31" s="952">
        <f>Elect!BM35</f>
        <v>0</v>
      </c>
    </row>
    <row r="32" spans="1:11">
      <c r="A32" s="965" t="s">
        <v>369</v>
      </c>
      <c r="B32" s="966">
        <f t="shared" si="0"/>
        <v>31</v>
      </c>
      <c r="C32" s="967">
        <v>9</v>
      </c>
      <c r="D32" s="968">
        <v>2019</v>
      </c>
      <c r="E32" s="954">
        <f>Elect!BL36</f>
        <v>0</v>
      </c>
      <c r="F32" s="951">
        <v>1.1499999999999999</v>
      </c>
      <c r="G32" s="952">
        <f>Gas!K37</f>
        <v>0</v>
      </c>
      <c r="H32" s="951">
        <v>3.8</v>
      </c>
      <c r="I32" s="952">
        <f>Water!H37</f>
        <v>0</v>
      </c>
      <c r="J32" s="953">
        <v>10</v>
      </c>
      <c r="K32" s="952">
        <f>Elect!BM36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"/>
  <sheetViews>
    <sheetView workbookViewId="0">
      <selection activeCell="F8" sqref="F8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8" width="20.7109375" customWidth="1"/>
  </cols>
  <sheetData>
    <row r="1" spans="1:36" ht="25.5">
      <c r="A1" s="947" t="s">
        <v>365</v>
      </c>
      <c r="B1" s="948" t="s">
        <v>10</v>
      </c>
      <c r="C1" s="948" t="s">
        <v>366</v>
      </c>
      <c r="D1" s="948" t="s">
        <v>367</v>
      </c>
      <c r="E1" s="972" t="s">
        <v>259</v>
      </c>
      <c r="F1" s="940" t="s">
        <v>382</v>
      </c>
      <c r="G1" s="941" t="s">
        <v>383</v>
      </c>
      <c r="H1" s="940" t="s">
        <v>384</v>
      </c>
      <c r="I1" s="940" t="s">
        <v>385</v>
      </c>
      <c r="J1" s="940" t="s">
        <v>386</v>
      </c>
      <c r="K1" s="931" t="s">
        <v>387</v>
      </c>
      <c r="L1" s="931" t="s">
        <v>388</v>
      </c>
      <c r="M1" s="931" t="s">
        <v>389</v>
      </c>
      <c r="N1" s="931" t="s">
        <v>390</v>
      </c>
      <c r="O1" s="931" t="s">
        <v>391</v>
      </c>
      <c r="P1" s="931" t="s">
        <v>392</v>
      </c>
      <c r="Q1" s="942" t="s">
        <v>393</v>
      </c>
      <c r="R1" s="942" t="s">
        <v>394</v>
      </c>
      <c r="S1" s="942" t="s">
        <v>395</v>
      </c>
      <c r="T1" s="942" t="s">
        <v>396</v>
      </c>
      <c r="U1" s="941" t="s">
        <v>397</v>
      </c>
      <c r="V1" s="942" t="s">
        <v>398</v>
      </c>
      <c r="W1" s="941" t="s">
        <v>399</v>
      </c>
      <c r="X1" s="941" t="s">
        <v>400</v>
      </c>
      <c r="Y1" s="942" t="s">
        <v>401</v>
      </c>
      <c r="Z1" s="941" t="s">
        <v>402</v>
      </c>
      <c r="AA1" s="941" t="s">
        <v>403</v>
      </c>
      <c r="AB1" s="941" t="s">
        <v>404</v>
      </c>
      <c r="AC1" s="969" t="s">
        <v>411</v>
      </c>
      <c r="AD1" s="941" t="s">
        <v>405</v>
      </c>
      <c r="AE1" s="941" t="s">
        <v>406</v>
      </c>
      <c r="AF1" s="941" t="s">
        <v>407</v>
      </c>
      <c r="AG1" s="969" t="s">
        <v>56</v>
      </c>
      <c r="AH1" s="941" t="s">
        <v>408</v>
      </c>
      <c r="AI1" s="941" t="s">
        <v>409</v>
      </c>
      <c r="AJ1" s="941" t="s">
        <v>410</v>
      </c>
    </row>
    <row r="2" spans="1:36" ht="19.5" customHeight="1">
      <c r="A2" s="959" t="s">
        <v>369</v>
      </c>
      <c r="B2" s="960">
        <v>1</v>
      </c>
      <c r="C2" s="961">
        <v>9</v>
      </c>
      <c r="D2" s="962">
        <v>2019</v>
      </c>
      <c r="E2" s="973"/>
      <c r="F2" s="943">
        <f>Elect!J6</f>
        <v>6636</v>
      </c>
      <c r="G2" s="943">
        <f>Elect!K6</f>
        <v>4036</v>
      </c>
      <c r="H2" s="943">
        <f>Elect!Q6</f>
        <v>750</v>
      </c>
      <c r="I2" s="944">
        <f>Elect!W6</f>
        <v>133</v>
      </c>
      <c r="J2" s="944">
        <f>Elect!Y6</f>
        <v>273</v>
      </c>
      <c r="K2" s="944">
        <f>Elect!AA6</f>
        <v>0</v>
      </c>
      <c r="L2" s="943">
        <f>Elect!AC6</f>
        <v>3931.5400000000004</v>
      </c>
      <c r="M2" s="945">
        <f>Elect!AE6</f>
        <v>0</v>
      </c>
      <c r="N2" s="945">
        <f>Elect!AG6</f>
        <v>3753.9900000000002</v>
      </c>
      <c r="O2" s="945">
        <f>Elect!AI6</f>
        <v>1009.6500000000001</v>
      </c>
      <c r="P2" s="945">
        <f>Elect!AK6</f>
        <v>3465.1400000000003</v>
      </c>
      <c r="Q2" s="945">
        <f>Elect!AN6</f>
        <v>2356</v>
      </c>
      <c r="R2" s="945">
        <f>Elect!AP6</f>
        <v>220</v>
      </c>
      <c r="S2" s="945">
        <f>Elect!AR6</f>
        <v>47.19</v>
      </c>
      <c r="T2" s="945">
        <f>Elect!AT6</f>
        <v>299</v>
      </c>
      <c r="U2" s="945">
        <f>Elect!AV6</f>
        <v>1091</v>
      </c>
      <c r="V2" s="945">
        <f>Elect!AX6</f>
        <v>70</v>
      </c>
      <c r="W2" s="945">
        <f>Elect!AZ6</f>
        <v>6065</v>
      </c>
      <c r="X2" s="945">
        <f>Elect!BB6</f>
        <v>6309</v>
      </c>
      <c r="Y2" s="945">
        <f>Elect!BE6</f>
        <v>0</v>
      </c>
      <c r="Z2" s="945">
        <f>Elect!BG6</f>
        <v>1715</v>
      </c>
      <c r="AA2" s="945">
        <f>Elect!BI6</f>
        <v>106</v>
      </c>
      <c r="AB2" s="945">
        <f>Elect!BK6</f>
        <v>168</v>
      </c>
      <c r="AC2" s="970"/>
      <c r="AD2" s="945">
        <f>Water!C7</f>
        <v>156.6</v>
      </c>
      <c r="AE2" s="945">
        <f>Water!E7</f>
        <v>475.59999999999997</v>
      </c>
      <c r="AF2" s="945">
        <f>Water!G7</f>
        <v>2.9</v>
      </c>
      <c r="AG2" s="970"/>
      <c r="AH2" s="945">
        <f>Gas!C7</f>
        <v>1545.48</v>
      </c>
      <c r="AI2" s="945">
        <f>Gas!E7</f>
        <v>192.5</v>
      </c>
      <c r="AJ2" s="945">
        <f>Gas!G7</f>
        <v>124</v>
      </c>
    </row>
    <row r="3" spans="1:36" ht="12.75" customHeight="1">
      <c r="A3" s="963" t="s">
        <v>369</v>
      </c>
      <c r="B3" s="957">
        <f>B2+1</f>
        <v>2</v>
      </c>
      <c r="C3" s="958">
        <v>9</v>
      </c>
      <c r="D3" s="964">
        <v>2019</v>
      </c>
      <c r="E3" s="973"/>
      <c r="F3" s="943">
        <f>Elect!J7</f>
        <v>7526</v>
      </c>
      <c r="G3" s="943">
        <f>Elect!K7</f>
        <v>3498</v>
      </c>
      <c r="H3" s="943">
        <f>Elect!Q7</f>
        <v>450</v>
      </c>
      <c r="I3" s="944">
        <f>Elect!W7</f>
        <v>177</v>
      </c>
      <c r="J3" s="944">
        <f>Elect!Y7</f>
        <v>347</v>
      </c>
      <c r="K3" s="944">
        <f>Elect!AA7</f>
        <v>0</v>
      </c>
      <c r="L3" s="943">
        <f>Elect!AC7</f>
        <v>3996.73</v>
      </c>
      <c r="M3" s="945">
        <f>Elect!AE7</f>
        <v>0</v>
      </c>
      <c r="N3" s="945">
        <f>Elect!AG7</f>
        <v>3251.55</v>
      </c>
      <c r="O3" s="945">
        <f>Elect!AI7</f>
        <v>826.80000000000007</v>
      </c>
      <c r="P3" s="945">
        <f>Elect!AK7</f>
        <v>3739.15</v>
      </c>
      <c r="Q3" s="945">
        <f>Elect!AN7</f>
        <v>2283</v>
      </c>
      <c r="R3" s="945">
        <f>Elect!AP7</f>
        <v>205</v>
      </c>
      <c r="S3" s="945">
        <f>Elect!AR7</f>
        <v>38.39</v>
      </c>
      <c r="T3" s="945">
        <f>Elect!AT7</f>
        <v>242</v>
      </c>
      <c r="U3" s="945">
        <f>Elect!AV7</f>
        <v>1016</v>
      </c>
      <c r="V3" s="945">
        <f>Elect!AX7</f>
        <v>59</v>
      </c>
      <c r="W3" s="945">
        <f>Elect!AZ7</f>
        <v>5012</v>
      </c>
      <c r="X3" s="945">
        <f>Elect!BB7</f>
        <v>5141.8999999999996</v>
      </c>
      <c r="Y3" s="945">
        <f>Elect!BE7</f>
        <v>0</v>
      </c>
      <c r="Z3" s="945">
        <f>Elect!BG7</f>
        <v>1391</v>
      </c>
      <c r="AA3" s="945">
        <f>Elect!BI7</f>
        <v>87</v>
      </c>
      <c r="AB3" s="945">
        <f>Elect!BK7</f>
        <v>99</v>
      </c>
      <c r="AC3" s="970"/>
      <c r="AD3" s="945">
        <f>Water!C8</f>
        <v>249.39999999999998</v>
      </c>
      <c r="AE3" s="945">
        <f>Water!E8</f>
        <v>313.2</v>
      </c>
      <c r="AF3" s="945">
        <f>Water!G8</f>
        <v>2.3199999999999998</v>
      </c>
      <c r="AG3" s="970"/>
      <c r="AH3" s="945">
        <f>Gas!C8</f>
        <v>976.2600000000001</v>
      </c>
      <c r="AI3" s="945">
        <f>Gas!E8</f>
        <v>163.1</v>
      </c>
      <c r="AJ3" s="945">
        <f>Gas!G8</f>
        <v>159</v>
      </c>
    </row>
    <row r="4" spans="1:36" ht="12.75" customHeight="1">
      <c r="A4" s="963" t="s">
        <v>369</v>
      </c>
      <c r="B4" s="957">
        <f t="shared" ref="B4:B31" si="0">B3+1</f>
        <v>3</v>
      </c>
      <c r="C4" s="958">
        <v>9</v>
      </c>
      <c r="D4" s="964">
        <v>2019</v>
      </c>
      <c r="E4" s="973"/>
      <c r="F4" s="943">
        <f>Elect!J8</f>
        <v>4851</v>
      </c>
      <c r="G4" s="943">
        <f>Elect!K8</f>
        <v>5325</v>
      </c>
      <c r="H4" s="943">
        <f>Elect!Q8</f>
        <v>690</v>
      </c>
      <c r="I4" s="944">
        <f>Elect!W8</f>
        <v>92</v>
      </c>
      <c r="J4" s="944">
        <f>Elect!Y8</f>
        <v>205</v>
      </c>
      <c r="K4" s="944">
        <f>Elect!AA8</f>
        <v>0</v>
      </c>
      <c r="L4" s="943">
        <f>Elect!AC8</f>
        <v>3848.3300000000004</v>
      </c>
      <c r="M4" s="945">
        <f>Elect!AE8</f>
        <v>1636.1100000000001</v>
      </c>
      <c r="N4" s="945">
        <f>Elect!AG8</f>
        <v>3334.76</v>
      </c>
      <c r="O4" s="945">
        <f>Elect!AI8</f>
        <v>1340.9</v>
      </c>
      <c r="P4" s="945">
        <f>Elect!AK8</f>
        <v>4934.83</v>
      </c>
      <c r="Q4" s="945">
        <f>Elect!AN8</f>
        <v>2406</v>
      </c>
      <c r="R4" s="945">
        <f>Elect!AP8</f>
        <v>309</v>
      </c>
      <c r="S4" s="945">
        <f>Elect!AR8</f>
        <v>50.93</v>
      </c>
      <c r="T4" s="945">
        <f>Elect!AT8</f>
        <v>367</v>
      </c>
      <c r="U4" s="945">
        <f>Elect!AV8</f>
        <v>1548</v>
      </c>
      <c r="V4" s="945">
        <f>Elect!AX8</f>
        <v>80</v>
      </c>
      <c r="W4" s="945">
        <f>Elect!AZ8</f>
        <v>7692</v>
      </c>
      <c r="X4" s="945">
        <f>Elect!BB8</f>
        <v>7010.2</v>
      </c>
      <c r="Y4" s="945">
        <f>Elect!BE8</f>
        <v>0</v>
      </c>
      <c r="Z4" s="945">
        <f>Elect!BG8</f>
        <v>1863</v>
      </c>
      <c r="AA4" s="945">
        <f>Elect!BI8</f>
        <v>114</v>
      </c>
      <c r="AB4" s="945">
        <f>Elect!BK8</f>
        <v>230</v>
      </c>
      <c r="AC4" s="970"/>
      <c r="AD4" s="945">
        <f>Water!C9</f>
        <v>243.6</v>
      </c>
      <c r="AE4" s="945">
        <f>Water!E9</f>
        <v>330.59999999999997</v>
      </c>
      <c r="AF4" s="945">
        <f>Water!G9</f>
        <v>2.3199999999999998</v>
      </c>
      <c r="AG4" s="970"/>
      <c r="AH4" s="945">
        <f>Gas!C9</f>
        <v>942.34</v>
      </c>
      <c r="AI4" s="945">
        <f>Gas!E9</f>
        <v>172.89999999999998</v>
      </c>
      <c r="AJ4" s="945">
        <f>Gas!G9</f>
        <v>110</v>
      </c>
    </row>
    <row r="5" spans="1:36" ht="12.75" customHeight="1">
      <c r="A5" s="963" t="s">
        <v>369</v>
      </c>
      <c r="B5" s="957">
        <f t="shared" si="0"/>
        <v>4</v>
      </c>
      <c r="C5" s="958">
        <v>9</v>
      </c>
      <c r="D5" s="964">
        <v>2019</v>
      </c>
      <c r="E5" s="973"/>
      <c r="F5" s="943">
        <f>Elect!J9</f>
        <v>6474</v>
      </c>
      <c r="G5" s="943">
        <f>Elect!K9</f>
        <v>4142</v>
      </c>
      <c r="H5" s="943">
        <f>Elect!Q9</f>
        <v>930</v>
      </c>
      <c r="I5" s="944">
        <f>Elect!W9</f>
        <v>141</v>
      </c>
      <c r="J5" s="944">
        <f>Elect!Y9</f>
        <v>291</v>
      </c>
      <c r="K5" s="944">
        <f>Elect!AA9</f>
        <v>0</v>
      </c>
      <c r="L5" s="943">
        <f>Elect!AC9</f>
        <v>3876.42</v>
      </c>
      <c r="M5" s="945">
        <f>Elect!AE9</f>
        <v>3927.8300000000004</v>
      </c>
      <c r="N5" s="945">
        <f>Elect!AG9</f>
        <v>0</v>
      </c>
      <c r="O5" s="945">
        <f>Elect!AI9</f>
        <v>922.2</v>
      </c>
      <c r="P5" s="945">
        <f>Elect!AK9</f>
        <v>3981.8900000000003</v>
      </c>
      <c r="Q5" s="945">
        <f>Elect!AN9</f>
        <v>2254</v>
      </c>
      <c r="R5" s="945">
        <f>Elect!AP9</f>
        <v>248</v>
      </c>
      <c r="S5" s="945">
        <f>Elect!AR9</f>
        <v>43.78</v>
      </c>
      <c r="T5" s="945">
        <f>Elect!AT9</f>
        <v>314</v>
      </c>
      <c r="U5" s="945">
        <f>Elect!AV9</f>
        <v>1219</v>
      </c>
      <c r="V5" s="945">
        <f>Elect!AX9</f>
        <v>73</v>
      </c>
      <c r="W5" s="945">
        <f>Elect!AZ9</f>
        <v>5728</v>
      </c>
      <c r="X5" s="945">
        <f>Elect!BB9</f>
        <v>6297.3</v>
      </c>
      <c r="Y5" s="945">
        <f>Elect!BE9</f>
        <v>0</v>
      </c>
      <c r="Z5" s="945">
        <f>Elect!BG9</f>
        <v>1592</v>
      </c>
      <c r="AA5" s="945">
        <f>Elect!BI9</f>
        <v>103</v>
      </c>
      <c r="AB5" s="945">
        <f>Elect!BK9</f>
        <v>164</v>
      </c>
      <c r="AC5" s="970"/>
      <c r="AD5" s="945">
        <f>Water!C10</f>
        <v>272.59999999999997</v>
      </c>
      <c r="AE5" s="945">
        <f>Water!E10</f>
        <v>290</v>
      </c>
      <c r="AF5" s="945">
        <f>Water!G10</f>
        <v>1.1599999999999999</v>
      </c>
      <c r="AG5" s="970"/>
      <c r="AH5" s="945">
        <f>Gas!C10</f>
        <v>1075.9000000000001</v>
      </c>
      <c r="AI5" s="945">
        <f>Gas!E10</f>
        <v>132.29999999999998</v>
      </c>
      <c r="AJ5" s="945">
        <f>Gas!G10</f>
        <v>106</v>
      </c>
    </row>
    <row r="6" spans="1:36" ht="12.75" customHeight="1">
      <c r="A6" s="963" t="s">
        <v>369</v>
      </c>
      <c r="B6" s="957">
        <f t="shared" si="0"/>
        <v>5</v>
      </c>
      <c r="C6" s="958">
        <v>9</v>
      </c>
      <c r="D6" s="964">
        <v>2019</v>
      </c>
      <c r="E6" s="973"/>
      <c r="F6" s="943">
        <f>Elect!J10</f>
        <v>6124</v>
      </c>
      <c r="G6" s="943">
        <f>Elect!K10</f>
        <v>4011</v>
      </c>
      <c r="H6" s="943">
        <f>Elect!Q10</f>
        <v>720</v>
      </c>
      <c r="I6" s="944">
        <f>Elect!W10</f>
        <v>132</v>
      </c>
      <c r="J6" s="944">
        <f>Elect!Y10</f>
        <v>273</v>
      </c>
      <c r="K6" s="944">
        <f>Elect!AA10</f>
        <v>0</v>
      </c>
      <c r="L6" s="943">
        <f>Elect!AC10</f>
        <v>3911.9300000000003</v>
      </c>
      <c r="M6" s="945">
        <f>Elect!AE10</f>
        <v>3884.3700000000003</v>
      </c>
      <c r="N6" s="945">
        <f>Elect!AG10</f>
        <v>0</v>
      </c>
      <c r="O6" s="945">
        <f>Elect!AI10</f>
        <v>941.81000000000006</v>
      </c>
      <c r="P6" s="945">
        <f>Elect!AK10</f>
        <v>3879.6000000000004</v>
      </c>
      <c r="Q6" s="945">
        <f>Elect!AN10</f>
        <v>2272</v>
      </c>
      <c r="R6" s="945">
        <f>Elect!AP10</f>
        <v>229</v>
      </c>
      <c r="S6" s="945">
        <f>Elect!AR10</f>
        <v>50.05</v>
      </c>
      <c r="T6" s="945">
        <f>Elect!AT10</f>
        <v>355</v>
      </c>
      <c r="U6" s="945">
        <f>Elect!AV10</f>
        <v>1196</v>
      </c>
      <c r="V6" s="945">
        <f>Elect!AX10</f>
        <v>67</v>
      </c>
      <c r="W6" s="945">
        <f>Elect!AZ10</f>
        <v>5865</v>
      </c>
      <c r="X6" s="945">
        <f>Elect!BB10</f>
        <v>6863.1</v>
      </c>
      <c r="Y6" s="945">
        <f>Elect!BE10</f>
        <v>0</v>
      </c>
      <c r="Z6" s="945">
        <f>Elect!BG10</f>
        <v>1834</v>
      </c>
      <c r="AA6" s="945">
        <f>Elect!BI10</f>
        <v>117</v>
      </c>
      <c r="AB6" s="945">
        <f>Elect!BK10</f>
        <v>178</v>
      </c>
      <c r="AC6" s="970"/>
      <c r="AD6" s="945">
        <f>Water!C11</f>
        <v>226.2</v>
      </c>
      <c r="AE6" s="945">
        <f>Water!E11</f>
        <v>348</v>
      </c>
      <c r="AF6" s="945">
        <f>Water!G11</f>
        <v>5.8</v>
      </c>
      <c r="AG6" s="970"/>
      <c r="AH6" s="945">
        <f>Gas!C11</f>
        <v>875.56000000000006</v>
      </c>
      <c r="AI6" s="945">
        <f>Gas!E11</f>
        <v>193.2</v>
      </c>
      <c r="AJ6" s="945">
        <f>Gas!G11</f>
        <v>120</v>
      </c>
    </row>
    <row r="7" spans="1:36" ht="12.75" customHeight="1">
      <c r="A7" s="963" t="s">
        <v>369</v>
      </c>
      <c r="B7" s="957">
        <f t="shared" si="0"/>
        <v>6</v>
      </c>
      <c r="C7" s="958">
        <v>9</v>
      </c>
      <c r="D7" s="964">
        <v>2019</v>
      </c>
      <c r="E7" s="973"/>
      <c r="F7" s="943">
        <f>Elect!J11</f>
        <v>6203</v>
      </c>
      <c r="G7" s="943">
        <f>Elect!K11</f>
        <v>3858</v>
      </c>
      <c r="H7" s="943">
        <f>Elect!Q11</f>
        <v>750</v>
      </c>
      <c r="I7" s="944">
        <f>Elect!W11</f>
        <v>137</v>
      </c>
      <c r="J7" s="944">
        <f>Elect!Y11</f>
        <v>284</v>
      </c>
      <c r="K7" s="944">
        <f>Elect!AA11</f>
        <v>0</v>
      </c>
      <c r="L7" s="943">
        <f>Elect!AC11</f>
        <v>3961.75</v>
      </c>
      <c r="M7" s="945">
        <f>Elect!AE11</f>
        <v>1694.41</v>
      </c>
      <c r="N7" s="945">
        <f>Elect!AG11</f>
        <v>2121.59</v>
      </c>
      <c r="O7" s="945">
        <f>Elect!AI11</f>
        <v>1027.67</v>
      </c>
      <c r="P7" s="945">
        <f>Elect!AK11</f>
        <v>3643.2200000000003</v>
      </c>
      <c r="Q7" s="945">
        <f>Elect!AN11</f>
        <v>1992</v>
      </c>
      <c r="R7" s="945">
        <f>Elect!AP11</f>
        <v>246</v>
      </c>
      <c r="S7" s="945">
        <f>Elect!AR11</f>
        <v>44.99</v>
      </c>
      <c r="T7" s="945">
        <f>Elect!AT11</f>
        <v>302</v>
      </c>
      <c r="U7" s="945">
        <f>Elect!AV11</f>
        <v>1120</v>
      </c>
      <c r="V7" s="945">
        <f>Elect!AX11</f>
        <v>71</v>
      </c>
      <c r="W7" s="945">
        <f>Elect!AZ11</f>
        <v>6911</v>
      </c>
      <c r="X7" s="945">
        <f>Elect!BB11</f>
        <v>6016.2</v>
      </c>
      <c r="Y7" s="945">
        <f>Elect!BE11</f>
        <v>0</v>
      </c>
      <c r="Z7" s="945">
        <f>Elect!BG11</f>
        <v>1668</v>
      </c>
      <c r="AA7" s="945">
        <f>Elect!BI11</f>
        <v>96</v>
      </c>
      <c r="AB7" s="945">
        <f>Elect!BK11</f>
        <v>153</v>
      </c>
      <c r="AC7" s="970"/>
      <c r="AD7" s="945">
        <f>Water!C12</f>
        <v>208.79999999999998</v>
      </c>
      <c r="AE7" s="945">
        <f>Water!E12</f>
        <v>342.2</v>
      </c>
      <c r="AF7" s="945">
        <f>Water!G12</f>
        <v>5.8</v>
      </c>
      <c r="AG7" s="970"/>
      <c r="AH7" s="945">
        <f>Gas!C12</f>
        <v>985.80000000000007</v>
      </c>
      <c r="AI7" s="945">
        <f>Gas!E12</f>
        <v>202.29999999999998</v>
      </c>
      <c r="AJ7" s="945">
        <f>Gas!G12</f>
        <v>133</v>
      </c>
    </row>
    <row r="8" spans="1:36" ht="12.75" customHeight="1">
      <c r="A8" s="963" t="s">
        <v>369</v>
      </c>
      <c r="B8" s="957">
        <f t="shared" si="0"/>
        <v>7</v>
      </c>
      <c r="C8" s="958">
        <v>9</v>
      </c>
      <c r="D8" s="964">
        <v>2019</v>
      </c>
      <c r="E8" s="973"/>
      <c r="F8" s="943">
        <f>Elect!J12</f>
        <v>6233</v>
      </c>
      <c r="G8" s="943">
        <f>Elect!K12</f>
        <v>3836</v>
      </c>
      <c r="H8" s="943">
        <f>Elect!Q12</f>
        <v>750</v>
      </c>
      <c r="I8" s="944">
        <f>Elect!W12</f>
        <v>136</v>
      </c>
      <c r="J8" s="944">
        <f>Elect!Y12</f>
        <v>274</v>
      </c>
      <c r="K8" s="944">
        <f>Elect!AA12</f>
        <v>0</v>
      </c>
      <c r="L8" s="943">
        <f>Elect!AC12</f>
        <v>3993.02</v>
      </c>
      <c r="M8" s="945">
        <f>Elect!AE12</f>
        <v>3714.77</v>
      </c>
      <c r="N8" s="945">
        <f>Elect!AG12</f>
        <v>156.88</v>
      </c>
      <c r="O8" s="945">
        <f>Elect!AI12</f>
        <v>1117.24</v>
      </c>
      <c r="P8" s="945">
        <f>Elect!AK12</f>
        <v>3294.48</v>
      </c>
      <c r="Q8" s="945">
        <f>Elect!AN12</f>
        <v>2375</v>
      </c>
      <c r="R8" s="945">
        <f>Elect!AP12</f>
        <v>248</v>
      </c>
      <c r="S8" s="945">
        <f>Elect!AR12</f>
        <v>47.08</v>
      </c>
      <c r="T8" s="945">
        <f>Elect!AT12</f>
        <v>314</v>
      </c>
      <c r="U8" s="945">
        <f>Elect!AV12</f>
        <v>1209</v>
      </c>
      <c r="V8" s="945">
        <f>Elect!AX12</f>
        <v>70</v>
      </c>
      <c r="W8" s="945">
        <f>Elect!AZ12</f>
        <v>5353</v>
      </c>
      <c r="X8" s="945">
        <f>Elect!BB12</f>
        <v>6189.1</v>
      </c>
      <c r="Y8" s="945">
        <f>Elect!BE12</f>
        <v>0</v>
      </c>
      <c r="Z8" s="945">
        <f>Elect!BG12</f>
        <v>1679</v>
      </c>
      <c r="AA8" s="945">
        <f>Elect!BI12</f>
        <v>103</v>
      </c>
      <c r="AB8" s="945">
        <f>Elect!BK12</f>
        <v>160</v>
      </c>
      <c r="AC8" s="970"/>
      <c r="AD8" s="945">
        <f>Water!C13</f>
        <v>243.6</v>
      </c>
      <c r="AE8" s="945">
        <f>Water!E13</f>
        <v>348</v>
      </c>
      <c r="AF8" s="945">
        <f>Water!G13</f>
        <v>5.22</v>
      </c>
      <c r="AG8" s="970"/>
      <c r="AH8" s="945">
        <f>Gas!C13</f>
        <v>1147.98</v>
      </c>
      <c r="AI8" s="945">
        <f>Gas!E13</f>
        <v>149.79999999999998</v>
      </c>
      <c r="AJ8" s="945">
        <f>Gas!G13</f>
        <v>84</v>
      </c>
    </row>
    <row r="9" spans="1:36" ht="12.75" customHeight="1">
      <c r="A9" s="963" t="s">
        <v>369</v>
      </c>
      <c r="B9" s="957">
        <f t="shared" si="0"/>
        <v>8</v>
      </c>
      <c r="C9" s="958">
        <v>9</v>
      </c>
      <c r="D9" s="964">
        <v>2019</v>
      </c>
      <c r="E9" s="973"/>
      <c r="F9" s="943">
        <f>Elect!J13</f>
        <v>6577</v>
      </c>
      <c r="G9" s="943">
        <f>Elect!K13</f>
        <v>4240</v>
      </c>
      <c r="H9" s="943">
        <f>Elect!Q13</f>
        <v>690</v>
      </c>
      <c r="I9" s="944">
        <f>Elect!W13</f>
        <v>133</v>
      </c>
      <c r="J9" s="944">
        <f>Elect!Y13</f>
        <v>287</v>
      </c>
      <c r="K9" s="944">
        <f>Elect!AA13</f>
        <v>0</v>
      </c>
      <c r="L9" s="943">
        <f>Elect!AC13</f>
        <v>3947.44</v>
      </c>
      <c r="M9" s="945">
        <f>Elect!AE13</f>
        <v>3977.65</v>
      </c>
      <c r="N9" s="945">
        <f>Elect!AG13</f>
        <v>0</v>
      </c>
      <c r="O9" s="945">
        <f>Elect!AI13</f>
        <v>1121.48</v>
      </c>
      <c r="P9" s="945">
        <f>Elect!AK13</f>
        <v>4009.98</v>
      </c>
      <c r="Q9" s="945">
        <f>Elect!AN13</f>
        <v>2225</v>
      </c>
      <c r="R9" s="945">
        <f>Elect!AP13</f>
        <v>272</v>
      </c>
      <c r="S9" s="945">
        <f>Elect!AR13</f>
        <v>44.55</v>
      </c>
      <c r="T9" s="945">
        <f>Elect!AT13</f>
        <v>352</v>
      </c>
      <c r="U9" s="945">
        <f>Elect!AV13</f>
        <v>1330</v>
      </c>
      <c r="V9" s="945">
        <f>Elect!AX13</f>
        <v>71</v>
      </c>
      <c r="W9" s="945">
        <f>Elect!AZ13</f>
        <v>6043</v>
      </c>
      <c r="X9" s="945">
        <f>Elect!BB13</f>
        <v>6300.2</v>
      </c>
      <c r="Y9" s="945">
        <f>Elect!BE13</f>
        <v>0</v>
      </c>
      <c r="Z9" s="945">
        <f>Elect!BG13</f>
        <v>1688</v>
      </c>
      <c r="AA9" s="945">
        <f>Elect!BI13</f>
        <v>102</v>
      </c>
      <c r="AB9" s="945">
        <f>Elect!BK13</f>
        <v>161</v>
      </c>
      <c r="AC9" s="970"/>
      <c r="AD9" s="945">
        <f>Water!C14</f>
        <v>179.79999999999998</v>
      </c>
      <c r="AE9" s="945">
        <f>Water!E14</f>
        <v>365.4</v>
      </c>
      <c r="AF9" s="945">
        <f>Water!G14</f>
        <v>6.9599999999999991</v>
      </c>
      <c r="AG9" s="970"/>
      <c r="AH9" s="945">
        <f>Gas!C14</f>
        <v>934.92000000000007</v>
      </c>
      <c r="AI9" s="945">
        <f>Gas!E14</f>
        <v>221.89999999999998</v>
      </c>
      <c r="AJ9" s="945">
        <f>Gas!G14</f>
        <v>113</v>
      </c>
    </row>
    <row r="10" spans="1:36" ht="12.75" customHeight="1">
      <c r="A10" s="963" t="s">
        <v>369</v>
      </c>
      <c r="B10" s="957">
        <f t="shared" si="0"/>
        <v>9</v>
      </c>
      <c r="C10" s="958">
        <v>9</v>
      </c>
      <c r="D10" s="964">
        <v>2019</v>
      </c>
      <c r="E10" s="973"/>
      <c r="F10" s="943">
        <f>Elect!J14</f>
        <v>6458</v>
      </c>
      <c r="G10" s="943">
        <f>Elect!K14</f>
        <v>4218</v>
      </c>
      <c r="H10" s="943">
        <f>Elect!Q14</f>
        <v>750</v>
      </c>
      <c r="I10" s="944">
        <f>Elect!W14</f>
        <v>143</v>
      </c>
      <c r="J10" s="944">
        <f>Elect!Y14</f>
        <v>279</v>
      </c>
      <c r="K10" s="944">
        <f>Elect!AA14</f>
        <v>0</v>
      </c>
      <c r="L10" s="943">
        <f>Elect!AC14</f>
        <v>3796.3900000000003</v>
      </c>
      <c r="M10" s="945">
        <f>Elect!AE14</f>
        <v>3799.04</v>
      </c>
      <c r="N10" s="945">
        <f>Elect!AG14</f>
        <v>0</v>
      </c>
      <c r="O10" s="945">
        <f>Elect!AI14</f>
        <v>1000.11</v>
      </c>
      <c r="P10" s="945">
        <f>Elect!AK14</f>
        <v>3699.4</v>
      </c>
      <c r="Q10" s="945">
        <f>Elect!AN14</f>
        <v>2233</v>
      </c>
      <c r="R10" s="945">
        <f>Elect!AP14</f>
        <v>241</v>
      </c>
      <c r="S10" s="945">
        <f>Elect!AR14</f>
        <v>48.51</v>
      </c>
      <c r="T10" s="945">
        <f>Elect!AT14</f>
        <v>293</v>
      </c>
      <c r="U10" s="945">
        <f>Elect!AV14</f>
        <v>1351</v>
      </c>
      <c r="V10" s="945">
        <f>Elect!AX14</f>
        <v>70</v>
      </c>
      <c r="W10" s="945">
        <f>Elect!AZ14</f>
        <v>7066</v>
      </c>
      <c r="X10" s="945">
        <f>Elect!BB14</f>
        <v>6663</v>
      </c>
      <c r="Y10" s="945">
        <f>Elect!BE14</f>
        <v>0</v>
      </c>
      <c r="Z10" s="945">
        <f>Elect!BG14</f>
        <v>1780</v>
      </c>
      <c r="AA10" s="945">
        <f>Elect!BI14</f>
        <v>116</v>
      </c>
      <c r="AB10" s="945">
        <f>Elect!BK14</f>
        <v>176</v>
      </c>
      <c r="AC10" s="970"/>
      <c r="AD10" s="945">
        <f>Water!C15</f>
        <v>255.2</v>
      </c>
      <c r="AE10" s="945">
        <f>Water!E15</f>
        <v>371.2</v>
      </c>
      <c r="AF10" s="945">
        <f>Water!G15</f>
        <v>6.38</v>
      </c>
      <c r="AG10" s="970"/>
      <c r="AH10" s="945">
        <f>Gas!C15</f>
        <v>1451.14</v>
      </c>
      <c r="AI10" s="945">
        <f>Gas!E15</f>
        <v>310.79999999999995</v>
      </c>
      <c r="AJ10" s="945">
        <f>Gas!G15</f>
        <v>150</v>
      </c>
    </row>
    <row r="11" spans="1:36" ht="12.75" customHeight="1">
      <c r="A11" s="963" t="s">
        <v>369</v>
      </c>
      <c r="B11" s="957">
        <f t="shared" si="0"/>
        <v>10</v>
      </c>
      <c r="C11" s="958">
        <v>9</v>
      </c>
      <c r="D11" s="964">
        <v>2019</v>
      </c>
      <c r="E11" s="973"/>
      <c r="F11" s="943">
        <f>Elect!J15</f>
        <v>6224</v>
      </c>
      <c r="G11" s="943">
        <f>Elect!K15</f>
        <v>3616</v>
      </c>
      <c r="H11" s="943">
        <f>Elect!Q15</f>
        <v>630</v>
      </c>
      <c r="I11" s="944">
        <f>Elect!W15</f>
        <v>132</v>
      </c>
      <c r="J11" s="944">
        <f>Elect!Y15</f>
        <v>263</v>
      </c>
      <c r="K11" s="944">
        <f>Elect!AA15</f>
        <v>0</v>
      </c>
      <c r="L11" s="943">
        <f>Elect!AC15</f>
        <v>3376.63</v>
      </c>
      <c r="M11" s="945">
        <f>Elect!AE15</f>
        <v>3955.3900000000003</v>
      </c>
      <c r="N11" s="945">
        <f>Elect!AG15</f>
        <v>0</v>
      </c>
      <c r="O11" s="945">
        <f>Elect!AI15</f>
        <v>931.21</v>
      </c>
      <c r="P11" s="945">
        <f>Elect!AK15</f>
        <v>3248.9</v>
      </c>
      <c r="Q11" s="945">
        <f>Elect!AN15</f>
        <v>2058</v>
      </c>
      <c r="R11" s="945">
        <f>Elect!AP15</f>
        <v>230</v>
      </c>
      <c r="S11" s="945">
        <f>Elect!AR15</f>
        <v>37.29</v>
      </c>
      <c r="T11" s="945">
        <f>Elect!AT15</f>
        <v>274</v>
      </c>
      <c r="U11" s="945">
        <f>Elect!AV15</f>
        <v>1193</v>
      </c>
      <c r="V11" s="945">
        <f>Elect!AX15</f>
        <v>19</v>
      </c>
      <c r="W11" s="945">
        <f>Elect!AZ15</f>
        <v>6418</v>
      </c>
      <c r="X11" s="945">
        <f>Elect!BB15</f>
        <v>5581.3</v>
      </c>
      <c r="Y11" s="945">
        <f>Elect!BE15</f>
        <v>0</v>
      </c>
      <c r="Z11" s="945">
        <f>Elect!BG15</f>
        <v>1462</v>
      </c>
      <c r="AA11" s="945">
        <f>Elect!BI15</f>
        <v>91</v>
      </c>
      <c r="AB11" s="945">
        <f>Elect!BK15</f>
        <v>143</v>
      </c>
      <c r="AC11" s="970"/>
      <c r="AD11" s="945">
        <f>Water!C16</f>
        <v>231.99999999999997</v>
      </c>
      <c r="AE11" s="945">
        <f>Water!E16</f>
        <v>307.39999999999998</v>
      </c>
      <c r="AF11" s="945">
        <f>Water!G16</f>
        <v>4.6399999999999997</v>
      </c>
      <c r="AG11" s="970"/>
      <c r="AH11" s="945">
        <f>Gas!C16</f>
        <v>809.84</v>
      </c>
      <c r="AI11" s="945">
        <f>Gas!E16</f>
        <v>130.9</v>
      </c>
      <c r="AJ11" s="945">
        <f>Gas!G16</f>
        <v>103</v>
      </c>
    </row>
    <row r="12" spans="1:36" ht="12.75" customHeight="1">
      <c r="A12" s="963" t="s">
        <v>369</v>
      </c>
      <c r="B12" s="957">
        <f t="shared" si="0"/>
        <v>11</v>
      </c>
      <c r="C12" s="958">
        <v>9</v>
      </c>
      <c r="D12" s="964">
        <v>2019</v>
      </c>
      <c r="E12" s="973"/>
      <c r="F12" s="943">
        <f>Elect!J16</f>
        <v>6714</v>
      </c>
      <c r="G12" s="943">
        <f>Elect!K16</f>
        <v>4352</v>
      </c>
      <c r="H12" s="943">
        <f>Elect!Q16</f>
        <v>780</v>
      </c>
      <c r="I12" s="944">
        <f>Elect!W16</f>
        <v>144</v>
      </c>
      <c r="J12" s="944">
        <f>Elect!Y16</f>
        <v>295</v>
      </c>
      <c r="K12" s="944">
        <f>Elect!AA16</f>
        <v>0</v>
      </c>
      <c r="L12" s="943">
        <f>Elect!AC16</f>
        <v>3896.5600000000004</v>
      </c>
      <c r="M12" s="945">
        <f>Elect!AE16</f>
        <v>3988.25</v>
      </c>
      <c r="N12" s="945">
        <f>Elect!AG16</f>
        <v>0</v>
      </c>
      <c r="O12" s="945">
        <f>Elect!AI16</f>
        <v>1237.55</v>
      </c>
      <c r="P12" s="945">
        <f>Elect!AK16</f>
        <v>4154.67</v>
      </c>
      <c r="Q12" s="945">
        <f>Elect!AN16</f>
        <v>2466</v>
      </c>
      <c r="R12" s="945">
        <f>Elect!AP16</f>
        <v>272</v>
      </c>
      <c r="S12" s="945">
        <f>Elect!AR16</f>
        <v>44.33</v>
      </c>
      <c r="T12" s="945">
        <f>Elect!AT16</f>
        <v>307</v>
      </c>
      <c r="U12" s="945">
        <f>Elect!AV16</f>
        <v>1394</v>
      </c>
      <c r="V12" s="945">
        <f>Elect!AX16</f>
        <v>50</v>
      </c>
      <c r="W12" s="945">
        <f>Elect!AZ16</f>
        <v>5071</v>
      </c>
      <c r="X12" s="945">
        <f>Elect!BB16</f>
        <v>6458</v>
      </c>
      <c r="Y12" s="945">
        <f>Elect!BE16</f>
        <v>0</v>
      </c>
      <c r="Z12" s="945">
        <f>Elect!BG16</f>
        <v>1650</v>
      </c>
      <c r="AA12" s="945">
        <f>Elect!BI16</f>
        <v>110</v>
      </c>
      <c r="AB12" s="945">
        <f>Elect!BK16</f>
        <v>168</v>
      </c>
      <c r="AC12" s="970"/>
      <c r="AD12" s="945">
        <f>Water!C17</f>
        <v>197.2</v>
      </c>
      <c r="AE12" s="945">
        <f>Water!E17</f>
        <v>382.79999999999995</v>
      </c>
      <c r="AF12" s="945">
        <f>Water!G17</f>
        <v>6.9599999999999991</v>
      </c>
      <c r="AG12" s="970"/>
      <c r="AH12" s="945">
        <f>Gas!C17</f>
        <v>868.1400000000001</v>
      </c>
      <c r="AI12" s="945">
        <f>Gas!E17</f>
        <v>227.49999999999997</v>
      </c>
      <c r="AJ12" s="945">
        <f>Gas!G17</f>
        <v>63</v>
      </c>
    </row>
    <row r="13" spans="1:36" ht="12.75" customHeight="1">
      <c r="A13" s="963" t="s">
        <v>369</v>
      </c>
      <c r="B13" s="957">
        <f t="shared" si="0"/>
        <v>12</v>
      </c>
      <c r="C13" s="958">
        <v>9</v>
      </c>
      <c r="D13" s="964">
        <v>2019</v>
      </c>
      <c r="E13" s="973"/>
      <c r="F13" s="943">
        <f>Elect!J17</f>
        <v>5854</v>
      </c>
      <c r="G13" s="943">
        <f>Elect!K17</f>
        <v>3990</v>
      </c>
      <c r="H13" s="943">
        <f>Elect!Q17</f>
        <v>750</v>
      </c>
      <c r="I13" s="944">
        <f>Elect!W17</f>
        <v>127</v>
      </c>
      <c r="J13" s="944">
        <f>Elect!Y17</f>
        <v>260</v>
      </c>
      <c r="K13" s="944">
        <f>Elect!AA17</f>
        <v>0</v>
      </c>
      <c r="L13" s="943">
        <f>Elect!AC17</f>
        <v>3913.52</v>
      </c>
      <c r="M13" s="945">
        <f>Elect!AE17</f>
        <v>3931.01</v>
      </c>
      <c r="N13" s="945">
        <f>Elect!AG17</f>
        <v>0</v>
      </c>
      <c r="O13" s="945">
        <f>Elect!AI17</f>
        <v>1146.3900000000001</v>
      </c>
      <c r="P13" s="945">
        <f>Elect!AK17</f>
        <v>3940.55</v>
      </c>
      <c r="Q13" s="945">
        <f>Elect!AN17</f>
        <v>1920</v>
      </c>
      <c r="R13" s="945">
        <f>Elect!AP17</f>
        <v>242</v>
      </c>
      <c r="S13" s="945">
        <f>Elect!AR17</f>
        <v>41.03</v>
      </c>
      <c r="T13" s="945">
        <f>Elect!AT17</f>
        <v>287</v>
      </c>
      <c r="U13" s="945">
        <f>Elect!AV17</f>
        <v>1301</v>
      </c>
      <c r="V13" s="945">
        <f>Elect!AX17</f>
        <v>64</v>
      </c>
      <c r="W13" s="945">
        <f>Elect!AZ17</f>
        <v>6150</v>
      </c>
      <c r="X13" s="945">
        <f>Elect!BB17</f>
        <v>5681.5</v>
      </c>
      <c r="Y13" s="945">
        <f>Elect!BE17</f>
        <v>0</v>
      </c>
      <c r="Z13" s="945">
        <f>Elect!BG17</f>
        <v>1450</v>
      </c>
      <c r="AA13" s="945">
        <f>Elect!BI17</f>
        <v>95</v>
      </c>
      <c r="AB13" s="945">
        <f>Elect!BK17</f>
        <v>144</v>
      </c>
      <c r="AC13" s="970"/>
      <c r="AD13" s="945">
        <f>Water!C18</f>
        <v>197.2</v>
      </c>
      <c r="AE13" s="945">
        <f>Water!E18</f>
        <v>307.39999999999998</v>
      </c>
      <c r="AF13" s="945">
        <f>Water!G18</f>
        <v>6.38</v>
      </c>
      <c r="AG13" s="970"/>
      <c r="AH13" s="945">
        <f>Gas!C18</f>
        <v>1361.04</v>
      </c>
      <c r="AI13" s="945">
        <f>Gas!E18</f>
        <v>208.6</v>
      </c>
      <c r="AJ13" s="945">
        <f>Gas!G18</f>
        <v>69</v>
      </c>
    </row>
    <row r="14" spans="1:36" ht="12.75" customHeight="1">
      <c r="A14" s="963" t="s">
        <v>369</v>
      </c>
      <c r="B14" s="957">
        <f t="shared" si="0"/>
        <v>13</v>
      </c>
      <c r="C14" s="958">
        <v>9</v>
      </c>
      <c r="D14" s="964">
        <v>2019</v>
      </c>
      <c r="E14" s="973"/>
      <c r="F14" s="943">
        <f>Elect!J18</f>
        <v>6192</v>
      </c>
      <c r="G14" s="943">
        <f>Elect!K18</f>
        <v>3753</v>
      </c>
      <c r="H14" s="943">
        <f>Elect!Q18</f>
        <v>750</v>
      </c>
      <c r="I14" s="944">
        <f>Elect!W18</f>
        <v>134</v>
      </c>
      <c r="J14" s="944">
        <f>Elect!Y18</f>
        <v>269</v>
      </c>
      <c r="K14" s="944">
        <f>Elect!AA18</f>
        <v>0</v>
      </c>
      <c r="L14" s="943">
        <f>Elect!AC18</f>
        <v>2785.6800000000003</v>
      </c>
      <c r="M14" s="945">
        <f>Elect!AE18</f>
        <v>3647.46</v>
      </c>
      <c r="N14" s="945">
        <f>Elect!AG18</f>
        <v>0</v>
      </c>
      <c r="O14" s="945">
        <f>Elect!AI18</f>
        <v>1036.68</v>
      </c>
      <c r="P14" s="945">
        <f>Elect!AK18</f>
        <v>3634.21</v>
      </c>
      <c r="Q14" s="945">
        <f>Elect!AN18</f>
        <v>2101</v>
      </c>
      <c r="R14" s="945">
        <f>Elect!AP18</f>
        <v>247</v>
      </c>
      <c r="S14" s="945">
        <f>Elect!AR18</f>
        <v>44.660000000000004</v>
      </c>
      <c r="T14" s="945">
        <f>Elect!AT18</f>
        <v>314</v>
      </c>
      <c r="U14" s="945">
        <f>Elect!AV18</f>
        <v>1239</v>
      </c>
      <c r="V14" s="945">
        <f>Elect!AX18</f>
        <v>33</v>
      </c>
      <c r="W14" s="945">
        <f>Elect!AZ18</f>
        <v>6093</v>
      </c>
      <c r="X14" s="945">
        <f>Elect!BB18</f>
        <v>6063.1</v>
      </c>
      <c r="Y14" s="945">
        <f>Elect!BE18</f>
        <v>0</v>
      </c>
      <c r="Z14" s="945">
        <f>Elect!BG18</f>
        <v>1569</v>
      </c>
      <c r="AA14" s="945">
        <f>Elect!BI18</f>
        <v>107</v>
      </c>
      <c r="AB14" s="945">
        <f>Elect!BK18</f>
        <v>161</v>
      </c>
      <c r="AC14" s="970"/>
      <c r="AD14" s="945">
        <f>Water!C19</f>
        <v>266.79999999999995</v>
      </c>
      <c r="AE14" s="945">
        <f>Water!E19</f>
        <v>348</v>
      </c>
      <c r="AF14" s="945">
        <f>Water!G19</f>
        <v>4.0599999999999996</v>
      </c>
      <c r="AG14" s="970"/>
      <c r="AH14" s="945">
        <f>Gas!C19</f>
        <v>905.24</v>
      </c>
      <c r="AI14" s="945">
        <f>Gas!E19</f>
        <v>137.19999999999999</v>
      </c>
      <c r="AJ14" s="945">
        <f>Gas!G19</f>
        <v>61</v>
      </c>
    </row>
    <row r="15" spans="1:36" ht="12.75" customHeight="1">
      <c r="A15" s="963" t="s">
        <v>369</v>
      </c>
      <c r="B15" s="957">
        <f t="shared" si="0"/>
        <v>14</v>
      </c>
      <c r="C15" s="958">
        <v>9</v>
      </c>
      <c r="D15" s="964">
        <v>2019</v>
      </c>
      <c r="E15" s="973"/>
      <c r="F15" s="943">
        <f>Elect!J19</f>
        <v>6441</v>
      </c>
      <c r="G15" s="943">
        <f>Elect!K19</f>
        <v>3872</v>
      </c>
      <c r="H15" s="943">
        <f>Elect!Q19</f>
        <v>720</v>
      </c>
      <c r="I15" s="944">
        <f>Elect!W19</f>
        <v>143</v>
      </c>
      <c r="J15" s="944">
        <f>Elect!Y19</f>
        <v>286</v>
      </c>
      <c r="K15" s="944">
        <f>Elect!AA19</f>
        <v>0</v>
      </c>
      <c r="L15" s="943">
        <f>Elect!AC19</f>
        <v>3255.79</v>
      </c>
      <c r="M15" s="945">
        <f>Elect!AE19</f>
        <v>3791.6200000000003</v>
      </c>
      <c r="N15" s="945">
        <f>Elect!AG19</f>
        <v>0</v>
      </c>
      <c r="O15" s="945">
        <f>Elect!AI19</f>
        <v>885.63</v>
      </c>
      <c r="P15" s="945">
        <f>Elect!AK19</f>
        <v>3563.19</v>
      </c>
      <c r="Q15" s="945">
        <f>Elect!AN19</f>
        <v>2247</v>
      </c>
      <c r="R15" s="945">
        <f>Elect!AP19</f>
        <v>274</v>
      </c>
      <c r="S15" s="945">
        <f>Elect!AR19</f>
        <v>52.25</v>
      </c>
      <c r="T15" s="945">
        <f>Elect!AT19</f>
        <v>388</v>
      </c>
      <c r="U15" s="945">
        <f>Elect!AV19</f>
        <v>1216</v>
      </c>
      <c r="V15" s="945">
        <f>Elect!AX19</f>
        <v>71</v>
      </c>
      <c r="W15" s="945">
        <f>Elect!AZ19</f>
        <v>6150</v>
      </c>
      <c r="X15" s="945">
        <f>Elect!BB19</f>
        <v>6873</v>
      </c>
      <c r="Y15" s="945">
        <f>Elect!BE19</f>
        <v>0</v>
      </c>
      <c r="Z15" s="945">
        <f>Elect!BG19</f>
        <v>1720</v>
      </c>
      <c r="AA15" s="945">
        <f>Elect!BI19</f>
        <v>118</v>
      </c>
      <c r="AB15" s="945">
        <f>Elect!BK19</f>
        <v>183</v>
      </c>
      <c r="AC15" s="970"/>
      <c r="AD15" s="945">
        <f>Water!C20</f>
        <v>226.2</v>
      </c>
      <c r="AE15" s="945">
        <f>Water!E20</f>
        <v>342.2</v>
      </c>
      <c r="AF15" s="945">
        <f>Water!G20</f>
        <v>5.8</v>
      </c>
      <c r="AG15" s="970"/>
      <c r="AH15" s="945">
        <f>Gas!C20</f>
        <v>1047.28</v>
      </c>
      <c r="AI15" s="945">
        <f>Gas!E20</f>
        <v>191.79999999999998</v>
      </c>
      <c r="AJ15" s="945">
        <f>Gas!G20</f>
        <v>68</v>
      </c>
    </row>
    <row r="16" spans="1:36" ht="12.75" customHeight="1">
      <c r="A16" s="963" t="s">
        <v>369</v>
      </c>
      <c r="B16" s="957">
        <f t="shared" si="0"/>
        <v>15</v>
      </c>
      <c r="C16" s="958">
        <v>9</v>
      </c>
      <c r="D16" s="964">
        <v>2019</v>
      </c>
      <c r="E16" s="973"/>
      <c r="F16" s="943">
        <f>Elect!J20</f>
        <v>5923</v>
      </c>
      <c r="G16" s="943">
        <f>Elect!K20</f>
        <v>4086</v>
      </c>
      <c r="H16" s="943">
        <f>Elect!Q20</f>
        <v>720</v>
      </c>
      <c r="I16" s="944">
        <f>Elect!W20</f>
        <v>140</v>
      </c>
      <c r="J16" s="944">
        <f>Elect!Y20</f>
        <v>285</v>
      </c>
      <c r="K16" s="944">
        <f>Elect!AA20</f>
        <v>0</v>
      </c>
      <c r="L16" s="943">
        <f>Elect!AC20</f>
        <v>3365.5</v>
      </c>
      <c r="M16" s="945">
        <f>Elect!AE20</f>
        <v>3982.9500000000003</v>
      </c>
      <c r="N16" s="945">
        <f>Elect!AG20</f>
        <v>25.970000000000002</v>
      </c>
      <c r="O16" s="945">
        <f>Elect!AI20</f>
        <v>1013.36</v>
      </c>
      <c r="P16" s="945">
        <f>Elect!AK20</f>
        <v>3790.03</v>
      </c>
      <c r="Q16" s="945">
        <f>Elect!AN20</f>
        <v>2182</v>
      </c>
      <c r="R16" s="945">
        <f>Elect!AP20</f>
        <v>287</v>
      </c>
      <c r="S16" s="945">
        <f>Elect!AR20</f>
        <v>44</v>
      </c>
      <c r="T16" s="945">
        <f>Elect!AT20</f>
        <v>353</v>
      </c>
      <c r="U16" s="945">
        <f>Elect!AV20</f>
        <v>1182</v>
      </c>
      <c r="V16" s="945">
        <f>Elect!AX20</f>
        <v>71</v>
      </c>
      <c r="W16" s="945">
        <f>Elect!AZ20</f>
        <v>7141</v>
      </c>
      <c r="X16" s="945">
        <f>Elect!BB20</f>
        <v>5956.5</v>
      </c>
      <c r="Y16" s="945">
        <f>Elect!BE20</f>
        <v>0</v>
      </c>
      <c r="Z16" s="945">
        <f>Elect!BG20</f>
        <v>1475</v>
      </c>
      <c r="AA16" s="945">
        <f>Elect!BI20</f>
        <v>97</v>
      </c>
      <c r="AB16" s="945">
        <f>Elect!BK20</f>
        <v>151</v>
      </c>
      <c r="AC16" s="970"/>
      <c r="AD16" s="945">
        <f>Water!C21</f>
        <v>150.79999999999998</v>
      </c>
      <c r="AE16" s="945">
        <f>Water!E21</f>
        <v>348</v>
      </c>
      <c r="AF16" s="945">
        <f>Water!G21</f>
        <v>9.2799999999999994</v>
      </c>
      <c r="AG16" s="970"/>
      <c r="AH16" s="945">
        <f>Gas!C21</f>
        <v>868.1400000000001</v>
      </c>
      <c r="AI16" s="945">
        <f>Gas!E21</f>
        <v>338.79999999999995</v>
      </c>
      <c r="AJ16" s="945">
        <f>Gas!G21</f>
        <v>65</v>
      </c>
    </row>
    <row r="17" spans="1:36" ht="12.75" customHeight="1">
      <c r="A17" s="963" t="s">
        <v>369</v>
      </c>
      <c r="B17" s="957">
        <f t="shared" si="0"/>
        <v>16</v>
      </c>
      <c r="C17" s="958">
        <v>9</v>
      </c>
      <c r="D17" s="964">
        <v>2019</v>
      </c>
      <c r="E17" s="973"/>
      <c r="F17" s="943">
        <f>Elect!J21</f>
        <v>6399</v>
      </c>
      <c r="G17" s="943">
        <f>Elect!K21</f>
        <v>4059</v>
      </c>
      <c r="H17" s="943">
        <f>Elect!Q21</f>
        <v>750</v>
      </c>
      <c r="I17" s="944">
        <f>Elect!W21</f>
        <v>128</v>
      </c>
      <c r="J17" s="944">
        <f>Elect!Y21</f>
        <v>259</v>
      </c>
      <c r="K17" s="944">
        <f>Elect!AA21</f>
        <v>0</v>
      </c>
      <c r="L17" s="943">
        <f>Elect!AC21</f>
        <v>3487.4</v>
      </c>
      <c r="M17" s="945">
        <f>Elect!AE21</f>
        <v>1232.25</v>
      </c>
      <c r="N17" s="945">
        <f>Elect!AG21</f>
        <v>2752.82</v>
      </c>
      <c r="O17" s="945">
        <f>Elect!AI21</f>
        <v>897.29000000000008</v>
      </c>
      <c r="P17" s="945">
        <f>Elect!AK21</f>
        <v>3960.1600000000003</v>
      </c>
      <c r="Q17" s="945">
        <f>Elect!AN21</f>
        <v>2113</v>
      </c>
      <c r="R17" s="945">
        <f>Elect!AP21</f>
        <v>228</v>
      </c>
      <c r="S17" s="945">
        <f>Elect!AR21</f>
        <v>45.87</v>
      </c>
      <c r="T17" s="945">
        <f>Elect!AT21</f>
        <v>344</v>
      </c>
      <c r="U17" s="945">
        <f>Elect!AV21</f>
        <v>1190</v>
      </c>
      <c r="V17" s="945">
        <f>Elect!AX21</f>
        <v>65</v>
      </c>
      <c r="W17" s="945">
        <f>Elect!AZ21</f>
        <v>5582</v>
      </c>
      <c r="X17" s="945">
        <f>Elect!BB21</f>
        <v>6255.2</v>
      </c>
      <c r="Y17" s="945">
        <f>Elect!BE21</f>
        <v>0</v>
      </c>
      <c r="Z17" s="945">
        <f>Elect!BG21</f>
        <v>1563</v>
      </c>
      <c r="AA17" s="945">
        <f>Elect!BI21</f>
        <v>96</v>
      </c>
      <c r="AB17" s="945">
        <f>Elect!BK21</f>
        <v>160</v>
      </c>
      <c r="AC17" s="970"/>
      <c r="AD17" s="945">
        <f>Water!C22</f>
        <v>226.2</v>
      </c>
      <c r="AE17" s="945">
        <f>Water!E22</f>
        <v>382.79999999999995</v>
      </c>
      <c r="AF17" s="945">
        <f>Water!G22</f>
        <v>6.38</v>
      </c>
      <c r="AG17" s="970"/>
      <c r="AH17" s="945">
        <f>Gas!C22</f>
        <v>1108.76</v>
      </c>
      <c r="AI17" s="945">
        <f>Gas!E22</f>
        <v>221.89999999999998</v>
      </c>
      <c r="AJ17" s="945">
        <f>Gas!G22</f>
        <v>47</v>
      </c>
    </row>
    <row r="18" spans="1:36" ht="12.75" customHeight="1">
      <c r="A18" s="963" t="s">
        <v>369</v>
      </c>
      <c r="B18" s="957">
        <f t="shared" si="0"/>
        <v>17</v>
      </c>
      <c r="C18" s="958">
        <v>9</v>
      </c>
      <c r="D18" s="964">
        <v>2019</v>
      </c>
      <c r="E18" s="973"/>
      <c r="F18" s="943">
        <f>Elect!J22</f>
        <v>6302</v>
      </c>
      <c r="G18" s="943">
        <f>Elect!K22</f>
        <v>2945</v>
      </c>
      <c r="H18" s="943">
        <f>Elect!Q22</f>
        <v>510</v>
      </c>
      <c r="I18" s="944">
        <f>Elect!W22</f>
        <v>134</v>
      </c>
      <c r="J18" s="944">
        <f>Elect!Y22</f>
        <v>269</v>
      </c>
      <c r="K18" s="944">
        <f>Elect!AA22</f>
        <v>0</v>
      </c>
      <c r="L18" s="943">
        <f>Elect!AC22</f>
        <v>59.89</v>
      </c>
      <c r="M18" s="945">
        <f>Elect!AE22</f>
        <v>2656.36</v>
      </c>
      <c r="N18" s="945">
        <f>Elect!AG22</f>
        <v>2676.5</v>
      </c>
      <c r="O18" s="945">
        <f>Elect!AI22</f>
        <v>755.78000000000009</v>
      </c>
      <c r="P18" s="945">
        <f>Elect!AK22</f>
        <v>2629.86</v>
      </c>
      <c r="Q18" s="945">
        <f>Elect!AN22</f>
        <v>1867</v>
      </c>
      <c r="R18" s="945">
        <f>Elect!AP22</f>
        <v>257</v>
      </c>
      <c r="S18" s="945">
        <f>Elect!AR22</f>
        <v>42.46</v>
      </c>
      <c r="T18" s="945">
        <f>Elect!AT22</f>
        <v>240</v>
      </c>
      <c r="U18" s="945">
        <f>Elect!AV22</f>
        <v>839</v>
      </c>
      <c r="V18" s="945">
        <f>Elect!AX22</f>
        <v>68</v>
      </c>
      <c r="W18" s="945">
        <f>Elect!AZ22</f>
        <v>6156</v>
      </c>
      <c r="X18" s="945">
        <f>Elect!BB22</f>
        <v>5976.4</v>
      </c>
      <c r="Y18" s="945">
        <f>Elect!BE22</f>
        <v>0</v>
      </c>
      <c r="Z18" s="945">
        <f>Elect!BG22</f>
        <v>1526</v>
      </c>
      <c r="AA18" s="945">
        <f>Elect!BI22</f>
        <v>88</v>
      </c>
      <c r="AB18" s="945">
        <f>Elect!BK22</f>
        <v>156</v>
      </c>
      <c r="AC18" s="970"/>
      <c r="AD18" s="945">
        <f>Water!C23</f>
        <v>220.39999999999998</v>
      </c>
      <c r="AE18" s="945">
        <f>Water!E23</f>
        <v>377</v>
      </c>
      <c r="AF18" s="945">
        <f>Water!G23</f>
        <v>6.38</v>
      </c>
      <c r="AG18" s="970"/>
      <c r="AH18" s="945">
        <f>Gas!C23</f>
        <v>1143.74</v>
      </c>
      <c r="AI18" s="945">
        <f>Gas!E23</f>
        <v>299.59999999999997</v>
      </c>
      <c r="AJ18" s="945">
        <f>Gas!G23</f>
        <v>65</v>
      </c>
    </row>
    <row r="19" spans="1:36" ht="12.75" customHeight="1">
      <c r="A19" s="963" t="s">
        <v>369</v>
      </c>
      <c r="B19" s="957">
        <f t="shared" si="0"/>
        <v>18</v>
      </c>
      <c r="C19" s="958">
        <v>9</v>
      </c>
      <c r="D19" s="964">
        <v>2019</v>
      </c>
      <c r="E19" s="973"/>
      <c r="F19" s="943">
        <f>Elect!J23</f>
        <v>6617</v>
      </c>
      <c r="G19" s="943">
        <f>Elect!K23</f>
        <v>4110</v>
      </c>
      <c r="H19" s="943">
        <f>Elect!Q23</f>
        <v>540</v>
      </c>
      <c r="I19" s="944">
        <f>Elect!W23</f>
        <v>142</v>
      </c>
      <c r="J19" s="944">
        <f>Elect!Y23</f>
        <v>283</v>
      </c>
      <c r="K19" s="944">
        <f>Elect!AA23</f>
        <v>0</v>
      </c>
      <c r="L19" s="943">
        <f>Elect!AC23</f>
        <v>0</v>
      </c>
      <c r="M19" s="945">
        <f>Elect!AE23</f>
        <v>3840.9100000000003</v>
      </c>
      <c r="N19" s="945">
        <f>Elect!AG23</f>
        <v>3497.4700000000003</v>
      </c>
      <c r="O19" s="945">
        <f>Elect!AI23</f>
        <v>943.93000000000006</v>
      </c>
      <c r="P19" s="945">
        <f>Elect!AK23</f>
        <v>3848.86</v>
      </c>
      <c r="Q19" s="945">
        <f>Elect!AN23</f>
        <v>1761</v>
      </c>
      <c r="R19" s="945">
        <f>Elect!AP23</f>
        <v>284</v>
      </c>
      <c r="S19" s="945">
        <f>Elect!AR23</f>
        <v>40.590000000000003</v>
      </c>
      <c r="T19" s="945">
        <f>Elect!AT23</f>
        <v>271</v>
      </c>
      <c r="U19" s="945">
        <f>Elect!AV23</f>
        <v>1164</v>
      </c>
      <c r="V19" s="945">
        <f>Elect!AX23</f>
        <v>69</v>
      </c>
      <c r="W19" s="945">
        <f>Elect!AZ23</f>
        <v>6423</v>
      </c>
      <c r="X19" s="945">
        <f>Elect!BB23</f>
        <v>6143.8</v>
      </c>
      <c r="Y19" s="945">
        <f>Elect!BE23</f>
        <v>0</v>
      </c>
      <c r="Z19" s="945">
        <f>Elect!BG23</f>
        <v>1517</v>
      </c>
      <c r="AA19" s="945">
        <f>Elect!BI23</f>
        <v>102</v>
      </c>
      <c r="AB19" s="945">
        <f>Elect!BK23</f>
        <v>166</v>
      </c>
      <c r="AC19" s="970"/>
      <c r="AD19" s="945">
        <f>Water!C24</f>
        <v>278.39999999999998</v>
      </c>
      <c r="AE19" s="945">
        <f>Water!E24</f>
        <v>481.4</v>
      </c>
      <c r="AF19" s="945">
        <f>Water!G24</f>
        <v>8.1199999999999992</v>
      </c>
      <c r="AG19" s="970"/>
      <c r="AH19" s="945">
        <f>Gas!C24</f>
        <v>1384.3600000000001</v>
      </c>
      <c r="AI19" s="945">
        <f>Gas!E24</f>
        <v>137.89999999999998</v>
      </c>
      <c r="AJ19" s="945">
        <f>Gas!G24</f>
        <v>97</v>
      </c>
    </row>
    <row r="20" spans="1:36" ht="12.75" customHeight="1">
      <c r="A20" s="963" t="s">
        <v>369</v>
      </c>
      <c r="B20" s="957">
        <f t="shared" si="0"/>
        <v>19</v>
      </c>
      <c r="C20" s="958">
        <v>9</v>
      </c>
      <c r="D20" s="964">
        <v>2019</v>
      </c>
      <c r="E20" s="973"/>
      <c r="F20" s="943">
        <f>Elect!J24</f>
        <v>6322</v>
      </c>
      <c r="G20" s="943">
        <f>Elect!K24</f>
        <v>4012</v>
      </c>
      <c r="H20" s="943">
        <f>Elect!Q24</f>
        <v>660</v>
      </c>
      <c r="I20" s="944">
        <f>Elect!W24</f>
        <v>136</v>
      </c>
      <c r="J20" s="944">
        <f>Elect!Y24</f>
        <v>272</v>
      </c>
      <c r="K20" s="944">
        <f>Elect!AA24</f>
        <v>0</v>
      </c>
      <c r="L20" s="943">
        <f>Elect!AC24</f>
        <v>0</v>
      </c>
      <c r="M20" s="945">
        <f>Elect!AE24</f>
        <v>3598.7000000000003</v>
      </c>
      <c r="N20" s="945">
        <f>Elect!AG24</f>
        <v>3818.65</v>
      </c>
      <c r="O20" s="945">
        <f>Elect!AI24</f>
        <v>1001.1700000000001</v>
      </c>
      <c r="P20" s="945">
        <f>Elect!AK24</f>
        <v>3615.6600000000003</v>
      </c>
      <c r="Q20" s="945">
        <f>Elect!AN24</f>
        <v>2093</v>
      </c>
      <c r="R20" s="945">
        <f>Elect!AP24</f>
        <v>253</v>
      </c>
      <c r="S20" s="945">
        <f>Elect!AR24</f>
        <v>44.33</v>
      </c>
      <c r="T20" s="945">
        <f>Elect!AT24</f>
        <v>292</v>
      </c>
      <c r="U20" s="945">
        <f>Elect!AV24</f>
        <v>1177</v>
      </c>
      <c r="V20" s="945">
        <f>Elect!AX24</f>
        <v>68</v>
      </c>
      <c r="W20" s="945">
        <f>Elect!AZ24</f>
        <v>6058</v>
      </c>
      <c r="X20" s="945">
        <f>Elect!BB24</f>
        <v>6245.5</v>
      </c>
      <c r="Y20" s="945">
        <f>Elect!BE24</f>
        <v>0</v>
      </c>
      <c r="Z20" s="945">
        <f>Elect!BG24</f>
        <v>1575</v>
      </c>
      <c r="AA20" s="945">
        <f>Elect!BI24</f>
        <v>97</v>
      </c>
      <c r="AB20" s="945">
        <f>Elect!BK24</f>
        <v>162</v>
      </c>
      <c r="AC20" s="970"/>
      <c r="AD20" s="945">
        <f>Water!C25</f>
        <v>150.79999999999998</v>
      </c>
      <c r="AE20" s="945">
        <f>Water!E25</f>
        <v>377</v>
      </c>
      <c r="AF20" s="945">
        <f>Water!G25</f>
        <v>4.6399999999999997</v>
      </c>
      <c r="AG20" s="970"/>
      <c r="AH20" s="945">
        <f>Gas!C25</f>
        <v>857.54000000000008</v>
      </c>
      <c r="AI20" s="945">
        <f>Gas!E25</f>
        <v>232.39999999999998</v>
      </c>
      <c r="AJ20" s="945">
        <f>Gas!G25</f>
        <v>83</v>
      </c>
    </row>
    <row r="21" spans="1:36" ht="12.75" customHeight="1">
      <c r="A21" s="963" t="s">
        <v>369</v>
      </c>
      <c r="B21" s="957">
        <f t="shared" si="0"/>
        <v>20</v>
      </c>
      <c r="C21" s="958">
        <v>9</v>
      </c>
      <c r="D21" s="964">
        <v>2019</v>
      </c>
      <c r="E21" s="973"/>
      <c r="F21" s="943">
        <f>Elect!J25</f>
        <v>6115</v>
      </c>
      <c r="G21" s="943">
        <f>Elect!K25</f>
        <v>3899</v>
      </c>
      <c r="H21" s="943">
        <f>Elect!Q25</f>
        <v>1020</v>
      </c>
      <c r="I21" s="944">
        <f>Elect!W25</f>
        <v>133</v>
      </c>
      <c r="J21" s="944">
        <f>Elect!Y25</f>
        <v>264</v>
      </c>
      <c r="K21" s="944">
        <f>Elect!AA25</f>
        <v>0</v>
      </c>
      <c r="L21" s="943">
        <f>Elect!AC25</f>
        <v>0</v>
      </c>
      <c r="M21" s="945">
        <f>Elect!AE25</f>
        <v>3541.46</v>
      </c>
      <c r="N21" s="945">
        <f>Elect!AG25</f>
        <v>3428.04</v>
      </c>
      <c r="O21" s="945">
        <f>Elect!AI25</f>
        <v>990.04000000000008</v>
      </c>
      <c r="P21" s="945">
        <f>Elect!AK25</f>
        <v>3481.04</v>
      </c>
      <c r="Q21" s="945">
        <f>Elect!AN25</f>
        <v>1988</v>
      </c>
      <c r="R21" s="945">
        <f>Elect!AP25</f>
        <v>225</v>
      </c>
      <c r="S21" s="945">
        <f>Elect!AR25</f>
        <v>42.13</v>
      </c>
      <c r="T21" s="945">
        <f>Elect!AT25</f>
        <v>290</v>
      </c>
      <c r="U21" s="945">
        <f>Elect!AV25</f>
        <v>1182</v>
      </c>
      <c r="V21" s="945">
        <f>Elect!AX25</f>
        <v>65</v>
      </c>
      <c r="W21" s="945">
        <f>Elect!AZ25</f>
        <v>5861</v>
      </c>
      <c r="X21" s="945">
        <f>Elect!BB25</f>
        <v>5841.4</v>
      </c>
      <c r="Y21" s="945">
        <f>Elect!BE25</f>
        <v>0</v>
      </c>
      <c r="Z21" s="945">
        <f>Elect!BG25</f>
        <v>1431</v>
      </c>
      <c r="AA21" s="945">
        <f>Elect!BI25</f>
        <v>94</v>
      </c>
      <c r="AB21" s="945">
        <f>Elect!BK25</f>
        <v>155</v>
      </c>
      <c r="AC21" s="970"/>
      <c r="AD21" s="945">
        <f>Water!C26</f>
        <v>295.79999999999995</v>
      </c>
      <c r="AE21" s="945">
        <f>Water!E26</f>
        <v>429.2</v>
      </c>
      <c r="AF21" s="945">
        <f>Water!G26</f>
        <v>7.5399999999999991</v>
      </c>
      <c r="AG21" s="970"/>
      <c r="AH21" s="945">
        <f>Gas!C26</f>
        <v>1238.0800000000002</v>
      </c>
      <c r="AI21" s="945">
        <f>Gas!E26</f>
        <v>251.29999999999998</v>
      </c>
      <c r="AJ21" s="945">
        <f>Gas!G26</f>
        <v>122</v>
      </c>
    </row>
    <row r="22" spans="1:36" ht="12.75" customHeight="1">
      <c r="A22" s="963" t="s">
        <v>369</v>
      </c>
      <c r="B22" s="957">
        <f t="shared" si="0"/>
        <v>21</v>
      </c>
      <c r="C22" s="958">
        <v>9</v>
      </c>
      <c r="D22" s="964">
        <v>2019</v>
      </c>
      <c r="E22" s="973"/>
      <c r="F22" s="943">
        <f>Elect!J26</f>
        <v>0</v>
      </c>
      <c r="G22" s="943">
        <f>Elect!K26</f>
        <v>0</v>
      </c>
      <c r="H22" s="943">
        <f>Elect!Q26</f>
        <v>0</v>
      </c>
      <c r="I22" s="944">
        <f>Elect!W26</f>
        <v>0</v>
      </c>
      <c r="J22" s="944">
        <f>Elect!Y26</f>
        <v>0</v>
      </c>
      <c r="K22" s="944">
        <f>Elect!AA26</f>
        <v>0</v>
      </c>
      <c r="L22" s="943">
        <f>Elect!AC26</f>
        <v>0</v>
      </c>
      <c r="M22" s="945">
        <f>Elect!AE26</f>
        <v>0</v>
      </c>
      <c r="N22" s="945">
        <f>Elect!AG26</f>
        <v>0</v>
      </c>
      <c r="O22" s="945">
        <f>Elect!AI26</f>
        <v>0</v>
      </c>
      <c r="P22" s="945">
        <f>Elect!AK26</f>
        <v>0</v>
      </c>
      <c r="Q22" s="945">
        <f>Elect!AN26</f>
        <v>0</v>
      </c>
      <c r="R22" s="945">
        <f>Elect!AP26</f>
        <v>0</v>
      </c>
      <c r="S22" s="945">
        <f>Elect!AR26</f>
        <v>0</v>
      </c>
      <c r="T22" s="945">
        <f>Elect!AT26</f>
        <v>0</v>
      </c>
      <c r="U22" s="945">
        <f>Elect!AV26</f>
        <v>0</v>
      </c>
      <c r="V22" s="945">
        <f>Elect!AX26</f>
        <v>0</v>
      </c>
      <c r="W22" s="945">
        <f>Elect!AZ26</f>
        <v>0</v>
      </c>
      <c r="X22" s="945">
        <f>Elect!BB26</f>
        <v>0</v>
      </c>
      <c r="Y22" s="945">
        <f>Elect!BE26</f>
        <v>0</v>
      </c>
      <c r="Z22" s="945">
        <f>Elect!BG26</f>
        <v>0</v>
      </c>
      <c r="AA22" s="945">
        <f>Elect!BI26</f>
        <v>0</v>
      </c>
      <c r="AB22" s="945">
        <f>Elect!BK26</f>
        <v>0</v>
      </c>
      <c r="AC22" s="970"/>
      <c r="AD22" s="945">
        <f>Water!C27</f>
        <v>0</v>
      </c>
      <c r="AE22" s="945">
        <f>Water!E27</f>
        <v>0</v>
      </c>
      <c r="AF22" s="945">
        <f>Water!G27</f>
        <v>0</v>
      </c>
      <c r="AG22" s="970"/>
      <c r="AH22" s="945">
        <f>Gas!C27</f>
        <v>0</v>
      </c>
      <c r="AI22" s="945">
        <f>Gas!E27</f>
        <v>0</v>
      </c>
      <c r="AJ22" s="945">
        <f>Gas!G27</f>
        <v>0</v>
      </c>
    </row>
    <row r="23" spans="1:36" ht="12.75" customHeight="1">
      <c r="A23" s="963" t="s">
        <v>369</v>
      </c>
      <c r="B23" s="957">
        <f t="shared" si="0"/>
        <v>22</v>
      </c>
      <c r="C23" s="958">
        <v>9</v>
      </c>
      <c r="D23" s="964">
        <v>2019</v>
      </c>
      <c r="E23" s="973"/>
      <c r="F23" s="943">
        <f>Elect!J27</f>
        <v>0</v>
      </c>
      <c r="G23" s="943">
        <f>Elect!K27</f>
        <v>0</v>
      </c>
      <c r="H23" s="943">
        <f>Elect!Q27</f>
        <v>0</v>
      </c>
      <c r="I23" s="944">
        <f>Elect!W27</f>
        <v>0</v>
      </c>
      <c r="J23" s="944">
        <f>Elect!Y27</f>
        <v>0</v>
      </c>
      <c r="K23" s="944">
        <f>Elect!AA27</f>
        <v>0</v>
      </c>
      <c r="L23" s="943">
        <f>Elect!AC27</f>
        <v>0</v>
      </c>
      <c r="M23" s="945">
        <f>Elect!AE27</f>
        <v>0</v>
      </c>
      <c r="N23" s="945">
        <f>Elect!AG27</f>
        <v>0</v>
      </c>
      <c r="O23" s="945">
        <f>Elect!AI27</f>
        <v>0</v>
      </c>
      <c r="P23" s="945">
        <f>Elect!AK27</f>
        <v>0</v>
      </c>
      <c r="Q23" s="945">
        <f>Elect!AN27</f>
        <v>0</v>
      </c>
      <c r="R23" s="945">
        <f>Elect!AP27</f>
        <v>0</v>
      </c>
      <c r="S23" s="945">
        <f>Elect!AR27</f>
        <v>0</v>
      </c>
      <c r="T23" s="945">
        <f>Elect!AT27</f>
        <v>0</v>
      </c>
      <c r="U23" s="945">
        <f>Elect!AV27</f>
        <v>0</v>
      </c>
      <c r="V23" s="945">
        <f>Elect!AX27</f>
        <v>0</v>
      </c>
      <c r="W23" s="945">
        <f>Elect!AZ27</f>
        <v>0</v>
      </c>
      <c r="X23" s="945">
        <f>Elect!BB27</f>
        <v>0</v>
      </c>
      <c r="Y23" s="945">
        <f>Elect!BE27</f>
        <v>0</v>
      </c>
      <c r="Z23" s="945">
        <f>Elect!BG27</f>
        <v>0</v>
      </c>
      <c r="AA23" s="945">
        <f>Elect!BI27</f>
        <v>0</v>
      </c>
      <c r="AB23" s="945">
        <f>Elect!BK27</f>
        <v>0</v>
      </c>
      <c r="AC23" s="970"/>
      <c r="AD23" s="945">
        <f>Water!C28</f>
        <v>0</v>
      </c>
      <c r="AE23" s="945">
        <f>Water!E28</f>
        <v>0</v>
      </c>
      <c r="AF23" s="945">
        <f>Water!G28</f>
        <v>0</v>
      </c>
      <c r="AG23" s="970"/>
      <c r="AH23" s="945">
        <f>Gas!C28</f>
        <v>0</v>
      </c>
      <c r="AI23" s="945">
        <f>Gas!E28</f>
        <v>0</v>
      </c>
      <c r="AJ23" s="945">
        <f>Gas!G28</f>
        <v>0</v>
      </c>
    </row>
    <row r="24" spans="1:36" ht="12.75" customHeight="1">
      <c r="A24" s="963" t="s">
        <v>369</v>
      </c>
      <c r="B24" s="957">
        <f t="shared" si="0"/>
        <v>23</v>
      </c>
      <c r="C24" s="958">
        <v>9</v>
      </c>
      <c r="D24" s="964">
        <v>2019</v>
      </c>
      <c r="E24" s="973"/>
      <c r="F24" s="943">
        <f>Elect!J28</f>
        <v>0</v>
      </c>
      <c r="G24" s="943">
        <f>Elect!K28</f>
        <v>0</v>
      </c>
      <c r="H24" s="943">
        <f>Elect!Q28</f>
        <v>0</v>
      </c>
      <c r="I24" s="944">
        <f>Elect!W28</f>
        <v>0</v>
      </c>
      <c r="J24" s="944">
        <f>Elect!Y28</f>
        <v>0</v>
      </c>
      <c r="K24" s="944">
        <f>Elect!AA28</f>
        <v>0</v>
      </c>
      <c r="L24" s="943">
        <f>Elect!AC28</f>
        <v>0</v>
      </c>
      <c r="M24" s="945">
        <f>Elect!AE28</f>
        <v>0</v>
      </c>
      <c r="N24" s="945">
        <f>Elect!AG28</f>
        <v>0</v>
      </c>
      <c r="O24" s="945">
        <f>Elect!AI28</f>
        <v>0</v>
      </c>
      <c r="P24" s="945">
        <f>Elect!AK28</f>
        <v>0</v>
      </c>
      <c r="Q24" s="945">
        <f>Elect!AN28</f>
        <v>0</v>
      </c>
      <c r="R24" s="945">
        <f>Elect!AP28</f>
        <v>0</v>
      </c>
      <c r="S24" s="945">
        <f>Elect!AR28</f>
        <v>0</v>
      </c>
      <c r="T24" s="945">
        <f>Elect!AT28</f>
        <v>0</v>
      </c>
      <c r="U24" s="945">
        <f>Elect!AV28</f>
        <v>0</v>
      </c>
      <c r="V24" s="945">
        <f>Elect!AX28</f>
        <v>0</v>
      </c>
      <c r="W24" s="945">
        <f>Elect!AZ28</f>
        <v>0</v>
      </c>
      <c r="X24" s="945">
        <f>Elect!BB28</f>
        <v>0</v>
      </c>
      <c r="Y24" s="945">
        <f>Elect!BE28</f>
        <v>0</v>
      </c>
      <c r="Z24" s="945">
        <f>Elect!BG28</f>
        <v>0</v>
      </c>
      <c r="AA24" s="945">
        <f>Elect!BI28</f>
        <v>0</v>
      </c>
      <c r="AB24" s="945">
        <f>Elect!BK28</f>
        <v>0</v>
      </c>
      <c r="AC24" s="970"/>
      <c r="AD24" s="945">
        <f>Water!C29</f>
        <v>0</v>
      </c>
      <c r="AE24" s="945">
        <f>Water!E29</f>
        <v>0</v>
      </c>
      <c r="AF24" s="945">
        <f>Water!G29</f>
        <v>0</v>
      </c>
      <c r="AG24" s="970"/>
      <c r="AH24" s="945">
        <f>Gas!C29</f>
        <v>0</v>
      </c>
      <c r="AI24" s="945">
        <f>Gas!E29</f>
        <v>0</v>
      </c>
      <c r="AJ24" s="945">
        <f>Gas!G29</f>
        <v>0</v>
      </c>
    </row>
    <row r="25" spans="1:36" ht="12.75" customHeight="1">
      <c r="A25" s="963" t="s">
        <v>369</v>
      </c>
      <c r="B25" s="957">
        <f t="shared" si="0"/>
        <v>24</v>
      </c>
      <c r="C25" s="958">
        <v>9</v>
      </c>
      <c r="D25" s="964">
        <v>2019</v>
      </c>
      <c r="E25" s="973"/>
      <c r="F25" s="943">
        <f>Elect!J29</f>
        <v>0</v>
      </c>
      <c r="G25" s="943">
        <f>Elect!K29</f>
        <v>0</v>
      </c>
      <c r="H25" s="943">
        <f>Elect!Q29</f>
        <v>0</v>
      </c>
      <c r="I25" s="944">
        <f>Elect!W29</f>
        <v>0</v>
      </c>
      <c r="J25" s="944">
        <f>Elect!Y29</f>
        <v>0</v>
      </c>
      <c r="K25" s="944">
        <f>Elect!AA29</f>
        <v>0</v>
      </c>
      <c r="L25" s="943">
        <f>Elect!AC29</f>
        <v>0</v>
      </c>
      <c r="M25" s="945">
        <f>Elect!AE29</f>
        <v>0</v>
      </c>
      <c r="N25" s="945">
        <f>Elect!AG29</f>
        <v>0</v>
      </c>
      <c r="O25" s="945">
        <f>Elect!AI29</f>
        <v>0</v>
      </c>
      <c r="P25" s="945">
        <f>Elect!AK29</f>
        <v>0</v>
      </c>
      <c r="Q25" s="945">
        <f>Elect!AN29</f>
        <v>0</v>
      </c>
      <c r="R25" s="945">
        <f>Elect!AP29</f>
        <v>0</v>
      </c>
      <c r="S25" s="945">
        <f>Elect!AR29</f>
        <v>0</v>
      </c>
      <c r="T25" s="945">
        <f>Elect!AT29</f>
        <v>0</v>
      </c>
      <c r="U25" s="945">
        <f>Elect!AV29</f>
        <v>0</v>
      </c>
      <c r="V25" s="945">
        <f>Elect!AX29</f>
        <v>0</v>
      </c>
      <c r="W25" s="945">
        <f>Elect!AZ29</f>
        <v>0</v>
      </c>
      <c r="X25" s="945">
        <f>Elect!BB29</f>
        <v>0</v>
      </c>
      <c r="Y25" s="945">
        <f>Elect!BE29</f>
        <v>0</v>
      </c>
      <c r="Z25" s="945">
        <f>Elect!BG29</f>
        <v>0</v>
      </c>
      <c r="AA25" s="945">
        <f>Elect!BI29</f>
        <v>0</v>
      </c>
      <c r="AB25" s="945">
        <f>Elect!BK29</f>
        <v>0</v>
      </c>
      <c r="AC25" s="970"/>
      <c r="AD25" s="945">
        <f>Water!C30</f>
        <v>0</v>
      </c>
      <c r="AE25" s="945">
        <f>Water!E30</f>
        <v>0</v>
      </c>
      <c r="AF25" s="945">
        <f>Water!G30</f>
        <v>0</v>
      </c>
      <c r="AG25" s="970"/>
      <c r="AH25" s="945">
        <f>Gas!C30</f>
        <v>0</v>
      </c>
      <c r="AI25" s="945">
        <f>Gas!E30</f>
        <v>0</v>
      </c>
      <c r="AJ25" s="945">
        <f>Gas!G30</f>
        <v>0</v>
      </c>
    </row>
    <row r="26" spans="1:36" ht="12.75" customHeight="1">
      <c r="A26" s="963" t="s">
        <v>369</v>
      </c>
      <c r="B26" s="957">
        <f>B25+1</f>
        <v>25</v>
      </c>
      <c r="C26" s="958">
        <v>9</v>
      </c>
      <c r="D26" s="964">
        <v>2019</v>
      </c>
      <c r="E26" s="973"/>
      <c r="F26" s="943">
        <f>Elect!J30</f>
        <v>0</v>
      </c>
      <c r="G26" s="943">
        <f>Elect!K30</f>
        <v>0</v>
      </c>
      <c r="H26" s="943">
        <f>Elect!Q30</f>
        <v>0</v>
      </c>
      <c r="I26" s="944">
        <f>Elect!W30</f>
        <v>0</v>
      </c>
      <c r="J26" s="944">
        <f>Elect!Y30</f>
        <v>0</v>
      </c>
      <c r="K26" s="944">
        <f>Elect!AA30</f>
        <v>0</v>
      </c>
      <c r="L26" s="943">
        <f>Elect!AC30</f>
        <v>0</v>
      </c>
      <c r="M26" s="945">
        <f>Elect!AE30</f>
        <v>0</v>
      </c>
      <c r="N26" s="945">
        <f>Elect!AG30</f>
        <v>0</v>
      </c>
      <c r="O26" s="945">
        <f>Elect!AI30</f>
        <v>0</v>
      </c>
      <c r="P26" s="945">
        <f>Elect!AK30</f>
        <v>0</v>
      </c>
      <c r="Q26" s="945">
        <f>Elect!AN30</f>
        <v>0</v>
      </c>
      <c r="R26" s="945">
        <f>Elect!AP30</f>
        <v>0</v>
      </c>
      <c r="S26" s="945">
        <f>Elect!AR30</f>
        <v>0</v>
      </c>
      <c r="T26" s="945">
        <f>Elect!AT30</f>
        <v>0</v>
      </c>
      <c r="U26" s="945">
        <f>Elect!AV30</f>
        <v>0</v>
      </c>
      <c r="V26" s="945">
        <f>Elect!AX30</f>
        <v>0</v>
      </c>
      <c r="W26" s="945">
        <f>Elect!AZ30</f>
        <v>0</v>
      </c>
      <c r="X26" s="945">
        <f>Elect!BB30</f>
        <v>0</v>
      </c>
      <c r="Y26" s="945">
        <f>Elect!BE30</f>
        <v>0</v>
      </c>
      <c r="Z26" s="945">
        <f>Elect!BG30</f>
        <v>0</v>
      </c>
      <c r="AA26" s="945">
        <f>Elect!BI30</f>
        <v>0</v>
      </c>
      <c r="AB26" s="945">
        <f>Elect!BK30</f>
        <v>0</v>
      </c>
      <c r="AC26" s="970"/>
      <c r="AD26" s="945">
        <f>Water!C31</f>
        <v>0</v>
      </c>
      <c r="AE26" s="945">
        <f>Water!E31</f>
        <v>0</v>
      </c>
      <c r="AF26" s="945">
        <f>Water!G31</f>
        <v>0</v>
      </c>
      <c r="AG26" s="970"/>
      <c r="AH26" s="945">
        <f>Gas!C31</f>
        <v>0</v>
      </c>
      <c r="AI26" s="945">
        <f>Gas!E31</f>
        <v>0</v>
      </c>
      <c r="AJ26" s="945">
        <f>Gas!G31</f>
        <v>0</v>
      </c>
    </row>
    <row r="27" spans="1:36" ht="12.75" customHeight="1">
      <c r="A27" s="963" t="s">
        <v>369</v>
      </c>
      <c r="B27" s="957">
        <f t="shared" si="0"/>
        <v>26</v>
      </c>
      <c r="C27" s="958">
        <v>9</v>
      </c>
      <c r="D27" s="964">
        <v>2019</v>
      </c>
      <c r="E27" s="973"/>
      <c r="F27" s="943">
        <f>Elect!J31</f>
        <v>0</v>
      </c>
      <c r="G27" s="943">
        <f>Elect!K31</f>
        <v>0</v>
      </c>
      <c r="H27" s="943">
        <f>Elect!Q31</f>
        <v>0</v>
      </c>
      <c r="I27" s="944">
        <f>Elect!W31</f>
        <v>0</v>
      </c>
      <c r="J27" s="944">
        <f>Elect!Y31</f>
        <v>0</v>
      </c>
      <c r="K27" s="944">
        <f>Elect!AA31</f>
        <v>0</v>
      </c>
      <c r="L27" s="943">
        <f>Elect!AC31</f>
        <v>0</v>
      </c>
      <c r="M27" s="945">
        <f>Elect!AE31</f>
        <v>0</v>
      </c>
      <c r="N27" s="945">
        <f>Elect!AG31</f>
        <v>0</v>
      </c>
      <c r="O27" s="945">
        <f>Elect!AI31</f>
        <v>0</v>
      </c>
      <c r="P27" s="945">
        <f>Elect!AK31</f>
        <v>0</v>
      </c>
      <c r="Q27" s="945">
        <f>Elect!AN31</f>
        <v>0</v>
      </c>
      <c r="R27" s="945">
        <f>Elect!AP31</f>
        <v>0</v>
      </c>
      <c r="S27" s="945">
        <f>Elect!AR31</f>
        <v>0</v>
      </c>
      <c r="T27" s="945">
        <f>Elect!AT31</f>
        <v>0</v>
      </c>
      <c r="U27" s="945">
        <f>Elect!AV31</f>
        <v>0</v>
      </c>
      <c r="V27" s="945">
        <f>Elect!AX31</f>
        <v>0</v>
      </c>
      <c r="W27" s="945">
        <f>Elect!AZ31</f>
        <v>0</v>
      </c>
      <c r="X27" s="945">
        <f>Elect!BB31</f>
        <v>0</v>
      </c>
      <c r="Y27" s="945">
        <f>Elect!BE31</f>
        <v>0</v>
      </c>
      <c r="Z27" s="945">
        <f>Elect!BG31</f>
        <v>0</v>
      </c>
      <c r="AA27" s="945">
        <f>Elect!BI31</f>
        <v>0</v>
      </c>
      <c r="AB27" s="945">
        <f>Elect!BK31</f>
        <v>0</v>
      </c>
      <c r="AC27" s="970"/>
      <c r="AD27" s="945">
        <f>Water!C32</f>
        <v>0</v>
      </c>
      <c r="AE27" s="945">
        <f>Water!E32</f>
        <v>0</v>
      </c>
      <c r="AF27" s="945">
        <f>Water!G32</f>
        <v>0</v>
      </c>
      <c r="AG27" s="970"/>
      <c r="AH27" s="945">
        <f>Gas!C32</f>
        <v>0</v>
      </c>
      <c r="AI27" s="945">
        <f>Gas!E32</f>
        <v>0</v>
      </c>
      <c r="AJ27" s="945">
        <f>Gas!G32</f>
        <v>0</v>
      </c>
    </row>
    <row r="28" spans="1:36" ht="12.75" customHeight="1">
      <c r="A28" s="963" t="s">
        <v>369</v>
      </c>
      <c r="B28" s="957">
        <f t="shared" si="0"/>
        <v>27</v>
      </c>
      <c r="C28" s="958">
        <v>9</v>
      </c>
      <c r="D28" s="964">
        <v>2019</v>
      </c>
      <c r="E28" s="973"/>
      <c r="F28" s="943">
        <f>Elect!J32</f>
        <v>0</v>
      </c>
      <c r="G28" s="943">
        <f>Elect!K32</f>
        <v>0</v>
      </c>
      <c r="H28" s="943">
        <f>Elect!Q32</f>
        <v>0</v>
      </c>
      <c r="I28" s="944">
        <f>Elect!W32</f>
        <v>0</v>
      </c>
      <c r="J28" s="944">
        <f>Elect!Y32</f>
        <v>0</v>
      </c>
      <c r="K28" s="944">
        <f>Elect!AA32</f>
        <v>0</v>
      </c>
      <c r="L28" s="943">
        <f>Elect!AC32</f>
        <v>0</v>
      </c>
      <c r="M28" s="945">
        <f>Elect!AE32</f>
        <v>0</v>
      </c>
      <c r="N28" s="945">
        <f>Elect!AG32</f>
        <v>0</v>
      </c>
      <c r="O28" s="945">
        <f>Elect!AI32</f>
        <v>0</v>
      </c>
      <c r="P28" s="945">
        <f>Elect!AK32</f>
        <v>0</v>
      </c>
      <c r="Q28" s="945">
        <f>Elect!AN32</f>
        <v>0</v>
      </c>
      <c r="R28" s="945">
        <f>Elect!AP32</f>
        <v>0</v>
      </c>
      <c r="S28" s="945">
        <f>Elect!AR32</f>
        <v>0</v>
      </c>
      <c r="T28" s="945">
        <f>Elect!AT32</f>
        <v>0</v>
      </c>
      <c r="U28" s="945">
        <f>Elect!AV32</f>
        <v>0</v>
      </c>
      <c r="V28" s="945">
        <f>Elect!AX32</f>
        <v>0</v>
      </c>
      <c r="W28" s="945">
        <f>Elect!AZ32</f>
        <v>0</v>
      </c>
      <c r="X28" s="945">
        <f>Elect!BB32</f>
        <v>0</v>
      </c>
      <c r="Y28" s="945">
        <f>Elect!BE32</f>
        <v>0</v>
      </c>
      <c r="Z28" s="945">
        <f>Elect!BG32</f>
        <v>0</v>
      </c>
      <c r="AA28" s="945">
        <f>Elect!BI32</f>
        <v>0</v>
      </c>
      <c r="AB28" s="945">
        <f>Elect!BK32</f>
        <v>0</v>
      </c>
      <c r="AC28" s="970"/>
      <c r="AD28" s="945">
        <f>Water!C33</f>
        <v>0</v>
      </c>
      <c r="AE28" s="945">
        <f>Water!E33</f>
        <v>0</v>
      </c>
      <c r="AF28" s="945">
        <f>Water!G33</f>
        <v>0</v>
      </c>
      <c r="AG28" s="970"/>
      <c r="AH28" s="945">
        <f>Gas!C33</f>
        <v>0</v>
      </c>
      <c r="AI28" s="945">
        <f>Gas!E33</f>
        <v>0</v>
      </c>
      <c r="AJ28" s="945">
        <f>Gas!G33</f>
        <v>0</v>
      </c>
    </row>
    <row r="29" spans="1:36" ht="12.75" customHeight="1">
      <c r="A29" s="963" t="s">
        <v>369</v>
      </c>
      <c r="B29" s="957">
        <f t="shared" si="0"/>
        <v>28</v>
      </c>
      <c r="C29" s="958">
        <v>9</v>
      </c>
      <c r="D29" s="964">
        <v>2019</v>
      </c>
      <c r="E29" s="973"/>
      <c r="F29" s="943">
        <f>Elect!J33</f>
        <v>0</v>
      </c>
      <c r="G29" s="943">
        <f>Elect!K33</f>
        <v>0</v>
      </c>
      <c r="H29" s="943">
        <f>Elect!Q33</f>
        <v>0</v>
      </c>
      <c r="I29" s="944">
        <f>Elect!W33</f>
        <v>0</v>
      </c>
      <c r="J29" s="944">
        <f>Elect!Y33</f>
        <v>0</v>
      </c>
      <c r="K29" s="944">
        <f>Elect!AA33</f>
        <v>0</v>
      </c>
      <c r="L29" s="943">
        <f>Elect!AC33</f>
        <v>0</v>
      </c>
      <c r="M29" s="945">
        <f>Elect!AE33</f>
        <v>0</v>
      </c>
      <c r="N29" s="945">
        <f>Elect!AG33</f>
        <v>0</v>
      </c>
      <c r="O29" s="945">
        <f>Elect!AI33</f>
        <v>0</v>
      </c>
      <c r="P29" s="945">
        <f>Elect!AK33</f>
        <v>0</v>
      </c>
      <c r="Q29" s="945">
        <f>Elect!AN33</f>
        <v>0</v>
      </c>
      <c r="R29" s="945">
        <f>Elect!AP33</f>
        <v>0</v>
      </c>
      <c r="S29" s="945">
        <f>Elect!AR33</f>
        <v>0</v>
      </c>
      <c r="T29" s="945">
        <f>Elect!AT33</f>
        <v>0</v>
      </c>
      <c r="U29" s="945">
        <f>Elect!AV33</f>
        <v>0</v>
      </c>
      <c r="V29" s="945">
        <f>Elect!AX33</f>
        <v>0</v>
      </c>
      <c r="W29" s="945">
        <f>Elect!AZ33</f>
        <v>0</v>
      </c>
      <c r="X29" s="945">
        <f>Elect!BB33</f>
        <v>0</v>
      </c>
      <c r="Y29" s="945">
        <f>Elect!BE33</f>
        <v>0</v>
      </c>
      <c r="Z29" s="945">
        <f>Elect!BG33</f>
        <v>0</v>
      </c>
      <c r="AA29" s="945">
        <f>Elect!BI33</f>
        <v>0</v>
      </c>
      <c r="AB29" s="945">
        <f>Elect!BK33</f>
        <v>0</v>
      </c>
      <c r="AC29" s="970"/>
      <c r="AD29" s="945">
        <f>Water!C34</f>
        <v>0</v>
      </c>
      <c r="AE29" s="945">
        <f>Water!E34</f>
        <v>0</v>
      </c>
      <c r="AF29" s="945">
        <f>Water!G34</f>
        <v>0</v>
      </c>
      <c r="AG29" s="970"/>
      <c r="AH29" s="945">
        <f>Gas!C34</f>
        <v>0</v>
      </c>
      <c r="AI29" s="945">
        <f>Gas!E34</f>
        <v>0</v>
      </c>
      <c r="AJ29" s="945">
        <f>Gas!G34</f>
        <v>0</v>
      </c>
    </row>
    <row r="30" spans="1:36" ht="12.75" customHeight="1">
      <c r="A30" s="963" t="s">
        <v>369</v>
      </c>
      <c r="B30" s="957">
        <f t="shared" si="0"/>
        <v>29</v>
      </c>
      <c r="C30" s="958">
        <v>9</v>
      </c>
      <c r="D30" s="964">
        <v>2019</v>
      </c>
      <c r="E30" s="973"/>
      <c r="F30" s="943">
        <f>Elect!J34</f>
        <v>0</v>
      </c>
      <c r="G30" s="943">
        <f>Elect!K34</f>
        <v>0</v>
      </c>
      <c r="H30" s="943">
        <f>Elect!Q34</f>
        <v>0</v>
      </c>
      <c r="I30" s="944">
        <f>Elect!W34</f>
        <v>0</v>
      </c>
      <c r="J30" s="944">
        <f>Elect!Y34</f>
        <v>0</v>
      </c>
      <c r="K30" s="944">
        <f>Elect!AA34</f>
        <v>0</v>
      </c>
      <c r="L30" s="943">
        <f>Elect!AC34</f>
        <v>0</v>
      </c>
      <c r="M30" s="945">
        <f>Elect!AE34</f>
        <v>0</v>
      </c>
      <c r="N30" s="945">
        <f>Elect!AG34</f>
        <v>0</v>
      </c>
      <c r="O30" s="945">
        <f>Elect!AI34</f>
        <v>0</v>
      </c>
      <c r="P30" s="945">
        <f>Elect!AK34</f>
        <v>0</v>
      </c>
      <c r="Q30" s="945">
        <f>Elect!AN34</f>
        <v>0</v>
      </c>
      <c r="R30" s="945">
        <f>Elect!AP34</f>
        <v>0</v>
      </c>
      <c r="S30" s="945">
        <f>Elect!AR34</f>
        <v>0</v>
      </c>
      <c r="T30" s="945">
        <f>Elect!AT34</f>
        <v>0</v>
      </c>
      <c r="U30" s="945">
        <f>Elect!AV34</f>
        <v>0</v>
      </c>
      <c r="V30" s="945">
        <f>Elect!AX34</f>
        <v>0</v>
      </c>
      <c r="W30" s="945">
        <f>Elect!AZ34</f>
        <v>0</v>
      </c>
      <c r="X30" s="945">
        <f>Elect!BB34</f>
        <v>0</v>
      </c>
      <c r="Y30" s="945">
        <f>Elect!BE34</f>
        <v>0</v>
      </c>
      <c r="Z30" s="945">
        <f>Elect!BG34</f>
        <v>0</v>
      </c>
      <c r="AA30" s="945">
        <f>Elect!BI34</f>
        <v>0</v>
      </c>
      <c r="AB30" s="945">
        <f>Elect!BK34</f>
        <v>0</v>
      </c>
      <c r="AC30" s="970"/>
      <c r="AD30" s="945">
        <f>Water!C35</f>
        <v>0</v>
      </c>
      <c r="AE30" s="945">
        <f>Water!E35</f>
        <v>0</v>
      </c>
      <c r="AF30" s="945">
        <f>Water!G35</f>
        <v>0</v>
      </c>
      <c r="AG30" s="970"/>
      <c r="AH30" s="945">
        <f>Gas!C35</f>
        <v>0</v>
      </c>
      <c r="AI30" s="945">
        <f>Gas!E35</f>
        <v>0</v>
      </c>
      <c r="AJ30" s="945">
        <f>Gas!G35</f>
        <v>0</v>
      </c>
    </row>
    <row r="31" spans="1:36" ht="12.75" customHeight="1">
      <c r="A31" s="963" t="s">
        <v>369</v>
      </c>
      <c r="B31" s="957">
        <f t="shared" si="0"/>
        <v>30</v>
      </c>
      <c r="C31" s="958">
        <v>9</v>
      </c>
      <c r="D31" s="964">
        <v>2019</v>
      </c>
      <c r="E31" s="973"/>
      <c r="F31" s="943">
        <f>Elect!J35</f>
        <v>0</v>
      </c>
      <c r="G31" s="943">
        <f>Elect!K35</f>
        <v>0</v>
      </c>
      <c r="H31" s="943">
        <f>Elect!Q35</f>
        <v>0</v>
      </c>
      <c r="I31" s="944">
        <f>Elect!W35</f>
        <v>0</v>
      </c>
      <c r="J31" s="944">
        <f>Elect!Y35</f>
        <v>0</v>
      </c>
      <c r="K31" s="944">
        <f>Elect!AA35</f>
        <v>0</v>
      </c>
      <c r="L31" s="943">
        <f>Elect!AC35</f>
        <v>0</v>
      </c>
      <c r="M31" s="945">
        <f>Elect!AE35</f>
        <v>0</v>
      </c>
      <c r="N31" s="945">
        <f>Elect!AG35</f>
        <v>0</v>
      </c>
      <c r="O31" s="945">
        <f>Elect!AI35</f>
        <v>0</v>
      </c>
      <c r="P31" s="945">
        <f>Elect!AK35</f>
        <v>0</v>
      </c>
      <c r="Q31" s="945">
        <f>Elect!AN35</f>
        <v>0</v>
      </c>
      <c r="R31" s="945">
        <f>Elect!AP35</f>
        <v>0</v>
      </c>
      <c r="S31" s="945">
        <f>Elect!AR35</f>
        <v>0</v>
      </c>
      <c r="T31" s="945">
        <f>Elect!AT35</f>
        <v>0</v>
      </c>
      <c r="U31" s="945">
        <f>Elect!AV35</f>
        <v>0</v>
      </c>
      <c r="V31" s="945">
        <f>Elect!AX35</f>
        <v>0</v>
      </c>
      <c r="W31" s="945">
        <f>Elect!AZ35</f>
        <v>0</v>
      </c>
      <c r="X31" s="945">
        <f>Elect!BB35</f>
        <v>0</v>
      </c>
      <c r="Y31" s="945">
        <f>Elect!BE35</f>
        <v>0</v>
      </c>
      <c r="Z31" s="945">
        <f>Elect!BG35</f>
        <v>0</v>
      </c>
      <c r="AA31" s="945">
        <f>Elect!BI35</f>
        <v>0</v>
      </c>
      <c r="AB31" s="945">
        <f>Elect!BK35</f>
        <v>0</v>
      </c>
      <c r="AC31" s="970"/>
      <c r="AD31" s="945">
        <f>Water!C36</f>
        <v>0</v>
      </c>
      <c r="AE31" s="945">
        <f>Water!E36</f>
        <v>0</v>
      </c>
      <c r="AF31" s="945">
        <f>Water!G36</f>
        <v>0</v>
      </c>
      <c r="AG31" s="970"/>
      <c r="AH31" s="945">
        <f>Gas!C36</f>
        <v>0</v>
      </c>
      <c r="AI31" s="945">
        <f>Gas!E36</f>
        <v>0</v>
      </c>
      <c r="AJ31" s="945">
        <f>Gas!G36</f>
        <v>0</v>
      </c>
    </row>
    <row r="32" spans="1:36" ht="12.75" customHeight="1">
      <c r="A32" s="965" t="s">
        <v>369</v>
      </c>
      <c r="B32" s="966">
        <f>B31+1</f>
        <v>31</v>
      </c>
      <c r="C32" s="967">
        <v>9</v>
      </c>
      <c r="D32" s="968">
        <v>2019</v>
      </c>
      <c r="E32" s="974"/>
      <c r="F32" s="943">
        <f>Elect!J36</f>
        <v>0</v>
      </c>
      <c r="G32" s="943">
        <f>Elect!K36</f>
        <v>0</v>
      </c>
      <c r="H32" s="943">
        <f>Elect!Q36</f>
        <v>0</v>
      </c>
      <c r="I32" s="944">
        <f>Elect!W36</f>
        <v>0</v>
      </c>
      <c r="J32" s="944">
        <f>Elect!Y36</f>
        <v>0</v>
      </c>
      <c r="K32" s="944">
        <f>Elect!AA36</f>
        <v>0</v>
      </c>
      <c r="L32" s="943">
        <f>Elect!AC36</f>
        <v>0</v>
      </c>
      <c r="M32" s="945">
        <f>Elect!AE36</f>
        <v>0</v>
      </c>
      <c r="N32" s="945">
        <f>Elect!AG36</f>
        <v>0</v>
      </c>
      <c r="O32" s="945">
        <f>Elect!AI36</f>
        <v>0</v>
      </c>
      <c r="P32" s="945">
        <f>Elect!AK36</f>
        <v>0</v>
      </c>
      <c r="Q32" s="945">
        <f>Elect!AN36</f>
        <v>0</v>
      </c>
      <c r="R32" s="945">
        <f>Elect!AP36</f>
        <v>0</v>
      </c>
      <c r="S32" s="945">
        <f>Elect!AR36</f>
        <v>0</v>
      </c>
      <c r="T32" s="945">
        <f>Elect!AT36</f>
        <v>0</v>
      </c>
      <c r="U32" s="945">
        <f>Elect!AV36</f>
        <v>0</v>
      </c>
      <c r="V32" s="945">
        <f>Elect!AX36</f>
        <v>0</v>
      </c>
      <c r="W32" s="945">
        <f>Elect!AZ36</f>
        <v>0</v>
      </c>
      <c r="X32" s="945">
        <f>Elect!BB36</f>
        <v>0</v>
      </c>
      <c r="Y32" s="945">
        <f>Elect!BE36</f>
        <v>0</v>
      </c>
      <c r="Z32" s="945">
        <f>Elect!BG36</f>
        <v>0</v>
      </c>
      <c r="AA32" s="945">
        <f>Elect!BI36</f>
        <v>0</v>
      </c>
      <c r="AB32" s="945">
        <f>Elect!BK36</f>
        <v>0</v>
      </c>
      <c r="AC32" s="971"/>
      <c r="AD32" s="945">
        <f>Water!C37</f>
        <v>0</v>
      </c>
      <c r="AE32" s="945">
        <f>Water!E37</f>
        <v>0</v>
      </c>
      <c r="AF32" s="945">
        <f>Water!G37</f>
        <v>0</v>
      </c>
      <c r="AG32" s="971"/>
      <c r="AH32" s="945">
        <f>Gas!C37</f>
        <v>0</v>
      </c>
      <c r="AI32" s="945">
        <f>Gas!E37</f>
        <v>0</v>
      </c>
      <c r="AJ32" s="945">
        <f>Gas!G37</f>
        <v>0</v>
      </c>
    </row>
    <row r="33" spans="34:36">
      <c r="AH33" s="939"/>
      <c r="AI33" s="939"/>
      <c r="AJ33" s="939"/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AC1:AC32"/>
    <mergeCell ref="AG1:AG32"/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tabSelected="1" zoomScale="50" zoomScaleNormal="50" zoomScaleSheetLayoutView="40" workbookViewId="0">
      <pane xSplit="8" ySplit="4" topLeftCell="I5" activePane="bottomRight" state="frozen"/>
      <selection activeCell="G39" sqref="G39"/>
      <selection pane="topRight" activeCell="G39" sqref="G39"/>
      <selection pane="bottomLeft" activeCell="G39" sqref="G39"/>
      <selection pane="bottomRight" activeCell="BM26" sqref="BM26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75" t="s">
        <v>381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7" t="s">
        <v>259</v>
      </c>
      <c r="N1" s="977"/>
      <c r="O1" s="977"/>
      <c r="Q1" s="977"/>
      <c r="R1" s="977"/>
      <c r="S1" s="977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6"/>
      <c r="B2" s="118"/>
      <c r="C2" s="30"/>
      <c r="D2" s="30"/>
      <c r="E2" s="198"/>
      <c r="F2" s="198"/>
      <c r="I2" s="199"/>
      <c r="M2" s="978"/>
      <c r="N2" s="978"/>
      <c r="O2" s="978"/>
      <c r="Q2" s="978"/>
      <c r="R2" s="978"/>
      <c r="S2" s="978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87" t="s">
        <v>0</v>
      </c>
      <c r="B3" s="989" t="s">
        <v>1</v>
      </c>
      <c r="C3" s="990"/>
      <c r="D3" s="979" t="s">
        <v>2</v>
      </c>
      <c r="E3" s="979"/>
      <c r="F3" s="979" t="s">
        <v>3</v>
      </c>
      <c r="G3" s="979"/>
      <c r="H3" s="991" t="s">
        <v>4</v>
      </c>
      <c r="I3" s="675" t="s">
        <v>322</v>
      </c>
      <c r="J3" s="603"/>
      <c r="K3" s="604"/>
      <c r="L3" s="979"/>
      <c r="M3" s="979"/>
      <c r="N3" s="979"/>
      <c r="O3" s="979"/>
      <c r="P3" s="979"/>
      <c r="Q3" s="979"/>
      <c r="R3" s="982" t="s">
        <v>324</v>
      </c>
      <c r="S3" s="983"/>
      <c r="T3" s="983"/>
      <c r="U3" s="983"/>
      <c r="V3" s="983"/>
      <c r="W3" s="984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80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9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8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92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81"/>
      <c r="BM4" s="605" t="s">
        <v>315</v>
      </c>
      <c r="BN4" s="605" t="s">
        <v>316</v>
      </c>
      <c r="BO4" s="605" t="s">
        <v>8</v>
      </c>
      <c r="BP4" s="605" t="s">
        <v>8</v>
      </c>
      <c r="BQ4" s="985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19537417</v>
      </c>
      <c r="J5" s="760">
        <f>IF(I5&gt;=I4,I5-I4,0)</f>
        <v>0</v>
      </c>
      <c r="K5" s="760">
        <f t="shared" ref="K5:K36" si="0">M5+O5</f>
        <v>0</v>
      </c>
      <c r="L5" s="855">
        <v>141575</v>
      </c>
      <c r="M5" s="760">
        <f t="shared" ref="M5:M36" si="1">IF(L5&gt;=L4,L5-L4,0)</f>
        <v>0</v>
      </c>
      <c r="N5" s="855">
        <v>245966</v>
      </c>
      <c r="O5" s="760">
        <f t="shared" ref="O5:O36" si="2">IF(N5&gt;=N4,N5-N4,0)</f>
        <v>0</v>
      </c>
      <c r="P5" s="855">
        <v>205737</v>
      </c>
      <c r="Q5" s="760">
        <f t="shared" ref="Q5:Q18" si="3">IF(P5&gt;=P4,P5-P4,0)*30</f>
        <v>0</v>
      </c>
      <c r="R5" s="480">
        <v>702925</v>
      </c>
      <c r="S5" s="760">
        <f>IF(R5&gt;=R4,T9R5-R4,0)</f>
        <v>0</v>
      </c>
      <c r="T5" s="480">
        <v>344001</v>
      </c>
      <c r="U5" s="760">
        <f t="shared" ref="U5:W20" si="4">IF(T5&gt;=T4,T5-T4,0)</f>
        <v>0</v>
      </c>
      <c r="V5" s="480">
        <v>59409</v>
      </c>
      <c r="W5" s="760">
        <f t="shared" si="4"/>
        <v>0</v>
      </c>
      <c r="X5" s="480">
        <v>115530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480">
        <v>110964</v>
      </c>
      <c r="AC5" s="760">
        <f t="shared" ref="AC5:AC28" si="7">IF(AB5&gt;=AB4,AB5-AB4,0)*0.53</f>
        <v>0</v>
      </c>
      <c r="AD5" s="904">
        <v>118746</v>
      </c>
      <c r="AE5" s="760">
        <f t="shared" ref="AE5:AE36" si="8">IF(AD5&gt;=AD4,AD5-AD4,0)*0.53</f>
        <v>0</v>
      </c>
      <c r="AF5" s="480">
        <v>380975</v>
      </c>
      <c r="AG5" s="760">
        <f t="shared" ref="AG5:AG36" si="9">IF(AF5&gt;=AF4,AF5-AF4,0)*0.53</f>
        <v>0</v>
      </c>
      <c r="AH5" s="480">
        <v>25099</v>
      </c>
      <c r="AI5" s="760">
        <f t="shared" ref="AI5:AI36" si="10">IF(AH5&gt;=AH4,AH5-AH4,0)*0.53</f>
        <v>0</v>
      </c>
      <c r="AJ5" s="480">
        <v>178192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6620920</v>
      </c>
      <c r="AN5" s="760">
        <f t="shared" ref="AN5:AN36" si="12">IF(AM5&gt;=AM4,AM5-AM4,0)</f>
        <v>0</v>
      </c>
      <c r="AO5" s="480">
        <v>478873</v>
      </c>
      <c r="AP5" s="760">
        <f t="shared" ref="AP5:AP36" si="13">IF(AO5&gt;=AO4,AO5-AO4,0)</f>
        <v>0</v>
      </c>
      <c r="AQ5" s="855">
        <v>815359</v>
      </c>
      <c r="AR5" s="760">
        <f t="shared" ref="AR5:AR36" si="14">IF(AQ5&gt;=AQ4,AQ5-AQ4,0)*0.11</f>
        <v>0</v>
      </c>
      <c r="AS5" s="480">
        <v>732117</v>
      </c>
      <c r="AT5" s="760">
        <f t="shared" ref="AT5:AT36" si="15">IF(AS5&gt;=AS4,AS5-AS4,0)</f>
        <v>0</v>
      </c>
      <c r="AU5" s="855">
        <v>1951919</v>
      </c>
      <c r="AV5" s="760">
        <f t="shared" ref="AV5:AV36" si="16">IF(AU5&gt;=AU4,AU5-AU4,0)</f>
        <v>0</v>
      </c>
      <c r="AW5" s="855">
        <v>182812</v>
      </c>
      <c r="AX5" s="760">
        <v>0</v>
      </c>
      <c r="AY5" s="855">
        <v>15478800</v>
      </c>
      <c r="AZ5" s="760">
        <f t="shared" ref="AZ5:AZ36" si="17">IF(AY5&gt;=AY4,AY5-AY4,0)</f>
        <v>0</v>
      </c>
      <c r="BA5" s="855">
        <v>18835794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2878219</v>
      </c>
      <c r="BG5" s="760">
        <f t="shared" ref="BG5:BG36" si="21">IF(BF5&gt;=BF4,BF5-BF4,0)</f>
        <v>0</v>
      </c>
      <c r="BH5" s="855">
        <v>323578</v>
      </c>
      <c r="BI5" s="760">
        <f t="shared" ref="BI5:BI36" si="22">IF(BH5&gt;=BH4,BH5-BH4,0)</f>
        <v>0</v>
      </c>
      <c r="BJ5" s="855">
        <v>354583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19544053</v>
      </c>
      <c r="J6" s="760">
        <f t="shared" ref="J6:J36" si="23">IF(I6&gt;=I5,I6-I5,0)</f>
        <v>6636</v>
      </c>
      <c r="K6" s="760">
        <f t="shared" si="0"/>
        <v>4036</v>
      </c>
      <c r="L6" s="855">
        <v>143772</v>
      </c>
      <c r="M6" s="760">
        <f t="shared" si="1"/>
        <v>2197</v>
      </c>
      <c r="N6" s="855">
        <v>247805</v>
      </c>
      <c r="O6" s="760">
        <f>IF(N6&gt;=N5,N6-N5,0)</f>
        <v>1839</v>
      </c>
      <c r="P6" s="855">
        <v>205762</v>
      </c>
      <c r="Q6" s="760">
        <f t="shared" si="3"/>
        <v>750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59542</v>
      </c>
      <c r="W6" s="760">
        <f t="shared" si="4"/>
        <v>133</v>
      </c>
      <c r="X6" s="480">
        <v>115803</v>
      </c>
      <c r="Y6" s="760">
        <f t="shared" si="5"/>
        <v>273</v>
      </c>
      <c r="Z6" s="480">
        <v>315108</v>
      </c>
      <c r="AA6" s="760">
        <f t="shared" si="6"/>
        <v>0</v>
      </c>
      <c r="AB6" s="855">
        <v>118382</v>
      </c>
      <c r="AC6" s="760">
        <f t="shared" si="7"/>
        <v>3931.5400000000004</v>
      </c>
      <c r="AD6" s="855">
        <v>118746</v>
      </c>
      <c r="AE6" s="760">
        <f t="shared" si="8"/>
        <v>0</v>
      </c>
      <c r="AF6" s="855">
        <v>388058</v>
      </c>
      <c r="AG6" s="760">
        <f t="shared" si="9"/>
        <v>3753.9900000000002</v>
      </c>
      <c r="AH6" s="855">
        <v>27004</v>
      </c>
      <c r="AI6" s="760">
        <f t="shared" si="10"/>
        <v>1009.6500000000001</v>
      </c>
      <c r="AJ6" s="480">
        <v>184730</v>
      </c>
      <c r="AK6" s="760">
        <f>IF(AJ6&gt;=AJ5,AJ6-AJ5,0)*0.53</f>
        <v>3465.1400000000003</v>
      </c>
      <c r="AL6" s="760">
        <f>AA6+AC6+AE6+AG6+AI6+AK6</f>
        <v>12160.32</v>
      </c>
      <c r="AM6" s="480">
        <v>6623276</v>
      </c>
      <c r="AN6" s="760">
        <f t="shared" si="12"/>
        <v>2356</v>
      </c>
      <c r="AO6" s="855">
        <v>479093</v>
      </c>
      <c r="AP6" s="760">
        <f t="shared" si="13"/>
        <v>220</v>
      </c>
      <c r="AQ6" s="855">
        <v>815788</v>
      </c>
      <c r="AR6" s="760">
        <f t="shared" si="14"/>
        <v>47.19</v>
      </c>
      <c r="AS6" s="480">
        <v>732416</v>
      </c>
      <c r="AT6" s="760">
        <f t="shared" si="15"/>
        <v>299</v>
      </c>
      <c r="AU6" s="855">
        <v>1953010</v>
      </c>
      <c r="AV6" s="760">
        <f t="shared" si="16"/>
        <v>1091</v>
      </c>
      <c r="AW6" s="855">
        <v>182882</v>
      </c>
      <c r="AX6" s="760">
        <f t="shared" ref="AX6:AX18" si="25">IF(AW6&gt;=AW5,AW6-AW5,0)</f>
        <v>70</v>
      </c>
      <c r="AY6" s="855">
        <v>15484865</v>
      </c>
      <c r="AZ6" s="760">
        <f t="shared" si="17"/>
        <v>6065</v>
      </c>
      <c r="BA6" s="855">
        <v>18843353</v>
      </c>
      <c r="BB6" s="760">
        <f t="shared" si="18"/>
        <v>6309</v>
      </c>
      <c r="BC6" s="760">
        <f t="shared" si="19"/>
        <v>16457.190000000002</v>
      </c>
      <c r="BD6" s="855">
        <v>1323286</v>
      </c>
      <c r="BE6" s="760">
        <f t="shared" si="20"/>
        <v>0</v>
      </c>
      <c r="BF6" s="855">
        <v>2879934</v>
      </c>
      <c r="BG6" s="760">
        <f t="shared" si="21"/>
        <v>1715</v>
      </c>
      <c r="BH6" s="855">
        <v>323684</v>
      </c>
      <c r="BI6" s="760">
        <f t="shared" si="22"/>
        <v>106</v>
      </c>
      <c r="BJ6" s="855">
        <v>354751</v>
      </c>
      <c r="BK6" s="760">
        <f>IF(BJ6&gt;=BJ5,BJ6-BJ5,0)</f>
        <v>168</v>
      </c>
      <c r="BL6" s="870">
        <f t="shared" ref="BL6:BL36" si="26">J6+Q6+AL6+BC6</f>
        <v>36003.51</v>
      </c>
      <c r="BM6" s="871">
        <v>179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16561.614600000001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19551579</v>
      </c>
      <c r="J7" s="760">
        <f t="shared" si="23"/>
        <v>7526</v>
      </c>
      <c r="K7" s="760">
        <f t="shared" si="0"/>
        <v>3498</v>
      </c>
      <c r="L7" s="855">
        <v>145701</v>
      </c>
      <c r="M7" s="760">
        <f>IF(L7&gt;=L6,L7-L6,0)</f>
        <v>1929</v>
      </c>
      <c r="N7" s="855">
        <v>249374</v>
      </c>
      <c r="O7" s="760">
        <f>IF(N7&gt;=N6,N7-N6,0)</f>
        <v>1569</v>
      </c>
      <c r="P7" s="855">
        <v>205777</v>
      </c>
      <c r="Q7" s="760">
        <f t="shared" si="3"/>
        <v>450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59719</v>
      </c>
      <c r="W7" s="760">
        <f t="shared" si="4"/>
        <v>177</v>
      </c>
      <c r="X7" s="480">
        <v>116150</v>
      </c>
      <c r="Y7" s="760">
        <f t="shared" si="5"/>
        <v>347</v>
      </c>
      <c r="Z7" s="480">
        <v>315108</v>
      </c>
      <c r="AA7" s="760">
        <f t="shared" si="6"/>
        <v>0</v>
      </c>
      <c r="AB7" s="855">
        <v>125923</v>
      </c>
      <c r="AC7" s="760">
        <f t="shared" si="7"/>
        <v>3996.73</v>
      </c>
      <c r="AD7" s="855">
        <v>118746</v>
      </c>
      <c r="AE7" s="760">
        <f t="shared" si="8"/>
        <v>0</v>
      </c>
      <c r="AF7" s="855">
        <v>394193</v>
      </c>
      <c r="AG7" s="760">
        <f t="shared" si="9"/>
        <v>3251.55</v>
      </c>
      <c r="AH7" s="855">
        <v>28564</v>
      </c>
      <c r="AI7" s="760">
        <f t="shared" si="10"/>
        <v>826.80000000000007</v>
      </c>
      <c r="AJ7" s="855">
        <v>191785</v>
      </c>
      <c r="AK7" s="760">
        <f t="shared" ref="AK7:AK36" si="28">IF(AJ7&gt;=AJ6,AJ7-AJ6,0)*0.53</f>
        <v>3739.15</v>
      </c>
      <c r="AL7" s="760">
        <f t="shared" si="11"/>
        <v>11814.230000000001</v>
      </c>
      <c r="AM7" s="480">
        <v>6625559</v>
      </c>
      <c r="AN7" s="760">
        <f t="shared" si="12"/>
        <v>2283</v>
      </c>
      <c r="AO7" s="480">
        <v>479298</v>
      </c>
      <c r="AP7" s="760">
        <f t="shared" si="13"/>
        <v>205</v>
      </c>
      <c r="AQ7" s="480">
        <v>816137</v>
      </c>
      <c r="AR7" s="760">
        <f t="shared" si="14"/>
        <v>38.39</v>
      </c>
      <c r="AS7" s="907">
        <v>732658</v>
      </c>
      <c r="AT7" s="760">
        <f t="shared" si="15"/>
        <v>242</v>
      </c>
      <c r="AU7" s="855">
        <v>1954026</v>
      </c>
      <c r="AV7" s="760">
        <f t="shared" si="16"/>
        <v>1016</v>
      </c>
      <c r="AW7" s="480">
        <v>182941</v>
      </c>
      <c r="AX7" s="760">
        <f t="shared" si="25"/>
        <v>59</v>
      </c>
      <c r="AY7" s="855">
        <v>15489877</v>
      </c>
      <c r="AZ7" s="760">
        <f t="shared" si="17"/>
        <v>5012</v>
      </c>
      <c r="BA7" s="855">
        <v>18849472</v>
      </c>
      <c r="BB7" s="760">
        <f t="shared" si="18"/>
        <v>5141.8999999999996</v>
      </c>
      <c r="BC7" s="760">
        <f t="shared" si="19"/>
        <v>13997.289999999999</v>
      </c>
      <c r="BD7" s="855">
        <v>1323286</v>
      </c>
      <c r="BE7" s="760">
        <f t="shared" si="20"/>
        <v>0</v>
      </c>
      <c r="BF7" s="855">
        <v>2881325</v>
      </c>
      <c r="BG7" s="760">
        <f t="shared" si="21"/>
        <v>1391</v>
      </c>
      <c r="BH7" s="855">
        <v>323771</v>
      </c>
      <c r="BI7" s="760">
        <f t="shared" si="22"/>
        <v>87</v>
      </c>
      <c r="BJ7" s="480">
        <v>354850</v>
      </c>
      <c r="BK7" s="760">
        <f t="shared" ref="BK7:BK36" si="29">IF(BJ7&gt;=BJ6,BJ7-BJ6,0)</f>
        <v>99</v>
      </c>
      <c r="BL7" s="870">
        <f t="shared" si="26"/>
        <v>33787.520000000004</v>
      </c>
      <c r="BM7" s="871">
        <v>169</v>
      </c>
      <c r="BN7" s="870">
        <f t="shared" ref="BN7:BN12" si="30">IF(BL7&gt;0,BL7/BM6,0)</f>
        <v>188.75709497206705</v>
      </c>
      <c r="BO7" s="871"/>
      <c r="BP7" s="870" t="e">
        <f t="shared" si="27"/>
        <v>#DIV/0!</v>
      </c>
      <c r="BQ7" s="870">
        <f>BL7*BS1</f>
        <v>15542.259200000002</v>
      </c>
      <c r="BR7" s="870">
        <f t="shared" ref="BR7:BR15" si="31">IF(BQ7&gt;0,BQ7/BM6,0)</f>
        <v>86.828263687150852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19556430</v>
      </c>
      <c r="J8" s="760">
        <f t="shared" si="23"/>
        <v>4851</v>
      </c>
      <c r="K8" s="760">
        <f t="shared" si="0"/>
        <v>5325</v>
      </c>
      <c r="L8" s="855">
        <v>148693</v>
      </c>
      <c r="M8" s="760">
        <f>IF(L8&gt;=L7,L8-L7,0)</f>
        <v>2992</v>
      </c>
      <c r="N8" s="855">
        <v>251707</v>
      </c>
      <c r="O8" s="760">
        <f t="shared" si="2"/>
        <v>2333</v>
      </c>
      <c r="P8" s="855">
        <v>205800</v>
      </c>
      <c r="Q8" s="760">
        <f t="shared" si="3"/>
        <v>690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59811</v>
      </c>
      <c r="W8" s="760">
        <f t="shared" si="4"/>
        <v>92</v>
      </c>
      <c r="X8" s="480">
        <v>116355</v>
      </c>
      <c r="Y8" s="760">
        <f t="shared" si="5"/>
        <v>205</v>
      </c>
      <c r="Z8" s="855">
        <v>315108</v>
      </c>
      <c r="AA8" s="760">
        <f t="shared" si="6"/>
        <v>0</v>
      </c>
      <c r="AB8" s="855">
        <v>133184</v>
      </c>
      <c r="AC8" s="760">
        <f t="shared" si="7"/>
        <v>3848.3300000000004</v>
      </c>
      <c r="AD8" s="855">
        <v>121833</v>
      </c>
      <c r="AE8" s="760">
        <f t="shared" si="8"/>
        <v>1636.1100000000001</v>
      </c>
      <c r="AF8" s="855">
        <v>400485</v>
      </c>
      <c r="AG8" s="760">
        <f t="shared" si="9"/>
        <v>3334.76</v>
      </c>
      <c r="AH8" s="855">
        <v>31094</v>
      </c>
      <c r="AI8" s="760">
        <f t="shared" si="10"/>
        <v>1340.9</v>
      </c>
      <c r="AJ8" s="480">
        <v>201096</v>
      </c>
      <c r="AK8" s="760">
        <f t="shared" si="28"/>
        <v>4934.83</v>
      </c>
      <c r="AL8" s="760">
        <f>AA8+AC8+AE8+AG8+AI8+AK8</f>
        <v>15094.93</v>
      </c>
      <c r="AM8" s="480">
        <v>6627965</v>
      </c>
      <c r="AN8" s="760">
        <f t="shared" si="12"/>
        <v>2406</v>
      </c>
      <c r="AO8" s="855">
        <v>479607</v>
      </c>
      <c r="AP8" s="760">
        <f t="shared" si="13"/>
        <v>309</v>
      </c>
      <c r="AQ8" s="855">
        <v>816600</v>
      </c>
      <c r="AR8" s="760">
        <f t="shared" si="14"/>
        <v>50.93</v>
      </c>
      <c r="AS8" s="480">
        <v>733025</v>
      </c>
      <c r="AT8" s="760">
        <f t="shared" si="15"/>
        <v>367</v>
      </c>
      <c r="AU8" s="855">
        <v>1955574</v>
      </c>
      <c r="AV8" s="760">
        <f t="shared" si="16"/>
        <v>1548</v>
      </c>
      <c r="AW8" s="480">
        <v>183021</v>
      </c>
      <c r="AX8" s="760">
        <f t="shared" si="25"/>
        <v>80</v>
      </c>
      <c r="AY8" s="480">
        <v>15497569</v>
      </c>
      <c r="AZ8" s="760">
        <f t="shared" si="17"/>
        <v>7692</v>
      </c>
      <c r="BA8" s="855">
        <v>18857887</v>
      </c>
      <c r="BB8" s="760">
        <f t="shared" si="18"/>
        <v>7010.2</v>
      </c>
      <c r="BC8" s="760">
        <f t="shared" si="19"/>
        <v>19463.13</v>
      </c>
      <c r="BD8" s="855">
        <v>1323286</v>
      </c>
      <c r="BE8" s="760">
        <f t="shared" si="20"/>
        <v>0</v>
      </c>
      <c r="BF8" s="855">
        <v>2883188</v>
      </c>
      <c r="BG8" s="760">
        <f t="shared" si="21"/>
        <v>1863</v>
      </c>
      <c r="BH8" s="855">
        <v>323885</v>
      </c>
      <c r="BI8" s="760">
        <f t="shared" si="22"/>
        <v>114</v>
      </c>
      <c r="BJ8" s="855">
        <v>355080</v>
      </c>
      <c r="BK8" s="760">
        <f t="shared" si="29"/>
        <v>230</v>
      </c>
      <c r="BL8" s="870">
        <f t="shared" si="26"/>
        <v>40099.06</v>
      </c>
      <c r="BM8" s="871">
        <v>178</v>
      </c>
      <c r="BN8" s="870">
        <f t="shared" si="30"/>
        <v>237.2725443786982</v>
      </c>
      <c r="BO8" s="871"/>
      <c r="BP8" s="870" t="e">
        <f t="shared" si="27"/>
        <v>#DIV/0!</v>
      </c>
      <c r="BQ8" s="870">
        <f>BL8*BS1</f>
        <v>18445.567599999998</v>
      </c>
      <c r="BR8" s="870">
        <f t="shared" si="31"/>
        <v>109.14537041420118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19562904</v>
      </c>
      <c r="J9" s="760">
        <f>IF(I9&gt;=I8,I9-I8,0)</f>
        <v>6474</v>
      </c>
      <c r="K9" s="760">
        <f t="shared" si="0"/>
        <v>4142</v>
      </c>
      <c r="L9" s="480">
        <v>150974</v>
      </c>
      <c r="M9" s="760">
        <f>IF(L9&gt;=L8,L9-L8,0)</f>
        <v>2281</v>
      </c>
      <c r="N9" s="480">
        <v>253568</v>
      </c>
      <c r="O9" s="760">
        <f t="shared" si="2"/>
        <v>1861</v>
      </c>
      <c r="P9" s="855">
        <v>205831</v>
      </c>
      <c r="Q9" s="760">
        <f t="shared" si="3"/>
        <v>930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59952</v>
      </c>
      <c r="W9" s="760">
        <f t="shared" si="4"/>
        <v>141</v>
      </c>
      <c r="X9" s="480">
        <v>116646</v>
      </c>
      <c r="Y9" s="760">
        <f t="shared" si="5"/>
        <v>291</v>
      </c>
      <c r="Z9" s="480">
        <v>315108</v>
      </c>
      <c r="AA9" s="760">
        <f t="shared" si="6"/>
        <v>0</v>
      </c>
      <c r="AB9" s="480">
        <v>140498</v>
      </c>
      <c r="AC9" s="760">
        <f t="shared" si="7"/>
        <v>3876.42</v>
      </c>
      <c r="AD9" s="904">
        <v>129244</v>
      </c>
      <c r="AE9" s="760">
        <f t="shared" si="8"/>
        <v>3927.8300000000004</v>
      </c>
      <c r="AF9" s="480">
        <v>400485</v>
      </c>
      <c r="AG9" s="760">
        <f t="shared" si="9"/>
        <v>0</v>
      </c>
      <c r="AH9" s="480">
        <v>32834</v>
      </c>
      <c r="AI9" s="760">
        <f t="shared" si="10"/>
        <v>922.2</v>
      </c>
      <c r="AJ9" s="480">
        <v>208609</v>
      </c>
      <c r="AK9" s="760">
        <f t="shared" si="28"/>
        <v>3981.8900000000003</v>
      </c>
      <c r="AL9" s="760">
        <f t="shared" si="11"/>
        <v>12708.34</v>
      </c>
      <c r="AM9" s="480">
        <v>6630219</v>
      </c>
      <c r="AN9" s="760">
        <f t="shared" si="12"/>
        <v>2254</v>
      </c>
      <c r="AO9" s="855">
        <v>479855</v>
      </c>
      <c r="AP9" s="760">
        <f t="shared" si="13"/>
        <v>248</v>
      </c>
      <c r="AQ9" s="480">
        <v>816998</v>
      </c>
      <c r="AR9" s="760">
        <f t="shared" si="14"/>
        <v>43.78</v>
      </c>
      <c r="AS9" s="480">
        <v>733339</v>
      </c>
      <c r="AT9" s="760">
        <f t="shared" si="15"/>
        <v>314</v>
      </c>
      <c r="AU9" s="480">
        <v>1956793</v>
      </c>
      <c r="AV9" s="760">
        <f t="shared" si="16"/>
        <v>1219</v>
      </c>
      <c r="AW9" s="480">
        <v>183094</v>
      </c>
      <c r="AX9" s="760">
        <f t="shared" si="25"/>
        <v>73</v>
      </c>
      <c r="AY9" s="480">
        <v>15503297</v>
      </c>
      <c r="AZ9" s="760">
        <f t="shared" si="17"/>
        <v>5728</v>
      </c>
      <c r="BA9" s="855">
        <v>18865355</v>
      </c>
      <c r="BB9" s="760">
        <f t="shared" si="18"/>
        <v>6297.3</v>
      </c>
      <c r="BC9" s="760">
        <f t="shared" si="19"/>
        <v>16177.080000000002</v>
      </c>
      <c r="BD9" s="855">
        <v>1323286</v>
      </c>
      <c r="BE9" s="760">
        <f t="shared" si="20"/>
        <v>0</v>
      </c>
      <c r="BF9" s="480">
        <v>2884780</v>
      </c>
      <c r="BG9" s="760">
        <f t="shared" si="21"/>
        <v>1592</v>
      </c>
      <c r="BH9" s="855">
        <v>323988</v>
      </c>
      <c r="BI9" s="760">
        <f t="shared" si="22"/>
        <v>103</v>
      </c>
      <c r="BJ9" s="480">
        <v>355244</v>
      </c>
      <c r="BK9" s="760">
        <f t="shared" si="29"/>
        <v>164</v>
      </c>
      <c r="BL9" s="870">
        <f t="shared" si="26"/>
        <v>36289.42</v>
      </c>
      <c r="BM9" s="871">
        <v>191</v>
      </c>
      <c r="BN9" s="870">
        <f t="shared" si="30"/>
        <v>203.87314606741572</v>
      </c>
      <c r="BO9" s="871"/>
      <c r="BP9" s="870" t="e">
        <f t="shared" si="27"/>
        <v>#DIV/0!</v>
      </c>
      <c r="BQ9" s="870">
        <f>BL9*BS1</f>
        <v>16693.1332</v>
      </c>
      <c r="BR9" s="870">
        <f t="shared" si="31"/>
        <v>93.781647191011231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19569028</v>
      </c>
      <c r="J10" s="760">
        <f>IF(I10&gt;=I9,I10-I9,0)</f>
        <v>6124</v>
      </c>
      <c r="K10" s="760">
        <f t="shared" si="0"/>
        <v>4011</v>
      </c>
      <c r="L10" s="855">
        <v>153195</v>
      </c>
      <c r="M10" s="760">
        <f>IF(L10&gt;=L9,L10-L9,0)</f>
        <v>2221</v>
      </c>
      <c r="N10" s="855">
        <v>255358</v>
      </c>
      <c r="O10" s="760">
        <f t="shared" si="2"/>
        <v>1790</v>
      </c>
      <c r="P10" s="855">
        <v>205855</v>
      </c>
      <c r="Q10" s="760">
        <f t="shared" si="3"/>
        <v>720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60084</v>
      </c>
      <c r="W10" s="760">
        <f t="shared" si="4"/>
        <v>132</v>
      </c>
      <c r="X10" s="480">
        <v>116919</v>
      </c>
      <c r="Y10" s="760">
        <f t="shared" si="5"/>
        <v>273</v>
      </c>
      <c r="Z10" s="480">
        <v>315108</v>
      </c>
      <c r="AA10" s="760">
        <f t="shared" si="6"/>
        <v>0</v>
      </c>
      <c r="AB10" s="855">
        <v>147879</v>
      </c>
      <c r="AC10" s="760">
        <f t="shared" si="7"/>
        <v>3911.9300000000003</v>
      </c>
      <c r="AD10" s="855">
        <v>136573</v>
      </c>
      <c r="AE10" s="760">
        <f t="shared" si="8"/>
        <v>3884.3700000000003</v>
      </c>
      <c r="AF10" s="855">
        <v>400485</v>
      </c>
      <c r="AG10" s="760">
        <f t="shared" si="9"/>
        <v>0</v>
      </c>
      <c r="AH10" s="480">
        <v>34611</v>
      </c>
      <c r="AI10" s="760">
        <f t="shared" si="10"/>
        <v>941.81000000000006</v>
      </c>
      <c r="AJ10" s="480">
        <v>215929</v>
      </c>
      <c r="AK10" s="760">
        <f t="shared" si="28"/>
        <v>3879.6000000000004</v>
      </c>
      <c r="AL10" s="760">
        <f t="shared" si="11"/>
        <v>12617.710000000001</v>
      </c>
      <c r="AM10" s="480">
        <v>6632491</v>
      </c>
      <c r="AN10" s="760">
        <f t="shared" si="12"/>
        <v>2272</v>
      </c>
      <c r="AO10" s="855">
        <v>480084</v>
      </c>
      <c r="AP10" s="760">
        <f t="shared" si="13"/>
        <v>229</v>
      </c>
      <c r="AQ10" s="855">
        <v>817453</v>
      </c>
      <c r="AR10" s="760">
        <f t="shared" si="14"/>
        <v>50.05</v>
      </c>
      <c r="AS10" s="855">
        <v>733694</v>
      </c>
      <c r="AT10" s="760">
        <f t="shared" si="15"/>
        <v>355</v>
      </c>
      <c r="AU10" s="480">
        <v>1957989</v>
      </c>
      <c r="AV10" s="760">
        <f t="shared" si="16"/>
        <v>1196</v>
      </c>
      <c r="AW10" s="480">
        <v>183161</v>
      </c>
      <c r="AX10" s="760">
        <f t="shared" si="25"/>
        <v>67</v>
      </c>
      <c r="AY10" s="855">
        <v>15509162</v>
      </c>
      <c r="AZ10" s="760">
        <f t="shared" si="17"/>
        <v>5865</v>
      </c>
      <c r="BA10" s="855">
        <v>18873555</v>
      </c>
      <c r="BB10" s="760">
        <f t="shared" si="18"/>
        <v>6863.1</v>
      </c>
      <c r="BC10" s="760">
        <f t="shared" si="19"/>
        <v>16897.150000000001</v>
      </c>
      <c r="BD10" s="855">
        <v>1323286</v>
      </c>
      <c r="BE10" s="760">
        <f t="shared" si="20"/>
        <v>0</v>
      </c>
      <c r="BF10" s="855">
        <v>2886614</v>
      </c>
      <c r="BG10" s="760">
        <f t="shared" si="21"/>
        <v>1834</v>
      </c>
      <c r="BH10" s="855">
        <v>324105</v>
      </c>
      <c r="BI10" s="760">
        <f t="shared" si="22"/>
        <v>117</v>
      </c>
      <c r="BJ10" s="855">
        <v>355422</v>
      </c>
      <c r="BK10" s="760">
        <f t="shared" si="29"/>
        <v>178</v>
      </c>
      <c r="BL10" s="870">
        <f t="shared" si="26"/>
        <v>36358.86</v>
      </c>
      <c r="BM10" s="871">
        <v>175</v>
      </c>
      <c r="BN10" s="870">
        <f t="shared" si="30"/>
        <v>190.36052356020943</v>
      </c>
      <c r="BO10" s="871"/>
      <c r="BP10" s="870" t="e">
        <f t="shared" si="27"/>
        <v>#DIV/0!</v>
      </c>
      <c r="BQ10" s="870">
        <f>BL10*BS1</f>
        <v>16725.0756</v>
      </c>
      <c r="BR10" s="870">
        <f t="shared" si="31"/>
        <v>87.565840837696342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19575231</v>
      </c>
      <c r="J11" s="760">
        <f>IF(I11&gt;=I10,I11-I10,0)</f>
        <v>6203</v>
      </c>
      <c r="K11" s="760">
        <f t="shared" si="0"/>
        <v>3858</v>
      </c>
      <c r="L11" s="855">
        <v>155369</v>
      </c>
      <c r="M11" s="760">
        <f>IF(L11&gt;=L10,L11-L10,0)</f>
        <v>2174</v>
      </c>
      <c r="N11" s="855">
        <v>257042</v>
      </c>
      <c r="O11" s="760">
        <f t="shared" si="2"/>
        <v>1684</v>
      </c>
      <c r="P11" s="855">
        <v>205880</v>
      </c>
      <c r="Q11" s="760">
        <f t="shared" si="3"/>
        <v>750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60221</v>
      </c>
      <c r="W11" s="760">
        <f t="shared" si="4"/>
        <v>137</v>
      </c>
      <c r="X11" s="480">
        <v>117203</v>
      </c>
      <c r="Y11" s="760">
        <f t="shared" si="5"/>
        <v>284</v>
      </c>
      <c r="Z11" s="480">
        <v>315108</v>
      </c>
      <c r="AA11" s="760">
        <f t="shared" si="6"/>
        <v>0</v>
      </c>
      <c r="AB11" s="855">
        <v>155354</v>
      </c>
      <c r="AC11" s="760">
        <f t="shared" si="7"/>
        <v>3961.75</v>
      </c>
      <c r="AD11" s="855">
        <v>139770</v>
      </c>
      <c r="AE11" s="760">
        <f t="shared" si="8"/>
        <v>1694.41</v>
      </c>
      <c r="AF11" s="855">
        <v>404488</v>
      </c>
      <c r="AG11" s="760">
        <f>IF(AF11&gt;=AF10,AF11-AF10,0)*0.53</f>
        <v>2121.59</v>
      </c>
      <c r="AH11" s="855">
        <v>36550</v>
      </c>
      <c r="AI11" s="760">
        <f t="shared" si="10"/>
        <v>1027.67</v>
      </c>
      <c r="AJ11" s="855">
        <v>222803</v>
      </c>
      <c r="AK11" s="760">
        <f t="shared" si="28"/>
        <v>3643.2200000000003</v>
      </c>
      <c r="AL11" s="760">
        <f t="shared" si="11"/>
        <v>12448.64</v>
      </c>
      <c r="AM11" s="480">
        <v>6634483</v>
      </c>
      <c r="AN11" s="760">
        <f t="shared" si="12"/>
        <v>1992</v>
      </c>
      <c r="AO11" s="480">
        <v>480330</v>
      </c>
      <c r="AP11" s="760">
        <f t="shared" si="13"/>
        <v>246</v>
      </c>
      <c r="AQ11" s="855">
        <v>817862</v>
      </c>
      <c r="AR11" s="760">
        <f t="shared" si="14"/>
        <v>44.99</v>
      </c>
      <c r="AS11" s="480">
        <v>733996</v>
      </c>
      <c r="AT11" s="760">
        <f t="shared" si="15"/>
        <v>302</v>
      </c>
      <c r="AU11" s="855">
        <v>1959109</v>
      </c>
      <c r="AV11" s="760">
        <f t="shared" si="16"/>
        <v>1120</v>
      </c>
      <c r="AW11" s="480">
        <v>183232</v>
      </c>
      <c r="AX11" s="760">
        <f t="shared" si="25"/>
        <v>71</v>
      </c>
      <c r="AY11" s="855">
        <v>15516073</v>
      </c>
      <c r="AZ11" s="760">
        <f t="shared" si="17"/>
        <v>6911</v>
      </c>
      <c r="BA11" s="855">
        <v>18880773</v>
      </c>
      <c r="BB11" s="760">
        <f t="shared" si="18"/>
        <v>6016.2</v>
      </c>
      <c r="BC11" s="760">
        <f t="shared" si="19"/>
        <v>16703.189999999999</v>
      </c>
      <c r="BD11" s="855">
        <v>1323286</v>
      </c>
      <c r="BE11" s="760">
        <f t="shared" si="20"/>
        <v>0</v>
      </c>
      <c r="BF11" s="855">
        <v>2888282</v>
      </c>
      <c r="BG11" s="760">
        <f t="shared" si="21"/>
        <v>1668</v>
      </c>
      <c r="BH11" s="855">
        <v>324201</v>
      </c>
      <c r="BI11" s="938">
        <f t="shared" si="22"/>
        <v>96</v>
      </c>
      <c r="BJ11" s="855">
        <v>355575</v>
      </c>
      <c r="BK11" s="760">
        <f t="shared" si="29"/>
        <v>153</v>
      </c>
      <c r="BL11" s="870">
        <f t="shared" si="26"/>
        <v>36104.83</v>
      </c>
      <c r="BM11" s="871">
        <v>182</v>
      </c>
      <c r="BN11" s="870">
        <f t="shared" si="30"/>
        <v>206.31331428571428</v>
      </c>
      <c r="BO11" s="871"/>
      <c r="BP11" s="870" t="e">
        <f t="shared" si="27"/>
        <v>#DIV/0!</v>
      </c>
      <c r="BQ11" s="870">
        <f>BL11*BS1</f>
        <v>16608.221800000003</v>
      </c>
      <c r="BR11" s="870">
        <f t="shared" si="31"/>
        <v>94.904124571428582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19581464</v>
      </c>
      <c r="J12" s="760">
        <f>IF(I12&gt;=I11,I12-I11,0)</f>
        <v>6233</v>
      </c>
      <c r="K12" s="760">
        <f t="shared" si="0"/>
        <v>3836</v>
      </c>
      <c r="L12" s="855">
        <v>157522</v>
      </c>
      <c r="M12" s="760">
        <f t="shared" si="1"/>
        <v>2153</v>
      </c>
      <c r="N12" s="855">
        <v>258725</v>
      </c>
      <c r="O12" s="760">
        <f>IF(N12&gt;=N11,N12-N11,0)</f>
        <v>1683</v>
      </c>
      <c r="P12" s="855">
        <v>205905</v>
      </c>
      <c r="Q12" s="760">
        <f t="shared" si="3"/>
        <v>750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60357</v>
      </c>
      <c r="W12" s="760">
        <f t="shared" si="4"/>
        <v>136</v>
      </c>
      <c r="X12" s="480">
        <v>117477</v>
      </c>
      <c r="Y12" s="760">
        <f t="shared" si="5"/>
        <v>274</v>
      </c>
      <c r="Z12" s="480">
        <v>315108</v>
      </c>
      <c r="AA12" s="760">
        <f t="shared" si="6"/>
        <v>0</v>
      </c>
      <c r="AB12" s="855">
        <v>162888</v>
      </c>
      <c r="AC12" s="760">
        <f t="shared" si="7"/>
        <v>3993.02</v>
      </c>
      <c r="AD12" s="855">
        <v>146779</v>
      </c>
      <c r="AE12" s="760">
        <f t="shared" si="8"/>
        <v>3714.77</v>
      </c>
      <c r="AF12" s="855">
        <v>404784</v>
      </c>
      <c r="AG12" s="760">
        <f t="shared" si="9"/>
        <v>156.88</v>
      </c>
      <c r="AH12" s="480">
        <v>38658</v>
      </c>
      <c r="AI12" s="760">
        <f t="shared" si="10"/>
        <v>1117.24</v>
      </c>
      <c r="AJ12" s="480">
        <v>229019</v>
      </c>
      <c r="AK12" s="760">
        <f t="shared" si="28"/>
        <v>3294.48</v>
      </c>
      <c r="AL12" s="760">
        <f t="shared" si="11"/>
        <v>12276.39</v>
      </c>
      <c r="AM12" s="480">
        <v>6636858</v>
      </c>
      <c r="AN12" s="760">
        <f t="shared" si="12"/>
        <v>2375</v>
      </c>
      <c r="AO12" s="855">
        <v>480578</v>
      </c>
      <c r="AP12" s="760">
        <f t="shared" si="13"/>
        <v>248</v>
      </c>
      <c r="AQ12" s="855">
        <v>818290</v>
      </c>
      <c r="AR12" s="760">
        <f t="shared" si="14"/>
        <v>47.08</v>
      </c>
      <c r="AS12" s="855">
        <v>734310</v>
      </c>
      <c r="AT12" s="760">
        <f t="shared" si="15"/>
        <v>314</v>
      </c>
      <c r="AU12" s="480">
        <v>1960318</v>
      </c>
      <c r="AV12" s="760">
        <f t="shared" si="16"/>
        <v>1209</v>
      </c>
      <c r="AW12" s="855">
        <v>183302</v>
      </c>
      <c r="AX12" s="760">
        <f t="shared" si="25"/>
        <v>70</v>
      </c>
      <c r="AY12" s="480">
        <v>15521426</v>
      </c>
      <c r="AZ12" s="760">
        <f t="shared" si="17"/>
        <v>5353</v>
      </c>
      <c r="BA12" s="855">
        <v>18888181</v>
      </c>
      <c r="BB12" s="760">
        <f t="shared" si="18"/>
        <v>6189.1</v>
      </c>
      <c r="BC12" s="760">
        <f t="shared" si="19"/>
        <v>15805.18</v>
      </c>
      <c r="BD12" s="855">
        <v>1323286</v>
      </c>
      <c r="BE12" s="760">
        <f t="shared" si="20"/>
        <v>0</v>
      </c>
      <c r="BF12" s="855">
        <v>2889961</v>
      </c>
      <c r="BG12" s="760">
        <f t="shared" si="21"/>
        <v>1679</v>
      </c>
      <c r="BH12" s="855">
        <v>324304</v>
      </c>
      <c r="BI12" s="760">
        <f t="shared" si="22"/>
        <v>103</v>
      </c>
      <c r="BJ12" s="855">
        <v>355735</v>
      </c>
      <c r="BK12" s="760">
        <f t="shared" si="29"/>
        <v>160</v>
      </c>
      <c r="BL12" s="870">
        <f t="shared" si="26"/>
        <v>35064.57</v>
      </c>
      <c r="BM12" s="871">
        <v>180</v>
      </c>
      <c r="BN12" s="870">
        <f t="shared" si="30"/>
        <v>192.66247252747252</v>
      </c>
      <c r="BO12" s="871"/>
      <c r="BP12" s="870" t="e">
        <f t="shared" si="27"/>
        <v>#DIV/0!</v>
      </c>
      <c r="BQ12" s="870">
        <f>BL12*BS1</f>
        <v>16129.7022</v>
      </c>
      <c r="BR12" s="870">
        <f t="shared" si="31"/>
        <v>88.624737362637362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19588041</v>
      </c>
      <c r="J13" s="760">
        <f t="shared" si="23"/>
        <v>6577</v>
      </c>
      <c r="K13" s="760">
        <f t="shared" si="0"/>
        <v>4240</v>
      </c>
      <c r="L13" s="855">
        <v>159851</v>
      </c>
      <c r="M13" s="760">
        <f t="shared" si="1"/>
        <v>2329</v>
      </c>
      <c r="N13" s="855">
        <v>260636</v>
      </c>
      <c r="O13" s="760">
        <f>IF(N13&gt;=N12,N13-N12,0)</f>
        <v>1911</v>
      </c>
      <c r="P13" s="855">
        <v>205928</v>
      </c>
      <c r="Q13" s="760">
        <f t="shared" si="3"/>
        <v>690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60490</v>
      </c>
      <c r="W13" s="760">
        <f t="shared" si="4"/>
        <v>133</v>
      </c>
      <c r="X13" s="480">
        <v>117764</v>
      </c>
      <c r="Y13" s="760">
        <f t="shared" si="5"/>
        <v>287</v>
      </c>
      <c r="Z13" s="480">
        <v>315108</v>
      </c>
      <c r="AA13" s="760">
        <f t="shared" si="6"/>
        <v>0</v>
      </c>
      <c r="AB13" s="855">
        <v>170336</v>
      </c>
      <c r="AC13" s="760">
        <f t="shared" si="7"/>
        <v>3947.44</v>
      </c>
      <c r="AD13" s="855">
        <v>154284</v>
      </c>
      <c r="AE13" s="760">
        <f t="shared" si="8"/>
        <v>3977.65</v>
      </c>
      <c r="AF13" s="855">
        <v>404784</v>
      </c>
      <c r="AG13" s="760">
        <f t="shared" si="9"/>
        <v>0</v>
      </c>
      <c r="AH13" s="855">
        <v>40774</v>
      </c>
      <c r="AI13" s="760">
        <f t="shared" si="10"/>
        <v>1121.48</v>
      </c>
      <c r="AJ13" s="480">
        <v>236585</v>
      </c>
      <c r="AK13" s="760">
        <f t="shared" si="28"/>
        <v>4009.98</v>
      </c>
      <c r="AL13" s="760">
        <f t="shared" si="11"/>
        <v>13056.55</v>
      </c>
      <c r="AM13" s="480">
        <v>6639083</v>
      </c>
      <c r="AN13" s="760">
        <f t="shared" si="12"/>
        <v>2225</v>
      </c>
      <c r="AO13" s="480">
        <v>480850</v>
      </c>
      <c r="AP13" s="760">
        <f t="shared" si="13"/>
        <v>272</v>
      </c>
      <c r="AQ13" s="855">
        <v>818695</v>
      </c>
      <c r="AR13" s="760">
        <f t="shared" si="14"/>
        <v>44.55</v>
      </c>
      <c r="AS13" s="480">
        <v>734662</v>
      </c>
      <c r="AT13" s="760">
        <f t="shared" si="15"/>
        <v>352</v>
      </c>
      <c r="AU13" s="855">
        <v>1961648</v>
      </c>
      <c r="AV13" s="760">
        <f t="shared" si="16"/>
        <v>1330</v>
      </c>
      <c r="AW13" s="480">
        <v>183373</v>
      </c>
      <c r="AX13" s="760">
        <f t="shared" si="25"/>
        <v>71</v>
      </c>
      <c r="AY13" s="855">
        <v>15527469</v>
      </c>
      <c r="AZ13" s="760">
        <f t="shared" si="17"/>
        <v>6043</v>
      </c>
      <c r="BA13" s="855">
        <v>18895706</v>
      </c>
      <c r="BB13" s="760">
        <f t="shared" si="18"/>
        <v>6300.2</v>
      </c>
      <c r="BC13" s="760">
        <f t="shared" si="19"/>
        <v>16637.75</v>
      </c>
      <c r="BD13" s="855">
        <v>1323286</v>
      </c>
      <c r="BE13" s="760">
        <f t="shared" si="20"/>
        <v>0</v>
      </c>
      <c r="BF13" s="855">
        <v>2891649</v>
      </c>
      <c r="BG13" s="760">
        <f t="shared" si="21"/>
        <v>1688</v>
      </c>
      <c r="BH13" s="855">
        <v>324406</v>
      </c>
      <c r="BI13" s="760">
        <f t="shared" si="22"/>
        <v>102</v>
      </c>
      <c r="BJ13" s="480">
        <v>355896</v>
      </c>
      <c r="BK13" s="760">
        <f t="shared" si="29"/>
        <v>161</v>
      </c>
      <c r="BL13" s="870">
        <f t="shared" si="26"/>
        <v>36961.300000000003</v>
      </c>
      <c r="BM13" s="871">
        <v>207</v>
      </c>
      <c r="BN13" s="870">
        <f t="shared" ref="BN13:BN19" si="36">IF(BL13&gt;0,BL13/BM12,0)</f>
        <v>205.34055555555557</v>
      </c>
      <c r="BO13" s="871"/>
      <c r="BP13" s="870" t="e">
        <f t="shared" si="27"/>
        <v>#DIV/0!</v>
      </c>
      <c r="BQ13" s="870">
        <f>BL13*BS1</f>
        <v>17002.198</v>
      </c>
      <c r="BR13" s="870">
        <f t="shared" si="31"/>
        <v>94.456655555555557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19594499</v>
      </c>
      <c r="J14" s="760">
        <f t="shared" si="23"/>
        <v>6458</v>
      </c>
      <c r="K14" s="760">
        <f t="shared" si="0"/>
        <v>4218</v>
      </c>
      <c r="L14" s="855">
        <v>162164</v>
      </c>
      <c r="M14" s="760">
        <f>IF(L14&gt;=L13,L14-L13,0)</f>
        <v>2313</v>
      </c>
      <c r="N14" s="855">
        <v>262541</v>
      </c>
      <c r="O14" s="760">
        <f t="shared" si="2"/>
        <v>1905</v>
      </c>
      <c r="P14" s="855">
        <v>205953</v>
      </c>
      <c r="Q14" s="760">
        <f t="shared" si="3"/>
        <v>750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60633</v>
      </c>
      <c r="W14" s="760">
        <f t="shared" si="4"/>
        <v>143</v>
      </c>
      <c r="X14" s="480">
        <v>118043</v>
      </c>
      <c r="Y14" s="760">
        <f t="shared" si="5"/>
        <v>279</v>
      </c>
      <c r="Z14" s="480">
        <v>315108</v>
      </c>
      <c r="AA14" s="760">
        <f t="shared" si="6"/>
        <v>0</v>
      </c>
      <c r="AB14" s="855">
        <v>177499</v>
      </c>
      <c r="AC14" s="760">
        <f t="shared" si="7"/>
        <v>3796.3900000000003</v>
      </c>
      <c r="AD14" s="855">
        <v>161452</v>
      </c>
      <c r="AE14" s="760">
        <f t="shared" si="8"/>
        <v>3799.04</v>
      </c>
      <c r="AF14" s="855">
        <v>404784</v>
      </c>
      <c r="AG14" s="760">
        <f t="shared" si="9"/>
        <v>0</v>
      </c>
      <c r="AH14" s="480">
        <v>42661</v>
      </c>
      <c r="AI14" s="760">
        <f t="shared" si="10"/>
        <v>1000.11</v>
      </c>
      <c r="AJ14" s="855">
        <v>243565</v>
      </c>
      <c r="AK14" s="760">
        <f t="shared" si="28"/>
        <v>3699.4</v>
      </c>
      <c r="AL14" s="760">
        <f t="shared" si="11"/>
        <v>12294.94</v>
      </c>
      <c r="AM14" s="480">
        <v>6641316</v>
      </c>
      <c r="AN14" s="760">
        <f t="shared" si="12"/>
        <v>2233</v>
      </c>
      <c r="AO14" s="855">
        <v>481091</v>
      </c>
      <c r="AP14" s="760">
        <f t="shared" si="13"/>
        <v>241</v>
      </c>
      <c r="AQ14" s="855">
        <v>819136</v>
      </c>
      <c r="AR14" s="760">
        <f t="shared" si="14"/>
        <v>48.51</v>
      </c>
      <c r="AS14" s="855">
        <v>734955</v>
      </c>
      <c r="AT14" s="760">
        <f t="shared" si="15"/>
        <v>293</v>
      </c>
      <c r="AU14" s="480">
        <v>1962999</v>
      </c>
      <c r="AV14" s="760">
        <f t="shared" si="16"/>
        <v>1351</v>
      </c>
      <c r="AW14" s="855">
        <v>183443</v>
      </c>
      <c r="AX14" s="760">
        <f t="shared" si="25"/>
        <v>70</v>
      </c>
      <c r="AY14" s="855">
        <v>15534535</v>
      </c>
      <c r="AZ14" s="760">
        <f t="shared" si="17"/>
        <v>7066</v>
      </c>
      <c r="BA14" s="855">
        <v>18903671</v>
      </c>
      <c r="BB14" s="760">
        <f t="shared" si="18"/>
        <v>6663</v>
      </c>
      <c r="BC14" s="760">
        <f t="shared" si="19"/>
        <v>17965.510000000002</v>
      </c>
      <c r="BD14" s="855">
        <v>1323286</v>
      </c>
      <c r="BE14" s="760">
        <f t="shared" si="20"/>
        <v>0</v>
      </c>
      <c r="BF14" s="855">
        <v>2893429</v>
      </c>
      <c r="BG14" s="760">
        <f t="shared" si="21"/>
        <v>1780</v>
      </c>
      <c r="BH14" s="855">
        <v>324522</v>
      </c>
      <c r="BI14" s="760">
        <f t="shared" si="22"/>
        <v>116</v>
      </c>
      <c r="BJ14" s="855">
        <v>356072</v>
      </c>
      <c r="BK14" s="760">
        <f t="shared" si="29"/>
        <v>176</v>
      </c>
      <c r="BL14" s="870">
        <f t="shared" si="26"/>
        <v>37468.450000000004</v>
      </c>
      <c r="BM14" s="871">
        <v>170</v>
      </c>
      <c r="BN14" s="870">
        <f t="shared" si="36"/>
        <v>181.00700483091791</v>
      </c>
      <c r="BO14" s="871"/>
      <c r="BP14" s="870" t="e">
        <f t="shared" si="27"/>
        <v>#DIV/0!</v>
      </c>
      <c r="BQ14" s="870">
        <f>BL14*BS1</f>
        <v>17235.487000000001</v>
      </c>
      <c r="BR14" s="870">
        <f t="shared" si="31"/>
        <v>83.263222222222225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19600723</v>
      </c>
      <c r="J15" s="760">
        <f t="shared" si="23"/>
        <v>6224</v>
      </c>
      <c r="K15" s="760">
        <f t="shared" si="0"/>
        <v>3616</v>
      </c>
      <c r="L15" s="855">
        <v>164144</v>
      </c>
      <c r="M15" s="760">
        <f>IF(L15&gt;=L14,L15-L14,0)</f>
        <v>1980</v>
      </c>
      <c r="N15" s="855">
        <v>264177</v>
      </c>
      <c r="O15" s="760">
        <f t="shared" si="2"/>
        <v>1636</v>
      </c>
      <c r="P15" s="855">
        <v>205974</v>
      </c>
      <c r="Q15" s="760">
        <f t="shared" si="3"/>
        <v>630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60765</v>
      </c>
      <c r="W15" s="760">
        <f t="shared" si="4"/>
        <v>132</v>
      </c>
      <c r="X15" s="480">
        <v>118306</v>
      </c>
      <c r="Y15" s="760">
        <f t="shared" si="5"/>
        <v>263</v>
      </c>
      <c r="Z15" s="480">
        <v>315108</v>
      </c>
      <c r="AA15" s="760">
        <f t="shared" si="6"/>
        <v>0</v>
      </c>
      <c r="AB15" s="855">
        <v>183870</v>
      </c>
      <c r="AC15" s="760">
        <f t="shared" si="7"/>
        <v>3376.63</v>
      </c>
      <c r="AD15" s="855">
        <v>168915</v>
      </c>
      <c r="AE15" s="760">
        <f t="shared" si="8"/>
        <v>3955.3900000000003</v>
      </c>
      <c r="AF15" s="855">
        <v>404784</v>
      </c>
      <c r="AG15" s="760">
        <f t="shared" si="9"/>
        <v>0</v>
      </c>
      <c r="AH15" s="855">
        <v>44418</v>
      </c>
      <c r="AI15" s="760">
        <f t="shared" si="10"/>
        <v>931.21</v>
      </c>
      <c r="AJ15" s="480">
        <v>249695</v>
      </c>
      <c r="AK15" s="760">
        <f t="shared" si="28"/>
        <v>3248.9</v>
      </c>
      <c r="AL15" s="760">
        <f t="shared" si="11"/>
        <v>11512.13</v>
      </c>
      <c r="AM15" s="480">
        <v>6643374</v>
      </c>
      <c r="AN15" s="760">
        <f t="shared" si="12"/>
        <v>2058</v>
      </c>
      <c r="AO15" s="480">
        <v>481321</v>
      </c>
      <c r="AP15" s="760">
        <f t="shared" si="13"/>
        <v>230</v>
      </c>
      <c r="AQ15" s="855">
        <v>819475</v>
      </c>
      <c r="AR15" s="760">
        <f t="shared" si="14"/>
        <v>37.29</v>
      </c>
      <c r="AS15" s="480">
        <v>735229</v>
      </c>
      <c r="AT15" s="760">
        <f t="shared" si="15"/>
        <v>274</v>
      </c>
      <c r="AU15" s="855">
        <v>1964192</v>
      </c>
      <c r="AV15" s="760">
        <f t="shared" si="16"/>
        <v>1193</v>
      </c>
      <c r="AW15" s="855">
        <v>183462</v>
      </c>
      <c r="AX15" s="760">
        <f t="shared" si="25"/>
        <v>19</v>
      </c>
      <c r="AY15" s="855">
        <v>15540953</v>
      </c>
      <c r="AZ15" s="760">
        <f t="shared" si="17"/>
        <v>6418</v>
      </c>
      <c r="BA15" s="855">
        <v>18910318</v>
      </c>
      <c r="BB15" s="760">
        <f t="shared" si="18"/>
        <v>5581.3</v>
      </c>
      <c r="BC15" s="760">
        <f t="shared" si="19"/>
        <v>15810.59</v>
      </c>
      <c r="BD15" s="855">
        <v>1323286</v>
      </c>
      <c r="BE15" s="760">
        <f t="shared" si="20"/>
        <v>0</v>
      </c>
      <c r="BF15" s="855">
        <v>2894891</v>
      </c>
      <c r="BG15" s="760">
        <f t="shared" si="21"/>
        <v>1462</v>
      </c>
      <c r="BH15" s="855">
        <v>324613</v>
      </c>
      <c r="BI15" s="760">
        <f t="shared" si="22"/>
        <v>91</v>
      </c>
      <c r="BJ15" s="855">
        <v>356215</v>
      </c>
      <c r="BK15" s="760">
        <f t="shared" si="29"/>
        <v>143</v>
      </c>
      <c r="BL15" s="870">
        <f t="shared" si="26"/>
        <v>34176.720000000001</v>
      </c>
      <c r="BM15" s="871">
        <v>145</v>
      </c>
      <c r="BN15" s="870">
        <f t="shared" si="36"/>
        <v>201.0395294117647</v>
      </c>
      <c r="BO15" s="871"/>
      <c r="BP15" s="870" t="e">
        <f t="shared" si="27"/>
        <v>#DIV/0!</v>
      </c>
      <c r="BQ15" s="870">
        <f>BL15*BS1</f>
        <v>15721.291200000001</v>
      </c>
      <c r="BR15" s="870">
        <f t="shared" si="31"/>
        <v>92.47818352941178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19607437</v>
      </c>
      <c r="J16" s="760">
        <f t="shared" si="23"/>
        <v>6714</v>
      </c>
      <c r="K16" s="760">
        <f t="shared" si="0"/>
        <v>4352</v>
      </c>
      <c r="L16" s="855">
        <v>166501</v>
      </c>
      <c r="M16" s="760">
        <f>IF(L16&gt;=L15,L16-L15,0)</f>
        <v>2357</v>
      </c>
      <c r="N16" s="480">
        <v>266172</v>
      </c>
      <c r="O16" s="760">
        <f t="shared" si="2"/>
        <v>1995</v>
      </c>
      <c r="P16" s="855">
        <v>206000</v>
      </c>
      <c r="Q16" s="760">
        <f t="shared" si="3"/>
        <v>780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60909</v>
      </c>
      <c r="W16" s="760">
        <f t="shared" si="4"/>
        <v>144</v>
      </c>
      <c r="X16" s="480">
        <v>118601</v>
      </c>
      <c r="Y16" s="760">
        <f t="shared" si="5"/>
        <v>295</v>
      </c>
      <c r="Z16" s="480">
        <v>315108</v>
      </c>
      <c r="AA16" s="760">
        <f t="shared" si="6"/>
        <v>0</v>
      </c>
      <c r="AB16" s="855">
        <v>191222</v>
      </c>
      <c r="AC16" s="760">
        <f t="shared" si="7"/>
        <v>3896.5600000000004</v>
      </c>
      <c r="AD16" s="855">
        <v>176440</v>
      </c>
      <c r="AE16" s="760">
        <f t="shared" si="8"/>
        <v>3988.25</v>
      </c>
      <c r="AF16" s="480">
        <v>404784</v>
      </c>
      <c r="AG16" s="760">
        <f t="shared" si="9"/>
        <v>0</v>
      </c>
      <c r="AH16" s="480">
        <v>46753</v>
      </c>
      <c r="AI16" s="760">
        <f t="shared" si="10"/>
        <v>1237.55</v>
      </c>
      <c r="AJ16" s="855">
        <v>257534</v>
      </c>
      <c r="AK16" s="760">
        <f t="shared" si="28"/>
        <v>4154.67</v>
      </c>
      <c r="AL16" s="760">
        <f t="shared" si="11"/>
        <v>13277.03</v>
      </c>
      <c r="AM16" s="904">
        <v>6645840</v>
      </c>
      <c r="AN16" s="760">
        <f t="shared" si="12"/>
        <v>2466</v>
      </c>
      <c r="AO16" s="480">
        <v>481593</v>
      </c>
      <c r="AP16" s="760">
        <f t="shared" si="13"/>
        <v>272</v>
      </c>
      <c r="AQ16" s="480">
        <v>819878</v>
      </c>
      <c r="AR16" s="760">
        <f t="shared" si="14"/>
        <v>44.33</v>
      </c>
      <c r="AS16" s="480">
        <v>735536</v>
      </c>
      <c r="AT16" s="760">
        <f t="shared" si="15"/>
        <v>307</v>
      </c>
      <c r="AU16" s="480">
        <v>1965586</v>
      </c>
      <c r="AV16" s="760">
        <f t="shared" si="16"/>
        <v>1394</v>
      </c>
      <c r="AW16" s="480">
        <v>183512</v>
      </c>
      <c r="AX16" s="760">
        <f t="shared" si="25"/>
        <v>50</v>
      </c>
      <c r="AY16" s="480">
        <v>15546024</v>
      </c>
      <c r="AZ16" s="760">
        <f t="shared" si="17"/>
        <v>5071</v>
      </c>
      <c r="BA16" s="855">
        <v>18917989</v>
      </c>
      <c r="BB16" s="760">
        <f t="shared" si="18"/>
        <v>6458</v>
      </c>
      <c r="BC16" s="760">
        <f t="shared" si="19"/>
        <v>16062.33</v>
      </c>
      <c r="BD16" s="855">
        <v>1323286</v>
      </c>
      <c r="BE16" s="760">
        <f t="shared" si="20"/>
        <v>0</v>
      </c>
      <c r="BF16" s="855">
        <v>2896541</v>
      </c>
      <c r="BG16" s="760">
        <f t="shared" si="21"/>
        <v>1650</v>
      </c>
      <c r="BH16" s="480">
        <v>324723</v>
      </c>
      <c r="BI16" s="760">
        <f t="shared" si="22"/>
        <v>110</v>
      </c>
      <c r="BJ16" s="480">
        <v>356383</v>
      </c>
      <c r="BK16" s="760">
        <f t="shared" si="29"/>
        <v>168</v>
      </c>
      <c r="BL16" s="870">
        <f t="shared" si="26"/>
        <v>36833.360000000001</v>
      </c>
      <c r="BM16" s="871">
        <v>160</v>
      </c>
      <c r="BN16" s="870">
        <f t="shared" si="36"/>
        <v>254.02317241379311</v>
      </c>
      <c r="BO16" s="871"/>
      <c r="BP16" s="870" t="e">
        <f t="shared" si="27"/>
        <v>#DIV/0!</v>
      </c>
      <c r="BQ16" s="870">
        <f>BL16*BS1</f>
        <v>16943.345600000001</v>
      </c>
      <c r="BR16" s="870">
        <f>IF(BQ16&gt;0,BQ16/BM15,0)</f>
        <v>116.85065931034484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19613291</v>
      </c>
      <c r="J17" s="760">
        <f t="shared" si="23"/>
        <v>5854</v>
      </c>
      <c r="K17" s="760">
        <f t="shared" si="0"/>
        <v>3990</v>
      </c>
      <c r="L17" s="480">
        <v>168724</v>
      </c>
      <c r="M17" s="760">
        <f>IF(L17&gt;=L16,L17-L16,0)</f>
        <v>2223</v>
      </c>
      <c r="N17" s="480">
        <v>267939</v>
      </c>
      <c r="O17" s="760">
        <f t="shared" si="2"/>
        <v>1767</v>
      </c>
      <c r="P17" s="855">
        <v>206025</v>
      </c>
      <c r="Q17" s="760">
        <f t="shared" si="3"/>
        <v>750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61036</v>
      </c>
      <c r="W17" s="760">
        <f t="shared" si="4"/>
        <v>127</v>
      </c>
      <c r="X17" s="855">
        <v>118861</v>
      </c>
      <c r="Y17" s="760">
        <f t="shared" si="5"/>
        <v>260</v>
      </c>
      <c r="Z17" s="480">
        <v>315108</v>
      </c>
      <c r="AA17" s="760">
        <f t="shared" si="6"/>
        <v>0</v>
      </c>
      <c r="AB17" s="480">
        <v>198606</v>
      </c>
      <c r="AC17" s="760">
        <f t="shared" si="7"/>
        <v>3913.52</v>
      </c>
      <c r="AD17" s="904">
        <v>183857</v>
      </c>
      <c r="AE17" s="760">
        <f t="shared" si="8"/>
        <v>3931.01</v>
      </c>
      <c r="AF17" s="480">
        <v>404784</v>
      </c>
      <c r="AG17" s="760">
        <f t="shared" si="9"/>
        <v>0</v>
      </c>
      <c r="AH17" s="480">
        <v>48916</v>
      </c>
      <c r="AI17" s="760">
        <f t="shared" si="10"/>
        <v>1146.3900000000001</v>
      </c>
      <c r="AJ17" s="480">
        <v>264969</v>
      </c>
      <c r="AK17" s="760">
        <f t="shared" si="28"/>
        <v>3940.55</v>
      </c>
      <c r="AL17" s="760">
        <f t="shared" si="11"/>
        <v>12931.470000000001</v>
      </c>
      <c r="AM17" s="480">
        <v>6647760</v>
      </c>
      <c r="AN17" s="760">
        <f t="shared" si="12"/>
        <v>1920</v>
      </c>
      <c r="AO17" s="480">
        <v>481835</v>
      </c>
      <c r="AP17" s="760">
        <f t="shared" si="13"/>
        <v>242</v>
      </c>
      <c r="AQ17" s="480">
        <v>820251</v>
      </c>
      <c r="AR17" s="760">
        <f t="shared" si="14"/>
        <v>41.03</v>
      </c>
      <c r="AS17" s="480">
        <v>735823</v>
      </c>
      <c r="AT17" s="760">
        <f t="shared" si="15"/>
        <v>287</v>
      </c>
      <c r="AU17" s="480">
        <v>1966887</v>
      </c>
      <c r="AV17" s="760">
        <f t="shared" si="16"/>
        <v>1301</v>
      </c>
      <c r="AW17" s="480">
        <v>183576</v>
      </c>
      <c r="AX17" s="760">
        <f t="shared" si="25"/>
        <v>64</v>
      </c>
      <c r="AY17" s="480">
        <v>15552174</v>
      </c>
      <c r="AZ17" s="760">
        <f t="shared" si="17"/>
        <v>6150</v>
      </c>
      <c r="BA17" s="855">
        <v>18924732</v>
      </c>
      <c r="BB17" s="760">
        <f t="shared" si="18"/>
        <v>5681.5</v>
      </c>
      <c r="BC17" s="760">
        <f t="shared" si="19"/>
        <v>15686.53</v>
      </c>
      <c r="BD17" s="855">
        <v>1323286</v>
      </c>
      <c r="BE17" s="760">
        <f>IF(BD17&gt;=BF16,BD17-BF16,0)</f>
        <v>0</v>
      </c>
      <c r="BF17" s="480">
        <v>2897991</v>
      </c>
      <c r="BG17" s="760">
        <f t="shared" si="21"/>
        <v>1450</v>
      </c>
      <c r="BH17" s="480">
        <v>324818</v>
      </c>
      <c r="BI17" s="760">
        <f t="shared" si="22"/>
        <v>95</v>
      </c>
      <c r="BJ17" s="480">
        <v>356527</v>
      </c>
      <c r="BK17" s="760">
        <f t="shared" si="29"/>
        <v>144</v>
      </c>
      <c r="BL17" s="870">
        <f t="shared" si="26"/>
        <v>35222</v>
      </c>
      <c r="BM17" s="871">
        <v>170</v>
      </c>
      <c r="BN17" s="870">
        <f t="shared" si="36"/>
        <v>220.13749999999999</v>
      </c>
      <c r="BO17" s="871"/>
      <c r="BP17" s="870" t="e">
        <f t="shared" si="27"/>
        <v>#DIV/0!</v>
      </c>
      <c r="BQ17" s="870">
        <f>BL17*BS1</f>
        <v>16202.12</v>
      </c>
      <c r="BR17" s="870">
        <f>IF(BQ17&gt;0,BQ17/BM16,0)</f>
        <v>101.26325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>
        <v>19619483</v>
      </c>
      <c r="J18" s="760">
        <f t="shared" si="23"/>
        <v>6192</v>
      </c>
      <c r="K18" s="760">
        <f t="shared" si="0"/>
        <v>3753</v>
      </c>
      <c r="L18" s="480">
        <v>170833</v>
      </c>
      <c r="M18" s="760">
        <f>IF(L18&gt;=L17,L18-L17,0)</f>
        <v>2109</v>
      </c>
      <c r="N18" s="480">
        <v>269583</v>
      </c>
      <c r="O18" s="760">
        <f t="shared" si="2"/>
        <v>1644</v>
      </c>
      <c r="P18" s="855">
        <v>206050</v>
      </c>
      <c r="Q18" s="760">
        <f t="shared" si="3"/>
        <v>750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61170</v>
      </c>
      <c r="W18" s="760">
        <f t="shared" si="4"/>
        <v>134</v>
      </c>
      <c r="X18" s="480">
        <v>119130</v>
      </c>
      <c r="Y18" s="760">
        <f t="shared" si="5"/>
        <v>269</v>
      </c>
      <c r="Z18" s="480">
        <v>315108</v>
      </c>
      <c r="AA18" s="760">
        <f t="shared" si="6"/>
        <v>0</v>
      </c>
      <c r="AB18" s="480">
        <v>203862</v>
      </c>
      <c r="AC18" s="760">
        <f t="shared" si="7"/>
        <v>2785.6800000000003</v>
      </c>
      <c r="AD18" s="480">
        <v>190739</v>
      </c>
      <c r="AE18" s="760">
        <f t="shared" si="8"/>
        <v>3647.46</v>
      </c>
      <c r="AF18" s="480">
        <v>404784</v>
      </c>
      <c r="AG18" s="760">
        <f t="shared" si="9"/>
        <v>0</v>
      </c>
      <c r="AH18" s="480">
        <v>50872</v>
      </c>
      <c r="AI18" s="760">
        <f t="shared" si="10"/>
        <v>1036.68</v>
      </c>
      <c r="AJ18" s="855">
        <v>271826</v>
      </c>
      <c r="AK18" s="760">
        <f t="shared" si="28"/>
        <v>3634.21</v>
      </c>
      <c r="AL18" s="760">
        <f t="shared" si="11"/>
        <v>11104.03</v>
      </c>
      <c r="AM18" s="480">
        <v>6649861</v>
      </c>
      <c r="AN18" s="760">
        <f t="shared" si="12"/>
        <v>2101</v>
      </c>
      <c r="AO18" s="480">
        <v>482082</v>
      </c>
      <c r="AP18" s="760">
        <f t="shared" si="13"/>
        <v>247</v>
      </c>
      <c r="AQ18" s="480">
        <v>820657</v>
      </c>
      <c r="AR18" s="760">
        <f t="shared" si="14"/>
        <v>44.660000000000004</v>
      </c>
      <c r="AS18" s="480">
        <v>736137</v>
      </c>
      <c r="AT18" s="760">
        <f t="shared" si="15"/>
        <v>314</v>
      </c>
      <c r="AU18" s="480">
        <v>1968126</v>
      </c>
      <c r="AV18" s="760">
        <f t="shared" si="16"/>
        <v>1239</v>
      </c>
      <c r="AW18" s="855">
        <v>183609</v>
      </c>
      <c r="AX18" s="760">
        <f t="shared" si="25"/>
        <v>33</v>
      </c>
      <c r="AY18" s="480">
        <v>15558267</v>
      </c>
      <c r="AZ18" s="760">
        <f t="shared" si="17"/>
        <v>6093</v>
      </c>
      <c r="BA18" s="855">
        <v>18931951</v>
      </c>
      <c r="BB18" s="760">
        <f t="shared" si="18"/>
        <v>6063.1</v>
      </c>
      <c r="BC18" s="760">
        <f t="shared" si="19"/>
        <v>16134.76</v>
      </c>
      <c r="BD18" s="855">
        <v>1323286</v>
      </c>
      <c r="BE18" s="760">
        <f t="shared" si="20"/>
        <v>0</v>
      </c>
      <c r="BF18" s="480">
        <v>2899560</v>
      </c>
      <c r="BG18" s="760">
        <f t="shared" si="21"/>
        <v>1569</v>
      </c>
      <c r="BH18" s="480">
        <v>324925</v>
      </c>
      <c r="BI18" s="760">
        <f t="shared" si="22"/>
        <v>107</v>
      </c>
      <c r="BJ18" s="855">
        <v>356688</v>
      </c>
      <c r="BK18" s="760">
        <f t="shared" si="29"/>
        <v>161</v>
      </c>
      <c r="BL18" s="870">
        <f t="shared" si="26"/>
        <v>34180.79</v>
      </c>
      <c r="BM18" s="871">
        <v>220</v>
      </c>
      <c r="BN18" s="870">
        <f t="shared" si="36"/>
        <v>201.0634705882353</v>
      </c>
      <c r="BO18" s="871"/>
      <c r="BP18" s="870" t="e">
        <f t="shared" si="27"/>
        <v>#DIV/0!</v>
      </c>
      <c r="BQ18" s="870">
        <f>BL18*BS1</f>
        <v>15723.163400000001</v>
      </c>
      <c r="BR18" s="870">
        <f>IF(BQ18&gt;0,BQ18/BM17,0)</f>
        <v>92.48919647058824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19625924</v>
      </c>
      <c r="J19" s="760">
        <f t="shared" si="23"/>
        <v>6441</v>
      </c>
      <c r="K19" s="760">
        <f t="shared" si="0"/>
        <v>3872</v>
      </c>
      <c r="L19" s="480">
        <v>172992</v>
      </c>
      <c r="M19" s="760">
        <f t="shared" si="1"/>
        <v>2159</v>
      </c>
      <c r="N19" s="480">
        <v>271296</v>
      </c>
      <c r="O19" s="760">
        <f t="shared" si="2"/>
        <v>1713</v>
      </c>
      <c r="P19" s="855">
        <v>206074</v>
      </c>
      <c r="Q19" s="760">
        <f t="shared" ref="Q19:Q36" si="37">IF(P19&gt;=P18,P19-P18,0)*30</f>
        <v>720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61313</v>
      </c>
      <c r="W19" s="760">
        <f t="shared" si="4"/>
        <v>143</v>
      </c>
      <c r="X19" s="480">
        <v>119416</v>
      </c>
      <c r="Y19" s="760">
        <f t="shared" si="5"/>
        <v>286</v>
      </c>
      <c r="Z19" s="480">
        <v>315108</v>
      </c>
      <c r="AA19" s="760">
        <f t="shared" si="6"/>
        <v>0</v>
      </c>
      <c r="AB19" s="480">
        <v>210005</v>
      </c>
      <c r="AC19" s="760">
        <f t="shared" si="7"/>
        <v>3255.79</v>
      </c>
      <c r="AD19" s="904">
        <v>197893</v>
      </c>
      <c r="AE19" s="760">
        <f t="shared" si="8"/>
        <v>3791.6200000000003</v>
      </c>
      <c r="AF19" s="904">
        <v>404784</v>
      </c>
      <c r="AG19" s="760">
        <f t="shared" si="9"/>
        <v>0</v>
      </c>
      <c r="AH19" s="904">
        <v>52543</v>
      </c>
      <c r="AI19" s="760">
        <f t="shared" si="10"/>
        <v>885.63</v>
      </c>
      <c r="AJ19" s="855">
        <v>278549</v>
      </c>
      <c r="AK19" s="760">
        <f t="shared" si="28"/>
        <v>3563.19</v>
      </c>
      <c r="AL19" s="760">
        <f t="shared" si="11"/>
        <v>11496.23</v>
      </c>
      <c r="AM19" s="904">
        <v>6652108</v>
      </c>
      <c r="AN19" s="760">
        <f t="shared" si="12"/>
        <v>2247</v>
      </c>
      <c r="AO19" s="480">
        <v>482356</v>
      </c>
      <c r="AP19" s="760">
        <f t="shared" si="13"/>
        <v>274</v>
      </c>
      <c r="AQ19" s="904">
        <v>821132</v>
      </c>
      <c r="AR19" s="760">
        <f t="shared" si="14"/>
        <v>52.25</v>
      </c>
      <c r="AS19" s="480">
        <v>736525</v>
      </c>
      <c r="AT19" s="760">
        <f t="shared" si="15"/>
        <v>388</v>
      </c>
      <c r="AU19" s="904">
        <v>1969342</v>
      </c>
      <c r="AV19" s="760">
        <f t="shared" si="16"/>
        <v>1216</v>
      </c>
      <c r="AW19" s="480">
        <v>183680</v>
      </c>
      <c r="AX19" s="760">
        <f t="shared" ref="AX19:AX36" si="40">IF(AW19&gt;=AW18,AW19-AW18,0)</f>
        <v>71</v>
      </c>
      <c r="AY19" s="855">
        <v>15564417</v>
      </c>
      <c r="AZ19" s="760">
        <f t="shared" si="17"/>
        <v>6150</v>
      </c>
      <c r="BA19" s="855">
        <v>18940098</v>
      </c>
      <c r="BB19" s="760">
        <f t="shared" si="18"/>
        <v>6873</v>
      </c>
      <c r="BC19" s="760">
        <f t="shared" si="19"/>
        <v>17271.25</v>
      </c>
      <c r="BD19" s="855">
        <v>1323286</v>
      </c>
      <c r="BE19" s="760">
        <f t="shared" si="20"/>
        <v>0</v>
      </c>
      <c r="BF19" s="480">
        <v>2901280</v>
      </c>
      <c r="BG19" s="760">
        <f t="shared" si="21"/>
        <v>1720</v>
      </c>
      <c r="BH19" s="904">
        <v>325043</v>
      </c>
      <c r="BI19" s="760">
        <f t="shared" si="22"/>
        <v>118</v>
      </c>
      <c r="BJ19" s="855">
        <v>356871</v>
      </c>
      <c r="BK19" s="760">
        <f t="shared" si="29"/>
        <v>183</v>
      </c>
      <c r="BL19" s="870">
        <f t="shared" si="26"/>
        <v>35928.479999999996</v>
      </c>
      <c r="BM19" s="904">
        <v>238</v>
      </c>
      <c r="BN19" s="870">
        <f t="shared" si="36"/>
        <v>163.31127272727272</v>
      </c>
      <c r="BO19" s="871"/>
      <c r="BP19" s="870" t="e">
        <f t="shared" si="27"/>
        <v>#DIV/0!</v>
      </c>
      <c r="BQ19" s="870">
        <f>BL19*BS1</f>
        <v>16527.1008</v>
      </c>
      <c r="BR19" s="870">
        <f>IF(BQ19&gt;0,BQ19/BM18,0)</f>
        <v>75.12318545454545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19631847</v>
      </c>
      <c r="J20" s="760">
        <f t="shared" si="23"/>
        <v>5923</v>
      </c>
      <c r="K20" s="760">
        <f t="shared" si="0"/>
        <v>4086</v>
      </c>
      <c r="L20" s="480">
        <v>175193</v>
      </c>
      <c r="M20" s="760">
        <f t="shared" si="1"/>
        <v>2201</v>
      </c>
      <c r="N20" s="480">
        <v>273181</v>
      </c>
      <c r="O20" s="760">
        <f t="shared" si="2"/>
        <v>1885</v>
      </c>
      <c r="P20" s="480">
        <v>206098</v>
      </c>
      <c r="Q20" s="760">
        <f t="shared" si="37"/>
        <v>720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61453</v>
      </c>
      <c r="W20" s="760">
        <f t="shared" si="4"/>
        <v>140</v>
      </c>
      <c r="X20" s="480">
        <v>119701</v>
      </c>
      <c r="Y20" s="760">
        <f t="shared" si="5"/>
        <v>285</v>
      </c>
      <c r="Z20" s="480">
        <v>315108</v>
      </c>
      <c r="AA20" s="760">
        <f t="shared" si="6"/>
        <v>0</v>
      </c>
      <c r="AB20" s="480">
        <v>216355</v>
      </c>
      <c r="AC20" s="760">
        <f t="shared" si="7"/>
        <v>3365.5</v>
      </c>
      <c r="AD20" s="480">
        <v>205408</v>
      </c>
      <c r="AE20" s="760">
        <f t="shared" si="8"/>
        <v>3982.9500000000003</v>
      </c>
      <c r="AF20" s="480">
        <v>404833</v>
      </c>
      <c r="AG20" s="760">
        <f t="shared" si="9"/>
        <v>25.970000000000002</v>
      </c>
      <c r="AH20" s="480">
        <v>54455</v>
      </c>
      <c r="AI20" s="760">
        <f t="shared" si="10"/>
        <v>1013.36</v>
      </c>
      <c r="AJ20" s="480">
        <v>285700</v>
      </c>
      <c r="AK20" s="760">
        <f t="shared" si="28"/>
        <v>3790.03</v>
      </c>
      <c r="AL20" s="760">
        <f t="shared" si="11"/>
        <v>12177.810000000001</v>
      </c>
      <c r="AM20" s="480">
        <v>6654290</v>
      </c>
      <c r="AN20" s="760">
        <f t="shared" si="12"/>
        <v>2182</v>
      </c>
      <c r="AO20" s="855">
        <v>482643</v>
      </c>
      <c r="AP20" s="760">
        <f t="shared" si="13"/>
        <v>287</v>
      </c>
      <c r="AQ20" s="480">
        <v>821532</v>
      </c>
      <c r="AR20" s="760">
        <f t="shared" si="14"/>
        <v>44</v>
      </c>
      <c r="AS20" s="480">
        <v>736878</v>
      </c>
      <c r="AT20" s="760">
        <f t="shared" si="15"/>
        <v>353</v>
      </c>
      <c r="AU20" s="480">
        <v>1970524</v>
      </c>
      <c r="AV20" s="760">
        <f t="shared" si="16"/>
        <v>1182</v>
      </c>
      <c r="AW20" s="855">
        <v>183751</v>
      </c>
      <c r="AX20" s="760">
        <f t="shared" si="40"/>
        <v>71</v>
      </c>
      <c r="AY20" s="480">
        <v>15571558</v>
      </c>
      <c r="AZ20" s="760">
        <f t="shared" si="17"/>
        <v>7141</v>
      </c>
      <c r="BA20" s="855">
        <v>18947139</v>
      </c>
      <c r="BB20" s="760">
        <f t="shared" si="18"/>
        <v>5956.5</v>
      </c>
      <c r="BC20" s="760">
        <f t="shared" si="19"/>
        <v>17216.5</v>
      </c>
      <c r="BD20" s="855">
        <v>1323286</v>
      </c>
      <c r="BE20" s="760">
        <f t="shared" si="20"/>
        <v>0</v>
      </c>
      <c r="BF20" s="480">
        <v>2902755</v>
      </c>
      <c r="BG20" s="760">
        <f t="shared" si="21"/>
        <v>1475</v>
      </c>
      <c r="BH20" s="480">
        <v>325140</v>
      </c>
      <c r="BI20" s="760">
        <f t="shared" si="22"/>
        <v>97</v>
      </c>
      <c r="BJ20" s="855">
        <v>357022</v>
      </c>
      <c r="BK20" s="760">
        <f t="shared" si="29"/>
        <v>151</v>
      </c>
      <c r="BL20" s="870">
        <f t="shared" si="26"/>
        <v>36037.31</v>
      </c>
      <c r="BM20" s="871">
        <v>236</v>
      </c>
      <c r="BN20" s="870">
        <f t="shared" ref="BN20:BN36" si="41">IF(BL20&gt;0,BL20/BM20,0)</f>
        <v>152.7004661016949</v>
      </c>
      <c r="BO20" s="871"/>
      <c r="BP20" s="870" t="e">
        <f t="shared" si="27"/>
        <v>#DIV/0!</v>
      </c>
      <c r="BQ20" s="870">
        <f>BL20*BS1</f>
        <v>16577.1626</v>
      </c>
      <c r="BR20" s="870">
        <f t="shared" ref="BR20:BR36" si="42">IF(BQ20&gt;0,BQ20/BM20,0)</f>
        <v>70.242214406779667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>
        <v>19638246</v>
      </c>
      <c r="J21" s="760">
        <f t="shared" si="23"/>
        <v>6399</v>
      </c>
      <c r="K21" s="760">
        <f t="shared" si="0"/>
        <v>4059</v>
      </c>
      <c r="L21" s="480">
        <v>177384</v>
      </c>
      <c r="M21" s="760">
        <f t="shared" si="1"/>
        <v>2191</v>
      </c>
      <c r="N21" s="480">
        <v>275049</v>
      </c>
      <c r="O21" s="760">
        <f t="shared" si="2"/>
        <v>1868</v>
      </c>
      <c r="P21" s="855">
        <v>206123</v>
      </c>
      <c r="Q21" s="760">
        <f t="shared" si="37"/>
        <v>750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61581</v>
      </c>
      <c r="W21" s="760">
        <f t="shared" ref="W21:W36" si="43">IF(V21&gt;=V20,V21-V20,0)</f>
        <v>128</v>
      </c>
      <c r="X21" s="855">
        <v>119960</v>
      </c>
      <c r="Y21" s="760">
        <f t="shared" si="5"/>
        <v>259</v>
      </c>
      <c r="Z21" s="480">
        <v>315108</v>
      </c>
      <c r="AA21" s="760">
        <f t="shared" si="6"/>
        <v>0</v>
      </c>
      <c r="AB21" s="855">
        <v>222935</v>
      </c>
      <c r="AC21" s="760">
        <f>IF(AB21&gt;=AB20,AB21-AB20,0)*0.53</f>
        <v>3487.4</v>
      </c>
      <c r="AD21" s="904">
        <v>207733</v>
      </c>
      <c r="AE21" s="760">
        <f t="shared" si="8"/>
        <v>1232.25</v>
      </c>
      <c r="AF21" s="480">
        <v>410027</v>
      </c>
      <c r="AG21" s="760">
        <f t="shared" si="9"/>
        <v>2752.82</v>
      </c>
      <c r="AH21" s="480">
        <v>56148</v>
      </c>
      <c r="AI21" s="760">
        <f t="shared" si="10"/>
        <v>897.29000000000008</v>
      </c>
      <c r="AJ21" s="480">
        <v>293172</v>
      </c>
      <c r="AK21" s="760">
        <f t="shared" si="28"/>
        <v>3960.1600000000003</v>
      </c>
      <c r="AL21" s="760">
        <f t="shared" si="11"/>
        <v>12329.92</v>
      </c>
      <c r="AM21" s="480">
        <v>6656403</v>
      </c>
      <c r="AN21" s="760">
        <f t="shared" si="12"/>
        <v>2113</v>
      </c>
      <c r="AO21" s="480">
        <v>482871</v>
      </c>
      <c r="AP21" s="760">
        <f t="shared" si="13"/>
        <v>228</v>
      </c>
      <c r="AQ21" s="480">
        <v>821949</v>
      </c>
      <c r="AR21" s="760">
        <f t="shared" si="14"/>
        <v>45.87</v>
      </c>
      <c r="AS21" s="904">
        <v>737222</v>
      </c>
      <c r="AT21" s="760">
        <f t="shared" si="15"/>
        <v>344</v>
      </c>
      <c r="AU21" s="480">
        <v>1971714</v>
      </c>
      <c r="AV21" s="760">
        <f t="shared" si="16"/>
        <v>1190</v>
      </c>
      <c r="AW21" s="855">
        <v>183816</v>
      </c>
      <c r="AX21" s="760">
        <f t="shared" si="40"/>
        <v>65</v>
      </c>
      <c r="AY21" s="855">
        <v>15577140</v>
      </c>
      <c r="AZ21" s="760">
        <f t="shared" si="17"/>
        <v>5582</v>
      </c>
      <c r="BA21" s="855">
        <v>18954540</v>
      </c>
      <c r="BB21" s="760">
        <f t="shared" si="18"/>
        <v>6255.2</v>
      </c>
      <c r="BC21" s="760">
        <f t="shared" si="19"/>
        <v>15823.07</v>
      </c>
      <c r="BD21" s="855">
        <v>1323286</v>
      </c>
      <c r="BE21" s="760">
        <f t="shared" si="20"/>
        <v>0</v>
      </c>
      <c r="BF21" s="480">
        <v>2904318</v>
      </c>
      <c r="BG21" s="760">
        <f t="shared" si="21"/>
        <v>1563</v>
      </c>
      <c r="BH21" s="480">
        <v>325236</v>
      </c>
      <c r="BI21" s="760">
        <f t="shared" si="22"/>
        <v>96</v>
      </c>
      <c r="BJ21" s="480">
        <v>357182</v>
      </c>
      <c r="BK21" s="760">
        <f t="shared" si="29"/>
        <v>160</v>
      </c>
      <c r="BL21" s="870">
        <f t="shared" si="26"/>
        <v>35301.99</v>
      </c>
      <c r="BM21" s="871">
        <v>162</v>
      </c>
      <c r="BN21" s="870">
        <f t="shared" si="41"/>
        <v>217.91351851851852</v>
      </c>
      <c r="BO21" s="871"/>
      <c r="BP21" s="870" t="e">
        <f t="shared" si="27"/>
        <v>#DIV/0!</v>
      </c>
      <c r="BQ21" s="870">
        <f>BL21*BS1</f>
        <v>16238.9154</v>
      </c>
      <c r="BR21" s="870">
        <f t="shared" si="42"/>
        <v>100.24021851851852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19644548</v>
      </c>
      <c r="J22" s="760">
        <f t="shared" si="23"/>
        <v>6302</v>
      </c>
      <c r="K22" s="760">
        <f t="shared" si="0"/>
        <v>2945</v>
      </c>
      <c r="L22" s="480">
        <v>178960</v>
      </c>
      <c r="M22" s="760">
        <f t="shared" si="1"/>
        <v>1576</v>
      </c>
      <c r="N22" s="480">
        <v>276418</v>
      </c>
      <c r="O22" s="760">
        <f t="shared" si="2"/>
        <v>1369</v>
      </c>
      <c r="P22" s="855">
        <v>206140</v>
      </c>
      <c r="Q22" s="760">
        <f t="shared" si="37"/>
        <v>510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61715</v>
      </c>
      <c r="W22" s="760">
        <f t="shared" si="43"/>
        <v>134</v>
      </c>
      <c r="X22" s="480">
        <v>120229</v>
      </c>
      <c r="Y22" s="760">
        <f t="shared" si="5"/>
        <v>269</v>
      </c>
      <c r="Z22" s="480">
        <v>315108</v>
      </c>
      <c r="AA22" s="760">
        <f t="shared" si="6"/>
        <v>0</v>
      </c>
      <c r="AB22" s="480">
        <v>223048</v>
      </c>
      <c r="AC22" s="760">
        <f>IF(AB22&gt;=AB21,AB22-AB21,0)*0.53</f>
        <v>59.89</v>
      </c>
      <c r="AD22" s="480">
        <v>212745</v>
      </c>
      <c r="AE22" s="760">
        <f t="shared" si="8"/>
        <v>2656.36</v>
      </c>
      <c r="AF22" s="480">
        <v>415077</v>
      </c>
      <c r="AG22" s="760">
        <f t="shared" si="9"/>
        <v>2676.5</v>
      </c>
      <c r="AH22" s="480">
        <v>57574</v>
      </c>
      <c r="AI22" s="760">
        <f t="shared" si="10"/>
        <v>755.78000000000009</v>
      </c>
      <c r="AJ22" s="480">
        <v>298134</v>
      </c>
      <c r="AK22" s="760">
        <f t="shared" si="28"/>
        <v>2629.86</v>
      </c>
      <c r="AL22" s="760">
        <f t="shared" si="11"/>
        <v>8778.39</v>
      </c>
      <c r="AM22" s="480">
        <v>6658270</v>
      </c>
      <c r="AN22" s="760">
        <f t="shared" si="12"/>
        <v>1867</v>
      </c>
      <c r="AO22" s="480">
        <v>483128</v>
      </c>
      <c r="AP22" s="760">
        <f t="shared" si="13"/>
        <v>257</v>
      </c>
      <c r="AQ22" s="480">
        <v>822335</v>
      </c>
      <c r="AR22" s="760">
        <f t="shared" si="14"/>
        <v>42.46</v>
      </c>
      <c r="AS22" s="480">
        <v>737462</v>
      </c>
      <c r="AT22" s="760">
        <f t="shared" si="15"/>
        <v>240</v>
      </c>
      <c r="AU22" s="480">
        <v>1972553</v>
      </c>
      <c r="AV22" s="760">
        <f t="shared" si="16"/>
        <v>839</v>
      </c>
      <c r="AW22" s="480">
        <v>183884</v>
      </c>
      <c r="AX22" s="760">
        <f t="shared" si="40"/>
        <v>68</v>
      </c>
      <c r="AY22" s="855">
        <v>15583296</v>
      </c>
      <c r="AZ22" s="760">
        <f t="shared" si="17"/>
        <v>6156</v>
      </c>
      <c r="BA22" s="855">
        <v>18961632</v>
      </c>
      <c r="BB22" s="760">
        <f t="shared" si="18"/>
        <v>5976.4</v>
      </c>
      <c r="BC22" s="760">
        <f t="shared" si="19"/>
        <v>15445.859999999999</v>
      </c>
      <c r="BD22" s="855">
        <v>1323286</v>
      </c>
      <c r="BE22" s="760">
        <f t="shared" si="20"/>
        <v>0</v>
      </c>
      <c r="BF22" s="480">
        <v>2905844</v>
      </c>
      <c r="BG22" s="760">
        <f t="shared" si="21"/>
        <v>1526</v>
      </c>
      <c r="BH22" s="480">
        <v>325324</v>
      </c>
      <c r="BI22" s="760">
        <f t="shared" si="22"/>
        <v>88</v>
      </c>
      <c r="BJ22" s="480">
        <v>357338</v>
      </c>
      <c r="BK22" s="760">
        <f t="shared" si="29"/>
        <v>156</v>
      </c>
      <c r="BL22" s="870">
        <f t="shared" si="26"/>
        <v>31036.25</v>
      </c>
      <c r="BM22" s="871">
        <v>178</v>
      </c>
      <c r="BN22" s="870">
        <f t="shared" si="41"/>
        <v>174.36095505617976</v>
      </c>
      <c r="BO22" s="871"/>
      <c r="BP22" s="870" t="e">
        <f t="shared" si="27"/>
        <v>#DIV/0!</v>
      </c>
      <c r="BQ22" s="870">
        <f>BL22*BS1</f>
        <v>14276.675000000001</v>
      </c>
      <c r="BR22" s="870">
        <f t="shared" si="42"/>
        <v>80.20603932584271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19651165</v>
      </c>
      <c r="J23" s="760">
        <f t="shared" si="23"/>
        <v>6617</v>
      </c>
      <c r="K23" s="760">
        <f t="shared" si="0"/>
        <v>4110</v>
      </c>
      <c r="L23" s="480">
        <v>181251</v>
      </c>
      <c r="M23" s="760">
        <f t="shared" si="1"/>
        <v>2291</v>
      </c>
      <c r="N23" s="480">
        <v>278237</v>
      </c>
      <c r="O23" s="760">
        <f t="shared" si="2"/>
        <v>1819</v>
      </c>
      <c r="P23" s="855">
        <v>206158</v>
      </c>
      <c r="Q23" s="760">
        <f t="shared" si="37"/>
        <v>540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61857</v>
      </c>
      <c r="W23" s="760">
        <f t="shared" si="43"/>
        <v>142</v>
      </c>
      <c r="X23" s="480">
        <v>120512</v>
      </c>
      <c r="Y23" s="760">
        <f t="shared" si="5"/>
        <v>283</v>
      </c>
      <c r="Z23" s="480">
        <v>315108</v>
      </c>
      <c r="AA23" s="760">
        <f t="shared" si="6"/>
        <v>0</v>
      </c>
      <c r="AB23" s="480">
        <v>223048</v>
      </c>
      <c r="AC23" s="760">
        <f>IF(AB23&gt;=AB22,AB23-AB22,0)*0.53</f>
        <v>0</v>
      </c>
      <c r="AD23" s="904">
        <v>219992</v>
      </c>
      <c r="AE23" s="760">
        <f t="shared" si="8"/>
        <v>3840.9100000000003</v>
      </c>
      <c r="AF23" s="480">
        <v>421676</v>
      </c>
      <c r="AG23" s="760">
        <f t="shared" si="9"/>
        <v>3497.4700000000003</v>
      </c>
      <c r="AH23" s="480">
        <v>59355</v>
      </c>
      <c r="AI23" s="760">
        <f t="shared" si="10"/>
        <v>943.93000000000006</v>
      </c>
      <c r="AJ23" s="480">
        <v>305396</v>
      </c>
      <c r="AK23" s="760">
        <f t="shared" si="28"/>
        <v>3848.86</v>
      </c>
      <c r="AL23" s="760">
        <f t="shared" si="11"/>
        <v>12131.170000000002</v>
      </c>
      <c r="AM23" s="480">
        <v>6660031</v>
      </c>
      <c r="AN23" s="760">
        <f t="shared" si="12"/>
        <v>1761</v>
      </c>
      <c r="AO23" s="480">
        <v>483412</v>
      </c>
      <c r="AP23" s="760">
        <f t="shared" si="13"/>
        <v>284</v>
      </c>
      <c r="AQ23" s="480">
        <v>822704</v>
      </c>
      <c r="AR23" s="760">
        <f t="shared" si="14"/>
        <v>40.590000000000003</v>
      </c>
      <c r="AS23" s="480">
        <v>737733</v>
      </c>
      <c r="AT23" s="760">
        <f t="shared" si="15"/>
        <v>271</v>
      </c>
      <c r="AU23" s="480">
        <v>1973717</v>
      </c>
      <c r="AV23" s="760">
        <f t="shared" si="16"/>
        <v>1164</v>
      </c>
      <c r="AW23" s="855">
        <v>183953</v>
      </c>
      <c r="AX23" s="760">
        <f t="shared" si="40"/>
        <v>69</v>
      </c>
      <c r="AY23" s="855">
        <v>15589719</v>
      </c>
      <c r="AZ23" s="760">
        <f t="shared" si="17"/>
        <v>6423</v>
      </c>
      <c r="BA23" s="855">
        <v>18968903</v>
      </c>
      <c r="BB23" s="760">
        <f t="shared" si="18"/>
        <v>6143.8</v>
      </c>
      <c r="BC23" s="760">
        <f t="shared" si="19"/>
        <v>16156.39</v>
      </c>
      <c r="BD23" s="855">
        <v>1323286</v>
      </c>
      <c r="BE23" s="760">
        <f t="shared" si="20"/>
        <v>0</v>
      </c>
      <c r="BF23" s="480">
        <v>2907361</v>
      </c>
      <c r="BG23" s="760">
        <f t="shared" si="21"/>
        <v>1517</v>
      </c>
      <c r="BH23" s="480">
        <v>325426</v>
      </c>
      <c r="BI23" s="760">
        <f t="shared" si="22"/>
        <v>102</v>
      </c>
      <c r="BJ23" s="480">
        <v>357504</v>
      </c>
      <c r="BK23" s="760">
        <f t="shared" si="29"/>
        <v>166</v>
      </c>
      <c r="BL23" s="870">
        <f t="shared" si="26"/>
        <v>35444.559999999998</v>
      </c>
      <c r="BM23" s="871">
        <v>196</v>
      </c>
      <c r="BN23" s="870">
        <f t="shared" si="41"/>
        <v>180.83959183673468</v>
      </c>
      <c r="BO23" s="871"/>
      <c r="BP23" s="870" t="e">
        <f t="shared" si="27"/>
        <v>#DIV/0!</v>
      </c>
      <c r="BQ23" s="870">
        <f>BL23*BS1</f>
        <v>16304.497599999999</v>
      </c>
      <c r="BR23" s="870">
        <f t="shared" si="42"/>
        <v>83.186212244897959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>
        <v>19657487</v>
      </c>
      <c r="J24" s="760">
        <f t="shared" si="23"/>
        <v>6322</v>
      </c>
      <c r="K24" s="760">
        <f t="shared" si="0"/>
        <v>4012</v>
      </c>
      <c r="L24" s="480">
        <v>183489</v>
      </c>
      <c r="M24" s="760">
        <f t="shared" si="1"/>
        <v>2238</v>
      </c>
      <c r="N24" s="480">
        <v>280011</v>
      </c>
      <c r="O24" s="760">
        <f t="shared" si="2"/>
        <v>1774</v>
      </c>
      <c r="P24" s="855">
        <v>206180</v>
      </c>
      <c r="Q24" s="760">
        <f>IF(P24&gt;=P23,P24-P23,0)*30</f>
        <v>660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61993</v>
      </c>
      <c r="W24" s="760">
        <f t="shared" si="43"/>
        <v>136</v>
      </c>
      <c r="X24" s="480">
        <v>120784</v>
      </c>
      <c r="Y24" s="760">
        <f t="shared" si="5"/>
        <v>272</v>
      </c>
      <c r="Z24" s="480">
        <v>315108</v>
      </c>
      <c r="AA24" s="760">
        <f t="shared" si="6"/>
        <v>0</v>
      </c>
      <c r="AB24" s="480">
        <v>223048</v>
      </c>
      <c r="AC24" s="760">
        <f t="shared" si="7"/>
        <v>0</v>
      </c>
      <c r="AD24" s="480">
        <v>226782</v>
      </c>
      <c r="AE24" s="760">
        <f t="shared" si="8"/>
        <v>3598.7000000000003</v>
      </c>
      <c r="AF24" s="480">
        <v>428881</v>
      </c>
      <c r="AG24" s="760">
        <f t="shared" si="9"/>
        <v>3818.65</v>
      </c>
      <c r="AH24" s="480">
        <v>61244</v>
      </c>
      <c r="AI24" s="760">
        <f t="shared" si="10"/>
        <v>1001.1700000000001</v>
      </c>
      <c r="AJ24" s="480">
        <v>312218</v>
      </c>
      <c r="AK24" s="760">
        <f t="shared" si="28"/>
        <v>3615.6600000000003</v>
      </c>
      <c r="AL24" s="760">
        <f t="shared" si="11"/>
        <v>12034.18</v>
      </c>
      <c r="AM24" s="480">
        <v>6662124</v>
      </c>
      <c r="AN24" s="760">
        <f t="shared" si="12"/>
        <v>2093</v>
      </c>
      <c r="AO24" s="480">
        <v>483665</v>
      </c>
      <c r="AP24" s="760">
        <f t="shared" si="13"/>
        <v>253</v>
      </c>
      <c r="AQ24" s="480">
        <v>823107</v>
      </c>
      <c r="AR24" s="760">
        <f t="shared" si="14"/>
        <v>44.33</v>
      </c>
      <c r="AS24" s="480">
        <v>738025</v>
      </c>
      <c r="AT24" s="760">
        <f t="shared" si="15"/>
        <v>292</v>
      </c>
      <c r="AU24" s="480">
        <v>1974894</v>
      </c>
      <c r="AV24" s="760">
        <f t="shared" si="16"/>
        <v>1177</v>
      </c>
      <c r="AW24" s="480">
        <v>184021</v>
      </c>
      <c r="AX24" s="760">
        <f t="shared" si="40"/>
        <v>68</v>
      </c>
      <c r="AY24" s="855">
        <v>15595777</v>
      </c>
      <c r="AZ24" s="760">
        <f t="shared" si="17"/>
        <v>6058</v>
      </c>
      <c r="BA24" s="855">
        <v>18976304</v>
      </c>
      <c r="BB24" s="760">
        <f t="shared" si="18"/>
        <v>6245.5</v>
      </c>
      <c r="BC24" s="760">
        <f t="shared" si="19"/>
        <v>16230.83</v>
      </c>
      <c r="BD24" s="855">
        <v>1323286</v>
      </c>
      <c r="BE24" s="760">
        <f t="shared" si="20"/>
        <v>0</v>
      </c>
      <c r="BF24" s="480">
        <v>2908936</v>
      </c>
      <c r="BG24" s="760">
        <f t="shared" si="21"/>
        <v>1575</v>
      </c>
      <c r="BH24" s="480">
        <v>325523</v>
      </c>
      <c r="BI24" s="760">
        <f t="shared" si="22"/>
        <v>97</v>
      </c>
      <c r="BJ24" s="480">
        <v>357666</v>
      </c>
      <c r="BK24" s="760">
        <f t="shared" si="29"/>
        <v>162</v>
      </c>
      <c r="BL24" s="870">
        <f t="shared" si="26"/>
        <v>35247.01</v>
      </c>
      <c r="BM24" s="871">
        <v>243</v>
      </c>
      <c r="BN24" s="870">
        <f t="shared" si="41"/>
        <v>145.04942386831277</v>
      </c>
      <c r="BO24" s="871"/>
      <c r="BP24" s="870" t="e">
        <f t="shared" si="27"/>
        <v>#DIV/0!</v>
      </c>
      <c r="BQ24" s="870">
        <f>BL24*BS1</f>
        <v>16213.624600000001</v>
      </c>
      <c r="BR24" s="870">
        <f t="shared" si="42"/>
        <v>66.722734979423876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19663602</v>
      </c>
      <c r="J25" s="760">
        <f t="shared" si="23"/>
        <v>6115</v>
      </c>
      <c r="K25" s="760">
        <f t="shared" si="0"/>
        <v>3899</v>
      </c>
      <c r="L25" s="480">
        <v>185657</v>
      </c>
      <c r="M25" s="760">
        <f t="shared" si="1"/>
        <v>2168</v>
      </c>
      <c r="N25" s="480">
        <v>281742</v>
      </c>
      <c r="O25" s="760">
        <f t="shared" si="2"/>
        <v>1731</v>
      </c>
      <c r="P25" s="855">
        <v>206214</v>
      </c>
      <c r="Q25" s="760">
        <f t="shared" si="37"/>
        <v>1020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62126</v>
      </c>
      <c r="W25" s="760">
        <f t="shared" si="43"/>
        <v>133</v>
      </c>
      <c r="X25" s="480">
        <v>121048</v>
      </c>
      <c r="Y25" s="760">
        <f t="shared" si="5"/>
        <v>264</v>
      </c>
      <c r="Z25" s="480">
        <v>315108</v>
      </c>
      <c r="AA25" s="760">
        <f t="shared" si="6"/>
        <v>0</v>
      </c>
      <c r="AB25" s="855">
        <v>223048</v>
      </c>
      <c r="AC25" s="760">
        <f t="shared" si="7"/>
        <v>0</v>
      </c>
      <c r="AD25" s="904">
        <v>233464</v>
      </c>
      <c r="AE25" s="760">
        <f t="shared" si="8"/>
        <v>3541.46</v>
      </c>
      <c r="AF25" s="480">
        <v>435349</v>
      </c>
      <c r="AG25" s="760">
        <f t="shared" si="9"/>
        <v>3428.04</v>
      </c>
      <c r="AH25" s="480">
        <v>63112</v>
      </c>
      <c r="AI25" s="760">
        <f t="shared" si="10"/>
        <v>990.04000000000008</v>
      </c>
      <c r="AJ25" s="480">
        <v>318786</v>
      </c>
      <c r="AK25" s="760">
        <f t="shared" si="28"/>
        <v>3481.04</v>
      </c>
      <c r="AL25" s="760">
        <f t="shared" si="11"/>
        <v>11440.58</v>
      </c>
      <c r="AM25" s="480">
        <v>6664112</v>
      </c>
      <c r="AN25" s="760">
        <f t="shared" si="12"/>
        <v>1988</v>
      </c>
      <c r="AO25" s="855">
        <v>483890</v>
      </c>
      <c r="AP25" s="760">
        <f>IF(AO25&gt;=AO24,AO25-AO24,0)</f>
        <v>225</v>
      </c>
      <c r="AQ25" s="480">
        <v>823490</v>
      </c>
      <c r="AR25" s="760">
        <f t="shared" si="14"/>
        <v>42.13</v>
      </c>
      <c r="AS25" s="480">
        <v>738315</v>
      </c>
      <c r="AT25" s="760">
        <f t="shared" si="15"/>
        <v>290</v>
      </c>
      <c r="AU25" s="480">
        <v>1976076</v>
      </c>
      <c r="AV25" s="760">
        <f t="shared" si="16"/>
        <v>1182</v>
      </c>
      <c r="AW25" s="855">
        <v>184086</v>
      </c>
      <c r="AX25" s="760">
        <f t="shared" si="40"/>
        <v>65</v>
      </c>
      <c r="AY25" s="480">
        <v>15601638</v>
      </c>
      <c r="AZ25" s="760">
        <f t="shared" si="17"/>
        <v>5861</v>
      </c>
      <c r="BA25" s="855">
        <v>18983206</v>
      </c>
      <c r="BB25" s="760">
        <f t="shared" si="18"/>
        <v>5841.4</v>
      </c>
      <c r="BC25" s="760">
        <f t="shared" si="19"/>
        <v>15494.53</v>
      </c>
      <c r="BD25" s="855">
        <v>1323286</v>
      </c>
      <c r="BE25" s="760">
        <f t="shared" si="20"/>
        <v>0</v>
      </c>
      <c r="BF25" s="480">
        <v>2910367</v>
      </c>
      <c r="BG25" s="760">
        <f t="shared" si="21"/>
        <v>1431</v>
      </c>
      <c r="BH25" s="480">
        <v>325617</v>
      </c>
      <c r="BI25" s="760">
        <f t="shared" si="22"/>
        <v>94</v>
      </c>
      <c r="BJ25" s="480">
        <v>357821</v>
      </c>
      <c r="BK25" s="760">
        <f t="shared" si="29"/>
        <v>155</v>
      </c>
      <c r="BL25" s="870">
        <f t="shared" si="26"/>
        <v>34070.11</v>
      </c>
      <c r="BM25" s="871">
        <v>242</v>
      </c>
      <c r="BN25" s="870">
        <f t="shared" si="41"/>
        <v>140.78557851239668</v>
      </c>
      <c r="BO25" s="871"/>
      <c r="BP25" s="870" t="e">
        <f t="shared" si="27"/>
        <v>#DIV/0!</v>
      </c>
      <c r="BQ25" s="870">
        <f>BL25*BS1</f>
        <v>15672.250600000001</v>
      </c>
      <c r="BR25" s="870">
        <f t="shared" si="42"/>
        <v>64.761366115702486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480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480"/>
      <c r="AC35" s="760">
        <f t="shared" si="44"/>
        <v>0</v>
      </c>
      <c r="AD35" s="904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855"/>
      <c r="BI35" s="760">
        <f t="shared" si="22"/>
        <v>0</v>
      </c>
      <c r="BJ35" s="855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480"/>
      <c r="AC36" s="760">
        <f t="shared" si="44"/>
        <v>0</v>
      </c>
      <c r="AD36" s="904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855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855"/>
      <c r="BI36" s="760">
        <f t="shared" si="22"/>
        <v>0</v>
      </c>
      <c r="BJ36" s="855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126185</v>
      </c>
      <c r="K37" s="910">
        <f>SUM(K6:K36)</f>
        <v>79858</v>
      </c>
      <c r="L37" s="875"/>
      <c r="M37" s="638">
        <f>SUM(M6:M36)</f>
        <v>44082</v>
      </c>
      <c r="N37" s="875"/>
      <c r="O37" s="638">
        <f>SUM(O6:O36)</f>
        <v>35776</v>
      </c>
      <c r="P37" s="874"/>
      <c r="Q37" s="638">
        <f>SUM(Q6:Q36)</f>
        <v>14310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2717</v>
      </c>
      <c r="X37" s="915"/>
      <c r="Y37" s="638">
        <f>SUM(Y6:Y36)</f>
        <v>5518</v>
      </c>
      <c r="Z37" s="874"/>
      <c r="AA37" s="638">
        <f>SUM(AA6:AA36)</f>
        <v>0</v>
      </c>
      <c r="AB37" s="480"/>
      <c r="AC37" s="638">
        <f>SUM(AC5:AC36)</f>
        <v>59404.52</v>
      </c>
      <c r="AD37" s="911"/>
      <c r="AE37" s="910">
        <f>SUM(AE6:AE36)</f>
        <v>60800.54</v>
      </c>
      <c r="AF37" s="874"/>
      <c r="AG37" s="638">
        <f>SUM(AG6:AG36)</f>
        <v>28818.22</v>
      </c>
      <c r="AH37" s="877"/>
      <c r="AI37" s="638">
        <f>SUM(AI6:AI36)</f>
        <v>20146.89</v>
      </c>
      <c r="AJ37" s="877"/>
      <c r="AK37" s="638">
        <f>SUM(AK6:AK36)</f>
        <v>74514.820000000007</v>
      </c>
      <c r="AL37" s="910">
        <f>SUM(AL6:AL36)</f>
        <v>243684.99000000005</v>
      </c>
      <c r="AM37" s="877"/>
      <c r="AN37" s="638">
        <f>SUM(AN6:AN36)</f>
        <v>43192</v>
      </c>
      <c r="AO37" s="877"/>
      <c r="AP37" s="638">
        <f>SUM(AP6:AP36)</f>
        <v>5017</v>
      </c>
      <c r="AQ37" s="877"/>
      <c r="AR37" s="638">
        <f>SUM(AR6:AR36)</f>
        <v>894.41000000000008</v>
      </c>
      <c r="AS37" s="877"/>
      <c r="AT37" s="638">
        <f>SUM(AT6:AT36)</f>
        <v>6198</v>
      </c>
      <c r="AU37" s="877"/>
      <c r="AV37" s="638">
        <f>SUM(AV6:AV36)</f>
        <v>24157</v>
      </c>
      <c r="AW37" s="877"/>
      <c r="AX37" s="638">
        <f>SUM(AX6:AX36)</f>
        <v>1274</v>
      </c>
      <c r="AY37" s="877"/>
      <c r="AZ37" s="638">
        <f>SUM(AZ6:AZ36)</f>
        <v>122838</v>
      </c>
      <c r="BA37" s="877"/>
      <c r="BB37" s="910">
        <f>SUM(BB6:BB36)</f>
        <v>123865.69999999998</v>
      </c>
      <c r="BC37" s="910">
        <f>SUM(BC6:BC36)</f>
        <v>327436.11000000004</v>
      </c>
      <c r="BD37" s="875"/>
      <c r="BE37" s="638">
        <f>SUM(BE6:BE36)</f>
        <v>0</v>
      </c>
      <c r="BF37" s="877"/>
      <c r="BG37" s="638">
        <f>SUM(BG6:BG36)</f>
        <v>32148</v>
      </c>
      <c r="BH37" s="877"/>
      <c r="BI37" s="638">
        <f>SUM(BI6:BI36)</f>
        <v>2039</v>
      </c>
      <c r="BJ37" s="877"/>
      <c r="BK37" s="638">
        <f>SUM(BK6:BK36)</f>
        <v>3238</v>
      </c>
      <c r="BL37" s="638">
        <f>SUM(BL6:BL36)</f>
        <v>711616.1</v>
      </c>
      <c r="BM37" s="878">
        <f>SUM(BM6:BM36)</f>
        <v>3821</v>
      </c>
      <c r="BN37" s="879">
        <f>IF(BL37&gt;0,BL37/BM37,0)</f>
        <v>186.23818372153886</v>
      </c>
      <c r="BO37" s="878">
        <f>SUM(BO6:BO35)</f>
        <v>0</v>
      </c>
      <c r="BP37" s="879" t="e">
        <f>IF(BL37&gt;0,BL37/BO37,0)</f>
        <v>#DIV/0!</v>
      </c>
      <c r="BQ37" s="616">
        <f>SUM(BQ6:BQ35)</f>
        <v>327343.40600000002</v>
      </c>
      <c r="BR37" s="879">
        <f>IF(BQ37&gt;0,BQ37/BM37,0)</f>
        <v>85.669564511907879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6309.25</v>
      </c>
      <c r="K38" s="881">
        <f>K37/J46</f>
        <v>3992.9</v>
      </c>
      <c r="L38" s="882"/>
      <c r="M38" s="881">
        <f>M37/J46</f>
        <v>2204.1</v>
      </c>
      <c r="N38" s="882"/>
      <c r="O38" s="881">
        <f>O37/J46</f>
        <v>1788.8</v>
      </c>
      <c r="P38" s="883"/>
      <c r="Q38" s="881">
        <f>Q37/J46</f>
        <v>715.5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135.85</v>
      </c>
      <c r="X38" s="916"/>
      <c r="Y38" s="881">
        <f>Y37/J46</f>
        <v>275.89999999999998</v>
      </c>
      <c r="Z38" s="883"/>
      <c r="AA38" s="881">
        <f>AA37/J46</f>
        <v>0</v>
      </c>
      <c r="AB38" s="883"/>
      <c r="AC38" s="760"/>
      <c r="AD38" s="884"/>
      <c r="AE38" s="881">
        <f>AE37/J46</f>
        <v>3040.027</v>
      </c>
      <c r="AF38" s="883"/>
      <c r="AG38" s="881">
        <f>AG37/J46</f>
        <v>1440.9110000000001</v>
      </c>
      <c r="AH38" s="885"/>
      <c r="AI38" s="881">
        <f>AI37/J46</f>
        <v>1007.3444999999999</v>
      </c>
      <c r="AJ38" s="885"/>
      <c r="AK38" s="881">
        <f>AK37/J46</f>
        <v>3725.7410000000004</v>
      </c>
      <c r="AL38" s="881">
        <f>AL37/J46</f>
        <v>12184.249500000002</v>
      </c>
      <c r="AM38" s="885"/>
      <c r="AN38" s="881">
        <f>AN37/J46</f>
        <v>2159.6</v>
      </c>
      <c r="AO38" s="885"/>
      <c r="AP38" s="881">
        <f>AP37/J46</f>
        <v>250.85</v>
      </c>
      <c r="AQ38" s="885"/>
      <c r="AR38" s="881">
        <f>AR37/J46</f>
        <v>44.720500000000001</v>
      </c>
      <c r="AS38" s="885"/>
      <c r="AT38" s="881">
        <f>AT37/J46</f>
        <v>309.89999999999998</v>
      </c>
      <c r="AU38" s="885"/>
      <c r="AV38" s="881">
        <f>AV37/J46</f>
        <v>1207.8499999999999</v>
      </c>
      <c r="AW38" s="885"/>
      <c r="AX38" s="881">
        <f>AX37/J46</f>
        <v>63.7</v>
      </c>
      <c r="AY38" s="885"/>
      <c r="AZ38" s="881">
        <f>AZ37/J46</f>
        <v>6141.9</v>
      </c>
      <c r="BA38" s="885"/>
      <c r="BB38" s="881">
        <f>BB37/J46</f>
        <v>6193.2849999999989</v>
      </c>
      <c r="BC38" s="881"/>
      <c r="BD38" s="882"/>
      <c r="BE38" s="881">
        <f>BE37/J46</f>
        <v>0</v>
      </c>
      <c r="BF38" s="885"/>
      <c r="BG38" s="881">
        <f>BG37/J46</f>
        <v>1607.4</v>
      </c>
      <c r="BH38" s="885"/>
      <c r="BI38" s="881">
        <f>BI37/J46</f>
        <v>101.95</v>
      </c>
      <c r="BJ38" s="885"/>
      <c r="BK38" s="881">
        <f>BK37/J46</f>
        <v>161.9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20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86"/>
      <c r="B52" s="986"/>
      <c r="BM52" s="31"/>
    </row>
    <row r="54" spans="1:65" ht="30.75" customHeight="1">
      <c r="BL54" s="585"/>
    </row>
    <row r="56" spans="1:65" ht="30.75" customHeight="1">
      <c r="I56" s="31">
        <f>-L11</f>
        <v>-155369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sheet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2" priority="151" stopIfTrue="1" operator="greaterThan">
      <formula>400</formula>
    </cfRule>
  </conditionalFormatting>
  <conditionalFormatting sqref="AI5:AI36 BG5:BG36">
    <cfRule type="cellIs" dxfId="31" priority="149" stopIfTrue="1" operator="greaterThan">
      <formula>2000</formula>
    </cfRule>
  </conditionalFormatting>
  <conditionalFormatting sqref="AP5:AP36 AR5:AR36 AT5:AT36 AV5:AV36 BE5:BE36 S5:S36">
    <cfRule type="cellIs" dxfId="30" priority="148" stopIfTrue="1" operator="greaterThan">
      <formula>1000</formula>
    </cfRule>
  </conditionalFormatting>
  <conditionalFormatting sqref="AZ5:AZ36 BB5:BB36">
    <cfRule type="cellIs" dxfId="29" priority="147" stopIfTrue="1" operator="greaterThan">
      <formula>8000</formula>
    </cfRule>
  </conditionalFormatting>
  <conditionalFormatting sqref="AX5:AX36">
    <cfRule type="cellIs" dxfId="28" priority="145" stopIfTrue="1" operator="greaterThan">
      <formula>700</formula>
    </cfRule>
  </conditionalFormatting>
  <conditionalFormatting sqref="AK5:AK36">
    <cfRule type="cellIs" dxfId="27" priority="143" stopIfTrue="1" operator="greaterThan">
      <formula>5000</formula>
    </cfRule>
  </conditionalFormatting>
  <conditionalFormatting sqref="AC38 AA5:AA36 AC5:AC36 AE5:AE36 AG5:AG36">
    <cfRule type="cellIs" dxfId="26" priority="141" stopIfTrue="1" operator="greaterThan">
      <formula>4000</formula>
    </cfRule>
  </conditionalFormatting>
  <conditionalFormatting sqref="U5:U36 W5:W36 Y5:Y36">
    <cfRule type="cellIs" dxfId="25" priority="137" stopIfTrue="1" operator="greaterThan">
      <formula>200</formula>
    </cfRule>
  </conditionalFormatting>
  <conditionalFormatting sqref="Q5:Q36">
    <cfRule type="cellIs" dxfId="24" priority="135" stopIfTrue="1" operator="greaterThan">
      <formula>1500</formula>
    </cfRule>
  </conditionalFormatting>
  <conditionalFormatting sqref="O5:O36">
    <cfRule type="cellIs" dxfId="23" priority="134" stopIfTrue="1" operator="greaterThan">
      <formula>6000</formula>
    </cfRule>
  </conditionalFormatting>
  <conditionalFormatting sqref="M5:M36">
    <cfRule type="cellIs" dxfId="22" priority="133" stopIfTrue="1" operator="greaterThan">
      <formula>3000</formula>
    </cfRule>
  </conditionalFormatting>
  <conditionalFormatting sqref="J5:J36">
    <cfRule type="cellIs" dxfId="21" priority="132" stopIfTrue="1" operator="greaterThan">
      <formula>12000</formula>
    </cfRule>
  </conditionalFormatting>
  <conditionalFormatting sqref="AN5:AN36">
    <cfRule type="cellIs" dxfId="20" priority="128" stopIfTrue="1" operator="greaterThan">
      <formula>2500</formula>
    </cfRule>
  </conditionalFormatting>
  <conditionalFormatting sqref="BM8:BM36">
    <cfRule type="cellIs" dxfId="19" priority="2" operator="greaterThan">
      <formula>262</formula>
    </cfRule>
  </conditionalFormatting>
  <conditionalFormatting sqref="BM5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15" activePane="bottomRight" state="frozen"/>
      <selection activeCell="G39" sqref="G39"/>
      <selection pane="topRight" activeCell="G39" sqref="G39"/>
      <selection pane="bottomLeft" activeCell="G39" sqref="G39"/>
      <selection pane="bottomRight" activeCell="F26" sqref="F2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25" t="str">
        <f>Elect!A1</f>
        <v>September</v>
      </c>
      <c r="B1" s="694"/>
      <c r="C1" s="695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696"/>
      <c r="P1" s="1027"/>
      <c r="Q1" s="1027"/>
      <c r="R1" s="1027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26"/>
      <c r="B2" s="701"/>
      <c r="C2" s="695"/>
      <c r="O2" s="696"/>
      <c r="P2" s="1028"/>
      <c r="Q2" s="1028"/>
      <c r="R2" s="1028"/>
      <c r="T2" s="702"/>
      <c r="X2" s="703"/>
    </row>
    <row r="3" spans="1:26" s="617" customFormat="1" ht="42" customHeight="1" thickBot="1">
      <c r="A3" s="1020" t="s">
        <v>10</v>
      </c>
      <c r="B3" s="704"/>
      <c r="C3" s="705"/>
      <c r="D3" s="705"/>
      <c r="E3" s="706" t="s">
        <v>11</v>
      </c>
      <c r="F3" s="705"/>
      <c r="G3" s="705"/>
      <c r="H3" s="707"/>
      <c r="I3" s="1004" t="s">
        <v>362</v>
      </c>
      <c r="J3" s="1005"/>
      <c r="K3" s="1005"/>
      <c r="L3" s="1005"/>
      <c r="M3" s="1006"/>
      <c r="N3" s="994" t="s">
        <v>306</v>
      </c>
      <c r="O3" s="995"/>
      <c r="P3" s="1023" t="s">
        <v>307</v>
      </c>
      <c r="Q3" s="1023"/>
      <c r="R3" s="1023" t="s">
        <v>308</v>
      </c>
      <c r="S3" s="1023"/>
      <c r="T3" s="1014" t="s">
        <v>14</v>
      </c>
      <c r="U3" s="1010" t="s">
        <v>49</v>
      </c>
      <c r="V3" s="1010" t="s">
        <v>15</v>
      </c>
      <c r="W3" s="1010" t="s">
        <v>16</v>
      </c>
      <c r="X3" s="1011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21"/>
      <c r="B4" s="998" t="s">
        <v>302</v>
      </c>
      <c r="C4" s="999"/>
      <c r="D4" s="1000" t="s">
        <v>303</v>
      </c>
      <c r="E4" s="1001"/>
      <c r="F4" s="1000" t="s">
        <v>304</v>
      </c>
      <c r="G4" s="1001"/>
      <c r="H4" s="996" t="s">
        <v>20</v>
      </c>
      <c r="I4" s="1002" t="s">
        <v>363</v>
      </c>
      <c r="J4" s="1003"/>
      <c r="K4" s="1002" t="s">
        <v>364</v>
      </c>
      <c r="L4" s="1003"/>
      <c r="M4" s="922"/>
      <c r="N4" s="996" t="s">
        <v>305</v>
      </c>
      <c r="O4" s="996" t="s">
        <v>26</v>
      </c>
      <c r="P4" s="1007" t="s">
        <v>63</v>
      </c>
      <c r="Q4" s="1007" t="s">
        <v>46</v>
      </c>
      <c r="R4" s="1007" t="s">
        <v>63</v>
      </c>
      <c r="S4" s="1007" t="s">
        <v>46</v>
      </c>
      <c r="T4" s="1015"/>
      <c r="U4" s="1007"/>
      <c r="V4" s="1007"/>
      <c r="W4" s="1007"/>
      <c r="X4" s="1012"/>
      <c r="Y4" s="1008" t="s">
        <v>54</v>
      </c>
      <c r="Z4" s="1017" t="s">
        <v>55</v>
      </c>
    </row>
    <row r="5" spans="1:26" s="617" customFormat="1" ht="48.75" customHeight="1" thickBot="1">
      <c r="A5" s="1022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24"/>
      <c r="I5" s="926" t="s">
        <v>22</v>
      </c>
      <c r="J5" s="927"/>
      <c r="K5" s="926" t="s">
        <v>22</v>
      </c>
      <c r="L5" s="927"/>
      <c r="M5" s="925"/>
      <c r="N5" s="997"/>
      <c r="O5" s="997"/>
      <c r="P5" s="997"/>
      <c r="Q5" s="997"/>
      <c r="R5" s="997"/>
      <c r="S5" s="997"/>
      <c r="T5" s="1016"/>
      <c r="U5" s="997"/>
      <c r="V5" s="997"/>
      <c r="W5" s="997"/>
      <c r="X5" s="1013"/>
      <c r="Y5" s="1009"/>
      <c r="Z5" s="1018"/>
    </row>
    <row r="6" spans="1:26" s="488" customFormat="1" ht="36.75" customHeight="1">
      <c r="A6" s="713"/>
      <c r="B6" s="113">
        <v>67787</v>
      </c>
      <c r="C6" s="760">
        <f t="shared" ref="C6:C33" si="0">IF(B6&gt;=B5,B6-B5,0)*10*0.58</f>
        <v>0</v>
      </c>
      <c r="D6" s="862">
        <v>142396</v>
      </c>
      <c r="E6" s="760">
        <f>IF(D6&gt;=D5,D6-D5,0)*10*0.58</f>
        <v>0</v>
      </c>
      <c r="F6" s="908">
        <v>2064</v>
      </c>
      <c r="G6" s="760">
        <f>IF(F6&gt;=F5,F6-F5,0)*0.58</f>
        <v>0</v>
      </c>
      <c r="H6" s="905"/>
      <c r="I6" s="908">
        <v>123.13</v>
      </c>
      <c r="J6" s="924"/>
      <c r="K6" s="908">
        <v>1630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67814</v>
      </c>
      <c r="C7" s="760">
        <f t="shared" si="0"/>
        <v>156.6</v>
      </c>
      <c r="D7" s="862">
        <v>142478</v>
      </c>
      <c r="E7" s="760">
        <f>IF(D7&gt;=D6,D7-D6,0)*10*0.58</f>
        <v>475.59999999999997</v>
      </c>
      <c r="F7" s="908">
        <v>2069</v>
      </c>
      <c r="G7" s="760">
        <f t="shared" ref="G7:G14" si="1">IF(F7&gt;=F6,F7-F6,0)*0.58</f>
        <v>2.9</v>
      </c>
      <c r="H7" s="760">
        <f>C7+E7+G7</f>
        <v>635.09999999999991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368.35799999999995</v>
      </c>
      <c r="R7" s="112"/>
      <c r="S7" s="484">
        <f>IF(R7-R6&gt;0,R7-R6,0)</f>
        <v>0</v>
      </c>
      <c r="T7" s="903">
        <f>Elect!BM6</f>
        <v>179</v>
      </c>
      <c r="U7" s="724">
        <f>H7/T7</f>
        <v>3.5480446927374296</v>
      </c>
      <c r="V7" s="903">
        <f>Elect!BO6</f>
        <v>0</v>
      </c>
      <c r="W7" s="724" t="e">
        <f>H7/V7</f>
        <v>#DIV/0!</v>
      </c>
      <c r="X7" s="727">
        <f>H7*V1</f>
        <v>2540.3999999999996</v>
      </c>
      <c r="Y7" s="724">
        <f>IF(X7&gt;0,X7/T7,0)</f>
        <v>14.192178770949718</v>
      </c>
      <c r="Z7" s="728">
        <v>0</v>
      </c>
    </row>
    <row r="8" spans="1:26" s="488" customFormat="1" ht="36.75" customHeight="1">
      <c r="A8" s="713">
        <v>2</v>
      </c>
      <c r="B8" s="113">
        <v>67857</v>
      </c>
      <c r="C8" s="760">
        <f t="shared" si="0"/>
        <v>249.39999999999998</v>
      </c>
      <c r="D8" s="862">
        <v>142532</v>
      </c>
      <c r="E8" s="760">
        <f t="shared" ref="E8:E37" si="2">IF(D8&gt;=D7,D8-D7,0)*10*0.58</f>
        <v>313.2</v>
      </c>
      <c r="F8" s="908">
        <v>2073</v>
      </c>
      <c r="G8" s="760">
        <f t="shared" si="1"/>
        <v>2.3199999999999998</v>
      </c>
      <c r="H8" s="760">
        <f t="shared" ref="H8:H37" si="3">C8+E8+G8</f>
        <v>564.91999999999996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327.65359999999993</v>
      </c>
      <c r="R8" s="112"/>
      <c r="S8" s="484">
        <f t="shared" ref="S8:S37" si="6">IF(R8-R7&gt;0,R8-R7,0)</f>
        <v>0</v>
      </c>
      <c r="T8" s="903">
        <f>Elect!BM7</f>
        <v>169</v>
      </c>
      <c r="U8" s="724">
        <f t="shared" ref="U8:U37" si="7">H8/T8</f>
        <v>3.3427218934911238</v>
      </c>
      <c r="V8" s="903">
        <f>Elect!BO7</f>
        <v>0</v>
      </c>
      <c r="W8" s="724" t="e">
        <f t="shared" ref="W8:W37" si="8">H8/V8</f>
        <v>#DIV/0!</v>
      </c>
      <c r="X8" s="727">
        <f>H8*V1</f>
        <v>2259.6799999999998</v>
      </c>
      <c r="Y8" s="724">
        <f>IF(X8&gt;0,X8/T8,0)</f>
        <v>13.370887573964495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67899</v>
      </c>
      <c r="C9" s="760">
        <f t="shared" si="0"/>
        <v>243.6</v>
      </c>
      <c r="D9" s="862">
        <v>142589</v>
      </c>
      <c r="E9" s="760">
        <f t="shared" si="2"/>
        <v>330.59999999999997</v>
      </c>
      <c r="F9" s="908">
        <v>2077</v>
      </c>
      <c r="G9" s="760">
        <f t="shared" si="1"/>
        <v>2.3199999999999998</v>
      </c>
      <c r="H9" s="760">
        <f t="shared" si="3"/>
        <v>576.52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334.38159999999999</v>
      </c>
      <c r="R9" s="112"/>
      <c r="S9" s="484">
        <f t="shared" si="6"/>
        <v>0</v>
      </c>
      <c r="T9" s="903">
        <f>Elect!BM8</f>
        <v>178</v>
      </c>
      <c r="U9" s="724">
        <f t="shared" si="7"/>
        <v>3.2388764044943819</v>
      </c>
      <c r="V9" s="903">
        <f>Elect!BO8</f>
        <v>0</v>
      </c>
      <c r="W9" s="724" t="e">
        <f t="shared" si="8"/>
        <v>#DIV/0!</v>
      </c>
      <c r="X9" s="727">
        <f>H9*V1</f>
        <v>2306.08</v>
      </c>
      <c r="Y9" s="724">
        <f t="shared" ref="Y9:Y37" si="9">IF(X9&gt;0,X9/T9,0)</f>
        <v>12.955505617977527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67946</v>
      </c>
      <c r="C10" s="760">
        <f t="shared" si="0"/>
        <v>272.59999999999997</v>
      </c>
      <c r="D10" s="862">
        <v>142639</v>
      </c>
      <c r="E10" s="760">
        <f t="shared" si="2"/>
        <v>290</v>
      </c>
      <c r="F10" s="908">
        <v>2079</v>
      </c>
      <c r="G10" s="760">
        <f t="shared" si="1"/>
        <v>1.1599999999999999</v>
      </c>
      <c r="H10" s="760">
        <f t="shared" si="3"/>
        <v>563.75999999999988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326.98079999999993</v>
      </c>
      <c r="R10" s="112"/>
      <c r="S10" s="484">
        <f t="shared" si="6"/>
        <v>0</v>
      </c>
      <c r="T10" s="903">
        <f>Elect!BM9</f>
        <v>191</v>
      </c>
      <c r="U10" s="724">
        <f t="shared" si="7"/>
        <v>2.951623036649214</v>
      </c>
      <c r="V10" s="903">
        <f>Elect!BO9</f>
        <v>0</v>
      </c>
      <c r="W10" s="724" t="e">
        <f t="shared" si="8"/>
        <v>#DIV/0!</v>
      </c>
      <c r="X10" s="727">
        <f>H10*V1</f>
        <v>2255.0399999999995</v>
      </c>
      <c r="Y10" s="724">
        <f t="shared" si="9"/>
        <v>11.806492146596856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67985</v>
      </c>
      <c r="C11" s="760">
        <f t="shared" si="0"/>
        <v>226.2</v>
      </c>
      <c r="D11" s="862">
        <v>142699</v>
      </c>
      <c r="E11" s="760">
        <f>IF(D11&gt;=D10,D11-D10,0)*10*0.58</f>
        <v>348</v>
      </c>
      <c r="F11" s="908">
        <v>2089</v>
      </c>
      <c r="G11" s="760">
        <f t="shared" si="1"/>
        <v>5.8</v>
      </c>
      <c r="H11" s="760">
        <f>C11+E11+G11</f>
        <v>580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336.4</v>
      </c>
      <c r="R11" s="112"/>
      <c r="S11" s="484">
        <f t="shared" si="6"/>
        <v>0</v>
      </c>
      <c r="T11" s="903">
        <f>Elect!BM10</f>
        <v>175</v>
      </c>
      <c r="U11" s="724">
        <f t="shared" si="7"/>
        <v>3.3142857142857145</v>
      </c>
      <c r="V11" s="903">
        <f>Elect!BO10</f>
        <v>0</v>
      </c>
      <c r="W11" s="724" t="e">
        <f t="shared" si="8"/>
        <v>#DIV/0!</v>
      </c>
      <c r="X11" s="727">
        <f>H11*V1</f>
        <v>2320</v>
      </c>
      <c r="Y11" s="724">
        <f t="shared" si="9"/>
        <v>13.257142857142858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68021</v>
      </c>
      <c r="C12" s="760">
        <f t="shared" si="0"/>
        <v>208.79999999999998</v>
      </c>
      <c r="D12" s="862">
        <v>142758</v>
      </c>
      <c r="E12" s="760">
        <f>IF(D12&gt;=D11,D12-D11,0)*10*0.58</f>
        <v>342.2</v>
      </c>
      <c r="F12" s="908">
        <v>2099</v>
      </c>
      <c r="G12" s="760">
        <f t="shared" si="1"/>
        <v>5.8</v>
      </c>
      <c r="H12" s="760">
        <f t="shared" si="3"/>
        <v>556.79999999999995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322.94399999999996</v>
      </c>
      <c r="R12" s="112"/>
      <c r="S12" s="484">
        <f t="shared" si="6"/>
        <v>0</v>
      </c>
      <c r="T12" s="903">
        <f>Elect!BM11</f>
        <v>182</v>
      </c>
      <c r="U12" s="724">
        <f t="shared" si="7"/>
        <v>3.0593406593406591</v>
      </c>
      <c r="V12" s="903">
        <f>Elect!BO11</f>
        <v>0</v>
      </c>
      <c r="W12" s="724" t="e">
        <f t="shared" si="8"/>
        <v>#DIV/0!</v>
      </c>
      <c r="X12" s="727">
        <f>H12*V1</f>
        <v>2227.1999999999998</v>
      </c>
      <c r="Y12" s="724">
        <f t="shared" si="9"/>
        <v>12.237362637362637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68063</v>
      </c>
      <c r="C13" s="760">
        <f t="shared" si="0"/>
        <v>243.6</v>
      </c>
      <c r="D13" s="862">
        <v>142818</v>
      </c>
      <c r="E13" s="760">
        <f>IF(D13&gt;=D12,D13-D12,0)*10*0.58</f>
        <v>348</v>
      </c>
      <c r="F13" s="908">
        <v>2108</v>
      </c>
      <c r="G13" s="760">
        <f t="shared" si="1"/>
        <v>5.22</v>
      </c>
      <c r="H13" s="760">
        <f>C13+E13+G13</f>
        <v>596.82000000000005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346.15559999999999</v>
      </c>
      <c r="R13" s="112"/>
      <c r="S13" s="484">
        <f t="shared" si="6"/>
        <v>0</v>
      </c>
      <c r="T13" s="903">
        <f>Elect!BM12</f>
        <v>180</v>
      </c>
      <c r="U13" s="724">
        <f t="shared" si="7"/>
        <v>3.315666666666667</v>
      </c>
      <c r="V13" s="903">
        <f>Elect!BO12</f>
        <v>0</v>
      </c>
      <c r="W13" s="724" t="e">
        <f t="shared" si="8"/>
        <v>#DIV/0!</v>
      </c>
      <c r="X13" s="727">
        <f>H13*V1</f>
        <v>2387.2800000000002</v>
      </c>
      <c r="Y13" s="724">
        <f t="shared" si="9"/>
        <v>13.262666666666668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68094</v>
      </c>
      <c r="C14" s="760">
        <f t="shared" si="0"/>
        <v>179.79999999999998</v>
      </c>
      <c r="D14" s="862">
        <v>142881</v>
      </c>
      <c r="E14" s="760">
        <f>IF(D14&gt;=D13,D14-D13,0)*10*0.58</f>
        <v>365.4</v>
      </c>
      <c r="F14" s="908">
        <v>2120</v>
      </c>
      <c r="G14" s="760">
        <f t="shared" si="1"/>
        <v>6.9599999999999991</v>
      </c>
      <c r="H14" s="760">
        <f t="shared" si="3"/>
        <v>552.16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320.25279999999998</v>
      </c>
      <c r="R14" s="112"/>
      <c r="S14" s="484">
        <f t="shared" si="6"/>
        <v>0</v>
      </c>
      <c r="T14" s="903">
        <f>Elect!BM13</f>
        <v>207</v>
      </c>
      <c r="U14" s="724">
        <f t="shared" si="7"/>
        <v>2.6674396135265699</v>
      </c>
      <c r="V14" s="903">
        <f>Elect!BO13</f>
        <v>0</v>
      </c>
      <c r="W14" s="724" t="e">
        <f t="shared" si="8"/>
        <v>#DIV/0!</v>
      </c>
      <c r="X14" s="727">
        <f>H14*V1</f>
        <v>2208.64</v>
      </c>
      <c r="Y14" s="724">
        <f t="shared" si="9"/>
        <v>10.66975845410628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68138</v>
      </c>
      <c r="C15" s="760">
        <f t="shared" si="0"/>
        <v>255.2</v>
      </c>
      <c r="D15" s="862">
        <v>142945</v>
      </c>
      <c r="E15" s="760">
        <f>IF(D15&gt;=D14,D15-D14,0)*10*0.58</f>
        <v>371.2</v>
      </c>
      <c r="F15" s="908">
        <v>2131</v>
      </c>
      <c r="G15" s="760">
        <f t="shared" ref="G15:G35" si="11">IF(F15&gt;=F14,F15-F14,0)*0.58</f>
        <v>6.38</v>
      </c>
      <c r="H15" s="760">
        <f t="shared" si="3"/>
        <v>632.78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367.01239999999996</v>
      </c>
      <c r="R15" s="112"/>
      <c r="S15" s="484">
        <f t="shared" si="6"/>
        <v>0</v>
      </c>
      <c r="T15" s="903">
        <f>Elect!BM14</f>
        <v>170</v>
      </c>
      <c r="U15" s="724">
        <f t="shared" si="7"/>
        <v>3.7222352941176471</v>
      </c>
      <c r="V15" s="903">
        <f>Elect!BO14</f>
        <v>0</v>
      </c>
      <c r="W15" s="724" t="e">
        <f t="shared" si="8"/>
        <v>#DIV/0!</v>
      </c>
      <c r="X15" s="727">
        <f>H15*V1</f>
        <v>2531.12</v>
      </c>
      <c r="Y15" s="724">
        <f t="shared" si="9"/>
        <v>14.888941176470588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68178</v>
      </c>
      <c r="C16" s="760">
        <f t="shared" si="0"/>
        <v>231.99999999999997</v>
      </c>
      <c r="D16" s="862">
        <v>142998</v>
      </c>
      <c r="E16" s="760">
        <f t="shared" si="2"/>
        <v>307.39999999999998</v>
      </c>
      <c r="F16" s="908">
        <v>2139</v>
      </c>
      <c r="G16" s="760">
        <f t="shared" si="11"/>
        <v>4.6399999999999997</v>
      </c>
      <c r="H16" s="760">
        <f t="shared" si="3"/>
        <v>544.04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315.54319999999996</v>
      </c>
      <c r="R16" s="112"/>
      <c r="S16" s="484">
        <f t="shared" si="6"/>
        <v>0</v>
      </c>
      <c r="T16" s="903">
        <f>Elect!BM15</f>
        <v>145</v>
      </c>
      <c r="U16" s="724">
        <f t="shared" si="7"/>
        <v>3.7519999999999998</v>
      </c>
      <c r="V16" s="903">
        <f>Elect!BO15</f>
        <v>0</v>
      </c>
      <c r="W16" s="724" t="e">
        <f t="shared" si="8"/>
        <v>#DIV/0!</v>
      </c>
      <c r="X16" s="727">
        <f>H16*V1</f>
        <v>2176.16</v>
      </c>
      <c r="Y16" s="724">
        <f t="shared" si="9"/>
        <v>15.007999999999999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68212</v>
      </c>
      <c r="C17" s="760">
        <f t="shared" si="0"/>
        <v>197.2</v>
      </c>
      <c r="D17" s="862">
        <v>143064</v>
      </c>
      <c r="E17" s="760">
        <f t="shared" si="2"/>
        <v>382.79999999999995</v>
      </c>
      <c r="F17" s="908">
        <v>2151</v>
      </c>
      <c r="G17" s="760">
        <f t="shared" si="11"/>
        <v>6.9599999999999991</v>
      </c>
      <c r="H17" s="760">
        <f t="shared" si="3"/>
        <v>586.96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340.43680000000001</v>
      </c>
      <c r="R17" s="112"/>
      <c r="S17" s="484">
        <f t="shared" si="6"/>
        <v>0</v>
      </c>
      <c r="T17" s="903">
        <f>Elect!BM16</f>
        <v>160</v>
      </c>
      <c r="U17" s="724">
        <f t="shared" si="7"/>
        <v>3.6685000000000003</v>
      </c>
      <c r="V17" s="903">
        <f>Elect!BO16</f>
        <v>0</v>
      </c>
      <c r="W17" s="724" t="e">
        <f t="shared" si="8"/>
        <v>#DIV/0!</v>
      </c>
      <c r="X17" s="727">
        <f>H17*V1</f>
        <v>2347.84</v>
      </c>
      <c r="Y17" s="724">
        <f t="shared" si="9"/>
        <v>14.674000000000001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68246</v>
      </c>
      <c r="C18" s="760">
        <f t="shared" si="0"/>
        <v>197.2</v>
      </c>
      <c r="D18" s="862">
        <v>143117</v>
      </c>
      <c r="E18" s="760">
        <f t="shared" si="2"/>
        <v>307.39999999999998</v>
      </c>
      <c r="F18" s="908">
        <v>2162</v>
      </c>
      <c r="G18" s="760">
        <f t="shared" si="11"/>
        <v>6.38</v>
      </c>
      <c r="H18" s="760">
        <f t="shared" si="3"/>
        <v>510.97999999999996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296.36839999999995</v>
      </c>
      <c r="R18" s="112"/>
      <c r="S18" s="484">
        <f t="shared" si="6"/>
        <v>0</v>
      </c>
      <c r="T18" s="903">
        <f>Elect!BM17</f>
        <v>170</v>
      </c>
      <c r="U18" s="724">
        <f t="shared" si="7"/>
        <v>3.0057647058823527</v>
      </c>
      <c r="V18" s="903">
        <f>Elect!BO17</f>
        <v>0</v>
      </c>
      <c r="W18" s="724" t="e">
        <f t="shared" si="8"/>
        <v>#DIV/0!</v>
      </c>
      <c r="X18" s="727">
        <f>H18*V1</f>
        <v>2043.9199999999998</v>
      </c>
      <c r="Y18" s="724">
        <f t="shared" si="9"/>
        <v>12.023058823529411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68292</v>
      </c>
      <c r="C19" s="760">
        <f t="shared" si="0"/>
        <v>266.79999999999995</v>
      </c>
      <c r="D19" s="862">
        <v>143177</v>
      </c>
      <c r="E19" s="760">
        <f t="shared" si="2"/>
        <v>348</v>
      </c>
      <c r="F19" s="908">
        <v>2169</v>
      </c>
      <c r="G19" s="760">
        <f t="shared" si="11"/>
        <v>4.0599999999999996</v>
      </c>
      <c r="H19" s="760">
        <f t="shared" si="3"/>
        <v>618.8599999999999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358.9387999999999</v>
      </c>
      <c r="R19" s="112"/>
      <c r="S19" s="484">
        <f t="shared" si="6"/>
        <v>0</v>
      </c>
      <c r="T19" s="903">
        <f>Elect!BM18</f>
        <v>220</v>
      </c>
      <c r="U19" s="724">
        <f t="shared" si="7"/>
        <v>2.8129999999999997</v>
      </c>
      <c r="V19" s="903">
        <f>Elect!BO18</f>
        <v>0</v>
      </c>
      <c r="W19" s="724" t="e">
        <f t="shared" si="8"/>
        <v>#DIV/0!</v>
      </c>
      <c r="X19" s="727">
        <f>H19*V1</f>
        <v>2475.4399999999996</v>
      </c>
      <c r="Y19" s="724">
        <f t="shared" si="9"/>
        <v>11.251999999999999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68331</v>
      </c>
      <c r="C20" s="760">
        <f t="shared" si="0"/>
        <v>226.2</v>
      </c>
      <c r="D20" s="862">
        <v>143236</v>
      </c>
      <c r="E20" s="760">
        <f t="shared" si="2"/>
        <v>342.2</v>
      </c>
      <c r="F20" s="908">
        <v>2179</v>
      </c>
      <c r="G20" s="760">
        <f t="shared" si="11"/>
        <v>5.8</v>
      </c>
      <c r="H20" s="760">
        <f t="shared" si="3"/>
        <v>574.19999999999993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333.03599999999994</v>
      </c>
      <c r="R20" s="112"/>
      <c r="S20" s="484">
        <f t="shared" si="6"/>
        <v>0</v>
      </c>
      <c r="T20" s="903">
        <f>Elect!BM19</f>
        <v>238</v>
      </c>
      <c r="U20" s="724">
        <f t="shared" si="7"/>
        <v>2.4126050420168066</v>
      </c>
      <c r="V20" s="903">
        <f>Elect!BO19</f>
        <v>0</v>
      </c>
      <c r="W20" s="724" t="e">
        <f t="shared" si="8"/>
        <v>#DIV/0!</v>
      </c>
      <c r="X20" s="727">
        <f>H20*V1</f>
        <v>2296.7999999999997</v>
      </c>
      <c r="Y20" s="724">
        <f t="shared" si="9"/>
        <v>9.6504201680672264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68357</v>
      </c>
      <c r="C21" s="760">
        <f t="shared" si="0"/>
        <v>150.79999999999998</v>
      </c>
      <c r="D21" s="862">
        <v>143296</v>
      </c>
      <c r="E21" s="760">
        <f t="shared" ref="E21:E28" si="12">IF(D21&gt;=D20,D21-D20,0)*10*0.58</f>
        <v>348</v>
      </c>
      <c r="F21" s="908">
        <v>2195</v>
      </c>
      <c r="G21" s="760">
        <f t="shared" si="11"/>
        <v>9.2799999999999994</v>
      </c>
      <c r="H21" s="760">
        <f t="shared" si="3"/>
        <v>508.07999999999993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294.68639999999994</v>
      </c>
      <c r="R21" s="112"/>
      <c r="S21" s="484">
        <f t="shared" si="6"/>
        <v>0</v>
      </c>
      <c r="T21" s="903">
        <f>Elect!BM20</f>
        <v>236</v>
      </c>
      <c r="U21" s="724">
        <f t="shared" si="7"/>
        <v>2.1528813559322031</v>
      </c>
      <c r="V21" s="903">
        <f>Elect!BO20</f>
        <v>0</v>
      </c>
      <c r="W21" s="724" t="e">
        <f t="shared" si="8"/>
        <v>#DIV/0!</v>
      </c>
      <c r="X21" s="727">
        <f>H21*V1</f>
        <v>2032.3199999999997</v>
      </c>
      <c r="Y21" s="724">
        <f t="shared" si="9"/>
        <v>8.6115254237288124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68396</v>
      </c>
      <c r="C22" s="760">
        <f t="shared" si="0"/>
        <v>226.2</v>
      </c>
      <c r="D22" s="862">
        <v>143362</v>
      </c>
      <c r="E22" s="760">
        <f t="shared" si="12"/>
        <v>382.79999999999995</v>
      </c>
      <c r="F22" s="908">
        <v>2206</v>
      </c>
      <c r="G22" s="760">
        <f>IF(F22&gt;=F21,F22-F21,0)*0.58</f>
        <v>6.38</v>
      </c>
      <c r="H22" s="760">
        <f t="shared" si="3"/>
        <v>615.38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356.92039999999997</v>
      </c>
      <c r="R22" s="112"/>
      <c r="S22" s="484">
        <f t="shared" si="6"/>
        <v>0</v>
      </c>
      <c r="T22" s="903">
        <f>Elect!BM21</f>
        <v>162</v>
      </c>
      <c r="U22" s="724">
        <f t="shared" si="7"/>
        <v>3.7986419753086418</v>
      </c>
      <c r="V22" s="903">
        <f>Elect!BO21</f>
        <v>0</v>
      </c>
      <c r="W22" s="724" t="e">
        <f t="shared" si="8"/>
        <v>#DIV/0!</v>
      </c>
      <c r="X22" s="727">
        <f>H22*V1</f>
        <v>2461.52</v>
      </c>
      <c r="Y22" s="724">
        <f t="shared" si="9"/>
        <v>15.194567901234567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68434</v>
      </c>
      <c r="C23" s="760">
        <f t="shared" si="0"/>
        <v>220.39999999999998</v>
      </c>
      <c r="D23" s="862">
        <v>143427</v>
      </c>
      <c r="E23" s="760">
        <f t="shared" si="12"/>
        <v>377</v>
      </c>
      <c r="F23" s="908">
        <v>2217</v>
      </c>
      <c r="G23" s="760">
        <f>IF(F23&gt;=F22,F23-F22,0)*0.58</f>
        <v>6.38</v>
      </c>
      <c r="H23" s="760">
        <f t="shared" si="3"/>
        <v>603.78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350.19239999999996</v>
      </c>
      <c r="R23" s="112"/>
      <c r="S23" s="484">
        <f t="shared" si="6"/>
        <v>0</v>
      </c>
      <c r="T23" s="903">
        <f>Elect!BM22</f>
        <v>178</v>
      </c>
      <c r="U23" s="724">
        <f t="shared" si="7"/>
        <v>3.3920224719101122</v>
      </c>
      <c r="V23" s="903">
        <f>Elect!BO22</f>
        <v>0</v>
      </c>
      <c r="W23" s="724" t="e">
        <f t="shared" si="8"/>
        <v>#DIV/0!</v>
      </c>
      <c r="X23" s="727">
        <f>H23*V1</f>
        <v>2415.12</v>
      </c>
      <c r="Y23" s="724">
        <f t="shared" si="9"/>
        <v>13.568089887640449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68482</v>
      </c>
      <c r="C24" s="760">
        <f t="shared" si="0"/>
        <v>278.39999999999998</v>
      </c>
      <c r="D24" s="862">
        <v>143510</v>
      </c>
      <c r="E24" s="760">
        <f t="shared" si="12"/>
        <v>481.4</v>
      </c>
      <c r="F24" s="908">
        <v>2231</v>
      </c>
      <c r="G24" s="760">
        <f>IF(F24&gt;=F23,F24-F23,0)*0.58</f>
        <v>8.1199999999999992</v>
      </c>
      <c r="H24" s="760">
        <f t="shared" si="3"/>
        <v>767.92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445.39359999999994</v>
      </c>
      <c r="R24" s="112"/>
      <c r="S24" s="484">
        <f t="shared" si="6"/>
        <v>0</v>
      </c>
      <c r="T24" s="903">
        <f>Elect!BM23</f>
        <v>196</v>
      </c>
      <c r="U24" s="724">
        <f t="shared" si="7"/>
        <v>3.9179591836734691</v>
      </c>
      <c r="V24" s="903">
        <f>Elect!BO23</f>
        <v>0</v>
      </c>
      <c r="W24" s="724" t="e">
        <f t="shared" si="8"/>
        <v>#DIV/0!</v>
      </c>
      <c r="X24" s="727">
        <f>H24*V1</f>
        <v>3071.68</v>
      </c>
      <c r="Y24" s="724">
        <f t="shared" si="9"/>
        <v>15.671836734693876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68508</v>
      </c>
      <c r="C25" s="760">
        <f t="shared" si="0"/>
        <v>150.79999999999998</v>
      </c>
      <c r="D25" s="862">
        <v>143575</v>
      </c>
      <c r="E25" s="760">
        <f t="shared" si="12"/>
        <v>377</v>
      </c>
      <c r="F25" s="908">
        <v>2239</v>
      </c>
      <c r="G25" s="760">
        <f>IF(F25&gt;=F24,F25-F24,0)*0.58</f>
        <v>4.6399999999999997</v>
      </c>
      <c r="H25" s="760">
        <f t="shared" si="3"/>
        <v>532.43999999999994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308.81519999999995</v>
      </c>
      <c r="R25" s="112"/>
      <c r="S25" s="484">
        <f t="shared" si="6"/>
        <v>0</v>
      </c>
      <c r="T25" s="903">
        <f>Elect!BM24</f>
        <v>243</v>
      </c>
      <c r="U25" s="724">
        <f t="shared" si="7"/>
        <v>2.1911111111111108</v>
      </c>
      <c r="V25" s="903">
        <f>Elect!BO24</f>
        <v>0</v>
      </c>
      <c r="W25" s="724" t="e">
        <f t="shared" si="8"/>
        <v>#DIV/0!</v>
      </c>
      <c r="X25" s="727">
        <f>H25*V1</f>
        <v>2129.7599999999998</v>
      </c>
      <c r="Y25" s="724">
        <f t="shared" si="9"/>
        <v>8.7644444444444431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68559</v>
      </c>
      <c r="C26" s="760">
        <f t="shared" si="0"/>
        <v>295.79999999999995</v>
      </c>
      <c r="D26" s="862">
        <v>143649</v>
      </c>
      <c r="E26" s="760">
        <f t="shared" si="12"/>
        <v>429.2</v>
      </c>
      <c r="F26" s="908">
        <v>2252</v>
      </c>
      <c r="G26" s="760">
        <f t="shared" si="11"/>
        <v>7.5399999999999991</v>
      </c>
      <c r="H26" s="760">
        <f t="shared" si="3"/>
        <v>732.54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424.87319999999994</v>
      </c>
      <c r="R26" s="112"/>
      <c r="S26" s="484">
        <f t="shared" si="6"/>
        <v>0</v>
      </c>
      <c r="T26" s="903">
        <f>Elect!BM25</f>
        <v>242</v>
      </c>
      <c r="U26" s="724">
        <f t="shared" si="7"/>
        <v>3.0270247933884296</v>
      </c>
      <c r="V26" s="903">
        <f>Elect!BO25</f>
        <v>0</v>
      </c>
      <c r="W26" s="724" t="e">
        <f t="shared" si="8"/>
        <v>#DIV/0!</v>
      </c>
      <c r="X26" s="727">
        <f>H26*V1</f>
        <v>2930.16</v>
      </c>
      <c r="Y26" s="724">
        <f t="shared" si="9"/>
        <v>12.108099173553718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1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>IF(D31&gt;=D30,D31-D30,0)*10*0.58</f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 t="shared" si="11"/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 t="shared" si="11"/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>IF(B34&gt;=B33,B34-B33,0)*10*0.58</f>
        <v>0</v>
      </c>
      <c r="D34" s="862"/>
      <c r="E34" s="760">
        <f t="shared" si="2"/>
        <v>0</v>
      </c>
      <c r="F34" s="908"/>
      <c r="G34" s="760">
        <f t="shared" si="11"/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>IF(B35&gt;=B34,B35-B34,0)*10*0.58</f>
        <v>0</v>
      </c>
      <c r="D35" s="862"/>
      <c r="E35" s="760">
        <f>IF(D35&gt;=D34,D35-D34,0)*10*0.58</f>
        <v>0</v>
      </c>
      <c r="F35" s="908"/>
      <c r="G35" s="760">
        <f t="shared" si="11"/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>IF(B36&gt;=B35,B36-B35,0)*10*0.58</f>
        <v>0</v>
      </c>
      <c r="D36" s="862"/>
      <c r="E36" s="760">
        <f t="shared" si="2"/>
        <v>0</v>
      </c>
      <c r="F36" s="908"/>
      <c r="G36" s="760">
        <f>IF(F36&gt;=F35,F36-F35,0)*0.58</f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>IF(B37&gt;=B36,B37-B36,0)*10*0.58</f>
        <v>0</v>
      </c>
      <c r="D37" s="862"/>
      <c r="E37" s="760">
        <f t="shared" si="2"/>
        <v>0</v>
      </c>
      <c r="F37" s="908"/>
      <c r="G37" s="760">
        <f>IF(F37&gt;=F36,F37-F36,0)*0.58</f>
        <v>0</v>
      </c>
      <c r="H37" s="760">
        <f t="shared" si="3"/>
        <v>0</v>
      </c>
      <c r="I37" s="908">
        <v>123.13</v>
      </c>
      <c r="J37" s="923"/>
      <c r="K37" s="908">
        <v>1630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4477.5999999999995</v>
      </c>
      <c r="D38" s="607"/>
      <c r="E38" s="928">
        <f>SUM(E7:E37)</f>
        <v>7267.3999999999987</v>
      </c>
      <c r="F38" s="607"/>
      <c r="G38" s="928">
        <f>SUM(G7:G37)</f>
        <v>109.03999999999999</v>
      </c>
      <c r="H38" s="928">
        <f>SUM(H7:H37)</f>
        <v>11854.04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6875.3431999999993</v>
      </c>
      <c r="R38" s="607"/>
      <c r="S38" s="614">
        <f>SUM(S7:S34)</f>
        <v>0</v>
      </c>
      <c r="T38" s="615">
        <f>SUM(T7:T36)</f>
        <v>3821</v>
      </c>
      <c r="U38" s="725">
        <f>IF(H38&gt;0,H38/T38,0)</f>
        <v>3.1023397016487833</v>
      </c>
      <c r="V38" s="794">
        <f>SUM(V7:V36)</f>
        <v>0</v>
      </c>
      <c r="W38" s="725" t="e">
        <f>IF(H38&gt;0,H38/V38,0)</f>
        <v>#DIV/0!</v>
      </c>
      <c r="X38" s="729">
        <f>SUM(X7:X36)</f>
        <v>47416.160000000003</v>
      </c>
      <c r="Y38" s="725">
        <f t="shared" ref="Y38:Y44" si="14">IF(X38&gt;0,X38/T38,0)</f>
        <v>12.409358806595133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144.43870967741933</v>
      </c>
      <c r="D39" s="608"/>
      <c r="E39" s="620">
        <f>E38/B49</f>
        <v>234.43225806451608</v>
      </c>
      <c r="F39" s="608"/>
      <c r="G39" s="620">
        <f>G38/B49</f>
        <v>3.5174193548387094</v>
      </c>
      <c r="H39" s="620">
        <f>H38/B49</f>
        <v>382.38838709677424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221.78526451612902</v>
      </c>
      <c r="R39" s="608"/>
      <c r="S39" s="620" t="e">
        <f>S38/C49</f>
        <v>#DIV/0!</v>
      </c>
      <c r="T39" s="622">
        <f>T38/B49</f>
        <v>123.25806451612904</v>
      </c>
      <c r="U39" s="726">
        <f>IF(H39&gt;0,H39/T39,0)</f>
        <v>3.1023397016487833</v>
      </c>
      <c r="V39" s="742">
        <f>V38/B49</f>
        <v>0</v>
      </c>
      <c r="W39" s="725" t="e">
        <f>IF(H39&gt;0,H39/V39,0)</f>
        <v>#DIV/0!</v>
      </c>
      <c r="X39" s="731">
        <f>X38/B49</f>
        <v>1529.553548387097</v>
      </c>
      <c r="Y39" s="726">
        <f t="shared" si="14"/>
        <v>12.409358806595133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3" t="s">
        <v>11</v>
      </c>
      <c r="B150" s="993"/>
      <c r="C150" s="993"/>
      <c r="D150" s="993"/>
      <c r="E150" s="993"/>
      <c r="F150" s="993"/>
      <c r="G150" s="993"/>
      <c r="H150" s="993"/>
      <c r="I150" s="993"/>
      <c r="J150" s="993"/>
      <c r="K150" s="993"/>
      <c r="L150" s="993"/>
      <c r="M150" s="993"/>
      <c r="N150" s="99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zoomScale="50" zoomScaleNormal="50" zoomScaleSheetLayoutView="55" workbookViewId="0">
      <pane xSplit="1" ySplit="5" topLeftCell="B14" activePane="bottomRight" state="frozen"/>
      <selection activeCell="D22" sqref="D22"/>
      <selection pane="topRight" activeCell="D22" sqref="D22"/>
      <selection pane="bottomLeft" activeCell="D22" sqref="D22"/>
      <selection pane="bottomRight" activeCell="F27" sqref="F27"/>
    </sheetView>
  </sheetViews>
  <sheetFormatPr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9" t="str">
        <f>Elect!A1</f>
        <v>September</v>
      </c>
      <c r="E1" s="977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9"/>
      <c r="C2" s="29"/>
      <c r="E2" s="977"/>
      <c r="G2" s="29"/>
      <c r="H2" s="29"/>
      <c r="I2" s="29"/>
      <c r="K2" s="588"/>
      <c r="L2" s="587"/>
      <c r="M2" s="483"/>
    </row>
    <row r="3" spans="1:13" ht="21" customHeight="1" thickBot="1">
      <c r="A3" s="1030"/>
      <c r="B3" s="29"/>
      <c r="C3" s="29"/>
      <c r="D3" s="29"/>
      <c r="E3" s="978"/>
      <c r="F3" s="29"/>
      <c r="G3" s="29"/>
      <c r="H3" s="29"/>
      <c r="I3" s="29"/>
    </row>
    <row r="4" spans="1:13" ht="53.25" customHeight="1">
      <c r="A4" s="795" t="s">
        <v>23</v>
      </c>
      <c r="B4" s="1031" t="s">
        <v>311</v>
      </c>
      <c r="C4" s="1032"/>
      <c r="D4" s="1031" t="s">
        <v>312</v>
      </c>
      <c r="E4" s="1032"/>
      <c r="F4" s="1031" t="s">
        <v>313</v>
      </c>
      <c r="G4" s="1032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7433673</v>
      </c>
      <c r="C6" s="760">
        <f t="shared" ref="C6:C14" si="0">IF(B6&gt;=B5,B6-B5,0)*1.06</f>
        <v>0</v>
      </c>
      <c r="D6" s="862">
        <v>154286</v>
      </c>
      <c r="E6" s="760">
        <f>IF(D6&gt;=D5,D6-D5,0)*0.7</f>
        <v>0</v>
      </c>
      <c r="F6" s="862">
        <v>536882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7435131</v>
      </c>
      <c r="C7" s="760">
        <f t="shared" si="0"/>
        <v>1545.48</v>
      </c>
      <c r="D7" s="862">
        <v>154561</v>
      </c>
      <c r="E7" s="760">
        <f t="shared" ref="E7:E37" si="2">IF(D7&gt;=D6,D7-D6,0)*0.7</f>
        <v>192.5</v>
      </c>
      <c r="F7" s="862">
        <v>537006</v>
      </c>
      <c r="G7" s="760">
        <f t="shared" si="1"/>
        <v>124</v>
      </c>
      <c r="H7" s="760">
        <f>(E7*0.55)*1.61</f>
        <v>170.45875000000004</v>
      </c>
      <c r="I7" s="760">
        <f>C7*J1</f>
        <v>2488.2228</v>
      </c>
      <c r="J7" s="760">
        <f>G7*J1</f>
        <v>199.64000000000001</v>
      </c>
      <c r="K7" s="935">
        <f t="shared" ref="K7:K37" si="3">C7+E7</f>
        <v>1737.98</v>
      </c>
    </row>
    <row r="8" spans="1:13" s="475" customFormat="1" ht="41.25" customHeight="1">
      <c r="A8" s="797">
        <v>2</v>
      </c>
      <c r="B8" s="113">
        <v>7436052</v>
      </c>
      <c r="C8" s="760">
        <f t="shared" si="0"/>
        <v>976.2600000000001</v>
      </c>
      <c r="D8" s="862">
        <v>154794</v>
      </c>
      <c r="E8" s="760">
        <f t="shared" si="2"/>
        <v>163.1</v>
      </c>
      <c r="F8" s="862">
        <v>537165</v>
      </c>
      <c r="G8" s="760">
        <f t="shared" si="1"/>
        <v>159</v>
      </c>
      <c r="H8" s="760">
        <f t="shared" ref="H8:H37" si="4">(E8*0.55)*1.61</f>
        <v>144.42505</v>
      </c>
      <c r="I8" s="760">
        <f>C8*J1</f>
        <v>1571.7786000000003</v>
      </c>
      <c r="J8" s="760">
        <f>G8*J1</f>
        <v>255.99</v>
      </c>
      <c r="K8" s="935">
        <f t="shared" si="3"/>
        <v>1139.3600000000001</v>
      </c>
    </row>
    <row r="9" spans="1:13" s="475" customFormat="1" ht="41.25" customHeight="1">
      <c r="A9" s="797">
        <v>3</v>
      </c>
      <c r="B9" s="113">
        <v>7436941</v>
      </c>
      <c r="C9" s="760">
        <f t="shared" si="0"/>
        <v>942.34</v>
      </c>
      <c r="D9" s="862">
        <v>155041</v>
      </c>
      <c r="E9" s="760">
        <f t="shared" si="2"/>
        <v>172.89999999999998</v>
      </c>
      <c r="F9" s="862">
        <v>537275</v>
      </c>
      <c r="G9" s="760">
        <f t="shared" si="1"/>
        <v>110</v>
      </c>
      <c r="H9" s="760">
        <f>(E9*0.55)*1.61</f>
        <v>153.10295000000002</v>
      </c>
      <c r="I9" s="760">
        <f>C9*J1</f>
        <v>1517.1674</v>
      </c>
      <c r="J9" s="760">
        <f>G9*J1</f>
        <v>177.10000000000002</v>
      </c>
      <c r="K9" s="935">
        <f>C9+E9</f>
        <v>1115.24</v>
      </c>
    </row>
    <row r="10" spans="1:13" s="475" customFormat="1" ht="41.25" customHeight="1">
      <c r="A10" s="797">
        <v>4</v>
      </c>
      <c r="B10" s="113">
        <v>7437956</v>
      </c>
      <c r="C10" s="760">
        <f t="shared" si="0"/>
        <v>1075.9000000000001</v>
      </c>
      <c r="D10" s="862">
        <v>155230</v>
      </c>
      <c r="E10" s="760">
        <f t="shared" si="2"/>
        <v>132.29999999999998</v>
      </c>
      <c r="F10" s="862">
        <v>537381</v>
      </c>
      <c r="G10" s="760">
        <f t="shared" si="1"/>
        <v>106</v>
      </c>
      <c r="H10" s="760">
        <f>(E10*0.55)*1.61</f>
        <v>117.15165</v>
      </c>
      <c r="I10" s="760">
        <f>C10*J1</f>
        <v>1732.1990000000003</v>
      </c>
      <c r="J10" s="760">
        <f>G10*J1</f>
        <v>170.66</v>
      </c>
      <c r="K10" s="935">
        <f t="shared" si="3"/>
        <v>1208.2</v>
      </c>
    </row>
    <row r="11" spans="1:13" s="475" customFormat="1" ht="41.25" customHeight="1">
      <c r="A11" s="797">
        <v>5</v>
      </c>
      <c r="B11" s="113">
        <v>7438782</v>
      </c>
      <c r="C11" s="760">
        <f t="shared" si="0"/>
        <v>875.56000000000006</v>
      </c>
      <c r="D11" s="862">
        <v>155506</v>
      </c>
      <c r="E11" s="760">
        <f t="shared" si="2"/>
        <v>193.2</v>
      </c>
      <c r="F11" s="862">
        <v>537501</v>
      </c>
      <c r="G11" s="760">
        <f t="shared" si="1"/>
        <v>120</v>
      </c>
      <c r="H11" s="760">
        <f t="shared" si="4"/>
        <v>171.07860000000002</v>
      </c>
      <c r="I11" s="760">
        <f>C11*J1</f>
        <v>1409.6516000000001</v>
      </c>
      <c r="J11" s="760">
        <f>G11*J1</f>
        <v>193.20000000000002</v>
      </c>
      <c r="K11" s="935">
        <f t="shared" si="3"/>
        <v>1068.76</v>
      </c>
    </row>
    <row r="12" spans="1:13" s="475" customFormat="1" ht="41.25" customHeight="1">
      <c r="A12" s="797">
        <v>6</v>
      </c>
      <c r="B12" s="113">
        <v>7439712</v>
      </c>
      <c r="C12" s="760">
        <f t="shared" si="0"/>
        <v>985.80000000000007</v>
      </c>
      <c r="D12" s="862">
        <v>155795</v>
      </c>
      <c r="E12" s="760">
        <f t="shared" si="2"/>
        <v>202.29999999999998</v>
      </c>
      <c r="F12" s="862">
        <v>537634</v>
      </c>
      <c r="G12" s="760">
        <f t="shared" si="1"/>
        <v>133</v>
      </c>
      <c r="H12" s="760">
        <f t="shared" si="4"/>
        <v>179.13665</v>
      </c>
      <c r="I12" s="760">
        <f>C12*J1</f>
        <v>1587.1380000000001</v>
      </c>
      <c r="J12" s="760">
        <f>G12*J1</f>
        <v>214.13000000000002</v>
      </c>
      <c r="K12" s="935">
        <f t="shared" si="3"/>
        <v>1188.1000000000001</v>
      </c>
    </row>
    <row r="13" spans="1:13" s="475" customFormat="1" ht="41.25" customHeight="1">
      <c r="A13" s="797">
        <v>7</v>
      </c>
      <c r="B13" s="113">
        <v>7440795</v>
      </c>
      <c r="C13" s="760">
        <f t="shared" si="0"/>
        <v>1147.98</v>
      </c>
      <c r="D13" s="862">
        <v>156009</v>
      </c>
      <c r="E13" s="760">
        <f t="shared" si="2"/>
        <v>149.79999999999998</v>
      </c>
      <c r="F13" s="862">
        <v>537718</v>
      </c>
      <c r="G13" s="760">
        <f t="shared" si="1"/>
        <v>84</v>
      </c>
      <c r="H13" s="760">
        <f t="shared" si="4"/>
        <v>132.64790000000002</v>
      </c>
      <c r="I13" s="760">
        <f>C13*J1</f>
        <v>1848.2478000000001</v>
      </c>
      <c r="J13" s="760">
        <f>G13*J1</f>
        <v>135.24</v>
      </c>
      <c r="K13" s="935">
        <f t="shared" si="3"/>
        <v>1297.78</v>
      </c>
    </row>
    <row r="14" spans="1:13" s="475" customFormat="1" ht="41.25" customHeight="1">
      <c r="A14" s="797">
        <v>8</v>
      </c>
      <c r="B14" s="113">
        <v>7441677</v>
      </c>
      <c r="C14" s="760">
        <f t="shared" si="0"/>
        <v>934.92000000000007</v>
      </c>
      <c r="D14" s="862">
        <v>156326</v>
      </c>
      <c r="E14" s="760">
        <f t="shared" si="2"/>
        <v>221.89999999999998</v>
      </c>
      <c r="F14" s="862">
        <v>537831</v>
      </c>
      <c r="G14" s="760">
        <f t="shared" si="1"/>
        <v>113</v>
      </c>
      <c r="H14" s="760">
        <f t="shared" si="4"/>
        <v>196.49245000000002</v>
      </c>
      <c r="I14" s="760">
        <f>C14*J1</f>
        <v>1505.2212000000002</v>
      </c>
      <c r="J14" s="760">
        <f>G14*J1</f>
        <v>181.93</v>
      </c>
      <c r="K14" s="935">
        <f t="shared" si="3"/>
        <v>1156.8200000000002</v>
      </c>
    </row>
    <row r="15" spans="1:13" s="475" customFormat="1" ht="41.25" customHeight="1">
      <c r="A15" s="797">
        <v>9</v>
      </c>
      <c r="B15" s="113">
        <v>7443046</v>
      </c>
      <c r="C15" s="760">
        <f t="shared" ref="C15:C32" si="5">IF(B15&gt;=B14,B15-B14,0)*1.06</f>
        <v>1451.14</v>
      </c>
      <c r="D15" s="862">
        <v>156770</v>
      </c>
      <c r="E15" s="760">
        <f t="shared" si="2"/>
        <v>310.79999999999995</v>
      </c>
      <c r="F15" s="862">
        <v>537981</v>
      </c>
      <c r="G15" s="760">
        <f t="shared" ref="G15:G37" si="6">IF(F15&gt;=F14,F15-F14,0)</f>
        <v>150</v>
      </c>
      <c r="H15" s="760">
        <f t="shared" si="4"/>
        <v>275.21340000000004</v>
      </c>
      <c r="I15" s="760">
        <f>C15*J1</f>
        <v>2336.3354000000004</v>
      </c>
      <c r="J15" s="760">
        <f>G15*J1</f>
        <v>241.50000000000003</v>
      </c>
      <c r="K15" s="935">
        <f t="shared" si="3"/>
        <v>1761.94</v>
      </c>
    </row>
    <row r="16" spans="1:13" s="475" customFormat="1" ht="41.25" customHeight="1">
      <c r="A16" s="797">
        <v>10</v>
      </c>
      <c r="B16" s="113">
        <v>7443810</v>
      </c>
      <c r="C16" s="760">
        <f t="shared" si="5"/>
        <v>809.84</v>
      </c>
      <c r="D16" s="862">
        <v>156957</v>
      </c>
      <c r="E16" s="760">
        <f t="shared" si="2"/>
        <v>130.9</v>
      </c>
      <c r="F16" s="862">
        <v>538084</v>
      </c>
      <c r="G16" s="760">
        <f>IF(F16&gt;=F15,F16-F15,0)</f>
        <v>103</v>
      </c>
      <c r="H16" s="760">
        <f t="shared" si="4"/>
        <v>115.91195000000002</v>
      </c>
      <c r="I16" s="760">
        <f>C16*J1</f>
        <v>1303.8424000000002</v>
      </c>
      <c r="J16" s="760">
        <f>G16*J1</f>
        <v>165.83</v>
      </c>
      <c r="K16" s="935">
        <f t="shared" si="3"/>
        <v>940.74</v>
      </c>
    </row>
    <row r="17" spans="1:11" s="475" customFormat="1" ht="41.25" customHeight="1">
      <c r="A17" s="797">
        <v>11</v>
      </c>
      <c r="B17" s="113">
        <v>7444629</v>
      </c>
      <c r="C17" s="760">
        <f t="shared" si="5"/>
        <v>868.1400000000001</v>
      </c>
      <c r="D17" s="862">
        <v>157282</v>
      </c>
      <c r="E17" s="760">
        <f t="shared" si="2"/>
        <v>227.49999999999997</v>
      </c>
      <c r="F17" s="862">
        <v>538147</v>
      </c>
      <c r="G17" s="760">
        <f t="shared" si="6"/>
        <v>63</v>
      </c>
      <c r="H17" s="760">
        <f t="shared" si="4"/>
        <v>201.45125000000002</v>
      </c>
      <c r="I17" s="760">
        <f>C17*J1</f>
        <v>1397.7054000000003</v>
      </c>
      <c r="J17" s="760">
        <f>G17*J1</f>
        <v>101.43</v>
      </c>
      <c r="K17" s="935">
        <f t="shared" si="3"/>
        <v>1095.6400000000001</v>
      </c>
    </row>
    <row r="18" spans="1:11" s="475" customFormat="1" ht="41.25" customHeight="1">
      <c r="A18" s="797">
        <v>12</v>
      </c>
      <c r="B18" s="113">
        <v>7445913</v>
      </c>
      <c r="C18" s="760">
        <f t="shared" si="5"/>
        <v>1361.04</v>
      </c>
      <c r="D18" s="862">
        <v>157580</v>
      </c>
      <c r="E18" s="760">
        <f t="shared" si="2"/>
        <v>208.6</v>
      </c>
      <c r="F18" s="862">
        <v>538216</v>
      </c>
      <c r="G18" s="760">
        <f t="shared" si="6"/>
        <v>69</v>
      </c>
      <c r="H18" s="760">
        <f t="shared" si="4"/>
        <v>184.71530000000001</v>
      </c>
      <c r="I18" s="760">
        <f>C18*J1</f>
        <v>2191.2744000000002</v>
      </c>
      <c r="J18" s="760">
        <f>G18*J1</f>
        <v>111.09</v>
      </c>
      <c r="K18" s="935">
        <f t="shared" si="3"/>
        <v>1569.6399999999999</v>
      </c>
    </row>
    <row r="19" spans="1:11" s="475" customFormat="1" ht="41.25" customHeight="1">
      <c r="A19" s="797">
        <v>13</v>
      </c>
      <c r="B19" s="113">
        <v>7446767</v>
      </c>
      <c r="C19" s="760">
        <f t="shared" si="5"/>
        <v>905.24</v>
      </c>
      <c r="D19" s="862">
        <v>157776</v>
      </c>
      <c r="E19" s="760">
        <f t="shared" si="2"/>
        <v>137.19999999999999</v>
      </c>
      <c r="F19" s="862">
        <v>538277</v>
      </c>
      <c r="G19" s="760">
        <f t="shared" si="6"/>
        <v>61</v>
      </c>
      <c r="H19" s="760">
        <f t="shared" si="4"/>
        <v>121.4906</v>
      </c>
      <c r="I19" s="760">
        <f>C19*J1</f>
        <v>1457.4364</v>
      </c>
      <c r="J19" s="760">
        <f>G19*J1</f>
        <v>98.210000000000008</v>
      </c>
      <c r="K19" s="935">
        <f t="shared" si="3"/>
        <v>1042.44</v>
      </c>
    </row>
    <row r="20" spans="1:11" s="475" customFormat="1" ht="41.25" customHeight="1">
      <c r="A20" s="797">
        <v>14</v>
      </c>
      <c r="B20" s="113">
        <v>7447755</v>
      </c>
      <c r="C20" s="760">
        <f t="shared" si="5"/>
        <v>1047.28</v>
      </c>
      <c r="D20" s="862">
        <v>158050</v>
      </c>
      <c r="E20" s="760">
        <f t="shared" si="2"/>
        <v>191.79999999999998</v>
      </c>
      <c r="F20" s="862">
        <v>538345</v>
      </c>
      <c r="G20" s="760">
        <f t="shared" si="6"/>
        <v>68</v>
      </c>
      <c r="H20" s="760">
        <f t="shared" si="4"/>
        <v>169.8389</v>
      </c>
      <c r="I20" s="760">
        <f>C20*J1</f>
        <v>1686.1208000000001</v>
      </c>
      <c r="J20" s="760">
        <f>G20*J1</f>
        <v>109.48</v>
      </c>
      <c r="K20" s="935">
        <f t="shared" si="3"/>
        <v>1239.08</v>
      </c>
    </row>
    <row r="21" spans="1:11" s="475" customFormat="1" ht="41.25" customHeight="1">
      <c r="A21" s="797">
        <v>15</v>
      </c>
      <c r="B21" s="113">
        <v>7448574</v>
      </c>
      <c r="C21" s="760">
        <f t="shared" si="5"/>
        <v>868.1400000000001</v>
      </c>
      <c r="D21" s="862">
        <v>158534</v>
      </c>
      <c r="E21" s="760">
        <f t="shared" si="2"/>
        <v>338.79999999999995</v>
      </c>
      <c r="F21" s="862">
        <v>538410</v>
      </c>
      <c r="G21" s="760">
        <f>IF(F21&gt;=F20,F21-F20,0)</f>
        <v>65</v>
      </c>
      <c r="H21" s="760">
        <f t="shared" si="4"/>
        <v>300.00740000000002</v>
      </c>
      <c r="I21" s="760">
        <f>C21*J1</f>
        <v>1397.7054000000003</v>
      </c>
      <c r="J21" s="760">
        <f>G21*J1</f>
        <v>104.65</v>
      </c>
      <c r="K21" s="935">
        <f t="shared" si="3"/>
        <v>1206.94</v>
      </c>
    </row>
    <row r="22" spans="1:11" s="475" customFormat="1" ht="41.25" customHeight="1">
      <c r="A22" s="797">
        <v>16</v>
      </c>
      <c r="B22" s="864">
        <v>7449620</v>
      </c>
      <c r="C22" s="760">
        <f t="shared" si="5"/>
        <v>1108.76</v>
      </c>
      <c r="D22" s="862">
        <v>158851</v>
      </c>
      <c r="E22" s="760">
        <f t="shared" si="2"/>
        <v>221.89999999999998</v>
      </c>
      <c r="F22" s="862">
        <v>538457</v>
      </c>
      <c r="G22" s="760">
        <f>IF(F22&gt;=F21,F22-F21,0)</f>
        <v>47</v>
      </c>
      <c r="H22" s="760">
        <f t="shared" si="4"/>
        <v>196.49245000000002</v>
      </c>
      <c r="I22" s="760">
        <f>C22*J1</f>
        <v>1785.1036000000001</v>
      </c>
      <c r="J22" s="760">
        <f>G22*J1</f>
        <v>75.67</v>
      </c>
      <c r="K22" s="935">
        <f t="shared" si="3"/>
        <v>1330.6599999999999</v>
      </c>
    </row>
    <row r="23" spans="1:11" s="475" customFormat="1" ht="41.25" customHeight="1">
      <c r="A23" s="797">
        <v>17</v>
      </c>
      <c r="B23" s="113">
        <v>7450699</v>
      </c>
      <c r="C23" s="760">
        <f t="shared" si="5"/>
        <v>1143.74</v>
      </c>
      <c r="D23" s="862">
        <v>159279</v>
      </c>
      <c r="E23" s="760">
        <f t="shared" si="2"/>
        <v>299.59999999999997</v>
      </c>
      <c r="F23" s="862">
        <v>538522</v>
      </c>
      <c r="G23" s="760">
        <f>IF(F23&gt;=F22,F23-F22,0)</f>
        <v>65</v>
      </c>
      <c r="H23" s="760">
        <f t="shared" si="4"/>
        <v>265.29580000000004</v>
      </c>
      <c r="I23" s="760">
        <f>C23*J1</f>
        <v>1841.4214000000002</v>
      </c>
      <c r="J23" s="760">
        <f>G23*J1</f>
        <v>104.65</v>
      </c>
      <c r="K23" s="935">
        <f t="shared" si="3"/>
        <v>1443.34</v>
      </c>
    </row>
    <row r="24" spans="1:11" s="475" customFormat="1" ht="41.25" customHeight="1">
      <c r="A24" s="797">
        <v>18</v>
      </c>
      <c r="B24" s="113">
        <v>7452005</v>
      </c>
      <c r="C24" s="760">
        <f t="shared" si="5"/>
        <v>1384.3600000000001</v>
      </c>
      <c r="D24" s="862">
        <v>159476</v>
      </c>
      <c r="E24" s="760">
        <f t="shared" si="2"/>
        <v>137.89999999999998</v>
      </c>
      <c r="F24" s="862">
        <v>538619</v>
      </c>
      <c r="G24" s="760">
        <f t="shared" si="6"/>
        <v>97</v>
      </c>
      <c r="H24" s="760">
        <f t="shared" si="4"/>
        <v>122.11045</v>
      </c>
      <c r="I24" s="760">
        <f>C24*J1</f>
        <v>2228.8196000000003</v>
      </c>
      <c r="J24" s="760">
        <f>G24*J1</f>
        <v>156.17000000000002</v>
      </c>
      <c r="K24" s="935">
        <f t="shared" si="3"/>
        <v>1522.2600000000002</v>
      </c>
    </row>
    <row r="25" spans="1:11" s="475" customFormat="1" ht="41.25" customHeight="1">
      <c r="A25" s="797">
        <v>19</v>
      </c>
      <c r="B25" s="113">
        <v>7452814</v>
      </c>
      <c r="C25" s="760">
        <f t="shared" si="5"/>
        <v>857.54000000000008</v>
      </c>
      <c r="D25" s="862">
        <v>159808</v>
      </c>
      <c r="E25" s="760">
        <f t="shared" si="2"/>
        <v>232.39999999999998</v>
      </c>
      <c r="F25" s="862">
        <v>538702</v>
      </c>
      <c r="G25" s="760">
        <f t="shared" si="6"/>
        <v>83</v>
      </c>
      <c r="H25" s="760">
        <f t="shared" si="4"/>
        <v>205.7902</v>
      </c>
      <c r="I25" s="760">
        <f>C25*J1</f>
        <v>1380.6394000000003</v>
      </c>
      <c r="J25" s="760">
        <f>G25*J1</f>
        <v>133.63</v>
      </c>
      <c r="K25" s="935">
        <f t="shared" si="3"/>
        <v>1089.94</v>
      </c>
    </row>
    <row r="26" spans="1:11" s="475" customFormat="1" ht="41.25" customHeight="1">
      <c r="A26" s="797">
        <v>20</v>
      </c>
      <c r="B26" s="113">
        <v>7453982</v>
      </c>
      <c r="C26" s="760">
        <f t="shared" si="5"/>
        <v>1238.0800000000002</v>
      </c>
      <c r="D26" s="862">
        <v>160167</v>
      </c>
      <c r="E26" s="760">
        <f t="shared" si="2"/>
        <v>251.29999999999998</v>
      </c>
      <c r="F26" s="862">
        <v>538824</v>
      </c>
      <c r="G26" s="760">
        <f t="shared" si="6"/>
        <v>122</v>
      </c>
      <c r="H26" s="760">
        <f t="shared" si="4"/>
        <v>222.52615000000003</v>
      </c>
      <c r="I26" s="760">
        <f>C26*J1</f>
        <v>1993.3088000000005</v>
      </c>
      <c r="J26" s="760">
        <f>G26*J1</f>
        <v>196.42000000000002</v>
      </c>
      <c r="K26" s="935">
        <f t="shared" si="3"/>
        <v>1489.38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21527.540000000005</v>
      </c>
      <c r="D38" s="865"/>
      <c r="E38" s="866">
        <f>SUM(E7:E37)</f>
        <v>4116.7</v>
      </c>
      <c r="F38" s="865"/>
      <c r="G38" s="866">
        <f>SUM(G7:G37)</f>
        <v>1942</v>
      </c>
      <c r="H38" s="867">
        <f>SUM(H6:H37)</f>
        <v>3645.3378500000008</v>
      </c>
      <c r="I38" s="867">
        <f>SUM(I6:I37)</f>
        <v>34659.339399999997</v>
      </c>
      <c r="J38" s="867">
        <f>SUM(J6:J37)</f>
        <v>3126.6200000000008</v>
      </c>
      <c r="K38" s="936">
        <f>SUM(K6:K37)</f>
        <v>25644.239999999998</v>
      </c>
    </row>
    <row r="39" spans="1:14" s="602" customFormat="1" ht="41.25" customHeight="1" thickBot="1">
      <c r="A39" s="800" t="s">
        <v>331</v>
      </c>
      <c r="B39" s="868"/>
      <c r="C39" s="869">
        <f>C38/A51</f>
        <v>1076.3770000000002</v>
      </c>
      <c r="D39" s="868"/>
      <c r="E39" s="869">
        <f>E38/A51</f>
        <v>205.83499999999998</v>
      </c>
      <c r="F39" s="868"/>
      <c r="G39" s="869">
        <f>G38/A51</f>
        <v>97.1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20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44" t="str">
        <f>Elect!A1</f>
        <v>September</v>
      </c>
      <c r="B1" s="177"/>
      <c r="C1" s="177"/>
      <c r="H1" s="143"/>
      <c r="I1" s="144"/>
      <c r="J1" s="145"/>
      <c r="K1" s="145"/>
      <c r="L1" s="1046" t="s">
        <v>144</v>
      </c>
      <c r="M1" s="1046"/>
      <c r="N1" s="1046"/>
      <c r="P1" s="1047" t="str">
        <f>Elect!A1</f>
        <v>September</v>
      </c>
      <c r="Q1" s="1047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45"/>
      <c r="B2" s="1035" t="s">
        <v>131</v>
      </c>
      <c r="C2" s="1036"/>
      <c r="D2" s="1036"/>
      <c r="E2" s="1036"/>
      <c r="F2" s="1036"/>
      <c r="G2" s="1037"/>
      <c r="H2" s="1035" t="s">
        <v>11</v>
      </c>
      <c r="I2" s="1036"/>
      <c r="J2" s="1036"/>
      <c r="K2" s="1036"/>
      <c r="L2" s="1036"/>
      <c r="M2" s="1036"/>
      <c r="N2" s="1036"/>
      <c r="O2" s="1036"/>
      <c r="P2" s="1037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72" t="s">
        <v>56</v>
      </c>
      <c r="AH2" s="1073"/>
      <c r="AI2" s="1073"/>
      <c r="AJ2" s="395" t="s">
        <v>50</v>
      </c>
      <c r="AK2" s="1074" t="s">
        <v>58</v>
      </c>
      <c r="AL2" s="1068" t="s">
        <v>65</v>
      </c>
      <c r="AM2" s="1068" t="s">
        <v>64</v>
      </c>
      <c r="AN2" s="1070" t="s">
        <v>120</v>
      </c>
      <c r="AO2" s="1058" t="s">
        <v>45</v>
      </c>
      <c r="AP2" s="1060" t="s">
        <v>51</v>
      </c>
      <c r="AQ2" s="1062" t="s">
        <v>66</v>
      </c>
      <c r="AR2" s="1064" t="s">
        <v>44</v>
      </c>
      <c r="AS2" s="1066" t="s">
        <v>51</v>
      </c>
      <c r="AT2" s="1056" t="s">
        <v>269</v>
      </c>
      <c r="AU2" s="1057"/>
      <c r="AV2" s="1035" t="s">
        <v>132</v>
      </c>
      <c r="AW2" s="1036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48" t="s">
        <v>5</v>
      </c>
      <c r="C3" s="1049"/>
      <c r="D3" s="1050" t="s">
        <v>2</v>
      </c>
      <c r="E3" s="1051"/>
      <c r="F3" s="1033" t="s">
        <v>3</v>
      </c>
      <c r="G3" s="1034"/>
      <c r="H3" s="1033" t="s">
        <v>17</v>
      </c>
      <c r="I3" s="1034"/>
      <c r="J3" s="1038" t="s">
        <v>18</v>
      </c>
      <c r="K3" s="1039"/>
      <c r="L3" s="1040" t="s">
        <v>19</v>
      </c>
      <c r="M3" s="1041"/>
      <c r="N3" s="161" t="s">
        <v>272</v>
      </c>
      <c r="O3" s="1042" t="s">
        <v>20</v>
      </c>
      <c r="P3" s="1043"/>
      <c r="Q3" s="1042" t="s">
        <v>114</v>
      </c>
      <c r="R3" s="1043"/>
      <c r="S3" s="1052" t="s">
        <v>121</v>
      </c>
      <c r="T3" s="1053"/>
      <c r="U3" s="1052" t="s">
        <v>122</v>
      </c>
      <c r="V3" s="1053"/>
      <c r="W3" s="1054" t="s">
        <v>123</v>
      </c>
      <c r="X3" s="1055"/>
      <c r="Y3" s="1052" t="s">
        <v>13</v>
      </c>
      <c r="Z3" s="1053"/>
      <c r="AA3" s="1054" t="s">
        <v>12</v>
      </c>
      <c r="AB3" s="1055"/>
      <c r="AC3" s="1052" t="s">
        <v>124</v>
      </c>
      <c r="AD3" s="1053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75"/>
      <c r="AL3" s="1069"/>
      <c r="AM3" s="1069"/>
      <c r="AN3" s="1071"/>
      <c r="AO3" s="1059"/>
      <c r="AP3" s="1061"/>
      <c r="AQ3" s="1063"/>
      <c r="AR3" s="1065"/>
      <c r="AS3" s="1067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6636</v>
      </c>
      <c r="D5" s="512">
        <f>[3]Consp!$E$6</f>
        <v>0</v>
      </c>
      <c r="E5" s="511">
        <f>Elect!M6</f>
        <v>2197</v>
      </c>
      <c r="F5" s="512">
        <f>[3]Consp!G6</f>
        <v>20</v>
      </c>
      <c r="G5" s="511">
        <f>Elect!O6</f>
        <v>1839</v>
      </c>
      <c r="H5" s="512">
        <f>[3]Consp!I6</f>
        <v>800</v>
      </c>
      <c r="I5" s="511">
        <f>Water!C7</f>
        <v>156.6</v>
      </c>
      <c r="J5" s="512">
        <f>[4]Consp!$K$6</f>
        <v>0</v>
      </c>
      <c r="K5" s="511">
        <f>Water!E7</f>
        <v>475.59999999999997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635.09999999999991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368.35799999999995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1545.48</v>
      </c>
      <c r="AI5" s="516" t="e">
        <f>Gas!#REF!</f>
        <v>#REF!</v>
      </c>
      <c r="AJ5" s="517">
        <f>Gas!J7</f>
        <v>199.64000000000001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168</v>
      </c>
      <c r="AU5" s="511">
        <f>Elect!BI6</f>
        <v>106</v>
      </c>
      <c r="AV5" s="511" t="e">
        <f>Elect!#REF!</f>
        <v>#REF!</v>
      </c>
      <c r="AW5" s="511">
        <f>Elect!BK6</f>
        <v>168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3.5480446927374296</v>
      </c>
      <c r="BN5" s="528" t="e">
        <f>Water!W7</f>
        <v>#DIV/0!</v>
      </c>
      <c r="BO5" s="523">
        <f>Water!X7</f>
        <v>2540.3999999999996</v>
      </c>
      <c r="BP5" s="528">
        <f>Water!Y7</f>
        <v>14.192178770949718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7526</v>
      </c>
      <c r="D6" s="512">
        <f>[3]Consp!$E$6</f>
        <v>0</v>
      </c>
      <c r="E6" s="511">
        <f>Elect!M7</f>
        <v>1929</v>
      </c>
      <c r="F6" s="512">
        <f>[3]Consp!G7</f>
        <v>20</v>
      </c>
      <c r="G6" s="511">
        <f>Elect!O7</f>
        <v>1569</v>
      </c>
      <c r="H6" s="512">
        <f>[3]Consp!I7</f>
        <v>936</v>
      </c>
      <c r="I6" s="511">
        <f>Water!C8</f>
        <v>249.39999999999998</v>
      </c>
      <c r="J6" s="512">
        <f>[4]Consp!$K$6</f>
        <v>0</v>
      </c>
      <c r="K6" s="511">
        <f>Water!E8</f>
        <v>313.2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564.91999999999996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327.65359999999993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7435131</v>
      </c>
      <c r="AH6" s="515">
        <f>Gas!C8</f>
        <v>976.2600000000001</v>
      </c>
      <c r="AI6" s="516" t="e">
        <f>Gas!#REF!</f>
        <v>#REF!</v>
      </c>
      <c r="AJ6" s="517">
        <f>Gas!J8</f>
        <v>255.99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99</v>
      </c>
      <c r="AU6" s="511">
        <f>Elect!BI7</f>
        <v>87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354850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3.3427218934911238</v>
      </c>
      <c r="BN6" s="528" t="e">
        <f>Water!W8</f>
        <v>#DIV/0!</v>
      </c>
      <c r="BO6" s="523">
        <f>Water!X8</f>
        <v>2259.6799999999998</v>
      </c>
      <c r="BP6" s="528">
        <f>Water!Y8</f>
        <v>13.370887573964495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4851</v>
      </c>
      <c r="D7" s="512">
        <f>[3]Consp!$E$6</f>
        <v>0</v>
      </c>
      <c r="E7" s="511">
        <f>Elect!M8</f>
        <v>2992</v>
      </c>
      <c r="F7" s="512">
        <f>[3]Consp!G8</f>
        <v>20</v>
      </c>
      <c r="G7" s="511">
        <f>Elect!O8</f>
        <v>2333</v>
      </c>
      <c r="H7" s="512">
        <f>[3]Consp!I8</f>
        <v>685</v>
      </c>
      <c r="I7" s="511">
        <f>Water!C9</f>
        <v>243.6</v>
      </c>
      <c r="J7" s="512">
        <f>[4]Consp!$K$6</f>
        <v>0</v>
      </c>
      <c r="K7" s="511">
        <f>Water!E9</f>
        <v>330.59999999999997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576.52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334.38159999999999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7436941</v>
      </c>
      <c r="AH7" s="515">
        <f>Gas!C9</f>
        <v>942.34</v>
      </c>
      <c r="AI7" s="516" t="e">
        <f>Gas!#REF!</f>
        <v>#REF!</v>
      </c>
      <c r="AJ7" s="517">
        <f>Gas!J9</f>
        <v>177.10000000000002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230</v>
      </c>
      <c r="AU7" s="511">
        <f>Elect!BI8</f>
        <v>114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355080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3.2388764044943819</v>
      </c>
      <c r="BN7" s="528" t="e">
        <f>Water!W9</f>
        <v>#DIV/0!</v>
      </c>
      <c r="BO7" s="523">
        <f>Water!X9</f>
        <v>2306.08</v>
      </c>
      <c r="BP7" s="528">
        <f>Water!Y9</f>
        <v>12.955505617977527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6474</v>
      </c>
      <c r="D8" s="512">
        <f>[3]Consp!$E$6</f>
        <v>0</v>
      </c>
      <c r="E8" s="511">
        <f>Elect!M9</f>
        <v>2281</v>
      </c>
      <c r="F8" s="512">
        <f>[3]Consp!G9</f>
        <v>20</v>
      </c>
      <c r="G8" s="511">
        <f>Elect!O9</f>
        <v>1861</v>
      </c>
      <c r="H8" s="512">
        <f>[3]Consp!I9</f>
        <v>786</v>
      </c>
      <c r="I8" s="511">
        <f>Water!C10</f>
        <v>272.59999999999997</v>
      </c>
      <c r="J8" s="512">
        <f>[4]Consp!$K$6</f>
        <v>0</v>
      </c>
      <c r="K8" s="511">
        <f>Water!E10</f>
        <v>290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563.75999999999988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326.98079999999993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7437956</v>
      </c>
      <c r="AH8" s="515">
        <f>Gas!C10</f>
        <v>1075.9000000000001</v>
      </c>
      <c r="AI8" s="516" t="e">
        <f>Gas!#REF!</f>
        <v>#REF!</v>
      </c>
      <c r="AJ8" s="517">
        <f>Gas!J10</f>
        <v>170.66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164</v>
      </c>
      <c r="AU8" s="511">
        <f>Elect!BI9</f>
        <v>103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355244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2.951623036649214</v>
      </c>
      <c r="BN8" s="528" t="e">
        <f>Water!W10</f>
        <v>#DIV/0!</v>
      </c>
      <c r="BO8" s="523">
        <f>Water!X10</f>
        <v>2255.0399999999995</v>
      </c>
      <c r="BP8" s="528">
        <f>Water!Y10</f>
        <v>11.806492146596856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6124</v>
      </c>
      <c r="D9" s="512">
        <f>[3]Consp!$E$6</f>
        <v>0</v>
      </c>
      <c r="E9" s="511">
        <f>Elect!M10</f>
        <v>2221</v>
      </c>
      <c r="F9" s="512">
        <f>[3]Consp!G10</f>
        <v>20</v>
      </c>
      <c r="G9" s="511">
        <f>Elect!O10</f>
        <v>1790</v>
      </c>
      <c r="H9" s="512">
        <f>[3]Consp!I10</f>
        <v>789</v>
      </c>
      <c r="I9" s="511">
        <f>Water!C11</f>
        <v>226.2</v>
      </c>
      <c r="J9" s="512">
        <f>[4]Consp!$K$6</f>
        <v>0</v>
      </c>
      <c r="K9" s="511">
        <f>Water!E11</f>
        <v>348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580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336.4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7438782</v>
      </c>
      <c r="AH9" s="515">
        <f>Gas!C11</f>
        <v>875.56000000000006</v>
      </c>
      <c r="AI9" s="516" t="e">
        <f>Gas!#REF!</f>
        <v>#REF!</v>
      </c>
      <c r="AJ9" s="517">
        <f>Gas!J11</f>
        <v>193.20000000000002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178</v>
      </c>
      <c r="AU9" s="511">
        <f>Elect!BI10</f>
        <v>117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355422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3.3142857142857145</v>
      </c>
      <c r="BN9" s="528" t="e">
        <f>Water!W11</f>
        <v>#DIV/0!</v>
      </c>
      <c r="BO9" s="523">
        <f>Water!X11</f>
        <v>2320</v>
      </c>
      <c r="BP9" s="528">
        <f>Water!Y11</f>
        <v>13.257142857142858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6203</v>
      </c>
      <c r="D10" s="512">
        <f>[3]Consp!$E$6</f>
        <v>0</v>
      </c>
      <c r="E10" s="511">
        <f>Elect!M11</f>
        <v>2174</v>
      </c>
      <c r="F10" s="512">
        <f>[3]Consp!G11</f>
        <v>20</v>
      </c>
      <c r="G10" s="511">
        <f>Elect!O11</f>
        <v>1684</v>
      </c>
      <c r="H10" s="512">
        <f>[3]Consp!I11</f>
        <v>805</v>
      </c>
      <c r="I10" s="511">
        <f>Water!C12</f>
        <v>208.79999999999998</v>
      </c>
      <c r="J10" s="512">
        <f>[4]Consp!$K$6</f>
        <v>0</v>
      </c>
      <c r="K10" s="511">
        <f>Water!E12</f>
        <v>342.2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556.79999999999995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322.94399999999996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7439712</v>
      </c>
      <c r="AH10" s="515">
        <f>Gas!C12</f>
        <v>985.80000000000007</v>
      </c>
      <c r="AI10" s="516" t="e">
        <f>Gas!#REF!</f>
        <v>#REF!</v>
      </c>
      <c r="AJ10" s="517">
        <f>Gas!J12</f>
        <v>214.13000000000002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153</v>
      </c>
      <c r="AU10" s="511">
        <f>Elect!BI11</f>
        <v>96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355575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3.0593406593406591</v>
      </c>
      <c r="BN10" s="528" t="e">
        <f>Water!W12</f>
        <v>#DIV/0!</v>
      </c>
      <c r="BO10" s="523">
        <f>Water!X12</f>
        <v>2227.1999999999998</v>
      </c>
      <c r="BP10" s="528">
        <f>Water!Y12</f>
        <v>12.237362637362637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6233</v>
      </c>
      <c r="D11" s="512">
        <f>[3]Consp!$E$6</f>
        <v>0</v>
      </c>
      <c r="E11" s="511">
        <f>Elect!M12</f>
        <v>2153</v>
      </c>
      <c r="F11" s="512">
        <f>[3]Consp!G12</f>
        <v>20</v>
      </c>
      <c r="G11" s="511">
        <f>Elect!O12</f>
        <v>1683</v>
      </c>
      <c r="H11" s="512">
        <f>[3]Consp!I12</f>
        <v>871</v>
      </c>
      <c r="I11" s="511">
        <f>Water!C13</f>
        <v>243.6</v>
      </c>
      <c r="J11" s="512">
        <f>[4]Consp!$K$6</f>
        <v>0</v>
      </c>
      <c r="K11" s="511">
        <f>Water!E13</f>
        <v>348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596.82000000000005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346.15559999999999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7440795</v>
      </c>
      <c r="AH11" s="515">
        <f>Gas!C13</f>
        <v>1147.98</v>
      </c>
      <c r="AI11" s="516" t="e">
        <f>Gas!#REF!</f>
        <v>#REF!</v>
      </c>
      <c r="AJ11" s="517">
        <f>Gas!J13</f>
        <v>135.24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160</v>
      </c>
      <c r="AU11" s="511">
        <f>Elect!BI12</f>
        <v>103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355735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3.315666666666667</v>
      </c>
      <c r="BN11" s="528" t="e">
        <f>Water!W13</f>
        <v>#DIV/0!</v>
      </c>
      <c r="BO11" s="523">
        <f>Water!X13</f>
        <v>2387.2800000000002</v>
      </c>
      <c r="BP11" s="528">
        <f>Water!Y13</f>
        <v>13.262666666666668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6577</v>
      </c>
      <c r="D12" s="512">
        <f>[3]Consp!$E$6</f>
        <v>0</v>
      </c>
      <c r="E12" s="511">
        <f>Elect!M13</f>
        <v>2329</v>
      </c>
      <c r="F12" s="512">
        <f>[3]Consp!G13</f>
        <v>20</v>
      </c>
      <c r="G12" s="511">
        <f>Elect!O13</f>
        <v>1911</v>
      </c>
      <c r="H12" s="512">
        <f>[3]Consp!I13</f>
        <v>963</v>
      </c>
      <c r="I12" s="511">
        <f>Water!C14</f>
        <v>179.79999999999998</v>
      </c>
      <c r="J12" s="512">
        <f>[4]Consp!$K$6</f>
        <v>0</v>
      </c>
      <c r="K12" s="511">
        <f>Water!E14</f>
        <v>365.4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552.16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320.25279999999998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7441677</v>
      </c>
      <c r="AH12" s="515">
        <f>Gas!C14</f>
        <v>934.92000000000007</v>
      </c>
      <c r="AI12" s="516" t="e">
        <f>Gas!#REF!</f>
        <v>#REF!</v>
      </c>
      <c r="AJ12" s="517">
        <f>Gas!J14</f>
        <v>181.93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161</v>
      </c>
      <c r="AU12" s="511">
        <f>Elect!BI13</f>
        <v>102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355896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2.6674396135265699</v>
      </c>
      <c r="BN12" s="528" t="e">
        <f>Water!W14</f>
        <v>#DIV/0!</v>
      </c>
      <c r="BO12" s="523">
        <f>Water!X14</f>
        <v>2208.64</v>
      </c>
      <c r="BP12" s="528">
        <f>Water!Y14</f>
        <v>10.66975845410628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6458</v>
      </c>
      <c r="D13" s="512">
        <f>[3]Consp!$E$6</f>
        <v>0</v>
      </c>
      <c r="E13" s="511">
        <f>Elect!M14</f>
        <v>2313</v>
      </c>
      <c r="F13" s="512">
        <f>[3]Consp!G14</f>
        <v>20</v>
      </c>
      <c r="G13" s="511">
        <f>Elect!O14</f>
        <v>1905</v>
      </c>
      <c r="H13" s="512">
        <f>[3]Consp!I14</f>
        <v>790</v>
      </c>
      <c r="I13" s="511">
        <f>Water!C15</f>
        <v>255.2</v>
      </c>
      <c r="J13" s="512">
        <f>[4]Consp!$K$6</f>
        <v>0</v>
      </c>
      <c r="K13" s="511">
        <f>Water!E15</f>
        <v>371.2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632.78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367.01239999999996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7443046</v>
      </c>
      <c r="AH13" s="515">
        <f>Gas!C15</f>
        <v>1451.14</v>
      </c>
      <c r="AI13" s="516" t="e">
        <f>Gas!#REF!</f>
        <v>#REF!</v>
      </c>
      <c r="AJ13" s="517">
        <f>Gas!J15</f>
        <v>241.50000000000003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176</v>
      </c>
      <c r="AU13" s="511">
        <f>Elect!BI14</f>
        <v>116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356072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3.7222352941176471</v>
      </c>
      <c r="BN13" s="528" t="e">
        <f>Water!W15</f>
        <v>#DIV/0!</v>
      </c>
      <c r="BO13" s="523">
        <f>Water!X15</f>
        <v>2531.12</v>
      </c>
      <c r="BP13" s="528">
        <f>Water!Y15</f>
        <v>14.888941176470588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6224</v>
      </c>
      <c r="D14" s="512">
        <f>[3]Consp!$E$6</f>
        <v>0</v>
      </c>
      <c r="E14" s="511">
        <f>Elect!M15</f>
        <v>1980</v>
      </c>
      <c r="F14" s="512">
        <f>[3]Consp!G15</f>
        <v>20</v>
      </c>
      <c r="G14" s="511">
        <f>Elect!O15</f>
        <v>1636</v>
      </c>
      <c r="H14" s="512">
        <f>[3]Consp!I15</f>
        <v>792</v>
      </c>
      <c r="I14" s="511">
        <f>Water!C16</f>
        <v>231.99999999999997</v>
      </c>
      <c r="J14" s="512">
        <f>[4]Consp!$K$6</f>
        <v>0</v>
      </c>
      <c r="K14" s="511">
        <f>Water!E16</f>
        <v>307.39999999999998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544.04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315.54319999999996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7443810</v>
      </c>
      <c r="AH14" s="515">
        <f>Gas!C16</f>
        <v>809.84</v>
      </c>
      <c r="AI14" s="516" t="e">
        <f>Gas!#REF!</f>
        <v>#REF!</v>
      </c>
      <c r="AJ14" s="517">
        <f>Gas!J16</f>
        <v>165.83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143</v>
      </c>
      <c r="AU14" s="511">
        <f>Elect!BI15</f>
        <v>91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356215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3.7519999999999998</v>
      </c>
      <c r="BN14" s="528" t="e">
        <f>Water!W16</f>
        <v>#DIV/0!</v>
      </c>
      <c r="BO14" s="523">
        <f>Water!X16</f>
        <v>2176.16</v>
      </c>
      <c r="BP14" s="528">
        <f>Water!Y16</f>
        <v>15.007999999999999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6714</v>
      </c>
      <c r="D15" s="512">
        <f>[3]Consp!$E$6</f>
        <v>0</v>
      </c>
      <c r="E15" s="511">
        <f>Elect!M16</f>
        <v>2357</v>
      </c>
      <c r="F15" s="512">
        <f>[3]Consp!G16</f>
        <v>20</v>
      </c>
      <c r="G15" s="511">
        <f>Elect!O16</f>
        <v>1995</v>
      </c>
      <c r="H15" s="512">
        <f>[3]Consp!I16</f>
        <v>817</v>
      </c>
      <c r="I15" s="511">
        <f>Water!C17</f>
        <v>197.2</v>
      </c>
      <c r="J15" s="512">
        <f>[4]Consp!$K$6</f>
        <v>0</v>
      </c>
      <c r="K15" s="511">
        <f>Water!E17</f>
        <v>382.79999999999995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586.96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340.43680000000001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868.1400000000001</v>
      </c>
      <c r="AI15" s="516" t="e">
        <f>Gas!#REF!</f>
        <v>#REF!</v>
      </c>
      <c r="AJ15" s="517">
        <f>Gas!J17</f>
        <v>101.43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168</v>
      </c>
      <c r="AU15" s="511">
        <f>Elect!BI16</f>
        <v>110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356383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3.6685000000000003</v>
      </c>
      <c r="BN15" s="528" t="e">
        <f>Water!W17</f>
        <v>#DIV/0!</v>
      </c>
      <c r="BO15" s="523">
        <f>Water!X17</f>
        <v>2347.84</v>
      </c>
      <c r="BP15" s="528">
        <f>Water!Y17</f>
        <v>14.674000000000001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5854</v>
      </c>
      <c r="D16" s="512">
        <f>[3]Consp!$E$6</f>
        <v>0</v>
      </c>
      <c r="E16" s="511">
        <f>Elect!M17</f>
        <v>2223</v>
      </c>
      <c r="F16" s="512">
        <f>[3]Consp!G17</f>
        <v>20</v>
      </c>
      <c r="G16" s="511">
        <f>Elect!O17</f>
        <v>1767</v>
      </c>
      <c r="H16" s="512">
        <f>[3]Consp!I17</f>
        <v>907</v>
      </c>
      <c r="I16" s="511">
        <f>Water!C18</f>
        <v>197.2</v>
      </c>
      <c r="J16" s="512">
        <f>[4]Consp!$K$6</f>
        <v>0</v>
      </c>
      <c r="K16" s="511">
        <f>Water!E18</f>
        <v>307.39999999999998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510.97999999999996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296.36839999999995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7445913</v>
      </c>
      <c r="AH16" s="515">
        <f>Gas!C18</f>
        <v>1361.04</v>
      </c>
      <c r="AI16" s="516" t="e">
        <f>Gas!#REF!</f>
        <v>#REF!</v>
      </c>
      <c r="AJ16" s="517">
        <f>Gas!J18</f>
        <v>111.09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144</v>
      </c>
      <c r="AU16" s="511">
        <f>Elect!BI17</f>
        <v>95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356527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3.0057647058823527</v>
      </c>
      <c r="BN16" s="528" t="e">
        <f>Water!W18</f>
        <v>#DIV/0!</v>
      </c>
      <c r="BO16" s="523">
        <f>Water!X18</f>
        <v>2043.9199999999998</v>
      </c>
      <c r="BP16" s="528">
        <f>Water!Y18</f>
        <v>12.023058823529411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6192</v>
      </c>
      <c r="D17" s="512">
        <f>[3]Consp!$E$6</f>
        <v>0</v>
      </c>
      <c r="E17" s="511">
        <f>Elect!M18</f>
        <v>2109</v>
      </c>
      <c r="F17" s="512">
        <f>[3]Consp!G18</f>
        <v>20</v>
      </c>
      <c r="G17" s="511">
        <f>Elect!O18</f>
        <v>1644</v>
      </c>
      <c r="H17" s="512">
        <f>[3]Consp!I18</f>
        <v>812</v>
      </c>
      <c r="I17" s="511">
        <f>Water!C19</f>
        <v>266.79999999999995</v>
      </c>
      <c r="J17" s="512">
        <f>[4]Consp!$K$6</f>
        <v>0</v>
      </c>
      <c r="K17" s="511">
        <f>Water!E19</f>
        <v>348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618.8599999999999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358.9387999999999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7446767</v>
      </c>
      <c r="AH17" s="515">
        <f>Gas!C19</f>
        <v>905.24</v>
      </c>
      <c r="AI17" s="516" t="e">
        <f>Gas!#REF!</f>
        <v>#REF!</v>
      </c>
      <c r="AJ17" s="517">
        <f>Gas!J19</f>
        <v>98.210000000000008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161</v>
      </c>
      <c r="AU17" s="511">
        <f>Elect!BI18</f>
        <v>107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356688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2.8129999999999997</v>
      </c>
      <c r="BN17" s="528" t="e">
        <f>Water!W19</f>
        <v>#DIV/0!</v>
      </c>
      <c r="BO17" s="523">
        <f>Water!X19</f>
        <v>2475.4399999999996</v>
      </c>
      <c r="BP17" s="528">
        <f>Water!Y19</f>
        <v>11.251999999999999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6441</v>
      </c>
      <c r="D18" s="512">
        <f>[3]Consp!$E$6</f>
        <v>0</v>
      </c>
      <c r="E18" s="511">
        <f>Elect!M19</f>
        <v>2159</v>
      </c>
      <c r="F18" s="512">
        <f>[3]Consp!G19</f>
        <v>30</v>
      </c>
      <c r="G18" s="511">
        <f>Elect!O19</f>
        <v>1713</v>
      </c>
      <c r="H18" s="512">
        <f>[3]Consp!I19</f>
        <v>810</v>
      </c>
      <c r="I18" s="511">
        <f>Water!C20</f>
        <v>226.2</v>
      </c>
      <c r="J18" s="512">
        <f>[4]Consp!$K$6</f>
        <v>0</v>
      </c>
      <c r="K18" s="511">
        <f>Water!E20</f>
        <v>342.2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574.19999999999993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333.03599999999994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7447755</v>
      </c>
      <c r="AH18" s="515">
        <f>Gas!C20</f>
        <v>1047.28</v>
      </c>
      <c r="AI18" s="516" t="e">
        <f>Gas!#REF!</f>
        <v>#REF!</v>
      </c>
      <c r="AJ18" s="517">
        <f>Gas!J20</f>
        <v>109.48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183</v>
      </c>
      <c r="AU18" s="511">
        <f>Elect!BI19</f>
        <v>118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354751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2.4126050420168066</v>
      </c>
      <c r="BN18" s="528" t="e">
        <f>Water!W20</f>
        <v>#DIV/0!</v>
      </c>
      <c r="BO18" s="523">
        <f>Water!X20</f>
        <v>2296.7999999999997</v>
      </c>
      <c r="BP18" s="528">
        <f>Water!Y20</f>
        <v>9.6504201680672264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5923</v>
      </c>
      <c r="D19" s="512">
        <f>[3]Consp!$E$6</f>
        <v>0</v>
      </c>
      <c r="E19" s="511">
        <f>Elect!M20</f>
        <v>2201</v>
      </c>
      <c r="F19" s="512">
        <f>[3]Consp!G20</f>
        <v>20</v>
      </c>
      <c r="G19" s="511">
        <f>Elect!O20</f>
        <v>1885</v>
      </c>
      <c r="H19" s="512">
        <f>[3]Consp!I20</f>
        <v>841</v>
      </c>
      <c r="I19" s="511">
        <f>Water!C21</f>
        <v>150.79999999999998</v>
      </c>
      <c r="J19" s="512">
        <f>[4]Consp!$K$6</f>
        <v>0</v>
      </c>
      <c r="K19" s="511">
        <f>Water!E21</f>
        <v>348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508.07999999999993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294.68639999999994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7448574</v>
      </c>
      <c r="AH19" s="515">
        <f>Gas!C21</f>
        <v>868.1400000000001</v>
      </c>
      <c r="AI19" s="516" t="e">
        <f>Gas!#REF!</f>
        <v>#REF!</v>
      </c>
      <c r="AJ19" s="517">
        <f>Gas!J21</f>
        <v>104.65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151</v>
      </c>
      <c r="AU19" s="511">
        <f>Elect!BI20</f>
        <v>97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357022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2.1528813559322031</v>
      </c>
      <c r="BN19" s="528" t="e">
        <f>Water!W21</f>
        <v>#DIV/0!</v>
      </c>
      <c r="BO19" s="523">
        <f>Water!X21</f>
        <v>2032.3199999999997</v>
      </c>
      <c r="BP19" s="528">
        <f>Water!Y21</f>
        <v>8.6115254237288124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6399</v>
      </c>
      <c r="D20" s="512">
        <f>[3]Consp!$E$6</f>
        <v>0</v>
      </c>
      <c r="E20" s="511">
        <f>Elect!M21</f>
        <v>2191</v>
      </c>
      <c r="F20" s="512">
        <f>[3]Consp!G21</f>
        <v>20</v>
      </c>
      <c r="G20" s="511">
        <f>Elect!O21</f>
        <v>1868</v>
      </c>
      <c r="H20" s="512">
        <f>[3]Consp!I21</f>
        <v>932</v>
      </c>
      <c r="I20" s="511">
        <f>Water!C22</f>
        <v>226.2</v>
      </c>
      <c r="J20" s="512">
        <f>[4]Consp!$K$6</f>
        <v>0</v>
      </c>
      <c r="K20" s="511">
        <f>Water!E22</f>
        <v>382.79999999999995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615.38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356.92039999999997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7449620</v>
      </c>
      <c r="AH20" s="515">
        <f>Gas!C22</f>
        <v>1108.76</v>
      </c>
      <c r="AI20" s="516" t="e">
        <f>Gas!#REF!</f>
        <v>#REF!</v>
      </c>
      <c r="AJ20" s="517">
        <f>Gas!J22</f>
        <v>75.67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160</v>
      </c>
      <c r="AU20" s="511">
        <f>Elect!BI21</f>
        <v>96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357182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3.7986419753086418</v>
      </c>
      <c r="BN20" s="528" t="e">
        <f>Water!W22</f>
        <v>#DIV/0!</v>
      </c>
      <c r="BO20" s="523">
        <f>Water!X22</f>
        <v>2461.52</v>
      </c>
      <c r="BP20" s="528">
        <f>Water!Y22</f>
        <v>15.194567901234567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6302</v>
      </c>
      <c r="D21" s="512">
        <f>[3]Consp!$E$6</f>
        <v>0</v>
      </c>
      <c r="E21" s="511">
        <f>Elect!M22</f>
        <v>1576</v>
      </c>
      <c r="F21" s="512">
        <f>[3]Consp!G22</f>
        <v>20</v>
      </c>
      <c r="G21" s="511">
        <f>Elect!O22</f>
        <v>1369</v>
      </c>
      <c r="H21" s="512">
        <f>[3]Consp!I22</f>
        <v>972</v>
      </c>
      <c r="I21" s="511">
        <f>Water!C23</f>
        <v>220.39999999999998</v>
      </c>
      <c r="J21" s="512">
        <f>[4]Consp!$K$6</f>
        <v>0</v>
      </c>
      <c r="K21" s="511">
        <f>Water!E23</f>
        <v>377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603.78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350.19239999999996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7450699</v>
      </c>
      <c r="AH21" s="515">
        <f>Gas!C23</f>
        <v>1143.74</v>
      </c>
      <c r="AI21" s="516" t="e">
        <f>Gas!#REF!</f>
        <v>#REF!</v>
      </c>
      <c r="AJ21" s="517">
        <f>Gas!J23</f>
        <v>104.65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156</v>
      </c>
      <c r="AU21" s="511">
        <f>Elect!BI22</f>
        <v>88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357338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3.3920224719101122</v>
      </c>
      <c r="BN21" s="528" t="e">
        <f>Water!W23</f>
        <v>#DIV/0!</v>
      </c>
      <c r="BO21" s="523">
        <f>Water!X23</f>
        <v>2415.12</v>
      </c>
      <c r="BP21" s="528">
        <f>Water!Y23</f>
        <v>13.568089887640449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6617</v>
      </c>
      <c r="D22" s="512">
        <f>[3]Consp!$E$6</f>
        <v>0</v>
      </c>
      <c r="E22" s="511">
        <f>Elect!M23</f>
        <v>2291</v>
      </c>
      <c r="F22" s="512">
        <f>[3]Consp!G23</f>
        <v>20</v>
      </c>
      <c r="G22" s="511">
        <f>Elect!O23</f>
        <v>1819</v>
      </c>
      <c r="H22" s="512">
        <f>[3]Consp!I23</f>
        <v>864</v>
      </c>
      <c r="I22" s="511">
        <f>Water!C24</f>
        <v>278.39999999999998</v>
      </c>
      <c r="J22" s="512">
        <f>[4]Consp!$K$6</f>
        <v>0</v>
      </c>
      <c r="K22" s="511">
        <f>Water!E24</f>
        <v>481.4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767.92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445.39359999999994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7452005</v>
      </c>
      <c r="AH22" s="515">
        <f>Gas!C24</f>
        <v>1384.3600000000001</v>
      </c>
      <c r="AI22" s="516" t="e">
        <f>Gas!#REF!</f>
        <v>#REF!</v>
      </c>
      <c r="AJ22" s="517">
        <f>Gas!J24</f>
        <v>156.17000000000002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166</v>
      </c>
      <c r="AU22" s="511">
        <f>Elect!BI23</f>
        <v>102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357504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3.9179591836734691</v>
      </c>
      <c r="BN22" s="528" t="e">
        <f>Water!W24</f>
        <v>#DIV/0!</v>
      </c>
      <c r="BO22" s="523">
        <f>Water!X24</f>
        <v>3071.68</v>
      </c>
      <c r="BP22" s="528">
        <f>Water!Y24</f>
        <v>15.671836734693876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6322</v>
      </c>
      <c r="D23" s="512">
        <f>[3]Consp!$E$6</f>
        <v>0</v>
      </c>
      <c r="E23" s="511">
        <f>Elect!M24</f>
        <v>2238</v>
      </c>
      <c r="F23" s="512">
        <f>[3]Consp!G24</f>
        <v>30</v>
      </c>
      <c r="G23" s="511">
        <f>Elect!O24</f>
        <v>1774</v>
      </c>
      <c r="H23" s="512">
        <f>[3]Consp!I24</f>
        <v>894</v>
      </c>
      <c r="I23" s="511">
        <f>Water!C25</f>
        <v>150.79999999999998</v>
      </c>
      <c r="J23" s="512">
        <f>[4]Consp!$K$6</f>
        <v>0</v>
      </c>
      <c r="K23" s="511">
        <f>Water!E25</f>
        <v>377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532.43999999999994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308.81519999999995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7452814</v>
      </c>
      <c r="AH23" s="515">
        <f>Gas!C25</f>
        <v>857.54000000000008</v>
      </c>
      <c r="AI23" s="516" t="e">
        <f>Gas!#REF!</f>
        <v>#REF!</v>
      </c>
      <c r="AJ23" s="517">
        <f>Gas!J25</f>
        <v>133.63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162</v>
      </c>
      <c r="AU23" s="511">
        <f>Elect!BI24</f>
        <v>97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357666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2.1911111111111108</v>
      </c>
      <c r="BN23" s="528" t="e">
        <f>Water!W25</f>
        <v>#DIV/0!</v>
      </c>
      <c r="BO23" s="523">
        <f>Water!X25</f>
        <v>2129.7599999999998</v>
      </c>
      <c r="BP23" s="528">
        <f>Water!Y25</f>
        <v>8.7644444444444431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6115</v>
      </c>
      <c r="D24" s="512">
        <f>[3]Consp!$E$6</f>
        <v>0</v>
      </c>
      <c r="E24" s="511">
        <f>Elect!M25</f>
        <v>2168</v>
      </c>
      <c r="F24" s="512">
        <f>[3]Consp!G25</f>
        <v>20</v>
      </c>
      <c r="G24" s="511">
        <f>Elect!O25</f>
        <v>1731</v>
      </c>
      <c r="H24" s="512">
        <f>[3]Consp!I25</f>
        <v>944</v>
      </c>
      <c r="I24" s="511">
        <f>Water!C26</f>
        <v>295.79999999999995</v>
      </c>
      <c r="J24" s="512">
        <f>[4]Consp!$K$6</f>
        <v>0</v>
      </c>
      <c r="K24" s="511">
        <f>Water!E26</f>
        <v>429.2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732.54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424.87319999999994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7453982</v>
      </c>
      <c r="AH24" s="515">
        <f>Gas!C26</f>
        <v>1238.0800000000002</v>
      </c>
      <c r="AI24" s="516" t="e">
        <f>Gas!#REF!</f>
        <v>#REF!</v>
      </c>
      <c r="AJ24" s="517">
        <f>Gas!J26</f>
        <v>196.42000000000002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155</v>
      </c>
      <c r="AU24" s="511">
        <f>Elect!BI25</f>
        <v>94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357821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>
        <f>Water!U26</f>
        <v>3.0270247933884296</v>
      </c>
      <c r="BN24" s="528" t="e">
        <f>Water!W26</f>
        <v>#DIV/0!</v>
      </c>
      <c r="BO24" s="523">
        <f>Water!X26</f>
        <v>2930.16</v>
      </c>
      <c r="BP24" s="528">
        <f>Water!Y26</f>
        <v>12.108099173553718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4477.5999999999995</v>
      </c>
      <c r="J33" s="556">
        <f>[4]Consp!$K$6</f>
        <v>0</v>
      </c>
      <c r="K33" s="555">
        <f>Water!E39</f>
        <v>234.43225806451608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11854.04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6875.3431999999993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21527.540000000005</v>
      </c>
      <c r="AI33" s="560" t="e">
        <f>Gas!#REF!</f>
        <v>#REF!</v>
      </c>
      <c r="AJ33" s="561">
        <f>Gas!J38</f>
        <v>3126.6200000000008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3.1023397016487833</v>
      </c>
      <c r="BN33" s="572" t="e">
        <f>Water!W38</f>
        <v>#DIV/0!</v>
      </c>
      <c r="BO33" s="567">
        <f>Water!X38</f>
        <v>47416.160000000003</v>
      </c>
      <c r="BP33" s="572">
        <f>Water!Y38</f>
        <v>12.409358806595133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144.43870967741933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382.38838709677424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221.78526451612902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1076.3770000000002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3.1023397016487833</v>
      </c>
      <c r="BN34" s="572" t="e">
        <f>Water!W39</f>
        <v>#DIV/0!</v>
      </c>
      <c r="BO34" s="567">
        <f>Water!X39</f>
        <v>1529.553548387097</v>
      </c>
      <c r="BP34" s="572">
        <f>Water!Y39</f>
        <v>12.409358806595133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354583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V2:AW2"/>
    <mergeCell ref="AT2:AU2"/>
    <mergeCell ref="AO2:AO3"/>
    <mergeCell ref="AP2:AP3"/>
    <mergeCell ref="AQ2:AQ3"/>
    <mergeCell ref="AR2:AR3"/>
    <mergeCell ref="AS2:AS3"/>
    <mergeCell ref="AM2:AM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6" t="s">
        <v>30</v>
      </c>
      <c r="B4" s="1076"/>
      <c r="C4" s="1076"/>
      <c r="D4" s="1076"/>
      <c r="E4" s="1076"/>
      <c r="F4" s="1076"/>
      <c r="G4" s="111" t="str">
        <f>Elect!A1</f>
        <v>September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7"/>
      <c r="B3" s="1079" t="str">
        <f>Elect!A1</f>
        <v>September</v>
      </c>
      <c r="C3" s="1080"/>
      <c r="D3" s="1080"/>
      <c r="E3" s="1081"/>
    </row>
    <row r="4" spans="1:5" ht="14.25" customHeight="1" thickBot="1">
      <c r="A4" s="1078"/>
      <c r="B4" s="1082" t="s">
        <v>9</v>
      </c>
      <c r="C4" s="1083"/>
      <c r="D4" s="1084" t="s">
        <v>68</v>
      </c>
      <c r="E4" s="1085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11854.04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263528.03999999998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str">
        <f>[9]Sheet1!AO32</f>
        <v>N/A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47416.160000000003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1426026.95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>
        <f>[9]Sheet1!AO54</f>
        <v>243175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>
        <f>[9]Sheet1!AO55</f>
        <v>75064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September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54"/>
  <sheetViews>
    <sheetView view="pageBreakPreview" zoomScale="85" zoomScaleSheetLayoutView="85" workbookViewId="0">
      <selection activeCell="H21" sqref="H21"/>
    </sheetView>
  </sheetViews>
  <sheetFormatPr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September</v>
      </c>
      <c r="I6" s="832"/>
      <c r="J6" s="832"/>
      <c r="K6" s="832"/>
    </row>
    <row r="9" spans="2:13" ht="13.5" customHeight="1">
      <c r="B9" s="1092" t="s">
        <v>332</v>
      </c>
      <c r="C9" s="1093"/>
      <c r="D9" s="1093"/>
      <c r="E9" s="1093"/>
      <c r="F9" s="1093"/>
      <c r="G9" s="1093"/>
      <c r="H9" s="1093"/>
      <c r="I9" s="1093"/>
      <c r="J9" s="1093"/>
      <c r="K9" s="1093"/>
      <c r="L9" s="1093"/>
      <c r="M9" s="1093"/>
    </row>
    <row r="10" spans="2:13" ht="13.5" customHeight="1" thickBot="1">
      <c r="B10" s="1099"/>
      <c r="C10" s="1100"/>
      <c r="D10" s="1100"/>
      <c r="E10" s="1100"/>
      <c r="F10" s="1100"/>
      <c r="G10" s="1100"/>
      <c r="H10" s="1100"/>
      <c r="I10" s="1100"/>
      <c r="J10" s="1100"/>
      <c r="K10" s="1100"/>
      <c r="L10" s="1100"/>
      <c r="M10" s="1100"/>
    </row>
    <row r="11" spans="2:13" ht="16.5" thickBot="1">
      <c r="B11" s="1107" t="s">
        <v>333</v>
      </c>
      <c r="C11" s="1107"/>
      <c r="D11" s="1107" t="s">
        <v>334</v>
      </c>
      <c r="E11" s="1107"/>
      <c r="F11" s="1107" t="s">
        <v>335</v>
      </c>
      <c r="G11" s="1107"/>
      <c r="H11" s="1105" t="s">
        <v>336</v>
      </c>
      <c r="I11" s="1106"/>
      <c r="J11" s="1105" t="s">
        <v>337</v>
      </c>
      <c r="K11" s="1106"/>
      <c r="L11" s="1105" t="s">
        <v>355</v>
      </c>
      <c r="M11" s="1106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243684.99000000005</v>
      </c>
      <c r="C13" s="838">
        <f>(B13*1.15)+(2879*60*0.72)</f>
        <v>404610.53850000002</v>
      </c>
      <c r="D13" s="837">
        <f>Elect!J37</f>
        <v>126185</v>
      </c>
      <c r="E13" s="838">
        <f>(D13*1.15)+(573*60)+10000</f>
        <v>189492.75</v>
      </c>
      <c r="F13" s="837">
        <f>Elect!BC37</f>
        <v>327436.11000000004</v>
      </c>
      <c r="G13" s="838">
        <f>(F13*1.15)</f>
        <v>376551.52650000004</v>
      </c>
      <c r="H13" s="837">
        <f>Elect!Q37</f>
        <v>14310</v>
      </c>
      <c r="I13" s="838">
        <f>H13*1.6+1500</f>
        <v>24396</v>
      </c>
      <c r="J13" s="839">
        <f>B13+D13+F13+H13</f>
        <v>711616.10000000009</v>
      </c>
      <c r="K13" s="840">
        <f>G13+E13+C13+I13</f>
        <v>995050.81500000006</v>
      </c>
      <c r="L13" s="839">
        <f>B13+F13</f>
        <v>571121.10000000009</v>
      </c>
      <c r="M13" s="860">
        <f>C13+G13</f>
        <v>781162.06500000006</v>
      </c>
    </row>
    <row r="16" spans="2:13" ht="0.75" customHeight="1" thickBot="1"/>
    <row r="17" spans="4:11" ht="13.5" customHeight="1" thickBot="1">
      <c r="E17" s="1101" t="s">
        <v>340</v>
      </c>
      <c r="F17" s="1102"/>
      <c r="K17" s="840"/>
    </row>
    <row r="18" spans="4:11" ht="34.5" customHeight="1" thickBot="1">
      <c r="E18" s="1103"/>
      <c r="F18" s="1104"/>
    </row>
    <row r="19" spans="4:11" ht="13.5" thickBot="1">
      <c r="E19" s="841" t="s">
        <v>341</v>
      </c>
      <c r="F19" s="841" t="s">
        <v>339</v>
      </c>
    </row>
    <row r="20" spans="4:11" ht="13.5" thickBot="1">
      <c r="E20" s="1087">
        <f>Water!H38</f>
        <v>11854.04</v>
      </c>
      <c r="F20" s="1088">
        <f>E20*10</f>
        <v>118540.40000000001</v>
      </c>
    </row>
    <row r="21" spans="4:11" ht="13.5" thickBot="1">
      <c r="E21" s="1087"/>
      <c r="F21" s="1088"/>
    </row>
    <row r="23" spans="4:11" ht="13.5" thickBot="1"/>
    <row r="24" spans="4:11" ht="13.5" thickBot="1">
      <c r="E24" s="1086" t="s">
        <v>342</v>
      </c>
      <c r="F24" s="1086"/>
    </row>
    <row r="25" spans="4:11" ht="11.25" customHeight="1" thickBot="1">
      <c r="E25" s="1086"/>
      <c r="F25" s="1086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7">
        <f>Gas!C38</f>
        <v>21527.540000000005</v>
      </c>
      <c r="F27" s="1088">
        <f>E27*3.8</f>
        <v>81804.652000000016</v>
      </c>
    </row>
    <row r="28" spans="4:11" ht="13.5" thickBot="1">
      <c r="E28" s="1087"/>
      <c r="F28" s="1088"/>
    </row>
    <row r="30" spans="4:11" ht="13.5" thickBot="1"/>
    <row r="31" spans="4:11" ht="20.25">
      <c r="D31" s="1089" t="s">
        <v>343</v>
      </c>
      <c r="E31" s="1090"/>
      <c r="F31" s="1090"/>
      <c r="G31" s="1091"/>
      <c r="H31" s="843"/>
      <c r="I31" s="843"/>
    </row>
    <row r="32" spans="4:11" ht="21" thickBot="1">
      <c r="D32" s="1092"/>
      <c r="E32" s="1093"/>
      <c r="F32" s="1093"/>
      <c r="G32" s="1094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6"/>
      <c r="D34" s="850">
        <f>Gas!D6</f>
        <v>154286</v>
      </c>
      <c r="E34" s="850">
        <f>Gas!D36</f>
        <v>0</v>
      </c>
      <c r="F34" s="913">
        <f>Gas!E38</f>
        <v>4116.7</v>
      </c>
      <c r="G34" s="842">
        <f>F34*3.8</f>
        <v>15643.46</v>
      </c>
      <c r="H34" s="847"/>
      <c r="I34" s="847"/>
    </row>
    <row r="35" spans="3:9" ht="18.75" thickBot="1">
      <c r="D35" s="1098" t="s">
        <v>347</v>
      </c>
      <c r="E35" s="1098"/>
      <c r="F35" s="1098"/>
      <c r="G35" s="842">
        <f>G34</f>
        <v>15643.46</v>
      </c>
      <c r="H35" s="849"/>
      <c r="I35" s="849"/>
    </row>
    <row r="37" spans="3:9" ht="13.5" thickBot="1"/>
    <row r="38" spans="3:9" ht="20.25">
      <c r="D38" s="1089" t="s">
        <v>348</v>
      </c>
      <c r="E38" s="1090"/>
      <c r="F38" s="1090"/>
      <c r="G38" s="1091"/>
      <c r="H38" s="843"/>
      <c r="I38" s="843"/>
    </row>
    <row r="39" spans="3:9" ht="21" thickBot="1">
      <c r="D39" s="1092"/>
      <c r="E39" s="1093"/>
      <c r="F39" s="1093"/>
      <c r="G39" s="1094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59409</v>
      </c>
      <c r="E41" s="851">
        <f>Elect!V35</f>
        <v>0</v>
      </c>
      <c r="F41" s="852">
        <f>E41-D41</f>
        <v>-59409</v>
      </c>
      <c r="G41" s="840">
        <f>F41*1.15</f>
        <v>-68320.349999999991</v>
      </c>
      <c r="H41" s="853"/>
      <c r="I41" s="853"/>
    </row>
    <row r="42" spans="3:9" ht="13.5" thickBot="1">
      <c r="C42" s="846" t="s">
        <v>361</v>
      </c>
      <c r="D42" s="851">
        <f>Elect!X5</f>
        <v>115530</v>
      </c>
      <c r="E42" s="851">
        <f>Elect!X35</f>
        <v>0</v>
      </c>
      <c r="F42" s="852">
        <f>E42-D42</f>
        <v>-115530</v>
      </c>
      <c r="G42" s="840">
        <f>F42*1.15</f>
        <v>-132859.5</v>
      </c>
      <c r="H42" s="853"/>
      <c r="I42" s="853"/>
    </row>
    <row r="43" spans="3:9" ht="18.75" thickBot="1">
      <c r="D43" s="1095" t="s">
        <v>347</v>
      </c>
      <c r="E43" s="1096"/>
      <c r="F43" s="1097"/>
      <c r="G43" s="848">
        <f>G42+G41</f>
        <v>-201179.84999999998</v>
      </c>
      <c r="H43" s="849"/>
      <c r="I43" s="849"/>
    </row>
    <row r="44" spans="3:9">
      <c r="F44" s="854"/>
    </row>
    <row r="48" spans="3:9" ht="13.5" thickBot="1"/>
    <row r="49" spans="3:7">
      <c r="D49" s="1089" t="s">
        <v>378</v>
      </c>
      <c r="E49" s="1090"/>
      <c r="F49" s="1090"/>
      <c r="G49" s="1091"/>
    </row>
    <row r="50" spans="3:7" ht="13.5" thickBot="1">
      <c r="D50" s="1092"/>
      <c r="E50" s="1093"/>
      <c r="F50" s="1093"/>
      <c r="G50" s="1094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123.13</v>
      </c>
      <c r="E52" s="851">
        <f>Water!I37</f>
        <v>123.13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1630</v>
      </c>
      <c r="E53" s="851">
        <f>Water!K37</f>
        <v>1630</v>
      </c>
      <c r="F53" s="852">
        <f>E53-D53</f>
        <v>0</v>
      </c>
      <c r="G53" s="840">
        <f>F53*10</f>
        <v>0</v>
      </c>
    </row>
    <row r="54" spans="3:7" ht="18.75" thickBot="1">
      <c r="D54" s="1095" t="s">
        <v>347</v>
      </c>
      <c r="E54" s="1096"/>
      <c r="F54" s="1097"/>
      <c r="G54" s="848">
        <f>G52+G53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Joe El Khoury</cp:lastModifiedBy>
  <cp:lastPrinted>2016-08-18T17:18:40Z</cp:lastPrinted>
  <dcterms:created xsi:type="dcterms:W3CDTF">2007-10-20T05:06:40Z</dcterms:created>
  <dcterms:modified xsi:type="dcterms:W3CDTF">2019-09-25T12:57:12Z</dcterms:modified>
</cp:coreProperties>
</file>