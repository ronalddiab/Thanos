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.george\Documents\Old docs\HEP (EEG)\2023\Feb\"/>
    </mc:Choice>
  </mc:AlternateContent>
  <bookViews>
    <workbookView xWindow="-60" yWindow="-60" windowWidth="15480" windowHeight="11640" tabRatio="612"/>
  </bookViews>
  <sheets>
    <sheet name="TOTAL" sheetId="5" r:id="rId1"/>
    <sheet name="Submetering " sheetId="4" r:id="rId2"/>
    <sheet name="13 - Electrical Readings" sheetId="1" r:id="rId3"/>
    <sheet name="9 - Water Readings" sheetId="3" r:id="rId4"/>
    <sheet name="LPG" sheetId="6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5" l="1"/>
  <c r="E63" i="6" l="1"/>
  <c r="E64" i="6"/>
  <c r="F30" i="4" l="1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K30" i="5"/>
  <c r="G30" i="5" l="1"/>
  <c r="D62" i="6" l="1"/>
  <c r="C62" i="6"/>
  <c r="E62" i="6"/>
  <c r="E60" i="6"/>
  <c r="L62" i="3"/>
  <c r="K62" i="3"/>
  <c r="J62" i="3"/>
  <c r="I62" i="3"/>
  <c r="H62" i="3"/>
  <c r="G62" i="3"/>
  <c r="E62" i="3"/>
  <c r="D62" i="3"/>
  <c r="C62" i="3"/>
  <c r="M62" i="3"/>
  <c r="M60" i="3"/>
  <c r="F62" i="3"/>
  <c r="N62" i="3" s="1"/>
  <c r="Q62" i="1"/>
  <c r="R62" i="1" s="1"/>
  <c r="P62" i="1"/>
  <c r="O62" i="1"/>
  <c r="N62" i="1"/>
  <c r="M62" i="1"/>
  <c r="L62" i="1"/>
  <c r="K62" i="1"/>
  <c r="J62" i="1"/>
  <c r="I62" i="1"/>
  <c r="G62" i="1"/>
  <c r="F62" i="1"/>
  <c r="E62" i="1"/>
  <c r="D62" i="1"/>
  <c r="C62" i="1"/>
  <c r="D60" i="6"/>
  <c r="C60" i="6"/>
  <c r="R60" i="1"/>
  <c r="H60" i="1"/>
  <c r="G60" i="1"/>
  <c r="F60" i="1"/>
  <c r="E60" i="1"/>
  <c r="D60" i="1"/>
  <c r="C60" i="1"/>
  <c r="Q60" i="1"/>
  <c r="P60" i="1"/>
  <c r="O60" i="1"/>
  <c r="N60" i="1"/>
  <c r="M60" i="1"/>
  <c r="L60" i="1"/>
  <c r="K60" i="1"/>
  <c r="J60" i="1"/>
  <c r="I60" i="1"/>
  <c r="L60" i="3"/>
  <c r="K60" i="3"/>
  <c r="J60" i="3"/>
  <c r="I60" i="3"/>
  <c r="H60" i="3"/>
  <c r="G60" i="3"/>
  <c r="E60" i="3"/>
  <c r="F60" i="3" s="1"/>
  <c r="N60" i="3" s="1"/>
  <c r="D60" i="3"/>
  <c r="C60" i="3"/>
  <c r="P58" i="1"/>
  <c r="O58" i="1"/>
  <c r="N58" i="1"/>
  <c r="M58" i="1"/>
  <c r="L58" i="1"/>
  <c r="K58" i="1"/>
  <c r="J58" i="1"/>
  <c r="I58" i="1"/>
  <c r="G58" i="1"/>
  <c r="F58" i="1"/>
  <c r="E58" i="1"/>
  <c r="D58" i="1"/>
  <c r="C58" i="1"/>
  <c r="L58" i="3"/>
  <c r="K58" i="3"/>
  <c r="J58" i="3"/>
  <c r="I58" i="3"/>
  <c r="H58" i="3"/>
  <c r="G58" i="3"/>
  <c r="E58" i="3"/>
  <c r="D58" i="3"/>
  <c r="C58" i="3"/>
  <c r="D58" i="6"/>
  <c r="C58" i="6"/>
  <c r="E58" i="6" s="1"/>
  <c r="D56" i="6"/>
  <c r="C56" i="6"/>
  <c r="E56" i="6" s="1"/>
  <c r="L56" i="3"/>
  <c r="K56" i="3"/>
  <c r="J56" i="3"/>
  <c r="I56" i="3"/>
  <c r="H56" i="3"/>
  <c r="G56" i="3"/>
  <c r="E56" i="3"/>
  <c r="D56" i="3"/>
  <c r="C56" i="3"/>
  <c r="P56" i="1"/>
  <c r="O56" i="1"/>
  <c r="N56" i="1"/>
  <c r="M56" i="1"/>
  <c r="L56" i="1"/>
  <c r="K56" i="1"/>
  <c r="J56" i="1"/>
  <c r="I56" i="1"/>
  <c r="G56" i="1"/>
  <c r="F56" i="1"/>
  <c r="E56" i="1"/>
  <c r="D56" i="1"/>
  <c r="C56" i="1"/>
  <c r="D54" i="6"/>
  <c r="C54" i="6"/>
  <c r="E54" i="6" s="1"/>
  <c r="L54" i="3"/>
  <c r="K54" i="3"/>
  <c r="J54" i="3"/>
  <c r="I54" i="3"/>
  <c r="H54" i="3"/>
  <c r="G54" i="3"/>
  <c r="E54" i="3"/>
  <c r="D54" i="3"/>
  <c r="C54" i="3"/>
  <c r="P54" i="1"/>
  <c r="O54" i="1"/>
  <c r="N54" i="1"/>
  <c r="M54" i="1"/>
  <c r="L54" i="1"/>
  <c r="K54" i="1"/>
  <c r="J54" i="1"/>
  <c r="I54" i="1"/>
  <c r="G54" i="1"/>
  <c r="F54" i="1"/>
  <c r="E54" i="1"/>
  <c r="D54" i="1"/>
  <c r="C54" i="1"/>
  <c r="P52" i="1"/>
  <c r="O52" i="1"/>
  <c r="N52" i="1"/>
  <c r="M52" i="1"/>
  <c r="L52" i="1"/>
  <c r="K52" i="1"/>
  <c r="J52" i="1"/>
  <c r="I52" i="1"/>
  <c r="G52" i="1"/>
  <c r="F52" i="1"/>
  <c r="E52" i="1"/>
  <c r="D52" i="1"/>
  <c r="C52" i="1"/>
  <c r="L52" i="3"/>
  <c r="K52" i="3"/>
  <c r="J52" i="3"/>
  <c r="I52" i="3"/>
  <c r="H52" i="3"/>
  <c r="G52" i="3"/>
  <c r="E52" i="3"/>
  <c r="D52" i="3"/>
  <c r="C52" i="3"/>
  <c r="D52" i="6"/>
  <c r="C52" i="6"/>
  <c r="E52" i="6" s="1"/>
  <c r="D50" i="6"/>
  <c r="C50" i="6"/>
  <c r="E50" i="6" s="1"/>
  <c r="L50" i="3"/>
  <c r="K50" i="3"/>
  <c r="J50" i="3"/>
  <c r="I50" i="3"/>
  <c r="H50" i="3"/>
  <c r="G50" i="3"/>
  <c r="E50" i="3"/>
  <c r="D50" i="3"/>
  <c r="C50" i="3"/>
  <c r="P50" i="1"/>
  <c r="O50" i="1"/>
  <c r="N50" i="1"/>
  <c r="M50" i="1"/>
  <c r="L50" i="1"/>
  <c r="K50" i="1"/>
  <c r="J50" i="1"/>
  <c r="I50" i="1"/>
  <c r="G50" i="1"/>
  <c r="F50" i="1"/>
  <c r="E50" i="1"/>
  <c r="D50" i="1"/>
  <c r="C50" i="1"/>
  <c r="R48" i="1"/>
  <c r="Q48" i="1"/>
  <c r="J48" i="1"/>
  <c r="K48" i="1"/>
  <c r="L48" i="1"/>
  <c r="M48" i="1"/>
  <c r="N48" i="1"/>
  <c r="O48" i="1"/>
  <c r="P48" i="1"/>
  <c r="I48" i="1"/>
  <c r="N48" i="3"/>
  <c r="M48" i="3"/>
  <c r="H48" i="3"/>
  <c r="I48" i="3"/>
  <c r="J48" i="3"/>
  <c r="K48" i="3"/>
  <c r="L48" i="3"/>
  <c r="G48" i="3"/>
  <c r="E48" i="6"/>
  <c r="D48" i="6"/>
  <c r="C48" i="6"/>
  <c r="F48" i="3"/>
  <c r="D48" i="3"/>
  <c r="E48" i="3"/>
  <c r="C48" i="3"/>
  <c r="H48" i="1"/>
  <c r="D48" i="1"/>
  <c r="E48" i="1"/>
  <c r="F48" i="1"/>
  <c r="G48" i="1"/>
  <c r="C48" i="1"/>
  <c r="D46" i="6"/>
  <c r="C46" i="6"/>
  <c r="E46" i="6" s="1"/>
  <c r="L46" i="3"/>
  <c r="K46" i="3"/>
  <c r="J46" i="3"/>
  <c r="I46" i="3"/>
  <c r="H46" i="3"/>
  <c r="G46" i="3"/>
  <c r="E46" i="3"/>
  <c r="D46" i="3"/>
  <c r="C46" i="3"/>
  <c r="P46" i="1"/>
  <c r="O46" i="1"/>
  <c r="N46" i="1"/>
  <c r="M46" i="1"/>
  <c r="L46" i="1"/>
  <c r="K46" i="1"/>
  <c r="J46" i="1"/>
  <c r="I46" i="1"/>
  <c r="G46" i="1"/>
  <c r="F46" i="1"/>
  <c r="E46" i="1"/>
  <c r="D46" i="1"/>
  <c r="C46" i="1"/>
  <c r="D44" i="6"/>
  <c r="C44" i="6"/>
  <c r="E44" i="6" s="1"/>
  <c r="L44" i="3"/>
  <c r="K44" i="3"/>
  <c r="J44" i="3"/>
  <c r="I44" i="3"/>
  <c r="H44" i="3"/>
  <c r="G44" i="3"/>
  <c r="E44" i="3"/>
  <c r="D44" i="3"/>
  <c r="C44" i="3"/>
  <c r="P44" i="1"/>
  <c r="O44" i="1"/>
  <c r="N44" i="1"/>
  <c r="M44" i="1"/>
  <c r="L44" i="1"/>
  <c r="K44" i="1"/>
  <c r="J44" i="1"/>
  <c r="I44" i="1"/>
  <c r="G44" i="1"/>
  <c r="F44" i="1"/>
  <c r="E44" i="1"/>
  <c r="D44" i="1"/>
  <c r="C44" i="1"/>
  <c r="P42" i="1"/>
  <c r="O42" i="1"/>
  <c r="N42" i="1"/>
  <c r="M42" i="1"/>
  <c r="L42" i="1"/>
  <c r="K42" i="1"/>
  <c r="J42" i="1"/>
  <c r="I42" i="1"/>
  <c r="G42" i="1"/>
  <c r="F42" i="1"/>
  <c r="E42" i="1"/>
  <c r="D42" i="1"/>
  <c r="C42" i="1"/>
  <c r="L42" i="3"/>
  <c r="K42" i="3"/>
  <c r="J42" i="3"/>
  <c r="I42" i="3"/>
  <c r="H42" i="3"/>
  <c r="G42" i="3"/>
  <c r="E42" i="3"/>
  <c r="D42" i="3"/>
  <c r="C42" i="3"/>
  <c r="D42" i="6"/>
  <c r="C42" i="6"/>
  <c r="E42" i="6" s="1"/>
  <c r="D40" i="6"/>
  <c r="C40" i="6"/>
  <c r="E40" i="6" s="1"/>
  <c r="L40" i="3"/>
  <c r="K40" i="3"/>
  <c r="J40" i="3"/>
  <c r="I40" i="3"/>
  <c r="H40" i="3"/>
  <c r="G40" i="3"/>
  <c r="E40" i="3"/>
  <c r="D40" i="3"/>
  <c r="C40" i="3"/>
  <c r="P40" i="1"/>
  <c r="O40" i="1"/>
  <c r="N40" i="1"/>
  <c r="M40" i="1"/>
  <c r="L40" i="1"/>
  <c r="K40" i="1"/>
  <c r="J40" i="1"/>
  <c r="I40" i="1"/>
  <c r="G40" i="1"/>
  <c r="F40" i="1"/>
  <c r="E40" i="1"/>
  <c r="D40" i="1"/>
  <c r="C40" i="1"/>
  <c r="P38" i="1"/>
  <c r="O38" i="1"/>
  <c r="N38" i="1"/>
  <c r="M38" i="1"/>
  <c r="L38" i="1"/>
  <c r="K38" i="1"/>
  <c r="J38" i="1"/>
  <c r="I38" i="1"/>
  <c r="G38" i="1"/>
  <c r="F38" i="1"/>
  <c r="E38" i="1"/>
  <c r="D38" i="1"/>
  <c r="C38" i="1"/>
  <c r="L38" i="3"/>
  <c r="K38" i="3"/>
  <c r="J38" i="3"/>
  <c r="I38" i="3"/>
  <c r="H38" i="3"/>
  <c r="G38" i="3"/>
  <c r="E38" i="3"/>
  <c r="D38" i="3"/>
  <c r="C38" i="3"/>
  <c r="D38" i="6"/>
  <c r="C38" i="6"/>
  <c r="E38" i="6" s="1"/>
  <c r="D36" i="6"/>
  <c r="C36" i="6"/>
  <c r="E36" i="6" s="1"/>
  <c r="P36" i="1"/>
  <c r="O36" i="1"/>
  <c r="N36" i="1"/>
  <c r="M36" i="1"/>
  <c r="L36" i="1"/>
  <c r="K36" i="1"/>
  <c r="J36" i="1"/>
  <c r="I36" i="1"/>
  <c r="G36" i="1"/>
  <c r="F36" i="1"/>
  <c r="E36" i="1"/>
  <c r="D36" i="1"/>
  <c r="C36" i="1"/>
  <c r="L36" i="3"/>
  <c r="K36" i="3"/>
  <c r="J36" i="3"/>
  <c r="I36" i="3"/>
  <c r="H36" i="3"/>
  <c r="G36" i="3"/>
  <c r="E36" i="3"/>
  <c r="D36" i="3"/>
  <c r="C36" i="3"/>
  <c r="E34" i="6"/>
  <c r="D34" i="6"/>
  <c r="C34" i="6"/>
  <c r="H34" i="1"/>
  <c r="D34" i="1"/>
  <c r="E34" i="1"/>
  <c r="F34" i="1"/>
  <c r="G34" i="1"/>
  <c r="C34" i="1"/>
  <c r="R34" i="1"/>
  <c r="Q34" i="1"/>
  <c r="J34" i="1"/>
  <c r="K34" i="1"/>
  <c r="L34" i="1"/>
  <c r="M34" i="1"/>
  <c r="N34" i="1"/>
  <c r="O34" i="1"/>
  <c r="P34" i="1"/>
  <c r="I34" i="1"/>
  <c r="N34" i="3"/>
  <c r="M34" i="3"/>
  <c r="H34" i="3"/>
  <c r="I34" i="3"/>
  <c r="J34" i="3"/>
  <c r="K34" i="3"/>
  <c r="L34" i="3"/>
  <c r="G34" i="3"/>
  <c r="F34" i="3"/>
  <c r="D34" i="3"/>
  <c r="E34" i="3"/>
  <c r="C34" i="3"/>
  <c r="D32" i="6"/>
  <c r="C32" i="6"/>
  <c r="E32" i="6" s="1"/>
  <c r="P32" i="1"/>
  <c r="O32" i="1"/>
  <c r="N32" i="1"/>
  <c r="M32" i="1"/>
  <c r="L32" i="1"/>
  <c r="K32" i="1"/>
  <c r="J32" i="1"/>
  <c r="I32" i="1"/>
  <c r="G32" i="1"/>
  <c r="F32" i="1"/>
  <c r="E32" i="1"/>
  <c r="D32" i="1"/>
  <c r="C32" i="1"/>
  <c r="L32" i="3"/>
  <c r="K32" i="3"/>
  <c r="J32" i="3"/>
  <c r="I32" i="3"/>
  <c r="H32" i="3"/>
  <c r="G32" i="3"/>
  <c r="E32" i="3"/>
  <c r="D32" i="3"/>
  <c r="C32" i="3"/>
  <c r="D30" i="6"/>
  <c r="C30" i="6"/>
  <c r="E30" i="6" s="1"/>
  <c r="D28" i="6"/>
  <c r="C28" i="6"/>
  <c r="E28" i="6" s="1"/>
  <c r="P30" i="1"/>
  <c r="O30" i="1"/>
  <c r="N30" i="1"/>
  <c r="M30" i="1"/>
  <c r="L30" i="1"/>
  <c r="K30" i="1"/>
  <c r="J30" i="1"/>
  <c r="I30" i="1"/>
  <c r="G30" i="1"/>
  <c r="F30" i="1"/>
  <c r="E30" i="1"/>
  <c r="D30" i="1"/>
  <c r="C30" i="1"/>
  <c r="P28" i="1"/>
  <c r="O28" i="1"/>
  <c r="N28" i="1"/>
  <c r="M28" i="1"/>
  <c r="L28" i="1"/>
  <c r="K28" i="1"/>
  <c r="J28" i="1"/>
  <c r="I28" i="1"/>
  <c r="G28" i="1"/>
  <c r="F28" i="1"/>
  <c r="E28" i="1"/>
  <c r="D28" i="1"/>
  <c r="C28" i="1"/>
  <c r="L30" i="3"/>
  <c r="K30" i="3"/>
  <c r="J30" i="3"/>
  <c r="I30" i="3"/>
  <c r="H30" i="3"/>
  <c r="G30" i="3"/>
  <c r="E30" i="3"/>
  <c r="D30" i="3"/>
  <c r="C30" i="3"/>
  <c r="L28" i="3"/>
  <c r="K28" i="3"/>
  <c r="J28" i="3"/>
  <c r="I28" i="3"/>
  <c r="H28" i="3"/>
  <c r="G28" i="3"/>
  <c r="E28" i="3"/>
  <c r="D28" i="3"/>
  <c r="C28" i="3"/>
  <c r="P26" i="1"/>
  <c r="O26" i="1"/>
  <c r="N26" i="1"/>
  <c r="M26" i="1"/>
  <c r="L26" i="1"/>
  <c r="K26" i="1"/>
  <c r="J26" i="1"/>
  <c r="I26" i="1"/>
  <c r="G26" i="1"/>
  <c r="F26" i="1"/>
  <c r="E26" i="1"/>
  <c r="D26" i="1"/>
  <c r="C26" i="1"/>
  <c r="L26" i="3"/>
  <c r="K26" i="3"/>
  <c r="J26" i="3"/>
  <c r="I26" i="3"/>
  <c r="H26" i="3"/>
  <c r="G26" i="3"/>
  <c r="E26" i="3"/>
  <c r="D26" i="3"/>
  <c r="C26" i="3"/>
  <c r="D26" i="6"/>
  <c r="C26" i="6"/>
  <c r="E26" i="6" s="1"/>
  <c r="D24" i="6"/>
  <c r="C24" i="6"/>
  <c r="E24" i="6" s="1"/>
  <c r="P24" i="1"/>
  <c r="O24" i="1"/>
  <c r="N24" i="1"/>
  <c r="M24" i="1"/>
  <c r="L24" i="1"/>
  <c r="K24" i="1"/>
  <c r="J24" i="1"/>
  <c r="I24" i="1"/>
  <c r="G24" i="1"/>
  <c r="F24" i="1"/>
  <c r="E24" i="1"/>
  <c r="D24" i="1"/>
  <c r="C24" i="1"/>
  <c r="L24" i="3"/>
  <c r="K24" i="3"/>
  <c r="J24" i="3"/>
  <c r="I24" i="3"/>
  <c r="H24" i="3"/>
  <c r="G24" i="3"/>
  <c r="E24" i="3"/>
  <c r="D24" i="3"/>
  <c r="C24" i="3"/>
  <c r="E22" i="6"/>
  <c r="D22" i="6"/>
  <c r="C22" i="6"/>
  <c r="R22" i="1"/>
  <c r="Q22" i="1"/>
  <c r="J22" i="1"/>
  <c r="K22" i="1"/>
  <c r="L22" i="1"/>
  <c r="M22" i="1"/>
  <c r="N22" i="1"/>
  <c r="O22" i="1"/>
  <c r="P22" i="1"/>
  <c r="I22" i="1"/>
  <c r="N22" i="3"/>
  <c r="M22" i="3"/>
  <c r="H22" i="3"/>
  <c r="I22" i="3"/>
  <c r="J22" i="3"/>
  <c r="K22" i="3"/>
  <c r="L22" i="3"/>
  <c r="G22" i="3"/>
  <c r="H22" i="1"/>
  <c r="D22" i="1"/>
  <c r="E22" i="1"/>
  <c r="F22" i="1"/>
  <c r="G22" i="1"/>
  <c r="C22" i="1"/>
  <c r="E22" i="3"/>
  <c r="D22" i="3"/>
  <c r="C22" i="3"/>
  <c r="F22" i="3"/>
  <c r="P20" i="1"/>
  <c r="O20" i="1"/>
  <c r="N20" i="1"/>
  <c r="M20" i="1"/>
  <c r="L20" i="1"/>
  <c r="K20" i="1"/>
  <c r="J20" i="1"/>
  <c r="I20" i="1"/>
  <c r="G20" i="1"/>
  <c r="F20" i="1"/>
  <c r="E20" i="1"/>
  <c r="D20" i="1"/>
  <c r="C20" i="1"/>
  <c r="L20" i="3"/>
  <c r="K20" i="3"/>
  <c r="J20" i="3"/>
  <c r="I20" i="3"/>
  <c r="H20" i="3"/>
  <c r="G20" i="3"/>
  <c r="E20" i="3"/>
  <c r="D20" i="3"/>
  <c r="C20" i="3"/>
  <c r="D20" i="6"/>
  <c r="C20" i="6"/>
  <c r="E20" i="6" s="1"/>
  <c r="D18" i="6"/>
  <c r="C18" i="6"/>
  <c r="E18" i="6" s="1"/>
  <c r="P18" i="1"/>
  <c r="O18" i="1"/>
  <c r="N18" i="1"/>
  <c r="M18" i="1"/>
  <c r="L18" i="1"/>
  <c r="K18" i="1"/>
  <c r="J18" i="1"/>
  <c r="I18" i="1"/>
  <c r="G18" i="1"/>
  <c r="F18" i="1"/>
  <c r="E18" i="1"/>
  <c r="D18" i="1"/>
  <c r="C18" i="1"/>
  <c r="L18" i="3"/>
  <c r="K18" i="3"/>
  <c r="J18" i="3"/>
  <c r="I18" i="3"/>
  <c r="H18" i="3"/>
  <c r="G18" i="3"/>
  <c r="E18" i="3"/>
  <c r="D18" i="3"/>
  <c r="C18" i="3"/>
  <c r="P16" i="1"/>
  <c r="O16" i="1"/>
  <c r="N16" i="1"/>
  <c r="M16" i="1"/>
  <c r="L16" i="1"/>
  <c r="K16" i="1"/>
  <c r="J16" i="1"/>
  <c r="I16" i="1"/>
  <c r="G16" i="1"/>
  <c r="F16" i="1"/>
  <c r="E16" i="1"/>
  <c r="D16" i="1"/>
  <c r="C16" i="1"/>
  <c r="L16" i="3"/>
  <c r="K16" i="3"/>
  <c r="J16" i="3"/>
  <c r="I16" i="3"/>
  <c r="H16" i="3"/>
  <c r="G16" i="3"/>
  <c r="E16" i="3"/>
  <c r="D16" i="3"/>
  <c r="C16" i="3"/>
  <c r="D16" i="6"/>
  <c r="C16" i="6"/>
  <c r="E16" i="6" s="1"/>
  <c r="P14" i="1"/>
  <c r="O14" i="1"/>
  <c r="N14" i="1"/>
  <c r="M14" i="1"/>
  <c r="L14" i="1"/>
  <c r="K14" i="1"/>
  <c r="J14" i="1"/>
  <c r="I14" i="1"/>
  <c r="G14" i="1"/>
  <c r="F14" i="1"/>
  <c r="E14" i="1"/>
  <c r="D14" i="1"/>
  <c r="C14" i="1"/>
  <c r="L14" i="3"/>
  <c r="K14" i="3"/>
  <c r="J14" i="3"/>
  <c r="I14" i="3"/>
  <c r="H14" i="3"/>
  <c r="G14" i="3"/>
  <c r="E14" i="3"/>
  <c r="D14" i="3"/>
  <c r="C14" i="3"/>
  <c r="D14" i="6"/>
  <c r="C14" i="6"/>
  <c r="E14" i="6" s="1"/>
  <c r="D12" i="6"/>
  <c r="C12" i="6"/>
  <c r="E12" i="6" s="1"/>
  <c r="P12" i="1"/>
  <c r="O12" i="1"/>
  <c r="N12" i="1"/>
  <c r="M12" i="1"/>
  <c r="L12" i="1"/>
  <c r="K12" i="1"/>
  <c r="J12" i="1"/>
  <c r="I12" i="1"/>
  <c r="G12" i="1"/>
  <c r="F12" i="1"/>
  <c r="E12" i="1"/>
  <c r="D12" i="1"/>
  <c r="C12" i="1"/>
  <c r="L12" i="3"/>
  <c r="K12" i="3"/>
  <c r="J12" i="3"/>
  <c r="I12" i="3"/>
  <c r="H12" i="3"/>
  <c r="G12" i="3"/>
  <c r="E12" i="3"/>
  <c r="D12" i="3"/>
  <c r="C12" i="3"/>
  <c r="D10" i="6"/>
  <c r="C10" i="6"/>
  <c r="H10" i="3"/>
  <c r="I10" i="3"/>
  <c r="J10" i="3"/>
  <c r="K10" i="3"/>
  <c r="L10" i="3"/>
  <c r="G10" i="3"/>
  <c r="J10" i="1"/>
  <c r="K10" i="1"/>
  <c r="L10" i="1"/>
  <c r="M10" i="1"/>
  <c r="N10" i="1"/>
  <c r="O10" i="1"/>
  <c r="P10" i="1"/>
  <c r="I10" i="1"/>
  <c r="E10" i="6"/>
  <c r="M10" i="3"/>
  <c r="D10" i="3"/>
  <c r="E10" i="3"/>
  <c r="C10" i="3"/>
  <c r="F10" i="3" s="1"/>
  <c r="Q10" i="1"/>
  <c r="R10" i="1" s="1"/>
  <c r="H10" i="1"/>
  <c r="D10" i="1"/>
  <c r="E10" i="1"/>
  <c r="F10" i="1"/>
  <c r="G10" i="1"/>
  <c r="C10" i="1"/>
  <c r="D8" i="6"/>
  <c r="C8" i="6"/>
  <c r="E8" i="6" s="1"/>
  <c r="L8" i="3"/>
  <c r="K8" i="3"/>
  <c r="J8" i="3"/>
  <c r="I8" i="3"/>
  <c r="H8" i="3"/>
  <c r="G8" i="3"/>
  <c r="P8" i="1"/>
  <c r="O8" i="1"/>
  <c r="N8" i="1"/>
  <c r="M8" i="1"/>
  <c r="L8" i="1"/>
  <c r="K8" i="1"/>
  <c r="J8" i="1"/>
  <c r="I8" i="1"/>
  <c r="E8" i="3"/>
  <c r="D8" i="3"/>
  <c r="C8" i="3"/>
  <c r="G8" i="1"/>
  <c r="F8" i="1"/>
  <c r="E8" i="1"/>
  <c r="D8" i="1"/>
  <c r="C8" i="1"/>
  <c r="H62" i="1" l="1"/>
  <c r="H58" i="1"/>
  <c r="Q58" i="1"/>
  <c r="R58" i="1" s="1"/>
  <c r="F58" i="3"/>
  <c r="M58" i="3"/>
  <c r="N58" i="3" s="1"/>
  <c r="F56" i="3"/>
  <c r="M56" i="3"/>
  <c r="N56" i="3" s="1"/>
  <c r="H56" i="1"/>
  <c r="Q56" i="1"/>
  <c r="R56" i="1" s="1"/>
  <c r="M54" i="3"/>
  <c r="N54" i="3" s="1"/>
  <c r="F54" i="3"/>
  <c r="H54" i="1"/>
  <c r="Q54" i="1"/>
  <c r="R54" i="1" s="1"/>
  <c r="H52" i="1"/>
  <c r="Q52" i="1"/>
  <c r="R52" i="1" s="1"/>
  <c r="F52" i="3"/>
  <c r="M52" i="3"/>
  <c r="N52" i="3" s="1"/>
  <c r="F50" i="3"/>
  <c r="M50" i="3"/>
  <c r="N50" i="3" s="1"/>
  <c r="H50" i="1"/>
  <c r="Q50" i="1"/>
  <c r="R50" i="1" s="1"/>
  <c r="F46" i="3"/>
  <c r="M46" i="3"/>
  <c r="N46" i="3" s="1"/>
  <c r="H46" i="1"/>
  <c r="Q46" i="1"/>
  <c r="R46" i="1" s="1"/>
  <c r="F44" i="3"/>
  <c r="M44" i="3"/>
  <c r="N44" i="3" s="1"/>
  <c r="H44" i="1"/>
  <c r="Q44" i="1"/>
  <c r="R44" i="1" s="1"/>
  <c r="H42" i="1"/>
  <c r="Q42" i="1"/>
  <c r="R42" i="1" s="1"/>
  <c r="F42" i="3"/>
  <c r="M42" i="3"/>
  <c r="N42" i="3" s="1"/>
  <c r="F40" i="3"/>
  <c r="M40" i="3"/>
  <c r="N40" i="3" s="1"/>
  <c r="H40" i="1"/>
  <c r="Q40" i="1"/>
  <c r="R40" i="1" s="1"/>
  <c r="H38" i="1"/>
  <c r="Q38" i="1"/>
  <c r="R38" i="1" s="1"/>
  <c r="F38" i="3"/>
  <c r="M38" i="3"/>
  <c r="N38" i="3" s="1"/>
  <c r="H36" i="1"/>
  <c r="Q36" i="1"/>
  <c r="R36" i="1" s="1"/>
  <c r="F36" i="3"/>
  <c r="M36" i="3"/>
  <c r="N36" i="3" s="1"/>
  <c r="H32" i="1"/>
  <c r="Q32" i="1"/>
  <c r="R32" i="1" s="1"/>
  <c r="F32" i="3"/>
  <c r="M32" i="3"/>
  <c r="N32" i="3" s="1"/>
  <c r="H28" i="1"/>
  <c r="Q28" i="1"/>
  <c r="R28" i="1" s="1"/>
  <c r="H30" i="1"/>
  <c r="Q30" i="1"/>
  <c r="R30" i="1" s="1"/>
  <c r="F30" i="3"/>
  <c r="M30" i="3"/>
  <c r="N30" i="3" s="1"/>
  <c r="F28" i="3"/>
  <c r="M28" i="3"/>
  <c r="N28" i="3" s="1"/>
  <c r="H26" i="1"/>
  <c r="Q26" i="1"/>
  <c r="R26" i="1" s="1"/>
  <c r="F26" i="3"/>
  <c r="M26" i="3"/>
  <c r="N26" i="3" s="1"/>
  <c r="H24" i="1"/>
  <c r="Q24" i="1"/>
  <c r="R24" i="1" s="1"/>
  <c r="F24" i="3"/>
  <c r="M24" i="3"/>
  <c r="N24" i="3" s="1"/>
  <c r="N10" i="3"/>
  <c r="H20" i="1"/>
  <c r="Q20" i="1"/>
  <c r="R20" i="1" s="1"/>
  <c r="F20" i="3"/>
  <c r="M20" i="3"/>
  <c r="N20" i="3" s="1"/>
  <c r="H18" i="1"/>
  <c r="Q18" i="1"/>
  <c r="R18" i="1" s="1"/>
  <c r="F18" i="3"/>
  <c r="M18" i="3"/>
  <c r="N18" i="3" s="1"/>
  <c r="H16" i="1"/>
  <c r="Q16" i="1"/>
  <c r="R16" i="1" s="1"/>
  <c r="F16" i="3"/>
  <c r="M16" i="3"/>
  <c r="N16" i="3" s="1"/>
  <c r="H14" i="1"/>
  <c r="Q14" i="1"/>
  <c r="R14" i="1" s="1"/>
  <c r="F14" i="3"/>
  <c r="M14" i="3"/>
  <c r="N14" i="3" s="1"/>
  <c r="H12" i="1"/>
  <c r="Q12" i="1"/>
  <c r="R12" i="1" s="1"/>
  <c r="F12" i="3"/>
  <c r="M12" i="3"/>
  <c r="N12" i="3" s="1"/>
  <c r="H8" i="1"/>
  <c r="F8" i="3"/>
  <c r="Q8" i="1"/>
  <c r="R8" i="1" s="1"/>
  <c r="M8" i="3"/>
  <c r="N8" i="3"/>
  <c r="X26" i="4"/>
  <c r="AA3" i="4"/>
  <c r="I3" i="5" s="1"/>
  <c r="AA4" i="4"/>
  <c r="AA5" i="4"/>
  <c r="I5" i="5" s="1"/>
  <c r="AA6" i="4"/>
  <c r="I6" i="5" s="1"/>
  <c r="AA7" i="4"/>
  <c r="I7" i="5" s="1"/>
  <c r="AA8" i="4"/>
  <c r="I8" i="5" s="1"/>
  <c r="AA9" i="4"/>
  <c r="I9" i="5" s="1"/>
  <c r="AA10" i="4"/>
  <c r="I10" i="5" s="1"/>
  <c r="AA11" i="4"/>
  <c r="I11" i="5" s="1"/>
  <c r="AA12" i="4"/>
  <c r="I12" i="5" s="1"/>
  <c r="AA13" i="4"/>
  <c r="I13" i="5" s="1"/>
  <c r="AA14" i="4"/>
  <c r="I14" i="5" s="1"/>
  <c r="AA15" i="4"/>
  <c r="I15" i="5" s="1"/>
  <c r="AA16" i="4"/>
  <c r="I16" i="5" s="1"/>
  <c r="AA17" i="4"/>
  <c r="I17" i="5" s="1"/>
  <c r="AA18" i="4"/>
  <c r="I18" i="5" s="1"/>
  <c r="AA19" i="4"/>
  <c r="I19" i="5" s="1"/>
  <c r="AA20" i="4"/>
  <c r="I20" i="5" s="1"/>
  <c r="AA21" i="4"/>
  <c r="I21" i="5" s="1"/>
  <c r="AA22" i="4"/>
  <c r="I22" i="5" s="1"/>
  <c r="AA23" i="4"/>
  <c r="I23" i="5" s="1"/>
  <c r="AA24" i="4"/>
  <c r="I24" i="5" s="1"/>
  <c r="AA25" i="4"/>
  <c r="I25" i="5" s="1"/>
  <c r="AA26" i="4"/>
  <c r="I26" i="5" s="1"/>
  <c r="AA27" i="4"/>
  <c r="I27" i="5" s="1"/>
  <c r="AA28" i="4"/>
  <c r="I28" i="5" s="1"/>
  <c r="AA29" i="4"/>
  <c r="I29" i="5" s="1"/>
  <c r="AB3" i="4"/>
  <c r="AB4" i="4"/>
  <c r="J4" i="5" s="1"/>
  <c r="AB5" i="4"/>
  <c r="J5" i="5" s="1"/>
  <c r="AB6" i="4"/>
  <c r="J6" i="5" s="1"/>
  <c r="AB7" i="4"/>
  <c r="J7" i="5" s="1"/>
  <c r="AB8" i="4"/>
  <c r="J8" i="5" s="1"/>
  <c r="AB9" i="4"/>
  <c r="J9" i="5" s="1"/>
  <c r="AB10" i="4"/>
  <c r="J10" i="5" s="1"/>
  <c r="AB11" i="4"/>
  <c r="J11" i="5" s="1"/>
  <c r="AB12" i="4"/>
  <c r="J12" i="5" s="1"/>
  <c r="AB13" i="4"/>
  <c r="J13" i="5" s="1"/>
  <c r="AB14" i="4"/>
  <c r="J14" i="5" s="1"/>
  <c r="AB15" i="4"/>
  <c r="J15" i="5" s="1"/>
  <c r="AB16" i="4"/>
  <c r="J16" i="5" s="1"/>
  <c r="AB17" i="4"/>
  <c r="J17" i="5" s="1"/>
  <c r="AB18" i="4"/>
  <c r="J18" i="5" s="1"/>
  <c r="AB19" i="4"/>
  <c r="J19" i="5" s="1"/>
  <c r="AB20" i="4"/>
  <c r="J20" i="5" s="1"/>
  <c r="AB21" i="4"/>
  <c r="J21" i="5" s="1"/>
  <c r="AB22" i="4"/>
  <c r="J22" i="5" s="1"/>
  <c r="AB23" i="4"/>
  <c r="J23" i="5" s="1"/>
  <c r="AB24" i="4"/>
  <c r="J24" i="5" s="1"/>
  <c r="AB25" i="4"/>
  <c r="J25" i="5" s="1"/>
  <c r="AB26" i="4"/>
  <c r="J26" i="5" s="1"/>
  <c r="AB27" i="4"/>
  <c r="J27" i="5" s="1"/>
  <c r="AB28" i="4"/>
  <c r="J28" i="5" s="1"/>
  <c r="AB29" i="4"/>
  <c r="J29" i="5" s="1"/>
  <c r="AC3" i="4"/>
  <c r="K3" i="5" s="1"/>
  <c r="AC4" i="4"/>
  <c r="AC5" i="4"/>
  <c r="K5" i="5" s="1"/>
  <c r="AC6" i="4"/>
  <c r="K6" i="5" s="1"/>
  <c r="AC7" i="4"/>
  <c r="K7" i="5" s="1"/>
  <c r="AC8" i="4"/>
  <c r="K8" i="5" s="1"/>
  <c r="AC9" i="4"/>
  <c r="K9" i="5" s="1"/>
  <c r="AC10" i="4"/>
  <c r="K10" i="5" s="1"/>
  <c r="AC11" i="4"/>
  <c r="K11" i="5" s="1"/>
  <c r="AC12" i="4"/>
  <c r="K12" i="5" s="1"/>
  <c r="AC13" i="4"/>
  <c r="K13" i="5" s="1"/>
  <c r="AC14" i="4"/>
  <c r="K14" i="5" s="1"/>
  <c r="AC15" i="4"/>
  <c r="K15" i="5" s="1"/>
  <c r="AC16" i="4"/>
  <c r="K16" i="5" s="1"/>
  <c r="AC17" i="4"/>
  <c r="K17" i="5" s="1"/>
  <c r="AC18" i="4"/>
  <c r="K18" i="5" s="1"/>
  <c r="AC19" i="4"/>
  <c r="K19" i="5" s="1"/>
  <c r="AC20" i="4"/>
  <c r="K20" i="5" s="1"/>
  <c r="AC21" i="4"/>
  <c r="K21" i="5" s="1"/>
  <c r="AC22" i="4"/>
  <c r="K22" i="5" s="1"/>
  <c r="AC23" i="4"/>
  <c r="K23" i="5" s="1"/>
  <c r="AC24" i="4"/>
  <c r="K24" i="5" s="1"/>
  <c r="AC25" i="4"/>
  <c r="K25" i="5" s="1"/>
  <c r="AC26" i="4"/>
  <c r="K26" i="5" s="1"/>
  <c r="AC27" i="4"/>
  <c r="K27" i="5" s="1"/>
  <c r="AC28" i="4"/>
  <c r="K28" i="5" s="1"/>
  <c r="AC29" i="4"/>
  <c r="K29" i="5" s="1"/>
  <c r="I30" i="5" l="1"/>
  <c r="J30" i="5"/>
  <c r="K4" i="5"/>
  <c r="J3" i="5"/>
  <c r="I4" i="5"/>
  <c r="K29" i="4"/>
  <c r="O29" i="4"/>
  <c r="P29" i="4"/>
  <c r="Q29" i="4"/>
  <c r="L26" i="4"/>
  <c r="O26" i="4"/>
  <c r="P26" i="4"/>
  <c r="Q26" i="4"/>
  <c r="O20" i="4"/>
  <c r="P20" i="4"/>
  <c r="Q20" i="4"/>
  <c r="K13" i="4"/>
  <c r="O13" i="4"/>
  <c r="P13" i="4"/>
  <c r="Q13" i="4"/>
  <c r="K3" i="4"/>
  <c r="L3" i="4"/>
  <c r="N3" i="4"/>
  <c r="O3" i="4"/>
  <c r="P3" i="4"/>
  <c r="Q3" i="4"/>
  <c r="G24" i="4"/>
  <c r="I24" i="4"/>
  <c r="G3" i="4"/>
  <c r="F3" i="4"/>
  <c r="F24" i="4"/>
  <c r="H3" i="4"/>
  <c r="H24" i="4"/>
  <c r="I3" i="4"/>
  <c r="K20" i="4"/>
  <c r="K26" i="4"/>
  <c r="L13" i="4"/>
  <c r="L20" i="4"/>
  <c r="L29" i="4"/>
  <c r="M3" i="4"/>
  <c r="M13" i="4"/>
  <c r="M20" i="4"/>
  <c r="M26" i="4"/>
  <c r="M29" i="4"/>
  <c r="N13" i="4"/>
  <c r="N20" i="4"/>
  <c r="N26" i="4"/>
  <c r="N29" i="4"/>
  <c r="Z29" i="4" l="1"/>
  <c r="Y29" i="4"/>
  <c r="X29" i="4"/>
  <c r="W29" i="4"/>
  <c r="V29" i="4"/>
  <c r="U29" i="4"/>
  <c r="T29" i="4"/>
  <c r="S29" i="4"/>
  <c r="R29" i="4"/>
  <c r="J29" i="4"/>
  <c r="I29" i="4"/>
  <c r="H29" i="4"/>
  <c r="G29" i="4"/>
  <c r="F29" i="4"/>
  <c r="E29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J26" i="4"/>
  <c r="I26" i="4"/>
  <c r="H26" i="4"/>
  <c r="G26" i="4"/>
  <c r="F26" i="4"/>
  <c r="E26" i="4"/>
  <c r="Z26" i="4"/>
  <c r="Y26" i="4"/>
  <c r="W26" i="4"/>
  <c r="V26" i="4"/>
  <c r="U26" i="4"/>
  <c r="T26" i="4"/>
  <c r="S26" i="4"/>
  <c r="R26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V24" i="4"/>
  <c r="W24" i="4"/>
  <c r="X24" i="4"/>
  <c r="Y24" i="4"/>
  <c r="Z24" i="4"/>
  <c r="U24" i="4"/>
  <c r="T24" i="4"/>
  <c r="S24" i="4"/>
  <c r="R24" i="4"/>
  <c r="E24" i="4"/>
  <c r="K24" i="4"/>
  <c r="L24" i="4"/>
  <c r="M24" i="4"/>
  <c r="N24" i="4"/>
  <c r="O24" i="4"/>
  <c r="P24" i="4"/>
  <c r="Q24" i="4"/>
  <c r="J24" i="4"/>
  <c r="V23" i="4"/>
  <c r="W23" i="4"/>
  <c r="X23" i="4"/>
  <c r="Y23" i="4"/>
  <c r="Z23" i="4"/>
  <c r="U23" i="4"/>
  <c r="S23" i="4"/>
  <c r="T23" i="4"/>
  <c r="R23" i="4"/>
  <c r="F23" i="4"/>
  <c r="G23" i="4"/>
  <c r="H23" i="4"/>
  <c r="I23" i="4"/>
  <c r="E23" i="4"/>
  <c r="K23" i="4"/>
  <c r="L23" i="4"/>
  <c r="M23" i="4"/>
  <c r="N23" i="4"/>
  <c r="O23" i="4"/>
  <c r="P23" i="4"/>
  <c r="Q23" i="4"/>
  <c r="J23" i="4"/>
  <c r="V22" i="4"/>
  <c r="W22" i="4"/>
  <c r="X22" i="4"/>
  <c r="Y22" i="4"/>
  <c r="Z22" i="4"/>
  <c r="U22" i="4"/>
  <c r="S22" i="4"/>
  <c r="T22" i="4"/>
  <c r="R22" i="4"/>
  <c r="K22" i="4"/>
  <c r="L22" i="4"/>
  <c r="M22" i="4"/>
  <c r="N22" i="4"/>
  <c r="O22" i="4"/>
  <c r="P22" i="4"/>
  <c r="Q22" i="4"/>
  <c r="J22" i="4"/>
  <c r="F22" i="4"/>
  <c r="G22" i="4"/>
  <c r="H22" i="4"/>
  <c r="I22" i="4"/>
  <c r="E22" i="4"/>
  <c r="G21" i="4"/>
  <c r="H21" i="4"/>
  <c r="I21" i="4"/>
  <c r="F21" i="4"/>
  <c r="E21" i="4"/>
  <c r="K21" i="4"/>
  <c r="L21" i="4"/>
  <c r="M21" i="4"/>
  <c r="N21" i="4"/>
  <c r="O21" i="4"/>
  <c r="P21" i="4"/>
  <c r="Q21" i="4"/>
  <c r="J21" i="4"/>
  <c r="V21" i="4"/>
  <c r="W21" i="4"/>
  <c r="X21" i="4"/>
  <c r="Y21" i="4"/>
  <c r="Z21" i="4"/>
  <c r="U21" i="4"/>
  <c r="S21" i="4"/>
  <c r="T21" i="4"/>
  <c r="V20" i="4"/>
  <c r="W20" i="4"/>
  <c r="X20" i="4"/>
  <c r="Y20" i="4"/>
  <c r="Z20" i="4"/>
  <c r="U20" i="4"/>
  <c r="S12" i="4"/>
  <c r="T12" i="4"/>
  <c r="S13" i="4"/>
  <c r="T13" i="4"/>
  <c r="S14" i="4"/>
  <c r="T14" i="4"/>
  <c r="S15" i="4"/>
  <c r="T15" i="4"/>
  <c r="T16" i="4"/>
  <c r="S16" i="4"/>
  <c r="S17" i="4"/>
  <c r="T17" i="4"/>
  <c r="S18" i="4"/>
  <c r="T18" i="4"/>
  <c r="S19" i="4"/>
  <c r="T19" i="4"/>
  <c r="S20" i="4"/>
  <c r="T20" i="4"/>
  <c r="R20" i="4"/>
  <c r="R19" i="4"/>
  <c r="R18" i="4"/>
  <c r="R17" i="4"/>
  <c r="R16" i="4"/>
  <c r="R15" i="4"/>
  <c r="R14" i="4"/>
  <c r="F20" i="4"/>
  <c r="G20" i="4"/>
  <c r="H20" i="4"/>
  <c r="I20" i="4"/>
  <c r="E20" i="4"/>
  <c r="Z19" i="4"/>
  <c r="Y19" i="4"/>
  <c r="X19" i="4"/>
  <c r="W19" i="4"/>
  <c r="V19" i="4"/>
  <c r="U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F18" i="4"/>
  <c r="G18" i="4"/>
  <c r="H18" i="4"/>
  <c r="I18" i="4"/>
  <c r="E18" i="4"/>
  <c r="V18" i="4"/>
  <c r="W18" i="4"/>
  <c r="X18" i="4"/>
  <c r="Y18" i="4"/>
  <c r="Z18" i="4"/>
  <c r="U18" i="4"/>
  <c r="K18" i="4"/>
  <c r="L18" i="4"/>
  <c r="M18" i="4"/>
  <c r="N18" i="4"/>
  <c r="O18" i="4"/>
  <c r="P18" i="4"/>
  <c r="Q18" i="4"/>
  <c r="J18" i="4"/>
  <c r="K17" i="4"/>
  <c r="L17" i="4"/>
  <c r="M17" i="4"/>
  <c r="N17" i="4"/>
  <c r="O17" i="4"/>
  <c r="P17" i="4"/>
  <c r="Q17" i="4"/>
  <c r="J17" i="4"/>
  <c r="V17" i="4"/>
  <c r="W17" i="4"/>
  <c r="X17" i="4"/>
  <c r="Y17" i="4"/>
  <c r="Z17" i="4"/>
  <c r="U17" i="4"/>
  <c r="F17" i="4"/>
  <c r="G17" i="4"/>
  <c r="H17" i="4"/>
  <c r="I17" i="4"/>
  <c r="E17" i="4"/>
  <c r="V16" i="4"/>
  <c r="W16" i="4"/>
  <c r="X16" i="4"/>
  <c r="Y16" i="4"/>
  <c r="Z16" i="4"/>
  <c r="U16" i="4"/>
  <c r="V15" i="4"/>
  <c r="W15" i="4"/>
  <c r="X15" i="4"/>
  <c r="Y15" i="4"/>
  <c r="Z15" i="4"/>
  <c r="U15" i="4"/>
  <c r="K16" i="4"/>
  <c r="L16" i="4"/>
  <c r="M16" i="4"/>
  <c r="N16" i="4"/>
  <c r="O16" i="4"/>
  <c r="P16" i="4"/>
  <c r="Q16" i="4"/>
  <c r="J16" i="4"/>
  <c r="K15" i="4"/>
  <c r="L15" i="4"/>
  <c r="M15" i="4"/>
  <c r="N15" i="4"/>
  <c r="O15" i="4"/>
  <c r="P15" i="4"/>
  <c r="Q15" i="4"/>
  <c r="J15" i="4"/>
  <c r="F16" i="4"/>
  <c r="G16" i="4"/>
  <c r="H16" i="4"/>
  <c r="I16" i="4"/>
  <c r="E16" i="4"/>
  <c r="F15" i="4"/>
  <c r="G15" i="4"/>
  <c r="H15" i="4"/>
  <c r="I15" i="4"/>
  <c r="E15" i="4"/>
  <c r="V14" i="4"/>
  <c r="W14" i="4"/>
  <c r="X14" i="4"/>
  <c r="Y14" i="4"/>
  <c r="Z14" i="4"/>
  <c r="U14" i="4"/>
  <c r="K14" i="4"/>
  <c r="L14" i="4"/>
  <c r="M14" i="4"/>
  <c r="N14" i="4"/>
  <c r="O14" i="4"/>
  <c r="P14" i="4"/>
  <c r="Q14" i="4"/>
  <c r="J14" i="4"/>
  <c r="F14" i="4"/>
  <c r="G14" i="4"/>
  <c r="H14" i="4"/>
  <c r="I14" i="4"/>
  <c r="E14" i="4"/>
  <c r="V13" i="4"/>
  <c r="W13" i="4"/>
  <c r="X13" i="4"/>
  <c r="Y13" i="4"/>
  <c r="Z13" i="4"/>
  <c r="U13" i="4"/>
  <c r="R13" i="4"/>
  <c r="J13" i="4"/>
  <c r="F13" i="4"/>
  <c r="G13" i="4"/>
  <c r="H13" i="4"/>
  <c r="I13" i="4"/>
  <c r="E13" i="4"/>
  <c r="V12" i="4"/>
  <c r="W12" i="4"/>
  <c r="X12" i="4"/>
  <c r="Y12" i="4"/>
  <c r="Z12" i="4"/>
  <c r="U12" i="4"/>
  <c r="R12" i="4"/>
  <c r="K12" i="4"/>
  <c r="L12" i="4"/>
  <c r="M12" i="4"/>
  <c r="N12" i="4"/>
  <c r="O12" i="4"/>
  <c r="P12" i="4"/>
  <c r="Q12" i="4"/>
  <c r="J12" i="4"/>
  <c r="F12" i="4"/>
  <c r="G12" i="4"/>
  <c r="H12" i="4"/>
  <c r="I12" i="4"/>
  <c r="E12" i="4"/>
  <c r="Z11" i="4"/>
  <c r="Y11" i="4"/>
  <c r="X11" i="4"/>
  <c r="W11" i="4"/>
  <c r="V11" i="4"/>
  <c r="U11" i="4"/>
  <c r="T11" i="4"/>
  <c r="S11" i="4"/>
  <c r="R11" i="4"/>
  <c r="K11" i="4"/>
  <c r="L11" i="4"/>
  <c r="M11" i="4"/>
  <c r="N11" i="4"/>
  <c r="O11" i="4"/>
  <c r="P11" i="4"/>
  <c r="Q11" i="4"/>
  <c r="F11" i="4"/>
  <c r="G11" i="4"/>
  <c r="H11" i="4"/>
  <c r="I11" i="4"/>
  <c r="J11" i="4"/>
  <c r="E11" i="4"/>
  <c r="V10" i="4"/>
  <c r="W10" i="4"/>
  <c r="X10" i="4"/>
  <c r="Y10" i="4"/>
  <c r="Z10" i="4"/>
  <c r="U10" i="4"/>
  <c r="S10" i="4"/>
  <c r="T10" i="4"/>
  <c r="R10" i="4"/>
  <c r="K10" i="4"/>
  <c r="L10" i="4"/>
  <c r="M10" i="4"/>
  <c r="N10" i="4"/>
  <c r="O10" i="4"/>
  <c r="P10" i="4"/>
  <c r="Q10" i="4"/>
  <c r="J10" i="4"/>
  <c r="F10" i="4"/>
  <c r="G10" i="4"/>
  <c r="H10" i="4"/>
  <c r="I10" i="4"/>
  <c r="E10" i="4"/>
  <c r="V9" i="4"/>
  <c r="W9" i="4"/>
  <c r="X9" i="4"/>
  <c r="Y9" i="4"/>
  <c r="Z9" i="4"/>
  <c r="U9" i="4"/>
  <c r="S9" i="4"/>
  <c r="T9" i="4"/>
  <c r="R9" i="4"/>
  <c r="K9" i="4"/>
  <c r="L9" i="4"/>
  <c r="M9" i="4"/>
  <c r="N9" i="4"/>
  <c r="O9" i="4"/>
  <c r="P9" i="4"/>
  <c r="Q9" i="4"/>
  <c r="J9" i="4"/>
  <c r="H9" i="4"/>
  <c r="I9" i="4"/>
  <c r="F9" i="4"/>
  <c r="G9" i="4"/>
  <c r="E9" i="4"/>
  <c r="F8" i="4"/>
  <c r="G8" i="4"/>
  <c r="H8" i="4"/>
  <c r="I8" i="4"/>
  <c r="E8" i="4"/>
  <c r="K8" i="4"/>
  <c r="L8" i="4"/>
  <c r="M8" i="4"/>
  <c r="N8" i="4"/>
  <c r="O8" i="4"/>
  <c r="P8" i="4"/>
  <c r="Q8" i="4"/>
  <c r="J8" i="4"/>
  <c r="V8" i="4"/>
  <c r="W8" i="4"/>
  <c r="X8" i="4"/>
  <c r="Y8" i="4"/>
  <c r="Z8" i="4"/>
  <c r="U8" i="4"/>
  <c r="S8" i="4"/>
  <c r="T8" i="4"/>
  <c r="R8" i="4"/>
  <c r="V7" i="4"/>
  <c r="W7" i="4"/>
  <c r="X7" i="4"/>
  <c r="Y7" i="4"/>
  <c r="Z7" i="4"/>
  <c r="U7" i="4"/>
  <c r="V6" i="4"/>
  <c r="W6" i="4"/>
  <c r="X6" i="4"/>
  <c r="Y6" i="4"/>
  <c r="Z6" i="4"/>
  <c r="U6" i="4"/>
  <c r="S7" i="4"/>
  <c r="T7" i="4"/>
  <c r="R7" i="4"/>
  <c r="S6" i="4"/>
  <c r="T6" i="4"/>
  <c r="R6" i="4"/>
  <c r="K7" i="4"/>
  <c r="L7" i="4"/>
  <c r="M7" i="4"/>
  <c r="N7" i="4"/>
  <c r="O7" i="4"/>
  <c r="P7" i="4"/>
  <c r="Q7" i="4"/>
  <c r="J7" i="4"/>
  <c r="Q6" i="4"/>
  <c r="K6" i="4"/>
  <c r="L6" i="4"/>
  <c r="M6" i="4"/>
  <c r="N6" i="4"/>
  <c r="O6" i="4"/>
  <c r="P6" i="4"/>
  <c r="J6" i="4"/>
  <c r="F7" i="4"/>
  <c r="G7" i="4"/>
  <c r="H7" i="4"/>
  <c r="I7" i="4"/>
  <c r="E7" i="4"/>
  <c r="F6" i="4"/>
  <c r="G6" i="4"/>
  <c r="H6" i="4"/>
  <c r="I6" i="4"/>
  <c r="E6" i="4"/>
  <c r="K5" i="4"/>
  <c r="L5" i="4"/>
  <c r="M5" i="4"/>
  <c r="N5" i="4"/>
  <c r="O5" i="4"/>
  <c r="P5" i="4"/>
  <c r="Q5" i="4"/>
  <c r="J5" i="4"/>
  <c r="V5" i="4"/>
  <c r="W5" i="4"/>
  <c r="X5" i="4"/>
  <c r="Y5" i="4"/>
  <c r="Z5" i="4"/>
  <c r="U5" i="4"/>
  <c r="T5" i="4"/>
  <c r="S5" i="4"/>
  <c r="R5" i="4"/>
  <c r="F5" i="4"/>
  <c r="G5" i="4"/>
  <c r="H5" i="4"/>
  <c r="I5" i="4"/>
  <c r="E5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Z4" i="4"/>
  <c r="Y4" i="4"/>
  <c r="X4" i="4"/>
  <c r="W4" i="4"/>
  <c r="V4" i="4"/>
  <c r="U4" i="4"/>
  <c r="T4" i="4"/>
  <c r="S4" i="4"/>
  <c r="R4" i="4"/>
  <c r="V3" i="4"/>
  <c r="W3" i="4"/>
  <c r="X3" i="4"/>
  <c r="Y3" i="4"/>
  <c r="Z3" i="4"/>
  <c r="U3" i="4"/>
  <c r="S3" i="4"/>
  <c r="T3" i="4"/>
  <c r="R3" i="4"/>
  <c r="Q4" i="4"/>
  <c r="P4" i="4"/>
  <c r="O4" i="4"/>
  <c r="N4" i="4"/>
  <c r="M4" i="4"/>
  <c r="L4" i="4"/>
  <c r="K4" i="4"/>
  <c r="J4" i="4"/>
  <c r="I4" i="4"/>
  <c r="H4" i="4"/>
  <c r="G4" i="4"/>
  <c r="F4" i="4"/>
  <c r="E4" i="4"/>
  <c r="J3" i="4"/>
  <c r="AC2" i="4"/>
  <c r="AB2" i="4"/>
  <c r="AA2" i="4"/>
  <c r="I2" i="5" s="1"/>
  <c r="E2" i="4"/>
  <c r="Z2" i="4"/>
  <c r="Y2" i="4"/>
  <c r="X2" i="4"/>
  <c r="W2" i="4"/>
  <c r="V2" i="4"/>
  <c r="U2" i="4"/>
  <c r="T2" i="4"/>
  <c r="S2" i="4"/>
  <c r="R2" i="4"/>
  <c r="F2" i="4"/>
  <c r="G2" i="4"/>
  <c r="H2" i="4"/>
  <c r="I2" i="4"/>
  <c r="J2" i="4"/>
  <c r="K2" i="4"/>
  <c r="L2" i="4"/>
  <c r="M2" i="4"/>
  <c r="N2" i="4"/>
  <c r="O2" i="4"/>
  <c r="P2" i="4"/>
  <c r="Q2" i="4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E2" i="5"/>
  <c r="G3" i="5"/>
  <c r="G6" i="5"/>
  <c r="G7" i="5"/>
  <c r="E9" i="5"/>
  <c r="E14" i="5"/>
  <c r="G14" i="5"/>
  <c r="E15" i="5"/>
  <c r="E16" i="5"/>
  <c r="E18" i="5"/>
  <c r="G2" i="5"/>
  <c r="E12" i="5" l="1"/>
  <c r="G9" i="5"/>
  <c r="E7" i="5"/>
  <c r="E8" i="5"/>
  <c r="G5" i="5"/>
  <c r="E6" i="5"/>
  <c r="E5" i="5"/>
  <c r="J2" i="5"/>
  <c r="E10" i="5"/>
  <c r="E13" i="5"/>
  <c r="G17" i="5"/>
  <c r="E3" i="4"/>
  <c r="E30" i="4" s="1"/>
  <c r="E4" i="5"/>
  <c r="G15" i="5"/>
  <c r="G16" i="5"/>
  <c r="G18" i="5"/>
  <c r="J20" i="4"/>
  <c r="E20" i="5"/>
  <c r="R21" i="4"/>
  <c r="K2" i="5"/>
  <c r="G29" i="5"/>
  <c r="E29" i="5"/>
  <c r="G28" i="5"/>
  <c r="E28" i="5"/>
  <c r="G19" i="5"/>
  <c r="E19" i="5"/>
  <c r="G4" i="5"/>
  <c r="E11" i="5"/>
  <c r="G8" i="5"/>
  <c r="G10" i="5"/>
  <c r="G12" i="5"/>
  <c r="G13" i="5"/>
  <c r="E17" i="5"/>
  <c r="G20" i="5"/>
  <c r="E21" i="5" l="1"/>
  <c r="E22" i="5"/>
  <c r="E23" i="5"/>
  <c r="E24" i="5"/>
  <c r="G22" i="5"/>
  <c r="G23" i="5"/>
  <c r="G24" i="5"/>
  <c r="G11" i="5"/>
  <c r="E25" i="5"/>
  <c r="G25" i="5"/>
  <c r="G26" i="5"/>
  <c r="E26" i="5"/>
  <c r="E27" i="5"/>
  <c r="G27" i="5"/>
  <c r="G21" i="5"/>
  <c r="E3" i="5"/>
</calcChain>
</file>

<file path=xl/comments1.xml><?xml version="1.0" encoding="utf-8"?>
<comments xmlns="http://schemas.openxmlformats.org/spreadsheetml/2006/main">
  <authors>
    <author>Anish Thottackattu P. Achary</author>
  </authors>
  <commentList>
    <comment ref="E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1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1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1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1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1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2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2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2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2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2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3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3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3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3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3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4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4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4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4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4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5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5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5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5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5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6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</commentList>
</comments>
</file>

<file path=xl/sharedStrings.xml><?xml version="1.0" encoding="utf-8"?>
<sst xmlns="http://schemas.openxmlformats.org/spreadsheetml/2006/main" count="234" uniqueCount="70">
  <si>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</si>
  <si>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</si>
  <si>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</si>
  <si>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</si>
  <si>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</si>
  <si>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</si>
  <si>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</si>
  <si>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</si>
  <si>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</si>
  <si>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</si>
  <si>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 xml:space="preserve">Cooling Degree Day </t>
  </si>
  <si>
    <t>Doha</t>
  </si>
  <si>
    <t>CP Chillers 157691 (KWh)</t>
  </si>
  <si>
    <t>CP Chillers 157692 (KWh)</t>
  </si>
  <si>
    <t>CP Chillers 157693 (KWh)</t>
  </si>
  <si>
    <t>CP Chillers 157694 (KWh)</t>
  </si>
  <si>
    <t>CP Chillers 167609 (KWh)</t>
  </si>
  <si>
    <t>Town House 166443 (KWh)</t>
  </si>
  <si>
    <t>Hotel 157687 (KWh)</t>
  </si>
  <si>
    <t>Hotel 157688 (KWh)</t>
  </si>
  <si>
    <t>Hotel 157689 (KWh)</t>
  </si>
  <si>
    <t>Hotel 157690 (KWh)</t>
  </si>
  <si>
    <t xml:space="preserve">SPA (KWh) </t>
  </si>
  <si>
    <t>Marina (KWh)</t>
  </si>
  <si>
    <t>Nobu (KWh)</t>
  </si>
  <si>
    <t>CP F/F (m3)</t>
  </si>
  <si>
    <t>CP Chillers (m3)</t>
  </si>
  <si>
    <t>CP Parking (m3)</t>
  </si>
  <si>
    <t>Town House (m3)</t>
  </si>
  <si>
    <t>Spa B (m3)</t>
  </si>
  <si>
    <t>Spa A (m3)</t>
  </si>
  <si>
    <t>CW Hotel A (m3)</t>
  </si>
  <si>
    <t>CCW Hotel B (m3)</t>
  </si>
  <si>
    <t xml:space="preserve">Marina (m3) </t>
  </si>
  <si>
    <t>Central Plant Engineering</t>
  </si>
  <si>
    <t>Daily Electrical Meter Readings</t>
  </si>
  <si>
    <t>Month: FEBRUARY 2023</t>
  </si>
  <si>
    <t>Date</t>
  </si>
  <si>
    <t>CP          Chillers</t>
  </si>
  <si>
    <t>CP Total kWh</t>
  </si>
  <si>
    <t>Town              House</t>
  </si>
  <si>
    <t>Hotel</t>
  </si>
  <si>
    <t>Spa</t>
  </si>
  <si>
    <t>Marina</t>
  </si>
  <si>
    <t>Nobu</t>
  </si>
  <si>
    <t>Hotel Total kWh</t>
  </si>
  <si>
    <t>Grand Total          kWh</t>
  </si>
  <si>
    <t>Consumption</t>
  </si>
  <si>
    <t>Daily Water Meter Readings</t>
  </si>
  <si>
    <t>CP F/F</t>
  </si>
  <si>
    <t>CP     Chillers</t>
  </si>
  <si>
    <t>CP     Parking</t>
  </si>
  <si>
    <r>
      <t>CP Total M</t>
    </r>
    <r>
      <rPr>
        <vertAlign val="superscript"/>
        <sz val="12"/>
        <color indexed="8"/>
        <rFont val="Calibri"/>
        <family val="2"/>
      </rPr>
      <t>3</t>
    </r>
  </si>
  <si>
    <t>Town     House</t>
  </si>
  <si>
    <t>Spa B</t>
  </si>
  <si>
    <t>Spa A</t>
  </si>
  <si>
    <t>CW        Hotel A</t>
  </si>
  <si>
    <t>CCW        Hotel B</t>
  </si>
  <si>
    <r>
      <t>Hotel Total M</t>
    </r>
    <r>
      <rPr>
        <vertAlign val="superscript"/>
        <sz val="12"/>
        <color indexed="8"/>
        <rFont val="Calibri"/>
        <family val="2"/>
      </rPr>
      <t>3</t>
    </r>
  </si>
  <si>
    <r>
      <t>Grand Total M</t>
    </r>
    <r>
      <rPr>
        <b/>
        <vertAlign val="superscript"/>
        <sz val="12"/>
        <color indexed="8"/>
        <rFont val="Calibri"/>
        <family val="2"/>
      </rPr>
      <t>3</t>
    </r>
  </si>
  <si>
    <t>Following Meter is not working</t>
  </si>
  <si>
    <t>CP Parking</t>
  </si>
  <si>
    <t>Daily LPG Meter Readings</t>
  </si>
  <si>
    <t>COMMON LPG READING/M3</t>
  </si>
  <si>
    <t>NOBU/M3</t>
  </si>
  <si>
    <t xml:space="preserve">LPG Total </t>
  </si>
  <si>
    <t>HOTEL+NOBU</t>
  </si>
  <si>
    <t xml:space="preserve"> </t>
  </si>
  <si>
    <t>m3</t>
  </si>
  <si>
    <t>Ltrs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</si>
</sst>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vertAlign val="superscript"/>
      <sz val="12"/>
      <color indexed="8"/>
      <name val="Calibri"/>
      <family val="2"/>
    </font>
    <font>
      <b/>
      <vertAlign val="superscript"/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3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4" fillId="3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right"/>
    </xf>
    <xf numFmtId="0" fontId="5" fillId="4" borderId="6" xfId="0" applyFont="1" applyFill="1" applyBorder="1" applyAlignment="1">
      <alignment horizontal="right"/>
    </xf>
    <xf numFmtId="0" fontId="5" fillId="4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0" fillId="0" borderId="7" xfId="0" applyBorder="1" applyAlignment="1">
      <alignment horizontal="right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5" xfId="0" applyFont="1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" fontId="0" fillId="2" borderId="0" xfId="0" quotePrefix="1" applyNumberFormat="1" applyFill="1"/>
    <xf numFmtId="0" fontId="0" fillId="2" borderId="0" xfId="0" quotePrefix="1" applyFill="1"/>
    <xf numFmtId="0" fontId="3" fillId="0" borderId="0" xfId="0" applyFont="1"/>
    <xf numFmtId="0" fontId="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/>
    <xf numFmtId="1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2" fontId="3" fillId="0" borderId="1" xfId="0" applyNumberFormat="1" applyFont="1" applyBorder="1" applyAlignment="1">
      <alignment wrapText="1"/>
    </xf>
    <xf numFmtId="0" fontId="0" fillId="7" borderId="1" xfId="0" applyFill="1" applyBorder="1" applyAlignment="1">
      <alignment horizontal="right"/>
    </xf>
    <xf numFmtId="0" fontId="0" fillId="7" borderId="1" xfId="0" applyFill="1" applyBorder="1"/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7" borderId="7" xfId="0" applyFill="1" applyBorder="1" applyAlignment="1">
      <alignment horizontal="right"/>
    </xf>
    <xf numFmtId="0" fontId="0" fillId="7" borderId="7" xfId="0" applyFill="1" applyBorder="1"/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right" vertical="center"/>
    </xf>
    <xf numFmtId="0" fontId="5" fillId="6" borderId="6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9" fillId="0" borderId="1" xfId="0" applyFont="1" applyBorder="1"/>
    <xf numFmtId="0" fontId="9" fillId="0" borderId="21" xfId="0" applyFont="1" applyBorder="1"/>
    <xf numFmtId="0" fontId="10" fillId="11" borderId="21" xfId="0" applyFont="1" applyFill="1" applyBorder="1"/>
    <xf numFmtId="0" fontId="9" fillId="0" borderId="0" xfId="0" applyFont="1"/>
    <xf numFmtId="0" fontId="9" fillId="0" borderId="22" xfId="0" applyFont="1" applyBorder="1"/>
    <xf numFmtId="0" fontId="9" fillId="0" borderId="7" xfId="0" applyFont="1" applyBorder="1"/>
    <xf numFmtId="0" fontId="9" fillId="13" borderId="1" xfId="0" applyFont="1" applyFill="1" applyBorder="1"/>
    <xf numFmtId="0" fontId="10" fillId="11" borderId="23" xfId="0" applyFont="1" applyFill="1" applyBorder="1"/>
    <xf numFmtId="0" fontId="9" fillId="13" borderId="23" xfId="0" applyFont="1" applyFill="1" applyBorder="1"/>
    <xf numFmtId="0" fontId="9" fillId="0" borderId="15" xfId="0" applyFont="1" applyBorder="1"/>
    <xf numFmtId="0" fontId="9" fillId="0" borderId="23" xfId="0" applyFont="1" applyBorder="1"/>
    <xf numFmtId="0" fontId="9" fillId="12" borderId="23" xfId="0" applyFont="1" applyFill="1" applyBorder="1"/>
    <xf numFmtId="0" fontId="9" fillId="14" borderId="23" xfId="0" applyFont="1" applyFill="1" applyBorder="1"/>
    <xf numFmtId="0" fontId="0" fillId="0" borderId="24" xfId="0" applyBorder="1" applyAlignment="1">
      <alignment horizontal="right" vertical="center"/>
    </xf>
    <xf numFmtId="0" fontId="0" fillId="0" borderId="24" xfId="0" applyBorder="1" applyAlignment="1">
      <alignment horizontal="right"/>
    </xf>
    <xf numFmtId="0" fontId="0" fillId="0" borderId="25" xfId="0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24" xfId="0" applyBorder="1" applyAlignment="1">
      <alignment horizontal="center" vertical="center"/>
    </xf>
    <xf numFmtId="0" fontId="0" fillId="14" borderId="1" xfId="0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0" fontId="5" fillId="3" borderId="4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right"/>
    </xf>
    <xf numFmtId="1" fontId="3" fillId="7" borderId="24" xfId="0" applyNumberFormat="1" applyFont="1" applyFill="1" applyBorder="1" applyAlignment="1">
      <alignment horizontal="center" wrapText="1"/>
    </xf>
    <xf numFmtId="0" fontId="3" fillId="7" borderId="24" xfId="0" applyFont="1" applyFill="1" applyBorder="1" applyAlignment="1">
      <alignment horizontal="center" wrapText="1"/>
    </xf>
    <xf numFmtId="0" fontId="3" fillId="0" borderId="24" xfId="0" applyFont="1" applyBorder="1" applyAlignment="1">
      <alignment horizontal="center"/>
    </xf>
    <xf numFmtId="0" fontId="3" fillId="7" borderId="24" xfId="0" applyFont="1" applyFill="1" applyBorder="1" applyAlignment="1">
      <alignment horizontal="center"/>
    </xf>
    <xf numFmtId="0" fontId="3" fillId="7" borderId="24" xfId="0" applyFont="1" applyFill="1" applyBorder="1" applyAlignment="1">
      <alignment horizontal="center" vertical="center" wrapText="1"/>
    </xf>
    <xf numFmtId="0" fontId="0" fillId="14" borderId="0" xfId="0" applyFill="1" applyAlignment="1">
      <alignment horizontal="right"/>
    </xf>
    <xf numFmtId="0" fontId="0" fillId="14" borderId="0" xfId="0" applyFill="1" applyAlignment="1">
      <alignment horizontal="right" vertical="center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5" fillId="6" borderId="18" xfId="0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0" borderId="2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47625</xdr:rowOff>
    </xdr:from>
    <xdr:to>
      <xdr:col>3</xdr:col>
      <xdr:colOff>371475</xdr:colOff>
      <xdr:row>3</xdr:row>
      <xdr:rowOff>38100</xdr:rowOff>
    </xdr:to>
    <xdr:pic>
      <xdr:nvPicPr>
        <xdr:cNvPr id="18165" name="Picture 1" descr="C:\Users\hannah.villanueva\Desktop\DOH_White_BOX.jpg">
          <a:extLst>
            <a:ext uri="{FF2B5EF4-FFF2-40B4-BE49-F238E27FC236}">
              <a16:creationId xmlns:a16="http://schemas.microsoft.com/office/drawing/2014/main" xmlns="" id="{262326D8-D27B-AC3E-79EF-7B1CBD29D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161925" y="47625"/>
          <a:ext cx="16287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2</xdr:col>
      <xdr:colOff>628650</xdr:colOff>
      <xdr:row>3</xdr:row>
      <xdr:rowOff>66675</xdr:rowOff>
    </xdr:to>
    <xdr:pic>
      <xdr:nvPicPr>
        <xdr:cNvPr id="19431" name="Picture 1" descr="C:\Users\hannah.villanueva\Desktop\DOH_White_BOX.jpg">
          <a:extLst>
            <a:ext uri="{FF2B5EF4-FFF2-40B4-BE49-F238E27FC236}">
              <a16:creationId xmlns:a16="http://schemas.microsoft.com/office/drawing/2014/main" xmlns="" id="{09CA49C3-9DE3-5E65-6028-8DAE31CE3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3144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2</xdr:col>
      <xdr:colOff>419100</xdr:colOff>
      <xdr:row>3</xdr:row>
      <xdr:rowOff>47625</xdr:rowOff>
    </xdr:to>
    <xdr:pic>
      <xdr:nvPicPr>
        <xdr:cNvPr id="20037" name="Picture 1" descr="C:\Users\hannah.villanueva\Desktop\DOH_White_BOX.jpg">
          <a:extLst>
            <a:ext uri="{FF2B5EF4-FFF2-40B4-BE49-F238E27FC236}">
              <a16:creationId xmlns:a16="http://schemas.microsoft.com/office/drawing/2014/main" xmlns="" id="{8BC6D055-824B-38DF-A410-88DE11959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2763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zoomScale="85" zoomScaleNormal="85" workbookViewId="0">
      <selection activeCell="S9" sqref="S9"/>
    </sheetView>
  </sheetViews>
  <sheetFormatPr defaultColWidth="13.42578125" defaultRowHeight="15" x14ac:dyDescent="0.25"/>
  <cols>
    <col min="1" max="3" width="11.5703125" customWidth="1"/>
    <col min="4" max="4" width="13.42578125" customWidth="1"/>
    <col min="5" max="5" width="12.5703125" style="23" customWidth="1"/>
    <col min="6" max="6" width="12.5703125" customWidth="1"/>
    <col min="7" max="7" width="11.5703125" customWidth="1"/>
    <col min="8" max="8" width="11.5703125" style="24" customWidth="1"/>
    <col min="9" max="245" width="11.5703125" customWidth="1"/>
    <col min="246" max="246" width="13.42578125" customWidth="1"/>
    <col min="247" max="248" width="12.5703125" customWidth="1"/>
    <col min="249" max="254" width="11.5703125" customWidth="1"/>
  </cols>
  <sheetData>
    <row r="1" spans="1:11" s="27" customFormat="1" ht="60" x14ac:dyDescent="0.25">
      <c r="A1" s="35" t="s">
        <v>0</v>
      </c>
      <c r="B1" s="35" t="s">
        <v>1</v>
      </c>
      <c r="C1" s="35" t="s">
        <v>2</v>
      </c>
      <c r="D1" s="35" t="s">
        <v>3</v>
      </c>
      <c r="E1" s="36" t="s">
        <v>4</v>
      </c>
      <c r="F1" s="37" t="s">
        <v>5</v>
      </c>
      <c r="G1" s="37" t="s">
        <v>6</v>
      </c>
      <c r="H1" s="38" t="s">
        <v>7</v>
      </c>
      <c r="I1" s="37" t="s">
        <v>8</v>
      </c>
      <c r="J1" s="37" t="s">
        <v>9</v>
      </c>
      <c r="K1" s="37" t="s">
        <v>10</v>
      </c>
    </row>
    <row r="2" spans="1:11" x14ac:dyDescent="0.25">
      <c r="A2" t="s">
        <v>11</v>
      </c>
      <c r="B2">
        <v>1</v>
      </c>
      <c r="C2">
        <v>2</v>
      </c>
      <c r="D2">
        <v>2023</v>
      </c>
      <c r="E2" s="25">
        <f>0.75*INDEX('13 - Electrical Readings'!$H$8:$H$987,1+(2*(ROWS(A$1:A1)-1)))+INDEX('13 - Electrical Readings'!$Q$8:$Q$987,1+(2*(ROWS(A$1:A1)-1)))</f>
        <v>51826.75</v>
      </c>
      <c r="F2">
        <v>4.1000000000000002E-2</v>
      </c>
      <c r="G2" s="26">
        <f>0.75*INDEX('9 - Water Readings'!$F$8:$F$985,1+(2*(ROWS(A$1:A1)-1)))+INDEX('9 - Water Readings'!$M$8:$M$985,1+(2*(ROWS(A$1:A1)-1)))</f>
        <v>587.25</v>
      </c>
      <c r="H2" s="24">
        <v>1.5571912601017661</v>
      </c>
      <c r="I2" s="24">
        <f>'Submetering '!AA2</f>
        <v>132</v>
      </c>
      <c r="J2">
        <f>'Submetering '!AB2</f>
        <v>398</v>
      </c>
      <c r="K2">
        <f>'Submetering '!AC2</f>
        <v>1.2</v>
      </c>
    </row>
    <row r="3" spans="1:11" x14ac:dyDescent="0.25">
      <c r="A3" t="s">
        <v>11</v>
      </c>
      <c r="B3">
        <f>B2+1</f>
        <v>2</v>
      </c>
      <c r="C3">
        <v>2</v>
      </c>
      <c r="D3">
        <v>2023</v>
      </c>
      <c r="E3" s="25">
        <f>0.75*INDEX('13 - Electrical Readings'!$H$8:$H$987,1+(2*(ROWS(A$1:A2)-1)))+INDEX('13 - Electrical Readings'!$Q$8:$Q$987,1+(2*(ROWS(A$1:A2)-1)))</f>
        <v>49183.5</v>
      </c>
      <c r="F3">
        <v>4.1000000000000002E-2</v>
      </c>
      <c r="G3" s="26">
        <f>0.75*INDEX('9 - Water Readings'!$F$8:$F$985,1+(2*(ROWS(A$1:A2)-1)))+INDEX('9 - Water Readings'!$M$8:$M$985,1+(2*(ROWS(A$1:A2)-1)))</f>
        <v>638</v>
      </c>
      <c r="H3" s="24">
        <v>1.5571912601017661</v>
      </c>
      <c r="I3" s="24">
        <f>'Submetering '!AA3</f>
        <v>156</v>
      </c>
      <c r="J3">
        <f>'Submetering '!AB3</f>
        <v>570</v>
      </c>
      <c r="K3">
        <f>'Submetering '!AC3</f>
        <v>1.3</v>
      </c>
    </row>
    <row r="4" spans="1:11" x14ac:dyDescent="0.25">
      <c r="A4" t="s">
        <v>11</v>
      </c>
      <c r="B4">
        <f t="shared" ref="B4:B29" si="0">B3+1</f>
        <v>3</v>
      </c>
      <c r="C4">
        <v>2</v>
      </c>
      <c r="D4">
        <v>2023</v>
      </c>
      <c r="E4" s="25">
        <f>0.75*INDEX('13 - Electrical Readings'!$H$8:$H$987,1+(2*(ROWS(A$1:A3)-1)))+INDEX('13 - Electrical Readings'!$Q$8:$Q$987,1+(2*(ROWS(A$1:A3)-1)))</f>
        <v>50817</v>
      </c>
      <c r="F4">
        <v>4.1000000000000002E-2</v>
      </c>
      <c r="G4" s="26">
        <f>0.75*INDEX('9 - Water Readings'!$F$8:$F$985,1+(2*(ROWS(A$1:A3)-1)))+INDEX('9 - Water Readings'!$M$8:$M$985,1+(2*(ROWS(A$1:A3)-1)))</f>
        <v>618</v>
      </c>
      <c r="H4" s="24">
        <v>1.5571912601017661</v>
      </c>
      <c r="I4" s="24">
        <f>'Submetering '!AA4</f>
        <v>138</v>
      </c>
      <c r="J4">
        <f>'Submetering '!AB4</f>
        <v>498</v>
      </c>
      <c r="K4">
        <f>'Submetering '!AC4</f>
        <v>0.8</v>
      </c>
    </row>
    <row r="5" spans="1:11" x14ac:dyDescent="0.25">
      <c r="A5" t="s">
        <v>11</v>
      </c>
      <c r="B5">
        <f t="shared" si="0"/>
        <v>4</v>
      </c>
      <c r="C5">
        <v>2</v>
      </c>
      <c r="D5">
        <v>2023</v>
      </c>
      <c r="E5" s="25">
        <f>0.75*INDEX('13 - Electrical Readings'!$H$8:$H$987,1+(2*(ROWS(A$1:A4)-1)))+INDEX('13 - Electrical Readings'!$Q$8:$Q$987,1+(2*(ROWS(A$1:A4)-1)))</f>
        <v>50496.25</v>
      </c>
      <c r="F5">
        <v>4.1000000000000002E-2</v>
      </c>
      <c r="G5" s="26">
        <f>0.75*INDEX('9 - Water Readings'!$F$8:$F$985,1+(2*(ROWS(A$1:A4)-1)))+INDEX('9 - Water Readings'!$M$8:$M$985,1+(2*(ROWS(A$1:A4)-1)))</f>
        <v>608</v>
      </c>
      <c r="H5" s="24">
        <v>1.5571912601017661</v>
      </c>
      <c r="I5" s="24">
        <f>'Submetering '!AA5</f>
        <v>104</v>
      </c>
      <c r="J5">
        <f>'Submetering '!AB5</f>
        <v>320</v>
      </c>
      <c r="K5">
        <f>'Submetering '!AC5</f>
        <v>0.1</v>
      </c>
    </row>
    <row r="6" spans="1:11" x14ac:dyDescent="0.25">
      <c r="A6" t="s">
        <v>11</v>
      </c>
      <c r="B6">
        <f t="shared" si="0"/>
        <v>5</v>
      </c>
      <c r="C6">
        <v>2</v>
      </c>
      <c r="D6">
        <v>2023</v>
      </c>
      <c r="E6" s="25">
        <f>0.75*INDEX('13 - Electrical Readings'!$H$8:$H$987,1+(2*(ROWS(A$1:A5)-1)))+INDEX('13 - Electrical Readings'!$Q$8:$Q$987,1+(2*(ROWS(A$1:A5)-1)))</f>
        <v>49944.5</v>
      </c>
      <c r="F6">
        <v>4.1000000000000002E-2</v>
      </c>
      <c r="G6" s="26">
        <f>0.75*INDEX('9 - Water Readings'!$F$8:$F$985,1+(2*(ROWS(A$1:A5)-1)))+INDEX('9 - Water Readings'!$M$8:$M$985,1+(2*(ROWS(A$1:A5)-1)))</f>
        <v>545</v>
      </c>
      <c r="H6" s="24">
        <v>1.5571912601017661</v>
      </c>
      <c r="I6" s="24">
        <f>'Submetering '!AA6</f>
        <v>99</v>
      </c>
      <c r="J6">
        <f>'Submetering '!AB6</f>
        <v>262</v>
      </c>
      <c r="K6">
        <f>'Submetering '!AC6</f>
        <v>0.3</v>
      </c>
    </row>
    <row r="7" spans="1:11" x14ac:dyDescent="0.25">
      <c r="A7" t="s">
        <v>11</v>
      </c>
      <c r="B7">
        <f t="shared" si="0"/>
        <v>6</v>
      </c>
      <c r="C7">
        <v>2</v>
      </c>
      <c r="D7">
        <v>2023</v>
      </c>
      <c r="E7" s="25">
        <f>0.75*INDEX('13 - Electrical Readings'!$H$8:$H$987,1+(2*(ROWS(A$1:A6)-1)))+INDEX('13 - Electrical Readings'!$Q$8:$Q$987,1+(2*(ROWS(A$1:A6)-1)))</f>
        <v>54081.75</v>
      </c>
      <c r="F7">
        <v>4.1000000000000002E-2</v>
      </c>
      <c r="G7" s="26">
        <f>0.75*INDEX('9 - Water Readings'!$F$8:$F$985,1+(2*(ROWS(A$1:A6)-1)))+INDEX('9 - Water Readings'!$M$8:$M$985,1+(2*(ROWS(A$1:A6)-1)))</f>
        <v>578</v>
      </c>
      <c r="H7" s="24">
        <v>1.5571912601017661</v>
      </c>
      <c r="I7" s="24">
        <f>'Submetering '!AA7</f>
        <v>127</v>
      </c>
      <c r="J7">
        <f>'Submetering '!AB7</f>
        <v>310</v>
      </c>
      <c r="K7">
        <f>'Submetering '!AC7</f>
        <v>0.6</v>
      </c>
    </row>
    <row r="8" spans="1:11" x14ac:dyDescent="0.25">
      <c r="A8" t="s">
        <v>11</v>
      </c>
      <c r="B8">
        <f t="shared" si="0"/>
        <v>7</v>
      </c>
      <c r="C8">
        <v>2</v>
      </c>
      <c r="D8">
        <v>2023</v>
      </c>
      <c r="E8" s="25">
        <f>0.75*INDEX('13 - Electrical Readings'!$H$8:$H$987,1+(2*(ROWS(A$1:A7)-1)))+INDEX('13 - Electrical Readings'!$Q$8:$Q$987,1+(2*(ROWS(A$1:A7)-1)))</f>
        <v>55491</v>
      </c>
      <c r="F8">
        <v>4.1000000000000002E-2</v>
      </c>
      <c r="G8" s="26">
        <f>0.75*INDEX('9 - Water Readings'!$F$8:$F$985,1+(2*(ROWS(A$1:A7)-1)))+INDEX('9 - Water Readings'!$M$8:$M$985,1+(2*(ROWS(A$1:A7)-1)))</f>
        <v>573</v>
      </c>
      <c r="H8" s="24">
        <v>1.5571912601017661</v>
      </c>
      <c r="I8" s="24">
        <f>'Submetering '!AA8</f>
        <v>116</v>
      </c>
      <c r="J8">
        <f>'Submetering '!AB8</f>
        <v>294</v>
      </c>
      <c r="K8">
        <f>'Submetering '!AC8</f>
        <v>3</v>
      </c>
    </row>
    <row r="9" spans="1:11" x14ac:dyDescent="0.25">
      <c r="A9" t="s">
        <v>11</v>
      </c>
      <c r="B9">
        <f t="shared" si="0"/>
        <v>8</v>
      </c>
      <c r="C9">
        <v>2</v>
      </c>
      <c r="D9">
        <v>2023</v>
      </c>
      <c r="E9" s="25">
        <f>0.75*INDEX('13 - Electrical Readings'!$H$8:$H$987,1+(2*(ROWS(A$1:A8)-1)))+INDEX('13 - Electrical Readings'!$Q$8:$Q$987,1+(2*(ROWS(A$1:A8)-1)))</f>
        <v>55782.25</v>
      </c>
      <c r="F9">
        <v>4.1000000000000002E-2</v>
      </c>
      <c r="G9" s="26">
        <f>0.75*INDEX('9 - Water Readings'!$F$8:$F$985,1+(2*(ROWS(A$1:A8)-1)))+INDEX('9 - Water Readings'!$M$8:$M$985,1+(2*(ROWS(A$1:A8)-1)))</f>
        <v>596.5</v>
      </c>
      <c r="H9" s="24">
        <v>1.5571912601017661</v>
      </c>
      <c r="I9" s="24">
        <f>'Submetering '!AA9</f>
        <v>113</v>
      </c>
      <c r="J9">
        <f>'Submetering '!AB9</f>
        <v>350</v>
      </c>
      <c r="K9">
        <f>'Submetering '!AC9</f>
        <v>0.9</v>
      </c>
    </row>
    <row r="10" spans="1:11" x14ac:dyDescent="0.25">
      <c r="A10" t="s">
        <v>11</v>
      </c>
      <c r="B10">
        <f t="shared" si="0"/>
        <v>9</v>
      </c>
      <c r="C10">
        <v>2</v>
      </c>
      <c r="D10">
        <v>2023</v>
      </c>
      <c r="E10" s="25">
        <f>0.75*INDEX('13 - Electrical Readings'!$H$8:$H$987,1+(2*(ROWS(A$1:A9)-1)))+INDEX('13 - Electrical Readings'!$Q$8:$Q$987,1+(2*(ROWS(A$1:A9)-1)))</f>
        <v>50646.5</v>
      </c>
      <c r="F10">
        <v>4.1000000000000002E-2</v>
      </c>
      <c r="G10" s="26">
        <f>0.75*INDEX('9 - Water Readings'!$F$8:$F$985,1+(2*(ROWS(A$1:A9)-1)))+INDEX('9 - Water Readings'!$M$8:$M$985,1+(2*(ROWS(A$1:A9)-1)))</f>
        <v>647</v>
      </c>
      <c r="H10" s="24">
        <v>1.5571912601017661</v>
      </c>
      <c r="I10" s="24">
        <f>'Submetering '!AA10</f>
        <v>122</v>
      </c>
      <c r="J10">
        <f>'Submetering '!AB10</f>
        <v>448</v>
      </c>
      <c r="K10">
        <f>'Submetering '!AC10</f>
        <v>0.3</v>
      </c>
    </row>
    <row r="11" spans="1:11" x14ac:dyDescent="0.25">
      <c r="A11" t="s">
        <v>11</v>
      </c>
      <c r="B11">
        <f t="shared" si="0"/>
        <v>10</v>
      </c>
      <c r="C11">
        <v>2</v>
      </c>
      <c r="D11">
        <v>2023</v>
      </c>
      <c r="E11" s="25">
        <f>0.75*INDEX('13 - Electrical Readings'!$H$8:$H$987,1+(2*(ROWS(A$1:A10)-1)))+INDEX('13 - Electrical Readings'!$Q$8:$Q$987,1+(2*(ROWS(A$1:A10)-1)))</f>
        <v>50357.75</v>
      </c>
      <c r="F11">
        <v>4.1000000000000002E-2</v>
      </c>
      <c r="G11" s="26">
        <f>0.75*INDEX('9 - Water Readings'!$F$8:$F$985,1+(2*(ROWS(A$1:A10)-1)))+INDEX('9 - Water Readings'!$M$8:$M$985,1+(2*(ROWS(A$1:A10)-1)))</f>
        <v>645</v>
      </c>
      <c r="H11" s="24">
        <v>1.5571912601017661</v>
      </c>
      <c r="I11" s="24">
        <f>'Submetering '!AA11</f>
        <v>127</v>
      </c>
      <c r="J11">
        <f>'Submetering '!AB11</f>
        <v>522</v>
      </c>
      <c r="K11">
        <f>'Submetering '!AC11</f>
        <v>0</v>
      </c>
    </row>
    <row r="12" spans="1:11" x14ac:dyDescent="0.25">
      <c r="A12" t="s">
        <v>11</v>
      </c>
      <c r="B12">
        <f t="shared" si="0"/>
        <v>11</v>
      </c>
      <c r="C12">
        <v>2</v>
      </c>
      <c r="D12">
        <v>2023</v>
      </c>
      <c r="E12" s="25">
        <f>0.75*INDEX('13 - Electrical Readings'!$H$8:$H$987,1+(2*(ROWS(A$1:A11)-1)))+INDEX('13 - Electrical Readings'!$Q$8:$Q$987,1+(2*(ROWS(A$1:A11)-1)))</f>
        <v>49644.5</v>
      </c>
      <c r="F12">
        <v>4.1000000000000002E-2</v>
      </c>
      <c r="G12" s="26">
        <f>0.75*INDEX('9 - Water Readings'!$F$8:$F$985,1+(2*(ROWS(A$1:A11)-1)))+INDEX('9 - Water Readings'!$M$8:$M$985,1+(2*(ROWS(A$1:A11)-1)))</f>
        <v>594</v>
      </c>
      <c r="H12" s="24">
        <v>1.5571912601017661</v>
      </c>
      <c r="I12" s="24">
        <f>'Submetering '!AA12</f>
        <v>173</v>
      </c>
      <c r="J12">
        <f>'Submetering '!AB12</f>
        <v>626</v>
      </c>
      <c r="K12">
        <f>'Submetering '!AC12</f>
        <v>0.3</v>
      </c>
    </row>
    <row r="13" spans="1:11" x14ac:dyDescent="0.25">
      <c r="A13" t="s">
        <v>11</v>
      </c>
      <c r="B13">
        <f t="shared" si="0"/>
        <v>12</v>
      </c>
      <c r="C13">
        <v>2</v>
      </c>
      <c r="D13">
        <v>2023</v>
      </c>
      <c r="E13" s="25">
        <f>0.75*INDEX('13 - Electrical Readings'!$H$8:$H$987,1+(2*(ROWS(A$1:A12)-1)))+INDEX('13 - Electrical Readings'!$Q$8:$Q$987,1+(2*(ROWS(A$1:A12)-1)))</f>
        <v>51794</v>
      </c>
      <c r="F13">
        <v>4.1000000000000002E-2</v>
      </c>
      <c r="G13" s="26">
        <f>0.75*INDEX('9 - Water Readings'!$F$8:$F$985,1+(2*(ROWS(A$1:A12)-1)))+INDEX('9 - Water Readings'!$M$8:$M$985,1+(2*(ROWS(A$1:A12)-1)))</f>
        <v>627</v>
      </c>
      <c r="H13" s="24">
        <v>1.5571912601017661</v>
      </c>
      <c r="I13" s="24">
        <f>'Submetering '!AA13</f>
        <v>184</v>
      </c>
      <c r="J13">
        <f>'Submetering '!AB13</f>
        <v>616</v>
      </c>
      <c r="K13">
        <f>'Submetering '!AC13</f>
        <v>0.5</v>
      </c>
    </row>
    <row r="14" spans="1:11" x14ac:dyDescent="0.25">
      <c r="A14" t="s">
        <v>11</v>
      </c>
      <c r="B14">
        <f t="shared" si="0"/>
        <v>13</v>
      </c>
      <c r="C14">
        <v>2</v>
      </c>
      <c r="D14">
        <v>2023</v>
      </c>
      <c r="E14" s="25">
        <f>0.75*INDEX('13 - Electrical Readings'!$H$8:$H$987,1+(2*(ROWS(A$1:A13)-1)))+INDEX('13 - Electrical Readings'!$Q$8:$Q$987,1+(2*(ROWS(A$1:A13)-1)))</f>
        <v>53028</v>
      </c>
      <c r="F14">
        <v>4.1000000000000002E-2</v>
      </c>
      <c r="G14" s="26">
        <f>0.75*INDEX('9 - Water Readings'!$F$8:$F$985,1+(2*(ROWS(A$1:A13)-1)))+INDEX('9 - Water Readings'!$M$8:$M$985,1+(2*(ROWS(A$1:A13)-1)))</f>
        <v>621</v>
      </c>
      <c r="H14" s="24">
        <v>1.5571912601017661</v>
      </c>
      <c r="I14" s="24">
        <f>'Submetering '!AA14</f>
        <v>139</v>
      </c>
      <c r="J14">
        <f>'Submetering '!AB14</f>
        <v>474</v>
      </c>
      <c r="K14">
        <f>'Submetering '!AC14</f>
        <v>2.2000000000000002</v>
      </c>
    </row>
    <row r="15" spans="1:11" x14ac:dyDescent="0.25">
      <c r="A15" t="s">
        <v>11</v>
      </c>
      <c r="B15">
        <f t="shared" si="0"/>
        <v>14</v>
      </c>
      <c r="C15">
        <v>2</v>
      </c>
      <c r="D15">
        <v>2023</v>
      </c>
      <c r="E15" s="25">
        <f>0.75*INDEX('13 - Electrical Readings'!$H$8:$H$987,1+(2*(ROWS(A$1:A14)-1)))+INDEX('13 - Electrical Readings'!$Q$8:$Q$987,1+(2*(ROWS(A$1:A14)-1)))</f>
        <v>53876.25</v>
      </c>
      <c r="F15">
        <v>4.1000000000000002E-2</v>
      </c>
      <c r="G15" s="26">
        <f>0.75*INDEX('9 - Water Readings'!$F$8:$F$985,1+(2*(ROWS(A$1:A14)-1)))+INDEX('9 - Water Readings'!$M$8:$M$985,1+(2*(ROWS(A$1:A14)-1)))</f>
        <v>646</v>
      </c>
      <c r="H15" s="24">
        <v>1.5571912601017661</v>
      </c>
      <c r="I15" s="24">
        <f>'Submetering '!AA15</f>
        <v>150</v>
      </c>
      <c r="J15">
        <f>'Submetering '!AB15</f>
        <v>486</v>
      </c>
      <c r="K15">
        <f>'Submetering '!AC15</f>
        <v>2.2000000000000002</v>
      </c>
    </row>
    <row r="16" spans="1:11" x14ac:dyDescent="0.25">
      <c r="A16" t="s">
        <v>11</v>
      </c>
      <c r="B16">
        <f t="shared" si="0"/>
        <v>15</v>
      </c>
      <c r="C16">
        <v>2</v>
      </c>
      <c r="D16">
        <v>2023</v>
      </c>
      <c r="E16" s="25">
        <f>0.75*INDEX('13 - Electrical Readings'!$H$8:$H$987,1+(2*(ROWS(A$1:A15)-1)))+INDEX('13 - Electrical Readings'!$Q$8:$Q$987,1+(2*(ROWS(A$1:A15)-1)))</f>
        <v>55722.25</v>
      </c>
      <c r="F16">
        <v>4.1000000000000002E-2</v>
      </c>
      <c r="G16" s="26">
        <f>0.75*INDEX('9 - Water Readings'!$F$8:$F$985,1+(2*(ROWS(A$1:A15)-1)))+INDEX('9 - Water Readings'!$M$8:$M$985,1+(2*(ROWS(A$1:A15)-1)))</f>
        <v>684</v>
      </c>
      <c r="H16" s="24">
        <v>1.5571912601017661</v>
      </c>
      <c r="I16" s="24">
        <f>'Submetering '!AA16</f>
        <v>127</v>
      </c>
      <c r="J16">
        <f>'Submetering '!AB16</f>
        <v>438</v>
      </c>
      <c r="K16">
        <f>'Submetering '!AC16</f>
        <v>2.8</v>
      </c>
    </row>
    <row r="17" spans="1:11" x14ac:dyDescent="0.25">
      <c r="A17" t="s">
        <v>11</v>
      </c>
      <c r="B17">
        <f t="shared" si="0"/>
        <v>16</v>
      </c>
      <c r="C17">
        <v>2</v>
      </c>
      <c r="D17">
        <v>2023</v>
      </c>
      <c r="E17" s="25">
        <f>0.75*INDEX('13 - Electrical Readings'!$H$8:$H$987,1+(2*(ROWS(A$1:A16)-1)))+INDEX('13 - Electrical Readings'!$Q$8:$Q$987,1+(2*(ROWS(A$1:A16)-1)))</f>
        <v>51983</v>
      </c>
      <c r="F17">
        <v>4.1000000000000002E-2</v>
      </c>
      <c r="G17" s="26">
        <f>0.75*INDEX('9 - Water Readings'!$F$8:$F$985,1+(2*(ROWS(A$1:A16)-1)))+INDEX('9 - Water Readings'!$M$8:$M$985,1+(2*(ROWS(A$1:A16)-1)))</f>
        <v>603</v>
      </c>
      <c r="H17" s="24">
        <v>1.5571912601017661</v>
      </c>
      <c r="I17" s="24">
        <f>'Submetering '!AA17</f>
        <v>163</v>
      </c>
      <c r="J17">
        <f>'Submetering '!AB17</f>
        <v>590</v>
      </c>
      <c r="K17">
        <f>'Submetering '!AC17</f>
        <v>0.8</v>
      </c>
    </row>
    <row r="18" spans="1:11" x14ac:dyDescent="0.25">
      <c r="A18" t="s">
        <v>11</v>
      </c>
      <c r="B18">
        <f t="shared" si="0"/>
        <v>17</v>
      </c>
      <c r="C18">
        <v>2</v>
      </c>
      <c r="D18">
        <v>2023</v>
      </c>
      <c r="E18" s="25">
        <f>0.75*INDEX('13 - Electrical Readings'!$H$8:$H$987,1+(2*(ROWS(A$1:A17)-1)))+INDEX('13 - Electrical Readings'!$Q$8:$Q$987,1+(2*(ROWS(A$1:A17)-1)))</f>
        <v>54543.75</v>
      </c>
      <c r="F18">
        <v>4.1000000000000002E-2</v>
      </c>
      <c r="G18" s="26">
        <f>0.75*INDEX('9 - Water Readings'!$F$8:$F$985,1+(2*(ROWS(A$1:A17)-1)))+INDEX('9 - Water Readings'!$M$8:$M$985,1+(2*(ROWS(A$1:A17)-1)))</f>
        <v>720</v>
      </c>
      <c r="H18" s="24">
        <v>1.5571912601017661</v>
      </c>
      <c r="I18" s="24">
        <f>'Submetering '!AA18</f>
        <v>128</v>
      </c>
      <c r="J18">
        <f>'Submetering '!AB18</f>
        <v>476</v>
      </c>
      <c r="K18">
        <f>'Submetering '!AC18</f>
        <v>0.3</v>
      </c>
    </row>
    <row r="19" spans="1:11" x14ac:dyDescent="0.25">
      <c r="A19" t="s">
        <v>11</v>
      </c>
      <c r="B19">
        <f t="shared" si="0"/>
        <v>18</v>
      </c>
      <c r="C19">
        <v>2</v>
      </c>
      <c r="D19">
        <v>2023</v>
      </c>
      <c r="E19" s="25">
        <f>0.75*INDEX('13 - Electrical Readings'!$H$8:$H$987,1+(2*(ROWS(A$1:A18)-1)))+INDEX('13 - Electrical Readings'!$Q$8:$Q$987,1+(2*(ROWS(A$1:A18)-1)))</f>
        <v>53062.5</v>
      </c>
      <c r="F19">
        <v>4.1000000000000002E-2</v>
      </c>
      <c r="G19" s="26">
        <f>0.75*INDEX('9 - Water Readings'!$F$8:$F$985,1+(2*(ROWS(A$1:A18)-1)))+INDEX('9 - Water Readings'!$M$8:$M$985,1+(2*(ROWS(A$1:A18)-1)))</f>
        <v>647</v>
      </c>
      <c r="H19" s="24">
        <v>1.5571912601017661</v>
      </c>
      <c r="I19" s="24">
        <f>'Submetering '!AA19</f>
        <v>140</v>
      </c>
      <c r="J19">
        <f>'Submetering '!AB19</f>
        <v>414</v>
      </c>
      <c r="K19">
        <f>'Submetering '!AC19</f>
        <v>0</v>
      </c>
    </row>
    <row r="20" spans="1:11" x14ac:dyDescent="0.25">
      <c r="A20" t="s">
        <v>11</v>
      </c>
      <c r="B20">
        <f t="shared" si="0"/>
        <v>19</v>
      </c>
      <c r="C20">
        <v>2</v>
      </c>
      <c r="D20">
        <v>2023</v>
      </c>
      <c r="E20" s="25">
        <f>0.75*INDEX('13 - Electrical Readings'!$H$8:$H$987,1+(2*(ROWS(A$1:A19)-1)))+INDEX('13 - Electrical Readings'!$Q$8:$Q$987,1+(2*(ROWS(A$1:A19)-1)))</f>
        <v>51501</v>
      </c>
      <c r="F20">
        <v>4.1000000000000002E-2</v>
      </c>
      <c r="G20" s="26">
        <f>0.75*INDEX('9 - Water Readings'!$F$8:$F$985,1+(2*(ROWS(A$1:A19)-1)))+INDEX('9 - Water Readings'!$M$8:$M$985,1+(2*(ROWS(A$1:A19)-1)))</f>
        <v>600</v>
      </c>
      <c r="H20" s="24">
        <v>1.5571912601017661</v>
      </c>
      <c r="I20" s="24">
        <f>'Submetering '!AA20</f>
        <v>213</v>
      </c>
      <c r="J20">
        <f>'Submetering '!AB20</f>
        <v>506</v>
      </c>
      <c r="K20">
        <f>'Submetering '!AC20</f>
        <v>0.3</v>
      </c>
    </row>
    <row r="21" spans="1:11" x14ac:dyDescent="0.25">
      <c r="A21" t="s">
        <v>11</v>
      </c>
      <c r="B21">
        <f t="shared" si="0"/>
        <v>20</v>
      </c>
      <c r="C21">
        <v>2</v>
      </c>
      <c r="D21">
        <v>2023</v>
      </c>
      <c r="E21" s="25">
        <f>0.75*INDEX('13 - Electrical Readings'!$H$8:$H$987,1+(2*(ROWS(A$1:A20)-1)))+INDEX('13 - Electrical Readings'!$Q$8:$Q$987,1+(2*(ROWS(A$1:A20)-1)))</f>
        <v>52167.5</v>
      </c>
      <c r="F21">
        <v>4.1000000000000002E-2</v>
      </c>
      <c r="G21" s="26">
        <f>0.75*INDEX('9 - Water Readings'!$F$8:$F$985,1+(2*(ROWS(A$1:A20)-1)))+INDEX('9 - Water Readings'!$M$8:$M$985,1+(2*(ROWS(A$1:A20)-1)))</f>
        <v>605</v>
      </c>
      <c r="H21" s="24">
        <v>1.5571912601017661</v>
      </c>
      <c r="I21" s="24">
        <f>'Submetering '!AA21</f>
        <v>209</v>
      </c>
      <c r="J21">
        <f>'Submetering '!AB21</f>
        <v>494</v>
      </c>
      <c r="K21">
        <f>'Submetering '!AC21</f>
        <v>0.5</v>
      </c>
    </row>
    <row r="22" spans="1:11" x14ac:dyDescent="0.25">
      <c r="A22" t="s">
        <v>11</v>
      </c>
      <c r="B22">
        <f t="shared" si="0"/>
        <v>21</v>
      </c>
      <c r="C22">
        <v>2</v>
      </c>
      <c r="D22">
        <v>2023</v>
      </c>
      <c r="E22" s="25">
        <f>0.75*INDEX('13 - Electrical Readings'!$H$8:$H$987,1+(2*(ROWS(A$1:A21)-1)))+INDEX('13 - Electrical Readings'!$Q$8:$Q$987,1+(2*(ROWS(A$1:A21)-1)))</f>
        <v>53265</v>
      </c>
      <c r="F22">
        <v>4.1000000000000002E-2</v>
      </c>
      <c r="G22" s="26">
        <f>0.75*INDEX('9 - Water Readings'!$F$8:$F$985,1+(2*(ROWS(A$1:A21)-1)))+INDEX('9 - Water Readings'!$M$8:$M$985,1+(2*(ROWS(A$1:A21)-1)))</f>
        <v>625</v>
      </c>
      <c r="H22" s="24">
        <v>1.5571912601017661</v>
      </c>
      <c r="I22" s="24">
        <f>'Submetering '!AA22</f>
        <v>205</v>
      </c>
      <c r="J22">
        <f>'Submetering '!AB22</f>
        <v>542</v>
      </c>
      <c r="K22">
        <f>'Submetering '!AC22</f>
        <v>1.3</v>
      </c>
    </row>
    <row r="23" spans="1:11" x14ac:dyDescent="0.25">
      <c r="A23" t="s">
        <v>11</v>
      </c>
      <c r="B23">
        <f t="shared" si="0"/>
        <v>22</v>
      </c>
      <c r="C23">
        <v>2</v>
      </c>
      <c r="D23">
        <v>2023</v>
      </c>
      <c r="E23" s="25">
        <f>0.75*INDEX('13 - Electrical Readings'!$H$8:$H$987,1+(2*(ROWS(A$1:A22)-1)))+INDEX('13 - Electrical Readings'!$Q$8:$Q$987,1+(2*(ROWS(A$1:A22)-1)))</f>
        <v>52465.75</v>
      </c>
      <c r="F23">
        <v>4.1000000000000002E-2</v>
      </c>
      <c r="G23" s="26">
        <f>0.75*INDEX('9 - Water Readings'!$F$8:$F$985,1+(2*(ROWS(A$1:A22)-1)))+INDEX('9 - Water Readings'!$M$8:$M$985,1+(2*(ROWS(A$1:A22)-1)))</f>
        <v>631</v>
      </c>
      <c r="H23" s="24">
        <v>1.5571912601017661</v>
      </c>
      <c r="I23" s="24">
        <f>'Submetering '!AA23</f>
        <v>164</v>
      </c>
      <c r="J23">
        <f>'Submetering '!AB23</f>
        <v>538</v>
      </c>
      <c r="K23">
        <f>'Submetering '!AC23</f>
        <v>1.9</v>
      </c>
    </row>
    <row r="24" spans="1:11" x14ac:dyDescent="0.25">
      <c r="A24" t="s">
        <v>11</v>
      </c>
      <c r="B24">
        <f t="shared" si="0"/>
        <v>23</v>
      </c>
      <c r="C24">
        <v>2</v>
      </c>
      <c r="D24">
        <v>2023</v>
      </c>
      <c r="E24" s="25">
        <f>0.75*INDEX('13 - Electrical Readings'!$H$8:$H$987,1+(2*(ROWS(A$1:A23)-1)))+INDEX('13 - Electrical Readings'!$Q$8:$Q$987,1+(2*(ROWS(A$1:A23)-1)))</f>
        <v>54765.75</v>
      </c>
      <c r="F24">
        <v>4.1000000000000002E-2</v>
      </c>
      <c r="G24" s="26">
        <f>0.75*INDEX('9 - Water Readings'!$F$8:$F$985,1+(2*(ROWS(A$1:A23)-1)))+INDEX('9 - Water Readings'!$M$8:$M$985,1+(2*(ROWS(A$1:A23)-1)))</f>
        <v>680</v>
      </c>
      <c r="H24" s="24">
        <v>1.5571912601017661</v>
      </c>
      <c r="I24" s="24">
        <f>'Submetering '!AA24</f>
        <v>205</v>
      </c>
      <c r="J24">
        <f>'Submetering '!AB24</f>
        <v>736</v>
      </c>
      <c r="K24">
        <f>'Submetering '!AC24</f>
        <v>2.7</v>
      </c>
    </row>
    <row r="25" spans="1:11" x14ac:dyDescent="0.25">
      <c r="A25" t="s">
        <v>11</v>
      </c>
      <c r="B25">
        <f t="shared" si="0"/>
        <v>24</v>
      </c>
      <c r="C25">
        <v>2</v>
      </c>
      <c r="D25">
        <v>2023</v>
      </c>
      <c r="E25" s="25">
        <f>0.75*INDEX('13 - Electrical Readings'!$H$8:$H$987,1+(2*(ROWS(A$1:A24)-1)))+INDEX('13 - Electrical Readings'!$Q$8:$Q$987,1+(2*(ROWS(A$1:A24)-1)))</f>
        <v>58636</v>
      </c>
      <c r="F25">
        <v>4.1000000000000002E-2</v>
      </c>
      <c r="G25" s="26">
        <f>0.75*INDEX('9 - Water Readings'!$F$8:$F$985,1+(2*(ROWS(A$1:A24)-1)))+INDEX('9 - Water Readings'!$M$8:$M$985,1+(2*(ROWS(A$1:A24)-1)))</f>
        <v>723</v>
      </c>
      <c r="H25" s="24">
        <v>1.5571912601017661</v>
      </c>
      <c r="I25" s="24">
        <f>'Submetering '!AA25</f>
        <v>224</v>
      </c>
      <c r="J25">
        <f>'Submetering '!AB25</f>
        <v>764</v>
      </c>
      <c r="K25">
        <f>'Submetering '!AC25</f>
        <v>2.7</v>
      </c>
    </row>
    <row r="26" spans="1:11" x14ac:dyDescent="0.25">
      <c r="A26" t="s">
        <v>11</v>
      </c>
      <c r="B26">
        <f>B25+1</f>
        <v>25</v>
      </c>
      <c r="C26">
        <v>2</v>
      </c>
      <c r="D26">
        <v>2023</v>
      </c>
      <c r="E26" s="25">
        <f>0.75*INDEX('13 - Electrical Readings'!$H$8:$H$987,1+(2*(ROWS(A$1:A25)-1)))+INDEX('13 - Electrical Readings'!$Q$8:$Q$987,1+(2*(ROWS(A$1:A25)-1)))</f>
        <v>57862</v>
      </c>
      <c r="F26">
        <v>4.1000000000000002E-2</v>
      </c>
      <c r="G26" s="26">
        <f>0.75*INDEX('9 - Water Readings'!$F$8:$F$985,1+(2*(ROWS(A$1:A25)-1)))+INDEX('9 - Water Readings'!$M$8:$M$985,1+(2*(ROWS(A$1:A25)-1)))</f>
        <v>682</v>
      </c>
      <c r="H26" s="24">
        <v>1.5571912601017661</v>
      </c>
      <c r="I26" s="24">
        <f>'Submetering '!AA26</f>
        <v>221</v>
      </c>
      <c r="J26">
        <f>'Submetering '!AB26</f>
        <v>674</v>
      </c>
      <c r="K26">
        <f>'Submetering '!AC26</f>
        <v>3</v>
      </c>
    </row>
    <row r="27" spans="1:11" x14ac:dyDescent="0.25">
      <c r="A27" t="s">
        <v>11</v>
      </c>
      <c r="B27">
        <f t="shared" si="0"/>
        <v>26</v>
      </c>
      <c r="C27">
        <v>2</v>
      </c>
      <c r="D27">
        <v>2023</v>
      </c>
      <c r="E27" s="25">
        <f>0.75*INDEX('13 - Electrical Readings'!$H$8:$H$987,1+(2*(ROWS(A$1:A26)-1)))+INDEX('13 - Electrical Readings'!$Q$8:$Q$987,1+(2*(ROWS(A$1:A26)-1)))</f>
        <v>58447.25</v>
      </c>
      <c r="F27">
        <v>4.1000000000000002E-2</v>
      </c>
      <c r="G27" s="26">
        <f>0.75*INDEX('9 - Water Readings'!$F$8:$F$985,1+(2*(ROWS(A$1:A26)-1)))+INDEX('9 - Water Readings'!$M$8:$M$985,1+(2*(ROWS(A$1:A26)-1)))</f>
        <v>678</v>
      </c>
      <c r="H27" s="24">
        <v>1.5571912601017661</v>
      </c>
      <c r="I27" s="24">
        <f>'Submetering '!AA27</f>
        <v>221</v>
      </c>
      <c r="J27">
        <f>'Submetering '!AB27</f>
        <v>702</v>
      </c>
      <c r="K27">
        <f>'Submetering '!AC27</f>
        <v>3.2</v>
      </c>
    </row>
    <row r="28" spans="1:11" x14ac:dyDescent="0.25">
      <c r="A28" t="s">
        <v>11</v>
      </c>
      <c r="B28">
        <f t="shared" si="0"/>
        <v>27</v>
      </c>
      <c r="C28">
        <v>2</v>
      </c>
      <c r="D28">
        <v>2023</v>
      </c>
      <c r="E28" s="25">
        <f>0.75*INDEX('13 - Electrical Readings'!$H$8:$H$987,1+(2*(ROWS(A$1:A27)-1)))+INDEX('13 - Electrical Readings'!$Q$8:$Q$987,1+(2*(ROWS(A$1:A27)-1)))</f>
        <v>59437.75</v>
      </c>
      <c r="F28">
        <v>4.1000000000000002E-2</v>
      </c>
      <c r="G28" s="26">
        <f>0.75*INDEX('9 - Water Readings'!$F$8:$F$985,1+(2*(ROWS(A$1:A27)-1)))+INDEX('9 - Water Readings'!$M$8:$M$985,1+(2*(ROWS(A$1:A27)-1)))</f>
        <v>633.5</v>
      </c>
      <c r="H28" s="24">
        <v>1.5571912601017661</v>
      </c>
      <c r="I28" s="24">
        <f>'Submetering '!AA28</f>
        <v>215</v>
      </c>
      <c r="J28">
        <f>'Submetering '!AB28</f>
        <v>682</v>
      </c>
      <c r="K28">
        <f>'Submetering '!AC28</f>
        <v>3.2</v>
      </c>
    </row>
    <row r="29" spans="1:11" x14ac:dyDescent="0.25">
      <c r="A29" t="s">
        <v>11</v>
      </c>
      <c r="B29">
        <f t="shared" si="0"/>
        <v>28</v>
      </c>
      <c r="C29">
        <v>2</v>
      </c>
      <c r="D29">
        <v>2023</v>
      </c>
      <c r="E29" s="25">
        <f>0.75*INDEX('13 - Electrical Readings'!$H$8:$H$987,1+(2*(ROWS(A$1:A28)-1)))+INDEX('13 - Electrical Readings'!$Q$8:$Q$987,1+(2*(ROWS(A$1:A28)-1)))</f>
        <v>58405.25</v>
      </c>
      <c r="F29">
        <v>4.1000000000000002E-2</v>
      </c>
      <c r="G29" s="26">
        <f>0.75*INDEX('9 - Water Readings'!$F$8:$F$985,1+(2*(ROWS(A$1:A28)-1)))+INDEX('9 - Water Readings'!$M$8:$M$985,1+(2*(ROWS(A$1:A28)-1)))</f>
        <v>648</v>
      </c>
      <c r="H29" s="24">
        <v>1.5571912601017661</v>
      </c>
      <c r="I29" s="24">
        <f>'Submetering '!AA29</f>
        <v>217</v>
      </c>
      <c r="J29">
        <f>'Submetering '!AB29</f>
        <v>672</v>
      </c>
      <c r="K29">
        <f>'Submetering '!AC29</f>
        <v>3.5</v>
      </c>
    </row>
    <row r="30" spans="1:11" x14ac:dyDescent="0.25">
      <c r="E30" s="23">
        <f>SUM(E2:E29)</f>
        <v>1499234.75</v>
      </c>
      <c r="G30" s="23">
        <f>SUM(G2:G29)</f>
        <v>17683.25</v>
      </c>
      <c r="I30" s="23">
        <f>SUM(I2:I29)</f>
        <v>4532</v>
      </c>
      <c r="J30" s="23">
        <f>SUM(J2:J29)</f>
        <v>14402</v>
      </c>
      <c r="K30" s="23">
        <f>SUM(K2:K29)</f>
        <v>39.900000000000006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3"/>
  <sheetViews>
    <sheetView zoomScale="70" zoomScaleNormal="70" workbookViewId="0">
      <selection activeCell="W37" sqref="W37"/>
    </sheetView>
  </sheetViews>
  <sheetFormatPr defaultColWidth="11.5703125" defaultRowHeight="15" x14ac:dyDescent="0.25"/>
  <cols>
    <col min="1" max="3" width="11.5703125" style="32" customWidth="1"/>
    <col min="4" max="4" width="13.42578125" style="29" customWidth="1"/>
    <col min="5" max="6" width="12.5703125" style="30" customWidth="1"/>
    <col min="7" max="14" width="12.5703125" style="29" customWidth="1"/>
    <col min="15" max="15" width="14" style="30" bestFit="1" customWidth="1"/>
    <col min="16" max="26" width="11.5703125" style="30" customWidth="1"/>
    <col min="27" max="16384" width="11.5703125" style="29"/>
  </cols>
  <sheetData>
    <row r="1" spans="1:29" s="28" customFormat="1" ht="45" x14ac:dyDescent="0.25">
      <c r="A1" s="83" t="s">
        <v>0</v>
      </c>
      <c r="B1" s="83" t="s">
        <v>1</v>
      </c>
      <c r="C1" s="83" t="s">
        <v>2</v>
      </c>
      <c r="D1" s="84" t="s">
        <v>3</v>
      </c>
      <c r="E1" s="81" t="s">
        <v>12</v>
      </c>
      <c r="F1" s="81" t="s">
        <v>13</v>
      </c>
      <c r="G1" s="81" t="s">
        <v>14</v>
      </c>
      <c r="H1" s="81" t="s">
        <v>15</v>
      </c>
      <c r="I1" s="81" t="s">
        <v>16</v>
      </c>
      <c r="J1" s="81" t="s">
        <v>17</v>
      </c>
      <c r="K1" s="85" t="s">
        <v>18</v>
      </c>
      <c r="L1" s="85" t="s">
        <v>19</v>
      </c>
      <c r="M1" s="85" t="s">
        <v>20</v>
      </c>
      <c r="N1" s="85" t="s">
        <v>21</v>
      </c>
      <c r="O1" s="81" t="s">
        <v>22</v>
      </c>
      <c r="P1" s="81" t="s">
        <v>23</v>
      </c>
      <c r="Q1" s="81" t="s">
        <v>24</v>
      </c>
      <c r="R1" s="81" t="s">
        <v>25</v>
      </c>
      <c r="S1" s="81" t="s">
        <v>26</v>
      </c>
      <c r="T1" s="81" t="s">
        <v>27</v>
      </c>
      <c r="U1" s="81" t="s">
        <v>28</v>
      </c>
      <c r="V1" s="81" t="s">
        <v>29</v>
      </c>
      <c r="W1" s="81" t="s">
        <v>30</v>
      </c>
      <c r="X1" s="81" t="s">
        <v>31</v>
      </c>
      <c r="Y1" s="81" t="s">
        <v>32</v>
      </c>
      <c r="Z1" s="81" t="s">
        <v>33</v>
      </c>
      <c r="AA1" s="82" t="s">
        <v>8</v>
      </c>
      <c r="AB1" s="82" t="s">
        <v>9</v>
      </c>
      <c r="AC1" s="82" t="s">
        <v>10</v>
      </c>
    </row>
    <row r="2" spans="1:29" x14ac:dyDescent="0.25">
      <c r="A2" s="32" t="s">
        <v>11</v>
      </c>
      <c r="B2" s="32">
        <v>1</v>
      </c>
      <c r="C2" s="32">
        <v>2</v>
      </c>
      <c r="D2" s="29">
        <v>2023</v>
      </c>
      <c r="E2" s="30">
        <f>INDEX('13 - Electrical Readings'!$C$8:$C$953,1+(2*(ROWS(A$1:A1)-1)))</f>
        <v>2525</v>
      </c>
      <c r="F2" s="30">
        <f>INDEX('13 - Electrical Readings'!$D$6:$D$953,1+(2*(ROWS(A$1:A2)-1)))</f>
        <v>637</v>
      </c>
      <c r="G2" s="29">
        <f>INDEX('13 - Electrical Readings'!$E$6:$E$953,1+(2*(ROWS(A$1:A2)-1)))</f>
        <v>10391</v>
      </c>
      <c r="H2" s="29">
        <f>INDEX('13 - Electrical Readings'!$F$6:$F$953,1+(2*(ROWS(A$1:A2)-1)))</f>
        <v>2308</v>
      </c>
      <c r="I2" s="30">
        <f>INDEX('13 - Electrical Readings'!$G$6:$G$953,1+(2*(ROWS(A$1:A2)-1)))</f>
        <v>408</v>
      </c>
      <c r="J2" s="29">
        <f>INDEX('13 - Electrical Readings'!$I$6:$I$953,1+(2*(ROWS(A$1:A2)-1)))</f>
        <v>1695</v>
      </c>
      <c r="K2" s="29">
        <f>INDEX('13 - Electrical Readings'!$J$6:$J$953,1+(2*(ROWS(B$1:B2)-1)))</f>
        <v>9514</v>
      </c>
      <c r="L2" s="29">
        <f>INDEX('13 - Electrical Readings'!$K$6:$K$953,1+(2*(ROWS(C$1:C2)-1)))</f>
        <v>3890</v>
      </c>
      <c r="M2" s="29">
        <f>INDEX('13 - Electrical Readings'!$L$6:$L$953,1+(2*(ROWS(D$1:D2)-1)))</f>
        <v>5051</v>
      </c>
      <c r="N2" s="29">
        <f>INDEX('13 - Electrical Readings'!$M$6:$M$953,1+(2*(ROWS(E$1:E2)-1)))</f>
        <v>8916</v>
      </c>
      <c r="O2" s="30">
        <f>INDEX('13 - Electrical Readings'!$N$6:$N$953,1+(2*(ROWS(E$1:E2)-1)))</f>
        <v>6937</v>
      </c>
      <c r="P2" s="30">
        <f>INDEX('13 - Electrical Readings'!$O$6:$O$953,1+(2*(ROWS(E$1:E2)-1)))</f>
        <v>952</v>
      </c>
      <c r="Q2" s="30">
        <f>INDEX('13 - Electrical Readings'!$P$6:$P$953,1+(2*(ROWS(E$1:E2)-1)))</f>
        <v>2670</v>
      </c>
      <c r="R2" s="30">
        <f>INDEX('9 - Water Readings'!$C$8:$C$955,1+(2*(ROWS(A$1:A1)-1)))</f>
        <v>3</v>
      </c>
      <c r="S2" s="30">
        <f>INDEX('9 - Water Readings'!$D$8:$D$954,1+(2*(ROWS(A$1:A1)-1)))</f>
        <v>0</v>
      </c>
      <c r="T2" s="30">
        <f>INDEX('9 - Water Readings'!$E$8:$E$955,1+(2*(ROWS(A$1:A1)-1)))</f>
        <v>0</v>
      </c>
      <c r="U2" s="30">
        <f>INDEX('9 - Water Readings'!$G$8:$G$954,1+(2*(ROWS(A$1:A1)-1)))</f>
        <v>142</v>
      </c>
      <c r="V2" s="30">
        <f>INDEX('9 - Water Readings'!$H$8:$H$955,1+(2*(ROWS(A$1:A1)-1)))</f>
        <v>17</v>
      </c>
      <c r="W2" s="30">
        <f>INDEX('9 - Water Readings'!$I$8:$I$955,1+(2*(ROWS(A$1:A1)-1)))</f>
        <v>73</v>
      </c>
      <c r="X2" s="30">
        <f>INDEX('9 - Water Readings'!$J$8:$J$955,1+(2*(ROWS(A$1:A1)-1)))</f>
        <v>292</v>
      </c>
      <c r="Y2" s="30">
        <f>INDEX('9 - Water Readings'!$K$8:$K$955,1+(2*(ROWS(A$1:A1)-1)))</f>
        <v>34</v>
      </c>
      <c r="Z2" s="30">
        <f>INDEX('9 - Water Readings'!$L$8:$L$955,1+(2*(ROWS(A$1:A1)-1)))</f>
        <v>27</v>
      </c>
      <c r="AA2" s="31">
        <f>'9 - Water Readings'!Q7</f>
        <v>132</v>
      </c>
      <c r="AB2" s="29">
        <f>'9 - Water Readings'!R7</f>
        <v>398</v>
      </c>
      <c r="AC2">
        <f>'9 - Water Readings'!S7</f>
        <v>1.2</v>
      </c>
    </row>
    <row r="3" spans="1:29" x14ac:dyDescent="0.25">
      <c r="A3" s="32" t="s">
        <v>11</v>
      </c>
      <c r="B3" s="32">
        <f>B2+1</f>
        <v>2</v>
      </c>
      <c r="C3" s="32">
        <v>2</v>
      </c>
      <c r="D3" s="29">
        <v>2023</v>
      </c>
      <c r="E3" s="30">
        <f>INDEX('13 - Electrical Readings'!$C$8:$C$953,1+(2*(ROWS(A$1:A2)-1)))</f>
        <v>0</v>
      </c>
      <c r="F3" s="30">
        <f>INDEX('13 - Electrical Readings'!$D$6:$D$953,1+(2*(ROWS(A$1:A3)-1)))</f>
        <v>922</v>
      </c>
      <c r="G3" s="29">
        <f>INDEX('13 - Electrical Readings'!$E$6:$E$953,1+(2*(ROWS(A$1:A3)-1)))</f>
        <v>5287</v>
      </c>
      <c r="H3" s="29">
        <f>INDEX('13 - Electrical Readings'!$F$6:$F$953,1+(2*(ROWS(A$1:A3)-1)))</f>
        <v>8553</v>
      </c>
      <c r="I3" s="30">
        <f>INDEX('13 - Electrical Readings'!$G$6:$G$953,1+(2*(ROWS(A$1:A3)-1)))</f>
        <v>12</v>
      </c>
      <c r="J3" s="29">
        <f>INDEX('13 - Electrical Readings'!$I$6:$I$953,1+(2*(ROWS(A$1:A3)-1)))</f>
        <v>1695</v>
      </c>
      <c r="K3" s="29">
        <f>INDEX('13 - Electrical Readings'!$J$6:$J$953,1+(2*(ROWS(B$1:B3)-1)))</f>
        <v>9200</v>
      </c>
      <c r="L3" s="29">
        <f>INDEX('13 - Electrical Readings'!$K$6:$K$953,1+(2*(ROWS(C$1:C3)-1)))</f>
        <v>3785</v>
      </c>
      <c r="M3" s="29">
        <f>INDEX('13 - Electrical Readings'!$L$6:$L$953,1+(2*(ROWS(D$1:D3)-1)))</f>
        <v>4710</v>
      </c>
      <c r="N3" s="29">
        <f>INDEX('13 - Electrical Readings'!$M$6:$M$953,1+(2*(ROWS(E$1:E3)-1)))</f>
        <v>7932</v>
      </c>
      <c r="O3" s="30">
        <f>INDEX('13 - Electrical Readings'!$N$6:$N$953,1+(2*(ROWS(E$1:E3)-1)))</f>
        <v>7124</v>
      </c>
      <c r="P3" s="30">
        <f>INDEX('13 - Electrical Readings'!$O$6:$O$953,1+(2*(ROWS(E$1:E3)-1)))</f>
        <v>987</v>
      </c>
      <c r="Q3" s="30">
        <f>INDEX('13 - Electrical Readings'!$P$6:$P$953,1+(2*(ROWS(E$1:E3)-1)))</f>
        <v>2670</v>
      </c>
      <c r="R3" s="30">
        <f>INDEX('9 - Water Readings'!$C$8:$C$955,1+(2*(ROWS(A$1:A2)-1)))</f>
        <v>0</v>
      </c>
      <c r="S3" s="30">
        <f>INDEX('9 - Water Readings'!$D$8:$D$954,1+(2*(ROWS(A$1:A2)-1)))</f>
        <v>0</v>
      </c>
      <c r="T3" s="30">
        <f>INDEX('9 - Water Readings'!$E$8:$E$955,1+(2*(ROWS(A$1:A2)-1)))</f>
        <v>0</v>
      </c>
      <c r="U3" s="30">
        <f>INDEX('9 - Water Readings'!$G$8:$G$954,1+(2*(ROWS(A$1:A2)-1)))</f>
        <v>135</v>
      </c>
      <c r="V3" s="30">
        <f>INDEX('9 - Water Readings'!$H$8:$H$955,1+(2*(ROWS(A$1:A2)-1)))</f>
        <v>17</v>
      </c>
      <c r="W3" s="30">
        <f>INDEX('9 - Water Readings'!$I$8:$I$955,1+(2*(ROWS(A$1:A2)-1)))</f>
        <v>89</v>
      </c>
      <c r="X3" s="30">
        <f>INDEX('9 - Water Readings'!$J$8:$J$955,1+(2*(ROWS(A$1:A2)-1)))</f>
        <v>310</v>
      </c>
      <c r="Y3" s="30">
        <f>INDEX('9 - Water Readings'!$K$8:$K$955,1+(2*(ROWS(A$1:A2)-1)))</f>
        <v>56</v>
      </c>
      <c r="Z3" s="30">
        <f>INDEX('9 - Water Readings'!$L$8:$L$955,1+(2*(ROWS(A$1:A2)-1)))</f>
        <v>31</v>
      </c>
      <c r="AA3" s="31">
        <f>'9 - Water Readings'!Q8</f>
        <v>156</v>
      </c>
      <c r="AB3" s="29">
        <f>'9 - Water Readings'!R8</f>
        <v>570</v>
      </c>
      <c r="AC3">
        <f>'9 - Water Readings'!S8</f>
        <v>1.3</v>
      </c>
    </row>
    <row r="4" spans="1:29" x14ac:dyDescent="0.25">
      <c r="A4" s="32" t="s">
        <v>11</v>
      </c>
      <c r="B4" s="32">
        <f t="shared" ref="B4:B29" si="0">B3+1</f>
        <v>3</v>
      </c>
      <c r="C4" s="32">
        <v>2</v>
      </c>
      <c r="D4" s="29">
        <v>2023</v>
      </c>
      <c r="E4" s="30">
        <f>INDEX('13 - Electrical Readings'!$C$8:$C$953,1+(2*(ROWS(A$1:A3)-1)))</f>
        <v>0</v>
      </c>
      <c r="F4" s="30">
        <f>INDEX('13 - Electrical Readings'!$D$6:$D$953,1+(2*(ROWS(A$1:A4)-1)))</f>
        <v>907</v>
      </c>
      <c r="G4" s="29">
        <f>INDEX('13 - Electrical Readings'!$E$6:$E$953,1+(2*(ROWS(A$1:A4)-1)))</f>
        <v>2065</v>
      </c>
      <c r="H4" s="29">
        <f>INDEX('13 - Electrical Readings'!$F$6:$F$953,1+(2*(ROWS(A$1:A4)-1)))</f>
        <v>11150</v>
      </c>
      <c r="I4" s="30">
        <f>INDEX('13 - Electrical Readings'!$G$6:$G$953,1+(2*(ROWS(A$1:A4)-1)))</f>
        <v>14</v>
      </c>
      <c r="J4" s="29">
        <f>INDEX('13 - Electrical Readings'!$I$6:$I$953,1+(2*(ROWS(A$1:A4)-1)))</f>
        <v>1726</v>
      </c>
      <c r="K4" s="29">
        <f>INDEX('13 - Electrical Readings'!$J$6:$J$953,1+(2*(ROWS(B$1:B4)-1)))</f>
        <v>9602</v>
      </c>
      <c r="L4" s="29">
        <f>INDEX('13 - Electrical Readings'!$K$6:$K$953,1+(2*(ROWS(C$1:C4)-1)))</f>
        <v>3886</v>
      </c>
      <c r="M4" s="29">
        <f>INDEX('13 - Electrical Readings'!$L$6:$L$953,1+(2*(ROWS(D$1:D4)-1)))</f>
        <v>4808</v>
      </c>
      <c r="N4" s="29">
        <f>INDEX('13 - Electrical Readings'!$M$6:$M$953,1+(2*(ROWS(E$1:E4)-1)))</f>
        <v>9219</v>
      </c>
      <c r="O4" s="30">
        <f>INDEX('13 - Electrical Readings'!$N$6:$N$953,1+(2*(ROWS(E$1:E4)-1)))</f>
        <v>7024</v>
      </c>
      <c r="P4" s="30">
        <f>INDEX('13 - Electrical Readings'!$O$6:$O$953,1+(2*(ROWS(E$1:E4)-1)))</f>
        <v>1070</v>
      </c>
      <c r="Q4" s="30">
        <f>INDEX('13 - Electrical Readings'!$P$6:$P$953,1+(2*(ROWS(E$1:E4)-1)))</f>
        <v>2880</v>
      </c>
      <c r="R4" s="30">
        <f>INDEX('9 - Water Readings'!$C$8:$C$955,1+(2*(ROWS(A$1:A3)-1)))</f>
        <v>0</v>
      </c>
      <c r="S4" s="30">
        <f>INDEX('9 - Water Readings'!$D$8:$D$954,1+(2*(ROWS(A$1:A3)-1)))</f>
        <v>0</v>
      </c>
      <c r="T4" s="30">
        <f>INDEX('9 - Water Readings'!$E$8:$E$955,1+(2*(ROWS(A$1:A3)-1)))</f>
        <v>0</v>
      </c>
      <c r="U4" s="30">
        <f>INDEX('9 - Water Readings'!$G$8:$G$954,1+(2*(ROWS(A$1:A3)-1)))</f>
        <v>133</v>
      </c>
      <c r="V4" s="30">
        <f>INDEX('9 - Water Readings'!$H$8:$H$955,1+(2*(ROWS(A$1:A3)-1)))</f>
        <v>17</v>
      </c>
      <c r="W4" s="30">
        <f>INDEX('9 - Water Readings'!$I$8:$I$955,1+(2*(ROWS(A$1:A3)-1)))</f>
        <v>78</v>
      </c>
      <c r="X4" s="30">
        <f>INDEX('9 - Water Readings'!$J$8:$J$955,1+(2*(ROWS(A$1:A3)-1)))</f>
        <v>317</v>
      </c>
      <c r="Y4" s="30">
        <f>INDEX('9 - Water Readings'!$K$8:$K$955,1+(2*(ROWS(A$1:A3)-1)))</f>
        <v>49</v>
      </c>
      <c r="Z4" s="30">
        <f>INDEX('9 - Water Readings'!$L$8:$L$955,1+(2*(ROWS(A$1:A3)-1)))</f>
        <v>24</v>
      </c>
      <c r="AA4" s="31">
        <f>'9 - Water Readings'!Q9</f>
        <v>138</v>
      </c>
      <c r="AB4" s="29">
        <f>'9 - Water Readings'!R9</f>
        <v>498</v>
      </c>
      <c r="AC4">
        <f>'9 - Water Readings'!S9</f>
        <v>0.8</v>
      </c>
    </row>
    <row r="5" spans="1:29" x14ac:dyDescent="0.25">
      <c r="A5" s="32" t="s">
        <v>11</v>
      </c>
      <c r="B5" s="32">
        <f t="shared" si="0"/>
        <v>4</v>
      </c>
      <c r="C5" s="32">
        <v>2</v>
      </c>
      <c r="D5" s="29">
        <v>2023</v>
      </c>
      <c r="E5" s="30">
        <f>INDEX('13 - Electrical Readings'!$C$8:$C$953,1+(2*(ROWS(A$1:A4)-1)))</f>
        <v>1762</v>
      </c>
      <c r="F5" s="30">
        <f>INDEX('13 - Electrical Readings'!$D$6:$D$953,1+(2*(ROWS(A$1:A5)-1)))</f>
        <v>851</v>
      </c>
      <c r="G5" s="29">
        <f>INDEX('13 - Electrical Readings'!$E$6:$E$953,1+(2*(ROWS(A$1:A5)-1)))</f>
        <v>2138</v>
      </c>
      <c r="H5" s="29">
        <f>INDEX('13 - Electrical Readings'!$F$6:$F$953,1+(2*(ROWS(A$1:A5)-1)))</f>
        <v>3817</v>
      </c>
      <c r="I5" s="30">
        <f>INDEX('13 - Electrical Readings'!$G$6:$G$953,1+(2*(ROWS(A$1:A5)-1)))</f>
        <v>7755</v>
      </c>
      <c r="J5" s="29">
        <f>INDEX('13 - Electrical Readings'!$I$6:$I$953,1+(2*(ROWS(A$1:A5)-1)))</f>
        <v>1711</v>
      </c>
      <c r="K5" s="29">
        <f>INDEX('13 - Electrical Readings'!$J$6:$J$953,1+(2*(ROWS(B$1:B5)-1)))</f>
        <v>8779</v>
      </c>
      <c r="L5" s="29">
        <f>INDEX('13 - Electrical Readings'!$K$6:$K$953,1+(2*(ROWS(C$1:C5)-1)))</f>
        <v>3482</v>
      </c>
      <c r="M5" s="29">
        <f>INDEX('13 - Electrical Readings'!$L$6:$L$953,1+(2*(ROWS(D$1:D5)-1)))</f>
        <v>4748</v>
      </c>
      <c r="N5" s="29">
        <f>INDEX('13 - Electrical Readings'!$M$6:$M$953,1+(2*(ROWS(E$1:E5)-1)))</f>
        <v>8980</v>
      </c>
      <c r="O5" s="30">
        <f>INDEX('13 - Electrical Readings'!$N$6:$N$953,1+(2*(ROWS(E$1:E5)-1)))</f>
        <v>6893</v>
      </c>
      <c r="P5" s="30">
        <f>INDEX('13 - Electrical Readings'!$O$6:$O$953,1+(2*(ROWS(E$1:E5)-1)))</f>
        <v>901</v>
      </c>
      <c r="Q5" s="30">
        <f>INDEX('13 - Electrical Readings'!$P$6:$P$953,1+(2*(ROWS(E$1:E5)-1)))</f>
        <v>2760</v>
      </c>
      <c r="R5" s="30">
        <f>INDEX('9 - Water Readings'!$C$8:$C$955,1+(2*(ROWS(A$1:A4)-1)))</f>
        <v>0</v>
      </c>
      <c r="S5" s="30">
        <f>INDEX('9 - Water Readings'!$D$8:$D$954,1+(2*(ROWS(A$1:A4)-1)))</f>
        <v>0</v>
      </c>
      <c r="T5" s="30">
        <f>INDEX('9 - Water Readings'!$E$8:$E$955,1+(2*(ROWS(A$1:A4)-1)))</f>
        <v>0</v>
      </c>
      <c r="U5" s="30">
        <f>INDEX('9 - Water Readings'!$G$8:$G$954,1+(2*(ROWS(A$1:A4)-1)))</f>
        <v>137</v>
      </c>
      <c r="V5" s="30">
        <f>INDEX('9 - Water Readings'!$H$8:$H$955,1+(2*(ROWS(A$1:A4)-1)))</f>
        <v>17</v>
      </c>
      <c r="W5" s="30">
        <f>INDEX('9 - Water Readings'!$I$8:$I$955,1+(2*(ROWS(A$1:A4)-1)))</f>
        <v>81</v>
      </c>
      <c r="X5" s="30">
        <f>INDEX('9 - Water Readings'!$J$8:$J$955,1+(2*(ROWS(A$1:A4)-1)))</f>
        <v>298</v>
      </c>
      <c r="Y5" s="30">
        <f>INDEX('9 - Water Readings'!$K$8:$K$955,1+(2*(ROWS(A$1:A4)-1)))</f>
        <v>46</v>
      </c>
      <c r="Z5" s="30">
        <f>INDEX('9 - Water Readings'!$L$8:$L$955,1+(2*(ROWS(A$1:A4)-1)))</f>
        <v>29</v>
      </c>
      <c r="AA5" s="31">
        <f>'9 - Water Readings'!Q10</f>
        <v>104</v>
      </c>
      <c r="AB5" s="29">
        <f>'9 - Water Readings'!R10</f>
        <v>320</v>
      </c>
      <c r="AC5">
        <f>'9 - Water Readings'!S10</f>
        <v>0.1</v>
      </c>
    </row>
    <row r="6" spans="1:29" x14ac:dyDescent="0.25">
      <c r="A6" s="32" t="s">
        <v>11</v>
      </c>
      <c r="B6" s="32">
        <f t="shared" si="0"/>
        <v>5</v>
      </c>
      <c r="C6" s="32">
        <v>2</v>
      </c>
      <c r="D6" s="29">
        <v>2023</v>
      </c>
      <c r="E6" s="30">
        <f>INDEX('13 - Electrical Readings'!$C$8:$C$953,1+(2*(ROWS(A$1:A5)-1)))</f>
        <v>5339</v>
      </c>
      <c r="F6" s="30">
        <f>INDEX('13 - Electrical Readings'!$D$6:$D$953,1+(2*(ROWS(A$1:A6)-1)))</f>
        <v>822</v>
      </c>
      <c r="G6" s="29">
        <f>INDEX('13 - Electrical Readings'!$E$6:$E$953,1+(2*(ROWS(A$1:A6)-1)))</f>
        <v>2235</v>
      </c>
      <c r="H6" s="29">
        <f>INDEX('13 - Electrical Readings'!$F$6:$F$953,1+(2*(ROWS(A$1:A6)-1)))</f>
        <v>1840</v>
      </c>
      <c r="I6" s="30">
        <f>INDEX('13 - Electrical Readings'!$G$6:$G$953,1+(2*(ROWS(A$1:A6)-1)))</f>
        <v>7362</v>
      </c>
      <c r="J6" s="29">
        <f>INDEX('13 - Electrical Readings'!$I$6:$I$953,1+(2*(ROWS(A$1:A6)-1)))</f>
        <v>1617</v>
      </c>
      <c r="K6" s="29">
        <f>INDEX('13 - Electrical Readings'!$J$6:$J$953,1+(2*(ROWS(B$1:B6)-1)))</f>
        <v>8937</v>
      </c>
      <c r="L6" s="29">
        <f>INDEX('13 - Electrical Readings'!$K$6:$K$953,1+(2*(ROWS(C$1:C6)-1)))</f>
        <v>3447</v>
      </c>
      <c r="M6" s="29">
        <f>INDEX('13 - Electrical Readings'!$L$6:$L$953,1+(2*(ROWS(D$1:D6)-1)))</f>
        <v>4663</v>
      </c>
      <c r="N6" s="29">
        <f>INDEX('13 - Electrical Readings'!$M$6:$M$953,1+(2*(ROWS(E$1:E6)-1)))</f>
        <v>8578</v>
      </c>
      <c r="O6" s="30">
        <f>INDEX('13 - Electrical Readings'!$N$6:$N$953,1+(2*(ROWS(E$1:E6)-1)))</f>
        <v>6638</v>
      </c>
      <c r="P6" s="30">
        <f>INDEX('13 - Electrical Readings'!$O$6:$O$953,1+(2*(ROWS(E$1:E6)-1)))</f>
        <v>886</v>
      </c>
      <c r="Q6" s="30">
        <f>INDEX('13 - Electrical Readings'!$P$6:$P$953,1+(2*(ROWS(E$1:E6)-1)))</f>
        <v>1980</v>
      </c>
      <c r="R6" s="30">
        <f>INDEX('9 - Water Readings'!$C$8:$C$955,1+(2*(ROWS(A$1:A5)-1)))</f>
        <v>0</v>
      </c>
      <c r="S6" s="30">
        <f>INDEX('9 - Water Readings'!$D$8:$D$954,1+(2*(ROWS(A$1:A5)-1)))</f>
        <v>0</v>
      </c>
      <c r="T6" s="30">
        <f>INDEX('9 - Water Readings'!$E$8:$E$955,1+(2*(ROWS(A$1:A5)-1)))</f>
        <v>0</v>
      </c>
      <c r="U6" s="30">
        <f>INDEX('9 - Water Readings'!$G$8:$G$954,1+(2*(ROWS(A$1:A5)-1)))</f>
        <v>136</v>
      </c>
      <c r="V6" s="30">
        <f>INDEX('9 - Water Readings'!$H$8:$H$955,1+(2*(ROWS(A$1:A5)-1)))</f>
        <v>15</v>
      </c>
      <c r="W6" s="30">
        <f>INDEX('9 - Water Readings'!$I$8:$I$955,1+(2*(ROWS(A$1:A5)-1)))</f>
        <v>66</v>
      </c>
      <c r="X6" s="30">
        <f>INDEX('9 - Water Readings'!$J$8:$J$955,1+(2*(ROWS(A$1:A5)-1)))</f>
        <v>272</v>
      </c>
      <c r="Y6" s="30">
        <f>INDEX('9 - Water Readings'!$K$8:$K$955,1+(2*(ROWS(A$1:A5)-1)))</f>
        <v>38</v>
      </c>
      <c r="Z6" s="30">
        <f>INDEX('9 - Water Readings'!$L$8:$L$955,1+(2*(ROWS(A$1:A5)-1)))</f>
        <v>18</v>
      </c>
      <c r="AA6" s="31">
        <f>'9 - Water Readings'!Q11</f>
        <v>99</v>
      </c>
      <c r="AB6" s="29">
        <f>'9 - Water Readings'!R11</f>
        <v>262</v>
      </c>
      <c r="AC6">
        <f>'9 - Water Readings'!S11</f>
        <v>0.3</v>
      </c>
    </row>
    <row r="7" spans="1:29" x14ac:dyDescent="0.25">
      <c r="A7" s="32" t="s">
        <v>11</v>
      </c>
      <c r="B7" s="32">
        <f t="shared" si="0"/>
        <v>6</v>
      </c>
      <c r="C7" s="32">
        <v>2</v>
      </c>
      <c r="D7" s="29">
        <v>2023</v>
      </c>
      <c r="E7" s="30">
        <f>INDEX('13 - Electrical Readings'!$C$8:$C$953,1+(2*(ROWS(A$1:A6)-1)))</f>
        <v>14715</v>
      </c>
      <c r="F7" s="30">
        <f>INDEX('13 - Electrical Readings'!$D$6:$D$953,1+(2*(ROWS(A$1:A7)-1)))</f>
        <v>874</v>
      </c>
      <c r="G7" s="29">
        <f>INDEX('13 - Electrical Readings'!$E$6:$E$953,1+(2*(ROWS(A$1:A7)-1)))</f>
        <v>2369</v>
      </c>
      <c r="H7" s="29">
        <f>INDEX('13 - Electrical Readings'!$F$6:$F$953,1+(2*(ROWS(A$1:A7)-1)))</f>
        <v>2266</v>
      </c>
      <c r="I7" s="30">
        <f>INDEX('13 - Electrical Readings'!$G$6:$G$953,1+(2*(ROWS(A$1:A7)-1)))</f>
        <v>13</v>
      </c>
      <c r="J7" s="29">
        <f>INDEX('13 - Electrical Readings'!$I$6:$I$953,1+(2*(ROWS(A$1:A7)-1)))</f>
        <v>1636</v>
      </c>
      <c r="K7" s="29">
        <f>INDEX('13 - Electrical Readings'!$J$6:$J$953,1+(2*(ROWS(B$1:B7)-1)))</f>
        <v>9421</v>
      </c>
      <c r="L7" s="29">
        <f>INDEX('13 - Electrical Readings'!$K$6:$K$953,1+(2*(ROWS(C$1:C7)-1)))</f>
        <v>3593</v>
      </c>
      <c r="M7" s="29">
        <f>INDEX('13 - Electrical Readings'!$L$6:$L$953,1+(2*(ROWS(D$1:D7)-1)))</f>
        <v>4866</v>
      </c>
      <c r="N7" s="29">
        <f>INDEX('13 - Electrical Readings'!$M$6:$M$953,1+(2*(ROWS(E$1:E7)-1)))</f>
        <v>8940</v>
      </c>
      <c r="O7" s="30">
        <f>INDEX('13 - Electrical Readings'!$N$6:$N$953,1+(2*(ROWS(E$1:E7)-1)))</f>
        <v>7047</v>
      </c>
      <c r="P7" s="30">
        <f>INDEX('13 - Electrical Readings'!$O$6:$O$953,1+(2*(ROWS(E$1:E7)-1)))</f>
        <v>931</v>
      </c>
      <c r="Q7" s="30">
        <f>INDEX('13 - Electrical Readings'!$P$6:$P$953,1+(2*(ROWS(E$1:E7)-1)))</f>
        <v>2470</v>
      </c>
      <c r="R7" s="30">
        <f>INDEX('9 - Water Readings'!$C$8:$C$955,1+(2*(ROWS(A$1:A6)-1)))</f>
        <v>0</v>
      </c>
      <c r="S7" s="30">
        <f>INDEX('9 - Water Readings'!$D$8:$D$954,1+(2*(ROWS(A$1:A6)-1)))</f>
        <v>0</v>
      </c>
      <c r="T7" s="30">
        <f>INDEX('9 - Water Readings'!$E$8:$E$955,1+(2*(ROWS(A$1:A6)-1)))</f>
        <v>0</v>
      </c>
      <c r="U7" s="30">
        <f>INDEX('9 - Water Readings'!$G$8:$G$954,1+(2*(ROWS(A$1:A6)-1)))</f>
        <v>138</v>
      </c>
      <c r="V7" s="30">
        <f>INDEX('9 - Water Readings'!$H$8:$H$955,1+(2*(ROWS(A$1:A6)-1)))</f>
        <v>15</v>
      </c>
      <c r="W7" s="30">
        <f>INDEX('9 - Water Readings'!$I$8:$I$955,1+(2*(ROWS(A$1:A6)-1)))</f>
        <v>75</v>
      </c>
      <c r="X7" s="30">
        <f>INDEX('9 - Water Readings'!$J$8:$J$955,1+(2*(ROWS(A$1:A6)-1)))</f>
        <v>287</v>
      </c>
      <c r="Y7" s="30">
        <f>INDEX('9 - Water Readings'!$K$8:$K$955,1+(2*(ROWS(A$1:A6)-1)))</f>
        <v>37</v>
      </c>
      <c r="Z7" s="30">
        <f>INDEX('9 - Water Readings'!$L$8:$L$955,1+(2*(ROWS(A$1:A6)-1)))</f>
        <v>26</v>
      </c>
      <c r="AA7" s="31">
        <f>'9 - Water Readings'!Q12</f>
        <v>127</v>
      </c>
      <c r="AB7" s="29">
        <f>'9 - Water Readings'!R12</f>
        <v>310</v>
      </c>
      <c r="AC7">
        <f>'9 - Water Readings'!S12</f>
        <v>0.6</v>
      </c>
    </row>
    <row r="8" spans="1:29" x14ac:dyDescent="0.25">
      <c r="A8" s="32" t="s">
        <v>11</v>
      </c>
      <c r="B8" s="32">
        <f t="shared" si="0"/>
        <v>7</v>
      </c>
      <c r="C8" s="32">
        <v>2</v>
      </c>
      <c r="D8" s="29">
        <v>2023</v>
      </c>
      <c r="E8" s="30">
        <f>INDEX('13 - Electrical Readings'!$C$8:$C$953,1+(2*(ROWS(A$1:A7)-1)))</f>
        <v>15726</v>
      </c>
      <c r="F8" s="30">
        <f>INDEX('13 - Electrical Readings'!$D$6:$D$953,1+(2*(ROWS(A$1:A8)-1)))</f>
        <v>816</v>
      </c>
      <c r="G8" s="29">
        <f>INDEX('13 - Electrical Readings'!$E$6:$E$953,1+(2*(ROWS(A$1:A8)-1)))</f>
        <v>2304</v>
      </c>
      <c r="H8" s="29">
        <f>INDEX('13 - Electrical Readings'!$F$6:$F$953,1+(2*(ROWS(A$1:A8)-1)))</f>
        <v>2460</v>
      </c>
      <c r="I8" s="30">
        <f>INDEX('13 - Electrical Readings'!$G$6:$G$953,1+(2*(ROWS(A$1:A8)-1)))</f>
        <v>14</v>
      </c>
      <c r="J8" s="29">
        <f>INDEX('13 - Electrical Readings'!$I$6:$I$953,1+(2*(ROWS(A$1:A8)-1)))</f>
        <v>1604</v>
      </c>
      <c r="K8" s="29">
        <f>INDEX('13 - Electrical Readings'!$J$6:$J$953,1+(2*(ROWS(B$1:B8)-1)))</f>
        <v>9390</v>
      </c>
      <c r="L8" s="29">
        <f>INDEX('13 - Electrical Readings'!$K$6:$K$953,1+(2*(ROWS(C$1:C8)-1)))</f>
        <v>3441</v>
      </c>
      <c r="M8" s="29">
        <f>INDEX('13 - Electrical Readings'!$L$6:$L$953,1+(2*(ROWS(D$1:D8)-1)))</f>
        <v>4909</v>
      </c>
      <c r="N8" s="29">
        <f>INDEX('13 - Electrical Readings'!$M$6:$M$953,1+(2*(ROWS(E$1:E8)-1)))</f>
        <v>9181</v>
      </c>
      <c r="O8" s="30">
        <f>INDEX('13 - Electrical Readings'!$N$6:$N$953,1+(2*(ROWS(E$1:E8)-1)))</f>
        <v>7325</v>
      </c>
      <c r="P8" s="30">
        <f>INDEX('13 - Electrical Readings'!$O$6:$O$953,1+(2*(ROWS(E$1:E8)-1)))</f>
        <v>1011</v>
      </c>
      <c r="Q8" s="30">
        <f>INDEX('13 - Electrical Readings'!$P$6:$P$953,1+(2*(ROWS(E$1:E8)-1)))</f>
        <v>2640</v>
      </c>
      <c r="R8" s="30">
        <f>INDEX('9 - Water Readings'!$C$8:$C$955,1+(2*(ROWS(A$1:A7)-1)))</f>
        <v>0</v>
      </c>
      <c r="S8" s="30">
        <f>INDEX('9 - Water Readings'!$D$8:$D$954,1+(2*(ROWS(A$1:A7)-1)))</f>
        <v>8</v>
      </c>
      <c r="T8" s="30">
        <f>INDEX('9 - Water Readings'!$E$8:$E$955,1+(2*(ROWS(A$1:A7)-1)))</f>
        <v>0</v>
      </c>
      <c r="U8" s="30">
        <f>INDEX('9 - Water Readings'!$G$8:$G$954,1+(2*(ROWS(A$1:A7)-1)))</f>
        <v>136</v>
      </c>
      <c r="V8" s="30">
        <f>INDEX('9 - Water Readings'!$H$8:$H$955,1+(2*(ROWS(A$1:A7)-1)))</f>
        <v>15</v>
      </c>
      <c r="W8" s="30">
        <f>INDEX('9 - Water Readings'!$I$8:$I$955,1+(2*(ROWS(A$1:A7)-1)))</f>
        <v>80</v>
      </c>
      <c r="X8" s="30">
        <f>INDEX('9 - Water Readings'!$J$8:$J$955,1+(2*(ROWS(A$1:A7)-1)))</f>
        <v>273</v>
      </c>
      <c r="Y8" s="30">
        <f>INDEX('9 - Water Readings'!$K$8:$K$955,1+(2*(ROWS(A$1:A7)-1)))</f>
        <v>36</v>
      </c>
      <c r="Z8" s="30">
        <f>INDEX('9 - Water Readings'!$L$8:$L$955,1+(2*(ROWS(A$1:A7)-1)))</f>
        <v>27</v>
      </c>
      <c r="AA8" s="31">
        <f>'9 - Water Readings'!Q13</f>
        <v>116</v>
      </c>
      <c r="AB8" s="29">
        <f>'9 - Water Readings'!R13</f>
        <v>294</v>
      </c>
      <c r="AC8">
        <f>'9 - Water Readings'!S13</f>
        <v>3</v>
      </c>
    </row>
    <row r="9" spans="1:29" x14ac:dyDescent="0.25">
      <c r="A9" s="32" t="s">
        <v>11</v>
      </c>
      <c r="B9" s="32">
        <f t="shared" si="0"/>
        <v>8</v>
      </c>
      <c r="C9" s="32">
        <v>2</v>
      </c>
      <c r="D9" s="29">
        <v>2023</v>
      </c>
      <c r="E9" s="30">
        <f>INDEX('13 - Electrical Readings'!$C$8:$C$953,1+(2*(ROWS(A$1:A8)-1)))</f>
        <v>8882</v>
      </c>
      <c r="F9" s="30">
        <f>INDEX('13 - Electrical Readings'!$D$6:$D$953,1+(2*(ROWS(A$1:A9)-1)))</f>
        <v>864</v>
      </c>
      <c r="G9" s="29">
        <f>INDEX('13 - Electrical Readings'!$E$6:$E$953,1+(2*(ROWS(A$1:A9)-1)))</f>
        <v>2384</v>
      </c>
      <c r="H9" s="29">
        <f>INDEX('13 - Electrical Readings'!$F$6:$F$953,1+(2*(ROWS(A$1:A9)-1)))</f>
        <v>2389</v>
      </c>
      <c r="I9" s="30">
        <f>INDEX('13 - Electrical Readings'!$G$6:$G$953,1+(2*(ROWS(A$1:A9)-1)))</f>
        <v>5708</v>
      </c>
      <c r="J9" s="29">
        <f>INDEX('13 - Electrical Readings'!$I$6:$I$953,1+(2*(ROWS(A$1:A9)-1)))</f>
        <v>1696</v>
      </c>
      <c r="K9" s="29">
        <f>INDEX('13 - Electrical Readings'!$J$6:$J$953,1+(2*(ROWS(B$1:B9)-1)))</f>
        <v>9702</v>
      </c>
      <c r="L9" s="29">
        <f>INDEX('13 - Electrical Readings'!$K$6:$K$953,1+(2*(ROWS(C$1:C9)-1)))</f>
        <v>3809</v>
      </c>
      <c r="M9" s="29">
        <f>INDEX('13 - Electrical Readings'!$L$6:$L$953,1+(2*(ROWS(D$1:D9)-1)))</f>
        <v>5213</v>
      </c>
      <c r="N9" s="29">
        <f>INDEX('13 - Electrical Readings'!$M$6:$M$953,1+(2*(ROWS(E$1:E9)-1)))</f>
        <v>9263</v>
      </c>
      <c r="O9" s="30">
        <f>INDEX('13 - Electrical Readings'!$N$6:$N$953,1+(2*(ROWS(E$1:E9)-1)))</f>
        <v>7219</v>
      </c>
      <c r="P9" s="30">
        <f>INDEX('13 - Electrical Readings'!$O$6:$O$953,1+(2*(ROWS(E$1:E9)-1)))</f>
        <v>1000</v>
      </c>
      <c r="Q9" s="30">
        <f>INDEX('13 - Electrical Readings'!$P$6:$P$953,1+(2*(ROWS(E$1:E9)-1)))</f>
        <v>2710</v>
      </c>
      <c r="R9" s="30">
        <f>INDEX('9 - Water Readings'!$C$8:$C$955,1+(2*(ROWS(A$1:A8)-1)))</f>
        <v>0</v>
      </c>
      <c r="S9" s="30">
        <f>INDEX('9 - Water Readings'!$D$8:$D$954,1+(2*(ROWS(A$1:A8)-1)))</f>
        <v>2</v>
      </c>
      <c r="T9" s="30">
        <f>INDEX('9 - Water Readings'!$E$8:$E$955,1+(2*(ROWS(A$1:A8)-1)))</f>
        <v>0</v>
      </c>
      <c r="U9" s="30">
        <f>INDEX('9 - Water Readings'!$G$8:$G$954,1+(2*(ROWS(A$1:A8)-1)))</f>
        <v>136</v>
      </c>
      <c r="V9" s="30">
        <f>INDEX('9 - Water Readings'!$H$8:$H$955,1+(2*(ROWS(A$1:A8)-1)))</f>
        <v>15</v>
      </c>
      <c r="W9" s="30">
        <f>INDEX('9 - Water Readings'!$I$8:$I$955,1+(2*(ROWS(A$1:A8)-1)))</f>
        <v>81</v>
      </c>
      <c r="X9" s="30">
        <f>INDEX('9 - Water Readings'!$J$8:$J$955,1+(2*(ROWS(A$1:A8)-1)))</f>
        <v>298</v>
      </c>
      <c r="Y9" s="30">
        <f>INDEX('9 - Water Readings'!$K$8:$K$955,1+(2*(ROWS(A$1:A8)-1)))</f>
        <v>39</v>
      </c>
      <c r="Z9" s="30">
        <f>INDEX('9 - Water Readings'!$L$8:$L$955,1+(2*(ROWS(A$1:A8)-1)))</f>
        <v>26</v>
      </c>
      <c r="AA9" s="31">
        <f>'9 - Water Readings'!Q14</f>
        <v>113</v>
      </c>
      <c r="AB9" s="29">
        <f>'9 - Water Readings'!R14</f>
        <v>350</v>
      </c>
      <c r="AC9">
        <f>'9 - Water Readings'!S14</f>
        <v>0.9</v>
      </c>
    </row>
    <row r="10" spans="1:29" x14ac:dyDescent="0.25">
      <c r="A10" s="32" t="s">
        <v>11</v>
      </c>
      <c r="B10" s="32">
        <f t="shared" si="0"/>
        <v>9</v>
      </c>
      <c r="C10" s="32">
        <v>2</v>
      </c>
      <c r="D10" s="29">
        <v>2023</v>
      </c>
      <c r="E10" s="30">
        <f>INDEX('13 - Electrical Readings'!$C$8:$C$953,1+(2*(ROWS(A$1:A9)-1)))</f>
        <v>8</v>
      </c>
      <c r="F10" s="30">
        <f>INDEX('13 - Electrical Readings'!$D$6:$D$953,1+(2*(ROWS(A$1:A10)-1)))</f>
        <v>860</v>
      </c>
      <c r="G10" s="29">
        <f>INDEX('13 - Electrical Readings'!$E$6:$E$953,1+(2*(ROWS(A$1:A10)-1)))</f>
        <v>4368</v>
      </c>
      <c r="H10" s="29">
        <f>INDEX('13 - Electrical Readings'!$F$6:$F$953,1+(2*(ROWS(A$1:A10)-1)))</f>
        <v>4847</v>
      </c>
      <c r="I10" s="30">
        <f>INDEX('13 - Electrical Readings'!$G$6:$G$953,1+(2*(ROWS(A$1:A10)-1)))</f>
        <v>4663</v>
      </c>
      <c r="J10" s="29">
        <f>INDEX('13 - Electrical Readings'!$I$6:$I$953,1+(2*(ROWS(A$1:A10)-1)))</f>
        <v>1703</v>
      </c>
      <c r="K10" s="29">
        <f>INDEX('13 - Electrical Readings'!$J$6:$J$953,1+(2*(ROWS(B$1:B10)-1)))</f>
        <v>9519</v>
      </c>
      <c r="L10" s="29">
        <f>INDEX('13 - Electrical Readings'!$K$6:$K$953,1+(2*(ROWS(C$1:C10)-1)))</f>
        <v>3757</v>
      </c>
      <c r="M10" s="29">
        <f>INDEX('13 - Electrical Readings'!$L$6:$L$953,1+(2*(ROWS(D$1:D10)-1)))</f>
        <v>5290</v>
      </c>
      <c r="N10" s="29">
        <f>INDEX('13 - Electrical Readings'!$M$6:$M$953,1+(2*(ROWS(E$1:E10)-1)))</f>
        <v>8629</v>
      </c>
      <c r="O10" s="30">
        <f>INDEX('13 - Electrical Readings'!$N$6:$N$953,1+(2*(ROWS(E$1:E10)-1)))</f>
        <v>7021</v>
      </c>
      <c r="P10" s="30">
        <f>INDEX('13 - Electrical Readings'!$O$6:$O$953,1+(2*(ROWS(E$1:E10)-1)))</f>
        <v>948</v>
      </c>
      <c r="Q10" s="30">
        <f>INDEX('13 - Electrical Readings'!$P$6:$P$953,1+(2*(ROWS(E$1:E10)-1)))</f>
        <v>2720</v>
      </c>
      <c r="R10" s="30">
        <f>INDEX('9 - Water Readings'!$C$8:$C$955,1+(2*(ROWS(A$1:A9)-1)))</f>
        <v>0</v>
      </c>
      <c r="S10" s="30">
        <f>INDEX('9 - Water Readings'!$D$8:$D$954,1+(2*(ROWS(A$1:A9)-1)))</f>
        <v>0</v>
      </c>
      <c r="T10" s="30">
        <f>INDEX('9 - Water Readings'!$E$8:$E$955,1+(2*(ROWS(A$1:A9)-1)))</f>
        <v>0</v>
      </c>
      <c r="U10" s="30">
        <f>INDEX('9 - Water Readings'!$G$8:$G$954,1+(2*(ROWS(A$1:A9)-1)))</f>
        <v>142</v>
      </c>
      <c r="V10" s="30">
        <f>INDEX('9 - Water Readings'!$H$8:$H$955,1+(2*(ROWS(A$1:A9)-1)))</f>
        <v>18</v>
      </c>
      <c r="W10" s="30">
        <f>INDEX('9 - Water Readings'!$I$8:$I$955,1+(2*(ROWS(A$1:A9)-1)))</f>
        <v>87</v>
      </c>
      <c r="X10" s="30">
        <f>INDEX('9 - Water Readings'!$J$8:$J$955,1+(2*(ROWS(A$1:A9)-1)))</f>
        <v>329</v>
      </c>
      <c r="Y10" s="30">
        <f>INDEX('9 - Water Readings'!$K$8:$K$955,1+(2*(ROWS(A$1:A9)-1)))</f>
        <v>47</v>
      </c>
      <c r="Z10" s="30">
        <f>INDEX('9 - Water Readings'!$L$8:$L$955,1+(2*(ROWS(A$1:A9)-1)))</f>
        <v>24</v>
      </c>
      <c r="AA10" s="31">
        <f>'9 - Water Readings'!Q15</f>
        <v>122</v>
      </c>
      <c r="AB10" s="29">
        <f>'9 - Water Readings'!R15</f>
        <v>448</v>
      </c>
      <c r="AC10">
        <f>'9 - Water Readings'!S15</f>
        <v>0.3</v>
      </c>
    </row>
    <row r="11" spans="1:29" x14ac:dyDescent="0.25">
      <c r="A11" s="32" t="s">
        <v>11</v>
      </c>
      <c r="B11" s="32">
        <f t="shared" si="0"/>
        <v>10</v>
      </c>
      <c r="C11" s="32">
        <v>2</v>
      </c>
      <c r="D11" s="29">
        <v>2023</v>
      </c>
      <c r="E11" s="30">
        <f>INDEX('13 - Electrical Readings'!$C$8:$C$953,1+(2*(ROWS(A$1:A10)-1)))</f>
        <v>9</v>
      </c>
      <c r="F11" s="30">
        <f>INDEX('13 - Electrical Readings'!$D$6:$D$953,1+(2*(ROWS(A$1:A11)-1)))</f>
        <v>843</v>
      </c>
      <c r="G11" s="29">
        <f>INDEX('13 - Electrical Readings'!$E$6:$E$953,1+(2*(ROWS(A$1:A11)-1)))</f>
        <v>2317</v>
      </c>
      <c r="H11" s="29">
        <f>INDEX('13 - Electrical Readings'!$F$6:$F$953,1+(2*(ROWS(A$1:A11)-1)))</f>
        <v>9666</v>
      </c>
      <c r="I11" s="30">
        <f>INDEX('13 - Electrical Readings'!$G$6:$G$953,1+(2*(ROWS(A$1:A11)-1)))</f>
        <v>14</v>
      </c>
      <c r="J11" s="29">
        <f>INDEX('13 - Electrical Readings'!$I$6:$I$953,1+(2*(ROWS(A$1:A11)-1)))</f>
        <v>1692</v>
      </c>
      <c r="K11" s="29">
        <f>INDEX('13 - Electrical Readings'!$J$6:$J$953,1+(2*(ROWS(B$1:B11)-1)))</f>
        <v>9785</v>
      </c>
      <c r="L11" s="29">
        <f>INDEX('13 - Electrical Readings'!$K$6:$K$953,1+(2*(ROWS(C$1:C11)-1)))</f>
        <v>3871</v>
      </c>
      <c r="M11" s="29">
        <f>INDEX('13 - Electrical Readings'!$L$6:$L$953,1+(2*(ROWS(D$1:D11)-1)))</f>
        <v>5392</v>
      </c>
      <c r="N11" s="29">
        <f>INDEX('13 - Electrical Readings'!$M$6:$M$953,1+(2*(ROWS(E$1:E11)-1)))</f>
        <v>9206</v>
      </c>
      <c r="O11" s="30">
        <f>INDEX('13 - Electrical Readings'!$N$6:$N$953,1+(2*(ROWS(E$1:E11)-1)))</f>
        <v>6866</v>
      </c>
      <c r="P11" s="30">
        <f>INDEX('13 - Electrical Readings'!$O$6:$O$953,1+(2*(ROWS(E$1:E11)-1)))</f>
        <v>969</v>
      </c>
      <c r="Q11" s="30">
        <f>INDEX('13 - Electrical Readings'!$P$6:$P$953,1+(2*(ROWS(E$1:E11)-1)))</f>
        <v>2940</v>
      </c>
      <c r="R11" s="30">
        <f>INDEX('9 - Water Readings'!$C$8:$C$955,1+(2*(ROWS(A$1:A10)-1)))</f>
        <v>0</v>
      </c>
      <c r="S11" s="30">
        <f>INDEX('9 - Water Readings'!$D$8:$D$954,1+(2*(ROWS(A$1:A10)-1)))</f>
        <v>0</v>
      </c>
      <c r="T11" s="30">
        <f>INDEX('9 - Water Readings'!$E$8:$E$955,1+(2*(ROWS(A$1:A10)-1)))</f>
        <v>0</v>
      </c>
      <c r="U11" s="30">
        <f>INDEX('9 - Water Readings'!$G$8:$G$954,1+(2*(ROWS(A$1:A10)-1)))</f>
        <v>144</v>
      </c>
      <c r="V11" s="30">
        <f>INDEX('9 - Water Readings'!$H$8:$H$955,1+(2*(ROWS(A$1:A10)-1)))</f>
        <v>13</v>
      </c>
      <c r="W11" s="30">
        <f>INDEX('9 - Water Readings'!$I$8:$I$955,1+(2*(ROWS(A$1:A10)-1)))</f>
        <v>89</v>
      </c>
      <c r="X11" s="30">
        <f>INDEX('9 - Water Readings'!$J$8:$J$955,1+(2*(ROWS(A$1:A10)-1)))</f>
        <v>323</v>
      </c>
      <c r="Y11" s="30">
        <f>INDEX('9 - Water Readings'!$K$8:$K$955,1+(2*(ROWS(A$1:A10)-1)))</f>
        <v>50</v>
      </c>
      <c r="Z11" s="30">
        <f>INDEX('9 - Water Readings'!$L$8:$L$955,1+(2*(ROWS(A$1:A10)-1)))</f>
        <v>26</v>
      </c>
      <c r="AA11" s="31">
        <f>'9 - Water Readings'!Q16</f>
        <v>127</v>
      </c>
      <c r="AB11" s="29">
        <f>'9 - Water Readings'!R16</f>
        <v>522</v>
      </c>
      <c r="AC11">
        <f>'9 - Water Readings'!S16</f>
        <v>0</v>
      </c>
    </row>
    <row r="12" spans="1:29" x14ac:dyDescent="0.25">
      <c r="A12" s="32" t="s">
        <v>11</v>
      </c>
      <c r="B12" s="32">
        <f t="shared" si="0"/>
        <v>11</v>
      </c>
      <c r="C12" s="32">
        <v>2</v>
      </c>
      <c r="D12" s="29">
        <v>2023</v>
      </c>
      <c r="E12" s="30">
        <f>INDEX('13 - Electrical Readings'!$C$8:$C$953,1+(2*(ROWS(A$1:A11)-1)))</f>
        <v>9</v>
      </c>
      <c r="F12" s="30">
        <f>INDEX('13 - Electrical Readings'!$D$6:$D$953,1+(2*(ROWS(A$1:A12)-1)))</f>
        <v>867</v>
      </c>
      <c r="G12" s="29">
        <f>INDEX('13 - Electrical Readings'!$E$6:$E$953,1+(2*(ROWS(A$1:A12)-1)))</f>
        <v>2341</v>
      </c>
      <c r="H12" s="29">
        <f>INDEX('13 - Electrical Readings'!$F$6:$F$953,1+(2*(ROWS(A$1:A12)-1)))</f>
        <v>11139</v>
      </c>
      <c r="I12" s="30">
        <f>INDEX('13 - Electrical Readings'!$G$6:$G$953,1+(2*(ROWS(A$1:A12)-1)))</f>
        <v>14</v>
      </c>
      <c r="J12" s="29">
        <f>INDEX('13 - Electrical Readings'!$I$6:$I$953,1+(2*(ROWS(A$1:A12)-1)))</f>
        <v>1683</v>
      </c>
      <c r="K12" s="29">
        <f>INDEX('13 - Electrical Readings'!$J$6:$J$953,1+(2*(ROWS(B$1:B12)-1)))</f>
        <v>8784</v>
      </c>
      <c r="L12" s="29">
        <f>INDEX('13 - Electrical Readings'!$K$6:$K$953,1+(2*(ROWS(C$1:C12)-1)))</f>
        <v>3942</v>
      </c>
      <c r="M12" s="29">
        <f>INDEX('13 - Electrical Readings'!$L$6:$L$953,1+(2*(ROWS(D$1:D12)-1)))</f>
        <v>4908</v>
      </c>
      <c r="N12" s="29">
        <f>INDEX('13 - Electrical Readings'!$M$6:$M$953,1+(2*(ROWS(E$1:E12)-1)))</f>
        <v>9408</v>
      </c>
      <c r="O12" s="30">
        <f>INDEX('13 - Electrical Readings'!$N$6:$N$953,1+(2*(ROWS(E$1:E12)-1)))</f>
        <v>6735</v>
      </c>
      <c r="P12" s="30">
        <f>INDEX('13 - Electrical Readings'!$O$6:$O$953,1+(2*(ROWS(E$1:E12)-1)))</f>
        <v>837</v>
      </c>
      <c r="Q12" s="30">
        <f>INDEX('13 - Electrical Readings'!$P$6:$P$953,1+(2*(ROWS(E$1:E12)-1)))</f>
        <v>2570</v>
      </c>
      <c r="R12" s="30">
        <f>INDEX('9 - Water Readings'!$C$8:$C$955,1+(2*(ROWS(A$1:A11)-1)))</f>
        <v>0</v>
      </c>
      <c r="S12" s="30">
        <f>INDEX('9 - Water Readings'!$D$8:$D$954,1+(2*(ROWS(A$1:A11)-1)))</f>
        <v>0</v>
      </c>
      <c r="T12" s="30">
        <f>INDEX('9 - Water Readings'!$E$8:$E$955,1+(2*(ROWS(A$1:A11)-1)))</f>
        <v>0</v>
      </c>
      <c r="U12" s="30">
        <f>INDEX('9 - Water Readings'!$G$8:$G$954,1+(2*(ROWS(A$1:A11)-1)))</f>
        <v>137</v>
      </c>
      <c r="V12" s="30">
        <f>INDEX('9 - Water Readings'!$H$8:$H$955,1+(2*(ROWS(A$1:A11)-1)))</f>
        <v>17</v>
      </c>
      <c r="W12" s="30">
        <f>INDEX('9 - Water Readings'!$I$8:$I$955,1+(2*(ROWS(A$1:A11)-1)))</f>
        <v>79</v>
      </c>
      <c r="X12" s="30">
        <f>INDEX('9 - Water Readings'!$J$8:$J$955,1+(2*(ROWS(A$1:A11)-1)))</f>
        <v>286</v>
      </c>
      <c r="Y12" s="30">
        <f>INDEX('9 - Water Readings'!$K$8:$K$955,1+(2*(ROWS(A$1:A11)-1)))</f>
        <v>50</v>
      </c>
      <c r="Z12" s="30">
        <f>INDEX('9 - Water Readings'!$L$8:$L$955,1+(2*(ROWS(A$1:A11)-1)))</f>
        <v>25</v>
      </c>
      <c r="AA12" s="31">
        <f>'9 - Water Readings'!Q17</f>
        <v>173</v>
      </c>
      <c r="AB12" s="29">
        <f>'9 - Water Readings'!R17</f>
        <v>626</v>
      </c>
      <c r="AC12">
        <f>'9 - Water Readings'!S17</f>
        <v>0.3</v>
      </c>
    </row>
    <row r="13" spans="1:29" x14ac:dyDescent="0.25">
      <c r="A13" s="32" t="s">
        <v>11</v>
      </c>
      <c r="B13" s="32">
        <f t="shared" si="0"/>
        <v>12</v>
      </c>
      <c r="C13" s="32">
        <v>2</v>
      </c>
      <c r="D13" s="29">
        <v>2023</v>
      </c>
      <c r="E13" s="30">
        <f>INDEX('13 - Electrical Readings'!$C$8:$C$953,1+(2*(ROWS(A$1:A12)-1)))</f>
        <v>9</v>
      </c>
      <c r="F13" s="30">
        <f>INDEX('13 - Electrical Readings'!$D$6:$D$953,1+(2*(ROWS(A$1:A13)-1)))</f>
        <v>854</v>
      </c>
      <c r="G13" s="29">
        <f>INDEX('13 - Electrical Readings'!$E$6:$E$953,1+(2*(ROWS(A$1:A13)-1)))</f>
        <v>2341</v>
      </c>
      <c r="H13" s="29">
        <f>INDEX('13 - Electrical Readings'!$F$6:$F$953,1+(2*(ROWS(A$1:A13)-1)))</f>
        <v>11909</v>
      </c>
      <c r="I13" s="30">
        <f>INDEX('13 - Electrical Readings'!$G$6:$G$953,1+(2*(ROWS(A$1:A13)-1)))</f>
        <v>19</v>
      </c>
      <c r="J13" s="29">
        <f>INDEX('13 - Electrical Readings'!$I$6:$I$953,1+(2*(ROWS(A$1:A13)-1)))</f>
        <v>1650</v>
      </c>
      <c r="K13" s="29">
        <f>INDEX('13 - Electrical Readings'!$J$6:$J$953,1+(2*(ROWS(B$1:B13)-1)))</f>
        <v>9764</v>
      </c>
      <c r="L13" s="29">
        <f>INDEX('13 - Electrical Readings'!$K$6:$K$953,1+(2*(ROWS(C$1:C13)-1)))</f>
        <v>3965</v>
      </c>
      <c r="M13" s="29">
        <f>INDEX('13 - Electrical Readings'!$L$6:$L$953,1+(2*(ROWS(D$1:D13)-1)))</f>
        <v>5068</v>
      </c>
      <c r="N13" s="29">
        <f>INDEX('13 - Electrical Readings'!$M$6:$M$953,1+(2*(ROWS(E$1:E13)-1)))</f>
        <v>9838</v>
      </c>
      <c r="O13" s="30">
        <f>INDEX('13 - Electrical Readings'!$N$6:$N$953,1+(2*(ROWS(E$1:E13)-1)))</f>
        <v>7076</v>
      </c>
      <c r="P13" s="30">
        <f>INDEX('13 - Electrical Readings'!$O$6:$O$953,1+(2*(ROWS(E$1:E13)-1)))</f>
        <v>914</v>
      </c>
      <c r="Q13" s="30">
        <f>INDEX('13 - Electrical Readings'!$P$6:$P$953,1+(2*(ROWS(E$1:E13)-1)))</f>
        <v>2170</v>
      </c>
      <c r="R13" s="30">
        <f>INDEX('9 - Water Readings'!$C$8:$C$955,1+(2*(ROWS(A$1:A12)-1)))</f>
        <v>0</v>
      </c>
      <c r="S13" s="30">
        <f>INDEX('9 - Water Readings'!$D$8:$D$954,1+(2*(ROWS(A$1:A12)-1)))</f>
        <v>0</v>
      </c>
      <c r="T13" s="30">
        <f>INDEX('9 - Water Readings'!$E$8:$E$955,1+(2*(ROWS(A$1:A12)-1)))</f>
        <v>0</v>
      </c>
      <c r="U13" s="30">
        <f>INDEX('9 - Water Readings'!$G$8:$G$954,1+(2*(ROWS(A$1:A12)-1)))</f>
        <v>139</v>
      </c>
      <c r="V13" s="30">
        <f>INDEX('9 - Water Readings'!$H$8:$H$955,1+(2*(ROWS(A$1:A12)-1)))</f>
        <v>15</v>
      </c>
      <c r="W13" s="30">
        <f>INDEX('9 - Water Readings'!$I$8:$I$955,1+(2*(ROWS(A$1:A12)-1)))</f>
        <v>73</v>
      </c>
      <c r="X13" s="30">
        <f>INDEX('9 - Water Readings'!$J$8:$J$955,1+(2*(ROWS(A$1:A12)-1)))</f>
        <v>322</v>
      </c>
      <c r="Y13" s="30">
        <f>INDEX('9 - Water Readings'!$K$8:$K$955,1+(2*(ROWS(A$1:A12)-1)))</f>
        <v>51</v>
      </c>
      <c r="Z13" s="30">
        <f>INDEX('9 - Water Readings'!$L$8:$L$955,1+(2*(ROWS(A$1:A12)-1)))</f>
        <v>27</v>
      </c>
      <c r="AA13" s="31">
        <f>'9 - Water Readings'!Q18</f>
        <v>184</v>
      </c>
      <c r="AB13" s="29">
        <f>'9 - Water Readings'!R18</f>
        <v>616</v>
      </c>
      <c r="AC13">
        <f>'9 - Water Readings'!S18</f>
        <v>0.5</v>
      </c>
    </row>
    <row r="14" spans="1:29" x14ac:dyDescent="0.25">
      <c r="A14" s="32" t="s">
        <v>11</v>
      </c>
      <c r="B14" s="32">
        <f t="shared" si="0"/>
        <v>13</v>
      </c>
      <c r="C14" s="32">
        <v>2</v>
      </c>
      <c r="D14" s="29">
        <v>2023</v>
      </c>
      <c r="E14" s="30">
        <f>INDEX('13 - Electrical Readings'!$C$8:$C$953,1+(2*(ROWS(A$1:A13)-1)))</f>
        <v>3</v>
      </c>
      <c r="F14" s="30">
        <f>INDEX('13 - Electrical Readings'!$D$6:$D$953,1+(2*(ROWS(A$1:A14)-1)))</f>
        <v>872</v>
      </c>
      <c r="G14" s="29">
        <f>INDEX('13 - Electrical Readings'!$E$6:$E$953,1+(2*(ROWS(A$1:A14)-1)))</f>
        <v>2362</v>
      </c>
      <c r="H14" s="29">
        <f>INDEX('13 - Electrical Readings'!$F$6:$F$953,1+(2*(ROWS(A$1:A14)-1)))</f>
        <v>13097</v>
      </c>
      <c r="I14" s="30">
        <f>INDEX('13 - Electrical Readings'!$G$6:$G$953,1+(2*(ROWS(A$1:A14)-1)))</f>
        <v>14</v>
      </c>
      <c r="J14" s="29">
        <f>INDEX('13 - Electrical Readings'!$I$6:$I$953,1+(2*(ROWS(A$1:A14)-1)))</f>
        <v>1604</v>
      </c>
      <c r="K14" s="29">
        <f>INDEX('13 - Electrical Readings'!$J$6:$J$953,1+(2*(ROWS(B$1:B14)-1)))</f>
        <v>9864</v>
      </c>
      <c r="L14" s="29">
        <f>INDEX('13 - Electrical Readings'!$K$6:$K$953,1+(2*(ROWS(C$1:C14)-1)))</f>
        <v>3993</v>
      </c>
      <c r="M14" s="29">
        <f>INDEX('13 - Electrical Readings'!$L$6:$L$953,1+(2*(ROWS(D$1:D14)-1)))</f>
        <v>4918</v>
      </c>
      <c r="N14" s="29">
        <f>INDEX('13 - Electrical Readings'!$M$6:$M$953,1+(2*(ROWS(E$1:E14)-1)))</f>
        <v>9541</v>
      </c>
      <c r="O14" s="30">
        <f>INDEX('13 - Electrical Readings'!$N$6:$N$953,1+(2*(ROWS(E$1:E14)-1)))</f>
        <v>7224</v>
      </c>
      <c r="P14" s="30">
        <f>INDEX('13 - Electrical Readings'!$O$6:$O$953,1+(2*(ROWS(E$1:E14)-1)))</f>
        <v>973</v>
      </c>
      <c r="Q14" s="30">
        <f>INDEX('13 - Electrical Readings'!$P$6:$P$953,1+(2*(ROWS(E$1:E14)-1)))</f>
        <v>2650</v>
      </c>
      <c r="R14" s="30">
        <f>INDEX('9 - Water Readings'!$C$8:$C$955,1+(2*(ROWS(A$1:A13)-1)))</f>
        <v>0</v>
      </c>
      <c r="S14" s="30">
        <f>INDEX('9 - Water Readings'!$D$8:$D$954,1+(2*(ROWS(A$1:A13)-1)))</f>
        <v>0</v>
      </c>
      <c r="T14" s="30">
        <f>INDEX('9 - Water Readings'!$E$8:$E$955,1+(2*(ROWS(A$1:A13)-1)))</f>
        <v>0</v>
      </c>
      <c r="U14" s="30">
        <f>INDEX('9 - Water Readings'!$G$8:$G$954,1+(2*(ROWS(A$1:A13)-1)))</f>
        <v>137</v>
      </c>
      <c r="V14" s="30">
        <f>INDEX('9 - Water Readings'!$H$8:$H$955,1+(2*(ROWS(A$1:A13)-1)))</f>
        <v>15</v>
      </c>
      <c r="W14" s="30">
        <f>INDEX('9 - Water Readings'!$I$8:$I$955,1+(2*(ROWS(A$1:A13)-1)))</f>
        <v>82</v>
      </c>
      <c r="X14" s="30">
        <f>INDEX('9 - Water Readings'!$J$8:$J$955,1+(2*(ROWS(A$1:A13)-1)))</f>
        <v>313</v>
      </c>
      <c r="Y14" s="30">
        <f>INDEX('9 - Water Readings'!$K$8:$K$955,1+(2*(ROWS(A$1:A13)-1)))</f>
        <v>49</v>
      </c>
      <c r="Z14" s="30">
        <f>INDEX('9 - Water Readings'!$L$8:$L$955,1+(2*(ROWS(A$1:A13)-1)))</f>
        <v>25</v>
      </c>
      <c r="AA14" s="31">
        <f>'9 - Water Readings'!Q19</f>
        <v>139</v>
      </c>
      <c r="AB14" s="29">
        <f>'9 - Water Readings'!R19</f>
        <v>474</v>
      </c>
      <c r="AC14">
        <f>'9 - Water Readings'!S19</f>
        <v>2.2000000000000002</v>
      </c>
    </row>
    <row r="15" spans="1:29" x14ac:dyDescent="0.25">
      <c r="A15" s="32" t="s">
        <v>11</v>
      </c>
      <c r="B15" s="32">
        <f t="shared" si="0"/>
        <v>14</v>
      </c>
      <c r="C15" s="32">
        <v>2</v>
      </c>
      <c r="D15" s="29">
        <v>2023</v>
      </c>
      <c r="E15" s="30">
        <f>INDEX('13 - Electrical Readings'!$C$8:$C$953,1+(2*(ROWS(A$1:A14)-1)))</f>
        <v>7</v>
      </c>
      <c r="F15" s="30">
        <f>INDEX('13 - Electrical Readings'!$D$6:$D$953,1+(2*(ROWS(A$1:A15)-1)))</f>
        <v>870</v>
      </c>
      <c r="G15" s="29">
        <f>INDEX('13 - Electrical Readings'!$E$6:$E$953,1+(2*(ROWS(A$1:A15)-1)))</f>
        <v>2368</v>
      </c>
      <c r="H15" s="29">
        <f>INDEX('13 - Electrical Readings'!$F$6:$F$953,1+(2*(ROWS(A$1:A15)-1)))</f>
        <v>13872</v>
      </c>
      <c r="I15" s="30">
        <f>INDEX('13 - Electrical Readings'!$G$6:$G$953,1+(2*(ROWS(A$1:A15)-1)))</f>
        <v>18</v>
      </c>
      <c r="J15" s="29">
        <f>INDEX('13 - Electrical Readings'!$I$6:$I$953,1+(2*(ROWS(A$1:A15)-1)))</f>
        <v>1626</v>
      </c>
      <c r="K15" s="29">
        <f>INDEX('13 - Electrical Readings'!$J$6:$J$953,1+(2*(ROWS(B$1:B15)-1)))</f>
        <v>9972</v>
      </c>
      <c r="L15" s="29">
        <f>INDEX('13 - Electrical Readings'!$K$6:$K$953,1+(2*(ROWS(C$1:C15)-1)))</f>
        <v>4049</v>
      </c>
      <c r="M15" s="29">
        <f>INDEX('13 - Electrical Readings'!$L$6:$L$953,1+(2*(ROWS(D$1:D15)-1)))</f>
        <v>4906</v>
      </c>
      <c r="N15" s="29">
        <f>INDEX('13 - Electrical Readings'!$M$6:$M$953,1+(2*(ROWS(E$1:E15)-1)))</f>
        <v>9211</v>
      </c>
      <c r="O15" s="30">
        <f>INDEX('13 - Electrical Readings'!$N$6:$N$953,1+(2*(ROWS(E$1:E15)-1)))</f>
        <v>7469</v>
      </c>
      <c r="P15" s="30">
        <f>INDEX('13 - Electrical Readings'!$O$6:$O$953,1+(2*(ROWS(E$1:E15)-1)))</f>
        <v>1002</v>
      </c>
      <c r="Q15" s="30">
        <f>INDEX('13 - Electrical Readings'!$P$6:$P$953,1+(2*(ROWS(E$1:E15)-1)))</f>
        <v>2790</v>
      </c>
      <c r="R15" s="30">
        <f>INDEX('9 - Water Readings'!$C$8:$C$955,1+(2*(ROWS(A$1:A14)-1)))</f>
        <v>0</v>
      </c>
      <c r="S15" s="30">
        <f>INDEX('9 - Water Readings'!$D$8:$D$954,1+(2*(ROWS(A$1:A14)-1)))</f>
        <v>0</v>
      </c>
      <c r="T15" s="30">
        <f>INDEX('9 - Water Readings'!$E$8:$E$955,1+(2*(ROWS(A$1:A14)-1)))</f>
        <v>0</v>
      </c>
      <c r="U15" s="30">
        <f>INDEX('9 - Water Readings'!$G$8:$G$954,1+(2*(ROWS(A$1:A14)-1)))</f>
        <v>141</v>
      </c>
      <c r="V15" s="30">
        <f>INDEX('9 - Water Readings'!$H$8:$H$955,1+(2*(ROWS(A$1:A14)-1)))</f>
        <v>17</v>
      </c>
      <c r="W15" s="30">
        <f>INDEX('9 - Water Readings'!$I$8:$I$955,1+(2*(ROWS(A$1:A14)-1)))</f>
        <v>91</v>
      </c>
      <c r="X15" s="30">
        <f>INDEX('9 - Water Readings'!$J$8:$J$955,1+(2*(ROWS(A$1:A14)-1)))</f>
        <v>331</v>
      </c>
      <c r="Y15" s="30">
        <f>INDEX('9 - Water Readings'!$K$8:$K$955,1+(2*(ROWS(A$1:A14)-1)))</f>
        <v>46</v>
      </c>
      <c r="Z15" s="30">
        <f>INDEX('9 - Water Readings'!$L$8:$L$955,1+(2*(ROWS(A$1:A14)-1)))</f>
        <v>20</v>
      </c>
      <c r="AA15" s="31">
        <f>'9 - Water Readings'!Q20</f>
        <v>150</v>
      </c>
      <c r="AB15" s="29">
        <f>'9 - Water Readings'!R20</f>
        <v>486</v>
      </c>
      <c r="AC15">
        <f>'9 - Water Readings'!S20</f>
        <v>2.2000000000000002</v>
      </c>
    </row>
    <row r="16" spans="1:29" x14ac:dyDescent="0.25">
      <c r="A16" s="32" t="s">
        <v>11</v>
      </c>
      <c r="B16" s="32">
        <f t="shared" si="0"/>
        <v>15</v>
      </c>
      <c r="C16" s="32">
        <v>2</v>
      </c>
      <c r="D16" s="29">
        <v>2023</v>
      </c>
      <c r="E16" s="30">
        <f>INDEX('13 - Electrical Readings'!$C$8:$C$953,1+(2*(ROWS(A$1:A15)-1)))</f>
        <v>3</v>
      </c>
      <c r="F16" s="30">
        <f>INDEX('13 - Electrical Readings'!$D$6:$D$953,1+(2*(ROWS(A$1:A16)-1)))</f>
        <v>869</v>
      </c>
      <c r="G16" s="29">
        <f>INDEX('13 - Electrical Readings'!$E$6:$E$953,1+(2*(ROWS(A$1:A16)-1)))</f>
        <v>5537</v>
      </c>
      <c r="H16" s="29">
        <f>INDEX('13 - Electrical Readings'!$F$6:$F$953,1+(2*(ROWS(A$1:A16)-1)))</f>
        <v>10076</v>
      </c>
      <c r="I16" s="30">
        <f>INDEX('13 - Electrical Readings'!$G$6:$G$953,1+(2*(ROWS(A$1:A16)-1)))</f>
        <v>14</v>
      </c>
      <c r="J16" s="29">
        <f>INDEX('13 - Electrical Readings'!$I$6:$I$953,1+(2*(ROWS(A$1:A16)-1)))</f>
        <v>1741</v>
      </c>
      <c r="K16" s="29">
        <f>INDEX('13 - Electrical Readings'!$J$6:$J$953,1+(2*(ROWS(B$1:B16)-1)))</f>
        <v>10416</v>
      </c>
      <c r="L16" s="29">
        <f>INDEX('13 - Electrical Readings'!$K$6:$K$953,1+(2*(ROWS(C$1:C16)-1)))</f>
        <v>4257</v>
      </c>
      <c r="M16" s="29">
        <f>INDEX('13 - Electrical Readings'!$L$6:$L$953,1+(2*(ROWS(D$1:D16)-1)))</f>
        <v>5384</v>
      </c>
      <c r="N16" s="29">
        <f>INDEX('13 - Electrical Readings'!$M$6:$M$953,1+(2*(ROWS(E$1:E16)-1)))</f>
        <v>9741</v>
      </c>
      <c r="O16" s="30">
        <f>INDEX('13 - Electrical Readings'!$N$6:$N$953,1+(2*(ROWS(E$1:E16)-1)))</f>
        <v>7785</v>
      </c>
      <c r="P16" s="30">
        <f>INDEX('13 - Electrical Readings'!$O$6:$O$953,1+(2*(ROWS(E$1:E16)-1)))</f>
        <v>1124</v>
      </c>
      <c r="Q16" s="30">
        <f>INDEX('13 - Electrical Readings'!$P$6:$P$953,1+(2*(ROWS(E$1:E16)-1)))</f>
        <v>2900</v>
      </c>
      <c r="R16" s="30">
        <f>INDEX('9 - Water Readings'!$C$8:$C$955,1+(2*(ROWS(A$1:A15)-1)))</f>
        <v>12</v>
      </c>
      <c r="S16" s="30">
        <f>INDEX('9 - Water Readings'!$D$8:$D$954,1+(2*(ROWS(A$1:A15)-1)))</f>
        <v>0</v>
      </c>
      <c r="T16" s="30">
        <f>INDEX('9 - Water Readings'!$E$8:$E$955,1+(2*(ROWS(A$1:A15)-1)))</f>
        <v>0</v>
      </c>
      <c r="U16" s="30">
        <f>INDEX('9 - Water Readings'!$G$8:$G$954,1+(2*(ROWS(A$1:A15)-1)))</f>
        <v>146</v>
      </c>
      <c r="V16" s="30">
        <f>INDEX('9 - Water Readings'!$H$8:$H$955,1+(2*(ROWS(A$1:A15)-1)))</f>
        <v>15</v>
      </c>
      <c r="W16" s="30">
        <f>INDEX('9 - Water Readings'!$I$8:$I$955,1+(2*(ROWS(A$1:A15)-1)))</f>
        <v>99</v>
      </c>
      <c r="X16" s="30">
        <f>INDEX('9 - Water Readings'!$J$8:$J$955,1+(2*(ROWS(A$1:A15)-1)))</f>
        <v>333</v>
      </c>
      <c r="Y16" s="30">
        <f>INDEX('9 - Water Readings'!$K$8:$K$955,1+(2*(ROWS(A$1:A15)-1)))</f>
        <v>47</v>
      </c>
      <c r="Z16" s="30">
        <f>INDEX('9 - Water Readings'!$L$8:$L$955,1+(2*(ROWS(A$1:A15)-1)))</f>
        <v>35</v>
      </c>
      <c r="AA16" s="31">
        <f>'9 - Water Readings'!Q21</f>
        <v>127</v>
      </c>
      <c r="AB16" s="29">
        <f>'9 - Water Readings'!R21</f>
        <v>438</v>
      </c>
      <c r="AC16">
        <f>'9 - Water Readings'!S21</f>
        <v>2.8</v>
      </c>
    </row>
    <row r="17" spans="1:29" x14ac:dyDescent="0.25">
      <c r="A17" s="32" t="s">
        <v>11</v>
      </c>
      <c r="B17" s="32">
        <f t="shared" si="0"/>
        <v>16</v>
      </c>
      <c r="C17" s="32">
        <v>2</v>
      </c>
      <c r="D17" s="29">
        <v>2023</v>
      </c>
      <c r="E17" s="30">
        <f>INDEX('13 - Electrical Readings'!$C$8:$C$953,1+(2*(ROWS(A$1:A16)-1)))</f>
        <v>1222</v>
      </c>
      <c r="F17" s="30">
        <f>INDEX('13 - Electrical Readings'!$D$6:$D$953,1+(2*(ROWS(A$1:A17)-1)))</f>
        <v>889</v>
      </c>
      <c r="G17" s="29">
        <f>INDEX('13 - Electrical Readings'!$E$6:$E$953,1+(2*(ROWS(A$1:A17)-1)))</f>
        <v>10883</v>
      </c>
      <c r="H17" s="29">
        <f>INDEX('13 - Electrical Readings'!$F$6:$F$953,1+(2*(ROWS(A$1:A17)-1)))</f>
        <v>2599</v>
      </c>
      <c r="I17" s="30">
        <f>INDEX('13 - Electrical Readings'!$G$6:$G$953,1+(2*(ROWS(A$1:A17)-1)))</f>
        <v>15</v>
      </c>
      <c r="J17" s="29">
        <f>INDEX('13 - Electrical Readings'!$I$6:$I$953,1+(2*(ROWS(A$1:A17)-1)))</f>
        <v>1608</v>
      </c>
      <c r="K17" s="29">
        <f>INDEX('13 - Electrical Readings'!$J$6:$J$953,1+(2*(ROWS(B$1:B17)-1)))</f>
        <v>9511</v>
      </c>
      <c r="L17" s="29">
        <f>INDEX('13 - Electrical Readings'!$K$6:$K$953,1+(2*(ROWS(C$1:C17)-1)))</f>
        <v>4089</v>
      </c>
      <c r="M17" s="29">
        <f>INDEX('13 - Electrical Readings'!$L$6:$L$953,1+(2*(ROWS(D$1:D17)-1)))</f>
        <v>4903</v>
      </c>
      <c r="N17" s="29">
        <f>INDEX('13 - Electrical Readings'!$M$6:$M$953,1+(2*(ROWS(E$1:E17)-1)))</f>
        <v>9598</v>
      </c>
      <c r="O17" s="30">
        <f>INDEX('13 - Electrical Readings'!$N$6:$N$953,1+(2*(ROWS(E$1:E17)-1)))</f>
        <v>7073</v>
      </c>
      <c r="P17" s="30">
        <f>INDEX('13 - Electrical Readings'!$O$6:$O$953,1+(2*(ROWS(E$1:E17)-1)))</f>
        <v>925</v>
      </c>
      <c r="Q17" s="30">
        <f>INDEX('13 - Electrical Readings'!$P$6:$P$953,1+(2*(ROWS(E$1:E17)-1)))</f>
        <v>2570</v>
      </c>
      <c r="R17" s="30">
        <f>INDEX('9 - Water Readings'!$C$8:$C$955,1+(2*(ROWS(A$1:A16)-1)))</f>
        <v>0</v>
      </c>
      <c r="S17" s="30">
        <f>INDEX('9 - Water Readings'!$D$8:$D$954,1+(2*(ROWS(A$1:A16)-1)))</f>
        <v>0</v>
      </c>
      <c r="T17" s="30">
        <f>INDEX('9 - Water Readings'!$E$8:$E$955,1+(2*(ROWS(A$1:A16)-1)))</f>
        <v>0</v>
      </c>
      <c r="U17" s="30">
        <f>INDEX('9 - Water Readings'!$G$8:$G$954,1+(2*(ROWS(A$1:A16)-1)))</f>
        <v>130</v>
      </c>
      <c r="V17" s="30">
        <f>INDEX('9 - Water Readings'!$H$8:$H$955,1+(2*(ROWS(A$1:A16)-1)))</f>
        <v>16</v>
      </c>
      <c r="W17" s="30">
        <f>INDEX('9 - Water Readings'!$I$8:$I$955,1+(2*(ROWS(A$1:A16)-1)))</f>
        <v>0</v>
      </c>
      <c r="X17" s="30">
        <f>INDEX('9 - Water Readings'!$J$8:$J$955,1+(2*(ROWS(A$1:A16)-1)))</f>
        <v>373</v>
      </c>
      <c r="Y17" s="30">
        <f>INDEX('9 - Water Readings'!$K$8:$K$955,1+(2*(ROWS(A$1:A16)-1)))</f>
        <v>50</v>
      </c>
      <c r="Z17" s="30">
        <f>INDEX('9 - Water Readings'!$L$8:$L$955,1+(2*(ROWS(A$1:A16)-1)))</f>
        <v>34</v>
      </c>
      <c r="AA17" s="31">
        <f>'9 - Water Readings'!Q22</f>
        <v>163</v>
      </c>
      <c r="AB17" s="29">
        <f>'9 - Water Readings'!R22</f>
        <v>590</v>
      </c>
      <c r="AC17">
        <f>'9 - Water Readings'!S22</f>
        <v>0.8</v>
      </c>
    </row>
    <row r="18" spans="1:29" x14ac:dyDescent="0.25">
      <c r="A18" s="32" t="s">
        <v>11</v>
      </c>
      <c r="B18" s="32">
        <f t="shared" si="0"/>
        <v>17</v>
      </c>
      <c r="C18" s="32">
        <v>2</v>
      </c>
      <c r="D18" s="29">
        <v>2023</v>
      </c>
      <c r="E18" s="30">
        <f>INDEX('13 - Electrical Readings'!$C$8:$C$953,1+(2*(ROWS(A$1:A17)-1)))</f>
        <v>12861</v>
      </c>
      <c r="F18" s="30">
        <f>INDEX('13 - Electrical Readings'!$D$6:$D$953,1+(2*(ROWS(A$1:A18)-1)))</f>
        <v>866</v>
      </c>
      <c r="G18" s="29">
        <f>INDEX('13 - Electrical Readings'!$E$6:$E$953,1+(2*(ROWS(A$1:A18)-1)))</f>
        <v>2364</v>
      </c>
      <c r="H18" s="29">
        <f>INDEX('13 - Electrical Readings'!$F$6:$F$953,1+(2*(ROWS(A$1:A18)-1)))</f>
        <v>2185</v>
      </c>
      <c r="I18" s="30">
        <f>INDEX('13 - Electrical Readings'!$G$6:$G$953,1+(2*(ROWS(A$1:A18)-1)))</f>
        <v>17</v>
      </c>
      <c r="J18" s="29">
        <f>INDEX('13 - Electrical Readings'!$I$6:$I$953,1+(2*(ROWS(A$1:A18)-1)))</f>
        <v>1652</v>
      </c>
      <c r="K18" s="29">
        <f>INDEX('13 - Electrical Readings'!$J$6:$J$953,1+(2*(ROWS(B$1:B18)-1)))</f>
        <v>9737</v>
      </c>
      <c r="L18" s="29">
        <f>INDEX('13 - Electrical Readings'!$K$6:$K$953,1+(2*(ROWS(C$1:C18)-1)))</f>
        <v>4531</v>
      </c>
      <c r="M18" s="29">
        <f>INDEX('13 - Electrical Readings'!$L$6:$L$953,1+(2*(ROWS(D$1:D18)-1)))</f>
        <v>5200</v>
      </c>
      <c r="N18" s="29">
        <f>INDEX('13 - Electrical Readings'!$M$6:$M$953,1+(2*(ROWS(E$1:E18)-1)))</f>
        <v>9020</v>
      </c>
      <c r="O18" s="30">
        <f>INDEX('13 - Electrical Readings'!$N$6:$N$953,1+(2*(ROWS(E$1:E18)-1)))</f>
        <v>6853</v>
      </c>
      <c r="P18" s="30">
        <f>INDEX('13 - Electrical Readings'!$O$6:$O$953,1+(2*(ROWS(E$1:E18)-1)))</f>
        <v>881</v>
      </c>
      <c r="Q18" s="30">
        <f>INDEX('13 - Electrical Readings'!$P$6:$P$953,1+(2*(ROWS(E$1:E18)-1)))</f>
        <v>2950</v>
      </c>
      <c r="R18" s="30">
        <f>INDEX('9 - Water Readings'!$C$8:$C$955,1+(2*(ROWS(A$1:A17)-1)))</f>
        <v>0</v>
      </c>
      <c r="S18" s="30">
        <f>INDEX('9 - Water Readings'!$D$8:$D$954,1+(2*(ROWS(A$1:A17)-1)))</f>
        <v>0</v>
      </c>
      <c r="T18" s="30">
        <f>INDEX('9 - Water Readings'!$E$8:$E$955,1+(2*(ROWS(A$1:A17)-1)))</f>
        <v>0</v>
      </c>
      <c r="U18" s="30">
        <f>INDEX('9 - Water Readings'!$G$8:$G$954,1+(2*(ROWS(A$1:A17)-1)))</f>
        <v>136</v>
      </c>
      <c r="V18" s="30">
        <f>INDEX('9 - Water Readings'!$H$8:$H$955,1+(2*(ROWS(A$1:A17)-1)))</f>
        <v>15</v>
      </c>
      <c r="W18" s="30">
        <f>INDEX('9 - Water Readings'!$I$8:$I$955,1+(2*(ROWS(A$1:A17)-1)))</f>
        <v>166</v>
      </c>
      <c r="X18" s="30">
        <f>INDEX('9 - Water Readings'!$J$8:$J$955,1+(2*(ROWS(A$1:A17)-1)))</f>
        <v>330</v>
      </c>
      <c r="Y18" s="30">
        <f>INDEX('9 - Water Readings'!$K$8:$K$955,1+(2*(ROWS(A$1:A17)-1)))</f>
        <v>56</v>
      </c>
      <c r="Z18" s="30">
        <f>INDEX('9 - Water Readings'!$L$8:$L$955,1+(2*(ROWS(A$1:A17)-1)))</f>
        <v>17</v>
      </c>
      <c r="AA18" s="31">
        <f>'9 - Water Readings'!Q23</f>
        <v>128</v>
      </c>
      <c r="AB18" s="29">
        <f>'9 - Water Readings'!R23</f>
        <v>476</v>
      </c>
      <c r="AC18">
        <f>'9 - Water Readings'!S23</f>
        <v>0.3</v>
      </c>
    </row>
    <row r="19" spans="1:29" x14ac:dyDescent="0.25">
      <c r="A19" s="32" t="s">
        <v>11</v>
      </c>
      <c r="B19" s="32">
        <f t="shared" si="0"/>
        <v>18</v>
      </c>
      <c r="C19" s="32">
        <v>2</v>
      </c>
      <c r="D19" s="29">
        <v>2023</v>
      </c>
      <c r="E19" s="30">
        <f>INDEX('13 - Electrical Readings'!$C$8:$C$953,1+(2*(ROWS(A$1:A18)-1)))</f>
        <v>11988</v>
      </c>
      <c r="F19" s="30">
        <f>INDEX('13 - Electrical Readings'!$D$6:$D$953,1+(2*(ROWS(A$1:A19)-1)))</f>
        <v>852</v>
      </c>
      <c r="G19" s="29">
        <f>INDEX('13 - Electrical Readings'!$E$6:$E$953,1+(2*(ROWS(A$1:A19)-1)))</f>
        <v>2359</v>
      </c>
      <c r="H19" s="29">
        <f>INDEX('13 - Electrical Readings'!$F$6:$F$953,1+(2*(ROWS(A$1:A19)-1)))</f>
        <v>2100</v>
      </c>
      <c r="I19" s="30">
        <f>INDEX('13 - Electrical Readings'!$G$6:$G$953,1+(2*(ROWS(A$1:A19)-1)))</f>
        <v>15</v>
      </c>
      <c r="J19" s="29">
        <f>INDEX('13 - Electrical Readings'!$I$6:$I$953,1+(2*(ROWS(A$1:A19)-1)))</f>
        <v>1760</v>
      </c>
      <c r="K19" s="29">
        <f>INDEX('13 - Electrical Readings'!$J$6:$J$953,1+(2*(ROWS(B$1:B19)-1)))</f>
        <v>9111</v>
      </c>
      <c r="L19" s="29">
        <f>INDEX('13 - Electrical Readings'!$K$6:$K$953,1+(2*(ROWS(C$1:C19)-1)))</f>
        <v>4334</v>
      </c>
      <c r="M19" s="29">
        <f>INDEX('13 - Electrical Readings'!$L$6:$L$953,1+(2*(ROWS(D$1:D19)-1)))</f>
        <v>5219</v>
      </c>
      <c r="N19" s="29">
        <f>INDEX('13 - Electrical Readings'!$M$6:$M$953,1+(2*(ROWS(E$1:E19)-1)))</f>
        <v>9014</v>
      </c>
      <c r="O19" s="30">
        <f>INDEX('13 - Electrical Readings'!$N$6:$N$953,1+(2*(ROWS(E$1:E19)-1)))</f>
        <v>7094</v>
      </c>
      <c r="P19" s="30">
        <f>INDEX('13 - Electrical Readings'!$O$6:$O$953,1+(2*(ROWS(E$1:E19)-1)))</f>
        <v>815</v>
      </c>
      <c r="Q19" s="30">
        <f>INDEX('13 - Electrical Readings'!$P$6:$P$953,1+(2*(ROWS(E$1:E19)-1)))</f>
        <v>2730</v>
      </c>
      <c r="R19" s="30">
        <f>INDEX('9 - Water Readings'!$C$8:$C$955,1+(2*(ROWS(A$1:A18)-1)))</f>
        <v>0</v>
      </c>
      <c r="S19" s="30">
        <f>INDEX('9 - Water Readings'!$D$8:$D$954,1+(2*(ROWS(A$1:A18)-1)))</f>
        <v>0</v>
      </c>
      <c r="T19" s="30">
        <f>INDEX('9 - Water Readings'!$E$8:$E$955,1+(2*(ROWS(A$1:A18)-1)))</f>
        <v>0</v>
      </c>
      <c r="U19" s="30">
        <f>INDEX('9 - Water Readings'!$G$8:$G$954,1+(2*(ROWS(A$1:A18)-1)))</f>
        <v>145</v>
      </c>
      <c r="V19" s="30">
        <f>INDEX('9 - Water Readings'!$H$8:$H$955,1+(2*(ROWS(A$1:A18)-1)))</f>
        <v>15</v>
      </c>
      <c r="W19" s="30">
        <f>INDEX('9 - Water Readings'!$I$8:$I$955,1+(2*(ROWS(A$1:A18)-1)))</f>
        <v>90</v>
      </c>
      <c r="X19" s="30">
        <f>INDEX('9 - Water Readings'!$J$8:$J$955,1+(2*(ROWS(A$1:A18)-1)))</f>
        <v>328</v>
      </c>
      <c r="Y19" s="30">
        <f>INDEX('9 - Water Readings'!$K$8:$K$955,1+(2*(ROWS(A$1:A18)-1)))</f>
        <v>45</v>
      </c>
      <c r="Z19" s="30">
        <f>INDEX('9 - Water Readings'!$L$8:$L$955,1+(2*(ROWS(A$1:A18)-1)))</f>
        <v>24</v>
      </c>
      <c r="AA19" s="31">
        <f>'9 - Water Readings'!Q24</f>
        <v>140</v>
      </c>
      <c r="AB19" s="29">
        <f>'9 - Water Readings'!R24</f>
        <v>414</v>
      </c>
      <c r="AC19">
        <f>'9 - Water Readings'!S24</f>
        <v>0</v>
      </c>
    </row>
    <row r="20" spans="1:29" x14ac:dyDescent="0.25">
      <c r="A20" s="32" t="s">
        <v>11</v>
      </c>
      <c r="B20" s="32">
        <f t="shared" si="0"/>
        <v>19</v>
      </c>
      <c r="C20" s="32">
        <v>2</v>
      </c>
      <c r="D20" s="29">
        <v>2023</v>
      </c>
      <c r="E20" s="30">
        <f>INDEX('13 - Electrical Readings'!$C$8:$C$953,1+(2*(ROWS(A$1:A19)-1)))</f>
        <v>11899</v>
      </c>
      <c r="F20" s="30">
        <f>INDEX('13 - Electrical Readings'!$D$6:$D$953,1+(2*(ROWS(A$1:A20)-1)))</f>
        <v>891</v>
      </c>
      <c r="G20" s="29">
        <f>INDEX('13 - Electrical Readings'!$E$6:$E$953,1+(2*(ROWS(A$1:A20)-1)))</f>
        <v>2373</v>
      </c>
      <c r="H20" s="29">
        <f>INDEX('13 - Electrical Readings'!$F$6:$F$953,1+(2*(ROWS(A$1:A20)-1)))</f>
        <v>2029</v>
      </c>
      <c r="I20" s="30">
        <f>INDEX('13 - Electrical Readings'!$G$6:$G$953,1+(2*(ROWS(A$1:A20)-1)))</f>
        <v>16</v>
      </c>
      <c r="J20" s="29">
        <f>INDEX('13 - Electrical Readings'!$I$6:$I$953,1+(2*(ROWS(A$1:A20)-1)))</f>
        <v>1621</v>
      </c>
      <c r="K20" s="29">
        <f>INDEX('13 - Electrical Readings'!$J$6:$J$953,1+(2*(ROWS(B$1:B20)-1)))</f>
        <v>9297</v>
      </c>
      <c r="L20" s="29">
        <f>INDEX('13 - Electrical Readings'!$K$6:$K$953,1+(2*(ROWS(C$1:C20)-1)))</f>
        <v>4277</v>
      </c>
      <c r="M20" s="29">
        <f>INDEX('13 - Electrical Readings'!$L$6:$L$953,1+(2*(ROWS(D$1:D20)-1)))</f>
        <v>5012</v>
      </c>
      <c r="N20" s="29">
        <f>INDEX('13 - Electrical Readings'!$M$6:$M$953,1+(2*(ROWS(E$1:E20)-1)))</f>
        <v>8822</v>
      </c>
      <c r="O20" s="30">
        <f>INDEX('13 - Electrical Readings'!$N$6:$N$953,1+(2*(ROWS(E$1:E20)-1)))</f>
        <v>6721</v>
      </c>
      <c r="P20" s="30">
        <f>INDEX('13 - Electrical Readings'!$O$6:$O$953,1+(2*(ROWS(E$1:E20)-1)))</f>
        <v>815</v>
      </c>
      <c r="Q20" s="30">
        <f>INDEX('13 - Electrical Readings'!$P$6:$P$953,1+(2*(ROWS(E$1:E20)-1)))</f>
        <v>2030</v>
      </c>
      <c r="R20" s="30">
        <f>INDEX('9 - Water Readings'!$C$8:$C$955,1+(2*(ROWS(A$1:A19)-1)))</f>
        <v>0</v>
      </c>
      <c r="S20" s="30">
        <f>INDEX('9 - Water Readings'!$D$8:$D$954,1+(2*(ROWS(A$1:A19)-1)))</f>
        <v>0</v>
      </c>
      <c r="T20" s="30">
        <f>INDEX('9 - Water Readings'!$E$8:$E$955,1+(2*(ROWS(A$1:A19)-1)))</f>
        <v>0</v>
      </c>
      <c r="U20" s="30">
        <f>INDEX('9 - Water Readings'!$G$8:$G$954,1+(2*(ROWS(A$1:A19)-1)))</f>
        <v>135</v>
      </c>
      <c r="V20" s="30">
        <f>INDEX('9 - Water Readings'!$H$8:$H$955,1+(2*(ROWS(A$1:A19)-1)))</f>
        <v>15</v>
      </c>
      <c r="W20" s="30">
        <f>INDEX('9 - Water Readings'!$I$8:$I$955,1+(2*(ROWS(A$1:A19)-1)))</f>
        <v>74</v>
      </c>
      <c r="X20" s="30">
        <f>INDEX('9 - Water Readings'!$J$8:$J$955,1+(2*(ROWS(A$1:A19)-1)))</f>
        <v>308</v>
      </c>
      <c r="Y20" s="30">
        <f>INDEX('9 - Water Readings'!$K$8:$K$955,1+(2*(ROWS(A$1:A19)-1)))</f>
        <v>45</v>
      </c>
      <c r="Z20" s="30">
        <f>INDEX('9 - Water Readings'!$L$8:$L$955,1+(2*(ROWS(A$1:A19)-1)))</f>
        <v>23</v>
      </c>
      <c r="AA20" s="31">
        <f>'9 - Water Readings'!Q25</f>
        <v>213</v>
      </c>
      <c r="AB20" s="29">
        <f>'9 - Water Readings'!R25</f>
        <v>506</v>
      </c>
      <c r="AC20">
        <f>'9 - Water Readings'!S25</f>
        <v>0.3</v>
      </c>
    </row>
    <row r="21" spans="1:29" x14ac:dyDescent="0.25">
      <c r="A21" s="32" t="s">
        <v>11</v>
      </c>
      <c r="B21" s="32">
        <f t="shared" si="0"/>
        <v>20</v>
      </c>
      <c r="C21" s="32">
        <v>2</v>
      </c>
      <c r="D21" s="29">
        <v>2023</v>
      </c>
      <c r="E21" s="30">
        <f>INDEX('13 - Electrical Readings'!$C$8:$C$953,1+(2*(ROWS(A$1:A20)-1)))</f>
        <v>11960</v>
      </c>
      <c r="F21" s="30">
        <f>INDEX('13 - Electrical Readings'!$D$6:$D$953,1+(2*(ROWS(A$1:A21)-1)))</f>
        <v>897</v>
      </c>
      <c r="G21" s="29">
        <f>INDEX('13 - Electrical Readings'!$E$6:$E$953,1+(2*(ROWS(A$1:A21)-1)))</f>
        <v>2372</v>
      </c>
      <c r="H21" s="29">
        <f>INDEX('13 - Electrical Readings'!$F$6:$F$953,1+(2*(ROWS(A$1:A21)-1)))</f>
        <v>1994</v>
      </c>
      <c r="I21" s="30">
        <f>INDEX('13 - Electrical Readings'!$G$6:$G$953,1+(2*(ROWS(A$1:A21)-1)))</f>
        <v>15</v>
      </c>
      <c r="J21" s="29">
        <f>INDEX('13 - Electrical Readings'!$I$6:$I$953,1+(2*(ROWS(A$1:A21)-1)))</f>
        <v>1643</v>
      </c>
      <c r="K21" s="29">
        <f>INDEX('13 - Electrical Readings'!$J$6:$J$953,1+(2*(ROWS(B$1:B21)-1)))</f>
        <v>9419</v>
      </c>
      <c r="L21" s="29">
        <f>INDEX('13 - Electrical Readings'!$K$6:$K$953,1+(2*(ROWS(C$1:C21)-1)))</f>
        <v>4198</v>
      </c>
      <c r="M21" s="29">
        <f>INDEX('13 - Electrical Readings'!$L$6:$L$953,1+(2*(ROWS(D$1:D21)-1)))</f>
        <v>4982</v>
      </c>
      <c r="N21" s="29">
        <f>INDEX('13 - Electrical Readings'!$M$6:$M$953,1+(2*(ROWS(E$1:E21)-1)))</f>
        <v>8687</v>
      </c>
      <c r="O21" s="30">
        <f>INDEX('13 - Electrical Readings'!$N$6:$N$953,1+(2*(ROWS(E$1:E21)-1)))</f>
        <v>6852</v>
      </c>
      <c r="P21" s="30">
        <f>INDEX('13 - Electrical Readings'!$O$6:$O$953,1+(2*(ROWS(E$1:E21)-1)))</f>
        <v>878</v>
      </c>
      <c r="Q21" s="30">
        <f>INDEX('13 - Electrical Readings'!$P$6:$P$953,1+(2*(ROWS(E$1:E21)-1)))</f>
        <v>2580</v>
      </c>
      <c r="R21" s="30">
        <f>INDEX('9 - Water Readings'!$C$8:$C$955,1+(2*(ROWS(A$1:A20)-1)))</f>
        <v>0</v>
      </c>
      <c r="S21" s="30">
        <f>INDEX('9 - Water Readings'!$D$8:$D$954,1+(2*(ROWS(A$1:A20)-1)))</f>
        <v>0</v>
      </c>
      <c r="T21" s="30">
        <f>INDEX('9 - Water Readings'!$E$8:$E$955,1+(2*(ROWS(A$1:A20)-1)))</f>
        <v>0</v>
      </c>
      <c r="U21" s="30">
        <f>INDEX('9 - Water Readings'!$G$8:$G$954,1+(2*(ROWS(A$1:A20)-1)))</f>
        <v>140</v>
      </c>
      <c r="V21" s="30">
        <f>INDEX('9 - Water Readings'!$H$8:$H$955,1+(2*(ROWS(A$1:A20)-1)))</f>
        <v>15</v>
      </c>
      <c r="W21" s="30">
        <f>INDEX('9 - Water Readings'!$I$8:$I$955,1+(2*(ROWS(A$1:A20)-1)))</f>
        <v>84</v>
      </c>
      <c r="X21" s="30">
        <f>INDEX('9 - Water Readings'!$J$8:$J$955,1+(2*(ROWS(A$1:A20)-1)))</f>
        <v>280</v>
      </c>
      <c r="Y21" s="30">
        <f>INDEX('9 - Water Readings'!$K$8:$K$955,1+(2*(ROWS(A$1:A20)-1)))</f>
        <v>44</v>
      </c>
      <c r="Z21" s="30">
        <f>INDEX('9 - Water Readings'!$L$8:$L$955,1+(2*(ROWS(A$1:A20)-1)))</f>
        <v>42</v>
      </c>
      <c r="AA21" s="31">
        <f>'9 - Water Readings'!Q26</f>
        <v>209</v>
      </c>
      <c r="AB21" s="29">
        <f>'9 - Water Readings'!R26</f>
        <v>494</v>
      </c>
      <c r="AC21">
        <f>'9 - Water Readings'!S26</f>
        <v>0.5</v>
      </c>
    </row>
    <row r="22" spans="1:29" x14ac:dyDescent="0.25">
      <c r="A22" s="32" t="s">
        <v>11</v>
      </c>
      <c r="B22" s="32">
        <f t="shared" si="0"/>
        <v>21</v>
      </c>
      <c r="C22" s="32">
        <v>2</v>
      </c>
      <c r="D22" s="29">
        <v>2023</v>
      </c>
      <c r="E22" s="30">
        <f>INDEX('13 - Electrical Readings'!$C$8:$C$953,1+(2*(ROWS(A$1:A21)-1)))</f>
        <v>12639</v>
      </c>
      <c r="F22" s="30">
        <f>INDEX('13 - Electrical Readings'!$D$6:$D$953,1+(2*(ROWS(A$1:A22)-1)))</f>
        <v>909</v>
      </c>
      <c r="G22" s="29">
        <f>INDEX('13 - Electrical Readings'!$E$6:$E$953,1+(2*(ROWS(A$1:A22)-1)))</f>
        <v>2386</v>
      </c>
      <c r="H22" s="29">
        <f>INDEX('13 - Electrical Readings'!$F$6:$F$953,1+(2*(ROWS(A$1:A22)-1)))</f>
        <v>2001</v>
      </c>
      <c r="I22" s="30">
        <f>INDEX('13 - Electrical Readings'!$G$6:$G$953,1+(2*(ROWS(A$1:A22)-1)))</f>
        <v>17</v>
      </c>
      <c r="J22" s="29">
        <f>INDEX('13 - Electrical Readings'!$I$6:$I$953,1+(2*(ROWS(A$1:A22)-1)))</f>
        <v>1640</v>
      </c>
      <c r="K22" s="29">
        <f>INDEX('13 - Electrical Readings'!$J$6:$J$953,1+(2*(ROWS(B$1:B22)-1)))</f>
        <v>9473</v>
      </c>
      <c r="L22" s="29">
        <f>INDEX('13 - Electrical Readings'!$K$6:$K$953,1+(2*(ROWS(C$1:C22)-1)))</f>
        <v>4292</v>
      </c>
      <c r="M22" s="29">
        <f>INDEX('13 - Electrical Readings'!$L$6:$L$953,1+(2*(ROWS(D$1:D22)-1)))</f>
        <v>4984</v>
      </c>
      <c r="N22" s="29">
        <f>INDEX('13 - Electrical Readings'!$M$6:$M$953,1+(2*(ROWS(E$1:E22)-1)))</f>
        <v>8650</v>
      </c>
      <c r="O22" s="30">
        <f>INDEX('13 - Electrical Readings'!$N$6:$N$953,1+(2*(ROWS(E$1:E22)-1)))</f>
        <v>6975</v>
      </c>
      <c r="P22" s="30">
        <f>INDEX('13 - Electrical Readings'!$O$6:$O$953,1+(2*(ROWS(E$1:E22)-1)))</f>
        <v>1027</v>
      </c>
      <c r="Q22" s="30">
        <f>INDEX('13 - Electrical Readings'!$P$6:$P$953,1+(2*(ROWS(E$1:E22)-1)))</f>
        <v>2760</v>
      </c>
      <c r="R22" s="30">
        <f>INDEX('9 - Water Readings'!$C$8:$C$955,1+(2*(ROWS(A$1:A21)-1)))</f>
        <v>0</v>
      </c>
      <c r="S22" s="30">
        <f>INDEX('9 - Water Readings'!$D$8:$D$954,1+(2*(ROWS(A$1:A21)-1)))</f>
        <v>0</v>
      </c>
      <c r="T22" s="30">
        <f>INDEX('9 - Water Readings'!$E$8:$E$955,1+(2*(ROWS(A$1:A21)-1)))</f>
        <v>0</v>
      </c>
      <c r="U22" s="30">
        <f>INDEX('9 - Water Readings'!$G$8:$G$954,1+(2*(ROWS(A$1:A21)-1)))</f>
        <v>140</v>
      </c>
      <c r="V22" s="30">
        <f>INDEX('9 - Water Readings'!$H$8:$H$955,1+(2*(ROWS(A$1:A21)-1)))</f>
        <v>15</v>
      </c>
      <c r="W22" s="30">
        <f>INDEX('9 - Water Readings'!$I$8:$I$955,1+(2*(ROWS(A$1:A21)-1)))</f>
        <v>87</v>
      </c>
      <c r="X22" s="30">
        <f>INDEX('9 - Water Readings'!$J$8:$J$955,1+(2*(ROWS(A$1:A21)-1)))</f>
        <v>300</v>
      </c>
      <c r="Y22" s="30">
        <f>INDEX('9 - Water Readings'!$K$8:$K$955,1+(2*(ROWS(A$1:A21)-1)))</f>
        <v>54</v>
      </c>
      <c r="Z22" s="30">
        <f>INDEX('9 - Water Readings'!$L$8:$L$955,1+(2*(ROWS(A$1:A21)-1)))</f>
        <v>29</v>
      </c>
      <c r="AA22" s="31">
        <f>'9 - Water Readings'!Q27</f>
        <v>205</v>
      </c>
      <c r="AB22" s="29">
        <f>'9 - Water Readings'!R27</f>
        <v>542</v>
      </c>
      <c r="AC22">
        <f>'9 - Water Readings'!S27</f>
        <v>1.3</v>
      </c>
    </row>
    <row r="23" spans="1:29" x14ac:dyDescent="0.25">
      <c r="A23" s="32" t="s">
        <v>11</v>
      </c>
      <c r="B23" s="32">
        <f t="shared" si="0"/>
        <v>22</v>
      </c>
      <c r="C23" s="32">
        <v>2</v>
      </c>
      <c r="D23" s="29">
        <v>2023</v>
      </c>
      <c r="E23" s="30">
        <f>INDEX('13 - Electrical Readings'!$C$8:$C$953,1+(2*(ROWS(A$1:A22)-1)))</f>
        <v>12657</v>
      </c>
      <c r="F23" s="30">
        <f>INDEX('13 - Electrical Readings'!$D$6:$D$953,1+(2*(ROWS(A$1:A23)-1)))</f>
        <v>945</v>
      </c>
      <c r="G23" s="29">
        <f>INDEX('13 - Electrical Readings'!$E$6:$E$953,1+(2*(ROWS(A$1:A23)-1)))</f>
        <v>2366</v>
      </c>
      <c r="H23" s="29">
        <f>INDEX('13 - Electrical Readings'!$F$6:$F$953,1+(2*(ROWS(A$1:A23)-1)))</f>
        <v>1967</v>
      </c>
      <c r="I23" s="30">
        <f>INDEX('13 - Electrical Readings'!$G$6:$G$953,1+(2*(ROWS(A$1:A23)-1)))</f>
        <v>14</v>
      </c>
      <c r="J23" s="29">
        <f>INDEX('13 - Electrical Readings'!$I$6:$I$953,1+(2*(ROWS(A$1:A23)-1)))</f>
        <v>1680</v>
      </c>
      <c r="K23" s="29">
        <f>INDEX('13 - Electrical Readings'!$J$6:$J$953,1+(2*(ROWS(B$1:B23)-1)))</f>
        <v>9411</v>
      </c>
      <c r="L23" s="29">
        <f>INDEX('13 - Electrical Readings'!$K$6:$K$953,1+(2*(ROWS(C$1:C23)-1)))</f>
        <v>4377</v>
      </c>
      <c r="M23" s="29">
        <f>INDEX('13 - Electrical Readings'!$L$6:$L$953,1+(2*(ROWS(D$1:D23)-1)))</f>
        <v>4839</v>
      </c>
      <c r="N23" s="29">
        <f>INDEX('13 - Electrical Readings'!$M$6:$M$953,1+(2*(ROWS(E$1:E23)-1)))</f>
        <v>7422</v>
      </c>
      <c r="O23" s="30">
        <f>INDEX('13 - Electrical Readings'!$N$6:$N$953,1+(2*(ROWS(E$1:E23)-1)))</f>
        <v>7058</v>
      </c>
      <c r="P23" s="30">
        <f>INDEX('13 - Electrical Readings'!$O$6:$O$953,1+(2*(ROWS(E$1:E23)-1)))</f>
        <v>1397</v>
      </c>
      <c r="Q23" s="30">
        <f>INDEX('13 - Electrical Readings'!$P$6:$P$953,1+(2*(ROWS(E$1:E23)-1)))</f>
        <v>2820</v>
      </c>
      <c r="R23" s="30">
        <f>INDEX('9 - Water Readings'!$C$8:$C$955,1+(2*(ROWS(A$1:A22)-1)))</f>
        <v>0</v>
      </c>
      <c r="S23" s="30">
        <f>INDEX('9 - Water Readings'!$D$8:$D$954,1+(2*(ROWS(A$1:A22)-1)))</f>
        <v>0</v>
      </c>
      <c r="T23" s="30">
        <f>INDEX('9 - Water Readings'!$E$8:$E$955,1+(2*(ROWS(A$1:A22)-1)))</f>
        <v>0</v>
      </c>
      <c r="U23" s="30">
        <f>INDEX('9 - Water Readings'!$G$8:$G$954,1+(2*(ROWS(A$1:A22)-1)))</f>
        <v>140</v>
      </c>
      <c r="V23" s="30">
        <f>INDEX('9 - Water Readings'!$H$8:$H$955,1+(2*(ROWS(A$1:A22)-1)))</f>
        <v>17</v>
      </c>
      <c r="W23" s="30">
        <f>INDEX('9 - Water Readings'!$I$8:$I$955,1+(2*(ROWS(A$1:A22)-1)))</f>
        <v>95</v>
      </c>
      <c r="X23" s="30">
        <f>INDEX('9 - Water Readings'!$J$8:$J$955,1+(2*(ROWS(A$1:A22)-1)))</f>
        <v>302</v>
      </c>
      <c r="Y23" s="30">
        <f>INDEX('9 - Water Readings'!$K$8:$K$955,1+(2*(ROWS(A$1:A22)-1)))</f>
        <v>45</v>
      </c>
      <c r="Z23" s="30">
        <f>INDEX('9 - Water Readings'!$L$8:$L$955,1+(2*(ROWS(A$1:A22)-1)))</f>
        <v>32</v>
      </c>
      <c r="AA23" s="31">
        <f>'9 - Water Readings'!Q28</f>
        <v>164</v>
      </c>
      <c r="AB23" s="29">
        <f>'9 - Water Readings'!R28</f>
        <v>538</v>
      </c>
      <c r="AC23">
        <f>'9 - Water Readings'!S28</f>
        <v>1.9</v>
      </c>
    </row>
    <row r="24" spans="1:29" x14ac:dyDescent="0.25">
      <c r="A24" s="32" t="s">
        <v>11</v>
      </c>
      <c r="B24" s="32">
        <f t="shared" si="0"/>
        <v>23</v>
      </c>
      <c r="C24" s="32">
        <v>2</v>
      </c>
      <c r="D24" s="29">
        <v>2023</v>
      </c>
      <c r="E24" s="30">
        <f>INDEX('13 - Electrical Readings'!$C$8:$C$953,1+(2*(ROWS(A$1:A23)-1)))</f>
        <v>14464</v>
      </c>
      <c r="F24" s="30">
        <f>INDEX('13 - Electrical Readings'!$D$6:$D$953,1+(2*(ROWS(A$1:A24)-1)))</f>
        <v>910</v>
      </c>
      <c r="G24" s="29">
        <f>INDEX('13 - Electrical Readings'!$E$6:$E$953,1+(2*(ROWS(A$1:A24)-1)))</f>
        <v>2379</v>
      </c>
      <c r="H24" s="29">
        <f>INDEX('13 - Electrical Readings'!$F$6:$F$953,1+(2*(ROWS(A$1:A24)-1)))</f>
        <v>2198</v>
      </c>
      <c r="I24" s="30">
        <f>INDEX('13 - Electrical Readings'!$G$6:$G$953,1+(2*(ROWS(A$1:A24)-1)))</f>
        <v>14</v>
      </c>
      <c r="J24" s="29">
        <f>INDEX('13 - Electrical Readings'!$I$6:$I$953,1+(2*(ROWS(A$1:A24)-1)))</f>
        <v>1658</v>
      </c>
      <c r="K24" s="29">
        <f>INDEX('13 - Electrical Readings'!$J$6:$J$953,1+(2*(ROWS(B$1:B24)-1)))</f>
        <v>9631</v>
      </c>
      <c r="L24" s="29">
        <f>INDEX('13 - Electrical Readings'!$K$6:$K$953,1+(2*(ROWS(C$1:C24)-1)))</f>
        <v>4606</v>
      </c>
      <c r="M24" s="29">
        <f>INDEX('13 - Electrical Readings'!$L$6:$L$953,1+(2*(ROWS(D$1:D24)-1)))</f>
        <v>4696</v>
      </c>
      <c r="N24" s="29">
        <f>INDEX('13 - Electrical Readings'!$M$6:$M$953,1+(2*(ROWS(E$1:E24)-1)))</f>
        <v>7558</v>
      </c>
      <c r="O24" s="30">
        <f>INDEX('13 - Electrical Readings'!$N$6:$N$953,1+(2*(ROWS(E$1:E24)-1)))</f>
        <v>7466</v>
      </c>
      <c r="P24" s="30">
        <f>INDEX('13 - Electrical Readings'!$O$6:$O$953,1+(2*(ROWS(E$1:E24)-1)))</f>
        <v>1397</v>
      </c>
      <c r="Q24" s="30">
        <f>INDEX('13 - Electrical Readings'!$P$6:$P$953,1+(2*(ROWS(E$1:E24)-1)))</f>
        <v>2780</v>
      </c>
      <c r="R24" s="30">
        <f>INDEX('9 - Water Readings'!$C$8:$C$955,1+(2*(ROWS(A$1:A23)-1)))</f>
        <v>0</v>
      </c>
      <c r="S24" s="30">
        <f>INDEX('9 - Water Readings'!$D$8:$D$954,1+(2*(ROWS(A$1:A23)-1)))</f>
        <v>0</v>
      </c>
      <c r="T24" s="30">
        <f>INDEX('9 - Water Readings'!$E$8:$E$955,1+(2*(ROWS(A$1:A23)-1)))</f>
        <v>0</v>
      </c>
      <c r="U24" s="30">
        <f>INDEX('9 - Water Readings'!$G$8:$G$954,1+(2*(ROWS(A$1:A23)-1)))</f>
        <v>137</v>
      </c>
      <c r="V24" s="30">
        <f>INDEX('9 - Water Readings'!$H$8:$H$955,1+(2*(ROWS(A$1:A23)-1)))</f>
        <v>17</v>
      </c>
      <c r="W24" s="30">
        <f>INDEX('9 - Water Readings'!$I$8:$I$955,1+(2*(ROWS(A$1:A23)-1)))</f>
        <v>92</v>
      </c>
      <c r="X24" s="30">
        <f>INDEX('9 - Water Readings'!$J$8:$J$955,1+(2*(ROWS(A$1:A23)-1)))</f>
        <v>352</v>
      </c>
      <c r="Y24" s="30">
        <f>INDEX('9 - Water Readings'!$K$8:$K$955,1+(2*(ROWS(A$1:A23)-1)))</f>
        <v>55</v>
      </c>
      <c r="Z24" s="30">
        <f>INDEX('9 - Water Readings'!$L$8:$L$955,1+(2*(ROWS(A$1:A23)-1)))</f>
        <v>27</v>
      </c>
      <c r="AA24" s="31">
        <f>'9 - Water Readings'!Q29</f>
        <v>205</v>
      </c>
      <c r="AB24" s="29">
        <f>'9 - Water Readings'!R29</f>
        <v>736</v>
      </c>
      <c r="AC24">
        <f>'9 - Water Readings'!S29</f>
        <v>2.7</v>
      </c>
    </row>
    <row r="25" spans="1:29" x14ac:dyDescent="0.25">
      <c r="A25" s="32" t="s">
        <v>11</v>
      </c>
      <c r="B25" s="32">
        <f t="shared" si="0"/>
        <v>24</v>
      </c>
      <c r="C25" s="32">
        <v>2</v>
      </c>
      <c r="D25" s="29">
        <v>2023</v>
      </c>
      <c r="E25" s="30">
        <f>INDEX('13 - Electrical Readings'!$C$8:$C$953,1+(2*(ROWS(A$1:A24)-1)))</f>
        <v>16139</v>
      </c>
      <c r="F25" s="30">
        <f>INDEX('13 - Electrical Readings'!$D$6:$D$953,1+(2*(ROWS(A$1:A25)-1)))</f>
        <v>918</v>
      </c>
      <c r="G25" s="29">
        <f>INDEX('13 - Electrical Readings'!$E$6:$E$953,1+(2*(ROWS(A$1:A25)-1)))</f>
        <v>2384</v>
      </c>
      <c r="H25" s="29">
        <f>INDEX('13 - Electrical Readings'!$F$6:$F$953,1+(2*(ROWS(A$1:A25)-1)))</f>
        <v>2573</v>
      </c>
      <c r="I25" s="30">
        <f>INDEX('13 - Electrical Readings'!$G$6:$G$953,1+(2*(ROWS(A$1:A25)-1)))</f>
        <v>14</v>
      </c>
      <c r="J25" s="29">
        <f>INDEX('13 - Electrical Readings'!$I$6:$I$953,1+(2*(ROWS(A$1:A25)-1)))</f>
        <v>1666</v>
      </c>
      <c r="K25" s="29">
        <f>INDEX('13 - Electrical Readings'!$J$6:$J$953,1+(2*(ROWS(B$1:B25)-1)))</f>
        <v>9910</v>
      </c>
      <c r="L25" s="29">
        <f>INDEX('13 - Electrical Readings'!$K$6:$K$953,1+(2*(ROWS(C$1:C25)-1)))</f>
        <v>4348</v>
      </c>
      <c r="M25" s="29">
        <f>INDEX('13 - Electrical Readings'!$L$6:$L$953,1+(2*(ROWS(D$1:D25)-1)))</f>
        <v>4741</v>
      </c>
      <c r="N25" s="29">
        <f>INDEX('13 - Electrical Readings'!$M$6:$M$953,1+(2*(ROWS(E$1:E25)-1)))</f>
        <v>9156</v>
      </c>
      <c r="O25" s="30">
        <f>INDEX('13 - Electrical Readings'!$N$6:$N$953,1+(2*(ROWS(E$1:E25)-1)))</f>
        <v>7400</v>
      </c>
      <c r="P25" s="30">
        <f>INDEX('13 - Electrical Readings'!$O$6:$O$953,1+(2*(ROWS(E$1:E25)-1)))</f>
        <v>1724</v>
      </c>
      <c r="Q25" s="30">
        <f>INDEX('13 - Electrical Readings'!$P$6:$P$953,1+(2*(ROWS(E$1:E25)-1)))</f>
        <v>3170</v>
      </c>
      <c r="R25" s="30">
        <f>INDEX('9 - Water Readings'!$C$8:$C$955,1+(2*(ROWS(A$1:A24)-1)))</f>
        <v>0</v>
      </c>
      <c r="S25" s="30">
        <f>INDEX('9 - Water Readings'!$D$8:$D$954,1+(2*(ROWS(A$1:A24)-1)))</f>
        <v>0</v>
      </c>
      <c r="T25" s="30">
        <f>INDEX('9 - Water Readings'!$E$8:$E$955,1+(2*(ROWS(A$1:A24)-1)))</f>
        <v>0</v>
      </c>
      <c r="U25" s="30">
        <f>INDEX('9 - Water Readings'!$G$8:$G$954,1+(2*(ROWS(A$1:A24)-1)))</f>
        <v>139</v>
      </c>
      <c r="V25" s="30">
        <f>INDEX('9 - Water Readings'!$H$8:$H$955,1+(2*(ROWS(A$1:A24)-1)))</f>
        <v>17</v>
      </c>
      <c r="W25" s="30">
        <f>INDEX('9 - Water Readings'!$I$8:$I$955,1+(2*(ROWS(A$1:A24)-1)))</f>
        <v>96</v>
      </c>
      <c r="X25" s="30">
        <f>INDEX('9 - Water Readings'!$J$8:$J$955,1+(2*(ROWS(A$1:A24)-1)))</f>
        <v>373</v>
      </c>
      <c r="Y25" s="30">
        <f>INDEX('9 - Water Readings'!$K$8:$K$955,1+(2*(ROWS(A$1:A24)-1)))</f>
        <v>67</v>
      </c>
      <c r="Z25" s="30">
        <f>INDEX('9 - Water Readings'!$L$8:$L$955,1+(2*(ROWS(A$1:A24)-1)))</f>
        <v>31</v>
      </c>
      <c r="AA25" s="31">
        <f>'9 - Water Readings'!Q30</f>
        <v>224</v>
      </c>
      <c r="AB25" s="29">
        <f>'9 - Water Readings'!R30</f>
        <v>764</v>
      </c>
      <c r="AC25">
        <f>'9 - Water Readings'!S30</f>
        <v>2.7</v>
      </c>
    </row>
    <row r="26" spans="1:29" x14ac:dyDescent="0.25">
      <c r="A26" s="32" t="s">
        <v>11</v>
      </c>
      <c r="B26" s="32">
        <f>B25+1</f>
        <v>25</v>
      </c>
      <c r="C26" s="32">
        <v>2</v>
      </c>
      <c r="D26" s="29">
        <v>2023</v>
      </c>
      <c r="E26" s="30">
        <f>INDEX('13 - Electrical Readings'!$C$8:$C$953,1+(2*(ROWS(A$1:A25)-1)))</f>
        <v>16327</v>
      </c>
      <c r="F26" s="30">
        <f>INDEX('13 - Electrical Readings'!$D$6:$D$953,1+(2*(ROWS(A$1:A26)-1)))</f>
        <v>883</v>
      </c>
      <c r="G26" s="29">
        <f>INDEX('13 - Electrical Readings'!$E$6:$E$953,1+(2*(ROWS(A$1:A26)-1)))</f>
        <v>2365</v>
      </c>
      <c r="H26" s="29">
        <f>INDEX('13 - Electrical Readings'!$F$6:$F$953,1+(2*(ROWS(A$1:A26)-1)))</f>
        <v>2568</v>
      </c>
      <c r="I26" s="30">
        <f>INDEX('13 - Electrical Readings'!$G$6:$G$953,1+(2*(ROWS(A$1:A26)-1)))</f>
        <v>13</v>
      </c>
      <c r="J26" s="29">
        <f>INDEX('13 - Electrical Readings'!$I$6:$I$953,1+(2*(ROWS(A$1:A26)-1)))</f>
        <v>1658</v>
      </c>
      <c r="K26" s="29">
        <f>INDEX('13 - Electrical Readings'!$J$6:$J$953,1+(2*(ROWS(B$1:B26)-1)))</f>
        <v>9349</v>
      </c>
      <c r="L26" s="29">
        <f>INDEX('13 - Electrical Readings'!$K$6:$K$953,1+(2*(ROWS(C$1:C26)-1)))</f>
        <v>4256</v>
      </c>
      <c r="M26" s="29">
        <f>INDEX('13 - Electrical Readings'!$L$6:$L$953,1+(2*(ROWS(D$1:D26)-1)))</f>
        <v>4856</v>
      </c>
      <c r="N26" s="29">
        <f>INDEX('13 - Electrical Readings'!$M$6:$M$953,1+(2*(ROWS(E$1:E26)-1)))</f>
        <v>9158</v>
      </c>
      <c r="O26" s="30">
        <f>INDEX('13 - Electrical Readings'!$N$6:$N$953,1+(2*(ROWS(E$1:E26)-1)))</f>
        <v>7570</v>
      </c>
      <c r="P26" s="30">
        <f>INDEX('13 - Electrical Readings'!$O$6:$O$953,1+(2*(ROWS(E$1:E26)-1)))</f>
        <v>1578</v>
      </c>
      <c r="Q26" s="30">
        <f>INDEX('13 - Electrical Readings'!$P$6:$P$953,1+(2*(ROWS(E$1:E26)-1)))</f>
        <v>2820</v>
      </c>
      <c r="R26" s="30">
        <f>INDEX('9 - Water Readings'!$C$8:$C$955,1+(2*(ROWS(A$1:A25)-1)))</f>
        <v>0</v>
      </c>
      <c r="S26" s="30">
        <f>INDEX('9 - Water Readings'!$D$8:$D$954,1+(2*(ROWS(A$1:A25)-1)))</f>
        <v>0</v>
      </c>
      <c r="T26" s="30">
        <f>INDEX('9 - Water Readings'!$E$8:$E$955,1+(2*(ROWS(A$1:A25)-1)))</f>
        <v>0</v>
      </c>
      <c r="U26" s="30">
        <f>INDEX('9 - Water Readings'!$G$8:$G$954,1+(2*(ROWS(A$1:A25)-1)))</f>
        <v>146</v>
      </c>
      <c r="V26" s="30">
        <f>INDEX('9 - Water Readings'!$H$8:$H$955,1+(2*(ROWS(A$1:A25)-1)))</f>
        <v>18</v>
      </c>
      <c r="W26" s="30">
        <f>INDEX('9 - Water Readings'!$I$8:$I$955,1+(2*(ROWS(A$1:A25)-1)))</f>
        <v>90</v>
      </c>
      <c r="X26" s="30">
        <f>INDEX('9 - Water Readings'!$J$8:$J$955,1+(2*(ROWS(A$1:A25)-1)))</f>
        <v>330</v>
      </c>
      <c r="Y26" s="30">
        <f>INDEX('9 - Water Readings'!$K$8:$K$955,1+(2*(ROWS(A$1:A25)-1)))</f>
        <v>70</v>
      </c>
      <c r="Z26" s="30">
        <f>INDEX('9 - Water Readings'!$L$8:$L$955,1+(2*(ROWS(A$1:A25)-1)))</f>
        <v>28</v>
      </c>
      <c r="AA26" s="31">
        <f>'9 - Water Readings'!Q31</f>
        <v>221</v>
      </c>
      <c r="AB26" s="29">
        <f>'9 - Water Readings'!R31</f>
        <v>674</v>
      </c>
      <c r="AC26">
        <f>'9 - Water Readings'!S31</f>
        <v>3</v>
      </c>
    </row>
    <row r="27" spans="1:29" x14ac:dyDescent="0.25">
      <c r="A27" s="32" t="s">
        <v>11</v>
      </c>
      <c r="B27" s="32">
        <f t="shared" si="0"/>
        <v>26</v>
      </c>
      <c r="C27" s="32">
        <v>2</v>
      </c>
      <c r="D27" s="29">
        <v>2023</v>
      </c>
      <c r="E27" s="30">
        <f>INDEX('13 - Electrical Readings'!$C$8:$C$953,1+(2*(ROWS(A$1:A26)-1)))</f>
        <v>1029</v>
      </c>
      <c r="F27" s="30">
        <f>INDEX('13 - Electrical Readings'!$D$6:$D$953,1+(2*(ROWS(A$1:A27)-1)))</f>
        <v>911</v>
      </c>
      <c r="G27" s="29">
        <f>INDEX('13 - Electrical Readings'!$E$6:$E$953,1+(2*(ROWS(A$1:A27)-1)))</f>
        <v>2495</v>
      </c>
      <c r="H27" s="29">
        <f>INDEX('13 - Electrical Readings'!$F$6:$F$953,1+(2*(ROWS(A$1:A27)-1)))</f>
        <v>3163</v>
      </c>
      <c r="I27" s="30">
        <f>INDEX('13 - Electrical Readings'!$G$6:$G$953,1+(2*(ROWS(A$1:A27)-1)))</f>
        <v>16129</v>
      </c>
      <c r="J27" s="29">
        <f>INDEX('13 - Electrical Readings'!$I$6:$I$953,1+(2*(ROWS(A$1:A27)-1)))</f>
        <v>1757</v>
      </c>
      <c r="K27" s="29">
        <f>INDEX('13 - Electrical Readings'!$J$6:$J$953,1+(2*(ROWS(B$1:B27)-1)))</f>
        <v>9672</v>
      </c>
      <c r="L27" s="29">
        <f>INDEX('13 - Electrical Readings'!$K$6:$K$953,1+(2*(ROWS(C$1:C27)-1)))</f>
        <v>4183</v>
      </c>
      <c r="M27" s="29">
        <f>INDEX('13 - Electrical Readings'!$L$6:$L$953,1+(2*(ROWS(D$1:D27)-1)))</f>
        <v>4746</v>
      </c>
      <c r="N27" s="29">
        <f>INDEX('13 - Electrical Readings'!$M$6:$M$953,1+(2*(ROWS(E$1:E27)-1)))</f>
        <v>9055</v>
      </c>
      <c r="O27" s="30">
        <f>INDEX('13 - Electrical Readings'!$N$6:$N$953,1+(2*(ROWS(E$1:E27)-1)))</f>
        <v>7432</v>
      </c>
      <c r="P27" s="30">
        <f>INDEX('13 - Electrical Readings'!$O$6:$O$953,1+(2*(ROWS(E$1:E27)-1)))</f>
        <v>1497</v>
      </c>
      <c r="Q27" s="30">
        <f>INDEX('13 - Electrical Readings'!$P$6:$P$953,1+(2*(ROWS(E$1:E27)-1)))</f>
        <v>2310</v>
      </c>
      <c r="R27" s="30">
        <f>INDEX('9 - Water Readings'!$C$8:$C$955,1+(2*(ROWS(A$1:A26)-1)))</f>
        <v>0</v>
      </c>
      <c r="S27" s="30">
        <f>INDEX('9 - Water Readings'!$D$8:$D$954,1+(2*(ROWS(A$1:A26)-1)))</f>
        <v>0</v>
      </c>
      <c r="T27" s="30">
        <f>INDEX('9 - Water Readings'!$E$8:$E$955,1+(2*(ROWS(A$1:A26)-1)))</f>
        <v>0</v>
      </c>
      <c r="U27" s="30">
        <f>INDEX('9 - Water Readings'!$G$8:$G$954,1+(2*(ROWS(A$1:A26)-1)))</f>
        <v>141</v>
      </c>
      <c r="V27" s="30">
        <f>INDEX('9 - Water Readings'!$H$8:$H$955,1+(2*(ROWS(A$1:A26)-1)))</f>
        <v>16</v>
      </c>
      <c r="W27" s="30">
        <f>INDEX('9 - Water Readings'!$I$8:$I$955,1+(2*(ROWS(A$1:A26)-1)))</f>
        <v>81</v>
      </c>
      <c r="X27" s="30">
        <f>INDEX('9 - Water Readings'!$J$8:$J$955,1+(2*(ROWS(A$1:A26)-1)))</f>
        <v>348</v>
      </c>
      <c r="Y27" s="30">
        <f>INDEX('9 - Water Readings'!$K$8:$K$955,1+(2*(ROWS(A$1:A26)-1)))</f>
        <v>67</v>
      </c>
      <c r="Z27" s="30">
        <f>INDEX('9 - Water Readings'!$L$8:$L$955,1+(2*(ROWS(A$1:A26)-1)))</f>
        <v>25</v>
      </c>
      <c r="AA27" s="31">
        <f>'9 - Water Readings'!Q32</f>
        <v>221</v>
      </c>
      <c r="AB27" s="29">
        <f>'9 - Water Readings'!R32</f>
        <v>702</v>
      </c>
      <c r="AC27">
        <f>'9 - Water Readings'!S32</f>
        <v>3.2</v>
      </c>
    </row>
    <row r="28" spans="1:29" x14ac:dyDescent="0.25">
      <c r="A28" s="32" t="s">
        <v>11</v>
      </c>
      <c r="B28" s="32">
        <f t="shared" si="0"/>
        <v>27</v>
      </c>
      <c r="C28" s="32">
        <v>2</v>
      </c>
      <c r="D28" s="29">
        <v>2023</v>
      </c>
      <c r="E28" s="30">
        <f>INDEX('13 - Electrical Readings'!$C$8:$C$953,1+(2*(ROWS(A$1:A27)-1)))</f>
        <v>4467</v>
      </c>
      <c r="F28" s="30">
        <f>INDEX('13 - Electrical Readings'!$D$6:$D$953,1+(2*(ROWS(A$1:A28)-1)))</f>
        <v>890</v>
      </c>
      <c r="G28" s="29">
        <f>INDEX('13 - Electrical Readings'!$E$6:$E$953,1+(2*(ROWS(A$1:A28)-1)))</f>
        <v>2326</v>
      </c>
      <c r="H28" s="29">
        <f>INDEX('13 - Electrical Readings'!$F$6:$F$953,1+(2*(ROWS(A$1:A28)-1)))</f>
        <v>3168</v>
      </c>
      <c r="I28" s="30">
        <f>INDEX('13 - Electrical Readings'!$G$6:$G$953,1+(2*(ROWS(A$1:A28)-1)))</f>
        <v>12578</v>
      </c>
      <c r="J28" s="29">
        <f>INDEX('13 - Electrical Readings'!$I$6:$I$953,1+(2*(ROWS(A$1:A28)-1)))</f>
        <v>1698</v>
      </c>
      <c r="K28" s="29">
        <f>INDEX('13 - Electrical Readings'!$J$6:$J$953,1+(2*(ROWS(B$1:B28)-1)))</f>
        <v>9938</v>
      </c>
      <c r="L28" s="29">
        <f>INDEX('13 - Electrical Readings'!$K$6:$K$953,1+(2*(ROWS(C$1:C28)-1)))</f>
        <v>4187</v>
      </c>
      <c r="M28" s="29">
        <f>INDEX('13 - Electrical Readings'!$L$6:$L$953,1+(2*(ROWS(D$1:D28)-1)))</f>
        <v>4848</v>
      </c>
      <c r="N28" s="29">
        <f>INDEX('13 - Electrical Readings'!$M$6:$M$953,1+(2*(ROWS(E$1:E28)-1)))</f>
        <v>9448</v>
      </c>
      <c r="O28" s="30">
        <f>INDEX('13 - Electrical Readings'!$N$6:$N$953,1+(2*(ROWS(E$1:E28)-1)))</f>
        <v>7532</v>
      </c>
      <c r="P28" s="30">
        <f>INDEX('13 - Electrical Readings'!$O$6:$O$953,1+(2*(ROWS(E$1:E28)-1)))</f>
        <v>1555</v>
      </c>
      <c r="Q28" s="30">
        <f>INDEX('13 - Electrical Readings'!$P$6:$P$953,1+(2*(ROWS(E$1:E28)-1)))</f>
        <v>2660</v>
      </c>
      <c r="R28" s="30">
        <f>INDEX('9 - Water Readings'!$C$8:$C$955,1+(2*(ROWS(A$1:A27)-1)))</f>
        <v>0</v>
      </c>
      <c r="S28" s="30">
        <f>INDEX('9 - Water Readings'!$D$8:$D$954,1+(2*(ROWS(A$1:A27)-1)))</f>
        <v>2</v>
      </c>
      <c r="T28" s="30">
        <f>INDEX('9 - Water Readings'!$E$8:$E$955,1+(2*(ROWS(A$1:A27)-1)))</f>
        <v>0</v>
      </c>
      <c r="U28" s="30">
        <f>INDEX('9 - Water Readings'!$G$8:$G$954,1+(2*(ROWS(A$1:A27)-1)))</f>
        <v>142</v>
      </c>
      <c r="V28" s="30">
        <f>INDEX('9 - Water Readings'!$H$8:$H$955,1+(2*(ROWS(A$1:A27)-1)))</f>
        <v>16</v>
      </c>
      <c r="W28" s="30">
        <f>INDEX('9 - Water Readings'!$I$8:$I$955,1+(2*(ROWS(A$1:A27)-1)))</f>
        <v>90</v>
      </c>
      <c r="X28" s="30">
        <f>INDEX('9 - Water Readings'!$J$8:$J$955,1+(2*(ROWS(A$1:A27)-1)))</f>
        <v>306</v>
      </c>
      <c r="Y28" s="30">
        <f>INDEX('9 - Water Readings'!$K$8:$K$955,1+(2*(ROWS(A$1:A27)-1)))</f>
        <v>58</v>
      </c>
      <c r="Z28" s="30">
        <f>INDEX('9 - Water Readings'!$L$8:$L$955,1+(2*(ROWS(A$1:A27)-1)))</f>
        <v>20</v>
      </c>
      <c r="AA28" s="31">
        <f>'9 - Water Readings'!Q33</f>
        <v>215</v>
      </c>
      <c r="AB28" s="29">
        <f>'9 - Water Readings'!R33</f>
        <v>682</v>
      </c>
      <c r="AC28">
        <f>'9 - Water Readings'!S33</f>
        <v>3.2</v>
      </c>
    </row>
    <row r="29" spans="1:29" x14ac:dyDescent="0.25">
      <c r="A29" s="32" t="s">
        <v>11</v>
      </c>
      <c r="B29" s="32">
        <f t="shared" si="0"/>
        <v>28</v>
      </c>
      <c r="C29" s="32">
        <v>2</v>
      </c>
      <c r="D29" s="29">
        <v>2023</v>
      </c>
      <c r="E29" s="30">
        <f>INDEX('13 - Electrical Readings'!$C$8:$C$953,1+(2*(ROWS(A$1:A28)-1)))</f>
        <v>3834</v>
      </c>
      <c r="F29" s="30">
        <f>INDEX('13 - Electrical Readings'!$D$6:$D$953,1+(2*(ROWS(A$1:A29)-1)))</f>
        <v>901</v>
      </c>
      <c r="G29" s="29">
        <f>INDEX('13 - Electrical Readings'!$E$6:$E$953,1+(2*(ROWS(A$1:A29)-1)))</f>
        <v>2433</v>
      </c>
      <c r="H29" s="29">
        <f>INDEX('13 - Electrical Readings'!$F$6:$F$953,1+(2*(ROWS(A$1:A29)-1)))</f>
        <v>2618</v>
      </c>
      <c r="I29" s="30">
        <f>INDEX('13 - Electrical Readings'!$G$6:$G$953,1+(2*(ROWS(A$1:A29)-1)))</f>
        <v>12541</v>
      </c>
      <c r="J29" s="29">
        <f>INDEX('13 - Electrical Readings'!$I$6:$I$953,1+(2*(ROWS(A$1:A29)-1)))</f>
        <v>1672</v>
      </c>
      <c r="K29" s="29">
        <f>INDEX('13 - Electrical Readings'!$J$6:$J$953,1+(2*(ROWS(B$1:B29)-1)))</f>
        <v>9981</v>
      </c>
      <c r="L29" s="29">
        <f>INDEX('13 - Electrical Readings'!$K$6:$K$953,1+(2*(ROWS(C$1:C29)-1)))</f>
        <v>4199</v>
      </c>
      <c r="M29" s="29">
        <f>INDEX('13 - Electrical Readings'!$L$6:$L$953,1+(2*(ROWS(D$1:D29)-1)))</f>
        <v>4954</v>
      </c>
      <c r="N29" s="29">
        <f>INDEX('13 - Electrical Readings'!$M$6:$M$953,1+(2*(ROWS(E$1:E29)-1)))</f>
        <v>9258</v>
      </c>
      <c r="O29" s="30">
        <f>INDEX('13 - Electrical Readings'!$N$6:$N$953,1+(2*(ROWS(E$1:E29)-1)))</f>
        <v>7380</v>
      </c>
      <c r="P29" s="30">
        <f>INDEX('13 - Electrical Readings'!$O$6:$O$953,1+(2*(ROWS(E$1:E29)-1)))</f>
        <v>1416</v>
      </c>
      <c r="Q29" s="30">
        <f>INDEX('13 - Electrical Readings'!$P$6:$P$953,1+(2*(ROWS(E$1:E29)-1)))</f>
        <v>2800</v>
      </c>
      <c r="R29" s="30">
        <f>INDEX('9 - Water Readings'!$C$8:$C$955,1+(2*(ROWS(A$1:A28)-1)))</f>
        <v>0</v>
      </c>
      <c r="S29" s="30">
        <f>INDEX('9 - Water Readings'!$D$8:$D$954,1+(2*(ROWS(A$1:A28)-1)))</f>
        <v>0</v>
      </c>
      <c r="T29" s="30">
        <f>INDEX('9 - Water Readings'!$E$8:$E$955,1+(2*(ROWS(A$1:A28)-1)))</f>
        <v>0</v>
      </c>
      <c r="U29" s="30">
        <f>INDEX('9 - Water Readings'!$G$8:$G$954,1+(2*(ROWS(A$1:A28)-1)))</f>
        <v>144</v>
      </c>
      <c r="V29" s="30">
        <f>INDEX('9 - Water Readings'!$H$8:$H$955,1+(2*(ROWS(A$1:A28)-1)))</f>
        <v>18</v>
      </c>
      <c r="W29" s="30">
        <f>INDEX('9 - Water Readings'!$I$8:$I$955,1+(2*(ROWS(A$1:A28)-1)))</f>
        <v>90</v>
      </c>
      <c r="X29" s="30">
        <f>INDEX('9 - Water Readings'!$J$8:$J$955,1+(2*(ROWS(A$1:A28)-1)))</f>
        <v>324</v>
      </c>
      <c r="Y29" s="30">
        <f>INDEX('9 - Water Readings'!$K$8:$K$955,1+(2*(ROWS(A$1:A28)-1)))</f>
        <v>51</v>
      </c>
      <c r="Z29" s="30">
        <f>INDEX('9 - Water Readings'!$L$8:$L$955,1+(2*(ROWS(A$1:A28)-1)))</f>
        <v>21</v>
      </c>
      <c r="AA29" s="31">
        <f>'9 - Water Readings'!Q34</f>
        <v>217</v>
      </c>
      <c r="AB29" s="29">
        <f>'9 - Water Readings'!R34</f>
        <v>672</v>
      </c>
      <c r="AC29">
        <f>'9 - Water Readings'!S34</f>
        <v>3.5</v>
      </c>
    </row>
    <row r="30" spans="1:29" x14ac:dyDescent="0.25">
      <c r="E30" s="30">
        <f t="shared" ref="E30:AB30" si="1">SUM(E2:E29)</f>
        <v>180483</v>
      </c>
      <c r="F30" s="30">
        <f t="shared" ref="F30" si="2">SUM(F2:F29)</f>
        <v>24390</v>
      </c>
      <c r="G30" s="30">
        <f t="shared" ref="G30" si="3">SUM(G2:G29)</f>
        <v>90292</v>
      </c>
      <c r="H30" s="30">
        <f t="shared" ref="H30" si="4">SUM(H2:H29)</f>
        <v>140552</v>
      </c>
      <c r="I30" s="30">
        <f t="shared" ref="I30" si="5">SUM(I2:I29)</f>
        <v>67440</v>
      </c>
      <c r="J30" s="30">
        <f t="shared" ref="J30" si="6">SUM(J2:J29)</f>
        <v>46792</v>
      </c>
      <c r="K30" s="30">
        <f t="shared" ref="K30" si="7">SUM(K2:K29)</f>
        <v>267089</v>
      </c>
      <c r="L30" s="30">
        <f t="shared" ref="L30" si="8">SUM(L2:L29)</f>
        <v>113044</v>
      </c>
      <c r="M30" s="30">
        <f t="shared" ref="M30" si="9">SUM(M2:M29)</f>
        <v>138814</v>
      </c>
      <c r="N30" s="30">
        <f t="shared" ref="N30" si="10">SUM(N2:N29)</f>
        <v>251429</v>
      </c>
      <c r="O30" s="30">
        <f t="shared" ref="O30" si="11">SUM(O2:O29)</f>
        <v>199789</v>
      </c>
      <c r="P30" s="30">
        <f t="shared" ref="P30" si="12">SUM(P2:P29)</f>
        <v>30410</v>
      </c>
      <c r="Q30" s="30">
        <f t="shared" ref="Q30" si="13">SUM(Q2:Q29)</f>
        <v>74500</v>
      </c>
      <c r="R30" s="30">
        <f t="shared" ref="R30" si="14">SUM(R2:R29)</f>
        <v>15</v>
      </c>
      <c r="S30" s="30">
        <f t="shared" ref="S30" si="15">SUM(S2:S29)</f>
        <v>12</v>
      </c>
      <c r="T30" s="30">
        <f t="shared" ref="T30" si="16">SUM(T2:T29)</f>
        <v>0</v>
      </c>
      <c r="U30" s="30">
        <f t="shared" ref="U30" si="17">SUM(U2:U29)</f>
        <v>3894</v>
      </c>
      <c r="V30" s="30">
        <f t="shared" ref="V30" si="18">SUM(V2:V29)</f>
        <v>448</v>
      </c>
      <c r="W30" s="30">
        <f t="shared" ref="W30" si="19">SUM(W2:W29)</f>
        <v>2358</v>
      </c>
      <c r="X30" s="30">
        <f t="shared" ref="X30" si="20">SUM(X2:X29)</f>
        <v>8838</v>
      </c>
      <c r="Y30" s="30">
        <f t="shared" ref="Y30" si="21">SUM(Y2:Y29)</f>
        <v>1382</v>
      </c>
      <c r="Z30" s="30">
        <f t="shared" ref="Z30" si="22">SUM(Z2:Z29)</f>
        <v>743</v>
      </c>
      <c r="AA30" s="30">
        <f t="shared" ref="AA30" si="23">SUM(AA2:AA29)</f>
        <v>4532</v>
      </c>
      <c r="AB30" s="30">
        <f t="shared" ref="AB30" si="24">SUM(AB2:AB29)</f>
        <v>14402</v>
      </c>
      <c r="AC30" s="30">
        <f t="shared" ref="AC30" si="25">SUM(AC2:AC29)</f>
        <v>39.900000000000006</v>
      </c>
    </row>
    <row r="31" spans="1:29" x14ac:dyDescent="0.25">
      <c r="I31" s="30"/>
      <c r="AA31" s="31"/>
      <c r="AC31"/>
    </row>
    <row r="32" spans="1:29" x14ac:dyDescent="0.25">
      <c r="I32" s="30"/>
      <c r="AA32" s="31"/>
      <c r="AC32"/>
    </row>
    <row r="33" spans="9:29" x14ac:dyDescent="0.25">
      <c r="I33" s="30"/>
      <c r="AA33" s="31"/>
      <c r="AC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R63"/>
  <sheetViews>
    <sheetView zoomScaleNormal="100" zoomScaleSheetLayoutView="100" workbookViewId="0">
      <pane ySplit="6" topLeftCell="A7" activePane="bottomLeft" state="frozen"/>
      <selection activeCell="E54" sqref="E54"/>
      <selection pane="bottomLeft" activeCell="I80" sqref="I80"/>
    </sheetView>
  </sheetViews>
  <sheetFormatPr defaultRowHeight="15" x14ac:dyDescent="0.25"/>
  <cols>
    <col min="1" max="1" width="1" style="1" customWidth="1"/>
    <col min="2" max="2" width="10.5703125" style="1" customWidth="1"/>
    <col min="3" max="4" width="9.7109375" style="1" customWidth="1"/>
    <col min="5" max="5" width="10.28515625" style="1" customWidth="1"/>
    <col min="6" max="7" width="9.7109375" style="1" customWidth="1"/>
    <col min="8" max="8" width="13.5703125" style="1" bestFit="1" customWidth="1"/>
    <col min="9" max="9" width="9.7109375" style="1" customWidth="1"/>
    <col min="10" max="10" width="10.7109375" style="1" customWidth="1"/>
    <col min="11" max="16" width="9.7109375" style="1" customWidth="1"/>
    <col min="17" max="17" width="16.140625" style="1" bestFit="1" customWidth="1"/>
    <col min="18" max="18" width="17.140625" style="1" customWidth="1"/>
    <col min="19" max="16384" width="9.140625" style="1"/>
  </cols>
  <sheetData>
    <row r="1" spans="2:18" ht="12" customHeight="1" x14ac:dyDescent="0.25"/>
    <row r="2" spans="2:18" ht="19.5" customHeight="1" x14ac:dyDescent="0.25">
      <c r="F2" s="93" t="s">
        <v>34</v>
      </c>
      <c r="G2" s="93"/>
      <c r="H2" s="93"/>
      <c r="I2" s="93"/>
      <c r="J2" s="93"/>
      <c r="K2" s="93"/>
      <c r="L2" s="93"/>
      <c r="M2" s="93"/>
    </row>
    <row r="3" spans="2:18" ht="21" customHeight="1" x14ac:dyDescent="0.3">
      <c r="F3" s="94" t="s">
        <v>35</v>
      </c>
      <c r="G3" s="94"/>
      <c r="H3" s="94"/>
      <c r="I3" s="94"/>
      <c r="J3" s="94"/>
      <c r="K3" s="94"/>
      <c r="L3" s="94"/>
      <c r="M3" s="94"/>
      <c r="N3" s="90" t="s">
        <v>36</v>
      </c>
      <c r="O3" s="90"/>
      <c r="P3" s="90"/>
    </row>
    <row r="4" spans="2:18" ht="15" customHeight="1" thickBot="1" x14ac:dyDescent="0.3">
      <c r="N4" s="90"/>
      <c r="O4" s="90"/>
      <c r="P4" s="90"/>
    </row>
    <row r="5" spans="2:18" ht="30.75" thickTop="1" x14ac:dyDescent="0.25">
      <c r="B5" s="91" t="s">
        <v>37</v>
      </c>
      <c r="C5" s="5" t="s">
        <v>38</v>
      </c>
      <c r="D5" s="5" t="s">
        <v>38</v>
      </c>
      <c r="E5" s="5" t="s">
        <v>38</v>
      </c>
      <c r="F5" s="5" t="s">
        <v>38</v>
      </c>
      <c r="G5" s="5" t="s">
        <v>38</v>
      </c>
      <c r="H5" s="97" t="s">
        <v>39</v>
      </c>
      <c r="I5" s="5" t="s">
        <v>40</v>
      </c>
      <c r="J5" s="5" t="s">
        <v>41</v>
      </c>
      <c r="K5" s="5" t="s">
        <v>41</v>
      </c>
      <c r="L5" s="5" t="s">
        <v>41</v>
      </c>
      <c r="M5" s="5" t="s">
        <v>41</v>
      </c>
      <c r="N5" s="5" t="s">
        <v>42</v>
      </c>
      <c r="O5" s="5" t="s">
        <v>43</v>
      </c>
      <c r="P5" s="5" t="s">
        <v>44</v>
      </c>
      <c r="Q5" s="95" t="s">
        <v>45</v>
      </c>
      <c r="R5" s="88" t="s">
        <v>46</v>
      </c>
    </row>
    <row r="6" spans="2:18" x14ac:dyDescent="0.25">
      <c r="B6" s="92"/>
      <c r="C6" s="2">
        <v>157691</v>
      </c>
      <c r="D6" s="2">
        <v>157692</v>
      </c>
      <c r="E6" s="2">
        <v>157693</v>
      </c>
      <c r="F6" s="2">
        <v>157694</v>
      </c>
      <c r="G6" s="2">
        <v>167609</v>
      </c>
      <c r="H6" s="98"/>
      <c r="I6" s="2">
        <v>166443</v>
      </c>
      <c r="J6" s="2">
        <v>157687</v>
      </c>
      <c r="K6" s="2">
        <v>157688</v>
      </c>
      <c r="L6" s="2">
        <v>157689</v>
      </c>
      <c r="M6" s="2">
        <v>157690</v>
      </c>
      <c r="N6" s="2">
        <v>174390</v>
      </c>
      <c r="O6" s="2">
        <v>173992</v>
      </c>
      <c r="P6" s="2">
        <v>1180004</v>
      </c>
      <c r="Q6" s="96"/>
      <c r="R6" s="89"/>
    </row>
    <row r="7" spans="2:18" ht="17.25" customHeight="1" x14ac:dyDescent="0.25">
      <c r="B7" s="22">
        <v>1</v>
      </c>
      <c r="C7" s="59">
        <v>22955455</v>
      </c>
      <c r="D7" s="61">
        <v>16510829</v>
      </c>
      <c r="E7" s="60">
        <v>29416830</v>
      </c>
      <c r="F7" s="60">
        <v>29032681</v>
      </c>
      <c r="G7" s="60">
        <v>17434212</v>
      </c>
      <c r="H7" s="58"/>
      <c r="I7" s="57">
        <v>6567884</v>
      </c>
      <c r="J7" s="57">
        <v>28831997</v>
      </c>
      <c r="K7" s="57">
        <v>9617832</v>
      </c>
      <c r="L7" s="57">
        <v>14245942</v>
      </c>
      <c r="M7" s="57">
        <v>22001477</v>
      </c>
      <c r="N7" s="57">
        <v>27304344</v>
      </c>
      <c r="O7" s="57">
        <v>8841346</v>
      </c>
      <c r="P7" s="57">
        <v>8045320</v>
      </c>
      <c r="Q7" s="9"/>
      <c r="R7" s="10"/>
    </row>
    <row r="8" spans="2:18" ht="17.25" customHeight="1" x14ac:dyDescent="0.25">
      <c r="B8" s="11" t="s">
        <v>47</v>
      </c>
      <c r="C8" s="62">
        <f>C7-22952930</f>
        <v>2525</v>
      </c>
      <c r="D8" s="62">
        <f>D7-16510192</f>
        <v>637</v>
      </c>
      <c r="E8" s="62">
        <f>E7-29406439</f>
        <v>10391</v>
      </c>
      <c r="F8" s="62">
        <f>F7-29030373</f>
        <v>2308</v>
      </c>
      <c r="G8" s="62">
        <f>G7-17433804</f>
        <v>408</v>
      </c>
      <c r="H8" s="76">
        <f>G8+F8+E8+D8+C8</f>
        <v>16269</v>
      </c>
      <c r="I8" s="64">
        <f>I7-6566189</f>
        <v>1695</v>
      </c>
      <c r="J8" s="64">
        <f>J7-28822483</f>
        <v>9514</v>
      </c>
      <c r="K8" s="64">
        <f>K7-9613942</f>
        <v>3890</v>
      </c>
      <c r="L8" s="64">
        <f>L7-14240891</f>
        <v>5051</v>
      </c>
      <c r="M8" s="64">
        <f>M7-21992561</f>
        <v>8916</v>
      </c>
      <c r="N8" s="64">
        <f>N7-27297407</f>
        <v>6937</v>
      </c>
      <c r="O8" s="64">
        <f>O7-8840394</f>
        <v>952</v>
      </c>
      <c r="P8" s="64">
        <f>P7-8042650</f>
        <v>2670</v>
      </c>
      <c r="Q8" s="77">
        <f>P8+O8+N8+M8+L8+K8+J8+I8</f>
        <v>39625</v>
      </c>
      <c r="R8" s="13">
        <f>Q8+H8</f>
        <v>55894</v>
      </c>
    </row>
    <row r="9" spans="2:18" ht="17.25" customHeight="1" x14ac:dyDescent="0.25">
      <c r="B9" s="22">
        <v>2</v>
      </c>
      <c r="C9" s="65">
        <v>22955455</v>
      </c>
      <c r="D9" s="66">
        <v>16511751</v>
      </c>
      <c r="E9" s="66">
        <v>29422117</v>
      </c>
      <c r="F9" s="66">
        <v>29041234</v>
      </c>
      <c r="G9" s="66">
        <v>17434224</v>
      </c>
      <c r="H9" s="63"/>
      <c r="I9" s="66">
        <v>6569579</v>
      </c>
      <c r="J9" s="66">
        <v>28841197</v>
      </c>
      <c r="K9" s="66">
        <v>9621617</v>
      </c>
      <c r="L9" s="67">
        <v>14250652</v>
      </c>
      <c r="M9" s="66">
        <v>22009409</v>
      </c>
      <c r="N9" s="66">
        <v>27311468</v>
      </c>
      <c r="O9" s="66">
        <v>8842333</v>
      </c>
      <c r="P9" s="66">
        <v>8047990</v>
      </c>
      <c r="Q9" s="9"/>
      <c r="R9" s="14"/>
    </row>
    <row r="10" spans="2:18" ht="17.25" customHeight="1" x14ac:dyDescent="0.25">
      <c r="B10" s="11" t="s">
        <v>47</v>
      </c>
      <c r="C10" s="62">
        <f>C9-C7</f>
        <v>0</v>
      </c>
      <c r="D10" s="62">
        <f t="shared" ref="D10:G20" si="0">D9-D7</f>
        <v>922</v>
      </c>
      <c r="E10" s="62">
        <f t="shared" si="0"/>
        <v>5287</v>
      </c>
      <c r="F10" s="62">
        <f t="shared" si="0"/>
        <v>8553</v>
      </c>
      <c r="G10" s="62">
        <f t="shared" si="0"/>
        <v>12</v>
      </c>
      <c r="H10" s="76">
        <f>G10+F10+E10+D10+C10</f>
        <v>14774</v>
      </c>
      <c r="I10" s="64">
        <f>I9-I7</f>
        <v>1695</v>
      </c>
      <c r="J10" s="64">
        <f t="shared" ref="J10:P20" si="1">J9-J7</f>
        <v>9200</v>
      </c>
      <c r="K10" s="64">
        <f t="shared" si="1"/>
        <v>3785</v>
      </c>
      <c r="L10" s="64">
        <f t="shared" si="1"/>
        <v>4710</v>
      </c>
      <c r="M10" s="64">
        <f t="shared" si="1"/>
        <v>7932</v>
      </c>
      <c r="N10" s="64">
        <f t="shared" si="1"/>
        <v>7124</v>
      </c>
      <c r="O10" s="64">
        <f t="shared" si="1"/>
        <v>987</v>
      </c>
      <c r="P10" s="64">
        <f t="shared" si="1"/>
        <v>2670</v>
      </c>
      <c r="Q10" s="77">
        <f>P10+O10+N10+M10+L10+K10+J10+I10</f>
        <v>38103</v>
      </c>
      <c r="R10" s="13">
        <f>Q10+H10</f>
        <v>52877</v>
      </c>
    </row>
    <row r="11" spans="2:18" ht="17.25" customHeight="1" x14ac:dyDescent="0.25">
      <c r="B11" s="22">
        <v>3</v>
      </c>
      <c r="C11" s="65">
        <v>22955455</v>
      </c>
      <c r="D11" s="66">
        <v>16512658</v>
      </c>
      <c r="E11" s="66">
        <v>29424182</v>
      </c>
      <c r="F11" s="66">
        <v>29052384</v>
      </c>
      <c r="G11" s="66">
        <v>17434238</v>
      </c>
      <c r="H11" s="63"/>
      <c r="I11" s="66">
        <v>6571305</v>
      </c>
      <c r="J11" s="68">
        <v>28850799</v>
      </c>
      <c r="K11" s="66">
        <v>9625503</v>
      </c>
      <c r="L11" s="66">
        <v>14255460</v>
      </c>
      <c r="M11" s="66">
        <v>22018628</v>
      </c>
      <c r="N11" s="66">
        <v>27318492</v>
      </c>
      <c r="O11" s="66">
        <v>8843403</v>
      </c>
      <c r="P11" s="66">
        <v>8050870</v>
      </c>
      <c r="Q11" s="9"/>
      <c r="R11" s="10"/>
    </row>
    <row r="12" spans="2:18" ht="17.25" customHeight="1" x14ac:dyDescent="0.25">
      <c r="B12" s="11" t="s">
        <v>47</v>
      </c>
      <c r="C12" s="62">
        <f>C11-C9</f>
        <v>0</v>
      </c>
      <c r="D12" s="62">
        <f t="shared" si="0"/>
        <v>907</v>
      </c>
      <c r="E12" s="62">
        <f t="shared" si="0"/>
        <v>2065</v>
      </c>
      <c r="F12" s="62">
        <f t="shared" si="0"/>
        <v>11150</v>
      </c>
      <c r="G12" s="62">
        <f t="shared" si="0"/>
        <v>14</v>
      </c>
      <c r="H12" s="76">
        <f>G12+F12+E12+D12+C12</f>
        <v>14136</v>
      </c>
      <c r="I12" s="64">
        <f>I11-I9</f>
        <v>1726</v>
      </c>
      <c r="J12" s="64">
        <f t="shared" si="1"/>
        <v>9602</v>
      </c>
      <c r="K12" s="64">
        <f t="shared" si="1"/>
        <v>3886</v>
      </c>
      <c r="L12" s="64">
        <f t="shared" si="1"/>
        <v>4808</v>
      </c>
      <c r="M12" s="64">
        <f t="shared" si="1"/>
        <v>9219</v>
      </c>
      <c r="N12" s="64">
        <f t="shared" si="1"/>
        <v>7024</v>
      </c>
      <c r="O12" s="64">
        <f t="shared" si="1"/>
        <v>1070</v>
      </c>
      <c r="P12" s="64">
        <f t="shared" si="1"/>
        <v>2880</v>
      </c>
      <c r="Q12" s="77">
        <f>P12+O12+N12+M12+L12+K12+J12+I12</f>
        <v>40215</v>
      </c>
      <c r="R12" s="13">
        <f>Q12+H12</f>
        <v>54351</v>
      </c>
    </row>
    <row r="13" spans="2:18" ht="17.25" customHeight="1" x14ac:dyDescent="0.25">
      <c r="B13" s="22">
        <v>4</v>
      </c>
      <c r="C13" s="7">
        <v>22957217</v>
      </c>
      <c r="D13" s="7">
        <v>16513509</v>
      </c>
      <c r="E13" s="7">
        <v>29426320</v>
      </c>
      <c r="F13" s="7">
        <v>29056201</v>
      </c>
      <c r="G13" s="7">
        <v>17441993</v>
      </c>
      <c r="H13" s="8"/>
      <c r="I13" s="7">
        <v>6573016</v>
      </c>
      <c r="J13" s="39">
        <v>28859578</v>
      </c>
      <c r="K13" s="7">
        <v>9628985</v>
      </c>
      <c r="L13" s="7">
        <v>14260208</v>
      </c>
      <c r="M13" s="7">
        <v>22027608</v>
      </c>
      <c r="N13" s="7">
        <v>27325385</v>
      </c>
      <c r="O13" s="7">
        <v>8844304</v>
      </c>
      <c r="P13" s="7">
        <v>8053630</v>
      </c>
      <c r="Q13" s="9"/>
      <c r="R13" s="10"/>
    </row>
    <row r="14" spans="2:18" ht="17.25" customHeight="1" x14ac:dyDescent="0.25">
      <c r="B14" s="11" t="s">
        <v>47</v>
      </c>
      <c r="C14" s="62">
        <f>C13-C11</f>
        <v>1762</v>
      </c>
      <c r="D14" s="62">
        <f t="shared" si="0"/>
        <v>851</v>
      </c>
      <c r="E14" s="62">
        <f t="shared" si="0"/>
        <v>2138</v>
      </c>
      <c r="F14" s="62">
        <f t="shared" si="0"/>
        <v>3817</v>
      </c>
      <c r="G14" s="62">
        <f t="shared" si="0"/>
        <v>7755</v>
      </c>
      <c r="H14" s="76">
        <f>G14+F14+E14+D14+C14</f>
        <v>16323</v>
      </c>
      <c r="I14" s="64">
        <f>I13-I11</f>
        <v>1711</v>
      </c>
      <c r="J14" s="64">
        <f t="shared" si="1"/>
        <v>8779</v>
      </c>
      <c r="K14" s="64">
        <f t="shared" si="1"/>
        <v>3482</v>
      </c>
      <c r="L14" s="64">
        <f t="shared" si="1"/>
        <v>4748</v>
      </c>
      <c r="M14" s="64">
        <f t="shared" si="1"/>
        <v>8980</v>
      </c>
      <c r="N14" s="64">
        <f t="shared" si="1"/>
        <v>6893</v>
      </c>
      <c r="O14" s="64">
        <f t="shared" si="1"/>
        <v>901</v>
      </c>
      <c r="P14" s="64">
        <f t="shared" si="1"/>
        <v>2760</v>
      </c>
      <c r="Q14" s="77">
        <f>P14+O14+N14+M14+L14+K14+J14+I14</f>
        <v>38254</v>
      </c>
      <c r="R14" s="13">
        <f>Q14+H14</f>
        <v>54577</v>
      </c>
    </row>
    <row r="15" spans="2:18" ht="17.25" customHeight="1" x14ac:dyDescent="0.25">
      <c r="B15" s="22">
        <v>5</v>
      </c>
      <c r="C15" s="71">
        <v>22962556</v>
      </c>
      <c r="D15" s="69">
        <v>16514331</v>
      </c>
      <c r="E15" s="70">
        <v>29428555</v>
      </c>
      <c r="F15" s="70">
        <v>29058041</v>
      </c>
      <c r="G15" s="72">
        <v>17449355</v>
      </c>
      <c r="H15" s="8"/>
      <c r="I15" s="7">
        <v>6574633</v>
      </c>
      <c r="J15" s="7">
        <v>28868515</v>
      </c>
      <c r="K15" s="7">
        <v>9632432</v>
      </c>
      <c r="L15" s="7">
        <v>14264871</v>
      </c>
      <c r="M15" s="39">
        <v>22036186</v>
      </c>
      <c r="N15" s="7">
        <v>27332023</v>
      </c>
      <c r="O15" s="7">
        <v>8845190</v>
      </c>
      <c r="P15" s="7">
        <v>8055610</v>
      </c>
      <c r="Q15" s="9"/>
      <c r="R15" s="10"/>
    </row>
    <row r="16" spans="2:18" ht="17.25" customHeight="1" x14ac:dyDescent="0.25">
      <c r="B16" s="11" t="s">
        <v>47</v>
      </c>
      <c r="C16" s="62">
        <f>C15-C13</f>
        <v>5339</v>
      </c>
      <c r="D16" s="62">
        <f t="shared" si="0"/>
        <v>822</v>
      </c>
      <c r="E16" s="62">
        <f t="shared" si="0"/>
        <v>2235</v>
      </c>
      <c r="F16" s="62">
        <f t="shared" si="0"/>
        <v>1840</v>
      </c>
      <c r="G16" s="62">
        <f t="shared" si="0"/>
        <v>7362</v>
      </c>
      <c r="H16" s="76">
        <f>G16+F16+E16+D16+C16</f>
        <v>17598</v>
      </c>
      <c r="I16" s="64">
        <f>I15-I13</f>
        <v>1617</v>
      </c>
      <c r="J16" s="64">
        <f t="shared" si="1"/>
        <v>8937</v>
      </c>
      <c r="K16" s="64">
        <f t="shared" si="1"/>
        <v>3447</v>
      </c>
      <c r="L16" s="64">
        <f t="shared" si="1"/>
        <v>4663</v>
      </c>
      <c r="M16" s="64">
        <f t="shared" si="1"/>
        <v>8578</v>
      </c>
      <c r="N16" s="64">
        <f t="shared" si="1"/>
        <v>6638</v>
      </c>
      <c r="O16" s="64">
        <f t="shared" si="1"/>
        <v>886</v>
      </c>
      <c r="P16" s="64">
        <f t="shared" si="1"/>
        <v>1980</v>
      </c>
      <c r="Q16" s="77">
        <f>P16+O16+N16+M16+L16+K16+J16+I16</f>
        <v>36746</v>
      </c>
      <c r="R16" s="13">
        <f>Q16+H16</f>
        <v>54344</v>
      </c>
    </row>
    <row r="17" spans="2:18" ht="17.25" customHeight="1" x14ac:dyDescent="0.25">
      <c r="B17" s="22">
        <v>6</v>
      </c>
      <c r="C17" s="71">
        <v>22977271</v>
      </c>
      <c r="D17" s="69">
        <v>16515205</v>
      </c>
      <c r="E17" s="70">
        <v>29430924</v>
      </c>
      <c r="F17" s="70">
        <v>29060307</v>
      </c>
      <c r="G17" s="72">
        <v>17449368</v>
      </c>
      <c r="H17" s="8"/>
      <c r="I17" s="7">
        <v>6576269</v>
      </c>
      <c r="J17" s="7">
        <v>28877936</v>
      </c>
      <c r="K17" s="7">
        <v>9636025</v>
      </c>
      <c r="L17" s="7">
        <v>14269737</v>
      </c>
      <c r="M17" s="39">
        <v>22045126</v>
      </c>
      <c r="N17" s="7">
        <v>27339070</v>
      </c>
      <c r="O17" s="7">
        <v>8846121</v>
      </c>
      <c r="P17" s="7">
        <v>8058080</v>
      </c>
      <c r="Q17" s="9"/>
      <c r="R17" s="10"/>
    </row>
    <row r="18" spans="2:18" ht="17.25" customHeight="1" x14ac:dyDescent="0.25">
      <c r="B18" s="11" t="s">
        <v>47</v>
      </c>
      <c r="C18" s="62">
        <f>C17-C15</f>
        <v>14715</v>
      </c>
      <c r="D18" s="62">
        <f t="shared" si="0"/>
        <v>874</v>
      </c>
      <c r="E18" s="62">
        <f t="shared" si="0"/>
        <v>2369</v>
      </c>
      <c r="F18" s="62">
        <f t="shared" si="0"/>
        <v>2266</v>
      </c>
      <c r="G18" s="62">
        <f t="shared" si="0"/>
        <v>13</v>
      </c>
      <c r="H18" s="76">
        <f>G18+F18+E18+D18+C18</f>
        <v>20237</v>
      </c>
      <c r="I18" s="64">
        <f>I17-I15</f>
        <v>1636</v>
      </c>
      <c r="J18" s="64">
        <f t="shared" si="1"/>
        <v>9421</v>
      </c>
      <c r="K18" s="64">
        <f t="shared" si="1"/>
        <v>3593</v>
      </c>
      <c r="L18" s="64">
        <f t="shared" si="1"/>
        <v>4866</v>
      </c>
      <c r="M18" s="64">
        <f t="shared" si="1"/>
        <v>8940</v>
      </c>
      <c r="N18" s="64">
        <f t="shared" si="1"/>
        <v>7047</v>
      </c>
      <c r="O18" s="64">
        <f t="shared" si="1"/>
        <v>931</v>
      </c>
      <c r="P18" s="64">
        <f t="shared" si="1"/>
        <v>2470</v>
      </c>
      <c r="Q18" s="77">
        <f>P18+O18+N18+M18+L18+K18+J18+I18</f>
        <v>38904</v>
      </c>
      <c r="R18" s="13">
        <f>Q18+H18</f>
        <v>59141</v>
      </c>
    </row>
    <row r="19" spans="2:18" ht="17.25" customHeight="1" x14ac:dyDescent="0.25">
      <c r="B19" s="22">
        <v>7</v>
      </c>
      <c r="C19" s="71">
        <v>22992997</v>
      </c>
      <c r="D19" s="69">
        <v>16516021</v>
      </c>
      <c r="E19" s="70">
        <v>29433228</v>
      </c>
      <c r="F19" s="70">
        <v>29062767</v>
      </c>
      <c r="G19" s="72">
        <v>17449382</v>
      </c>
      <c r="H19" s="8"/>
      <c r="I19" s="7">
        <v>6577873</v>
      </c>
      <c r="J19" s="7">
        <v>28887326</v>
      </c>
      <c r="K19" s="7">
        <v>9639466</v>
      </c>
      <c r="L19" s="7">
        <v>14274646</v>
      </c>
      <c r="M19" s="7">
        <v>22054307</v>
      </c>
      <c r="N19" s="7">
        <v>27346395</v>
      </c>
      <c r="O19" s="7">
        <v>8847132</v>
      </c>
      <c r="P19" s="7">
        <v>8060720</v>
      </c>
      <c r="Q19" s="9"/>
      <c r="R19" s="10"/>
    </row>
    <row r="20" spans="2:18" ht="17.25" customHeight="1" x14ac:dyDescent="0.25">
      <c r="B20" s="11" t="s">
        <v>47</v>
      </c>
      <c r="C20" s="62">
        <f>C19-C17</f>
        <v>15726</v>
      </c>
      <c r="D20" s="62">
        <f t="shared" si="0"/>
        <v>816</v>
      </c>
      <c r="E20" s="62">
        <f t="shared" si="0"/>
        <v>2304</v>
      </c>
      <c r="F20" s="62">
        <f t="shared" si="0"/>
        <v>2460</v>
      </c>
      <c r="G20" s="62">
        <f t="shared" si="0"/>
        <v>14</v>
      </c>
      <c r="H20" s="76">
        <f>G20+F20+E20+D20+C20</f>
        <v>21320</v>
      </c>
      <c r="I20" s="64">
        <f>I19-I17</f>
        <v>1604</v>
      </c>
      <c r="J20" s="64">
        <f t="shared" si="1"/>
        <v>9390</v>
      </c>
      <c r="K20" s="64">
        <f t="shared" si="1"/>
        <v>3441</v>
      </c>
      <c r="L20" s="64">
        <f t="shared" si="1"/>
        <v>4909</v>
      </c>
      <c r="M20" s="64">
        <f t="shared" si="1"/>
        <v>9181</v>
      </c>
      <c r="N20" s="64">
        <f t="shared" si="1"/>
        <v>7325</v>
      </c>
      <c r="O20" s="64">
        <f t="shared" si="1"/>
        <v>1011</v>
      </c>
      <c r="P20" s="64">
        <f t="shared" si="1"/>
        <v>2640</v>
      </c>
      <c r="Q20" s="77">
        <f>P20+O20+N20+M20+L20+K20+J20+I20</f>
        <v>39501</v>
      </c>
      <c r="R20" s="13">
        <f>Q20+H20</f>
        <v>60821</v>
      </c>
    </row>
    <row r="21" spans="2:18" ht="17.25" customHeight="1" x14ac:dyDescent="0.25">
      <c r="B21" s="22">
        <v>8</v>
      </c>
      <c r="C21" s="71">
        <v>23001879</v>
      </c>
      <c r="D21" s="70">
        <v>16516885</v>
      </c>
      <c r="E21" s="70">
        <v>29435612</v>
      </c>
      <c r="F21" s="70">
        <v>29065156</v>
      </c>
      <c r="G21" s="72">
        <v>17455090</v>
      </c>
      <c r="H21" s="8"/>
      <c r="I21" s="7">
        <v>6579569</v>
      </c>
      <c r="J21" s="7">
        <v>28897028</v>
      </c>
      <c r="K21" s="7">
        <v>9643275</v>
      </c>
      <c r="L21" s="7">
        <v>14279859</v>
      </c>
      <c r="M21" s="7">
        <v>22063570</v>
      </c>
      <c r="N21" s="7">
        <v>27353614</v>
      </c>
      <c r="O21" s="7">
        <v>8848132</v>
      </c>
      <c r="P21" s="7">
        <v>8063430</v>
      </c>
      <c r="Q21" s="9"/>
      <c r="R21" s="10"/>
    </row>
    <row r="22" spans="2:18" ht="17.25" customHeight="1" x14ac:dyDescent="0.25">
      <c r="B22" s="11" t="s">
        <v>47</v>
      </c>
      <c r="C22" s="62">
        <f>C21-C19</f>
        <v>8882</v>
      </c>
      <c r="D22" s="62">
        <f t="shared" ref="D22:G32" si="2">D21-D19</f>
        <v>864</v>
      </c>
      <c r="E22" s="62">
        <f t="shared" si="2"/>
        <v>2384</v>
      </c>
      <c r="F22" s="62">
        <f t="shared" si="2"/>
        <v>2389</v>
      </c>
      <c r="G22" s="62">
        <f t="shared" si="2"/>
        <v>5708</v>
      </c>
      <c r="H22" s="76">
        <f>G22+F22+E22+D22+C22</f>
        <v>20227</v>
      </c>
      <c r="I22" s="64">
        <f>I21-I19</f>
        <v>1696</v>
      </c>
      <c r="J22" s="64">
        <f t="shared" ref="J22:P32" si="3">J21-J19</f>
        <v>9702</v>
      </c>
      <c r="K22" s="64">
        <f t="shared" si="3"/>
        <v>3809</v>
      </c>
      <c r="L22" s="64">
        <f t="shared" si="3"/>
        <v>5213</v>
      </c>
      <c r="M22" s="64">
        <f t="shared" si="3"/>
        <v>9263</v>
      </c>
      <c r="N22" s="64">
        <f t="shared" si="3"/>
        <v>7219</v>
      </c>
      <c r="O22" s="64">
        <f t="shared" si="3"/>
        <v>1000</v>
      </c>
      <c r="P22" s="64">
        <f t="shared" si="3"/>
        <v>2710</v>
      </c>
      <c r="Q22" s="77">
        <f>P22+O22+N22+M22+L22+K22+J22+I22</f>
        <v>40612</v>
      </c>
      <c r="R22" s="13">
        <f>Q22+H22</f>
        <v>60839</v>
      </c>
    </row>
    <row r="23" spans="2:18" ht="17.25" customHeight="1" x14ac:dyDescent="0.25">
      <c r="B23" s="22">
        <v>9</v>
      </c>
      <c r="C23" s="7">
        <v>23001887</v>
      </c>
      <c r="D23" s="73">
        <v>16517745</v>
      </c>
      <c r="E23" s="73">
        <v>29439980</v>
      </c>
      <c r="F23" s="73">
        <v>29070003</v>
      </c>
      <c r="G23" s="7">
        <v>17459753</v>
      </c>
      <c r="H23" s="8"/>
      <c r="I23" s="7">
        <v>6581272</v>
      </c>
      <c r="J23" s="7">
        <v>28906547</v>
      </c>
      <c r="K23" s="7">
        <v>9647032</v>
      </c>
      <c r="L23" s="7">
        <v>14285149</v>
      </c>
      <c r="M23" s="7">
        <v>22072199</v>
      </c>
      <c r="N23" s="7">
        <v>27360635</v>
      </c>
      <c r="O23" s="7">
        <v>8849080</v>
      </c>
      <c r="P23" s="7">
        <v>8066150</v>
      </c>
      <c r="Q23" s="9"/>
      <c r="R23" s="10"/>
    </row>
    <row r="24" spans="2:18" ht="17.25" customHeight="1" x14ac:dyDescent="0.25">
      <c r="B24" s="11" t="s">
        <v>47</v>
      </c>
      <c r="C24" s="62">
        <f>C23-C21</f>
        <v>8</v>
      </c>
      <c r="D24" s="62">
        <f t="shared" si="2"/>
        <v>860</v>
      </c>
      <c r="E24" s="62">
        <f t="shared" si="2"/>
        <v>4368</v>
      </c>
      <c r="F24" s="62">
        <f t="shared" si="2"/>
        <v>4847</v>
      </c>
      <c r="G24" s="62">
        <f t="shared" si="2"/>
        <v>4663</v>
      </c>
      <c r="H24" s="76">
        <f>G24+F24+E24+D24+C24</f>
        <v>14746</v>
      </c>
      <c r="I24" s="64">
        <f>I23-I21</f>
        <v>1703</v>
      </c>
      <c r="J24" s="64">
        <f t="shared" si="3"/>
        <v>9519</v>
      </c>
      <c r="K24" s="64">
        <f t="shared" si="3"/>
        <v>3757</v>
      </c>
      <c r="L24" s="64">
        <f t="shared" si="3"/>
        <v>5290</v>
      </c>
      <c r="M24" s="64">
        <f t="shared" si="3"/>
        <v>8629</v>
      </c>
      <c r="N24" s="64">
        <f t="shared" si="3"/>
        <v>7021</v>
      </c>
      <c r="O24" s="64">
        <f t="shared" si="3"/>
        <v>948</v>
      </c>
      <c r="P24" s="64">
        <f t="shared" si="3"/>
        <v>2720</v>
      </c>
      <c r="Q24" s="77">
        <f>P24+O24+N24+M24+L24+K24+J24+I24</f>
        <v>39587</v>
      </c>
      <c r="R24" s="13">
        <f>Q24+H24</f>
        <v>54333</v>
      </c>
    </row>
    <row r="25" spans="2:18" ht="17.25" customHeight="1" x14ac:dyDescent="0.25">
      <c r="B25" s="22">
        <v>10</v>
      </c>
      <c r="C25" s="7">
        <v>23001896</v>
      </c>
      <c r="D25" s="7">
        <v>16518588</v>
      </c>
      <c r="E25" s="7">
        <v>29442297</v>
      </c>
      <c r="F25" s="7">
        <v>29079669</v>
      </c>
      <c r="G25" s="7">
        <v>17459767</v>
      </c>
      <c r="H25" s="8"/>
      <c r="I25" s="7">
        <v>6582964</v>
      </c>
      <c r="J25" s="7">
        <v>28916332</v>
      </c>
      <c r="K25" s="7">
        <v>9650903</v>
      </c>
      <c r="L25" s="7">
        <v>14290541</v>
      </c>
      <c r="M25" s="7">
        <v>22081405</v>
      </c>
      <c r="N25" s="7">
        <v>27367501</v>
      </c>
      <c r="O25" s="7">
        <v>8850049</v>
      </c>
      <c r="P25" s="7">
        <v>8069090</v>
      </c>
      <c r="Q25" s="9"/>
      <c r="R25" s="10"/>
    </row>
    <row r="26" spans="2:18" ht="17.25" customHeight="1" x14ac:dyDescent="0.25">
      <c r="B26" s="11" t="s">
        <v>47</v>
      </c>
      <c r="C26" s="62">
        <f>C25-C23</f>
        <v>9</v>
      </c>
      <c r="D26" s="62">
        <f t="shared" si="2"/>
        <v>843</v>
      </c>
      <c r="E26" s="62">
        <f t="shared" si="2"/>
        <v>2317</v>
      </c>
      <c r="F26" s="62">
        <f t="shared" si="2"/>
        <v>9666</v>
      </c>
      <c r="G26" s="62">
        <f t="shared" si="2"/>
        <v>14</v>
      </c>
      <c r="H26" s="76">
        <f>G26+F26+E26+D26+C26</f>
        <v>12849</v>
      </c>
      <c r="I26" s="64">
        <f>I25-I23</f>
        <v>1692</v>
      </c>
      <c r="J26" s="64">
        <f t="shared" si="3"/>
        <v>9785</v>
      </c>
      <c r="K26" s="64">
        <f t="shared" si="3"/>
        <v>3871</v>
      </c>
      <c r="L26" s="64">
        <f t="shared" si="3"/>
        <v>5392</v>
      </c>
      <c r="M26" s="64">
        <f t="shared" si="3"/>
        <v>9206</v>
      </c>
      <c r="N26" s="64">
        <f t="shared" si="3"/>
        <v>6866</v>
      </c>
      <c r="O26" s="64">
        <f t="shared" si="3"/>
        <v>969</v>
      </c>
      <c r="P26" s="64">
        <f t="shared" si="3"/>
        <v>2940</v>
      </c>
      <c r="Q26" s="77">
        <f>P26+O26+N26+M26+L26+K26+J26+I26</f>
        <v>40721</v>
      </c>
      <c r="R26" s="13">
        <f>Q26+H26</f>
        <v>53570</v>
      </c>
    </row>
    <row r="27" spans="2:18" ht="17.25" customHeight="1" x14ac:dyDescent="0.25">
      <c r="B27" s="22">
        <v>11</v>
      </c>
      <c r="C27" s="7">
        <v>23001905</v>
      </c>
      <c r="D27" s="7">
        <v>16519455</v>
      </c>
      <c r="E27" s="7">
        <v>29444638</v>
      </c>
      <c r="F27" s="7">
        <v>29090808</v>
      </c>
      <c r="G27" s="7">
        <v>17459781</v>
      </c>
      <c r="H27" s="8"/>
      <c r="I27" s="7">
        <v>6584647</v>
      </c>
      <c r="J27" s="7">
        <v>28925116</v>
      </c>
      <c r="K27" s="7">
        <v>9654845</v>
      </c>
      <c r="L27" s="7">
        <v>14295449</v>
      </c>
      <c r="M27" s="39">
        <v>22090813</v>
      </c>
      <c r="N27" s="7">
        <v>27374236</v>
      </c>
      <c r="O27" s="7">
        <v>8850886</v>
      </c>
      <c r="P27" s="7">
        <v>8071660</v>
      </c>
      <c r="Q27" s="9"/>
      <c r="R27" s="10"/>
    </row>
    <row r="28" spans="2:18" ht="17.25" customHeight="1" x14ac:dyDescent="0.25">
      <c r="B28" s="11" t="s">
        <v>47</v>
      </c>
      <c r="C28" s="62">
        <f>C27-C25</f>
        <v>9</v>
      </c>
      <c r="D28" s="62">
        <f t="shared" si="2"/>
        <v>867</v>
      </c>
      <c r="E28" s="62">
        <f t="shared" si="2"/>
        <v>2341</v>
      </c>
      <c r="F28" s="62">
        <f t="shared" si="2"/>
        <v>11139</v>
      </c>
      <c r="G28" s="62">
        <f t="shared" si="2"/>
        <v>14</v>
      </c>
      <c r="H28" s="76">
        <f>G28+F28+E28+D28+C28</f>
        <v>14370</v>
      </c>
      <c r="I28" s="64">
        <f>I27-I25</f>
        <v>1683</v>
      </c>
      <c r="J28" s="64">
        <f t="shared" si="3"/>
        <v>8784</v>
      </c>
      <c r="K28" s="64">
        <f t="shared" si="3"/>
        <v>3942</v>
      </c>
      <c r="L28" s="64">
        <f t="shared" si="3"/>
        <v>4908</v>
      </c>
      <c r="M28" s="64">
        <f t="shared" si="3"/>
        <v>9408</v>
      </c>
      <c r="N28" s="64">
        <f t="shared" si="3"/>
        <v>6735</v>
      </c>
      <c r="O28" s="64">
        <f t="shared" si="3"/>
        <v>837</v>
      </c>
      <c r="P28" s="64">
        <f t="shared" si="3"/>
        <v>2570</v>
      </c>
      <c r="Q28" s="77">
        <f>P28+O28+N28+M28+L28+K28+J28+I28</f>
        <v>38867</v>
      </c>
      <c r="R28" s="13">
        <f>Q28+H28</f>
        <v>53237</v>
      </c>
    </row>
    <row r="29" spans="2:18" ht="17.25" customHeight="1" x14ac:dyDescent="0.25">
      <c r="B29" s="22">
        <v>12</v>
      </c>
      <c r="C29" s="7">
        <v>23001914</v>
      </c>
      <c r="D29" s="7">
        <v>16520309</v>
      </c>
      <c r="E29" s="7">
        <v>29446979</v>
      </c>
      <c r="F29" s="7">
        <v>29102717</v>
      </c>
      <c r="G29" s="7">
        <v>17459800</v>
      </c>
      <c r="H29" s="8"/>
      <c r="I29" s="7">
        <v>6586297</v>
      </c>
      <c r="J29" s="7">
        <v>28934880</v>
      </c>
      <c r="K29" s="7">
        <v>9658810</v>
      </c>
      <c r="L29" s="7">
        <v>14300517</v>
      </c>
      <c r="M29" s="39">
        <v>22100651</v>
      </c>
      <c r="N29" s="7">
        <v>27381312</v>
      </c>
      <c r="O29" s="7">
        <v>8851800</v>
      </c>
      <c r="P29" s="7">
        <v>8073830</v>
      </c>
      <c r="Q29" s="9"/>
      <c r="R29" s="10"/>
    </row>
    <row r="30" spans="2:18" ht="17.25" customHeight="1" x14ac:dyDescent="0.25">
      <c r="B30" s="11" t="s">
        <v>47</v>
      </c>
      <c r="C30" s="62">
        <f>C29-C27</f>
        <v>9</v>
      </c>
      <c r="D30" s="62">
        <f t="shared" si="2"/>
        <v>854</v>
      </c>
      <c r="E30" s="62">
        <f t="shared" si="2"/>
        <v>2341</v>
      </c>
      <c r="F30" s="62">
        <f t="shared" si="2"/>
        <v>11909</v>
      </c>
      <c r="G30" s="62">
        <f t="shared" si="2"/>
        <v>19</v>
      </c>
      <c r="H30" s="76">
        <f>G30+F30+E30+D30+C30</f>
        <v>15132</v>
      </c>
      <c r="I30" s="64">
        <f>I29-I27</f>
        <v>1650</v>
      </c>
      <c r="J30" s="64">
        <f t="shared" si="3"/>
        <v>9764</v>
      </c>
      <c r="K30" s="64">
        <f t="shared" si="3"/>
        <v>3965</v>
      </c>
      <c r="L30" s="64">
        <f t="shared" si="3"/>
        <v>5068</v>
      </c>
      <c r="M30" s="64">
        <f t="shared" si="3"/>
        <v>9838</v>
      </c>
      <c r="N30" s="64">
        <f t="shared" si="3"/>
        <v>7076</v>
      </c>
      <c r="O30" s="64">
        <f t="shared" si="3"/>
        <v>914</v>
      </c>
      <c r="P30" s="64">
        <f t="shared" si="3"/>
        <v>2170</v>
      </c>
      <c r="Q30" s="77">
        <f>P30+O30+N30+M30+L30+K30+J30+I30</f>
        <v>40445</v>
      </c>
      <c r="R30" s="13">
        <f>Q30+H30</f>
        <v>55577</v>
      </c>
    </row>
    <row r="31" spans="2:18" ht="17.25" customHeight="1" x14ac:dyDescent="0.25">
      <c r="B31" s="22">
        <v>13</v>
      </c>
      <c r="C31" s="7">
        <v>23001917</v>
      </c>
      <c r="D31" s="7">
        <v>16521181</v>
      </c>
      <c r="E31" s="7">
        <v>29449341</v>
      </c>
      <c r="F31" s="7">
        <v>29115814</v>
      </c>
      <c r="G31" s="7">
        <v>17459814</v>
      </c>
      <c r="H31" s="8"/>
      <c r="I31" s="7">
        <v>6587901</v>
      </c>
      <c r="J31" s="7">
        <v>28944744</v>
      </c>
      <c r="K31" s="7">
        <v>9662803</v>
      </c>
      <c r="L31" s="7">
        <v>14305435</v>
      </c>
      <c r="M31" s="7">
        <v>22110192</v>
      </c>
      <c r="N31" s="7">
        <v>27388536</v>
      </c>
      <c r="O31" s="7">
        <v>8852773</v>
      </c>
      <c r="P31" s="7">
        <v>8076480</v>
      </c>
      <c r="Q31" s="9"/>
      <c r="R31" s="10"/>
    </row>
    <row r="32" spans="2:18" ht="17.25" customHeight="1" x14ac:dyDescent="0.25">
      <c r="B32" s="11" t="s">
        <v>47</v>
      </c>
      <c r="C32" s="62">
        <f>C31-C29</f>
        <v>3</v>
      </c>
      <c r="D32" s="62">
        <f t="shared" si="2"/>
        <v>872</v>
      </c>
      <c r="E32" s="62">
        <f t="shared" si="2"/>
        <v>2362</v>
      </c>
      <c r="F32" s="62">
        <f t="shared" si="2"/>
        <v>13097</v>
      </c>
      <c r="G32" s="62">
        <f t="shared" si="2"/>
        <v>14</v>
      </c>
      <c r="H32" s="76">
        <f>G32+F32+E32+D32+C32</f>
        <v>16348</v>
      </c>
      <c r="I32" s="64">
        <f>I31-I29</f>
        <v>1604</v>
      </c>
      <c r="J32" s="64">
        <f t="shared" si="3"/>
        <v>9864</v>
      </c>
      <c r="K32" s="64">
        <f t="shared" si="3"/>
        <v>3993</v>
      </c>
      <c r="L32" s="64">
        <f t="shared" si="3"/>
        <v>4918</v>
      </c>
      <c r="M32" s="64">
        <f t="shared" si="3"/>
        <v>9541</v>
      </c>
      <c r="N32" s="64">
        <f t="shared" si="3"/>
        <v>7224</v>
      </c>
      <c r="O32" s="64">
        <f t="shared" si="3"/>
        <v>973</v>
      </c>
      <c r="P32" s="64">
        <f t="shared" si="3"/>
        <v>2650</v>
      </c>
      <c r="Q32" s="77">
        <f>P32+O32+N32+M32+L32+K32+J32+I32</f>
        <v>40767</v>
      </c>
      <c r="R32" s="13">
        <f>Q32+H32</f>
        <v>57115</v>
      </c>
    </row>
    <row r="33" spans="2:18" ht="17.25" customHeight="1" x14ac:dyDescent="0.25">
      <c r="B33" s="22">
        <v>14</v>
      </c>
      <c r="C33" s="7">
        <v>23001924</v>
      </c>
      <c r="D33" s="7">
        <v>16522051</v>
      </c>
      <c r="E33" s="7">
        <v>29451709</v>
      </c>
      <c r="F33" s="7">
        <v>29129686</v>
      </c>
      <c r="G33" s="7">
        <v>17459832</v>
      </c>
      <c r="H33" s="8"/>
      <c r="I33" s="7">
        <v>6589527</v>
      </c>
      <c r="J33" s="7">
        <v>28954716</v>
      </c>
      <c r="K33" s="7">
        <v>9666852</v>
      </c>
      <c r="L33" s="7">
        <v>14310341</v>
      </c>
      <c r="M33" s="7">
        <v>22119403</v>
      </c>
      <c r="N33" s="7">
        <v>27396005</v>
      </c>
      <c r="O33" s="7">
        <v>8853775</v>
      </c>
      <c r="P33" s="7">
        <v>8079270</v>
      </c>
      <c r="Q33" s="9"/>
      <c r="R33" s="10"/>
    </row>
    <row r="34" spans="2:18" ht="17.25" customHeight="1" x14ac:dyDescent="0.25">
      <c r="B34" s="11" t="s">
        <v>47</v>
      </c>
      <c r="C34" s="62">
        <f>C33-C31</f>
        <v>7</v>
      </c>
      <c r="D34" s="62">
        <f t="shared" ref="D34:G46" si="4">D33-D31</f>
        <v>870</v>
      </c>
      <c r="E34" s="62">
        <f t="shared" si="4"/>
        <v>2368</v>
      </c>
      <c r="F34" s="62">
        <f t="shared" si="4"/>
        <v>13872</v>
      </c>
      <c r="G34" s="62">
        <f t="shared" si="4"/>
        <v>18</v>
      </c>
      <c r="H34" s="76">
        <f>G34+F34+E34+D34+C34</f>
        <v>17135</v>
      </c>
      <c r="I34" s="64">
        <f>I33-I31</f>
        <v>1626</v>
      </c>
      <c r="J34" s="64">
        <f t="shared" ref="J34:P46" si="5">J33-J31</f>
        <v>9972</v>
      </c>
      <c r="K34" s="64">
        <f t="shared" si="5"/>
        <v>4049</v>
      </c>
      <c r="L34" s="64">
        <f t="shared" si="5"/>
        <v>4906</v>
      </c>
      <c r="M34" s="64">
        <f t="shared" si="5"/>
        <v>9211</v>
      </c>
      <c r="N34" s="64">
        <f t="shared" si="5"/>
        <v>7469</v>
      </c>
      <c r="O34" s="64">
        <f t="shared" si="5"/>
        <v>1002</v>
      </c>
      <c r="P34" s="64">
        <f t="shared" si="5"/>
        <v>2790</v>
      </c>
      <c r="Q34" s="77">
        <f>P34+O34+N34+M34+L34+K34+J34+I34</f>
        <v>41025</v>
      </c>
      <c r="R34" s="13">
        <f>Q34+H34</f>
        <v>58160</v>
      </c>
    </row>
    <row r="35" spans="2:18" ht="17.25" customHeight="1" x14ac:dyDescent="0.25">
      <c r="B35" s="22">
        <v>15</v>
      </c>
      <c r="C35" s="7">
        <v>23001927</v>
      </c>
      <c r="D35" s="7">
        <v>16522920</v>
      </c>
      <c r="E35" s="7">
        <v>29457246</v>
      </c>
      <c r="F35" s="7">
        <v>29139762</v>
      </c>
      <c r="G35" s="7">
        <v>17459846</v>
      </c>
      <c r="H35" s="8"/>
      <c r="I35" s="7">
        <v>6591268</v>
      </c>
      <c r="J35" s="7">
        <v>28965132</v>
      </c>
      <c r="K35" s="7">
        <v>9671109</v>
      </c>
      <c r="L35" s="7">
        <v>14315725</v>
      </c>
      <c r="M35" s="7">
        <v>22129144</v>
      </c>
      <c r="N35" s="7">
        <v>27403790</v>
      </c>
      <c r="O35" s="7">
        <v>8854899</v>
      </c>
      <c r="P35" s="7">
        <v>8082170</v>
      </c>
      <c r="Q35" s="9"/>
      <c r="R35" s="10"/>
    </row>
    <row r="36" spans="2:18" ht="17.25" customHeight="1" x14ac:dyDescent="0.25">
      <c r="B36" s="11" t="s">
        <v>47</v>
      </c>
      <c r="C36" s="62">
        <f>C35-C33</f>
        <v>3</v>
      </c>
      <c r="D36" s="62">
        <f t="shared" si="4"/>
        <v>869</v>
      </c>
      <c r="E36" s="62">
        <f t="shared" si="4"/>
        <v>5537</v>
      </c>
      <c r="F36" s="62">
        <f t="shared" si="4"/>
        <v>10076</v>
      </c>
      <c r="G36" s="62">
        <f t="shared" si="4"/>
        <v>14</v>
      </c>
      <c r="H36" s="76">
        <f>G36+F36+E36+D36+C36</f>
        <v>16499</v>
      </c>
      <c r="I36" s="64">
        <f>I35-I33</f>
        <v>1741</v>
      </c>
      <c r="J36" s="64">
        <f t="shared" si="5"/>
        <v>10416</v>
      </c>
      <c r="K36" s="64">
        <f t="shared" si="5"/>
        <v>4257</v>
      </c>
      <c r="L36" s="64">
        <f t="shared" si="5"/>
        <v>5384</v>
      </c>
      <c r="M36" s="64">
        <f t="shared" si="5"/>
        <v>9741</v>
      </c>
      <c r="N36" s="64">
        <f t="shared" si="5"/>
        <v>7785</v>
      </c>
      <c r="O36" s="64">
        <f t="shared" si="5"/>
        <v>1124</v>
      </c>
      <c r="P36" s="64">
        <f t="shared" si="5"/>
        <v>2900</v>
      </c>
      <c r="Q36" s="77">
        <f>P36+O36+N36+M36+L36+K36+J36+I36</f>
        <v>43348</v>
      </c>
      <c r="R36" s="13">
        <f>Q36+H36</f>
        <v>59847</v>
      </c>
    </row>
    <row r="37" spans="2:18" ht="17.25" customHeight="1" x14ac:dyDescent="0.25">
      <c r="B37" s="22">
        <v>16</v>
      </c>
      <c r="C37" s="7">
        <v>23003149</v>
      </c>
      <c r="D37" s="7">
        <v>16523809</v>
      </c>
      <c r="E37" s="7">
        <v>29468129</v>
      </c>
      <c r="F37" s="7">
        <v>29142361</v>
      </c>
      <c r="G37" s="7">
        <v>17459861</v>
      </c>
      <c r="H37" s="8"/>
      <c r="I37" s="7">
        <v>6592876</v>
      </c>
      <c r="J37" s="7">
        <v>28974643</v>
      </c>
      <c r="K37" s="7">
        <v>9675198</v>
      </c>
      <c r="L37" s="7">
        <v>14320628</v>
      </c>
      <c r="M37" s="7">
        <v>22138742</v>
      </c>
      <c r="N37" s="7">
        <v>27410863</v>
      </c>
      <c r="O37" s="7">
        <v>8855824</v>
      </c>
      <c r="P37" s="75">
        <v>8084740</v>
      </c>
      <c r="Q37" s="9"/>
      <c r="R37" s="10"/>
    </row>
    <row r="38" spans="2:18" ht="17.25" customHeight="1" x14ac:dyDescent="0.25">
      <c r="B38" s="11" t="s">
        <v>47</v>
      </c>
      <c r="C38" s="62">
        <f>C37-C35</f>
        <v>1222</v>
      </c>
      <c r="D38" s="62">
        <f t="shared" si="4"/>
        <v>889</v>
      </c>
      <c r="E38" s="62">
        <f t="shared" si="4"/>
        <v>10883</v>
      </c>
      <c r="F38" s="62">
        <f t="shared" si="4"/>
        <v>2599</v>
      </c>
      <c r="G38" s="62">
        <f t="shared" si="4"/>
        <v>15</v>
      </c>
      <c r="H38" s="76">
        <f>G38+F38+E38+D38+C38</f>
        <v>15608</v>
      </c>
      <c r="I38" s="64">
        <f>I37-I35</f>
        <v>1608</v>
      </c>
      <c r="J38" s="64">
        <f t="shared" si="5"/>
        <v>9511</v>
      </c>
      <c r="K38" s="64">
        <f t="shared" si="5"/>
        <v>4089</v>
      </c>
      <c r="L38" s="64">
        <f t="shared" si="5"/>
        <v>4903</v>
      </c>
      <c r="M38" s="64">
        <f t="shared" si="5"/>
        <v>9598</v>
      </c>
      <c r="N38" s="64">
        <f t="shared" si="5"/>
        <v>7073</v>
      </c>
      <c r="O38" s="64">
        <f t="shared" si="5"/>
        <v>925</v>
      </c>
      <c r="P38" s="64">
        <f t="shared" si="5"/>
        <v>2570</v>
      </c>
      <c r="Q38" s="77">
        <f>P38+O38+N38+M38+L38+K38+J38+I38</f>
        <v>40277</v>
      </c>
      <c r="R38" s="13">
        <f>Q38+H38</f>
        <v>55885</v>
      </c>
    </row>
    <row r="39" spans="2:18" ht="17.25" customHeight="1" x14ac:dyDescent="0.25">
      <c r="B39" s="22">
        <v>17</v>
      </c>
      <c r="C39" s="7">
        <v>23016010</v>
      </c>
      <c r="D39" s="7">
        <v>16524675</v>
      </c>
      <c r="E39" s="7">
        <v>29470493</v>
      </c>
      <c r="F39" s="7">
        <v>29144546</v>
      </c>
      <c r="G39" s="7">
        <v>17459878</v>
      </c>
      <c r="H39" s="8"/>
      <c r="I39" s="7">
        <v>6594528</v>
      </c>
      <c r="J39" s="7">
        <v>28984380</v>
      </c>
      <c r="K39" s="7">
        <v>9679729</v>
      </c>
      <c r="L39" s="7">
        <v>14325828</v>
      </c>
      <c r="M39" s="7">
        <v>22147762</v>
      </c>
      <c r="N39" s="7">
        <v>27417716</v>
      </c>
      <c r="O39" s="7">
        <v>8856705</v>
      </c>
      <c r="P39" s="7">
        <v>8087690</v>
      </c>
      <c r="Q39" s="9"/>
      <c r="R39" s="10"/>
    </row>
    <row r="40" spans="2:18" ht="17.25" customHeight="1" x14ac:dyDescent="0.25">
      <c r="B40" s="11" t="s">
        <v>47</v>
      </c>
      <c r="C40" s="62">
        <f>C39-C37</f>
        <v>12861</v>
      </c>
      <c r="D40" s="62">
        <f t="shared" si="4"/>
        <v>866</v>
      </c>
      <c r="E40" s="62">
        <f t="shared" si="4"/>
        <v>2364</v>
      </c>
      <c r="F40" s="62">
        <f t="shared" si="4"/>
        <v>2185</v>
      </c>
      <c r="G40" s="62">
        <f t="shared" si="4"/>
        <v>17</v>
      </c>
      <c r="H40" s="76">
        <f>G40+F40+E40+D40+C40</f>
        <v>18293</v>
      </c>
      <c r="I40" s="64">
        <f>I39-I37</f>
        <v>1652</v>
      </c>
      <c r="J40" s="64">
        <f t="shared" si="5"/>
        <v>9737</v>
      </c>
      <c r="K40" s="64">
        <f t="shared" si="5"/>
        <v>4531</v>
      </c>
      <c r="L40" s="64">
        <f t="shared" si="5"/>
        <v>5200</v>
      </c>
      <c r="M40" s="64">
        <f t="shared" si="5"/>
        <v>9020</v>
      </c>
      <c r="N40" s="64">
        <f t="shared" si="5"/>
        <v>6853</v>
      </c>
      <c r="O40" s="64">
        <f t="shared" si="5"/>
        <v>881</v>
      </c>
      <c r="P40" s="64">
        <f t="shared" si="5"/>
        <v>2950</v>
      </c>
      <c r="Q40" s="77">
        <f>P40+O40+N40+M40+L40+K40+J40+I40</f>
        <v>40824</v>
      </c>
      <c r="R40" s="13">
        <f>Q40+H40</f>
        <v>59117</v>
      </c>
    </row>
    <row r="41" spans="2:18" ht="17.25" customHeight="1" x14ac:dyDescent="0.25">
      <c r="B41" s="22">
        <v>18</v>
      </c>
      <c r="C41" s="7">
        <v>23027998</v>
      </c>
      <c r="D41" s="7">
        <v>16525527</v>
      </c>
      <c r="E41" s="7">
        <v>29472852</v>
      </c>
      <c r="F41" s="7">
        <v>29146646</v>
      </c>
      <c r="G41" s="7">
        <v>17459893</v>
      </c>
      <c r="H41" s="8"/>
      <c r="I41" s="7">
        <v>6596288</v>
      </c>
      <c r="J41" s="7">
        <v>28993491</v>
      </c>
      <c r="K41" s="7">
        <v>9684063</v>
      </c>
      <c r="L41" s="7">
        <v>14331047</v>
      </c>
      <c r="M41" s="7">
        <v>22156776</v>
      </c>
      <c r="N41" s="7">
        <v>27424810</v>
      </c>
      <c r="O41" s="7">
        <v>8857520</v>
      </c>
      <c r="P41" s="7">
        <v>8090420</v>
      </c>
      <c r="Q41" s="9"/>
      <c r="R41" s="10"/>
    </row>
    <row r="42" spans="2:18" ht="17.25" customHeight="1" x14ac:dyDescent="0.25">
      <c r="B42" s="11" t="s">
        <v>47</v>
      </c>
      <c r="C42" s="62">
        <f>C41-C39</f>
        <v>11988</v>
      </c>
      <c r="D42" s="62">
        <f t="shared" si="4"/>
        <v>852</v>
      </c>
      <c r="E42" s="62">
        <f t="shared" si="4"/>
        <v>2359</v>
      </c>
      <c r="F42" s="62">
        <f t="shared" si="4"/>
        <v>2100</v>
      </c>
      <c r="G42" s="62">
        <f t="shared" si="4"/>
        <v>15</v>
      </c>
      <c r="H42" s="76">
        <f>G42+F42+E42+D42+C42</f>
        <v>17314</v>
      </c>
      <c r="I42" s="64">
        <f>I41-I39</f>
        <v>1760</v>
      </c>
      <c r="J42" s="64">
        <f t="shared" si="5"/>
        <v>9111</v>
      </c>
      <c r="K42" s="64">
        <f t="shared" si="5"/>
        <v>4334</v>
      </c>
      <c r="L42" s="64">
        <f t="shared" si="5"/>
        <v>5219</v>
      </c>
      <c r="M42" s="64">
        <f t="shared" si="5"/>
        <v>9014</v>
      </c>
      <c r="N42" s="64">
        <f t="shared" si="5"/>
        <v>7094</v>
      </c>
      <c r="O42" s="64">
        <f t="shared" si="5"/>
        <v>815</v>
      </c>
      <c r="P42" s="64">
        <f t="shared" si="5"/>
        <v>2730</v>
      </c>
      <c r="Q42" s="77">
        <f>P42+O42+N42+M42+L42+K42+J42+I42</f>
        <v>40077</v>
      </c>
      <c r="R42" s="13">
        <f>Q42+H42</f>
        <v>57391</v>
      </c>
    </row>
    <row r="43" spans="2:18" ht="17.25" customHeight="1" x14ac:dyDescent="0.25">
      <c r="B43" s="22">
        <v>19</v>
      </c>
      <c r="C43" s="56">
        <v>23039897</v>
      </c>
      <c r="D43" s="57">
        <v>16526418</v>
      </c>
      <c r="E43" s="57">
        <v>29475225</v>
      </c>
      <c r="F43" s="57">
        <v>29148675</v>
      </c>
      <c r="G43" s="57">
        <v>17459909</v>
      </c>
      <c r="H43" s="58"/>
      <c r="I43" s="57">
        <v>6597909</v>
      </c>
      <c r="J43" s="57">
        <v>29002788</v>
      </c>
      <c r="K43" s="57">
        <v>9688340</v>
      </c>
      <c r="L43" s="57">
        <v>14336059</v>
      </c>
      <c r="M43" s="57">
        <v>22165598</v>
      </c>
      <c r="N43" s="57">
        <v>27431531</v>
      </c>
      <c r="O43" s="57">
        <v>8858335</v>
      </c>
      <c r="P43" s="57">
        <v>8092450</v>
      </c>
      <c r="Q43" s="9"/>
      <c r="R43" s="10"/>
    </row>
    <row r="44" spans="2:18" ht="17.25" customHeight="1" x14ac:dyDescent="0.25">
      <c r="B44" s="11" t="s">
        <v>47</v>
      </c>
      <c r="C44" s="62">
        <f>C43-C41</f>
        <v>11899</v>
      </c>
      <c r="D44" s="62">
        <f t="shared" si="4"/>
        <v>891</v>
      </c>
      <c r="E44" s="62">
        <f t="shared" si="4"/>
        <v>2373</v>
      </c>
      <c r="F44" s="62">
        <f t="shared" si="4"/>
        <v>2029</v>
      </c>
      <c r="G44" s="62">
        <f t="shared" si="4"/>
        <v>16</v>
      </c>
      <c r="H44" s="76">
        <f>G44+F44+E44+D44+C44</f>
        <v>17208</v>
      </c>
      <c r="I44" s="64">
        <f>I43-I41</f>
        <v>1621</v>
      </c>
      <c r="J44" s="64">
        <f t="shared" si="5"/>
        <v>9297</v>
      </c>
      <c r="K44" s="64">
        <f t="shared" si="5"/>
        <v>4277</v>
      </c>
      <c r="L44" s="64">
        <f t="shared" si="5"/>
        <v>5012</v>
      </c>
      <c r="M44" s="64">
        <f t="shared" si="5"/>
        <v>8822</v>
      </c>
      <c r="N44" s="64">
        <f t="shared" si="5"/>
        <v>6721</v>
      </c>
      <c r="O44" s="64">
        <f t="shared" si="5"/>
        <v>815</v>
      </c>
      <c r="P44" s="64">
        <f t="shared" si="5"/>
        <v>2030</v>
      </c>
      <c r="Q44" s="77">
        <f>P44+O44+N44+M44+L44+K44+J44+I44</f>
        <v>38595</v>
      </c>
      <c r="R44" s="13">
        <f>Q44+H44</f>
        <v>55803</v>
      </c>
    </row>
    <row r="45" spans="2:18" ht="17.25" customHeight="1" x14ac:dyDescent="0.25">
      <c r="B45" s="22">
        <v>20</v>
      </c>
      <c r="C45" s="56">
        <v>23051857</v>
      </c>
      <c r="D45" s="56">
        <v>16527315</v>
      </c>
      <c r="E45" s="57">
        <v>29477597</v>
      </c>
      <c r="F45" s="57">
        <v>29150669</v>
      </c>
      <c r="G45" s="57">
        <v>17459924</v>
      </c>
      <c r="H45" s="58"/>
      <c r="I45" s="57">
        <v>6599552</v>
      </c>
      <c r="J45" s="57">
        <v>29012207</v>
      </c>
      <c r="K45" s="57">
        <v>9692538</v>
      </c>
      <c r="L45" s="57">
        <v>14341041</v>
      </c>
      <c r="M45" s="57">
        <v>22174285</v>
      </c>
      <c r="N45" s="57">
        <v>27438383</v>
      </c>
      <c r="O45" s="57">
        <v>8859213</v>
      </c>
      <c r="P45" s="57">
        <v>8095030</v>
      </c>
      <c r="Q45" s="9"/>
      <c r="R45" s="10"/>
    </row>
    <row r="46" spans="2:18" ht="17.25" customHeight="1" x14ac:dyDescent="0.25">
      <c r="B46" s="11" t="s">
        <v>47</v>
      </c>
      <c r="C46" s="62">
        <f>C45-C43</f>
        <v>11960</v>
      </c>
      <c r="D46" s="62">
        <f t="shared" si="4"/>
        <v>897</v>
      </c>
      <c r="E46" s="62">
        <f t="shared" si="4"/>
        <v>2372</v>
      </c>
      <c r="F46" s="62">
        <f t="shared" si="4"/>
        <v>1994</v>
      </c>
      <c r="G46" s="62">
        <f t="shared" si="4"/>
        <v>15</v>
      </c>
      <c r="H46" s="76">
        <f>G46+F46+E46+D46+C46</f>
        <v>17238</v>
      </c>
      <c r="I46" s="64">
        <f>I45-I43</f>
        <v>1643</v>
      </c>
      <c r="J46" s="64">
        <f t="shared" si="5"/>
        <v>9419</v>
      </c>
      <c r="K46" s="64">
        <f t="shared" si="5"/>
        <v>4198</v>
      </c>
      <c r="L46" s="64">
        <f t="shared" si="5"/>
        <v>4982</v>
      </c>
      <c r="M46" s="64">
        <f t="shared" si="5"/>
        <v>8687</v>
      </c>
      <c r="N46" s="64">
        <f t="shared" si="5"/>
        <v>6852</v>
      </c>
      <c r="O46" s="64">
        <f t="shared" si="5"/>
        <v>878</v>
      </c>
      <c r="P46" s="64">
        <f t="shared" si="5"/>
        <v>2580</v>
      </c>
      <c r="Q46" s="77">
        <f>P46+O46+N46+M46+L46+K46+J46+I46</f>
        <v>39239</v>
      </c>
      <c r="R46" s="13">
        <f>Q46+H46</f>
        <v>56477</v>
      </c>
    </row>
    <row r="47" spans="2:18" ht="17.25" customHeight="1" x14ac:dyDescent="0.25">
      <c r="B47" s="22">
        <v>21</v>
      </c>
      <c r="C47" s="7">
        <v>23064496</v>
      </c>
      <c r="D47" s="7">
        <v>16528224</v>
      </c>
      <c r="E47" s="7">
        <v>29479983</v>
      </c>
      <c r="F47" s="7">
        <v>29152670</v>
      </c>
      <c r="G47" s="7">
        <v>17459941</v>
      </c>
      <c r="H47" s="8"/>
      <c r="I47" s="7">
        <v>6601192</v>
      </c>
      <c r="J47" s="7">
        <v>29021680</v>
      </c>
      <c r="K47" s="7">
        <v>9696830</v>
      </c>
      <c r="L47" s="7">
        <v>14346025</v>
      </c>
      <c r="M47" s="7">
        <v>22182935</v>
      </c>
      <c r="N47" s="7">
        <v>27445358</v>
      </c>
      <c r="O47" s="7">
        <v>8860240</v>
      </c>
      <c r="P47" s="7">
        <v>8097790</v>
      </c>
      <c r="Q47" s="9"/>
      <c r="R47" s="10"/>
    </row>
    <row r="48" spans="2:18" ht="17.25" customHeight="1" x14ac:dyDescent="0.25">
      <c r="B48" s="11" t="s">
        <v>47</v>
      </c>
      <c r="C48" s="62">
        <f>C47-C45</f>
        <v>12639</v>
      </c>
      <c r="D48" s="62">
        <f t="shared" ref="D48:G58" si="6">D47-D45</f>
        <v>909</v>
      </c>
      <c r="E48" s="62">
        <f t="shared" si="6"/>
        <v>2386</v>
      </c>
      <c r="F48" s="62">
        <f t="shared" si="6"/>
        <v>2001</v>
      </c>
      <c r="G48" s="62">
        <f t="shared" si="6"/>
        <v>17</v>
      </c>
      <c r="H48" s="76">
        <f>G48+F48+E48+D48+C48</f>
        <v>17952</v>
      </c>
      <c r="I48" s="64">
        <f>I47-I45</f>
        <v>1640</v>
      </c>
      <c r="J48" s="64">
        <f t="shared" ref="J48:P58" si="7">J47-J45</f>
        <v>9473</v>
      </c>
      <c r="K48" s="64">
        <f t="shared" si="7"/>
        <v>4292</v>
      </c>
      <c r="L48" s="64">
        <f t="shared" si="7"/>
        <v>4984</v>
      </c>
      <c r="M48" s="64">
        <f t="shared" si="7"/>
        <v>8650</v>
      </c>
      <c r="N48" s="64">
        <f t="shared" si="7"/>
        <v>6975</v>
      </c>
      <c r="O48" s="64">
        <f t="shared" si="7"/>
        <v>1027</v>
      </c>
      <c r="P48" s="64">
        <f t="shared" si="7"/>
        <v>2760</v>
      </c>
      <c r="Q48" s="77">
        <f>P48+O48+N48+M48+L48+K48+J48+I48</f>
        <v>39801</v>
      </c>
      <c r="R48" s="13">
        <f>Q48+H48</f>
        <v>57753</v>
      </c>
    </row>
    <row r="49" spans="2:18" ht="17.25" customHeight="1" x14ac:dyDescent="0.25">
      <c r="B49" s="22">
        <v>22</v>
      </c>
      <c r="C49" s="7">
        <v>23077153</v>
      </c>
      <c r="D49" s="7">
        <v>16529169</v>
      </c>
      <c r="E49" s="7">
        <v>29482349</v>
      </c>
      <c r="F49" s="7">
        <v>29154637</v>
      </c>
      <c r="G49" s="7">
        <v>17459955</v>
      </c>
      <c r="H49" s="8"/>
      <c r="I49" s="7">
        <v>6602872</v>
      </c>
      <c r="J49" s="7">
        <v>29031091</v>
      </c>
      <c r="K49" s="7">
        <v>9701207</v>
      </c>
      <c r="L49" s="7">
        <v>14350864</v>
      </c>
      <c r="M49" s="7">
        <v>22190357</v>
      </c>
      <c r="N49" s="7">
        <v>27452416</v>
      </c>
      <c r="O49" s="7">
        <v>8861637</v>
      </c>
      <c r="P49" s="7">
        <v>8100610</v>
      </c>
      <c r="Q49" s="9"/>
      <c r="R49" s="10"/>
    </row>
    <row r="50" spans="2:18" ht="17.25" customHeight="1" x14ac:dyDescent="0.25">
      <c r="B50" s="11" t="s">
        <v>47</v>
      </c>
      <c r="C50" s="62">
        <f>C49-C47</f>
        <v>12657</v>
      </c>
      <c r="D50" s="62">
        <f t="shared" si="6"/>
        <v>945</v>
      </c>
      <c r="E50" s="62">
        <f t="shared" si="6"/>
        <v>2366</v>
      </c>
      <c r="F50" s="62">
        <f t="shared" si="6"/>
        <v>1967</v>
      </c>
      <c r="G50" s="62">
        <f t="shared" si="6"/>
        <v>14</v>
      </c>
      <c r="H50" s="76">
        <f>G50+F50+E50+D50+C50</f>
        <v>17949</v>
      </c>
      <c r="I50" s="64">
        <f>I49-I47</f>
        <v>1680</v>
      </c>
      <c r="J50" s="64">
        <f t="shared" si="7"/>
        <v>9411</v>
      </c>
      <c r="K50" s="64">
        <f t="shared" si="7"/>
        <v>4377</v>
      </c>
      <c r="L50" s="64">
        <f t="shared" si="7"/>
        <v>4839</v>
      </c>
      <c r="M50" s="64">
        <f t="shared" si="7"/>
        <v>7422</v>
      </c>
      <c r="N50" s="64">
        <f t="shared" si="7"/>
        <v>7058</v>
      </c>
      <c r="O50" s="64">
        <f t="shared" si="7"/>
        <v>1397</v>
      </c>
      <c r="P50" s="64">
        <f t="shared" si="7"/>
        <v>2820</v>
      </c>
      <c r="Q50" s="77">
        <f>P50+O50+N50+M50+L50+K50+J50+I50</f>
        <v>39004</v>
      </c>
      <c r="R50" s="13">
        <f>Q50+H50</f>
        <v>56953</v>
      </c>
    </row>
    <row r="51" spans="2:18" ht="17.25" customHeight="1" x14ac:dyDescent="0.25">
      <c r="B51" s="22">
        <v>23</v>
      </c>
      <c r="C51" s="7">
        <v>23091617</v>
      </c>
      <c r="D51" s="7">
        <v>16530079</v>
      </c>
      <c r="E51" s="7">
        <v>29484728</v>
      </c>
      <c r="F51" s="7">
        <v>29156835</v>
      </c>
      <c r="G51" s="7">
        <v>17459969</v>
      </c>
      <c r="H51" s="8"/>
      <c r="I51" s="7">
        <v>6604530</v>
      </c>
      <c r="J51" s="7">
        <v>29040722</v>
      </c>
      <c r="K51" s="7">
        <v>9705813</v>
      </c>
      <c r="L51" s="7">
        <v>14355560</v>
      </c>
      <c r="M51" s="7">
        <v>22197915</v>
      </c>
      <c r="N51" s="7">
        <v>27459882</v>
      </c>
      <c r="O51" s="7">
        <v>8863034</v>
      </c>
      <c r="P51" s="75">
        <v>8103390</v>
      </c>
      <c r="Q51" s="9"/>
      <c r="R51" s="10"/>
    </row>
    <row r="52" spans="2:18" ht="17.25" customHeight="1" x14ac:dyDescent="0.25">
      <c r="B52" s="11" t="s">
        <v>47</v>
      </c>
      <c r="C52" s="62">
        <f>C51-C49</f>
        <v>14464</v>
      </c>
      <c r="D52" s="62">
        <f t="shared" si="6"/>
        <v>910</v>
      </c>
      <c r="E52" s="62">
        <f t="shared" si="6"/>
        <v>2379</v>
      </c>
      <c r="F52" s="62">
        <f t="shared" si="6"/>
        <v>2198</v>
      </c>
      <c r="G52" s="62">
        <f t="shared" si="6"/>
        <v>14</v>
      </c>
      <c r="H52" s="76">
        <f>G52+F52+E52+D52+C52</f>
        <v>19965</v>
      </c>
      <c r="I52" s="64">
        <f>I51-I49</f>
        <v>1658</v>
      </c>
      <c r="J52" s="64">
        <f t="shared" si="7"/>
        <v>9631</v>
      </c>
      <c r="K52" s="64">
        <f t="shared" si="7"/>
        <v>4606</v>
      </c>
      <c r="L52" s="64">
        <f t="shared" si="7"/>
        <v>4696</v>
      </c>
      <c r="M52" s="64">
        <f t="shared" si="7"/>
        <v>7558</v>
      </c>
      <c r="N52" s="64">
        <f t="shared" si="7"/>
        <v>7466</v>
      </c>
      <c r="O52" s="64">
        <f t="shared" si="7"/>
        <v>1397</v>
      </c>
      <c r="P52" s="64">
        <f t="shared" si="7"/>
        <v>2780</v>
      </c>
      <c r="Q52" s="77">
        <f>P52+O52+N52+M52+L52+K52+J52+I52</f>
        <v>39792</v>
      </c>
      <c r="R52" s="13">
        <f>Q52+H52</f>
        <v>59757</v>
      </c>
    </row>
    <row r="53" spans="2:18" ht="17.25" customHeight="1" x14ac:dyDescent="0.25">
      <c r="B53" s="22">
        <v>24</v>
      </c>
      <c r="C53" s="7">
        <v>23107756</v>
      </c>
      <c r="D53" s="39">
        <v>16530997</v>
      </c>
      <c r="E53" s="39">
        <v>29487112</v>
      </c>
      <c r="F53" s="39">
        <v>29159408</v>
      </c>
      <c r="G53" s="39">
        <v>17459983</v>
      </c>
      <c r="H53" s="8"/>
      <c r="I53" s="7">
        <v>6606196</v>
      </c>
      <c r="J53" s="7">
        <v>29050632</v>
      </c>
      <c r="K53" s="7">
        <v>9710161</v>
      </c>
      <c r="L53" s="7">
        <v>14360301</v>
      </c>
      <c r="M53" s="7">
        <v>22207071</v>
      </c>
      <c r="N53" s="7">
        <v>27467282</v>
      </c>
      <c r="O53" s="7">
        <v>8864758</v>
      </c>
      <c r="P53" s="7">
        <v>8106560</v>
      </c>
      <c r="Q53" s="9"/>
      <c r="R53" s="10"/>
    </row>
    <row r="54" spans="2:18" ht="17.25" customHeight="1" x14ac:dyDescent="0.25">
      <c r="B54" s="11" t="s">
        <v>47</v>
      </c>
      <c r="C54" s="62">
        <f>C53-C51</f>
        <v>16139</v>
      </c>
      <c r="D54" s="62">
        <f t="shared" si="6"/>
        <v>918</v>
      </c>
      <c r="E54" s="62">
        <f t="shared" si="6"/>
        <v>2384</v>
      </c>
      <c r="F54" s="62">
        <f t="shared" si="6"/>
        <v>2573</v>
      </c>
      <c r="G54" s="62">
        <f t="shared" si="6"/>
        <v>14</v>
      </c>
      <c r="H54" s="76">
        <f>G54+F54+E54+D54+C54</f>
        <v>22028</v>
      </c>
      <c r="I54" s="64">
        <f>I53-I51</f>
        <v>1666</v>
      </c>
      <c r="J54" s="64">
        <f t="shared" si="7"/>
        <v>9910</v>
      </c>
      <c r="K54" s="64">
        <f t="shared" si="7"/>
        <v>4348</v>
      </c>
      <c r="L54" s="64">
        <f t="shared" si="7"/>
        <v>4741</v>
      </c>
      <c r="M54" s="64">
        <f t="shared" si="7"/>
        <v>9156</v>
      </c>
      <c r="N54" s="64">
        <f t="shared" si="7"/>
        <v>7400</v>
      </c>
      <c r="O54" s="64">
        <f t="shared" si="7"/>
        <v>1724</v>
      </c>
      <c r="P54" s="64">
        <f t="shared" si="7"/>
        <v>3170</v>
      </c>
      <c r="Q54" s="77">
        <f>P54+O54+N54+M54+L54+K54+J54+I54</f>
        <v>42115</v>
      </c>
      <c r="R54" s="13">
        <f>Q54+H54</f>
        <v>64143</v>
      </c>
    </row>
    <row r="55" spans="2:18" ht="17.25" customHeight="1" x14ac:dyDescent="0.25">
      <c r="B55" s="22">
        <v>25</v>
      </c>
      <c r="C55" s="7">
        <v>23124083</v>
      </c>
      <c r="D55" s="71">
        <v>16531880</v>
      </c>
      <c r="E55" s="74">
        <v>29489477</v>
      </c>
      <c r="F55" s="72">
        <v>29161976</v>
      </c>
      <c r="G55" s="7">
        <v>17459996</v>
      </c>
      <c r="H55" s="8"/>
      <c r="I55" s="7">
        <v>6607854</v>
      </c>
      <c r="J55" s="7">
        <v>29059981</v>
      </c>
      <c r="K55" s="7">
        <v>9714417</v>
      </c>
      <c r="L55" s="7">
        <v>14365157</v>
      </c>
      <c r="M55" s="7">
        <v>22216229</v>
      </c>
      <c r="N55" s="7">
        <v>27474852</v>
      </c>
      <c r="O55" s="7">
        <v>8866336</v>
      </c>
      <c r="P55" s="7">
        <v>8109380</v>
      </c>
      <c r="Q55" s="9"/>
      <c r="R55" s="10"/>
    </row>
    <row r="56" spans="2:18" ht="17.25" customHeight="1" x14ac:dyDescent="0.25">
      <c r="B56" s="11" t="s">
        <v>47</v>
      </c>
      <c r="C56" s="62">
        <f>C55-C53</f>
        <v>16327</v>
      </c>
      <c r="D56" s="62">
        <f t="shared" si="6"/>
        <v>883</v>
      </c>
      <c r="E56" s="62">
        <f t="shared" si="6"/>
        <v>2365</v>
      </c>
      <c r="F56" s="62">
        <f t="shared" si="6"/>
        <v>2568</v>
      </c>
      <c r="G56" s="62">
        <f t="shared" si="6"/>
        <v>13</v>
      </c>
      <c r="H56" s="76">
        <f>G56+F56+E56+D56+C56</f>
        <v>22156</v>
      </c>
      <c r="I56" s="64">
        <f>I55-I53</f>
        <v>1658</v>
      </c>
      <c r="J56" s="64">
        <f t="shared" si="7"/>
        <v>9349</v>
      </c>
      <c r="K56" s="64">
        <f t="shared" si="7"/>
        <v>4256</v>
      </c>
      <c r="L56" s="64">
        <f t="shared" si="7"/>
        <v>4856</v>
      </c>
      <c r="M56" s="64">
        <f t="shared" si="7"/>
        <v>9158</v>
      </c>
      <c r="N56" s="64">
        <f t="shared" si="7"/>
        <v>7570</v>
      </c>
      <c r="O56" s="64">
        <f t="shared" si="7"/>
        <v>1578</v>
      </c>
      <c r="P56" s="64">
        <f t="shared" si="7"/>
        <v>2820</v>
      </c>
      <c r="Q56" s="77">
        <f>P56+O56+N56+M56+L56+K56+J56+I56</f>
        <v>41245</v>
      </c>
      <c r="R56" s="13">
        <f>Q56+H56</f>
        <v>63401</v>
      </c>
    </row>
    <row r="57" spans="2:18" ht="17.25" customHeight="1" x14ac:dyDescent="0.25">
      <c r="B57" s="22">
        <v>26</v>
      </c>
      <c r="C57" s="7">
        <v>23125112</v>
      </c>
      <c r="D57" s="71">
        <v>16532791</v>
      </c>
      <c r="E57" s="70">
        <v>29491972</v>
      </c>
      <c r="F57" s="72">
        <v>29165139</v>
      </c>
      <c r="G57" s="7">
        <v>17476125</v>
      </c>
      <c r="H57" s="8"/>
      <c r="I57" s="7">
        <v>6609611</v>
      </c>
      <c r="J57" s="7">
        <v>29069653</v>
      </c>
      <c r="K57" s="7">
        <v>9718600</v>
      </c>
      <c r="L57" s="7">
        <v>14369903</v>
      </c>
      <c r="M57" s="7">
        <v>22225284</v>
      </c>
      <c r="N57" s="7">
        <v>27482284</v>
      </c>
      <c r="O57" s="7">
        <v>8867833</v>
      </c>
      <c r="P57" s="7">
        <v>8111690</v>
      </c>
      <c r="Q57" s="9"/>
      <c r="R57" s="10"/>
    </row>
    <row r="58" spans="2:18" ht="17.25" customHeight="1" x14ac:dyDescent="0.25">
      <c r="B58" s="11" t="s">
        <v>47</v>
      </c>
      <c r="C58" s="62">
        <f>C57-C55</f>
        <v>1029</v>
      </c>
      <c r="D58" s="62">
        <f t="shared" si="6"/>
        <v>911</v>
      </c>
      <c r="E58" s="62">
        <f t="shared" si="6"/>
        <v>2495</v>
      </c>
      <c r="F58" s="62">
        <f t="shared" si="6"/>
        <v>3163</v>
      </c>
      <c r="G58" s="62">
        <f t="shared" si="6"/>
        <v>16129</v>
      </c>
      <c r="H58" s="76">
        <f>G58+F58+E58+D58+C58</f>
        <v>23727</v>
      </c>
      <c r="I58" s="64">
        <f>I57-I55</f>
        <v>1757</v>
      </c>
      <c r="J58" s="64">
        <f t="shared" si="7"/>
        <v>9672</v>
      </c>
      <c r="K58" s="64">
        <f t="shared" si="7"/>
        <v>4183</v>
      </c>
      <c r="L58" s="64">
        <f t="shared" si="7"/>
        <v>4746</v>
      </c>
      <c r="M58" s="64">
        <f t="shared" si="7"/>
        <v>9055</v>
      </c>
      <c r="N58" s="64">
        <f t="shared" si="7"/>
        <v>7432</v>
      </c>
      <c r="O58" s="64">
        <f t="shared" si="7"/>
        <v>1497</v>
      </c>
      <c r="P58" s="64">
        <f t="shared" si="7"/>
        <v>2310</v>
      </c>
      <c r="Q58" s="77">
        <f>P58+O58+N58+M58+L58+K58+J58+I58</f>
        <v>40652</v>
      </c>
      <c r="R58" s="13">
        <f>Q58+H58</f>
        <v>64379</v>
      </c>
    </row>
    <row r="59" spans="2:18" ht="17.25" customHeight="1" x14ac:dyDescent="0.25">
      <c r="B59" s="22">
        <v>27</v>
      </c>
      <c r="C59" s="7">
        <v>23129579</v>
      </c>
      <c r="D59" s="7">
        <v>16533681</v>
      </c>
      <c r="E59" s="7">
        <v>29494298</v>
      </c>
      <c r="F59" s="7">
        <v>29168307</v>
      </c>
      <c r="G59" s="7">
        <v>17488703</v>
      </c>
      <c r="H59" s="8"/>
      <c r="I59" s="7">
        <v>6611309</v>
      </c>
      <c r="J59" s="7">
        <v>29079591</v>
      </c>
      <c r="K59" s="7">
        <v>9722787</v>
      </c>
      <c r="L59" s="39">
        <v>14374751</v>
      </c>
      <c r="M59" s="7">
        <v>22234732</v>
      </c>
      <c r="N59" s="7">
        <v>27489816</v>
      </c>
      <c r="O59" s="7">
        <v>8869388</v>
      </c>
      <c r="P59" s="75">
        <v>8114350</v>
      </c>
      <c r="Q59" s="9"/>
      <c r="R59" s="10"/>
    </row>
    <row r="60" spans="2:18" ht="17.25" customHeight="1" x14ac:dyDescent="0.25">
      <c r="B60" s="11" t="s">
        <v>47</v>
      </c>
      <c r="C60" s="62">
        <f>C59-C57</f>
        <v>4467</v>
      </c>
      <c r="D60" s="62">
        <f>D59-D57</f>
        <v>890</v>
      </c>
      <c r="E60" s="62">
        <f>E59-E57</f>
        <v>2326</v>
      </c>
      <c r="F60" s="62">
        <f>F59-F57</f>
        <v>3168</v>
      </c>
      <c r="G60" s="62">
        <f>G59-G57</f>
        <v>12578</v>
      </c>
      <c r="H60" s="76">
        <f>G60+F60+E60+D60+C60</f>
        <v>23429</v>
      </c>
      <c r="I60" s="64">
        <f t="shared" ref="I60:P60" si="8">I59-I57</f>
        <v>1698</v>
      </c>
      <c r="J60" s="64">
        <f t="shared" si="8"/>
        <v>9938</v>
      </c>
      <c r="K60" s="64">
        <f t="shared" si="8"/>
        <v>4187</v>
      </c>
      <c r="L60" s="64">
        <f t="shared" si="8"/>
        <v>4848</v>
      </c>
      <c r="M60" s="64">
        <f t="shared" si="8"/>
        <v>9448</v>
      </c>
      <c r="N60" s="64">
        <f t="shared" si="8"/>
        <v>7532</v>
      </c>
      <c r="O60" s="64">
        <f t="shared" si="8"/>
        <v>1555</v>
      </c>
      <c r="P60" s="64">
        <f t="shared" si="8"/>
        <v>2660</v>
      </c>
      <c r="Q60" s="77">
        <f>P60+O60+N60+M60+L60+K60+J60+I60</f>
        <v>41866</v>
      </c>
      <c r="R60" s="13">
        <f>Q60+H60</f>
        <v>65295</v>
      </c>
    </row>
    <row r="61" spans="2:18" ht="17.25" customHeight="1" x14ac:dyDescent="0.25">
      <c r="B61" s="22">
        <v>28</v>
      </c>
      <c r="C61" s="7">
        <v>23133413</v>
      </c>
      <c r="D61" s="7">
        <v>16534582</v>
      </c>
      <c r="E61" s="7">
        <v>29496731</v>
      </c>
      <c r="F61" s="7">
        <v>29170925</v>
      </c>
      <c r="G61" s="7">
        <v>17501244</v>
      </c>
      <c r="H61" s="8"/>
      <c r="I61" s="7">
        <v>6612981</v>
      </c>
      <c r="J61" s="7">
        <v>29089572</v>
      </c>
      <c r="K61" s="7">
        <v>9726986</v>
      </c>
      <c r="L61" s="39">
        <v>14379705</v>
      </c>
      <c r="M61" s="7">
        <v>22243990</v>
      </c>
      <c r="N61" s="7">
        <v>27497196</v>
      </c>
      <c r="O61" s="7">
        <v>8870804</v>
      </c>
      <c r="P61" s="7">
        <v>8117150</v>
      </c>
      <c r="Q61" s="9"/>
      <c r="R61" s="10"/>
    </row>
    <row r="62" spans="2:18" ht="17.25" customHeight="1" x14ac:dyDescent="0.25">
      <c r="B62" s="11" t="s">
        <v>47</v>
      </c>
      <c r="C62" s="62">
        <f>C61-C59</f>
        <v>3834</v>
      </c>
      <c r="D62" s="62">
        <f>D61-D59</f>
        <v>901</v>
      </c>
      <c r="E62" s="62">
        <f>E61-E59</f>
        <v>2433</v>
      </c>
      <c r="F62" s="62">
        <f>F61-F59</f>
        <v>2618</v>
      </c>
      <c r="G62" s="62">
        <f>G61-G59</f>
        <v>12541</v>
      </c>
      <c r="H62" s="76">
        <f>G62+F62+E62+D62+C62</f>
        <v>22327</v>
      </c>
      <c r="I62" s="64">
        <f t="shared" ref="I62:P62" si="9">I61-I59</f>
        <v>1672</v>
      </c>
      <c r="J62" s="64">
        <f t="shared" si="9"/>
        <v>9981</v>
      </c>
      <c r="K62" s="64">
        <f t="shared" si="9"/>
        <v>4199</v>
      </c>
      <c r="L62" s="64">
        <f t="shared" si="9"/>
        <v>4954</v>
      </c>
      <c r="M62" s="64">
        <f t="shared" si="9"/>
        <v>9258</v>
      </c>
      <c r="N62" s="64">
        <f t="shared" si="9"/>
        <v>7380</v>
      </c>
      <c r="O62" s="64">
        <f t="shared" si="9"/>
        <v>1416</v>
      </c>
      <c r="P62" s="64">
        <f t="shared" si="9"/>
        <v>2800</v>
      </c>
      <c r="Q62" s="77">
        <f>P62+O62+N62+M62+L62+K62+J62+I62</f>
        <v>41660</v>
      </c>
      <c r="R62" s="13">
        <f>Q62+H62</f>
        <v>63987</v>
      </c>
    </row>
    <row r="63" spans="2:18" x14ac:dyDescent="0.25">
      <c r="C63" s="50"/>
      <c r="D63" s="50"/>
      <c r="E63" s="50"/>
      <c r="F63" s="50"/>
      <c r="G63" s="50"/>
    </row>
  </sheetData>
  <mergeCells count="7">
    <mergeCell ref="R5:R6"/>
    <mergeCell ref="N3:P4"/>
    <mergeCell ref="B5:B6"/>
    <mergeCell ref="F2:M2"/>
    <mergeCell ref="F3:M3"/>
    <mergeCell ref="Q5:Q6"/>
    <mergeCell ref="H5:H6"/>
  </mergeCells>
  <printOptions horizontalCentered="1"/>
  <pageMargins left="0.2" right="0.2" top="0.25" bottom="0.25" header="0.05" footer="0.05"/>
  <pageSetup paperSize="9" scale="7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B1:U62"/>
  <sheetViews>
    <sheetView zoomScaleNormal="100" zoomScaleSheetLayoutView="100" workbookViewId="0">
      <pane ySplit="6" topLeftCell="A7" activePane="bottomLeft" state="frozen"/>
      <selection activeCell="M15" activeCellId="2" sqref="N15 M19 M15"/>
      <selection pane="bottomLeft" activeCell="W23" sqref="W23"/>
    </sheetView>
  </sheetViews>
  <sheetFormatPr defaultRowHeight="15" x14ac:dyDescent="0.25"/>
  <cols>
    <col min="1" max="1" width="1" style="1" customWidth="1"/>
    <col min="2" max="5" width="10.5703125" style="1" customWidth="1"/>
    <col min="6" max="6" width="14.28515625" style="1" customWidth="1"/>
    <col min="7" max="12" width="10.5703125" style="1" customWidth="1"/>
    <col min="13" max="13" width="15.42578125" style="1" customWidth="1"/>
    <col min="14" max="14" width="16.140625" style="1" bestFit="1" customWidth="1"/>
    <col min="15" max="15" width="9.140625" style="1"/>
    <col min="16" max="16" width="12.42578125" style="1" customWidth="1"/>
    <col min="17" max="17" width="13.85546875" style="1" customWidth="1"/>
    <col min="18" max="19" width="9.140625" style="1"/>
    <col min="20" max="20" width="18.140625" style="1" customWidth="1"/>
    <col min="21" max="21" width="12.42578125" style="1" customWidth="1"/>
    <col min="22" max="16384" width="9.140625" style="1"/>
  </cols>
  <sheetData>
    <row r="1" spans="2:21" ht="12" customHeight="1" x14ac:dyDescent="0.25"/>
    <row r="2" spans="2:21" ht="19.5" customHeight="1" x14ac:dyDescent="0.25">
      <c r="F2" s="93" t="s">
        <v>34</v>
      </c>
      <c r="G2" s="93"/>
      <c r="H2" s="93"/>
      <c r="I2" s="93"/>
      <c r="J2" s="93"/>
      <c r="K2" s="20"/>
      <c r="L2" s="20"/>
    </row>
    <row r="3" spans="2:21" ht="21" customHeight="1" x14ac:dyDescent="0.25">
      <c r="F3" s="106" t="s">
        <v>48</v>
      </c>
      <c r="G3" s="106"/>
      <c r="H3" s="106"/>
      <c r="I3" s="106"/>
      <c r="J3" s="106"/>
      <c r="K3" s="21"/>
      <c r="L3" s="21"/>
      <c r="M3" s="90" t="s">
        <v>36</v>
      </c>
      <c r="N3" s="90"/>
    </row>
    <row r="4" spans="2:21" ht="15" customHeight="1" thickBot="1" x14ac:dyDescent="0.3"/>
    <row r="5" spans="2:21" ht="30.75" customHeight="1" thickTop="1" x14ac:dyDescent="0.25">
      <c r="B5" s="100" t="s">
        <v>37</v>
      </c>
      <c r="C5" s="4" t="s">
        <v>49</v>
      </c>
      <c r="D5" s="4" t="s">
        <v>50</v>
      </c>
      <c r="E5" s="4" t="s">
        <v>51</v>
      </c>
      <c r="F5" s="102" t="s">
        <v>52</v>
      </c>
      <c r="G5" s="4" t="s">
        <v>53</v>
      </c>
      <c r="H5" s="4" t="s">
        <v>54</v>
      </c>
      <c r="I5" s="4" t="s">
        <v>55</v>
      </c>
      <c r="J5" s="4" t="s">
        <v>56</v>
      </c>
      <c r="K5" s="4" t="s">
        <v>57</v>
      </c>
      <c r="L5" s="4" t="s">
        <v>43</v>
      </c>
      <c r="M5" s="107" t="s">
        <v>58</v>
      </c>
      <c r="N5" s="109" t="s">
        <v>59</v>
      </c>
      <c r="O5" s="6"/>
      <c r="P5" s="104" t="s">
        <v>1</v>
      </c>
      <c r="Q5" s="104" t="s">
        <v>8</v>
      </c>
      <c r="R5" s="104" t="s">
        <v>9</v>
      </c>
      <c r="S5" s="104" t="s">
        <v>10</v>
      </c>
    </row>
    <row r="6" spans="2:21" ht="15.75" customHeight="1" x14ac:dyDescent="0.25">
      <c r="B6" s="101"/>
      <c r="C6" s="3">
        <v>130465</v>
      </c>
      <c r="D6" s="3">
        <v>130460</v>
      </c>
      <c r="E6" s="3">
        <v>130461</v>
      </c>
      <c r="F6" s="103"/>
      <c r="G6" s="3">
        <v>130464</v>
      </c>
      <c r="H6" s="3">
        <v>130456</v>
      </c>
      <c r="I6" s="3">
        <v>130457</v>
      </c>
      <c r="J6" s="3">
        <v>130458</v>
      </c>
      <c r="K6" s="3">
        <v>130459</v>
      </c>
      <c r="L6" s="3">
        <v>130466</v>
      </c>
      <c r="M6" s="108"/>
      <c r="N6" s="110"/>
      <c r="O6" s="6"/>
      <c r="P6" s="105"/>
      <c r="Q6" s="105"/>
      <c r="R6" s="105"/>
      <c r="S6" s="105"/>
      <c r="T6" s="99" t="s">
        <v>60</v>
      </c>
      <c r="U6" s="99"/>
    </row>
    <row r="7" spans="2:21" ht="17.25" customHeight="1" x14ac:dyDescent="0.25">
      <c r="B7" s="22">
        <v>1</v>
      </c>
      <c r="C7" s="42">
        <v>8347</v>
      </c>
      <c r="D7" s="42">
        <v>532</v>
      </c>
      <c r="E7" s="39">
        <v>46762</v>
      </c>
      <c r="F7" s="17"/>
      <c r="G7" s="45">
        <v>300323</v>
      </c>
      <c r="H7" s="44">
        <v>168777</v>
      </c>
      <c r="I7" s="19">
        <v>187023</v>
      </c>
      <c r="J7" s="44">
        <v>29116</v>
      </c>
      <c r="K7" s="86">
        <v>640468</v>
      </c>
      <c r="L7" s="45">
        <v>6745</v>
      </c>
      <c r="M7" s="18"/>
      <c r="N7" s="15"/>
      <c r="P7" s="51">
        <v>1</v>
      </c>
      <c r="Q7" s="52">
        <v>132</v>
      </c>
      <c r="R7" s="7">
        <v>398</v>
      </c>
      <c r="S7" s="7">
        <v>1.2</v>
      </c>
      <c r="T7" s="54">
        <v>130461</v>
      </c>
      <c r="U7" s="54" t="s">
        <v>61</v>
      </c>
    </row>
    <row r="8" spans="2:21" ht="17.25" customHeight="1" x14ac:dyDescent="0.25">
      <c r="B8" s="11" t="s">
        <v>47</v>
      </c>
      <c r="C8" s="12">
        <f>C7-8344</f>
        <v>3</v>
      </c>
      <c r="D8" s="12">
        <f>D7-532</f>
        <v>0</v>
      </c>
      <c r="E8" s="12">
        <f>E7-46762</f>
        <v>0</v>
      </c>
      <c r="F8" s="79">
        <f>E8+D8+C8</f>
        <v>3</v>
      </c>
      <c r="G8" s="47">
        <f>G7-300181</f>
        <v>142</v>
      </c>
      <c r="H8" s="47">
        <f>H7-168760</f>
        <v>17</v>
      </c>
      <c r="I8" s="47">
        <f>I7-186950</f>
        <v>73</v>
      </c>
      <c r="J8" s="47">
        <f>J7-28824</f>
        <v>292</v>
      </c>
      <c r="K8" s="47">
        <f>K7-640434</f>
        <v>34</v>
      </c>
      <c r="L8" s="47">
        <f>L7-6718</f>
        <v>27</v>
      </c>
      <c r="M8" s="78">
        <f>L8+K8+J8+I8+H8+G8</f>
        <v>585</v>
      </c>
      <c r="N8" s="48">
        <f>M8+F8</f>
        <v>588</v>
      </c>
      <c r="P8" s="51">
        <v>2</v>
      </c>
      <c r="Q8" s="52">
        <v>156</v>
      </c>
      <c r="R8" s="7">
        <v>570</v>
      </c>
      <c r="S8" s="7">
        <v>1.3</v>
      </c>
    </row>
    <row r="9" spans="2:21" ht="17.25" customHeight="1" x14ac:dyDescent="0.25">
      <c r="B9" s="22">
        <v>2</v>
      </c>
      <c r="C9" s="42">
        <v>8347</v>
      </c>
      <c r="D9" s="42">
        <v>532</v>
      </c>
      <c r="E9" s="39">
        <v>46762</v>
      </c>
      <c r="F9" s="17"/>
      <c r="G9" s="7">
        <v>300458</v>
      </c>
      <c r="H9" s="7">
        <v>168794</v>
      </c>
      <c r="I9" s="19">
        <v>187112</v>
      </c>
      <c r="J9" s="44">
        <v>29426</v>
      </c>
      <c r="K9" s="50">
        <v>640524</v>
      </c>
      <c r="L9" s="45">
        <v>6776</v>
      </c>
      <c r="M9" s="18"/>
      <c r="N9" s="16"/>
      <c r="P9" s="51">
        <v>3</v>
      </c>
      <c r="Q9" s="52">
        <v>138</v>
      </c>
      <c r="R9" s="7">
        <v>498</v>
      </c>
      <c r="S9" s="7">
        <v>0.8</v>
      </c>
    </row>
    <row r="10" spans="2:21" ht="17.25" customHeight="1" x14ac:dyDescent="0.25">
      <c r="B10" s="11" t="s">
        <v>47</v>
      </c>
      <c r="C10" s="12">
        <f>C9-C7</f>
        <v>0</v>
      </c>
      <c r="D10" s="12">
        <f t="shared" ref="D10:E32" si="0">D9-D7</f>
        <v>0</v>
      </c>
      <c r="E10" s="12">
        <f t="shared" si="0"/>
        <v>0</v>
      </c>
      <c r="F10" s="79">
        <f>E10+D10+C10</f>
        <v>0</v>
      </c>
      <c r="G10" s="12">
        <f>G9-G7</f>
        <v>135</v>
      </c>
      <c r="H10" s="12">
        <f t="shared" ref="H10:L20" si="1">H9-H7</f>
        <v>17</v>
      </c>
      <c r="I10" s="12">
        <f t="shared" si="1"/>
        <v>89</v>
      </c>
      <c r="J10" s="12">
        <f t="shared" si="1"/>
        <v>310</v>
      </c>
      <c r="K10" s="12">
        <f t="shared" si="1"/>
        <v>56</v>
      </c>
      <c r="L10" s="12">
        <f t="shared" si="1"/>
        <v>31</v>
      </c>
      <c r="M10" s="78">
        <f>L10+K10+J10+I10+H10+G10</f>
        <v>638</v>
      </c>
      <c r="N10" s="48">
        <f>M10+F10</f>
        <v>638</v>
      </c>
      <c r="P10" s="51">
        <v>4</v>
      </c>
      <c r="Q10" s="52">
        <v>104</v>
      </c>
      <c r="R10" s="7">
        <v>320</v>
      </c>
      <c r="S10" s="7">
        <v>0.1</v>
      </c>
    </row>
    <row r="11" spans="2:21" ht="17.25" customHeight="1" x14ac:dyDescent="0.25">
      <c r="B11" s="22">
        <v>3</v>
      </c>
      <c r="C11" s="42">
        <v>8347</v>
      </c>
      <c r="D11" s="42">
        <v>532</v>
      </c>
      <c r="E11" s="39">
        <v>46762</v>
      </c>
      <c r="F11" s="17"/>
      <c r="G11" s="7">
        <v>300591</v>
      </c>
      <c r="H11" s="7">
        <v>168811</v>
      </c>
      <c r="I11" s="19">
        <v>187190</v>
      </c>
      <c r="J11" s="44">
        <v>29743</v>
      </c>
      <c r="K11" s="50">
        <v>640573</v>
      </c>
      <c r="L11" s="45">
        <v>6800</v>
      </c>
      <c r="M11" s="18"/>
      <c r="N11" s="16"/>
      <c r="P11" s="51">
        <v>5</v>
      </c>
      <c r="Q11" s="52">
        <v>99</v>
      </c>
      <c r="R11" s="7">
        <v>262</v>
      </c>
      <c r="S11" s="7">
        <v>0.3</v>
      </c>
    </row>
    <row r="12" spans="2:21" ht="17.25" customHeight="1" x14ac:dyDescent="0.25">
      <c r="B12" s="11" t="s">
        <v>47</v>
      </c>
      <c r="C12" s="12">
        <f>C11-C9</f>
        <v>0</v>
      </c>
      <c r="D12" s="12">
        <f t="shared" si="0"/>
        <v>0</v>
      </c>
      <c r="E12" s="12">
        <f t="shared" si="0"/>
        <v>0</v>
      </c>
      <c r="F12" s="79">
        <f>E12+D12+C12</f>
        <v>0</v>
      </c>
      <c r="G12" s="12">
        <f>G11-G9</f>
        <v>133</v>
      </c>
      <c r="H12" s="12">
        <f t="shared" si="1"/>
        <v>17</v>
      </c>
      <c r="I12" s="12">
        <f t="shared" si="1"/>
        <v>78</v>
      </c>
      <c r="J12" s="12">
        <f t="shared" si="1"/>
        <v>317</v>
      </c>
      <c r="K12" s="12">
        <f t="shared" si="1"/>
        <v>49</v>
      </c>
      <c r="L12" s="12">
        <f t="shared" si="1"/>
        <v>24</v>
      </c>
      <c r="M12" s="78">
        <f>L12+K12+J12+I12+H12+G12</f>
        <v>618</v>
      </c>
      <c r="N12" s="48">
        <f>M12+F12</f>
        <v>618</v>
      </c>
      <c r="P12" s="51">
        <v>6</v>
      </c>
      <c r="Q12" s="52">
        <v>127</v>
      </c>
      <c r="R12" s="7">
        <v>310</v>
      </c>
      <c r="S12" s="7">
        <v>0.6</v>
      </c>
    </row>
    <row r="13" spans="2:21" ht="17.25" customHeight="1" x14ac:dyDescent="0.25">
      <c r="B13" s="55">
        <v>4</v>
      </c>
      <c r="C13" s="42">
        <v>8347</v>
      </c>
      <c r="D13" s="42">
        <v>532</v>
      </c>
      <c r="E13" s="39">
        <v>46762</v>
      </c>
      <c r="F13" s="17"/>
      <c r="G13" s="7">
        <v>300728</v>
      </c>
      <c r="H13" s="7">
        <v>168828</v>
      </c>
      <c r="I13" s="19">
        <v>187271</v>
      </c>
      <c r="J13" s="44">
        <v>30041</v>
      </c>
      <c r="K13" s="50">
        <v>640619</v>
      </c>
      <c r="L13" s="45">
        <v>6829</v>
      </c>
      <c r="M13" s="18"/>
      <c r="N13" s="16"/>
      <c r="P13" s="51">
        <v>7</v>
      </c>
      <c r="Q13" s="52">
        <v>116</v>
      </c>
      <c r="R13" s="7">
        <v>294</v>
      </c>
      <c r="S13" s="7">
        <v>3</v>
      </c>
    </row>
    <row r="14" spans="2:21" ht="17.25" customHeight="1" x14ac:dyDescent="0.25">
      <c r="B14" s="11" t="s">
        <v>47</v>
      </c>
      <c r="C14" s="12">
        <f>C13-C11</f>
        <v>0</v>
      </c>
      <c r="D14" s="12">
        <f t="shared" si="0"/>
        <v>0</v>
      </c>
      <c r="E14" s="12">
        <f t="shared" si="0"/>
        <v>0</v>
      </c>
      <c r="F14" s="79">
        <f>E14+D14+C14</f>
        <v>0</v>
      </c>
      <c r="G14" s="12">
        <f>G13-G11</f>
        <v>137</v>
      </c>
      <c r="H14" s="12">
        <f t="shared" si="1"/>
        <v>17</v>
      </c>
      <c r="I14" s="12">
        <f t="shared" si="1"/>
        <v>81</v>
      </c>
      <c r="J14" s="12">
        <f t="shared" si="1"/>
        <v>298</v>
      </c>
      <c r="K14" s="12">
        <f t="shared" si="1"/>
        <v>46</v>
      </c>
      <c r="L14" s="12">
        <f t="shared" si="1"/>
        <v>29</v>
      </c>
      <c r="M14" s="78">
        <f>L14+K14+J14+I14+H14+G14</f>
        <v>608</v>
      </c>
      <c r="N14" s="48">
        <f>M14+F14</f>
        <v>608</v>
      </c>
      <c r="P14" s="51">
        <v>8</v>
      </c>
      <c r="Q14" s="52">
        <v>113</v>
      </c>
      <c r="R14" s="7">
        <v>350</v>
      </c>
      <c r="S14" s="7">
        <v>0.9</v>
      </c>
    </row>
    <row r="15" spans="2:21" ht="17.25" customHeight="1" x14ac:dyDescent="0.25">
      <c r="B15" s="22">
        <v>5</v>
      </c>
      <c r="C15" s="42">
        <v>8347</v>
      </c>
      <c r="D15" s="42">
        <v>532</v>
      </c>
      <c r="E15" s="39">
        <v>46762</v>
      </c>
      <c r="F15" s="17"/>
      <c r="G15" s="7">
        <v>300864</v>
      </c>
      <c r="H15" s="7">
        <v>168843</v>
      </c>
      <c r="I15" s="19">
        <v>187337</v>
      </c>
      <c r="J15" s="44">
        <v>30313</v>
      </c>
      <c r="K15" s="50">
        <v>640657</v>
      </c>
      <c r="L15" s="45">
        <v>6847</v>
      </c>
      <c r="M15" s="18"/>
      <c r="N15" s="16"/>
      <c r="P15" s="51">
        <v>9</v>
      </c>
      <c r="Q15" s="52">
        <v>122</v>
      </c>
      <c r="R15" s="7">
        <v>448</v>
      </c>
      <c r="S15" s="7">
        <v>0.3</v>
      </c>
    </row>
    <row r="16" spans="2:21" ht="17.25" customHeight="1" x14ac:dyDescent="0.25">
      <c r="B16" s="11" t="s">
        <v>47</v>
      </c>
      <c r="C16" s="12">
        <f>C15-C13</f>
        <v>0</v>
      </c>
      <c r="D16" s="12">
        <f t="shared" si="0"/>
        <v>0</v>
      </c>
      <c r="E16" s="12">
        <f t="shared" si="0"/>
        <v>0</v>
      </c>
      <c r="F16" s="79">
        <f>E16+D16+C16</f>
        <v>0</v>
      </c>
      <c r="G16" s="12">
        <f>G15-G13</f>
        <v>136</v>
      </c>
      <c r="H16" s="12">
        <f t="shared" si="1"/>
        <v>15</v>
      </c>
      <c r="I16" s="12">
        <f t="shared" si="1"/>
        <v>66</v>
      </c>
      <c r="J16" s="12">
        <f t="shared" si="1"/>
        <v>272</v>
      </c>
      <c r="K16" s="12">
        <f t="shared" si="1"/>
        <v>38</v>
      </c>
      <c r="L16" s="12">
        <f t="shared" si="1"/>
        <v>18</v>
      </c>
      <c r="M16" s="78">
        <f>L16+K16+J16+I16+H16+G16</f>
        <v>545</v>
      </c>
      <c r="N16" s="48">
        <f>M16+F16</f>
        <v>545</v>
      </c>
      <c r="P16" s="51">
        <v>10</v>
      </c>
      <c r="Q16" s="52">
        <v>127</v>
      </c>
      <c r="R16" s="7">
        <v>522</v>
      </c>
      <c r="S16" s="7">
        <v>0</v>
      </c>
    </row>
    <row r="17" spans="2:19" ht="17.25" customHeight="1" x14ac:dyDescent="0.25">
      <c r="B17" s="22">
        <v>6</v>
      </c>
      <c r="C17" s="42">
        <v>8347</v>
      </c>
      <c r="D17" s="42">
        <v>532</v>
      </c>
      <c r="E17" s="39">
        <v>46762</v>
      </c>
      <c r="F17" s="17"/>
      <c r="G17" s="7">
        <v>301002</v>
      </c>
      <c r="H17" s="7">
        <v>168858</v>
      </c>
      <c r="I17" s="19">
        <v>187412</v>
      </c>
      <c r="J17" s="44">
        <v>30600</v>
      </c>
      <c r="K17" s="50">
        <v>640694</v>
      </c>
      <c r="L17" s="45">
        <v>6873</v>
      </c>
      <c r="M17" s="18"/>
      <c r="N17" s="16"/>
      <c r="P17" s="51">
        <v>11</v>
      </c>
      <c r="Q17" s="52">
        <v>173</v>
      </c>
      <c r="R17" s="7">
        <v>626</v>
      </c>
      <c r="S17" s="7">
        <v>0.3</v>
      </c>
    </row>
    <row r="18" spans="2:19" ht="17.25" customHeight="1" x14ac:dyDescent="0.25">
      <c r="B18" s="11" t="s">
        <v>47</v>
      </c>
      <c r="C18" s="12">
        <f>C17-C15</f>
        <v>0</v>
      </c>
      <c r="D18" s="12">
        <f t="shared" si="0"/>
        <v>0</v>
      </c>
      <c r="E18" s="12">
        <f t="shared" si="0"/>
        <v>0</v>
      </c>
      <c r="F18" s="79">
        <f>E18+D18+C18</f>
        <v>0</v>
      </c>
      <c r="G18" s="12">
        <f>G17-G15</f>
        <v>138</v>
      </c>
      <c r="H18" s="12">
        <f t="shared" si="1"/>
        <v>15</v>
      </c>
      <c r="I18" s="12">
        <f t="shared" si="1"/>
        <v>75</v>
      </c>
      <c r="J18" s="12">
        <f t="shared" si="1"/>
        <v>287</v>
      </c>
      <c r="K18" s="12">
        <f t="shared" si="1"/>
        <v>37</v>
      </c>
      <c r="L18" s="12">
        <f t="shared" si="1"/>
        <v>26</v>
      </c>
      <c r="M18" s="78">
        <f>L18+K18+J18+I18+H18+G18</f>
        <v>578</v>
      </c>
      <c r="N18" s="48">
        <f>M18+F18</f>
        <v>578</v>
      </c>
      <c r="P18" s="51">
        <v>12</v>
      </c>
      <c r="Q18" s="52">
        <v>184</v>
      </c>
      <c r="R18" s="7">
        <v>616</v>
      </c>
      <c r="S18" s="7">
        <v>0.5</v>
      </c>
    </row>
    <row r="19" spans="2:19" ht="17.25" customHeight="1" x14ac:dyDescent="0.25">
      <c r="B19" s="22">
        <v>7</v>
      </c>
      <c r="C19" s="42">
        <v>8347</v>
      </c>
      <c r="D19" s="42">
        <v>540</v>
      </c>
      <c r="E19" s="39">
        <v>46762</v>
      </c>
      <c r="F19" s="17"/>
      <c r="G19" s="7">
        <v>301138</v>
      </c>
      <c r="H19" s="7">
        <v>168873</v>
      </c>
      <c r="I19" s="19">
        <v>187492</v>
      </c>
      <c r="J19" s="44">
        <v>30873</v>
      </c>
      <c r="K19" s="50">
        <v>640730</v>
      </c>
      <c r="L19" s="45">
        <v>6900</v>
      </c>
      <c r="M19" s="18"/>
      <c r="N19" s="16"/>
      <c r="P19" s="51">
        <v>13</v>
      </c>
      <c r="Q19" s="52">
        <v>139</v>
      </c>
      <c r="R19" s="7">
        <v>474</v>
      </c>
      <c r="S19" s="7">
        <v>2.2000000000000002</v>
      </c>
    </row>
    <row r="20" spans="2:19" ht="17.25" customHeight="1" x14ac:dyDescent="0.25">
      <c r="B20" s="11" t="s">
        <v>47</v>
      </c>
      <c r="C20" s="12">
        <f>C19-C17</f>
        <v>0</v>
      </c>
      <c r="D20" s="12">
        <f t="shared" si="0"/>
        <v>8</v>
      </c>
      <c r="E20" s="12">
        <f t="shared" si="0"/>
        <v>0</v>
      </c>
      <c r="F20" s="79">
        <f>E20+D20+C20</f>
        <v>8</v>
      </c>
      <c r="G20" s="12">
        <f>G19-G17</f>
        <v>136</v>
      </c>
      <c r="H20" s="12">
        <f t="shared" si="1"/>
        <v>15</v>
      </c>
      <c r="I20" s="12">
        <f t="shared" si="1"/>
        <v>80</v>
      </c>
      <c r="J20" s="12">
        <f t="shared" si="1"/>
        <v>273</v>
      </c>
      <c r="K20" s="12">
        <f t="shared" si="1"/>
        <v>36</v>
      </c>
      <c r="L20" s="12">
        <f t="shared" si="1"/>
        <v>27</v>
      </c>
      <c r="M20" s="78">
        <f>L20+K20+J20+I20+H20+G20</f>
        <v>567</v>
      </c>
      <c r="N20" s="48">
        <f>M20+F20</f>
        <v>575</v>
      </c>
      <c r="P20" s="51">
        <v>14</v>
      </c>
      <c r="Q20" s="52">
        <v>150</v>
      </c>
      <c r="R20" s="7">
        <v>486</v>
      </c>
      <c r="S20" s="7">
        <v>2.2000000000000002</v>
      </c>
    </row>
    <row r="21" spans="2:19" ht="17.25" customHeight="1" x14ac:dyDescent="0.25">
      <c r="B21" s="22">
        <v>8</v>
      </c>
      <c r="C21" s="42">
        <v>8347</v>
      </c>
      <c r="D21" s="42">
        <v>542</v>
      </c>
      <c r="E21" s="39">
        <v>46762</v>
      </c>
      <c r="F21" s="17"/>
      <c r="G21" s="7">
        <v>301274</v>
      </c>
      <c r="H21" s="7">
        <v>168888</v>
      </c>
      <c r="I21" s="19">
        <v>187573</v>
      </c>
      <c r="J21" s="44">
        <v>31171</v>
      </c>
      <c r="K21" s="50">
        <v>640769</v>
      </c>
      <c r="L21" s="45">
        <v>6926</v>
      </c>
      <c r="M21" s="18"/>
      <c r="N21" s="16"/>
      <c r="P21" s="51">
        <v>15</v>
      </c>
      <c r="Q21" s="52">
        <v>127</v>
      </c>
      <c r="R21" s="7">
        <v>438</v>
      </c>
      <c r="S21" s="7">
        <v>2.8</v>
      </c>
    </row>
    <row r="22" spans="2:19" ht="17.25" customHeight="1" x14ac:dyDescent="0.25">
      <c r="B22" s="11" t="s">
        <v>47</v>
      </c>
      <c r="C22" s="12">
        <f>C21-C19</f>
        <v>0</v>
      </c>
      <c r="D22" s="12">
        <f t="shared" si="0"/>
        <v>2</v>
      </c>
      <c r="E22" s="12">
        <f t="shared" si="0"/>
        <v>0</v>
      </c>
      <c r="F22" s="79">
        <f>E22+D22+C22</f>
        <v>2</v>
      </c>
      <c r="G22" s="12">
        <f>G21-G19</f>
        <v>136</v>
      </c>
      <c r="H22" s="12">
        <f t="shared" ref="H22:L32" si="2">H21-H19</f>
        <v>15</v>
      </c>
      <c r="I22" s="12">
        <f t="shared" si="2"/>
        <v>81</v>
      </c>
      <c r="J22" s="12">
        <f t="shared" si="2"/>
        <v>298</v>
      </c>
      <c r="K22" s="12">
        <f t="shared" si="2"/>
        <v>39</v>
      </c>
      <c r="L22" s="12">
        <f t="shared" si="2"/>
        <v>26</v>
      </c>
      <c r="M22" s="78">
        <f>L22+K22+J22+I22+H22+G22</f>
        <v>595</v>
      </c>
      <c r="N22" s="48">
        <f>M22+F22</f>
        <v>597</v>
      </c>
      <c r="P22" s="51">
        <v>16</v>
      </c>
      <c r="Q22" s="52">
        <v>163</v>
      </c>
      <c r="R22" s="7">
        <v>590</v>
      </c>
      <c r="S22" s="7">
        <v>0.8</v>
      </c>
    </row>
    <row r="23" spans="2:19" ht="17.25" customHeight="1" x14ac:dyDescent="0.25">
      <c r="B23" s="22">
        <v>9</v>
      </c>
      <c r="C23" s="42">
        <v>8347</v>
      </c>
      <c r="D23" s="42">
        <v>542</v>
      </c>
      <c r="E23" s="39">
        <v>46762</v>
      </c>
      <c r="F23" s="17"/>
      <c r="G23" s="7">
        <v>301416</v>
      </c>
      <c r="H23" s="7">
        <v>168906</v>
      </c>
      <c r="I23" s="19">
        <v>187660</v>
      </c>
      <c r="J23" s="44">
        <v>31500</v>
      </c>
      <c r="K23" s="50">
        <v>640816</v>
      </c>
      <c r="L23" s="45">
        <v>6950</v>
      </c>
      <c r="M23" s="18"/>
      <c r="N23" s="16"/>
      <c r="P23" s="51">
        <v>17</v>
      </c>
      <c r="Q23" s="52">
        <v>128</v>
      </c>
      <c r="R23" s="7">
        <v>476</v>
      </c>
      <c r="S23" s="7">
        <v>0.3</v>
      </c>
    </row>
    <row r="24" spans="2:19" ht="17.25" customHeight="1" x14ac:dyDescent="0.25">
      <c r="B24" s="11" t="s">
        <v>47</v>
      </c>
      <c r="C24" s="12">
        <f>C23-C21</f>
        <v>0</v>
      </c>
      <c r="D24" s="12">
        <f t="shared" si="0"/>
        <v>0</v>
      </c>
      <c r="E24" s="12">
        <f t="shared" si="0"/>
        <v>0</v>
      </c>
      <c r="F24" s="79">
        <f>E24+D24+C24</f>
        <v>0</v>
      </c>
      <c r="G24" s="12">
        <f>G23-G21</f>
        <v>142</v>
      </c>
      <c r="H24" s="12">
        <f t="shared" si="2"/>
        <v>18</v>
      </c>
      <c r="I24" s="12">
        <f t="shared" si="2"/>
        <v>87</v>
      </c>
      <c r="J24" s="12">
        <f t="shared" si="2"/>
        <v>329</v>
      </c>
      <c r="K24" s="12">
        <f t="shared" si="2"/>
        <v>47</v>
      </c>
      <c r="L24" s="12">
        <f t="shared" si="2"/>
        <v>24</v>
      </c>
      <c r="M24" s="78">
        <f>L24+K24+J24+I24+H24+G24</f>
        <v>647</v>
      </c>
      <c r="N24" s="48">
        <f>M24+F24</f>
        <v>647</v>
      </c>
      <c r="P24" s="51">
        <v>18</v>
      </c>
      <c r="Q24" s="52">
        <v>140</v>
      </c>
      <c r="R24" s="7">
        <v>414</v>
      </c>
      <c r="S24" s="7">
        <v>0</v>
      </c>
    </row>
    <row r="25" spans="2:19" ht="17.25" customHeight="1" x14ac:dyDescent="0.25">
      <c r="B25" s="22">
        <v>10</v>
      </c>
      <c r="C25" s="42">
        <v>8347</v>
      </c>
      <c r="D25" s="42">
        <v>542</v>
      </c>
      <c r="E25" s="39">
        <v>46762</v>
      </c>
      <c r="F25" s="17"/>
      <c r="G25" s="41">
        <v>301560</v>
      </c>
      <c r="H25" s="41">
        <v>168919</v>
      </c>
      <c r="I25" s="19">
        <v>187749</v>
      </c>
      <c r="J25" s="41">
        <v>31823</v>
      </c>
      <c r="K25" s="50">
        <v>640866</v>
      </c>
      <c r="L25" s="45">
        <v>6976</v>
      </c>
      <c r="M25" s="18"/>
      <c r="N25" s="16"/>
      <c r="P25" s="51">
        <v>19</v>
      </c>
      <c r="Q25" s="52">
        <v>213</v>
      </c>
      <c r="R25" s="7">
        <v>506</v>
      </c>
      <c r="S25" s="7">
        <v>0.3</v>
      </c>
    </row>
    <row r="26" spans="2:19" ht="17.25" customHeight="1" x14ac:dyDescent="0.25">
      <c r="B26" s="11" t="s">
        <v>47</v>
      </c>
      <c r="C26" s="12">
        <f>C25-C23</f>
        <v>0</v>
      </c>
      <c r="D26" s="12">
        <f t="shared" si="0"/>
        <v>0</v>
      </c>
      <c r="E26" s="12">
        <f t="shared" si="0"/>
        <v>0</v>
      </c>
      <c r="F26" s="79">
        <f>E26+D26+C26</f>
        <v>0</v>
      </c>
      <c r="G26" s="12">
        <f>G25-G23</f>
        <v>144</v>
      </c>
      <c r="H26" s="12">
        <f t="shared" si="2"/>
        <v>13</v>
      </c>
      <c r="I26" s="12">
        <f t="shared" si="2"/>
        <v>89</v>
      </c>
      <c r="J26" s="12">
        <f t="shared" si="2"/>
        <v>323</v>
      </c>
      <c r="K26" s="12">
        <f t="shared" si="2"/>
        <v>50</v>
      </c>
      <c r="L26" s="12">
        <f t="shared" si="2"/>
        <v>26</v>
      </c>
      <c r="M26" s="78">
        <f>L26+K26+J26+I26+H26+G26</f>
        <v>645</v>
      </c>
      <c r="N26" s="48">
        <f>M26+F26</f>
        <v>645</v>
      </c>
      <c r="P26" s="51">
        <v>20</v>
      </c>
      <c r="Q26" s="52">
        <v>209</v>
      </c>
      <c r="R26" s="7">
        <v>494</v>
      </c>
      <c r="S26" s="7">
        <v>0.5</v>
      </c>
    </row>
    <row r="27" spans="2:19" ht="17.25" customHeight="1" x14ac:dyDescent="0.25">
      <c r="B27" s="22">
        <v>11</v>
      </c>
      <c r="C27" s="42">
        <v>8347</v>
      </c>
      <c r="D27" s="42">
        <v>542</v>
      </c>
      <c r="E27" s="39">
        <v>46762</v>
      </c>
      <c r="F27" s="17"/>
      <c r="G27" s="41">
        <v>301697</v>
      </c>
      <c r="H27" s="41">
        <v>168936</v>
      </c>
      <c r="I27" s="19">
        <v>187828</v>
      </c>
      <c r="J27" s="41">
        <v>32109</v>
      </c>
      <c r="K27" s="50">
        <v>640916</v>
      </c>
      <c r="L27" s="45">
        <v>7001</v>
      </c>
      <c r="M27" s="18"/>
      <c r="N27" s="16"/>
      <c r="P27" s="51">
        <v>21</v>
      </c>
      <c r="Q27" s="52">
        <v>205</v>
      </c>
      <c r="R27" s="7">
        <v>542</v>
      </c>
      <c r="S27" s="7">
        <v>1.3</v>
      </c>
    </row>
    <row r="28" spans="2:19" ht="17.25" customHeight="1" x14ac:dyDescent="0.25">
      <c r="B28" s="11" t="s">
        <v>47</v>
      </c>
      <c r="C28" s="12">
        <f>C27-C25</f>
        <v>0</v>
      </c>
      <c r="D28" s="12">
        <f t="shared" si="0"/>
        <v>0</v>
      </c>
      <c r="E28" s="12">
        <f t="shared" si="0"/>
        <v>0</v>
      </c>
      <c r="F28" s="79">
        <f>E28+D28+C28</f>
        <v>0</v>
      </c>
      <c r="G28" s="12">
        <f>G27-G25</f>
        <v>137</v>
      </c>
      <c r="H28" s="12">
        <f t="shared" si="2"/>
        <v>17</v>
      </c>
      <c r="I28" s="12">
        <f t="shared" si="2"/>
        <v>79</v>
      </c>
      <c r="J28" s="12">
        <f t="shared" si="2"/>
        <v>286</v>
      </c>
      <c r="K28" s="12">
        <f t="shared" si="2"/>
        <v>50</v>
      </c>
      <c r="L28" s="12">
        <f t="shared" si="2"/>
        <v>25</v>
      </c>
      <c r="M28" s="78">
        <f>L28+K28+J28+I28+H28+G28</f>
        <v>594</v>
      </c>
      <c r="N28" s="48">
        <f>M28+F28</f>
        <v>594</v>
      </c>
      <c r="P28" s="51">
        <v>22</v>
      </c>
      <c r="Q28" s="52">
        <v>164</v>
      </c>
      <c r="R28" s="7">
        <v>538</v>
      </c>
      <c r="S28" s="7">
        <v>1.9</v>
      </c>
    </row>
    <row r="29" spans="2:19" ht="17.25" customHeight="1" x14ac:dyDescent="0.25">
      <c r="B29" s="22">
        <v>12</v>
      </c>
      <c r="C29" s="42">
        <v>8347</v>
      </c>
      <c r="D29" s="42">
        <v>542</v>
      </c>
      <c r="E29" s="39">
        <v>46762</v>
      </c>
      <c r="F29" s="17"/>
      <c r="G29" s="41">
        <v>301836</v>
      </c>
      <c r="H29" s="41">
        <v>168951</v>
      </c>
      <c r="I29" s="19">
        <v>187901</v>
      </c>
      <c r="J29" s="41">
        <v>32431</v>
      </c>
      <c r="K29" s="50">
        <v>640967</v>
      </c>
      <c r="L29" s="45">
        <v>7028</v>
      </c>
      <c r="M29" s="18"/>
      <c r="N29" s="16"/>
      <c r="P29" s="51">
        <v>23</v>
      </c>
      <c r="Q29" s="52">
        <v>205</v>
      </c>
      <c r="R29" s="7">
        <v>736</v>
      </c>
      <c r="S29" s="7">
        <v>2.7</v>
      </c>
    </row>
    <row r="30" spans="2:19" ht="17.25" customHeight="1" x14ac:dyDescent="0.25">
      <c r="B30" s="11" t="s">
        <v>47</v>
      </c>
      <c r="C30" s="12">
        <f>C29-C27</f>
        <v>0</v>
      </c>
      <c r="D30" s="12">
        <f t="shared" si="0"/>
        <v>0</v>
      </c>
      <c r="E30" s="12">
        <f t="shared" si="0"/>
        <v>0</v>
      </c>
      <c r="F30" s="79">
        <f>E30+D30+C30</f>
        <v>0</v>
      </c>
      <c r="G30" s="12">
        <f>G29-G27</f>
        <v>139</v>
      </c>
      <c r="H30" s="12">
        <f t="shared" si="2"/>
        <v>15</v>
      </c>
      <c r="I30" s="12">
        <f t="shared" si="2"/>
        <v>73</v>
      </c>
      <c r="J30" s="12">
        <f t="shared" si="2"/>
        <v>322</v>
      </c>
      <c r="K30" s="12">
        <f t="shared" si="2"/>
        <v>51</v>
      </c>
      <c r="L30" s="12">
        <f t="shared" si="2"/>
        <v>27</v>
      </c>
      <c r="M30" s="78">
        <f>L30+K30+J30+I30+H30+G30</f>
        <v>627</v>
      </c>
      <c r="N30" s="48">
        <f>M30+F30</f>
        <v>627</v>
      </c>
      <c r="P30" s="51">
        <v>24</v>
      </c>
      <c r="Q30" s="52">
        <v>224</v>
      </c>
      <c r="R30" s="7">
        <v>764</v>
      </c>
      <c r="S30" s="7">
        <v>2.7</v>
      </c>
    </row>
    <row r="31" spans="2:19" ht="17.25" customHeight="1" x14ac:dyDescent="0.25">
      <c r="B31" s="22">
        <v>13</v>
      </c>
      <c r="C31" s="42">
        <v>8347</v>
      </c>
      <c r="D31" s="42">
        <v>542</v>
      </c>
      <c r="E31" s="39">
        <v>46762</v>
      </c>
      <c r="F31" s="17"/>
      <c r="G31" s="41">
        <v>301973</v>
      </c>
      <c r="H31" s="41">
        <v>168966</v>
      </c>
      <c r="I31" s="19">
        <v>187983</v>
      </c>
      <c r="J31" s="41">
        <v>32744</v>
      </c>
      <c r="K31" s="50">
        <v>641016</v>
      </c>
      <c r="L31" s="45">
        <v>7053</v>
      </c>
      <c r="M31" s="18"/>
      <c r="N31" s="16"/>
      <c r="P31" s="51">
        <v>25</v>
      </c>
      <c r="Q31" s="52">
        <v>221</v>
      </c>
      <c r="R31" s="7">
        <v>674</v>
      </c>
      <c r="S31" s="7">
        <v>3</v>
      </c>
    </row>
    <row r="32" spans="2:19" ht="17.25" customHeight="1" x14ac:dyDescent="0.25">
      <c r="B32" s="11" t="s">
        <v>47</v>
      </c>
      <c r="C32" s="12">
        <f>C31-C29</f>
        <v>0</v>
      </c>
      <c r="D32" s="12">
        <f t="shared" si="0"/>
        <v>0</v>
      </c>
      <c r="E32" s="12">
        <f t="shared" si="0"/>
        <v>0</v>
      </c>
      <c r="F32" s="79">
        <f>E32+D32+C32</f>
        <v>0</v>
      </c>
      <c r="G32" s="12">
        <f>G31-G29</f>
        <v>137</v>
      </c>
      <c r="H32" s="12">
        <f t="shared" si="2"/>
        <v>15</v>
      </c>
      <c r="I32" s="12">
        <f t="shared" si="2"/>
        <v>82</v>
      </c>
      <c r="J32" s="12">
        <f t="shared" si="2"/>
        <v>313</v>
      </c>
      <c r="K32" s="12">
        <f t="shared" si="2"/>
        <v>49</v>
      </c>
      <c r="L32" s="12">
        <f t="shared" si="2"/>
        <v>25</v>
      </c>
      <c r="M32" s="78">
        <f>L32+K32+J32+I32+H32+G32</f>
        <v>621</v>
      </c>
      <c r="N32" s="48">
        <f>M32+F32</f>
        <v>621</v>
      </c>
      <c r="P32" s="51">
        <v>26</v>
      </c>
      <c r="Q32" s="52">
        <v>221</v>
      </c>
      <c r="R32" s="7">
        <v>702</v>
      </c>
      <c r="S32" s="7">
        <v>3.2</v>
      </c>
    </row>
    <row r="33" spans="2:19" ht="17.25" customHeight="1" x14ac:dyDescent="0.25">
      <c r="B33" s="22">
        <v>14</v>
      </c>
      <c r="C33" s="42">
        <v>8347</v>
      </c>
      <c r="D33" s="42">
        <v>542</v>
      </c>
      <c r="E33" s="39">
        <v>46762</v>
      </c>
      <c r="F33" s="17"/>
      <c r="G33" s="41">
        <v>302114</v>
      </c>
      <c r="H33" s="41">
        <v>168983</v>
      </c>
      <c r="I33" s="19">
        <v>188074</v>
      </c>
      <c r="J33" s="41">
        <v>33075</v>
      </c>
      <c r="K33" s="50">
        <v>641062</v>
      </c>
      <c r="L33" s="45">
        <v>7073</v>
      </c>
      <c r="M33" s="18"/>
      <c r="N33" s="16"/>
      <c r="P33" s="51">
        <v>27</v>
      </c>
      <c r="Q33" s="52">
        <v>215</v>
      </c>
      <c r="R33" s="7">
        <v>682</v>
      </c>
      <c r="S33" s="7">
        <v>3.2</v>
      </c>
    </row>
    <row r="34" spans="2:19" ht="17.25" customHeight="1" x14ac:dyDescent="0.25">
      <c r="B34" s="11" t="s">
        <v>47</v>
      </c>
      <c r="C34" s="12">
        <f>C33-C31</f>
        <v>0</v>
      </c>
      <c r="D34" s="12">
        <f t="shared" ref="D34:E46" si="3">D33-D31</f>
        <v>0</v>
      </c>
      <c r="E34" s="12">
        <f t="shared" si="3"/>
        <v>0</v>
      </c>
      <c r="F34" s="79">
        <f>E34+D34+C34</f>
        <v>0</v>
      </c>
      <c r="G34" s="12">
        <f>G33-G31</f>
        <v>141</v>
      </c>
      <c r="H34" s="12">
        <f t="shared" ref="H34:L46" si="4">H33-H31</f>
        <v>17</v>
      </c>
      <c r="I34" s="12">
        <f t="shared" si="4"/>
        <v>91</v>
      </c>
      <c r="J34" s="12">
        <f t="shared" si="4"/>
        <v>331</v>
      </c>
      <c r="K34" s="12">
        <f t="shared" si="4"/>
        <v>46</v>
      </c>
      <c r="L34" s="12">
        <f t="shared" si="4"/>
        <v>20</v>
      </c>
      <c r="M34" s="78">
        <f>L34+K34+J34+I34+H34+G34</f>
        <v>646</v>
      </c>
      <c r="N34" s="48">
        <f>M34+F34</f>
        <v>646</v>
      </c>
      <c r="P34" s="51">
        <v>28</v>
      </c>
      <c r="Q34" s="52">
        <v>217</v>
      </c>
      <c r="R34" s="7">
        <v>672</v>
      </c>
      <c r="S34" s="7">
        <v>3.5</v>
      </c>
    </row>
    <row r="35" spans="2:19" ht="17.25" customHeight="1" x14ac:dyDescent="0.25">
      <c r="B35" s="22">
        <v>15</v>
      </c>
      <c r="C35" s="42">
        <v>8359</v>
      </c>
      <c r="D35" s="42">
        <v>542</v>
      </c>
      <c r="E35" s="39">
        <v>46762</v>
      </c>
      <c r="F35" s="17"/>
      <c r="G35" s="41">
        <v>302260</v>
      </c>
      <c r="H35" s="41">
        <v>168998</v>
      </c>
      <c r="I35" s="19">
        <v>188173</v>
      </c>
      <c r="J35" s="41">
        <v>33408</v>
      </c>
      <c r="K35" s="50">
        <v>641109</v>
      </c>
      <c r="L35" s="45">
        <v>7108</v>
      </c>
      <c r="M35" s="18"/>
      <c r="N35" s="16"/>
      <c r="P35" s="51"/>
      <c r="Q35" s="52"/>
      <c r="R35" s="7"/>
      <c r="S35" s="7" t="s">
        <v>67</v>
      </c>
    </row>
    <row r="36" spans="2:19" ht="17.25" customHeight="1" x14ac:dyDescent="0.25">
      <c r="B36" s="11" t="s">
        <v>47</v>
      </c>
      <c r="C36" s="12">
        <f>C35-C33</f>
        <v>12</v>
      </c>
      <c r="D36" s="12">
        <f t="shared" si="3"/>
        <v>0</v>
      </c>
      <c r="E36" s="12">
        <f t="shared" si="3"/>
        <v>0</v>
      </c>
      <c r="F36" s="79">
        <f>E36+D36+C36</f>
        <v>12</v>
      </c>
      <c r="G36" s="12">
        <f>G35-G33</f>
        <v>146</v>
      </c>
      <c r="H36" s="12">
        <f t="shared" si="4"/>
        <v>15</v>
      </c>
      <c r="I36" s="12">
        <f t="shared" si="4"/>
        <v>99</v>
      </c>
      <c r="J36" s="12">
        <f t="shared" si="4"/>
        <v>333</v>
      </c>
      <c r="K36" s="12">
        <f t="shared" si="4"/>
        <v>47</v>
      </c>
      <c r="L36" s="12">
        <f t="shared" si="4"/>
        <v>35</v>
      </c>
      <c r="M36" s="78">
        <f>L36+K36+J36+I36+H36+G36</f>
        <v>675</v>
      </c>
      <c r="N36" s="48">
        <f>M36+F36</f>
        <v>687</v>
      </c>
      <c r="P36" s="51"/>
      <c r="Q36" s="52"/>
      <c r="R36" s="7"/>
      <c r="S36" s="7"/>
    </row>
    <row r="37" spans="2:19" ht="17.25" customHeight="1" x14ac:dyDescent="0.25">
      <c r="B37" s="22">
        <v>16</v>
      </c>
      <c r="C37" s="42">
        <v>8359</v>
      </c>
      <c r="D37" s="42">
        <v>542</v>
      </c>
      <c r="E37" s="39">
        <v>46762</v>
      </c>
      <c r="F37" s="17"/>
      <c r="G37" s="41">
        <v>302390</v>
      </c>
      <c r="H37" s="41">
        <v>169014</v>
      </c>
      <c r="I37" s="19">
        <v>188173</v>
      </c>
      <c r="J37" s="41">
        <v>33781</v>
      </c>
      <c r="K37" s="50">
        <v>641159</v>
      </c>
      <c r="L37" s="45">
        <v>7142</v>
      </c>
      <c r="M37" s="18"/>
      <c r="N37" s="16"/>
      <c r="P37" s="51"/>
      <c r="Q37" s="52"/>
      <c r="R37" s="7"/>
      <c r="S37" s="7"/>
    </row>
    <row r="38" spans="2:19" ht="17.25" customHeight="1" x14ac:dyDescent="0.25">
      <c r="B38" s="11" t="s">
        <v>47</v>
      </c>
      <c r="C38" s="12">
        <f>C37-C35</f>
        <v>0</v>
      </c>
      <c r="D38" s="12">
        <f t="shared" si="3"/>
        <v>0</v>
      </c>
      <c r="E38" s="12">
        <f t="shared" si="3"/>
        <v>0</v>
      </c>
      <c r="F38" s="79">
        <f>E38+D38+C38</f>
        <v>0</v>
      </c>
      <c r="G38" s="12">
        <f>G37-G35</f>
        <v>130</v>
      </c>
      <c r="H38" s="12">
        <f t="shared" si="4"/>
        <v>16</v>
      </c>
      <c r="I38" s="12">
        <f t="shared" si="4"/>
        <v>0</v>
      </c>
      <c r="J38" s="12">
        <f t="shared" si="4"/>
        <v>373</v>
      </c>
      <c r="K38" s="12">
        <f t="shared" si="4"/>
        <v>50</v>
      </c>
      <c r="L38" s="12">
        <f t="shared" si="4"/>
        <v>34</v>
      </c>
      <c r="M38" s="78">
        <f>L38+K38+J38+I38+H38+G38</f>
        <v>603</v>
      </c>
      <c r="N38" s="48">
        <f>M38+F38</f>
        <v>603</v>
      </c>
      <c r="P38" s="32"/>
      <c r="Q38" s="53"/>
      <c r="R38" s="50"/>
      <c r="S38" s="50"/>
    </row>
    <row r="39" spans="2:19" ht="17.25" customHeight="1" x14ac:dyDescent="0.25">
      <c r="B39" s="22">
        <v>17</v>
      </c>
      <c r="C39" s="42">
        <v>8359</v>
      </c>
      <c r="D39" s="42">
        <v>542</v>
      </c>
      <c r="E39" s="39">
        <v>46762</v>
      </c>
      <c r="F39" s="17"/>
      <c r="G39" s="19">
        <v>302526</v>
      </c>
      <c r="H39" s="19">
        <v>169029</v>
      </c>
      <c r="I39" s="19">
        <v>188339</v>
      </c>
      <c r="J39" s="44">
        <v>34111</v>
      </c>
      <c r="K39" s="50">
        <v>641215</v>
      </c>
      <c r="L39" s="45">
        <v>7159</v>
      </c>
      <c r="M39" s="18"/>
      <c r="N39" s="16"/>
    </row>
    <row r="40" spans="2:19" ht="17.25" customHeight="1" x14ac:dyDescent="0.25">
      <c r="B40" s="11" t="s">
        <v>47</v>
      </c>
      <c r="C40" s="12">
        <f>C39-C37</f>
        <v>0</v>
      </c>
      <c r="D40" s="12">
        <f t="shared" si="3"/>
        <v>0</v>
      </c>
      <c r="E40" s="12">
        <f t="shared" si="3"/>
        <v>0</v>
      </c>
      <c r="F40" s="79">
        <f>E40+D40+C40</f>
        <v>0</v>
      </c>
      <c r="G40" s="12">
        <f>G39-G37</f>
        <v>136</v>
      </c>
      <c r="H40" s="12">
        <f t="shared" si="4"/>
        <v>15</v>
      </c>
      <c r="I40" s="12">
        <f t="shared" si="4"/>
        <v>166</v>
      </c>
      <c r="J40" s="12">
        <f t="shared" si="4"/>
        <v>330</v>
      </c>
      <c r="K40" s="12">
        <f t="shared" si="4"/>
        <v>56</v>
      </c>
      <c r="L40" s="12">
        <f t="shared" si="4"/>
        <v>17</v>
      </c>
      <c r="M40" s="78">
        <f>L40+K40+J40+I40+H40+G40</f>
        <v>720</v>
      </c>
      <c r="N40" s="48">
        <f>M40+F40</f>
        <v>720</v>
      </c>
      <c r="P40" s="32"/>
      <c r="Q40" s="53"/>
      <c r="R40" s="50"/>
      <c r="S40" s="50"/>
    </row>
    <row r="41" spans="2:19" ht="17.25" customHeight="1" x14ac:dyDescent="0.25">
      <c r="B41" s="22">
        <v>18</v>
      </c>
      <c r="C41" s="42">
        <v>8359</v>
      </c>
      <c r="D41" s="42">
        <v>542</v>
      </c>
      <c r="E41" s="39">
        <v>46762</v>
      </c>
      <c r="F41" s="17"/>
      <c r="G41" s="19">
        <v>302671</v>
      </c>
      <c r="H41" s="19">
        <v>169044</v>
      </c>
      <c r="I41" s="19">
        <v>188429</v>
      </c>
      <c r="J41" s="44">
        <v>34439</v>
      </c>
      <c r="K41" s="50">
        <v>641260</v>
      </c>
      <c r="L41" s="45">
        <v>7183</v>
      </c>
      <c r="M41" s="18"/>
      <c r="N41" s="16"/>
    </row>
    <row r="42" spans="2:19" ht="17.25" customHeight="1" x14ac:dyDescent="0.25">
      <c r="B42" s="11" t="s">
        <v>47</v>
      </c>
      <c r="C42" s="12">
        <f>C41-C39</f>
        <v>0</v>
      </c>
      <c r="D42" s="12">
        <f t="shared" si="3"/>
        <v>0</v>
      </c>
      <c r="E42" s="12">
        <f t="shared" si="3"/>
        <v>0</v>
      </c>
      <c r="F42" s="79">
        <f>E42+D42+C42</f>
        <v>0</v>
      </c>
      <c r="G42" s="12">
        <f>G41-G39</f>
        <v>145</v>
      </c>
      <c r="H42" s="12">
        <f t="shared" si="4"/>
        <v>15</v>
      </c>
      <c r="I42" s="12">
        <f t="shared" si="4"/>
        <v>90</v>
      </c>
      <c r="J42" s="12">
        <f t="shared" si="4"/>
        <v>328</v>
      </c>
      <c r="K42" s="12">
        <f t="shared" si="4"/>
        <v>45</v>
      </c>
      <c r="L42" s="12">
        <f t="shared" si="4"/>
        <v>24</v>
      </c>
      <c r="M42" s="78">
        <f>L42+K42+J42+I42+H42+G42</f>
        <v>647</v>
      </c>
      <c r="N42" s="48">
        <f>M42+F42</f>
        <v>647</v>
      </c>
      <c r="P42" s="32"/>
      <c r="Q42" s="53"/>
      <c r="R42" s="50"/>
      <c r="S42" s="50"/>
    </row>
    <row r="43" spans="2:19" ht="17.25" customHeight="1" x14ac:dyDescent="0.25">
      <c r="B43" s="22">
        <v>19</v>
      </c>
      <c r="C43" s="42">
        <v>8359</v>
      </c>
      <c r="D43" s="42">
        <v>542</v>
      </c>
      <c r="E43" s="39">
        <v>46762</v>
      </c>
      <c r="F43" s="17"/>
      <c r="G43" s="19">
        <v>302806</v>
      </c>
      <c r="H43" s="19">
        <v>169059</v>
      </c>
      <c r="I43" s="19">
        <v>188503</v>
      </c>
      <c r="J43" s="44">
        <v>34747</v>
      </c>
      <c r="K43" s="50">
        <v>641305</v>
      </c>
      <c r="L43" s="45">
        <v>7206</v>
      </c>
      <c r="M43" s="18"/>
      <c r="N43" s="16"/>
    </row>
    <row r="44" spans="2:19" ht="17.25" customHeight="1" x14ac:dyDescent="0.25">
      <c r="B44" s="11" t="s">
        <v>47</v>
      </c>
      <c r="C44" s="12">
        <f>C43-C41</f>
        <v>0</v>
      </c>
      <c r="D44" s="12">
        <f t="shared" si="3"/>
        <v>0</v>
      </c>
      <c r="E44" s="12">
        <f t="shared" si="3"/>
        <v>0</v>
      </c>
      <c r="F44" s="79">
        <f>E44+D44+C44</f>
        <v>0</v>
      </c>
      <c r="G44" s="12">
        <f>G43-G41</f>
        <v>135</v>
      </c>
      <c r="H44" s="12">
        <f t="shared" si="4"/>
        <v>15</v>
      </c>
      <c r="I44" s="12">
        <f t="shared" si="4"/>
        <v>74</v>
      </c>
      <c r="J44" s="12">
        <f t="shared" si="4"/>
        <v>308</v>
      </c>
      <c r="K44" s="12">
        <f t="shared" si="4"/>
        <v>45</v>
      </c>
      <c r="L44" s="12">
        <f t="shared" si="4"/>
        <v>23</v>
      </c>
      <c r="M44" s="78">
        <f>L44+K44+J44+I44+H44+G44</f>
        <v>600</v>
      </c>
      <c r="N44" s="48">
        <f>M44+F44</f>
        <v>600</v>
      </c>
      <c r="P44" s="32"/>
      <c r="Q44" s="53"/>
      <c r="R44" s="50"/>
      <c r="S44" s="50"/>
    </row>
    <row r="45" spans="2:19" ht="17.25" customHeight="1" x14ac:dyDescent="0.25">
      <c r="B45" s="22">
        <v>20</v>
      </c>
      <c r="C45" s="42">
        <v>8359</v>
      </c>
      <c r="D45" s="42">
        <v>542</v>
      </c>
      <c r="E45" s="39">
        <v>46762</v>
      </c>
      <c r="F45" s="17"/>
      <c r="G45" s="19">
        <v>302946</v>
      </c>
      <c r="H45" s="19">
        <v>169074</v>
      </c>
      <c r="I45" s="19">
        <v>188587</v>
      </c>
      <c r="J45" s="44">
        <v>35027</v>
      </c>
      <c r="K45" s="50">
        <v>641349</v>
      </c>
      <c r="L45" s="45">
        <v>7248</v>
      </c>
      <c r="M45" s="18"/>
      <c r="N45" s="16"/>
    </row>
    <row r="46" spans="2:19" ht="17.25" customHeight="1" x14ac:dyDescent="0.25">
      <c r="B46" s="11" t="s">
        <v>47</v>
      </c>
      <c r="C46" s="12">
        <f>C45-C43</f>
        <v>0</v>
      </c>
      <c r="D46" s="12">
        <f t="shared" si="3"/>
        <v>0</v>
      </c>
      <c r="E46" s="12">
        <f t="shared" si="3"/>
        <v>0</v>
      </c>
      <c r="F46" s="79">
        <f>E46+D46+C46</f>
        <v>0</v>
      </c>
      <c r="G46" s="12">
        <f>G45-G43</f>
        <v>140</v>
      </c>
      <c r="H46" s="12">
        <f t="shared" si="4"/>
        <v>15</v>
      </c>
      <c r="I46" s="12">
        <f t="shared" si="4"/>
        <v>84</v>
      </c>
      <c r="J46" s="12">
        <f t="shared" si="4"/>
        <v>280</v>
      </c>
      <c r="K46" s="12">
        <f t="shared" si="4"/>
        <v>44</v>
      </c>
      <c r="L46" s="12">
        <f t="shared" si="4"/>
        <v>42</v>
      </c>
      <c r="M46" s="78">
        <f>L46+K46+J46+I46+H46+G46</f>
        <v>605</v>
      </c>
      <c r="N46" s="48">
        <f>M46+F46</f>
        <v>605</v>
      </c>
      <c r="P46" s="32"/>
      <c r="Q46" s="53"/>
      <c r="R46" s="50"/>
      <c r="S46" s="50"/>
    </row>
    <row r="47" spans="2:19" ht="17.25" customHeight="1" x14ac:dyDescent="0.25">
      <c r="B47" s="22">
        <v>21</v>
      </c>
      <c r="C47" s="42">
        <v>8359</v>
      </c>
      <c r="D47" s="42">
        <v>542</v>
      </c>
      <c r="E47" s="39">
        <v>46762</v>
      </c>
      <c r="F47" s="17"/>
      <c r="G47" s="19">
        <v>303086</v>
      </c>
      <c r="H47" s="19">
        <v>169089</v>
      </c>
      <c r="I47" s="19">
        <v>188674</v>
      </c>
      <c r="J47" s="44">
        <v>35327</v>
      </c>
      <c r="K47" s="50">
        <v>641403</v>
      </c>
      <c r="L47" s="45">
        <v>7277</v>
      </c>
      <c r="M47" s="18"/>
      <c r="N47" s="16"/>
    </row>
    <row r="48" spans="2:19" ht="17.25" customHeight="1" x14ac:dyDescent="0.25">
      <c r="B48" s="11" t="s">
        <v>47</v>
      </c>
      <c r="C48" s="12">
        <f>C47-C45</f>
        <v>0</v>
      </c>
      <c r="D48" s="12">
        <f t="shared" ref="D48:E58" si="5">D47-D45</f>
        <v>0</v>
      </c>
      <c r="E48" s="12">
        <f t="shared" si="5"/>
        <v>0</v>
      </c>
      <c r="F48" s="79">
        <f>E48+D48+C48</f>
        <v>0</v>
      </c>
      <c r="G48" s="12">
        <f>G47-G45</f>
        <v>140</v>
      </c>
      <c r="H48" s="12">
        <f t="shared" ref="H48:L58" si="6">H47-H45</f>
        <v>15</v>
      </c>
      <c r="I48" s="12">
        <f t="shared" si="6"/>
        <v>87</v>
      </c>
      <c r="J48" s="12">
        <f t="shared" si="6"/>
        <v>300</v>
      </c>
      <c r="K48" s="12">
        <f t="shared" si="6"/>
        <v>54</v>
      </c>
      <c r="L48" s="12">
        <f t="shared" si="6"/>
        <v>29</v>
      </c>
      <c r="M48" s="78">
        <f>L48+K48+J48+I48+H48+G48</f>
        <v>625</v>
      </c>
      <c r="N48" s="48">
        <f>M48+F48</f>
        <v>625</v>
      </c>
      <c r="P48" s="32"/>
      <c r="Q48" s="53"/>
      <c r="R48" s="50"/>
      <c r="S48" s="50"/>
    </row>
    <row r="49" spans="2:19" ht="17.25" customHeight="1" x14ac:dyDescent="0.25">
      <c r="B49" s="22">
        <v>22</v>
      </c>
      <c r="C49" s="42">
        <v>8359</v>
      </c>
      <c r="D49" s="42">
        <v>542</v>
      </c>
      <c r="E49" s="39">
        <v>46762</v>
      </c>
      <c r="F49" s="17"/>
      <c r="G49" s="19">
        <v>303226</v>
      </c>
      <c r="H49" s="19">
        <v>169106</v>
      </c>
      <c r="I49" s="19">
        <v>188769</v>
      </c>
      <c r="J49" s="44">
        <v>35629</v>
      </c>
      <c r="K49" s="50">
        <v>641448</v>
      </c>
      <c r="L49" s="45">
        <v>7309</v>
      </c>
      <c r="M49" s="18"/>
      <c r="N49" s="16"/>
    </row>
    <row r="50" spans="2:19" ht="17.25" customHeight="1" x14ac:dyDescent="0.25">
      <c r="B50" s="11" t="s">
        <v>47</v>
      </c>
      <c r="C50" s="12">
        <f>C49-C47</f>
        <v>0</v>
      </c>
      <c r="D50" s="12">
        <f t="shared" si="5"/>
        <v>0</v>
      </c>
      <c r="E50" s="12">
        <f t="shared" si="5"/>
        <v>0</v>
      </c>
      <c r="F50" s="79">
        <f>E50+D50+C50</f>
        <v>0</v>
      </c>
      <c r="G50" s="12">
        <f>G49-G47</f>
        <v>140</v>
      </c>
      <c r="H50" s="12">
        <f t="shared" si="6"/>
        <v>17</v>
      </c>
      <c r="I50" s="12">
        <f t="shared" si="6"/>
        <v>95</v>
      </c>
      <c r="J50" s="12">
        <f t="shared" si="6"/>
        <v>302</v>
      </c>
      <c r="K50" s="12">
        <f t="shared" si="6"/>
        <v>45</v>
      </c>
      <c r="L50" s="12">
        <f t="shared" si="6"/>
        <v>32</v>
      </c>
      <c r="M50" s="78">
        <f>L50+K50+J50+I50+H50+G50</f>
        <v>631</v>
      </c>
      <c r="N50" s="48">
        <f>M50+F50</f>
        <v>631</v>
      </c>
      <c r="P50" s="32"/>
      <c r="Q50" s="53"/>
      <c r="R50" s="50"/>
      <c r="S50" s="50"/>
    </row>
    <row r="51" spans="2:19" ht="17.25" customHeight="1" x14ac:dyDescent="0.25">
      <c r="B51" s="22">
        <v>23</v>
      </c>
      <c r="C51" s="42">
        <v>8359</v>
      </c>
      <c r="D51" s="42">
        <v>542</v>
      </c>
      <c r="E51" s="39">
        <v>46762</v>
      </c>
      <c r="F51" s="17"/>
      <c r="G51" s="19">
        <v>303363</v>
      </c>
      <c r="H51" s="19">
        <v>169123</v>
      </c>
      <c r="I51" s="19">
        <v>188861</v>
      </c>
      <c r="J51" s="44">
        <v>35981</v>
      </c>
      <c r="K51" s="50">
        <v>641503</v>
      </c>
      <c r="L51" s="45">
        <v>7336</v>
      </c>
      <c r="M51" s="18"/>
      <c r="N51" s="16"/>
    </row>
    <row r="52" spans="2:19" ht="17.25" customHeight="1" x14ac:dyDescent="0.25">
      <c r="B52" s="11" t="s">
        <v>47</v>
      </c>
      <c r="C52" s="12">
        <f>C51-C49</f>
        <v>0</v>
      </c>
      <c r="D52" s="12">
        <f t="shared" si="5"/>
        <v>0</v>
      </c>
      <c r="E52" s="12">
        <f t="shared" si="5"/>
        <v>0</v>
      </c>
      <c r="F52" s="79">
        <f>E52+D52+C52</f>
        <v>0</v>
      </c>
      <c r="G52" s="12">
        <f>G51-G49</f>
        <v>137</v>
      </c>
      <c r="H52" s="12">
        <f t="shared" si="6"/>
        <v>17</v>
      </c>
      <c r="I52" s="12">
        <f t="shared" si="6"/>
        <v>92</v>
      </c>
      <c r="J52" s="12">
        <f t="shared" si="6"/>
        <v>352</v>
      </c>
      <c r="K52" s="12">
        <f t="shared" si="6"/>
        <v>55</v>
      </c>
      <c r="L52" s="12">
        <f t="shared" si="6"/>
        <v>27</v>
      </c>
      <c r="M52" s="78">
        <f>L52+K52+J52+I52+H52+G52</f>
        <v>680</v>
      </c>
      <c r="N52" s="48">
        <f>M52+F52</f>
        <v>680</v>
      </c>
    </row>
    <row r="53" spans="2:19" ht="17.25" customHeight="1" x14ac:dyDescent="0.25">
      <c r="B53" s="22">
        <v>24</v>
      </c>
      <c r="C53" s="42">
        <v>8359</v>
      </c>
      <c r="D53" s="42">
        <v>542</v>
      </c>
      <c r="E53" s="39">
        <v>46762</v>
      </c>
      <c r="F53" s="17"/>
      <c r="G53" s="19">
        <v>303502</v>
      </c>
      <c r="H53" s="19">
        <v>169140</v>
      </c>
      <c r="I53" s="60">
        <v>188957</v>
      </c>
      <c r="J53" s="44">
        <v>36354</v>
      </c>
      <c r="K53" s="50">
        <v>641570</v>
      </c>
      <c r="L53" s="45">
        <v>7367</v>
      </c>
      <c r="M53" s="18"/>
      <c r="N53" s="16"/>
    </row>
    <row r="54" spans="2:19" ht="17.25" customHeight="1" x14ac:dyDescent="0.25">
      <c r="B54" s="11" t="s">
        <v>47</v>
      </c>
      <c r="C54" s="12">
        <f>C53-C51</f>
        <v>0</v>
      </c>
      <c r="D54" s="12">
        <f t="shared" si="5"/>
        <v>0</v>
      </c>
      <c r="E54" s="12">
        <f t="shared" si="5"/>
        <v>0</v>
      </c>
      <c r="F54" s="79">
        <f>E54+D54+C54</f>
        <v>0</v>
      </c>
      <c r="G54" s="12">
        <f>G53-G51</f>
        <v>139</v>
      </c>
      <c r="H54" s="12">
        <f t="shared" si="6"/>
        <v>17</v>
      </c>
      <c r="I54" s="12">
        <f t="shared" si="6"/>
        <v>96</v>
      </c>
      <c r="J54" s="12">
        <f t="shared" si="6"/>
        <v>373</v>
      </c>
      <c r="K54" s="12">
        <f t="shared" si="6"/>
        <v>67</v>
      </c>
      <c r="L54" s="12">
        <f t="shared" si="6"/>
        <v>31</v>
      </c>
      <c r="M54" s="78">
        <f>L54+K54+J54+I54+H54+G54</f>
        <v>723</v>
      </c>
      <c r="N54" s="48">
        <f>M54+F54</f>
        <v>723</v>
      </c>
    </row>
    <row r="55" spans="2:19" ht="17.25" customHeight="1" x14ac:dyDescent="0.25">
      <c r="B55" s="22">
        <v>25</v>
      </c>
      <c r="C55" s="42">
        <v>8359</v>
      </c>
      <c r="D55" s="42">
        <v>542</v>
      </c>
      <c r="E55" s="39">
        <v>46762</v>
      </c>
      <c r="F55" s="17"/>
      <c r="G55" s="19">
        <v>303648</v>
      </c>
      <c r="H55" s="19">
        <v>169158</v>
      </c>
      <c r="I55" s="60">
        <v>189047</v>
      </c>
      <c r="J55" s="44">
        <v>36684</v>
      </c>
      <c r="K55" s="50">
        <v>641640</v>
      </c>
      <c r="L55" s="45">
        <v>7395</v>
      </c>
      <c r="M55" s="18"/>
      <c r="N55" s="16"/>
    </row>
    <row r="56" spans="2:19" ht="17.25" customHeight="1" x14ac:dyDescent="0.25">
      <c r="B56" s="11" t="s">
        <v>47</v>
      </c>
      <c r="C56" s="12">
        <f>C55-C53</f>
        <v>0</v>
      </c>
      <c r="D56" s="12">
        <f t="shared" si="5"/>
        <v>0</v>
      </c>
      <c r="E56" s="12">
        <f t="shared" si="5"/>
        <v>0</v>
      </c>
      <c r="F56" s="79">
        <f>E56+D56+C56</f>
        <v>0</v>
      </c>
      <c r="G56" s="12">
        <f>G55-G53</f>
        <v>146</v>
      </c>
      <c r="H56" s="12">
        <f t="shared" si="6"/>
        <v>18</v>
      </c>
      <c r="I56" s="12">
        <f t="shared" si="6"/>
        <v>90</v>
      </c>
      <c r="J56" s="12">
        <f t="shared" si="6"/>
        <v>330</v>
      </c>
      <c r="K56" s="12">
        <f t="shared" si="6"/>
        <v>70</v>
      </c>
      <c r="L56" s="12">
        <f t="shared" si="6"/>
        <v>28</v>
      </c>
      <c r="M56" s="78">
        <f>L56+K56+J56+I56+H56+G56</f>
        <v>682</v>
      </c>
      <c r="N56" s="48">
        <f>M56+F56</f>
        <v>682</v>
      </c>
    </row>
    <row r="57" spans="2:19" ht="17.25" customHeight="1" x14ac:dyDescent="0.25">
      <c r="B57" s="22">
        <v>26</v>
      </c>
      <c r="C57" s="42">
        <v>8359</v>
      </c>
      <c r="D57" s="42">
        <v>542</v>
      </c>
      <c r="E57" s="39">
        <v>46762</v>
      </c>
      <c r="F57" s="17"/>
      <c r="G57" s="19">
        <v>303789</v>
      </c>
      <c r="H57" s="19">
        <v>169174</v>
      </c>
      <c r="I57" s="60">
        <v>189128</v>
      </c>
      <c r="J57" s="44">
        <v>37032</v>
      </c>
      <c r="K57" s="50">
        <v>641707</v>
      </c>
      <c r="L57" s="45">
        <v>7420</v>
      </c>
      <c r="M57" s="18"/>
      <c r="N57" s="16"/>
    </row>
    <row r="58" spans="2:19" ht="17.25" customHeight="1" x14ac:dyDescent="0.25">
      <c r="B58" s="11" t="s">
        <v>47</v>
      </c>
      <c r="C58" s="12">
        <f>C57-C55</f>
        <v>0</v>
      </c>
      <c r="D58" s="12">
        <f t="shared" si="5"/>
        <v>0</v>
      </c>
      <c r="E58" s="12">
        <f t="shared" si="5"/>
        <v>0</v>
      </c>
      <c r="F58" s="79">
        <f>E58+D58+C58</f>
        <v>0</v>
      </c>
      <c r="G58" s="12">
        <f>G57-G55</f>
        <v>141</v>
      </c>
      <c r="H58" s="12">
        <f t="shared" si="6"/>
        <v>16</v>
      </c>
      <c r="I58" s="12">
        <f t="shared" si="6"/>
        <v>81</v>
      </c>
      <c r="J58" s="12">
        <f t="shared" si="6"/>
        <v>348</v>
      </c>
      <c r="K58" s="12">
        <f t="shared" si="6"/>
        <v>67</v>
      </c>
      <c r="L58" s="12">
        <f t="shared" si="6"/>
        <v>25</v>
      </c>
      <c r="M58" s="78">
        <f>L58+K58+J58+I58+H58+G58</f>
        <v>678</v>
      </c>
      <c r="N58" s="48">
        <f>M58+F58</f>
        <v>678</v>
      </c>
    </row>
    <row r="59" spans="2:19" ht="17.25" customHeight="1" x14ac:dyDescent="0.25">
      <c r="B59" s="22">
        <v>27</v>
      </c>
      <c r="C59" s="42">
        <v>8359</v>
      </c>
      <c r="D59" s="42">
        <v>544</v>
      </c>
      <c r="E59" s="39">
        <v>46762</v>
      </c>
      <c r="F59" s="17"/>
      <c r="G59" s="19">
        <v>303931</v>
      </c>
      <c r="H59" s="19">
        <v>169190</v>
      </c>
      <c r="I59" s="19">
        <v>189218</v>
      </c>
      <c r="J59" s="44">
        <v>37338</v>
      </c>
      <c r="K59" s="50">
        <v>641765</v>
      </c>
      <c r="L59" s="45">
        <v>7440</v>
      </c>
      <c r="M59" s="18"/>
      <c r="N59" s="16"/>
    </row>
    <row r="60" spans="2:19" ht="17.25" customHeight="1" x14ac:dyDescent="0.25">
      <c r="B60" s="11" t="s">
        <v>47</v>
      </c>
      <c r="C60" s="12">
        <f>C59-C57</f>
        <v>0</v>
      </c>
      <c r="D60" s="12">
        <f>D59-D57</f>
        <v>2</v>
      </c>
      <c r="E60" s="12">
        <f>E59-E57</f>
        <v>0</v>
      </c>
      <c r="F60" s="79">
        <f>E60+D60+C60</f>
        <v>2</v>
      </c>
      <c r="G60" s="12">
        <f t="shared" ref="G60:L60" si="7">G59-G57</f>
        <v>142</v>
      </c>
      <c r="H60" s="12">
        <f t="shared" si="7"/>
        <v>16</v>
      </c>
      <c r="I60" s="12">
        <f t="shared" si="7"/>
        <v>90</v>
      </c>
      <c r="J60" s="12">
        <f t="shared" si="7"/>
        <v>306</v>
      </c>
      <c r="K60" s="12">
        <f t="shared" si="7"/>
        <v>58</v>
      </c>
      <c r="L60" s="12">
        <f t="shared" si="7"/>
        <v>20</v>
      </c>
      <c r="M60" s="78">
        <f>L60+K60+J60+I60+H60+G60</f>
        <v>632</v>
      </c>
      <c r="N60" s="48">
        <f>M60+F60</f>
        <v>634</v>
      </c>
    </row>
    <row r="61" spans="2:19" ht="17.25" customHeight="1" x14ac:dyDescent="0.25">
      <c r="B61" s="22">
        <v>28</v>
      </c>
      <c r="C61" s="42">
        <v>8359</v>
      </c>
      <c r="D61" s="42">
        <v>544</v>
      </c>
      <c r="E61" s="39">
        <v>46762</v>
      </c>
      <c r="F61" s="17"/>
      <c r="G61" s="19">
        <v>304075</v>
      </c>
      <c r="H61" s="19">
        <v>169208</v>
      </c>
      <c r="I61" s="19">
        <v>189308</v>
      </c>
      <c r="J61" s="44">
        <v>37662</v>
      </c>
      <c r="K61" s="50">
        <v>641816</v>
      </c>
      <c r="L61" s="45">
        <v>7461</v>
      </c>
      <c r="M61" s="18"/>
      <c r="N61" s="16"/>
    </row>
    <row r="62" spans="2:19" ht="17.25" customHeight="1" x14ac:dyDescent="0.25">
      <c r="B62" s="11" t="s">
        <v>47</v>
      </c>
      <c r="C62" s="12">
        <f>C61-C59</f>
        <v>0</v>
      </c>
      <c r="D62" s="12">
        <f>D61-D59</f>
        <v>0</v>
      </c>
      <c r="E62" s="12">
        <f>E61-E59</f>
        <v>0</v>
      </c>
      <c r="F62" s="79">
        <f>E62+D62+C62</f>
        <v>0</v>
      </c>
      <c r="G62" s="12">
        <f t="shared" ref="G62:L62" si="8">G61-G59</f>
        <v>144</v>
      </c>
      <c r="H62" s="12">
        <f t="shared" si="8"/>
        <v>18</v>
      </c>
      <c r="I62" s="12">
        <f t="shared" si="8"/>
        <v>90</v>
      </c>
      <c r="J62" s="12">
        <f t="shared" si="8"/>
        <v>324</v>
      </c>
      <c r="K62" s="12">
        <f t="shared" si="8"/>
        <v>51</v>
      </c>
      <c r="L62" s="12">
        <f t="shared" si="8"/>
        <v>21</v>
      </c>
      <c r="M62" s="78">
        <f>L62+K62+J62+I62+H62+G62</f>
        <v>648</v>
      </c>
      <c r="N62" s="48">
        <f>M62+F62</f>
        <v>648</v>
      </c>
    </row>
  </sheetData>
  <mergeCells count="12">
    <mergeCell ref="F2:J2"/>
    <mergeCell ref="F3:J3"/>
    <mergeCell ref="M5:M6"/>
    <mergeCell ref="N5:N6"/>
    <mergeCell ref="M3:N3"/>
    <mergeCell ref="T6:U6"/>
    <mergeCell ref="B5:B6"/>
    <mergeCell ref="F5:F6"/>
    <mergeCell ref="P5:P6"/>
    <mergeCell ref="Q5:Q6"/>
    <mergeCell ref="R5:R6"/>
    <mergeCell ref="S5:S6"/>
  </mergeCells>
  <printOptions horizontalCentered="1"/>
  <pageMargins left="0.2" right="0.2" top="0.25" bottom="0.25" header="0.05" footer="0.05"/>
  <pageSetup paperSize="9" scale="82" orientation="landscape" r:id="rId1"/>
  <rowBreaks count="1" manualBreakCount="1">
    <brk id="40" max="16383" man="1"/>
  </rowBreaks>
  <colBreaks count="1" manualBreakCount="1">
    <brk id="14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H64"/>
  <sheetViews>
    <sheetView zoomScaleNormal="100" workbookViewId="0">
      <pane ySplit="6" topLeftCell="A52" activePane="bottomLeft" state="frozen"/>
      <selection pane="bottomLeft" activeCell="J67" sqref="J67"/>
    </sheetView>
  </sheetViews>
  <sheetFormatPr defaultRowHeight="15" x14ac:dyDescent="0.25"/>
  <cols>
    <col min="1" max="1" width="1" style="1" customWidth="1"/>
    <col min="2" max="2" width="13.140625" style="1" customWidth="1"/>
    <col min="3" max="5" width="14.140625" style="1" customWidth="1"/>
    <col min="6" max="16384" width="9.140625" style="1"/>
  </cols>
  <sheetData>
    <row r="1" spans="2:8" ht="12" customHeight="1" x14ac:dyDescent="0.25"/>
    <row r="2" spans="2:8" ht="19.5" customHeight="1" x14ac:dyDescent="0.25">
      <c r="D2" s="33" t="s">
        <v>34</v>
      </c>
    </row>
    <row r="3" spans="2:8" ht="21" customHeight="1" x14ac:dyDescent="0.25">
      <c r="D3" s="34" t="s">
        <v>62</v>
      </c>
      <c r="F3" s="113"/>
      <c r="G3" s="113"/>
      <c r="H3" s="113"/>
    </row>
    <row r="4" spans="2:8" ht="15" customHeight="1" thickBot="1" x14ac:dyDescent="0.3">
      <c r="D4" s="114" t="s">
        <v>36</v>
      </c>
      <c r="E4" s="114"/>
      <c r="F4" s="113"/>
      <c r="G4" s="113"/>
      <c r="H4" s="113"/>
    </row>
    <row r="5" spans="2:8" ht="30.75" customHeight="1" thickTop="1" x14ac:dyDescent="0.25">
      <c r="B5" s="100" t="s">
        <v>37</v>
      </c>
      <c r="C5" s="4" t="s">
        <v>63</v>
      </c>
      <c r="D5" s="4" t="s">
        <v>64</v>
      </c>
      <c r="E5" s="111" t="s">
        <v>65</v>
      </c>
    </row>
    <row r="6" spans="2:8" ht="15.75" customHeight="1" x14ac:dyDescent="0.25">
      <c r="B6" s="101"/>
      <c r="C6" s="3" t="s">
        <v>66</v>
      </c>
      <c r="D6" s="3"/>
      <c r="E6" s="112"/>
    </row>
    <row r="7" spans="2:8" ht="17.25" customHeight="1" x14ac:dyDescent="0.25">
      <c r="B7" s="22">
        <v>1</v>
      </c>
      <c r="C7" s="42">
        <v>337246</v>
      </c>
      <c r="D7" s="43">
        <v>2386</v>
      </c>
      <c r="E7" s="49"/>
      <c r="H7" s="1" t="s">
        <v>67</v>
      </c>
    </row>
    <row r="8" spans="2:8" ht="17.25" customHeight="1" x14ac:dyDescent="0.25">
      <c r="B8" s="11" t="s">
        <v>47</v>
      </c>
      <c r="C8" s="46">
        <f>C7-336708</f>
        <v>538</v>
      </c>
      <c r="D8" s="46">
        <f>D7-2366</f>
        <v>20</v>
      </c>
      <c r="E8" s="80">
        <f>C8</f>
        <v>538</v>
      </c>
    </row>
    <row r="9" spans="2:8" ht="17.25" customHeight="1" x14ac:dyDescent="0.25">
      <c r="B9" s="22">
        <v>2</v>
      </c>
      <c r="C9" s="41">
        <v>337755</v>
      </c>
      <c r="D9" s="43">
        <v>2406</v>
      </c>
      <c r="E9" s="49"/>
    </row>
    <row r="10" spans="2:8" ht="17.25" customHeight="1" x14ac:dyDescent="0.25">
      <c r="B10" s="11" t="s">
        <v>47</v>
      </c>
      <c r="C10" s="46">
        <f>C9-C7</f>
        <v>509</v>
      </c>
      <c r="D10" s="46">
        <f>D9-D7</f>
        <v>20</v>
      </c>
      <c r="E10" s="80">
        <f>C10</f>
        <v>509</v>
      </c>
      <c r="G10"/>
      <c r="H10" s="50"/>
    </row>
    <row r="11" spans="2:8" ht="17.25" customHeight="1" x14ac:dyDescent="0.25">
      <c r="B11" s="22">
        <v>3</v>
      </c>
      <c r="C11" s="40">
        <v>338313</v>
      </c>
      <c r="D11" s="43">
        <v>2433</v>
      </c>
      <c r="E11" s="49"/>
    </row>
    <row r="12" spans="2:8" ht="17.25" customHeight="1" x14ac:dyDescent="0.25">
      <c r="B12" s="11" t="s">
        <v>47</v>
      </c>
      <c r="C12" s="46">
        <f>C11-C9</f>
        <v>558</v>
      </c>
      <c r="D12" s="46">
        <f>D11-D9</f>
        <v>27</v>
      </c>
      <c r="E12" s="80">
        <f>C12</f>
        <v>558</v>
      </c>
    </row>
    <row r="13" spans="2:8" ht="17.25" customHeight="1" x14ac:dyDescent="0.25">
      <c r="B13" s="22">
        <v>4</v>
      </c>
      <c r="C13" s="41">
        <v>338864</v>
      </c>
      <c r="D13" s="43">
        <v>2451</v>
      </c>
      <c r="E13" s="49"/>
    </row>
    <row r="14" spans="2:8" ht="17.25" customHeight="1" x14ac:dyDescent="0.25">
      <c r="B14" s="11" t="s">
        <v>47</v>
      </c>
      <c r="C14" s="46">
        <f>C13-C11</f>
        <v>551</v>
      </c>
      <c r="D14" s="46">
        <f>D13-D11</f>
        <v>18</v>
      </c>
      <c r="E14" s="80">
        <f>C14</f>
        <v>551</v>
      </c>
    </row>
    <row r="15" spans="2:8" ht="17.25" customHeight="1" x14ac:dyDescent="0.25">
      <c r="B15" s="22">
        <v>5</v>
      </c>
      <c r="C15" s="41">
        <v>339378</v>
      </c>
      <c r="D15" s="43">
        <v>2456</v>
      </c>
      <c r="E15" s="49"/>
    </row>
    <row r="16" spans="2:8" ht="17.25" customHeight="1" x14ac:dyDescent="0.25">
      <c r="B16" s="11" t="s">
        <v>47</v>
      </c>
      <c r="C16" s="46">
        <f>C15-C13</f>
        <v>514</v>
      </c>
      <c r="D16" s="46">
        <f>D15-D13</f>
        <v>5</v>
      </c>
      <c r="E16" s="80">
        <f>C16</f>
        <v>514</v>
      </c>
    </row>
    <row r="17" spans="2:5" ht="17.25" customHeight="1" x14ac:dyDescent="0.25">
      <c r="B17" s="22">
        <v>6</v>
      </c>
      <c r="C17" s="41">
        <v>339883</v>
      </c>
      <c r="D17" s="43">
        <v>2475</v>
      </c>
      <c r="E17" s="49"/>
    </row>
    <row r="18" spans="2:5" ht="17.25" customHeight="1" x14ac:dyDescent="0.25">
      <c r="B18" s="11" t="s">
        <v>47</v>
      </c>
      <c r="C18" s="46">
        <f>C17-C15</f>
        <v>505</v>
      </c>
      <c r="D18" s="46">
        <f>D17-D15</f>
        <v>19</v>
      </c>
      <c r="E18" s="80">
        <f>C18</f>
        <v>505</v>
      </c>
    </row>
    <row r="19" spans="2:5" ht="17.25" customHeight="1" x14ac:dyDescent="0.25">
      <c r="B19" s="22">
        <v>7</v>
      </c>
      <c r="C19" s="41">
        <v>340468</v>
      </c>
      <c r="D19" s="43">
        <v>2495</v>
      </c>
      <c r="E19" s="49"/>
    </row>
    <row r="20" spans="2:5" ht="17.25" customHeight="1" x14ac:dyDescent="0.25">
      <c r="B20" s="11" t="s">
        <v>47</v>
      </c>
      <c r="C20" s="46">
        <f>C19-C17</f>
        <v>585</v>
      </c>
      <c r="D20" s="46">
        <f>D19-D17</f>
        <v>20</v>
      </c>
      <c r="E20" s="80">
        <f>C20</f>
        <v>585</v>
      </c>
    </row>
    <row r="21" spans="2:5" ht="17.25" customHeight="1" x14ac:dyDescent="0.25">
      <c r="B21" s="22">
        <v>8</v>
      </c>
      <c r="C21" s="41">
        <v>340988</v>
      </c>
      <c r="D21" s="43">
        <v>2514</v>
      </c>
      <c r="E21" s="49"/>
    </row>
    <row r="22" spans="2:5" ht="17.25" customHeight="1" x14ac:dyDescent="0.25">
      <c r="B22" s="11" t="s">
        <v>47</v>
      </c>
      <c r="C22" s="46">
        <f>C21-C19</f>
        <v>520</v>
      </c>
      <c r="D22" s="46">
        <f>D21-D19</f>
        <v>19</v>
      </c>
      <c r="E22" s="80">
        <f>C22</f>
        <v>520</v>
      </c>
    </row>
    <row r="23" spans="2:5" ht="17.25" customHeight="1" x14ac:dyDescent="0.25">
      <c r="B23" s="22">
        <v>9</v>
      </c>
      <c r="C23" s="40">
        <v>341632</v>
      </c>
      <c r="D23" s="43">
        <v>2535</v>
      </c>
      <c r="E23" s="49"/>
    </row>
    <row r="24" spans="2:5" ht="17.25" customHeight="1" x14ac:dyDescent="0.25">
      <c r="B24" s="11" t="s">
        <v>47</v>
      </c>
      <c r="C24" s="46">
        <f>C23-C21</f>
        <v>644</v>
      </c>
      <c r="D24" s="46">
        <f>D23-D21</f>
        <v>21</v>
      </c>
      <c r="E24" s="80">
        <f>C24</f>
        <v>644</v>
      </c>
    </row>
    <row r="25" spans="2:5" ht="17.25" customHeight="1" x14ac:dyDescent="0.25">
      <c r="B25" s="22">
        <v>10</v>
      </c>
      <c r="C25" s="40">
        <v>342258</v>
      </c>
      <c r="D25" s="43">
        <v>2566</v>
      </c>
      <c r="E25" s="49"/>
    </row>
    <row r="26" spans="2:5" ht="17.25" customHeight="1" x14ac:dyDescent="0.25">
      <c r="B26" s="11" t="s">
        <v>47</v>
      </c>
      <c r="C26" s="46">
        <f>C25-C23</f>
        <v>626</v>
      </c>
      <c r="D26" s="46">
        <f>D25-D23</f>
        <v>31</v>
      </c>
      <c r="E26" s="80">
        <f>C26</f>
        <v>626</v>
      </c>
    </row>
    <row r="27" spans="2:5" ht="17.25" customHeight="1" x14ac:dyDescent="0.25">
      <c r="B27" s="22">
        <v>11</v>
      </c>
      <c r="C27" s="40">
        <v>342781</v>
      </c>
      <c r="D27" s="43">
        <v>2586</v>
      </c>
      <c r="E27" s="49"/>
    </row>
    <row r="28" spans="2:5" ht="17.25" customHeight="1" x14ac:dyDescent="0.25">
      <c r="B28" s="11" t="s">
        <v>47</v>
      </c>
      <c r="C28" s="46">
        <f>C27-C25</f>
        <v>523</v>
      </c>
      <c r="D28" s="46">
        <f>D27-D25</f>
        <v>20</v>
      </c>
      <c r="E28" s="80">
        <f>C28</f>
        <v>523</v>
      </c>
    </row>
    <row r="29" spans="2:5" ht="17.25" customHeight="1" x14ac:dyDescent="0.25">
      <c r="B29" s="22">
        <v>12</v>
      </c>
      <c r="C29" s="40">
        <v>343383</v>
      </c>
      <c r="D29" s="43">
        <v>2588</v>
      </c>
      <c r="E29" s="49"/>
    </row>
    <row r="30" spans="2:5" ht="17.25" customHeight="1" x14ac:dyDescent="0.25">
      <c r="B30" s="11" t="s">
        <v>47</v>
      </c>
      <c r="C30" s="46">
        <f>C29-C27</f>
        <v>602</v>
      </c>
      <c r="D30" s="46">
        <f>D29-D27</f>
        <v>2</v>
      </c>
      <c r="E30" s="80">
        <f>C30</f>
        <v>602</v>
      </c>
    </row>
    <row r="31" spans="2:5" ht="17.25" customHeight="1" x14ac:dyDescent="0.25">
      <c r="B31" s="22">
        <v>13</v>
      </c>
      <c r="C31" s="40">
        <v>343965</v>
      </c>
      <c r="D31" s="43">
        <v>2609</v>
      </c>
      <c r="E31" s="49"/>
    </row>
    <row r="32" spans="2:5" ht="17.25" customHeight="1" x14ac:dyDescent="0.25">
      <c r="B32" s="11" t="s">
        <v>47</v>
      </c>
      <c r="C32" s="46">
        <f>C31-C29</f>
        <v>582</v>
      </c>
      <c r="D32" s="46">
        <f>D31-D29</f>
        <v>21</v>
      </c>
      <c r="E32" s="80">
        <f>C32</f>
        <v>582</v>
      </c>
    </row>
    <row r="33" spans="2:5" ht="17.25" customHeight="1" x14ac:dyDescent="0.25">
      <c r="B33" s="22">
        <v>14</v>
      </c>
      <c r="C33" s="41">
        <v>344452</v>
      </c>
      <c r="D33" s="43">
        <v>2634</v>
      </c>
      <c r="E33" s="49"/>
    </row>
    <row r="34" spans="2:5" ht="17.25" customHeight="1" x14ac:dyDescent="0.25">
      <c r="B34" s="11" t="s">
        <v>47</v>
      </c>
      <c r="C34" s="46">
        <f>C33-C31</f>
        <v>487</v>
      </c>
      <c r="D34" s="46">
        <f>D33-D31</f>
        <v>25</v>
      </c>
      <c r="E34" s="80">
        <f>C34</f>
        <v>487</v>
      </c>
    </row>
    <row r="35" spans="2:5" ht="17.25" customHeight="1" x14ac:dyDescent="0.25">
      <c r="B35" s="22">
        <v>15</v>
      </c>
      <c r="C35" s="41">
        <v>345128</v>
      </c>
      <c r="D35" s="43">
        <v>2657</v>
      </c>
      <c r="E35" s="49"/>
    </row>
    <row r="36" spans="2:5" ht="17.25" customHeight="1" x14ac:dyDescent="0.25">
      <c r="B36" s="11" t="s">
        <v>47</v>
      </c>
      <c r="C36" s="46">
        <f>C35-C33</f>
        <v>676</v>
      </c>
      <c r="D36" s="46">
        <f>D35-D33</f>
        <v>23</v>
      </c>
      <c r="E36" s="80">
        <f>C36</f>
        <v>676</v>
      </c>
    </row>
    <row r="37" spans="2:5" ht="17.25" customHeight="1" x14ac:dyDescent="0.25">
      <c r="B37" s="22">
        <v>16</v>
      </c>
      <c r="C37" s="41">
        <v>345729</v>
      </c>
      <c r="D37" s="43">
        <v>2677</v>
      </c>
      <c r="E37" s="49"/>
    </row>
    <row r="38" spans="2:5" ht="17.25" customHeight="1" x14ac:dyDescent="0.25">
      <c r="B38" s="11" t="s">
        <v>47</v>
      </c>
      <c r="C38" s="46">
        <f>C37-C35</f>
        <v>601</v>
      </c>
      <c r="D38" s="46">
        <f>D37-D35</f>
        <v>20</v>
      </c>
      <c r="E38" s="80">
        <f>C38</f>
        <v>601</v>
      </c>
    </row>
    <row r="39" spans="2:5" ht="17.25" customHeight="1" x14ac:dyDescent="0.25">
      <c r="B39" s="22">
        <v>17</v>
      </c>
      <c r="C39" s="41">
        <v>346354</v>
      </c>
      <c r="D39" s="43">
        <v>2706</v>
      </c>
      <c r="E39" s="49"/>
    </row>
    <row r="40" spans="2:5" ht="17.25" customHeight="1" x14ac:dyDescent="0.25">
      <c r="B40" s="11" t="s">
        <v>47</v>
      </c>
      <c r="C40" s="46">
        <f>C39-C37</f>
        <v>625</v>
      </c>
      <c r="D40" s="46">
        <f>D39-D37</f>
        <v>29</v>
      </c>
      <c r="E40" s="80">
        <f>C40</f>
        <v>625</v>
      </c>
    </row>
    <row r="41" spans="2:5" ht="17.25" customHeight="1" x14ac:dyDescent="0.25">
      <c r="B41" s="22">
        <v>18</v>
      </c>
      <c r="C41" s="41">
        <v>346953</v>
      </c>
      <c r="D41" s="43">
        <v>2730</v>
      </c>
      <c r="E41" s="49"/>
    </row>
    <row r="42" spans="2:5" ht="17.25" customHeight="1" x14ac:dyDescent="0.25">
      <c r="B42" s="11" t="s">
        <v>47</v>
      </c>
      <c r="C42" s="46">
        <f>C41-C39</f>
        <v>599</v>
      </c>
      <c r="D42" s="46">
        <f>D41-D39</f>
        <v>24</v>
      </c>
      <c r="E42" s="80">
        <f>C42</f>
        <v>599</v>
      </c>
    </row>
    <row r="43" spans="2:5" ht="17.25" customHeight="1" x14ac:dyDescent="0.25">
      <c r="B43" s="22">
        <v>19</v>
      </c>
      <c r="C43" s="41">
        <v>347546</v>
      </c>
      <c r="D43" s="87">
        <v>2731</v>
      </c>
      <c r="E43" s="49"/>
    </row>
    <row r="44" spans="2:5" ht="17.25" customHeight="1" x14ac:dyDescent="0.25">
      <c r="B44" s="11" t="s">
        <v>47</v>
      </c>
      <c r="C44" s="46">
        <f>C43-C41</f>
        <v>593</v>
      </c>
      <c r="D44" s="46">
        <f>D43-D41</f>
        <v>1</v>
      </c>
      <c r="E44" s="80">
        <f>C44</f>
        <v>593</v>
      </c>
    </row>
    <row r="45" spans="2:5" ht="17.25" customHeight="1" x14ac:dyDescent="0.25">
      <c r="B45" s="22">
        <v>20</v>
      </c>
      <c r="C45" s="41">
        <v>348117</v>
      </c>
      <c r="D45" s="43">
        <v>2749</v>
      </c>
      <c r="E45" s="49"/>
    </row>
    <row r="46" spans="2:5" ht="17.25" customHeight="1" x14ac:dyDescent="0.25">
      <c r="B46" s="11" t="s">
        <v>47</v>
      </c>
      <c r="C46" s="46">
        <f>C45-C43</f>
        <v>571</v>
      </c>
      <c r="D46" s="46">
        <f>D45-D43</f>
        <v>18</v>
      </c>
      <c r="E46" s="80">
        <f>C46</f>
        <v>571</v>
      </c>
    </row>
    <row r="47" spans="2:5" ht="17.25" customHeight="1" x14ac:dyDescent="0.25">
      <c r="B47" s="22">
        <v>21</v>
      </c>
      <c r="C47" s="41">
        <v>348716</v>
      </c>
      <c r="D47" s="43">
        <v>2770</v>
      </c>
      <c r="E47" s="49"/>
    </row>
    <row r="48" spans="2:5" ht="17.25" customHeight="1" x14ac:dyDescent="0.25">
      <c r="B48" s="11" t="s">
        <v>47</v>
      </c>
      <c r="C48" s="46">
        <f>C47-C45</f>
        <v>599</v>
      </c>
      <c r="D48" s="46">
        <f>D47-D45</f>
        <v>21</v>
      </c>
      <c r="E48" s="80">
        <f>C48</f>
        <v>599</v>
      </c>
    </row>
    <row r="49" spans="2:5" ht="17.25" customHeight="1" x14ac:dyDescent="0.25">
      <c r="B49" s="22">
        <v>22</v>
      </c>
      <c r="C49" s="41">
        <v>349324</v>
      </c>
      <c r="D49" s="43">
        <v>2791</v>
      </c>
      <c r="E49" s="49"/>
    </row>
    <row r="50" spans="2:5" ht="17.25" customHeight="1" x14ac:dyDescent="0.25">
      <c r="B50" s="11" t="s">
        <v>47</v>
      </c>
      <c r="C50" s="46">
        <f>C49-C47</f>
        <v>608</v>
      </c>
      <c r="D50" s="46">
        <f>D49-D47</f>
        <v>21</v>
      </c>
      <c r="E50" s="80">
        <f>C50</f>
        <v>608</v>
      </c>
    </row>
    <row r="51" spans="2:5" ht="17.25" customHeight="1" x14ac:dyDescent="0.25">
      <c r="B51" s="22">
        <v>23</v>
      </c>
      <c r="C51" s="41">
        <v>349904</v>
      </c>
      <c r="D51" s="43">
        <v>2812</v>
      </c>
      <c r="E51" s="49"/>
    </row>
    <row r="52" spans="2:5" ht="17.25" customHeight="1" x14ac:dyDescent="0.25">
      <c r="B52" s="11" t="s">
        <v>47</v>
      </c>
      <c r="C52" s="46">
        <f>C51-C49</f>
        <v>580</v>
      </c>
      <c r="D52" s="46">
        <f>D51-D49</f>
        <v>21</v>
      </c>
      <c r="E52" s="80">
        <f>C52</f>
        <v>580</v>
      </c>
    </row>
    <row r="53" spans="2:5" ht="17.25" customHeight="1" x14ac:dyDescent="0.25">
      <c r="B53" s="22">
        <v>24</v>
      </c>
      <c r="C53" s="41">
        <v>350575</v>
      </c>
      <c r="D53" s="43">
        <v>2844</v>
      </c>
      <c r="E53" s="49"/>
    </row>
    <row r="54" spans="2:5" ht="17.25" customHeight="1" x14ac:dyDescent="0.25">
      <c r="B54" s="11" t="s">
        <v>47</v>
      </c>
      <c r="C54" s="46">
        <f>C53-C51</f>
        <v>671</v>
      </c>
      <c r="D54" s="46">
        <f>D53-D51</f>
        <v>32</v>
      </c>
      <c r="E54" s="80">
        <f>C54</f>
        <v>671</v>
      </c>
    </row>
    <row r="55" spans="2:5" ht="17.25" customHeight="1" x14ac:dyDescent="0.25">
      <c r="B55" s="22">
        <v>25</v>
      </c>
      <c r="C55" s="41">
        <v>351211</v>
      </c>
      <c r="D55" s="43">
        <v>2864</v>
      </c>
      <c r="E55" s="49"/>
    </row>
    <row r="56" spans="2:5" ht="17.25" customHeight="1" x14ac:dyDescent="0.25">
      <c r="B56" s="11" t="s">
        <v>47</v>
      </c>
      <c r="C56" s="46">
        <f>C55-C53</f>
        <v>636</v>
      </c>
      <c r="D56" s="46">
        <f>D55-D53</f>
        <v>20</v>
      </c>
      <c r="E56" s="80">
        <f>C56</f>
        <v>636</v>
      </c>
    </row>
    <row r="57" spans="2:5" ht="17.25" customHeight="1" x14ac:dyDescent="0.25">
      <c r="B57" s="22">
        <v>26</v>
      </c>
      <c r="C57" s="41">
        <v>351819</v>
      </c>
      <c r="D57" s="43">
        <v>2867</v>
      </c>
      <c r="E57" s="49"/>
    </row>
    <row r="58" spans="2:5" ht="17.25" customHeight="1" x14ac:dyDescent="0.25">
      <c r="B58" s="11" t="s">
        <v>47</v>
      </c>
      <c r="C58" s="46">
        <f>C57-C55</f>
        <v>608</v>
      </c>
      <c r="D58" s="46">
        <f>D57-D55</f>
        <v>3</v>
      </c>
      <c r="E58" s="80">
        <f>C58</f>
        <v>608</v>
      </c>
    </row>
    <row r="59" spans="2:5" ht="17.25" customHeight="1" x14ac:dyDescent="0.25">
      <c r="B59" s="22">
        <v>27</v>
      </c>
      <c r="C59" s="41">
        <v>352394</v>
      </c>
      <c r="D59" s="43">
        <v>2884</v>
      </c>
      <c r="E59" s="49"/>
    </row>
    <row r="60" spans="2:5" ht="17.25" customHeight="1" x14ac:dyDescent="0.25">
      <c r="B60" s="11" t="s">
        <v>47</v>
      </c>
      <c r="C60" s="46">
        <f>C59-C57</f>
        <v>575</v>
      </c>
      <c r="D60" s="46">
        <f>D59-D57</f>
        <v>17</v>
      </c>
      <c r="E60" s="80">
        <f>C60</f>
        <v>575</v>
      </c>
    </row>
    <row r="61" spans="2:5" ht="17.25" customHeight="1" x14ac:dyDescent="0.25">
      <c r="B61" s="22">
        <v>28</v>
      </c>
      <c r="C61" s="41">
        <v>352850</v>
      </c>
      <c r="D61" s="43">
        <v>2902</v>
      </c>
      <c r="E61" s="49"/>
    </row>
    <row r="62" spans="2:5" ht="17.25" customHeight="1" x14ac:dyDescent="0.25">
      <c r="B62" s="11" t="s">
        <v>47</v>
      </c>
      <c r="C62" s="46">
        <f>C61-C59</f>
        <v>456</v>
      </c>
      <c r="D62" s="46">
        <f>D61-D59</f>
        <v>18</v>
      </c>
      <c r="E62" s="80">
        <f>C62</f>
        <v>456</v>
      </c>
    </row>
    <row r="63" spans="2:5" x14ac:dyDescent="0.25">
      <c r="D63" s="1" t="s">
        <v>68</v>
      </c>
      <c r="E63" s="1">
        <f>SUM(E8:E62)</f>
        <v>16142</v>
      </c>
    </row>
    <row r="64" spans="2:5" x14ac:dyDescent="0.25">
      <c r="D64" s="1" t="s">
        <v>69</v>
      </c>
      <c r="E64" s="1">
        <f>E63*3.7*0.51</f>
        <v>30459.954000000002</v>
      </c>
    </row>
  </sheetData>
  <mergeCells count="4">
    <mergeCell ref="B5:B6"/>
    <mergeCell ref="E5:E6"/>
    <mergeCell ref="F3:H4"/>
    <mergeCell ref="D4:E4"/>
  </mergeCells>
  <printOptions horizontalCentered="1"/>
  <pageMargins left="0.2" right="0.2" top="0.25" bottom="0.25" header="0.05" footer="0.05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f80d94-36c6-4cfa-b190-3af03c89e98e">
      <UserInfo>
        <DisplayName>John George Podimannil</DisplayName>
        <AccountId>38</AccountId>
        <AccountType/>
      </UserInfo>
      <UserInfo>
        <DisplayName>Carmelyn Abaygar</DisplayName>
        <AccountId>32</AccountId>
        <AccountType/>
      </UserInfo>
    </SharedWithUsers>
    <lcf76f155ced4ddcb4097134ff3c332f xmlns="4a585a97-453b-43f7-adce-c4bafe4f3563">
      <Terms xmlns="http://schemas.microsoft.com/office/infopath/2007/PartnerControls"/>
    </lcf76f155ced4ddcb4097134ff3c332f>
    <TaxCatchAll xmlns="85f80d94-36c6-4cfa-b190-3af03c89e98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14" ma:contentTypeDescription="Create a new document." ma:contentTypeScope="" ma:versionID="66814842742d5f4c0e7627bf300cda49">
  <xsd:schema xmlns:xsd="http://www.w3.org/2001/XMLSchema" xmlns:xs="http://www.w3.org/2001/XMLSchema" xmlns:p="http://schemas.microsoft.com/office/2006/metadata/properties" xmlns:ns2="4a585a97-453b-43f7-adce-c4bafe4f3563" xmlns:ns3="85f80d94-36c6-4cfa-b190-3af03c89e98e" targetNamespace="http://schemas.microsoft.com/office/2006/metadata/properties" ma:root="true" ma:fieldsID="de775bd876a02f03f6c2cbb5bfa092ca" ns2:_="" ns3:_="">
    <xsd:import namespace="4a585a97-453b-43f7-adce-c4bafe4f3563"/>
    <xsd:import namespace="85f80d94-36c6-4cfa-b190-3af03c89e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80d94-36c6-4cfa-b190-3af03c89e98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632d14c-bf58-40c7-bbf3-21260975f9c2}" ma:internalName="TaxCatchAll" ma:showField="CatchAllData" ma:web="85f80d94-36c6-4cfa-b190-3af03c89e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EA72F3-606C-413D-8C0B-F10D2B761C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289D42-0477-45C1-A145-5FA373F96E3A}">
  <ds:schemaRefs>
    <ds:schemaRef ds:uri="85f80d94-36c6-4cfa-b190-3af03c89e98e"/>
    <ds:schemaRef ds:uri="4a585a97-453b-43f7-adce-c4bafe4f3563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AB38FD4-93DA-432A-A273-05FAC50E54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85a97-453b-43f7-adce-c4bafe4f3563"/>
    <ds:schemaRef ds:uri="85f80d94-36c6-4cfa-b190-3af03c89e9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13 - Electrical Readings</vt:lpstr>
      <vt:lpstr>9 - Water Readings</vt:lpstr>
      <vt:lpstr>LPG</vt:lpstr>
    </vt:vector>
  </TitlesOfParts>
  <Manager/>
  <Company>Hewlett-Packard Company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</dc:creator>
  <cp:keywords/>
  <dc:description/>
  <cp:lastModifiedBy>John George</cp:lastModifiedBy>
  <cp:revision/>
  <dcterms:created xsi:type="dcterms:W3CDTF">2017-05-16T16:59:37Z</dcterms:created>
  <dcterms:modified xsi:type="dcterms:W3CDTF">2023-03-02T08:17:26Z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0x01010065FD7FD746B9FF4496486F15BE3F1FAE</vt:lpwstr>
  </property>
  <property fmtid="{D5CDD505-2E9C-101B-9397-08002B2CF9AE}" pid="3" name="MediaServiceImageTags">
    <vt:lpwstr/>
  </property>
</Properties>
</file>