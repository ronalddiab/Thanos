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4749B3CC-CF64-41C4-8063-143ADECEE8B8}" xr6:coauthVersionLast="47" xr6:coauthVersionMax="47" xr10:uidLastSave="{00000000-0000-0000-0000-000000000000}"/>
  <bookViews>
    <workbookView xWindow="-120" yWindow="-120" windowWidth="20730" windowHeight="11160" tabRatio="911" firstSheet="2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48" l="1"/>
  <c r="E34" i="48"/>
  <c r="F34" i="48"/>
  <c r="G34" i="48"/>
  <c r="H34" i="48"/>
  <c r="C34" i="48"/>
  <c r="E129" i="30"/>
  <c r="E130" i="30"/>
  <c r="E131" i="30"/>
  <c r="E132" i="30"/>
  <c r="E133" i="30"/>
  <c r="E134" i="30"/>
  <c r="E8" i="30"/>
  <c r="E9" i="30"/>
  <c r="E10" i="30"/>
  <c r="E11" i="30"/>
  <c r="E12" i="30"/>
  <c r="F123" i="27" l="1"/>
  <c r="F115" i="27"/>
  <c r="F114" i="27"/>
  <c r="F113" i="27"/>
  <c r="F112" i="27"/>
  <c r="E41" i="27"/>
  <c r="F123" i="40"/>
  <c r="F115" i="40"/>
  <c r="F114" i="40"/>
  <c r="F113" i="40"/>
  <c r="F112" i="40"/>
  <c r="E151" i="25"/>
  <c r="F123" i="25"/>
  <c r="F115" i="25"/>
  <c r="F114" i="25"/>
  <c r="F113" i="25"/>
  <c r="F112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168" i="19"/>
  <c r="E167" i="19"/>
  <c r="E166" i="19"/>
  <c r="E165" i="19"/>
  <c r="E164" i="19"/>
  <c r="E163" i="19"/>
  <c r="E162" i="19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8" i="18"/>
  <c r="E9" i="18"/>
  <c r="E10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5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H158" i="11" s="1"/>
  <c r="J158" i="11" s="1"/>
  <c r="E157" i="11"/>
  <c r="G157" i="11" s="1"/>
  <c r="H157" i="11" s="1"/>
  <c r="J157" i="11" s="1"/>
  <c r="F156" i="11"/>
  <c r="F155" i="11"/>
  <c r="E158" i="10"/>
  <c r="E157" i="10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G8" i="10" s="1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G7" i="29" l="1"/>
  <c r="F7" i="31"/>
  <c r="F8" i="3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8" i="5"/>
  <c r="E9" i="5"/>
  <c r="E10" i="5"/>
  <c r="E11" i="5"/>
  <c r="E12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9" i="28"/>
  <c r="E10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8" i="27"/>
  <c r="E69" i="27"/>
  <c r="E70" i="27"/>
  <c r="E7" i="30" l="1"/>
  <c r="G152" i="30"/>
  <c r="G159" i="12" l="1"/>
  <c r="H159" i="12" s="1"/>
  <c r="J159" i="12" s="1"/>
  <c r="G157" i="12"/>
  <c r="H157" i="12" s="1"/>
  <c r="J157" i="12" s="1"/>
  <c r="G158" i="12"/>
  <c r="H158" i="12" s="1"/>
  <c r="J158" i="12" s="1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E69" i="40"/>
  <c r="E70" i="40"/>
  <c r="E50" i="22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J158" i="14"/>
  <c r="H158" i="15"/>
  <c r="J158" i="15" s="1"/>
  <c r="J157" i="14"/>
  <c r="H157" i="15"/>
  <c r="J157" i="1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H158" i="33"/>
  <c r="J158" i="33" s="1"/>
  <c r="J157" i="33"/>
  <c r="H157" i="7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8" i="7" l="1"/>
  <c r="J158" i="7" s="1"/>
  <c r="J157" i="7"/>
  <c r="H157" i="8"/>
  <c r="H158" i="43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H158" i="8" l="1"/>
  <c r="J158" i="8" s="1"/>
  <c r="J157" i="8"/>
  <c r="H157" i="9"/>
  <c r="J157" i="9" s="1"/>
  <c r="J157" i="43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H158" i="9" l="1"/>
  <c r="J158" i="9" s="1"/>
  <c r="J158" i="23"/>
  <c r="H158" i="24"/>
  <c r="J157" i="23"/>
  <c r="H157" i="24"/>
  <c r="J158" i="17"/>
  <c r="H158" i="18"/>
  <c r="J157" i="17"/>
  <c r="H157" i="18"/>
  <c r="E121" i="33"/>
  <c r="E49" i="33"/>
  <c r="E134" i="4"/>
  <c r="G190" i="2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K190" i="20"/>
  <c r="K190" i="19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G90" i="31" l="1"/>
  <c r="I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2" l="1"/>
  <c r="E79" i="25" l="1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H155" i="3" l="1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H155" i="4" l="1"/>
  <c r="H155" i="5" s="1"/>
  <c r="H155" i="33" s="1"/>
  <c r="H156" i="4"/>
  <c r="H156" i="5" s="1"/>
  <c r="H156" i="33" s="1"/>
  <c r="J156" i="33" s="1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2" i="24"/>
  <c r="E121" i="24"/>
  <c r="E120" i="24"/>
  <c r="E119" i="24"/>
  <c r="E118" i="24"/>
  <c r="E117" i="24"/>
  <c r="E116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8" i="19"/>
  <c r="E117" i="19"/>
  <c r="E116" i="19"/>
  <c r="E115" i="19"/>
  <c r="E114" i="19"/>
  <c r="E113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80" i="15"/>
  <c r="E179" i="15"/>
  <c r="E178" i="15"/>
  <c r="E173" i="15"/>
  <c r="E168" i="15"/>
  <c r="E167" i="15"/>
  <c r="E166" i="15"/>
  <c r="E142" i="15"/>
  <c r="E140" i="15"/>
  <c r="E139" i="15"/>
  <c r="E138" i="15"/>
  <c r="E133" i="15"/>
  <c r="E132" i="15"/>
  <c r="E131" i="15"/>
  <c r="E130" i="15"/>
  <c r="E129" i="15"/>
  <c r="E128" i="15"/>
  <c r="E123" i="15"/>
  <c r="E119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6" i="5" l="1"/>
  <c r="J156" i="4"/>
  <c r="I92" i="17"/>
  <c r="E27" i="2"/>
  <c r="G27" i="2" s="1"/>
  <c r="G22" i="19"/>
  <c r="G24" i="19" s="1"/>
  <c r="E29" i="19" s="1"/>
  <c r="E24" i="19"/>
  <c r="G8" i="3"/>
  <c r="E27" i="3" s="1"/>
  <c r="G27" i="3" s="1"/>
  <c r="E8" i="4"/>
  <c r="E8" i="33" s="1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0" i="16" s="1"/>
  <c r="E15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l="1"/>
  <c r="J20" i="2" s="1"/>
  <c r="I20" i="2" s="1"/>
  <c r="E15" i="17"/>
  <c r="G15" i="17" s="1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I92" i="10" s="1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E31" i="40" l="1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E15" i="18"/>
  <c r="G15" i="18" s="1"/>
  <c r="G79" i="18" s="1"/>
  <c r="G80" i="18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47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1" i="40"/>
  <c r="G189" i="40" s="1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I135" i="29" l="1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32" i="2" l="1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E10" i="20" s="1"/>
  <c r="G15" i="19"/>
  <c r="H20" i="7"/>
  <c r="G19" i="8"/>
  <c r="E15" i="21"/>
  <c r="G7" i="9"/>
  <c r="O7" i="9" s="1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E15" i="10" l="1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E15" i="22"/>
  <c r="G15" i="21"/>
  <c r="G15" i="20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H112" i="33" l="1"/>
  <c r="H112" i="7" s="1"/>
  <c r="H79" i="9"/>
  <c r="H10" i="20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G105" i="12" l="1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7" i="13" l="1"/>
  <c r="H99" i="13"/>
  <c r="H95" i="13"/>
  <c r="H105" i="13"/>
  <c r="H103" i="13"/>
  <c r="H101" i="13"/>
  <c r="G7" i="14"/>
  <c r="H19" i="12"/>
  <c r="G187" i="12"/>
  <c r="E10" i="24"/>
  <c r="G10" i="24" s="1"/>
  <c r="H10" i="24" s="1"/>
  <c r="E30" i="12"/>
  <c r="G30" i="12" s="1"/>
  <c r="G32" i="12" s="1"/>
  <c r="G20" i="12"/>
  <c r="H20" i="12" s="1"/>
  <c r="E19" i="13"/>
  <c r="G15" i="28"/>
  <c r="E15" i="29"/>
  <c r="E28" i="27"/>
  <c r="G28" i="27" s="1"/>
  <c r="H15" i="27"/>
  <c r="G79" i="27"/>
  <c r="H28" i="40"/>
  <c r="G80" i="40"/>
  <c r="G80" i="14"/>
  <c r="H79" i="14"/>
  <c r="H79" i="15" s="1"/>
  <c r="G8" i="15"/>
  <c r="E8" i="16"/>
  <c r="E8" i="17" s="1"/>
  <c r="E9" i="16"/>
  <c r="G9" i="16" s="1"/>
  <c r="G9" i="15"/>
  <c r="H9" i="15" s="1"/>
  <c r="H27" i="14"/>
  <c r="H135" i="22"/>
  <c r="H135" i="23"/>
  <c r="H135" i="18"/>
  <c r="H135" i="19"/>
  <c r="H135" i="24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135" i="30" l="1"/>
  <c r="H135" i="29"/>
  <c r="H135" i="14"/>
  <c r="J135" i="14" s="1"/>
  <c r="J135" i="13"/>
  <c r="E7" i="15"/>
  <c r="G15" i="29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15" i="30"/>
  <c r="G19" i="13"/>
  <c r="G187" i="13" s="1"/>
  <c r="H32" i="12"/>
  <c r="H30" i="12"/>
  <c r="G80" i="27"/>
  <c r="H28" i="27"/>
  <c r="H15" i="28"/>
  <c r="E28" i="28"/>
  <c r="G28" i="28" s="1"/>
  <c r="G79" i="28"/>
  <c r="H9" i="16"/>
  <c r="E10" i="25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E7" i="16" l="1"/>
  <c r="G79" i="29"/>
  <c r="G80" i="29" s="1"/>
  <c r="E28" i="29"/>
  <c r="G28" i="29" s="1"/>
  <c r="H15" i="29"/>
  <c r="E15" i="43"/>
  <c r="H79" i="40"/>
  <c r="H79" i="27" s="1"/>
  <c r="H79" i="28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G10" i="25"/>
  <c r="H10" i="25" s="1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7" i="17" l="1"/>
  <c r="E7" i="18" s="1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9" i="19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G95" i="16" l="1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7" i="17"/>
  <c r="G101" i="17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E7" i="20" s="1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95" i="16" l="1"/>
  <c r="H99" i="16"/>
  <c r="H101" i="16"/>
  <c r="H101" i="17" s="1"/>
  <c r="H97" i="16"/>
  <c r="G97" i="17"/>
  <c r="G103" i="17"/>
  <c r="H103" i="17" s="1"/>
  <c r="I59" i="17"/>
  <c r="G95" i="17"/>
  <c r="G105" i="17"/>
  <c r="H105" i="17" s="1"/>
  <c r="G99" i="17"/>
  <c r="H99" i="17" s="1"/>
  <c r="H7" i="17"/>
  <c r="H7" i="18" s="1"/>
  <c r="H28" i="43"/>
  <c r="G7" i="19"/>
  <c r="G95" i="19" s="1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G95" i="18"/>
  <c r="G97" i="18"/>
  <c r="I59" i="18"/>
  <c r="G99" i="18"/>
  <c r="G105" i="18"/>
  <c r="G103" i="18"/>
  <c r="G101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95" i="17" l="1"/>
  <c r="H95" i="18" s="1"/>
  <c r="H95" i="19" s="1"/>
  <c r="H97" i="17"/>
  <c r="H97" i="18" s="1"/>
  <c r="H105" i="18"/>
  <c r="H101" i="18"/>
  <c r="H103" i="18"/>
  <c r="H99" i="18"/>
  <c r="E27" i="19"/>
  <c r="G27" i="19" s="1"/>
  <c r="H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G28" i="31"/>
  <c r="H28" i="31" s="1"/>
  <c r="G7" i="20"/>
  <c r="E7" i="21"/>
  <c r="G9" i="20"/>
  <c r="H9" i="20" s="1"/>
  <c r="E9" i="21"/>
  <c r="G105" i="19"/>
  <c r="G97" i="19"/>
  <c r="I59" i="19"/>
  <c r="G99" i="19"/>
  <c r="G101" i="19"/>
  <c r="G103" i="19"/>
  <c r="H7" i="19"/>
  <c r="G10" i="27"/>
  <c r="H10" i="27" s="1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97" i="19" l="1"/>
  <c r="H105" i="19"/>
  <c r="H101" i="19"/>
  <c r="H103" i="19"/>
  <c r="H99" i="19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G99" i="20"/>
  <c r="G101" i="20"/>
  <c r="G97" i="20"/>
  <c r="G95" i="20"/>
  <c r="H95" i="20" s="1"/>
  <c r="G105" i="20"/>
  <c r="H7" i="20"/>
  <c r="I59" i="20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97" i="20" l="1"/>
  <c r="H105" i="20"/>
  <c r="H101" i="20"/>
  <c r="H99" i="20"/>
  <c r="H103" i="20"/>
  <c r="G8" i="21"/>
  <c r="E27" i="21" s="1"/>
  <c r="G27" i="21" s="1"/>
  <c r="H27" i="21" s="1"/>
  <c r="H30" i="16"/>
  <c r="G19" i="17"/>
  <c r="E9" i="23"/>
  <c r="G7" i="22"/>
  <c r="E7" i="23"/>
  <c r="I59" i="21"/>
  <c r="G101" i="21"/>
  <c r="H7" i="21"/>
  <c r="G103" i="21"/>
  <c r="G97" i="21"/>
  <c r="G99" i="21"/>
  <c r="G95" i="21"/>
  <c r="H95" i="21" s="1"/>
  <c r="G105" i="21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97" i="21" l="1"/>
  <c r="H105" i="21"/>
  <c r="H101" i="21"/>
  <c r="H99" i="21"/>
  <c r="H103" i="21"/>
  <c r="E30" i="17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G97" i="22"/>
  <c r="G95" i="22"/>
  <c r="H95" i="22" s="1"/>
  <c r="G105" i="22"/>
  <c r="G103" i="22"/>
  <c r="G101" i="22"/>
  <c r="G9" i="23"/>
  <c r="E9" i="24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7" i="22" l="1"/>
  <c r="H105" i="22"/>
  <c r="H101" i="22"/>
  <c r="H99" i="22"/>
  <c r="H103" i="22"/>
  <c r="H9" i="23"/>
  <c r="G19" i="18"/>
  <c r="G32" i="17"/>
  <c r="H32" i="17" s="1"/>
  <c r="H30" i="17"/>
  <c r="G9" i="24"/>
  <c r="E9" i="25"/>
  <c r="G8" i="24"/>
  <c r="E27" i="24" s="1"/>
  <c r="G27" i="24" s="1"/>
  <c r="E8" i="25"/>
  <c r="G7" i="24"/>
  <c r="E7" i="25"/>
  <c r="H27" i="23"/>
  <c r="G105" i="23"/>
  <c r="G95" i="23"/>
  <c r="H95" i="23" s="1"/>
  <c r="I59" i="23"/>
  <c r="G101" i="23"/>
  <c r="H7" i="23"/>
  <c r="G103" i="23"/>
  <c r="G99" i="23"/>
  <c r="G9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05" i="23" l="1"/>
  <c r="H97" i="23"/>
  <c r="H101" i="23"/>
  <c r="H99" i="23"/>
  <c r="E8" i="40"/>
  <c r="H103" i="23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G95" i="24"/>
  <c r="H95" i="24" s="1"/>
  <c r="I59" i="24"/>
  <c r="G101" i="24"/>
  <c r="G105" i="24"/>
  <c r="G97" i="24"/>
  <c r="G103" i="24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05" i="24" l="1"/>
  <c r="H97" i="24"/>
  <c r="H101" i="24"/>
  <c r="H99" i="24"/>
  <c r="E8" i="27"/>
  <c r="E8" i="28" s="1"/>
  <c r="G8" i="40"/>
  <c r="E27" i="40" s="1"/>
  <c r="G27" i="40" s="1"/>
  <c r="G8" i="25"/>
  <c r="E27" i="25" s="1"/>
  <c r="G27" i="25" s="1"/>
  <c r="H103" i="24"/>
  <c r="H9" i="25"/>
  <c r="E19" i="20"/>
  <c r="G19" i="19"/>
  <c r="H30" i="18"/>
  <c r="E10" i="43"/>
  <c r="G7" i="40"/>
  <c r="E7" i="27"/>
  <c r="E7" i="28" s="1"/>
  <c r="G7" i="28" s="1"/>
  <c r="G101" i="28" s="1"/>
  <c r="G95" i="25"/>
  <c r="H95" i="25" s="1"/>
  <c r="G99" i="25"/>
  <c r="G103" i="25"/>
  <c r="G97" i="25"/>
  <c r="G101" i="25"/>
  <c r="I59" i="25"/>
  <c r="H7" i="25"/>
  <c r="G105" i="25"/>
  <c r="H105" i="25" s="1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27" i="25" l="1"/>
  <c r="H97" i="25"/>
  <c r="I59" i="28"/>
  <c r="G105" i="28"/>
  <c r="G99" i="28"/>
  <c r="G103" i="28"/>
  <c r="G95" i="28"/>
  <c r="G97" i="28"/>
  <c r="H101" i="25"/>
  <c r="H99" i="25"/>
  <c r="H27" i="40"/>
  <c r="G8" i="27"/>
  <c r="E27" i="27" s="1"/>
  <c r="G27" i="27" s="1"/>
  <c r="H103" i="25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H7" i="40"/>
  <c r="G105" i="40"/>
  <c r="H105" i="40" s="1"/>
  <c r="G103" i="40"/>
  <c r="G99" i="40"/>
  <c r="I59" i="40"/>
  <c r="G101" i="40"/>
  <c r="G97" i="40"/>
  <c r="G95" i="40"/>
  <c r="H95" i="40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7" i="40" l="1"/>
  <c r="H101" i="40"/>
  <c r="H99" i="40"/>
  <c r="H99" i="27" s="1"/>
  <c r="H99" i="28" s="1"/>
  <c r="H27" i="27"/>
  <c r="G8" i="28"/>
  <c r="H103" i="40"/>
  <c r="G103" i="27"/>
  <c r="G101" i="27"/>
  <c r="G105" i="27"/>
  <c r="H105" i="27" s="1"/>
  <c r="H105" i="28" s="1"/>
  <c r="G97" i="27"/>
  <c r="H7" i="27"/>
  <c r="H7" i="28" s="1"/>
  <c r="G95" i="27"/>
  <c r="H95" i="27" s="1"/>
  <c r="H95" i="28" s="1"/>
  <c r="I59" i="27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I59" i="29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97" i="27" l="1"/>
  <c r="H97" i="28" s="1"/>
  <c r="O9" i="28"/>
  <c r="E27" i="28"/>
  <c r="G27" i="28" s="1"/>
  <c r="H27" i="28" s="1"/>
  <c r="H101" i="27"/>
  <c r="H101" i="28" s="1"/>
  <c r="G8" i="29"/>
  <c r="H103" i="27"/>
  <c r="H103" i="28" s="1"/>
  <c r="G32" i="20"/>
  <c r="H32" i="20" s="1"/>
  <c r="H9" i="28"/>
  <c r="G103" i="29"/>
  <c r="G101" i="29"/>
  <c r="G97" i="29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G9" i="30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97" i="29" l="1"/>
  <c r="H101" i="29"/>
  <c r="O8" i="29"/>
  <c r="E27" i="29"/>
  <c r="G27" i="29" s="1"/>
  <c r="H27" i="29" s="1"/>
  <c r="O15" i="29"/>
  <c r="G8" i="30"/>
  <c r="E27" i="30" s="1"/>
  <c r="G27" i="30" s="1"/>
  <c r="H103" i="29"/>
  <c r="H32" i="2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G95" i="30"/>
  <c r="H95" i="30" s="1"/>
  <c r="G103" i="30"/>
  <c r="G101" i="30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97" i="30" l="1"/>
  <c r="H101" i="30"/>
  <c r="H27" i="30"/>
  <c r="G8" i="43"/>
  <c r="E27" i="43" s="1"/>
  <c r="G27" i="43" s="1"/>
  <c r="O10" i="29"/>
  <c r="O12" i="29"/>
  <c r="H103" i="30"/>
  <c r="H32" i="22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27" i="43" l="1"/>
  <c r="G8" i="31"/>
  <c r="G27" i="31" s="1"/>
  <c r="H32" i="23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H27" i="31" l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32" i="25" l="1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<sst xmlns="http://schemas.openxmlformats.org/spreadsheetml/2006/main" count="10750" uniqueCount="375">
  <si>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</si>
  <si>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</si>
  <si>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</si>
  <si>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</si>
  <si>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</si>
  <si>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</si>
  <si>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</si>
  <si>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</si>
  <si>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</si>
  <si>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</si>
  <si>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</si>
  <si>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</si>
  <si>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</si>
  <si>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</si>
  <si>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</si>
  <si>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</si>
  <si>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</si>
  <si>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</si>
  <si>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</si>
  <si>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</si>
  <si>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</si>
  <si>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</si>
  <si>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</si>
  <si>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</si>
  <si>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</si>
  <si>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</si>
  <si>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</si>
  <si>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</si>
  <si>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</si>
  <si>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</si>
  <si>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</si>
  <si>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</si>
  <si>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</si>
  <si>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</si>
  <si>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</si>
  <si>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</si>
  <si>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</si>
  <si>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</si>
  <si>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</si>
  <si>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</si>
  <si>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</si>
  <si>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</si>
  <si>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</si>
  <si>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</si>
  <si>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</si>
  <si>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</si>
  <si>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</si>
  <si>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</si>
  <si>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</si>
  <si>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</si>
  <si>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</si>
  <si>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</si>
  <si>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</si>
  <si>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</si>
  <si>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</si>
  <si>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</si>
  <si>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</si>
  <si>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</si>
  <si>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</si>
  <si>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</si>
  <si>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</si>
  <si>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</si>
  <si>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</si>
  <si>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</si>
  <si>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</si>
  <si>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</si>
  <si>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</si>
  <si>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</si>
  <si>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</si>
  <si>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</si>
  <si>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</si>
  <si>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</si>
  <si>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</si>
  <si>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</si>
  <si>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</si>
  <si>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</si>
  <si>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</si>
  <si>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</si>
  <si>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</si>
  <si>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</si>
  <si>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</si>
  <si>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</si>
  <si>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</si>
  <si>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</si>
  <si>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</si>
  <si>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</si>
  <si>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</si>
  <si>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</si>
  <si>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</si>
  <si>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</si>
  <si>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</si>
  <si>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</si>
  <si>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</si>
  <si>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</si>
  <si>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</si>
  <si>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</si>
  <si>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</si>
  <si>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</si>
  <si>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</si>
  <si>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</si>
  <si>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</si>
  <si>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</si>
  <si>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</si>
  <si>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</si>
  <si>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</si>
  <si>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</si>
  <si>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</si>
  <si>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</si>
  <si>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</si>
  <si>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</si>
  <si>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</si>
  <si>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</si>
  <si>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</si>
  <si>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</si>
  <si>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</si>
  <si>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</si>
  <si>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</si>
  <si>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</si>
  <si>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</si>
  <si>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</si>
  <si>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</si>
  <si>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</si>
  <si>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</si>
  <si>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</si>
  <si>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</si>
  <si>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</si>
  <si>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</si>
  <si>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</si>
  <si>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</si>
  <si>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</si>
  <si>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</si>
  <si>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</si>
  <si>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</si>
  <si>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</si>
  <si>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</si>
  <si>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</si>
  <si>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</si>
  <si>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</si>
  <si>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</si>
  <si>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</si>
  <si>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</si>
  <si>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</si>
  <si>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</si>
  <si>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</si>
  <si>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</si>
  <si>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</si>
  <si>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</si>
  <si>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</si>
  <si>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</si>
  <si>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</si>
  <si>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</si>
  <si>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</si>
  <si>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</si>
  <si>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</si>
  <si>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</si>
  <si>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</si>
  <si>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</si>
  <si>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</si>
  <si>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</si>
  <si>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</si>
  <si>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</si>
  <si>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</si>
  <si>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</si>
  <si>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</si>
  <si>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</si>
  <si>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</si>
  <si>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</si>
  <si>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</si>
  <si>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</si>
  <si>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</si>
  <si>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</si>
  <si>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</si>
  <si>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</si>
  <si>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</si>
  <si>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</si>
  <si>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</si>
  <si>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</si>
  <si>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</si>
  <si>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</si>
  <si>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</si>
  <si>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</si>
  <si>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</si>
  <si>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</si>
  <si>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</si>
  <si>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</si>
  <si>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</si>
  <si>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</si>
  <si>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</si>
  <si>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</si>
  <si>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</si>
  <si>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</si>
  <si>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</si>
  <si>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</si>
  <si>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</si>
  <si>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</si>
  <si>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</si>
  <si>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</si>
  <si>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</si>
  <si>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</si>
  <si>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</si>
  <si>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</si>
  <si>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</si>
  <si>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</si>
  <si>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</si>
  <si>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</si>
  <si>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</si>
  <si>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</si>
  <si>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</si>
  <si>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</si>
  <si>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</si>
  <si>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</si>
  <si>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</si>
  <si>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</si>
  <si>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</si>
  <si>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</si>
  <si>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</si>
  <si>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</si>
  <si>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</si>
  <si>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</si>
  <si>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</si>
  <si>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</si>
  <si>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</si>
  <si>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</si>
  <si>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</si>
  <si>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</si>
  <si>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</si>
  <si>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</si>
  <si>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</si>
  <si>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</si>
  <si>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</si>
  <si>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</si>
  <si>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</si>
  <si>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</si>
  <si>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</si>
  <si>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</si>
  <si>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</si>
  <si>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</si>
  <si>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</si>
  <si>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</si>
  <si>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</si>
  <si>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</si>
  <si>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</si>
  <si>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</si>
  <si>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</si>
  <si>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</si>
  <si>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</si>
  <si>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</si>
  <si>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</si>
  <si>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</si>
  <si>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</si>
  <si>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</si>
  <si>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</si>
  <si>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</si>
  <si>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</si>
  <si>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</si>
  <si>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</si>
  <si>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</si>
  <si>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</si>
  <si>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</si>
  <si>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</si>
  <si>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</si>
  <si>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</si>
  <si>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</si>
  <si>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</si>
  <si>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</si>
  <si>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</si>
  <si>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</si>
  <si>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</si>
  <si>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</si>
  <si>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</si>
  <si>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</si>
  <si>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</si>
  <si>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</si>
  <si>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</si>
  <si>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</si>
  <si>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</si>
  <si>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</si>
  <si>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</si>
  <si>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</si>
  <si>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</si>
  <si>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</si>
  <si>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</si>
  <si>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</si>
  <si>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</si>
  <si>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</si>
  <si>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</si>
  <si>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</si>
  <si>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</si>
  <si>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</si>
  <si>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</si>
  <si>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</si>
  <si>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</si>
  <si>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</si>
  <si>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</si>
  <si>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</si>
  <si>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</si>
  <si>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</si>
  <si>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</si>
  <si>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</si>
  <si>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</si>
  <si>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</si>
  <si>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</si>
  <si>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</si>
  <si>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</si>
  <si>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</si>
  <si>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</si>
  <si>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</si>
  <si>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</si>
  <si>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</si>
  <si>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</si>
  <si>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</si>
  <si>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</si>
  <si>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</si>
  <si>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</si>
  <si>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</si>
  <si>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</si>
  <si>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</si>
  <si>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</si>
  <si>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</si>
  <si>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</si>
  <si>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</si>
  <si>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</si>
  <si>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</si>
  <si>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</si>
  <si>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</si>
  <si>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</si>
  <si>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</si>
  <si>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</si>
  <si>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</si>
  <si>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</si>
  <si>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</si>
  <si>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</si>
  <si>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</si>
  <si>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</si>
  <si>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</si>
  <si>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</si>
  <si>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</si>
  <si>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</si>
  <si>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</si>
  <si>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</si>
  <si>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</si>
  <si>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</si>
  <si>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</si>
  <si>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</si>
  <si>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</si>
  <si>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</si>
  <si>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</si>
  <si>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</si>
  <si>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</si>
  <si>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</si>
  <si>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</si>
  <si>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</si>
  <si>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</si>
  <si>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</si>
  <si>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</si>
  <si>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</si>
  <si>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</si>
  <si>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</si>
  <si>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</si>
  <si>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</si>
  <si>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</si>
  <si>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</si>
  <si>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</si>
  <si>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</si>
  <si>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</si>
  <si>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</si>
  <si>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</si>
  <si>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</si>
  <si>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Pool &amp; Spa wet facilites startted </t>
  </si>
  <si>
    <t>6th floor meeting room</t>
  </si>
  <si>
    <t xml:space="preserve">  `1</t>
  </si>
  <si>
    <t xml:space="preserve">Emergency Power Panel ( capacitor bank area) </t>
  </si>
  <si>
    <t>Prepaired by---Ramesh</t>
  </si>
  <si>
    <t xml:space="preserve"> .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</si>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</sst>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9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sz val="20"/>
      <color rgb="FF7030A0"/>
      <name val="Calibri"/>
      <family val="2"/>
    </font>
    <font>
      <sz val="20"/>
      <color indexed="8"/>
      <name val="Calibri"/>
      <family val="2"/>
    </font>
    <font>
      <sz val="20"/>
      <color rgb="FF00B050"/>
      <name val="Calibri"/>
      <family val="2"/>
    </font>
    <font>
      <b/>
      <sz val="20"/>
      <color indexed="10"/>
      <name val="Calibri"/>
      <family val="2"/>
    </font>
    <font>
      <sz val="20"/>
      <color indexed="10"/>
      <name val="Calibri"/>
      <family val="2"/>
    </font>
    <font>
      <i/>
      <sz val="20"/>
      <color rgb="FF7030A0"/>
      <name val="Calibri"/>
      <family val="2"/>
    </font>
    <font>
      <b/>
      <sz val="20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100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172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9" fontId="79" fillId="9" borderId="1" xfId="4" applyNumberFormat="1" applyFont="1" applyFill="1" applyBorder="1"/>
    <xf numFmtId="38" fontId="79" fillId="9" borderId="1" xfId="3" applyNumberFormat="1" applyFont="1" applyFill="1" applyBorder="1" applyAlignment="1">
      <alignment horizontal="center"/>
    </xf>
    <xf numFmtId="1" fontId="79" fillId="9" borderId="12" xfId="3" applyNumberFormat="1" applyFont="1" applyFill="1" applyBorder="1" applyAlignment="1">
      <alignment horizontal="center"/>
    </xf>
    <xf numFmtId="9" fontId="78" fillId="9" borderId="16" xfId="3" applyNumberFormat="1" applyFont="1" applyFill="1" applyBorder="1" applyAlignment="1">
      <alignment horizontal="left"/>
    </xf>
    <xf numFmtId="0" fontId="79" fillId="9" borderId="1" xfId="3" applyFont="1" applyFill="1" applyBorder="1" applyAlignment="1">
      <alignment horizontal="left"/>
    </xf>
    <xf numFmtId="0" fontId="79" fillId="9" borderId="1" xfId="3" applyFont="1" applyFill="1" applyBorder="1" applyAlignment="1"/>
    <xf numFmtId="1" fontId="79" fillId="9" borderId="1" xfId="3" applyNumberFormat="1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9" fontId="79" fillId="9" borderId="1" xfId="3" applyNumberFormat="1" applyFont="1" applyFill="1" applyBorder="1" applyAlignment="1">
      <alignment horizontal="left"/>
    </xf>
    <xf numFmtId="2" fontId="79" fillId="9" borderId="1" xfId="3" applyNumberFormat="1" applyFont="1" applyFill="1" applyBorder="1" applyAlignment="1">
      <alignment horizontal="center"/>
    </xf>
    <xf numFmtId="9" fontId="79" fillId="9" borderId="1" xfId="3" applyNumberFormat="1" applyFont="1" applyFill="1" applyBorder="1" applyAlignment="1">
      <alignment horizontal="center"/>
    </xf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>
      <alignment horizontal="center"/>
    </xf>
    <xf numFmtId="1" fontId="79" fillId="2" borderId="1" xfId="3" applyNumberFormat="1" applyFont="1" applyFill="1" applyBorder="1" applyAlignment="1">
      <alignment horizontal="center"/>
    </xf>
    <xf numFmtId="1" fontId="79" fillId="8" borderId="12" xfId="5" applyNumberFormat="1" applyFont="1" applyFill="1" applyBorder="1" applyAlignment="1" applyProtection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1" fontId="79" fillId="2" borderId="7" xfId="3" applyNumberFormat="1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69" fontId="79" fillId="8" borderId="1" xfId="3" applyNumberFormat="1" applyFont="1" applyFill="1" applyBorder="1" applyAlignment="1">
      <alignment vertical="center"/>
    </xf>
    <xf numFmtId="0" fontId="79" fillId="8" borderId="1" xfId="3" applyFont="1" applyFill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79" fillId="2" borderId="1" xfId="5" applyNumberFormat="1" applyFont="1" applyFill="1" applyBorder="1" applyAlignment="1">
      <alignment horizont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79" fillId="13" borderId="1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/>
    </xf>
    <xf numFmtId="1" fontId="79" fillId="12" borderId="1" xfId="3" applyNumberFormat="1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79" fillId="12" borderId="12" xfId="3" applyNumberFormat="1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9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76" fillId="2" borderId="1" xfId="5" applyNumberFormat="1" applyFont="1" applyFill="1" applyBorder="1" applyAlignment="1">
      <alignment horizontal="center"/>
    </xf>
    <xf numFmtId="0" fontId="78" fillId="2" borderId="16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9" fillId="2" borderId="12" xfId="5" applyNumberFormat="1" applyFont="1" applyFill="1" applyBorder="1" applyAlignment="1" applyProtection="1">
      <alignment horizontal="center"/>
    </xf>
    <xf numFmtId="1" fontId="85" fillId="0" borderId="1" xfId="4" applyNumberFormat="1" applyFont="1" applyBorder="1" applyAlignment="1">
      <alignment horizontal="center"/>
    </xf>
    <xf numFmtId="1" fontId="79" fillId="8" borderId="1" xfId="5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/>
    </xf>
    <xf numFmtId="1" fontId="79" fillId="2" borderId="1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 vertical="center"/>
    </xf>
    <xf numFmtId="0" fontId="79" fillId="13" borderId="1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center" vertical="center"/>
    </xf>
    <xf numFmtId="1" fontId="86" fillId="2" borderId="1" xfId="4" applyNumberFormat="1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 vertical="center"/>
    </xf>
    <xf numFmtId="1" fontId="76" fillId="12" borderId="1" xfId="3" applyNumberFormat="1" applyFont="1" applyFill="1" applyBorder="1" applyAlignment="1">
      <alignment horizontal="center"/>
    </xf>
    <xf numFmtId="0" fontId="87" fillId="2" borderId="13" xfId="3" applyFont="1" applyFill="1" applyBorder="1" applyAlignment="1">
      <alignment horizontal="center"/>
    </xf>
    <xf numFmtId="0" fontId="88" fillId="2" borderId="3" xfId="3" applyFont="1" applyFill="1" applyBorder="1" applyAlignment="1">
      <alignment horizontal="center"/>
    </xf>
    <xf numFmtId="0" fontId="88" fillId="2" borderId="4" xfId="3" applyFont="1" applyFill="1" applyBorder="1" applyAlignment="1">
      <alignment horizontal="center"/>
    </xf>
    <xf numFmtId="164" fontId="88" fillId="8" borderId="1" xfId="8" applyFont="1" applyFill="1" applyBorder="1" applyAlignment="1">
      <alignment horizontal="center"/>
    </xf>
    <xf numFmtId="1" fontId="8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88" fillId="8" borderId="1" xfId="3" applyFont="1" applyFill="1" applyBorder="1" applyAlignment="1">
      <alignment horizontal="center"/>
    </xf>
    <xf numFmtId="1" fontId="79" fillId="8" borderId="1" xfId="9" applyNumberFormat="1" applyFont="1" applyFill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6" fillId="8" borderId="1" xfId="5" applyNumberFormat="1" applyFont="1" applyFill="1" applyBorder="1" applyAlignment="1" applyProtection="1">
      <alignment horizontal="center"/>
    </xf>
    <xf numFmtId="0" fontId="87" fillId="13" borderId="13" xfId="3" applyFont="1" applyFill="1" applyBorder="1" applyAlignment="1">
      <alignment horizontal="center"/>
    </xf>
    <xf numFmtId="0" fontId="88" fillId="13" borderId="3" xfId="3" applyFont="1" applyFill="1" applyBorder="1" applyAlignment="1">
      <alignment horizontal="center"/>
    </xf>
    <xf numFmtId="0" fontId="88" fillId="13" borderId="4" xfId="3" applyFont="1" applyFill="1" applyBorder="1" applyAlignment="1">
      <alignment horizontal="center"/>
    </xf>
    <xf numFmtId="0" fontId="86" fillId="2" borderId="1" xfId="3" applyFont="1" applyFill="1" applyBorder="1" applyAlignment="1">
      <alignment horizontal="center"/>
    </xf>
    <xf numFmtId="1" fontId="86" fillId="2" borderId="1" xfId="3" applyNumberFormat="1" applyFont="1" applyFill="1" applyBorder="1" applyAlignment="1">
      <alignment horizontal="center"/>
    </xf>
    <xf numFmtId="43" fontId="86" fillId="8" borderId="1" xfId="19" applyFont="1" applyFill="1" applyBorder="1" applyAlignment="1" applyProtection="1">
      <alignment horizontal="center"/>
    </xf>
    <xf numFmtId="43" fontId="79" fillId="8" borderId="1" xfId="19" applyFont="1" applyFill="1" applyBorder="1" applyAlignment="1">
      <alignment horizontal="center"/>
    </xf>
    <xf numFmtId="43" fontId="86" fillId="2" borderId="1" xfId="19" applyFont="1" applyFill="1" applyBorder="1" applyAlignment="1">
      <alignment horizontal="center"/>
    </xf>
    <xf numFmtId="43" fontId="79" fillId="8" borderId="12" xfId="19" applyFont="1" applyFill="1" applyBorder="1" applyAlignment="1" applyProtection="1">
      <alignment horizontal="center"/>
    </xf>
    <xf numFmtId="0" fontId="83" fillId="17" borderId="3" xfId="3" applyFont="1" applyFill="1" applyBorder="1" applyAlignment="1">
      <alignment vertical="justify"/>
    </xf>
    <xf numFmtId="1" fontId="83" fillId="17" borderId="3" xfId="3" applyNumberFormat="1" applyFont="1" applyFill="1" applyBorder="1" applyAlignment="1">
      <alignment horizontal="center"/>
    </xf>
    <xf numFmtId="1" fontId="83" fillId="17" borderId="21" xfId="3" applyNumberFormat="1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0" fontId="79" fillId="12" borderId="1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left" vertical="center"/>
    </xf>
    <xf numFmtId="1" fontId="79" fillId="8" borderId="1" xfId="3" applyNumberFormat="1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justify"/>
    </xf>
    <xf numFmtId="0" fontId="83" fillId="2" borderId="0" xfId="3" applyFont="1" applyFill="1" applyBorder="1" applyAlignment="1">
      <alignment horizontal="center" vertical="center"/>
    </xf>
    <xf numFmtId="0" fontId="79" fillId="17" borderId="1" xfId="3" applyFont="1" applyFill="1" applyBorder="1" applyAlignment="1">
      <alignment horizontal="center"/>
    </xf>
    <xf numFmtId="1" fontId="79" fillId="17" borderId="1" xfId="3" applyNumberFormat="1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79" fillId="17" borderId="12" xfId="3" applyNumberFormat="1" applyFont="1" applyFill="1" applyBorder="1" applyAlignment="1">
      <alignment horizont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9" fillId="2" borderId="1" xfId="5" applyNumberFormat="1" applyFont="1" applyFill="1" applyBorder="1" applyAlignment="1">
      <alignment horizontal="center"/>
    </xf>
    <xf numFmtId="38" fontId="77" fillId="2" borderId="1" xfId="3" applyNumberFormat="1" applyFont="1" applyFill="1" applyBorder="1" applyAlignment="1">
      <alignment horizontal="center"/>
    </xf>
    <xf numFmtId="165" fontId="79" fillId="8" borderId="1" xfId="7" applyFont="1" applyFill="1" applyBorder="1" applyAlignment="1">
      <alignment horizontal="center" wrapText="1"/>
    </xf>
    <xf numFmtId="0" fontId="77" fillId="0" borderId="1" xfId="0" applyFont="1" applyBorder="1" applyAlignment="1">
      <alignment horizontal="left"/>
    </xf>
    <xf numFmtId="0" fontId="77" fillId="0" borderId="0" xfId="0" applyFont="1" applyBorder="1" applyAlignment="1">
      <alignment horizontal="center"/>
    </xf>
    <xf numFmtId="38" fontId="77" fillId="0" borderId="0" xfId="0" applyNumberFormat="1" applyFont="1" applyBorder="1" applyAlignment="1">
      <alignment horizontal="center"/>
    </xf>
    <xf numFmtId="1" fontId="77" fillId="0" borderId="0" xfId="0" applyNumberFormat="1" applyFont="1" applyBorder="1" applyAlignment="1">
      <alignment horizontal="center"/>
    </xf>
    <xf numFmtId="1" fontId="77" fillId="0" borderId="24" xfId="0" applyNumberFormat="1" applyFont="1" applyBorder="1" applyAlignment="1">
      <alignment horizontal="center"/>
    </xf>
    <xf numFmtId="38" fontId="77" fillId="17" borderId="1" xfId="3" applyNumberFormat="1" applyFont="1" applyFill="1" applyBorder="1" applyAlignment="1">
      <alignment horizontal="center"/>
    </xf>
    <xf numFmtId="0" fontId="77" fillId="17" borderId="1" xfId="3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0" fontId="79" fillId="2" borderId="1" xfId="4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38" fontId="79" fillId="12" borderId="1" xfId="5" applyNumberFormat="1" applyFont="1" applyFill="1" applyBorder="1" applyAlignment="1">
      <alignment horizontal="center"/>
    </xf>
    <xf numFmtId="1" fontId="79" fillId="12" borderId="1" xfId="5" applyNumberFormat="1" applyFont="1" applyFill="1" applyBorder="1" applyAlignment="1">
      <alignment horizontal="center"/>
    </xf>
    <xf numFmtId="1" fontId="79" fillId="12" borderId="12" xfId="5" applyNumberFormat="1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9" fillId="0" borderId="1" xfId="5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38" fontId="79" fillId="8" borderId="1" xfId="3" applyNumberFormat="1" applyFont="1" applyFill="1" applyBorder="1" applyAlignment="1">
      <alignment horizontal="center"/>
    </xf>
    <xf numFmtId="38" fontId="79" fillId="8" borderId="1" xfId="6" applyNumberFormat="1" applyFont="1" applyFill="1" applyBorder="1" applyAlignment="1">
      <alignment horizontal="center"/>
    </xf>
    <xf numFmtId="167" fontId="79" fillId="0" borderId="1" xfId="6" applyNumberFormat="1" applyFont="1" applyFill="1" applyBorder="1" applyAlignment="1">
      <alignment horizontal="center"/>
    </xf>
    <xf numFmtId="0" fontId="77" fillId="0" borderId="0" xfId="4" applyFont="1"/>
    <xf numFmtId="0" fontId="79" fillId="8" borderId="6" xfId="3" applyFont="1" applyFill="1" applyBorder="1" applyAlignment="1">
      <alignment horizontal="center"/>
    </xf>
    <xf numFmtId="2" fontId="79" fillId="8" borderId="6" xfId="3" applyNumberFormat="1" applyFont="1" applyFill="1" applyBorder="1" applyAlignment="1">
      <alignment horizontal="center"/>
    </xf>
    <xf numFmtId="38" fontId="79" fillId="8" borderId="6" xfId="6" applyNumberFormat="1" applyFont="1" applyFill="1" applyBorder="1" applyAlignment="1">
      <alignment horizontal="center"/>
    </xf>
    <xf numFmtId="1" fontId="79" fillId="8" borderId="17" xfId="5" applyNumberFormat="1" applyFont="1" applyFill="1" applyBorder="1" applyAlignment="1" applyProtection="1">
      <alignment horizontal="center"/>
    </xf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1" xfId="0" applyFont="1" applyBorder="1"/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" fontId="79" fillId="8" borderId="1" xfId="5" applyNumberFormat="1" applyFont="1" applyFill="1" applyBorder="1" applyAlignment="1" applyProtection="1">
      <alignment horizontal="center"/>
    </xf>
    <xf numFmtId="0" fontId="79" fillId="0" borderId="1" xfId="0" applyFont="1" applyFill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0" fontId="77" fillId="0" borderId="3" xfId="0" applyFont="1" applyBorder="1" applyAlignment="1"/>
    <xf numFmtId="0" fontId="77" fillId="0" borderId="4" xfId="0" applyFont="1" applyBorder="1" applyAlignment="1"/>
    <xf numFmtId="1" fontId="77" fillId="0" borderId="0" xfId="0" applyNumberFormat="1" applyFont="1" applyFill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9" fillId="0" borderId="1" xfId="3" applyFont="1" applyFill="1" applyBorder="1" applyAlignment="1">
      <alignment horizontal="center"/>
    </xf>
    <xf numFmtId="1" fontId="79" fillId="0" borderId="1" xfId="3" applyNumberFormat="1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 applyProtection="1">
      <alignment horizontal="center"/>
    </xf>
    <xf numFmtId="2" fontId="76" fillId="0" borderId="1" xfId="3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9" fillId="0" borderId="1" xfId="3" applyFont="1" applyFill="1" applyBorder="1" applyAlignment="1">
      <alignment horizontal="center" vertical="center"/>
    </xf>
    <xf numFmtId="0" fontId="79" fillId="0" borderId="0" xfId="4" applyFont="1" applyFill="1" applyBorder="1" applyAlignment="1">
      <alignment horizontal="center"/>
    </xf>
    <xf numFmtId="0" fontId="79" fillId="0" borderId="0" xfId="3" applyFont="1" applyFill="1" applyBorder="1" applyAlignment="1">
      <alignment horizontal="center"/>
    </xf>
    <xf numFmtId="38" fontId="79" fillId="0" borderId="0" xfId="5" applyNumberFormat="1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1" fontId="79" fillId="0" borderId="2" xfId="5" applyNumberFormat="1" applyFont="1" applyFill="1" applyBorder="1" applyAlignment="1" applyProtection="1">
      <alignment horizontal="center"/>
    </xf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/>
    </xf>
    <xf numFmtId="0" fontId="90" fillId="0" borderId="16" xfId="4" applyFont="1" applyFill="1" applyBorder="1"/>
    <xf numFmtId="0" fontId="76" fillId="0" borderId="1" xfId="0" applyFont="1" applyFill="1" applyBorder="1"/>
    <xf numFmtId="0" fontId="79" fillId="0" borderId="1" xfId="4" applyFont="1" applyFill="1" applyBorder="1"/>
    <xf numFmtId="0" fontId="77" fillId="0" borderId="1" xfId="3" applyFont="1" applyFill="1" applyBorder="1" applyAlignment="1">
      <alignment horizontal="center"/>
    </xf>
    <xf numFmtId="38" fontId="79" fillId="0" borderId="1" xfId="3" applyNumberFormat="1" applyFont="1" applyFill="1" applyBorder="1" applyAlignment="1">
      <alignment horizontal="center"/>
    </xf>
    <xf numFmtId="1" fontId="79" fillId="0" borderId="12" xfId="5" applyNumberFormat="1" applyFont="1" applyFill="1" applyBorder="1" applyAlignment="1" applyProtection="1">
      <alignment horizontal="center"/>
    </xf>
    <xf numFmtId="0" fontId="77" fillId="2" borderId="0" xfId="0" applyFont="1" applyFill="1" applyBorder="1"/>
    <xf numFmtId="0" fontId="77" fillId="0" borderId="4" xfId="0" applyFont="1" applyBorder="1" applyAlignment="1">
      <alignment horizontal="center"/>
    </xf>
    <xf numFmtId="1" fontId="77" fillId="0" borderId="12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left"/>
    </xf>
    <xf numFmtId="38" fontId="77" fillId="0" borderId="1" xfId="0" applyNumberFormat="1" applyFont="1" applyFill="1" applyBorder="1" applyAlignment="1">
      <alignment horizontal="center"/>
    </xf>
    <xf numFmtId="1" fontId="77" fillId="0" borderId="12" xfId="0" applyNumberFormat="1" applyFont="1" applyFill="1" applyBorder="1" applyAlignment="1">
      <alignment horizontal="center"/>
    </xf>
    <xf numFmtId="0" fontId="77" fillId="0" borderId="4" xfId="0" applyFont="1" applyFill="1" applyBorder="1"/>
    <xf numFmtId="0" fontId="77" fillId="0" borderId="4" xfId="0" applyFont="1" applyFill="1" applyBorder="1" applyAlignment="1">
      <alignment horizontal="center"/>
    </xf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38" fontId="77" fillId="12" borderId="1" xfId="0" applyNumberFormat="1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77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6" fillId="8" borderId="14" xfId="3" applyFont="1" applyFill="1" applyBorder="1" applyAlignment="1">
      <alignment horizontal="center"/>
    </xf>
    <xf numFmtId="0" fontId="76" fillId="8" borderId="11" xfId="3" applyFont="1" applyFill="1" applyBorder="1" applyAlignment="1">
      <alignment horizontal="center"/>
    </xf>
    <xf numFmtId="0" fontId="76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9" fillId="9" borderId="2" xfId="3" applyFont="1" applyFill="1" applyBorder="1" applyAlignment="1">
      <alignment horizontal="center"/>
    </xf>
    <xf numFmtId="0" fontId="79" fillId="9" borderId="4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89" fillId="17" borderId="13" xfId="3" applyFont="1" applyFill="1" applyBorder="1" applyAlignment="1">
      <alignment horizontal="center" vertical="center"/>
    </xf>
    <xf numFmtId="0" fontId="89" fillId="17" borderId="3" xfId="3" applyFont="1" applyFill="1" applyBorder="1" applyAlignment="1">
      <alignment horizontal="center" vertic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77" fillId="0" borderId="13" xfId="0" applyFont="1" applyBorder="1" applyAlignment="1">
      <alignment horizontal="left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77" fillId="12" borderId="0" xfId="0" applyFont="1" applyFill="1" applyAlignment="1">
      <alignment horizontal="center"/>
    </xf>
    <xf numFmtId="0" fontId="77" fillId="12" borderId="2" xfId="0" applyFont="1" applyFill="1" applyBorder="1" applyAlignment="1">
      <alignment horizontal="center"/>
    </xf>
    <xf numFmtId="0" fontId="77" fillId="12" borderId="3" xfId="0" applyFont="1" applyFill="1" applyBorder="1" applyAlignment="1">
      <alignment horizontal="center"/>
    </xf>
    <xf numFmtId="0" fontId="77" fillId="12" borderId="4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77" fillId="2" borderId="13" xfId="0" applyFont="1" applyFill="1" applyBorder="1" applyAlignment="1">
      <alignment horizontal="left"/>
    </xf>
    <xf numFmtId="0" fontId="77" fillId="2" borderId="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77" fillId="2" borderId="2" xfId="0" applyFont="1" applyFill="1" applyBorder="1" applyAlignment="1">
      <alignment horizontal="left"/>
    </xf>
    <xf numFmtId="0" fontId="77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77" fillId="11" borderId="13" xfId="0" applyFont="1" applyFill="1" applyBorder="1" applyAlignment="1">
      <alignment horizontal="left"/>
    </xf>
    <xf numFmtId="0" fontId="77" fillId="11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35.5</c:v>
                </c:pt>
                <c:pt idx="1">
                  <c:v>35.25</c:v>
                </c:pt>
                <c:pt idx="2">
                  <c:v>36</c:v>
                </c:pt>
                <c:pt idx="3">
                  <c:v>37.260000000002037</c:v>
                </c:pt>
                <c:pt idx="4">
                  <c:v>38.71000000000231</c:v>
                </c:pt>
                <c:pt idx="5">
                  <c:v>39.619999999994889</c:v>
                </c:pt>
                <c:pt idx="6">
                  <c:v>40.169999999997344</c:v>
                </c:pt>
                <c:pt idx="7">
                  <c:v>40.240000000002055</c:v>
                </c:pt>
                <c:pt idx="8">
                  <c:v>41.080000000001291</c:v>
                </c:pt>
                <c:pt idx="9">
                  <c:v>42.920000000000073</c:v>
                </c:pt>
                <c:pt idx="10">
                  <c:v>32.250000000000909</c:v>
                </c:pt>
                <c:pt idx="11">
                  <c:v>38.789999999999964</c:v>
                </c:pt>
                <c:pt idx="12">
                  <c:v>39</c:v>
                </c:pt>
                <c:pt idx="13">
                  <c:v>45.959999999999127</c:v>
                </c:pt>
                <c:pt idx="14">
                  <c:v>41</c:v>
                </c:pt>
                <c:pt idx="15">
                  <c:v>38</c:v>
                </c:pt>
                <c:pt idx="16">
                  <c:v>40.470000000001164</c:v>
                </c:pt>
                <c:pt idx="17">
                  <c:v>39.260000000002037</c:v>
                </c:pt>
                <c:pt idx="18">
                  <c:v>41.759999999994761</c:v>
                </c:pt>
                <c:pt idx="19">
                  <c:v>42.509999999995671</c:v>
                </c:pt>
                <c:pt idx="20">
                  <c:v>41.840000000003783</c:v>
                </c:pt>
                <c:pt idx="21">
                  <c:v>41.090000000003783</c:v>
                </c:pt>
                <c:pt idx="22">
                  <c:v>49.059999999997672</c:v>
                </c:pt>
                <c:pt idx="23">
                  <c:v>44.21999999999889</c:v>
                </c:pt>
                <c:pt idx="24">
                  <c:v>40.300000000005639</c:v>
                </c:pt>
                <c:pt idx="25">
                  <c:v>39.670000000002801</c:v>
                </c:pt>
                <c:pt idx="26">
                  <c:v>38.299999999996999</c:v>
                </c:pt>
                <c:pt idx="27">
                  <c:v>40.519999999996799</c:v>
                </c:pt>
                <c:pt idx="28">
                  <c:v>42.579999999999927</c:v>
                </c:pt>
                <c:pt idx="29">
                  <c:v>39.420000000000073</c:v>
                </c:pt>
                <c:pt idx="30">
                  <c:v>0</c:v>
                </c:pt>
                <c:pt idx="31">
                  <c:v>1202.75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6232192"/>
        <c:axId val="114991488"/>
      </c:lineChart>
      <c:catAx>
        <c:axId val="1162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91488"/>
        <c:crosses val="autoZero"/>
        <c:auto val="1"/>
        <c:lblAlgn val="ctr"/>
        <c:lblOffset val="100"/>
        <c:noMultiLvlLbl val="0"/>
      </c:catAx>
      <c:valAx>
        <c:axId val="11499148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623219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19.579999999998108</c:v>
                </c:pt>
                <c:pt idx="1">
                  <c:v>17.579999999998108</c:v>
                </c:pt>
                <c:pt idx="2">
                  <c:v>20.540000000000873</c:v>
                </c:pt>
                <c:pt idx="3">
                  <c:v>18</c:v>
                </c:pt>
                <c:pt idx="4">
                  <c:v>20.099999999998545</c:v>
                </c:pt>
                <c:pt idx="5">
                  <c:v>20.349999999998545</c:v>
                </c:pt>
                <c:pt idx="6">
                  <c:v>20.230000000006839</c:v>
                </c:pt>
                <c:pt idx="7">
                  <c:v>19.830000000001746</c:v>
                </c:pt>
                <c:pt idx="8">
                  <c:v>21.269999999989523</c:v>
                </c:pt>
                <c:pt idx="9">
                  <c:v>19.670000000009168</c:v>
                </c:pt>
                <c:pt idx="10">
                  <c:v>19.900000000001455</c:v>
                </c:pt>
                <c:pt idx="11">
                  <c:v>18.329999999998108</c:v>
                </c:pt>
                <c:pt idx="12">
                  <c:v>24.809999999994034</c:v>
                </c:pt>
                <c:pt idx="13">
                  <c:v>21.480000000006839</c:v>
                </c:pt>
                <c:pt idx="14">
                  <c:v>20.739999999990687</c:v>
                </c:pt>
                <c:pt idx="15">
                  <c:v>21.290000000004511</c:v>
                </c:pt>
                <c:pt idx="16">
                  <c:v>21.380000000001019</c:v>
                </c:pt>
                <c:pt idx="17">
                  <c:v>19.619999999998981</c:v>
                </c:pt>
                <c:pt idx="18">
                  <c:v>22</c:v>
                </c:pt>
                <c:pt idx="19">
                  <c:v>20.680000000003929</c:v>
                </c:pt>
                <c:pt idx="20">
                  <c:v>22.139999999988504</c:v>
                </c:pt>
                <c:pt idx="21">
                  <c:v>19.850000000002183</c:v>
                </c:pt>
                <c:pt idx="22">
                  <c:v>22.290000000008149</c:v>
                </c:pt>
                <c:pt idx="23">
                  <c:v>17.849999999987631</c:v>
                </c:pt>
                <c:pt idx="24">
                  <c:v>20.950000000000728</c:v>
                </c:pt>
                <c:pt idx="25">
                  <c:v>19.710000000006403</c:v>
                </c:pt>
                <c:pt idx="26">
                  <c:v>18.510000000002037</c:v>
                </c:pt>
                <c:pt idx="27">
                  <c:v>21.200000000004366</c:v>
                </c:pt>
                <c:pt idx="28">
                  <c:v>16.819999999996071</c:v>
                </c:pt>
                <c:pt idx="29">
                  <c:v>19.869999999998981</c:v>
                </c:pt>
                <c:pt idx="30">
                  <c:v>0</c:v>
                </c:pt>
                <c:pt idx="31">
                  <c:v>606.56999999999607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5102464"/>
        <c:axId val="115104000"/>
      </c:lineChart>
      <c:catAx>
        <c:axId val="11510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04000"/>
        <c:crosses val="autoZero"/>
        <c:auto val="1"/>
        <c:lblAlgn val="ctr"/>
        <c:lblOffset val="100"/>
        <c:noMultiLvlLbl val="0"/>
      </c:catAx>
      <c:valAx>
        <c:axId val="11510400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0246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881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331</c:v>
                </c:pt>
                <c:pt idx="1">
                  <c:v>285</c:v>
                </c:pt>
                <c:pt idx="2">
                  <c:v>329</c:v>
                </c:pt>
                <c:pt idx="3">
                  <c:v>326</c:v>
                </c:pt>
                <c:pt idx="4">
                  <c:v>286</c:v>
                </c:pt>
                <c:pt idx="5">
                  <c:v>310</c:v>
                </c:pt>
                <c:pt idx="6">
                  <c:v>206</c:v>
                </c:pt>
                <c:pt idx="7">
                  <c:v>278</c:v>
                </c:pt>
                <c:pt idx="8">
                  <c:v>327</c:v>
                </c:pt>
                <c:pt idx="9">
                  <c:v>356</c:v>
                </c:pt>
                <c:pt idx="10">
                  <c:v>261</c:v>
                </c:pt>
                <c:pt idx="11">
                  <c:v>260</c:v>
                </c:pt>
                <c:pt idx="12">
                  <c:v>288</c:v>
                </c:pt>
                <c:pt idx="13">
                  <c:v>362</c:v>
                </c:pt>
                <c:pt idx="14">
                  <c:v>269</c:v>
                </c:pt>
                <c:pt idx="15">
                  <c:v>362</c:v>
                </c:pt>
                <c:pt idx="16">
                  <c:v>270</c:v>
                </c:pt>
                <c:pt idx="17">
                  <c:v>255</c:v>
                </c:pt>
                <c:pt idx="18">
                  <c:v>274</c:v>
                </c:pt>
                <c:pt idx="19">
                  <c:v>307</c:v>
                </c:pt>
                <c:pt idx="20">
                  <c:v>277</c:v>
                </c:pt>
                <c:pt idx="21">
                  <c:v>296</c:v>
                </c:pt>
                <c:pt idx="22">
                  <c:v>291</c:v>
                </c:pt>
                <c:pt idx="23">
                  <c:v>307</c:v>
                </c:pt>
                <c:pt idx="24">
                  <c:v>381</c:v>
                </c:pt>
                <c:pt idx="25">
                  <c:v>328</c:v>
                </c:pt>
                <c:pt idx="26">
                  <c:v>280</c:v>
                </c:pt>
                <c:pt idx="27">
                  <c:v>313</c:v>
                </c:pt>
                <c:pt idx="28">
                  <c:v>311</c:v>
                </c:pt>
                <c:pt idx="29">
                  <c:v>379</c:v>
                </c:pt>
                <c:pt idx="30">
                  <c:v>220</c:v>
                </c:pt>
                <c:pt idx="31">
                  <c:v>9325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5444736"/>
        <c:axId val="115659520"/>
      </c:lineChart>
      <c:catAx>
        <c:axId val="11544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9520"/>
        <c:crosses val="autoZero"/>
        <c:auto val="1"/>
        <c:lblAlgn val="ctr"/>
        <c:lblOffset val="100"/>
        <c:noMultiLvlLbl val="0"/>
      </c:catAx>
      <c:valAx>
        <c:axId val="11565952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44736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92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1086</c:v>
                </c:pt>
                <c:pt idx="1">
                  <c:v>1084</c:v>
                </c:pt>
                <c:pt idx="2">
                  <c:v>1110</c:v>
                </c:pt>
                <c:pt idx="3">
                  <c:v>1059</c:v>
                </c:pt>
                <c:pt idx="4">
                  <c:v>1117.8899999998976</c:v>
                </c:pt>
                <c:pt idx="5">
                  <c:v>1125.8300000000745</c:v>
                </c:pt>
                <c:pt idx="6">
                  <c:v>1059.5700000000652</c:v>
                </c:pt>
                <c:pt idx="7">
                  <c:v>1091.9399999999441</c:v>
                </c:pt>
                <c:pt idx="8">
                  <c:v>1090.3829999999143</c:v>
                </c:pt>
                <c:pt idx="9">
                  <c:v>1087.3870000001043</c:v>
                </c:pt>
                <c:pt idx="10">
                  <c:v>1115.2600000000093</c:v>
                </c:pt>
                <c:pt idx="11">
                  <c:v>1116.7399999999907</c:v>
                </c:pt>
                <c:pt idx="12">
                  <c:v>1076</c:v>
                </c:pt>
                <c:pt idx="13">
                  <c:v>1054</c:v>
                </c:pt>
                <c:pt idx="14">
                  <c:v>998</c:v>
                </c:pt>
                <c:pt idx="15">
                  <c:v>1153</c:v>
                </c:pt>
                <c:pt idx="16">
                  <c:v>1081</c:v>
                </c:pt>
                <c:pt idx="17">
                  <c:v>1092</c:v>
                </c:pt>
                <c:pt idx="18">
                  <c:v>1090</c:v>
                </c:pt>
                <c:pt idx="19">
                  <c:v>1090.6999999999534</c:v>
                </c:pt>
                <c:pt idx="20">
                  <c:v>1136.9899999999907</c:v>
                </c:pt>
                <c:pt idx="21">
                  <c:v>1078.8900000001304</c:v>
                </c:pt>
                <c:pt idx="22">
                  <c:v>1118.1399999998976</c:v>
                </c:pt>
                <c:pt idx="23">
                  <c:v>1099.2700000000186</c:v>
                </c:pt>
                <c:pt idx="24">
                  <c:v>1092.0100000000093</c:v>
                </c:pt>
                <c:pt idx="25">
                  <c:v>1116</c:v>
                </c:pt>
                <c:pt idx="26">
                  <c:v>1061</c:v>
                </c:pt>
                <c:pt idx="27">
                  <c:v>1107</c:v>
                </c:pt>
                <c:pt idx="28">
                  <c:v>1096</c:v>
                </c:pt>
                <c:pt idx="29">
                  <c:v>1106</c:v>
                </c:pt>
                <c:pt idx="30">
                  <c:v>0</c:v>
                </c:pt>
                <c:pt idx="31">
                  <c:v>32790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70816"/>
        <c:axId val="115972352"/>
      </c:lineChart>
      <c:catAx>
        <c:axId val="11597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72352"/>
        <c:crosses val="autoZero"/>
        <c:auto val="1"/>
        <c:lblAlgn val="ctr"/>
        <c:lblOffset val="100"/>
        <c:noMultiLvlLbl val="0"/>
      </c:catAx>
      <c:valAx>
        <c:axId val="1159723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7081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979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3316.570000000007</c:v>
                </c:pt>
                <c:pt idx="1">
                  <c:v>3422</c:v>
                </c:pt>
                <c:pt idx="2">
                  <c:v>3290</c:v>
                </c:pt>
                <c:pt idx="3">
                  <c:v>3251</c:v>
                </c:pt>
                <c:pt idx="4">
                  <c:v>3265.2699999999895</c:v>
                </c:pt>
                <c:pt idx="5">
                  <c:v>3292.3399999999965</c:v>
                </c:pt>
                <c:pt idx="6">
                  <c:v>3334.6600000000326</c:v>
                </c:pt>
                <c:pt idx="7">
                  <c:v>3259.4400000000023</c:v>
                </c:pt>
                <c:pt idx="8">
                  <c:v>3193.7699999999604</c:v>
                </c:pt>
                <c:pt idx="9">
                  <c:v>3362.4200000000419</c:v>
                </c:pt>
                <c:pt idx="10">
                  <c:v>3209.9699999999721</c:v>
                </c:pt>
                <c:pt idx="11">
                  <c:v>3231.1300000000047</c:v>
                </c:pt>
                <c:pt idx="12">
                  <c:v>3268</c:v>
                </c:pt>
                <c:pt idx="13">
                  <c:v>3305</c:v>
                </c:pt>
                <c:pt idx="14">
                  <c:v>3266</c:v>
                </c:pt>
                <c:pt idx="15">
                  <c:v>3268</c:v>
                </c:pt>
                <c:pt idx="16">
                  <c:v>3351</c:v>
                </c:pt>
                <c:pt idx="17">
                  <c:v>3285</c:v>
                </c:pt>
                <c:pt idx="18">
                  <c:v>3229</c:v>
                </c:pt>
                <c:pt idx="19">
                  <c:v>3276.3699999999953</c:v>
                </c:pt>
                <c:pt idx="20">
                  <c:v>3181.3800000000047</c:v>
                </c:pt>
                <c:pt idx="21">
                  <c:v>3155.179999999993</c:v>
                </c:pt>
                <c:pt idx="22">
                  <c:v>3156.7999999999884</c:v>
                </c:pt>
                <c:pt idx="23">
                  <c:v>3178.3800000000047</c:v>
                </c:pt>
                <c:pt idx="24">
                  <c:v>3106.2800000000279</c:v>
                </c:pt>
                <c:pt idx="25">
                  <c:v>2871.9400000000023</c:v>
                </c:pt>
                <c:pt idx="26">
                  <c:v>2859.6699999999837</c:v>
                </c:pt>
                <c:pt idx="27">
                  <c:v>2899</c:v>
                </c:pt>
                <c:pt idx="28">
                  <c:v>2849</c:v>
                </c:pt>
                <c:pt idx="29">
                  <c:v>2900</c:v>
                </c:pt>
                <c:pt idx="30">
                  <c:v>0</c:v>
                </c:pt>
                <c:pt idx="31">
                  <c:v>95834.57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6231552"/>
        <c:axId val="116245632"/>
      </c:lineChart>
      <c:catAx>
        <c:axId val="11623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45632"/>
        <c:crosses val="autoZero"/>
        <c:auto val="1"/>
        <c:lblAlgn val="ctr"/>
        <c:lblOffset val="100"/>
        <c:noMultiLvlLbl val="0"/>
      </c:catAx>
      <c:valAx>
        <c:axId val="11624563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3155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2204.7900000000081</c:v>
                </c:pt>
                <c:pt idx="1">
                  <c:v>2080</c:v>
                </c:pt>
                <c:pt idx="2">
                  <c:v>2036</c:v>
                </c:pt>
                <c:pt idx="3">
                  <c:v>2039</c:v>
                </c:pt>
                <c:pt idx="4">
                  <c:v>2156.1499999999942</c:v>
                </c:pt>
                <c:pt idx="5">
                  <c:v>2151.0100000000093</c:v>
                </c:pt>
                <c:pt idx="6">
                  <c:v>2173.1600000000035</c:v>
                </c:pt>
                <c:pt idx="7">
                  <c:v>2213.4100000000035</c:v>
                </c:pt>
                <c:pt idx="8">
                  <c:v>2178.0999999999767</c:v>
                </c:pt>
                <c:pt idx="9">
                  <c:v>2321.5100000000093</c:v>
                </c:pt>
                <c:pt idx="10">
                  <c:v>2156.8000000000175</c:v>
                </c:pt>
                <c:pt idx="11">
                  <c:v>2196.859999999986</c:v>
                </c:pt>
                <c:pt idx="12">
                  <c:v>2137</c:v>
                </c:pt>
                <c:pt idx="13">
                  <c:v>2166</c:v>
                </c:pt>
                <c:pt idx="14">
                  <c:v>2145</c:v>
                </c:pt>
                <c:pt idx="15">
                  <c:v>2150</c:v>
                </c:pt>
                <c:pt idx="16">
                  <c:v>2161</c:v>
                </c:pt>
                <c:pt idx="17">
                  <c:v>2143</c:v>
                </c:pt>
                <c:pt idx="18">
                  <c:v>2112</c:v>
                </c:pt>
                <c:pt idx="19">
                  <c:v>2147.609999999986</c:v>
                </c:pt>
                <c:pt idx="20">
                  <c:v>2215.4400000000023</c:v>
                </c:pt>
                <c:pt idx="21">
                  <c:v>2146.2000000000116</c:v>
                </c:pt>
                <c:pt idx="22">
                  <c:v>2048.820000000007</c:v>
                </c:pt>
                <c:pt idx="23">
                  <c:v>2081</c:v>
                </c:pt>
                <c:pt idx="24">
                  <c:v>2131.6199999999953</c:v>
                </c:pt>
                <c:pt idx="25">
                  <c:v>2058.2000000000116</c:v>
                </c:pt>
                <c:pt idx="26">
                  <c:v>2069.109999999986</c:v>
                </c:pt>
                <c:pt idx="27">
                  <c:v>2136</c:v>
                </c:pt>
                <c:pt idx="28">
                  <c:v>2288</c:v>
                </c:pt>
                <c:pt idx="29">
                  <c:v>2363</c:v>
                </c:pt>
                <c:pt idx="30">
                  <c:v>0</c:v>
                </c:pt>
                <c:pt idx="31">
                  <c:v>64605.790000000008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15072"/>
        <c:axId val="117316608"/>
      </c:lineChart>
      <c:catAx>
        <c:axId val="11731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16608"/>
        <c:crosses val="autoZero"/>
        <c:auto val="1"/>
        <c:lblAlgn val="ctr"/>
        <c:lblOffset val="100"/>
        <c:noMultiLvlLbl val="0"/>
      </c:catAx>
      <c:valAx>
        <c:axId val="11731660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150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0.86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0.98</c:v>
                </c:pt>
                <c:pt idx="8">
                  <c:v>0.92</c:v>
                </c:pt>
                <c:pt idx="9">
                  <c:v>0.91</c:v>
                </c:pt>
                <c:pt idx="10">
                  <c:v>0.72</c:v>
                </c:pt>
                <c:pt idx="11">
                  <c:v>0.82</c:v>
                </c:pt>
                <c:pt idx="12">
                  <c:v>0.83</c:v>
                </c:pt>
                <c:pt idx="13">
                  <c:v>0.75</c:v>
                </c:pt>
                <c:pt idx="14">
                  <c:v>0.72</c:v>
                </c:pt>
                <c:pt idx="15">
                  <c:v>1</c:v>
                </c:pt>
                <c:pt idx="16">
                  <c:v>0.91</c:v>
                </c:pt>
                <c:pt idx="17">
                  <c:v>0.88</c:v>
                </c:pt>
                <c:pt idx="18">
                  <c:v>1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0.72</c:v>
                </c:pt>
                <c:pt idx="30">
                  <c:v>32</c:v>
                </c:pt>
                <c:pt idx="31">
                  <c:v>1.8594548387096776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19136"/>
        <c:axId val="41825024"/>
      </c:lineChart>
      <c:catAx>
        <c:axId val="4181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25024"/>
        <c:crosses val="autoZero"/>
        <c:auto val="1"/>
        <c:lblAlgn val="ctr"/>
        <c:lblOffset val="100"/>
        <c:noMultiLvlLbl val="0"/>
      </c:catAx>
      <c:valAx>
        <c:axId val="418250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41819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27412.78</c:v>
                </c:pt>
                <c:pt idx="1">
                  <c:v>27332</c:v>
                </c:pt>
                <c:pt idx="2">
                  <c:v>26968</c:v>
                </c:pt>
                <c:pt idx="3">
                  <c:v>26930</c:v>
                </c:pt>
                <c:pt idx="4">
                  <c:v>27471.010000000009</c:v>
                </c:pt>
                <c:pt idx="5">
                  <c:v>28151.059999999998</c:v>
                </c:pt>
                <c:pt idx="6">
                  <c:v>28469.679999999993</c:v>
                </c:pt>
                <c:pt idx="7">
                  <c:v>29142.900000000023</c:v>
                </c:pt>
                <c:pt idx="8">
                  <c:v>30000</c:v>
                </c:pt>
                <c:pt idx="9">
                  <c:v>31171.849999999977</c:v>
                </c:pt>
                <c:pt idx="10">
                  <c:v>26950.5</c:v>
                </c:pt>
                <c:pt idx="11">
                  <c:v>28588</c:v>
                </c:pt>
                <c:pt idx="12">
                  <c:v>29100</c:v>
                </c:pt>
                <c:pt idx="13">
                  <c:v>31246</c:v>
                </c:pt>
                <c:pt idx="14">
                  <c:v>28556</c:v>
                </c:pt>
                <c:pt idx="15">
                  <c:v>27220</c:v>
                </c:pt>
                <c:pt idx="16">
                  <c:v>28641</c:v>
                </c:pt>
                <c:pt idx="17">
                  <c:v>27917</c:v>
                </c:pt>
                <c:pt idx="18">
                  <c:v>27928</c:v>
                </c:pt>
                <c:pt idx="19">
                  <c:v>28067.069999999949</c:v>
                </c:pt>
                <c:pt idx="20">
                  <c:v>29272.920000000042</c:v>
                </c:pt>
                <c:pt idx="21">
                  <c:v>29201.040000000037</c:v>
                </c:pt>
                <c:pt idx="22">
                  <c:v>31648.400000000023</c:v>
                </c:pt>
                <c:pt idx="23">
                  <c:v>30546.469999999972</c:v>
                </c:pt>
                <c:pt idx="24">
                  <c:v>27904.099999999977</c:v>
                </c:pt>
                <c:pt idx="25">
                  <c:v>27688</c:v>
                </c:pt>
                <c:pt idx="26">
                  <c:v>27760</c:v>
                </c:pt>
                <c:pt idx="27">
                  <c:v>28771</c:v>
                </c:pt>
                <c:pt idx="28">
                  <c:v>30503</c:v>
                </c:pt>
                <c:pt idx="29">
                  <c:v>30519</c:v>
                </c:pt>
                <c:pt idx="30">
                  <c:v>26000</c:v>
                </c:pt>
                <c:pt idx="31">
                  <c:v>887076.78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41874560"/>
        <c:axId val="41876096"/>
      </c:lineChart>
      <c:catAx>
        <c:axId val="4187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76096"/>
        <c:crosses val="autoZero"/>
        <c:auto val="1"/>
        <c:lblAlgn val="ctr"/>
        <c:lblOffset val="100"/>
        <c:noMultiLvlLbl val="0"/>
      </c:catAx>
      <c:valAx>
        <c:axId val="4187609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7456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10.699999999999818</c:v>
                </c:pt>
                <c:pt idx="1">
                  <c:v>10.25</c:v>
                </c:pt>
                <c:pt idx="2">
                  <c:v>12</c:v>
                </c:pt>
                <c:pt idx="3">
                  <c:v>11</c:v>
                </c:pt>
                <c:pt idx="4">
                  <c:v>10.890000000000327</c:v>
                </c:pt>
                <c:pt idx="5">
                  <c:v>10.769999999999527</c:v>
                </c:pt>
                <c:pt idx="6">
                  <c:v>10.25</c:v>
                </c:pt>
                <c:pt idx="7">
                  <c:v>10.480000000000473</c:v>
                </c:pt>
                <c:pt idx="8">
                  <c:v>10.009999999999309</c:v>
                </c:pt>
                <c:pt idx="9">
                  <c:v>10.660000000000764</c:v>
                </c:pt>
                <c:pt idx="10">
                  <c:v>10.089999999999236</c:v>
                </c:pt>
                <c:pt idx="11">
                  <c:v>11.8100000000004</c:v>
                </c:pt>
                <c:pt idx="12">
                  <c:v>10.170000000000073</c:v>
                </c:pt>
                <c:pt idx="13">
                  <c:v>11.359999999999673</c:v>
                </c:pt>
                <c:pt idx="14">
                  <c:v>10.170000000000073</c:v>
                </c:pt>
                <c:pt idx="15">
                  <c:v>12.340000000000146</c:v>
                </c:pt>
                <c:pt idx="16">
                  <c:v>12</c:v>
                </c:pt>
                <c:pt idx="17">
                  <c:v>11</c:v>
                </c:pt>
                <c:pt idx="18">
                  <c:v>12.480000000000018</c:v>
                </c:pt>
                <c:pt idx="19">
                  <c:v>12.079999999999927</c:v>
                </c:pt>
                <c:pt idx="20">
                  <c:v>11.429999999999836</c:v>
                </c:pt>
                <c:pt idx="21">
                  <c:v>11.890000000000327</c:v>
                </c:pt>
                <c:pt idx="22">
                  <c:v>11.7199999999998</c:v>
                </c:pt>
                <c:pt idx="23">
                  <c:v>10.7800000000002</c:v>
                </c:pt>
                <c:pt idx="24">
                  <c:v>12.049999999999727</c:v>
                </c:pt>
                <c:pt idx="25">
                  <c:v>10.990000000000236</c:v>
                </c:pt>
                <c:pt idx="26">
                  <c:v>11.949999999999818</c:v>
                </c:pt>
                <c:pt idx="27">
                  <c:v>12.110000000000127</c:v>
                </c:pt>
                <c:pt idx="28">
                  <c:v>11.519999999999982</c:v>
                </c:pt>
                <c:pt idx="29">
                  <c:v>12.239999999999782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22144"/>
        <c:axId val="96440320"/>
      </c:lineChart>
      <c:catAx>
        <c:axId val="9642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0320"/>
        <c:crosses val="autoZero"/>
        <c:auto val="1"/>
        <c:lblAlgn val="ctr"/>
        <c:lblOffset val="100"/>
        <c:noMultiLvlLbl val="0"/>
      </c:catAx>
      <c:valAx>
        <c:axId val="9644032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221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318</c:v>
                </c:pt>
                <c:pt idx="1">
                  <c:v>316.85999999998603</c:v>
                </c:pt>
                <c:pt idx="2">
                  <c:v>310.46999999997206</c:v>
                </c:pt>
                <c:pt idx="3">
                  <c:v>292.95000000006985</c:v>
                </c:pt>
                <c:pt idx="4">
                  <c:v>302.07999999995809</c:v>
                </c:pt>
                <c:pt idx="5">
                  <c:v>288.20000000006985</c:v>
                </c:pt>
                <c:pt idx="6">
                  <c:v>307.47999999998137</c:v>
                </c:pt>
                <c:pt idx="7">
                  <c:v>290.42900000000373</c:v>
                </c:pt>
                <c:pt idx="8">
                  <c:v>340.53099999995902</c:v>
                </c:pt>
                <c:pt idx="9">
                  <c:v>292</c:v>
                </c:pt>
                <c:pt idx="10">
                  <c:v>325</c:v>
                </c:pt>
                <c:pt idx="11">
                  <c:v>292</c:v>
                </c:pt>
                <c:pt idx="12">
                  <c:v>346</c:v>
                </c:pt>
                <c:pt idx="13">
                  <c:v>346</c:v>
                </c:pt>
                <c:pt idx="14">
                  <c:v>314</c:v>
                </c:pt>
                <c:pt idx="15">
                  <c:v>331</c:v>
                </c:pt>
                <c:pt idx="16">
                  <c:v>333.11999999999534</c:v>
                </c:pt>
                <c:pt idx="17">
                  <c:v>311.35999999998603</c:v>
                </c:pt>
                <c:pt idx="18">
                  <c:v>321.5</c:v>
                </c:pt>
                <c:pt idx="19">
                  <c:v>318.35999999998603</c:v>
                </c:pt>
                <c:pt idx="20">
                  <c:v>292.45000000006985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603</c:v>
                </c:pt>
                <c:pt idx="1">
                  <c:v>644.12999999989734</c:v>
                </c:pt>
                <c:pt idx="2">
                  <c:v>658.64000000011583</c:v>
                </c:pt>
                <c:pt idx="3">
                  <c:v>609.63999999999942</c:v>
                </c:pt>
                <c:pt idx="4">
                  <c:v>620.52999999999156</c:v>
                </c:pt>
                <c:pt idx="5">
                  <c:v>620.71299999983603</c:v>
                </c:pt>
                <c:pt idx="6">
                  <c:v>614.67700000011791</c:v>
                </c:pt>
                <c:pt idx="7">
                  <c:v>646.46100000001024</c:v>
                </c:pt>
                <c:pt idx="8">
                  <c:v>588.00900000003458</c:v>
                </c:pt>
                <c:pt idx="9">
                  <c:v>617</c:v>
                </c:pt>
                <c:pt idx="10">
                  <c:v>550</c:v>
                </c:pt>
                <c:pt idx="11">
                  <c:v>540.19999999999709</c:v>
                </c:pt>
                <c:pt idx="12">
                  <c:v>632</c:v>
                </c:pt>
                <c:pt idx="13">
                  <c:v>557</c:v>
                </c:pt>
                <c:pt idx="14">
                  <c:v>619</c:v>
                </c:pt>
                <c:pt idx="15">
                  <c:v>613</c:v>
                </c:pt>
                <c:pt idx="16">
                  <c:v>581.4999999999709</c:v>
                </c:pt>
                <c:pt idx="17">
                  <c:v>658.98999999998341</c:v>
                </c:pt>
                <c:pt idx="18">
                  <c:v>588.12000000013359</c:v>
                </c:pt>
                <c:pt idx="19">
                  <c:v>620.66999999991094</c:v>
                </c:pt>
                <c:pt idx="20">
                  <c:v>613.41999999996369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95</c:v>
                </c:pt>
                <c:pt idx="1">
                  <c:v>102.20000000001164</c:v>
                </c:pt>
                <c:pt idx="2">
                  <c:v>109.01999999998952</c:v>
                </c:pt>
                <c:pt idx="3">
                  <c:v>106.67999999999302</c:v>
                </c:pt>
                <c:pt idx="4">
                  <c:v>128.02999999999884</c:v>
                </c:pt>
                <c:pt idx="5">
                  <c:v>127.07000000000698</c:v>
                </c:pt>
                <c:pt idx="6">
                  <c:v>106.63000000000466</c:v>
                </c:pt>
                <c:pt idx="7">
                  <c:v>135.36999999999534</c:v>
                </c:pt>
                <c:pt idx="8">
                  <c:v>134</c:v>
                </c:pt>
                <c:pt idx="9">
                  <c:v>123</c:v>
                </c:pt>
                <c:pt idx="10">
                  <c:v>123</c:v>
                </c:pt>
                <c:pt idx="11">
                  <c:v>111</c:v>
                </c:pt>
                <c:pt idx="12">
                  <c:v>127</c:v>
                </c:pt>
                <c:pt idx="13">
                  <c:v>119</c:v>
                </c:pt>
                <c:pt idx="14">
                  <c:v>114</c:v>
                </c:pt>
                <c:pt idx="15">
                  <c:v>99</c:v>
                </c:pt>
                <c:pt idx="16">
                  <c:v>125.57999999998719</c:v>
                </c:pt>
                <c:pt idx="17">
                  <c:v>124.24000000001979</c:v>
                </c:pt>
                <c:pt idx="18">
                  <c:v>114.86999999999534</c:v>
                </c:pt>
                <c:pt idx="19">
                  <c:v>121.41000000000349</c:v>
                </c:pt>
                <c:pt idx="20">
                  <c:v>143.79999999998836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08608"/>
        <c:axId val="88710144"/>
      </c:lineChart>
      <c:catAx>
        <c:axId val="887086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8710144"/>
        <c:crosses val="autoZero"/>
        <c:auto val="1"/>
        <c:lblAlgn val="ctr"/>
        <c:lblOffset val="100"/>
        <c:noMultiLvlLbl val="0"/>
      </c:catAx>
      <c:valAx>
        <c:axId val="88710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8708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94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0.2218684570709876</c:v>
                </c:pt>
                <c:pt idx="1">
                  <c:v>7149</c:v>
                </c:pt>
                <c:pt idx="2">
                  <c:v>7071</c:v>
                </c:pt>
                <c:pt idx="3">
                  <c:v>7153</c:v>
                </c:pt>
                <c:pt idx="4">
                  <c:v>0</c:v>
                </c:pt>
                <c:pt idx="5">
                  <c:v>7849.890000000014</c:v>
                </c:pt>
                <c:pt idx="6">
                  <c:v>8007.3199999999924</c:v>
                </c:pt>
                <c:pt idx="7">
                  <c:v>7852.0999999999622</c:v>
                </c:pt>
                <c:pt idx="8">
                  <c:v>8851.9600000000355</c:v>
                </c:pt>
                <c:pt idx="9">
                  <c:v>8212.4899999999579</c:v>
                </c:pt>
                <c:pt idx="10">
                  <c:v>6189.9600000000064</c:v>
                </c:pt>
                <c:pt idx="11">
                  <c:v>8032.7500000000291</c:v>
                </c:pt>
                <c:pt idx="12">
                  <c:v>8137</c:v>
                </c:pt>
                <c:pt idx="13">
                  <c:v>8134</c:v>
                </c:pt>
                <c:pt idx="14">
                  <c:v>7049.7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8890880"/>
        <c:axId val="988924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85459</c:v>
                </c:pt>
                <c:pt idx="1">
                  <c:v>112791</c:v>
                </c:pt>
                <c:pt idx="2">
                  <c:v>166689</c:v>
                </c:pt>
                <c:pt idx="3">
                  <c:v>139759</c:v>
                </c:pt>
                <c:pt idx="4">
                  <c:v>0</c:v>
                </c:pt>
                <c:pt idx="5">
                  <c:v>222311.07</c:v>
                </c:pt>
                <c:pt idx="6">
                  <c:v>250780.75</c:v>
                </c:pt>
                <c:pt idx="7">
                  <c:v>279923.65000000002</c:v>
                </c:pt>
                <c:pt idx="8">
                  <c:v>309923.65000000002</c:v>
                </c:pt>
                <c:pt idx="9">
                  <c:v>341095.5</c:v>
                </c:pt>
                <c:pt idx="10">
                  <c:v>368046</c:v>
                </c:pt>
                <c:pt idx="11">
                  <c:v>396634</c:v>
                </c:pt>
                <c:pt idx="12">
                  <c:v>425734</c:v>
                </c:pt>
                <c:pt idx="13">
                  <c:v>456980</c:v>
                </c:pt>
                <c:pt idx="14">
                  <c:v>485536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53664"/>
        <c:axId val="99555200"/>
      </c:lineChart>
      <c:catAx>
        <c:axId val="9889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2416"/>
        <c:crosses val="autoZero"/>
        <c:auto val="1"/>
        <c:lblAlgn val="ctr"/>
        <c:lblOffset val="100"/>
        <c:noMultiLvlLbl val="0"/>
      </c:catAx>
      <c:valAx>
        <c:axId val="988924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0880"/>
        <c:crosses val="autoZero"/>
        <c:crossBetween val="between"/>
        <c:minorUnit val="50"/>
      </c:valAx>
      <c:catAx>
        <c:axId val="99553664"/>
        <c:scaling>
          <c:orientation val="minMax"/>
        </c:scaling>
        <c:delete val="1"/>
        <c:axPos val="b"/>
        <c:majorTickMark val="out"/>
        <c:minorTickMark val="none"/>
        <c:tickLblPos val="none"/>
        <c:crossAx val="99555200"/>
        <c:crosses val="autoZero"/>
        <c:auto val="1"/>
        <c:lblAlgn val="ctr"/>
        <c:lblOffset val="100"/>
        <c:noMultiLvlLbl val="0"/>
      </c:catAx>
      <c:valAx>
        <c:axId val="995552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366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83872"/>
        <c:axId val="99585408"/>
      </c:lineChart>
      <c:catAx>
        <c:axId val="9958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5408"/>
        <c:crosses val="autoZero"/>
        <c:auto val="1"/>
        <c:lblAlgn val="ctr"/>
        <c:lblOffset val="100"/>
        <c:noMultiLvlLbl val="0"/>
      </c:catAx>
      <c:valAx>
        <c:axId val="9958540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3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85459</c:v>
                </c:pt>
                <c:pt idx="1">
                  <c:v>112791</c:v>
                </c:pt>
                <c:pt idx="2">
                  <c:v>166689</c:v>
                </c:pt>
                <c:pt idx="3">
                  <c:v>139759</c:v>
                </c:pt>
                <c:pt idx="4">
                  <c:v>0</c:v>
                </c:pt>
                <c:pt idx="5">
                  <c:v>222311.07</c:v>
                </c:pt>
                <c:pt idx="6">
                  <c:v>250780.75</c:v>
                </c:pt>
                <c:pt idx="7">
                  <c:v>279923.65000000002</c:v>
                </c:pt>
                <c:pt idx="8">
                  <c:v>309923.65000000002</c:v>
                </c:pt>
                <c:pt idx="9">
                  <c:v>341095.5</c:v>
                </c:pt>
                <c:pt idx="10">
                  <c:v>368046</c:v>
                </c:pt>
                <c:pt idx="11">
                  <c:v>396634</c:v>
                </c:pt>
                <c:pt idx="12">
                  <c:v>425734</c:v>
                </c:pt>
                <c:pt idx="13">
                  <c:v>456980</c:v>
                </c:pt>
                <c:pt idx="14">
                  <c:v>485536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6119168"/>
        <c:axId val="106120704"/>
      </c:lineChart>
      <c:catAx>
        <c:axId val="10611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0704"/>
        <c:crosses val="autoZero"/>
        <c:auto val="1"/>
        <c:lblAlgn val="ctr"/>
        <c:lblOffset val="100"/>
        <c:noMultiLvlLbl val="0"/>
      </c:catAx>
      <c:valAx>
        <c:axId val="10612070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91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2903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314</c:v>
                </c:pt>
                <c:pt idx="1">
                  <c:v>311</c:v>
                </c:pt>
                <c:pt idx="2">
                  <c:v>241</c:v>
                </c:pt>
                <c:pt idx="3">
                  <c:v>321</c:v>
                </c:pt>
                <c:pt idx="4">
                  <c:v>0</c:v>
                </c:pt>
                <c:pt idx="5">
                  <c:v>270</c:v>
                </c:pt>
                <c:pt idx="6">
                  <c:v>260</c:v>
                </c:pt>
                <c:pt idx="7">
                  <c:v>288</c:v>
                </c:pt>
                <c:pt idx="8">
                  <c:v>251</c:v>
                </c:pt>
                <c:pt idx="9">
                  <c:v>299</c:v>
                </c:pt>
                <c:pt idx="10">
                  <c:v>256</c:v>
                </c:pt>
                <c:pt idx="11">
                  <c:v>273</c:v>
                </c:pt>
                <c:pt idx="12">
                  <c:v>299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67296"/>
        <c:axId val="10618137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85459</c:v>
                </c:pt>
                <c:pt idx="1">
                  <c:v>112791</c:v>
                </c:pt>
                <c:pt idx="2">
                  <c:v>166689</c:v>
                </c:pt>
                <c:pt idx="3">
                  <c:v>139759</c:v>
                </c:pt>
                <c:pt idx="4">
                  <c:v>0</c:v>
                </c:pt>
                <c:pt idx="5">
                  <c:v>222311.07</c:v>
                </c:pt>
                <c:pt idx="6">
                  <c:v>250780.75</c:v>
                </c:pt>
                <c:pt idx="7">
                  <c:v>279923.65000000002</c:v>
                </c:pt>
                <c:pt idx="8">
                  <c:v>309923.65000000002</c:v>
                </c:pt>
                <c:pt idx="9">
                  <c:v>341095.5</c:v>
                </c:pt>
                <c:pt idx="10">
                  <c:v>368046</c:v>
                </c:pt>
                <c:pt idx="11">
                  <c:v>396634</c:v>
                </c:pt>
                <c:pt idx="12">
                  <c:v>425734</c:v>
                </c:pt>
                <c:pt idx="13">
                  <c:v>456980</c:v>
                </c:pt>
                <c:pt idx="14">
                  <c:v>485536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82912"/>
        <c:axId val="106184704"/>
      </c:lineChart>
      <c:catAx>
        <c:axId val="10616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1376"/>
        <c:crosses val="autoZero"/>
        <c:auto val="1"/>
        <c:lblAlgn val="ctr"/>
        <c:lblOffset val="100"/>
        <c:noMultiLvlLbl val="0"/>
      </c:catAx>
      <c:valAx>
        <c:axId val="10618137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67296"/>
        <c:crosses val="autoZero"/>
        <c:crossBetween val="between"/>
      </c:valAx>
      <c:catAx>
        <c:axId val="106182912"/>
        <c:scaling>
          <c:orientation val="minMax"/>
        </c:scaling>
        <c:delete val="1"/>
        <c:axPos val="b"/>
        <c:majorTickMark val="out"/>
        <c:minorTickMark val="none"/>
        <c:tickLblPos val="none"/>
        <c:crossAx val="106184704"/>
        <c:crosses val="autoZero"/>
        <c:auto val="1"/>
        <c:lblAlgn val="ctr"/>
        <c:lblOffset val="100"/>
        <c:noMultiLvlLbl val="0"/>
      </c:catAx>
      <c:valAx>
        <c:axId val="1061847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73</c:v>
                </c:pt>
                <c:pt idx="1">
                  <c:v>105</c:v>
                </c:pt>
                <c:pt idx="2">
                  <c:v>52</c:v>
                </c:pt>
                <c:pt idx="3">
                  <c:v>111</c:v>
                </c:pt>
                <c:pt idx="4">
                  <c:v>0</c:v>
                </c:pt>
                <c:pt idx="5">
                  <c:v>60</c:v>
                </c:pt>
                <c:pt idx="6">
                  <c:v>67</c:v>
                </c:pt>
                <c:pt idx="7">
                  <c:v>58</c:v>
                </c:pt>
                <c:pt idx="8">
                  <c:v>50</c:v>
                </c:pt>
                <c:pt idx="9">
                  <c:v>60</c:v>
                </c:pt>
                <c:pt idx="10">
                  <c:v>36</c:v>
                </c:pt>
                <c:pt idx="11">
                  <c:v>53</c:v>
                </c:pt>
                <c:pt idx="12">
                  <c:v>73</c:v>
                </c:pt>
                <c:pt idx="13">
                  <c:v>38</c:v>
                </c:pt>
                <c:pt idx="1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  <c:pt idx="6">
                  <c:v>8</c:v>
                </c:pt>
                <c:pt idx="7">
                  <c:v>18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14</c:v>
                </c:pt>
                <c:pt idx="12">
                  <c:v>8</c:v>
                </c:pt>
                <c:pt idx="13">
                  <c:v>250</c:v>
                </c:pt>
                <c:pt idx="14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2064"/>
        <c:axId val="10623385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85459</c:v>
                </c:pt>
                <c:pt idx="1">
                  <c:v>112791</c:v>
                </c:pt>
                <c:pt idx="2">
                  <c:v>166689</c:v>
                </c:pt>
                <c:pt idx="3">
                  <c:v>139759</c:v>
                </c:pt>
                <c:pt idx="4">
                  <c:v>0</c:v>
                </c:pt>
                <c:pt idx="5">
                  <c:v>222311.07</c:v>
                </c:pt>
                <c:pt idx="6">
                  <c:v>250780.75</c:v>
                </c:pt>
                <c:pt idx="7">
                  <c:v>279923.65000000002</c:v>
                </c:pt>
                <c:pt idx="8">
                  <c:v>309923.65000000002</c:v>
                </c:pt>
                <c:pt idx="9">
                  <c:v>341095.5</c:v>
                </c:pt>
                <c:pt idx="10">
                  <c:v>368046</c:v>
                </c:pt>
                <c:pt idx="11">
                  <c:v>396634</c:v>
                </c:pt>
                <c:pt idx="12">
                  <c:v>425734</c:v>
                </c:pt>
                <c:pt idx="13">
                  <c:v>456980</c:v>
                </c:pt>
                <c:pt idx="14">
                  <c:v>485536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5392"/>
        <c:axId val="106236928"/>
      </c:lineChart>
      <c:catAx>
        <c:axId val="1062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3856"/>
        <c:crosses val="autoZero"/>
        <c:auto val="1"/>
        <c:lblAlgn val="ctr"/>
        <c:lblOffset val="100"/>
        <c:noMultiLvlLbl val="0"/>
      </c:catAx>
      <c:valAx>
        <c:axId val="10623385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2064"/>
        <c:crosses val="autoZero"/>
        <c:crossBetween val="between"/>
        <c:majorUnit val="2"/>
      </c:valAx>
      <c:catAx>
        <c:axId val="106235392"/>
        <c:scaling>
          <c:orientation val="minMax"/>
        </c:scaling>
        <c:delete val="1"/>
        <c:axPos val="b"/>
        <c:majorTickMark val="out"/>
        <c:minorTickMark val="none"/>
        <c:tickLblPos val="none"/>
        <c:crossAx val="106236928"/>
        <c:crosses val="autoZero"/>
        <c:auto val="1"/>
        <c:lblAlgn val="ctr"/>
        <c:lblOffset val="100"/>
        <c:noMultiLvlLbl val="0"/>
      </c:catAx>
      <c:valAx>
        <c:axId val="1062369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539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4</v>
      </c>
      <c r="D2" s="274">
        <v>2022</v>
      </c>
      <c r="E2" s="275">
        <f>(IF('Daily HLP'!H4&gt;0,'Daily HLP'!H4,0))</f>
        <v>27412.78</v>
      </c>
      <c r="F2" s="276">
        <v>9</v>
      </c>
      <c r="G2" s="276">
        <f>(IF('Daily HLP'!L4&gt;0,'Daily HLP'!L4,0))</f>
        <v>1086</v>
      </c>
      <c r="H2" s="276">
        <v>75</v>
      </c>
      <c r="I2" s="276">
        <f>(IF('Daily HLP'!O4&gt;0,'Daily HLP'!O4,0))</f>
        <v>331</v>
      </c>
      <c r="J2" s="276">
        <v>100</v>
      </c>
      <c r="K2" s="281">
        <f>Occupancy!G2</f>
        <v>161</v>
      </c>
      <c r="L2" s="275">
        <f>Occupancy!F2</f>
        <v>814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4</v>
      </c>
      <c r="D3" s="274">
        <v>2022</v>
      </c>
      <c r="E3" s="275">
        <f>(IF('Daily HLP'!H5&gt;0,'Daily HLP'!H5,0))</f>
        <v>27332</v>
      </c>
      <c r="F3" s="276">
        <v>9</v>
      </c>
      <c r="G3" s="276">
        <f>(IF('Daily HLP'!L5&gt;0,'Daily HLP'!L5,0))</f>
        <v>1084</v>
      </c>
      <c r="H3" s="276">
        <v>75</v>
      </c>
      <c r="I3" s="276">
        <f>(IF('Daily HLP'!O5&gt;0,'Daily HLP'!O5,0))</f>
        <v>285</v>
      </c>
      <c r="J3" s="276">
        <v>100</v>
      </c>
      <c r="K3" s="281">
        <f>Occupancy!G3</f>
        <v>141</v>
      </c>
      <c r="L3" s="275">
        <f>Occupancy!F3</f>
        <v>1019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4</v>
      </c>
      <c r="D4" s="274">
        <v>2022</v>
      </c>
      <c r="E4" s="275">
        <f>(IF('Daily HLP'!H6&gt;0,'Daily HLP'!H6,0))</f>
        <v>26968</v>
      </c>
      <c r="F4" s="276">
        <v>9</v>
      </c>
      <c r="G4" s="276">
        <f>(IF('Daily HLP'!L6&gt;0,'Daily HLP'!L6,0))</f>
        <v>1110</v>
      </c>
      <c r="H4" s="276">
        <v>75</v>
      </c>
      <c r="I4" s="276">
        <f>(IF('Daily HLP'!O6&gt;0,'Daily HLP'!O6,0))</f>
        <v>329</v>
      </c>
      <c r="J4" s="276">
        <v>100</v>
      </c>
      <c r="K4" s="281">
        <f>Occupancy!G4</f>
        <v>144</v>
      </c>
      <c r="L4" s="275">
        <f>Occupancy!F4</f>
        <v>621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4</v>
      </c>
      <c r="D5" s="274">
        <v>2022</v>
      </c>
      <c r="E5" s="275">
        <f>(IF('Daily HLP'!H7&gt;0,'Daily HLP'!H7,0))</f>
        <v>26930</v>
      </c>
      <c r="F5" s="276">
        <v>9</v>
      </c>
      <c r="G5" s="276">
        <f>(IF('Daily HLP'!L7&gt;0,'Daily HLP'!L7,0))</f>
        <v>1059</v>
      </c>
      <c r="H5" s="276">
        <v>75</v>
      </c>
      <c r="I5" s="276">
        <f>(IF('Daily HLP'!O7&gt;0,'Daily HLP'!O7,0))</f>
        <v>326</v>
      </c>
      <c r="J5" s="276">
        <v>100</v>
      </c>
      <c r="K5" s="281">
        <f>Occupancy!G5</f>
        <v>177</v>
      </c>
      <c r="L5" s="275">
        <f>Occupancy!F5</f>
        <v>603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4</v>
      </c>
      <c r="D6" s="274">
        <v>2022</v>
      </c>
      <c r="E6" s="275">
        <f>(IF('Daily HLP'!H8&gt;0,'Daily HLP'!H8,0))</f>
        <v>27471.010000000009</v>
      </c>
      <c r="F6" s="276">
        <v>9</v>
      </c>
      <c r="G6" s="276">
        <f>(IF('Daily HLP'!L8&gt;0,'Daily HLP'!L8,0))</f>
        <v>1117.8899999998976</v>
      </c>
      <c r="H6" s="276">
        <v>75</v>
      </c>
      <c r="I6" s="276">
        <f>(IF('Daily HLP'!O8&gt;0,'Daily HLP'!O8,0))</f>
        <v>286</v>
      </c>
      <c r="J6" s="276">
        <v>100</v>
      </c>
      <c r="K6" s="281">
        <f>Occupancy!G6</f>
        <v>174</v>
      </c>
      <c r="L6" s="275">
        <f>Occupancy!F6</f>
        <v>574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4</v>
      </c>
      <c r="D7" s="274">
        <v>2022</v>
      </c>
      <c r="E7" s="275">
        <f>(IF('Daily HLP'!H9&gt;0,'Daily HLP'!H9,0))</f>
        <v>28151.059999999998</v>
      </c>
      <c r="F7" s="276">
        <v>9</v>
      </c>
      <c r="G7" s="276">
        <f>(IF('Daily HLP'!L9&gt;0,'Daily HLP'!L9,0))</f>
        <v>1125.8300000000745</v>
      </c>
      <c r="H7" s="276">
        <v>75</v>
      </c>
      <c r="I7" s="276">
        <f>(IF('Daily HLP'!O9&gt;0,'Daily HLP'!O9,0))</f>
        <v>310</v>
      </c>
      <c r="J7" s="276">
        <v>100</v>
      </c>
      <c r="K7" s="281">
        <f>Occupancy!G7</f>
        <v>171</v>
      </c>
      <c r="L7" s="275">
        <f>Occupancy!F7</f>
        <v>692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4</v>
      </c>
      <c r="D8" s="274">
        <v>2022</v>
      </c>
      <c r="E8" s="275">
        <f>(IF('Daily HLP'!H10&gt;0,'Daily HLP'!H10,0))</f>
        <v>28469.679999999993</v>
      </c>
      <c r="F8" s="276">
        <v>9</v>
      </c>
      <c r="G8" s="276">
        <f>(IF('Daily HLP'!L10&gt;0,'Daily HLP'!L10,0))</f>
        <v>1059.5700000000652</v>
      </c>
      <c r="H8" s="276">
        <v>75</v>
      </c>
      <c r="I8" s="276">
        <f>(IF('Daily HLP'!O10&gt;0,'Daily HLP'!O10,0))</f>
        <v>206</v>
      </c>
      <c r="J8" s="276">
        <v>100</v>
      </c>
      <c r="K8" s="281">
        <f>Occupancy!G8</f>
        <v>178</v>
      </c>
      <c r="L8" s="275">
        <f>Occupancy!F8</f>
        <v>759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4</v>
      </c>
      <c r="D9" s="274">
        <v>2022</v>
      </c>
      <c r="E9" s="275">
        <f>(IF('Daily HLP'!H11&gt;0,'Daily HLP'!H11,0))</f>
        <v>29142.900000000023</v>
      </c>
      <c r="F9" s="276">
        <v>9</v>
      </c>
      <c r="G9" s="276">
        <f>(IF('Daily HLP'!L11&gt;0,'Daily HLP'!L11,0))</f>
        <v>1091.9399999999441</v>
      </c>
      <c r="H9" s="276">
        <v>75</v>
      </c>
      <c r="I9" s="276">
        <f>(IF('Daily HLP'!O11&gt;0,'Daily HLP'!O11,0))</f>
        <v>278</v>
      </c>
      <c r="J9" s="276">
        <v>100</v>
      </c>
      <c r="K9" s="281">
        <f>Occupancy!G9</f>
        <v>169</v>
      </c>
      <c r="L9" s="275">
        <f>Occupancy!F9</f>
        <v>795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4</v>
      </c>
      <c r="D10" s="274">
        <v>2022</v>
      </c>
      <c r="E10" s="275">
        <f>(IF('Daily HLP'!H12&gt;0,'Daily HLP'!H12,0))</f>
        <v>30000</v>
      </c>
      <c r="F10" s="276">
        <v>9</v>
      </c>
      <c r="G10" s="276">
        <f>(IF('Daily HLP'!L12&gt;0,'Daily HLP'!L12,0))</f>
        <v>1090.3829999999143</v>
      </c>
      <c r="H10" s="276">
        <v>75</v>
      </c>
      <c r="I10" s="276">
        <f>(IF('Daily HLP'!O12&gt;0,'Daily HLP'!O12,0))</f>
        <v>327</v>
      </c>
      <c r="J10" s="276">
        <v>100</v>
      </c>
      <c r="K10" s="281">
        <f>Occupancy!G10</f>
        <v>163</v>
      </c>
      <c r="L10" s="275">
        <f>Occupancy!F10</f>
        <v>917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4</v>
      </c>
      <c r="D11" s="274">
        <v>2022</v>
      </c>
      <c r="E11" s="275">
        <f>(IF('Daily HLP'!H13&gt;0,'Daily HLP'!H13,0))</f>
        <v>31171.849999999977</v>
      </c>
      <c r="F11" s="276">
        <v>9</v>
      </c>
      <c r="G11" s="276">
        <f>(IF('Daily HLP'!L13&gt;0,'Daily HLP'!L13,0))</f>
        <v>1087.3870000001043</v>
      </c>
      <c r="H11" s="276">
        <v>75</v>
      </c>
      <c r="I11" s="276">
        <f>(IF('Daily HLP'!O13&gt;0,'Daily HLP'!O13,0))</f>
        <v>356</v>
      </c>
      <c r="J11" s="276">
        <v>100</v>
      </c>
      <c r="K11" s="281">
        <f>Occupancy!G11</f>
        <v>154</v>
      </c>
      <c r="L11" s="275">
        <f>Occupancy!F11</f>
        <v>652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4</v>
      </c>
      <c r="D12" s="274">
        <v>2022</v>
      </c>
      <c r="E12" s="275">
        <f>(IF('Daily HLP'!H14&gt;0,'Daily HLP'!H14,0))</f>
        <v>26950.5</v>
      </c>
      <c r="F12" s="276">
        <v>9</v>
      </c>
      <c r="G12" s="276">
        <f>(IF('Daily HLP'!L14&gt;0,'Daily HLP'!L14,0))</f>
        <v>1115.2600000000093</v>
      </c>
      <c r="H12" s="276">
        <v>75</v>
      </c>
      <c r="I12" s="276">
        <f>(IF('Daily HLP'!O14&gt;0,'Daily HLP'!O14,0))</f>
        <v>261</v>
      </c>
      <c r="J12" s="276">
        <v>100</v>
      </c>
      <c r="K12" s="281">
        <f>Occupancy!G12</f>
        <v>172</v>
      </c>
      <c r="L12" s="275">
        <f>Occupancy!F12</f>
        <v>591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4</v>
      </c>
      <c r="D13" s="274">
        <v>2022</v>
      </c>
      <c r="E13" s="275">
        <f>(IF('Daily HLP'!H15&gt;0,'Daily HLP'!H15,0))</f>
        <v>28588</v>
      </c>
      <c r="F13" s="276">
        <v>9</v>
      </c>
      <c r="G13" s="276">
        <f>(IF('Daily HLP'!L15&gt;0,'Daily HLP'!L15,0))</f>
        <v>1116.7399999999907</v>
      </c>
      <c r="H13" s="276">
        <v>75</v>
      </c>
      <c r="I13" s="276">
        <f>(IF('Daily HLP'!O15&gt;0,'Daily HLP'!O15,0))</f>
        <v>260</v>
      </c>
      <c r="J13" s="276">
        <v>100</v>
      </c>
      <c r="K13" s="281">
        <f>Occupancy!G13</f>
        <v>175</v>
      </c>
      <c r="L13" s="275">
        <f>Occupancy!F13</f>
        <v>937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4</v>
      </c>
      <c r="D14" s="274">
        <v>2022</v>
      </c>
      <c r="E14" s="275">
        <f>(IF('Daily HLP'!H16&gt;0,'Daily HLP'!H16,0))</f>
        <v>29100</v>
      </c>
      <c r="F14" s="276">
        <v>9</v>
      </c>
      <c r="G14" s="276">
        <f>(IF('Daily HLP'!L16&gt;0,'Daily HLP'!L16,0))</f>
        <v>1076</v>
      </c>
      <c r="H14" s="276">
        <v>75</v>
      </c>
      <c r="I14" s="276">
        <f>(IF('Daily HLP'!O16&gt;0,'Daily HLP'!O16,0))</f>
        <v>288</v>
      </c>
      <c r="J14" s="276">
        <v>100</v>
      </c>
      <c r="K14" s="281">
        <f>Occupancy!G14</f>
        <v>176</v>
      </c>
      <c r="L14" s="275">
        <f>Occupancy!F14</f>
        <v>491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4</v>
      </c>
      <c r="D15" s="274">
        <v>2022</v>
      </c>
      <c r="E15" s="275">
        <f>(IF('Daily HLP'!H17&gt;0,'Daily HLP'!H17,0))</f>
        <v>31246</v>
      </c>
      <c r="F15" s="276">
        <v>9</v>
      </c>
      <c r="G15" s="276">
        <f>(IF('Daily HLP'!L17&gt;0,'Daily HLP'!L17,0))</f>
        <v>1054</v>
      </c>
      <c r="H15" s="276">
        <v>75</v>
      </c>
      <c r="I15" s="276">
        <f>(IF('Daily HLP'!O17&gt;0,'Daily HLP'!O17,0))</f>
        <v>362</v>
      </c>
      <c r="J15" s="276">
        <v>100</v>
      </c>
      <c r="K15" s="281">
        <f>Occupancy!G15</f>
        <v>168</v>
      </c>
      <c r="L15" s="275">
        <f>Occupancy!F15</f>
        <v>595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4</v>
      </c>
      <c r="D16" s="274">
        <v>2022</v>
      </c>
      <c r="E16" s="275">
        <f>(IF('Daily HLP'!H18&gt;0,'Daily HLP'!H18,0))</f>
        <v>28556</v>
      </c>
      <c r="F16" s="276">
        <v>9</v>
      </c>
      <c r="G16" s="276">
        <f>(IF('Daily HLP'!L18&gt;0,'Daily HLP'!L18,0))</f>
        <v>998</v>
      </c>
      <c r="H16" s="276">
        <v>75</v>
      </c>
      <c r="I16" s="276">
        <f>(IF('Daily HLP'!O18&gt;0,'Daily HLP'!O18,0))</f>
        <v>269</v>
      </c>
      <c r="J16" s="276">
        <v>100</v>
      </c>
      <c r="K16" s="281">
        <f>Occupancy!G16</f>
        <v>176</v>
      </c>
      <c r="L16" s="275">
        <f>Occupancy!F16</f>
        <v>549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4</v>
      </c>
      <c r="D17" s="274">
        <v>2022</v>
      </c>
      <c r="E17" s="275">
        <f>(IF('Daily HLP'!H19&gt;0,'Daily HLP'!H19,0))</f>
        <v>27220</v>
      </c>
      <c r="F17" s="276">
        <v>9</v>
      </c>
      <c r="G17" s="276">
        <f>(IF('Daily HLP'!L19&gt;0,'Daily HLP'!L19,0))</f>
        <v>1153</v>
      </c>
      <c r="H17" s="276">
        <v>75</v>
      </c>
      <c r="I17" s="276">
        <f>(IF('Daily HLP'!O19&gt;0,'Daily HLP'!O19,0))</f>
        <v>362</v>
      </c>
      <c r="J17" s="276">
        <v>100</v>
      </c>
      <c r="K17" s="281">
        <f>Occupancy!G17</f>
        <v>179</v>
      </c>
      <c r="L17" s="275">
        <f>Occupancy!F17</f>
        <v>575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4</v>
      </c>
      <c r="D18" s="274">
        <v>2022</v>
      </c>
      <c r="E18" s="275">
        <f>(IF('Daily HLP'!H20&gt;0,'Daily HLP'!H20,0))</f>
        <v>28641</v>
      </c>
      <c r="F18" s="276">
        <v>9</v>
      </c>
      <c r="G18" s="276">
        <f>(IF('Daily HLP'!L20&gt;0,'Daily HLP'!L20,0))</f>
        <v>1081</v>
      </c>
      <c r="H18" s="276">
        <v>75</v>
      </c>
      <c r="I18" s="276">
        <f>(IF('Daily HLP'!O20&gt;0,'Daily HLP'!O20,0))</f>
        <v>270</v>
      </c>
      <c r="J18" s="276">
        <v>100</v>
      </c>
      <c r="K18" s="281">
        <f>Occupancy!G18</f>
        <v>158</v>
      </c>
      <c r="L18" s="275">
        <f>Occupancy!F18</f>
        <v>832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4</v>
      </c>
      <c r="D19" s="274">
        <v>2022</v>
      </c>
      <c r="E19" s="275">
        <f>(IF('Daily HLP'!H21&gt;0,'Daily HLP'!H21,0))</f>
        <v>27917</v>
      </c>
      <c r="F19" s="276">
        <v>9</v>
      </c>
      <c r="G19" s="276">
        <f>(IF('Daily HLP'!L21&gt;0,'Daily HLP'!L21,0))</f>
        <v>1092</v>
      </c>
      <c r="H19" s="276">
        <v>75</v>
      </c>
      <c r="I19" s="276">
        <f>(IF('Daily HLP'!O21&gt;0,'Daily HLP'!O21,0))</f>
        <v>255</v>
      </c>
      <c r="J19" s="276">
        <v>100</v>
      </c>
      <c r="K19" s="281">
        <f>Occupancy!G19</f>
        <v>156</v>
      </c>
      <c r="L19" s="275">
        <f>Occupancy!F19</f>
        <v>1196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4</v>
      </c>
      <c r="D20" s="274">
        <v>2022</v>
      </c>
      <c r="E20" s="275">
        <f>(IF('Daily HLP'!H22&gt;0,'Daily HLP'!H22,0))</f>
        <v>27928</v>
      </c>
      <c r="F20" s="276">
        <v>9</v>
      </c>
      <c r="G20" s="276">
        <f>(IF('Daily HLP'!L22&gt;0,'Daily HLP'!L22,0))</f>
        <v>1090</v>
      </c>
      <c r="H20" s="276">
        <v>75</v>
      </c>
      <c r="I20" s="276">
        <f>(IF('Daily HLP'!O22&gt;0,'Daily HLP'!O22,0))</f>
        <v>274</v>
      </c>
      <c r="J20" s="276">
        <v>100</v>
      </c>
      <c r="K20" s="281">
        <f>Occupancy!G20</f>
        <v>180</v>
      </c>
      <c r="L20" s="275">
        <f>Occupancy!F20</f>
        <v>524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4</v>
      </c>
      <c r="D21" s="274">
        <v>2022</v>
      </c>
      <c r="E21" s="275">
        <f>(IF('Daily HLP'!H23&gt;0,'Daily HLP'!H23,0))</f>
        <v>28067.069999999949</v>
      </c>
      <c r="F21" s="276">
        <v>9</v>
      </c>
      <c r="G21" s="276">
        <f>(IF('Daily HLP'!L23&gt;0,'Daily HLP'!L23,0))</f>
        <v>1090.6999999999534</v>
      </c>
      <c r="H21" s="276">
        <v>75</v>
      </c>
      <c r="I21" s="276">
        <f>(IF('Daily HLP'!O23&gt;0,'Daily HLP'!O23,0))</f>
        <v>307</v>
      </c>
      <c r="J21" s="276">
        <v>100</v>
      </c>
      <c r="K21" s="281">
        <f>Occupancy!G21</f>
        <v>178</v>
      </c>
      <c r="L21" s="275">
        <f>Occupancy!F21</f>
        <v>734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4</v>
      </c>
      <c r="D22" s="274">
        <v>2022</v>
      </c>
      <c r="E22" s="275">
        <f>(IF('Daily HLP'!H24&gt;0,'Daily HLP'!H24,0))</f>
        <v>29272.920000000042</v>
      </c>
      <c r="F22" s="276">
        <v>9</v>
      </c>
      <c r="G22" s="276">
        <f>(IF('Daily HLP'!L24&gt;0,'Daily HLP'!L24,0))</f>
        <v>1136.9899999999907</v>
      </c>
      <c r="H22" s="276">
        <v>75</v>
      </c>
      <c r="I22" s="276">
        <f>(IF('Daily HLP'!O24&gt;0,'Daily HLP'!O24,0))</f>
        <v>277</v>
      </c>
      <c r="J22" s="276">
        <v>100</v>
      </c>
      <c r="K22" s="281">
        <f>Occupancy!G22</f>
        <v>167</v>
      </c>
      <c r="L22" s="275">
        <f>Occupancy!F22</f>
        <v>566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4</v>
      </c>
      <c r="D23" s="274">
        <v>2022</v>
      </c>
      <c r="E23" s="275">
        <f>(IF('Daily HLP'!H25&gt;0,'Daily HLP'!H25,0))</f>
        <v>29201.040000000037</v>
      </c>
      <c r="F23" s="276">
        <v>9</v>
      </c>
      <c r="G23" s="276">
        <f>(IF('Daily HLP'!L25&gt;0,'Daily HLP'!L25,0))</f>
        <v>1078.8900000001304</v>
      </c>
      <c r="H23" s="276">
        <v>75</v>
      </c>
      <c r="I23" s="276">
        <f>(IF('Daily HLP'!O25&gt;0,'Daily HLP'!O25,0))</f>
        <v>296</v>
      </c>
      <c r="J23" s="276">
        <v>100</v>
      </c>
      <c r="K23" s="281">
        <f>Occupancy!G23</f>
        <v>151</v>
      </c>
      <c r="L23" s="275">
        <f>Occupancy!F23</f>
        <v>1733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4</v>
      </c>
      <c r="D24" s="274">
        <v>2022</v>
      </c>
      <c r="E24" s="275">
        <f>(IF('Daily HLP'!H26&gt;0,'Daily HLP'!H26,0))</f>
        <v>31648.400000000023</v>
      </c>
      <c r="F24" s="276">
        <v>9</v>
      </c>
      <c r="G24" s="276">
        <f>(IF('Daily HLP'!L26&gt;0,'Daily HLP'!L26,0))</f>
        <v>1118.1399999998976</v>
      </c>
      <c r="H24" s="276">
        <v>75</v>
      </c>
      <c r="I24" s="276">
        <f>(IF('Daily HLP'!O26&gt;0,'Daily HLP'!O26,0))</f>
        <v>291</v>
      </c>
      <c r="J24" s="276">
        <v>100</v>
      </c>
      <c r="K24" s="281">
        <f>Occupancy!G24</f>
        <v>167</v>
      </c>
      <c r="L24" s="275">
        <f>Occupancy!F24</f>
        <v>935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4</v>
      </c>
      <c r="D25" s="274">
        <v>2022</v>
      </c>
      <c r="E25" s="275">
        <f>(IF('Daily HLP'!H27&gt;0,'Daily HLP'!H27,0))</f>
        <v>30546.469999999972</v>
      </c>
      <c r="F25" s="276">
        <v>9</v>
      </c>
      <c r="G25" s="276">
        <f>(IF('Daily HLP'!L27&gt;0,'Daily HLP'!L27,0))</f>
        <v>1099.2700000000186</v>
      </c>
      <c r="H25" s="276">
        <v>75</v>
      </c>
      <c r="I25" s="276">
        <f>(IF('Daily HLP'!O27&gt;0,'Daily HLP'!O27,0))</f>
        <v>307</v>
      </c>
      <c r="J25" s="276">
        <v>100</v>
      </c>
      <c r="K25" s="281">
        <f>Occupancy!G25</f>
        <v>149</v>
      </c>
      <c r="L25" s="275">
        <f>Occupancy!F25</f>
        <v>693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4</v>
      </c>
      <c r="D26" s="274">
        <v>2022</v>
      </c>
      <c r="E26" s="275">
        <f>(IF('Daily HLP'!H28&gt;0,'Daily HLP'!H28,0))</f>
        <v>27904.099999999977</v>
      </c>
      <c r="F26" s="276">
        <v>9</v>
      </c>
      <c r="G26" s="276">
        <f>(IF('Daily HLP'!L28&gt;0,'Daily HLP'!L28,0))</f>
        <v>1092.0100000000093</v>
      </c>
      <c r="H26" s="276">
        <v>75</v>
      </c>
      <c r="I26" s="276">
        <f>(IF('Daily HLP'!O28&gt;0,'Daily HLP'!O28,0))</f>
        <v>381</v>
      </c>
      <c r="J26" s="276">
        <v>100</v>
      </c>
      <c r="K26" s="281">
        <f>Occupancy!G26</f>
        <v>165</v>
      </c>
      <c r="L26" s="275">
        <f>Occupancy!F26</f>
        <v>422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4</v>
      </c>
      <c r="D27" s="274">
        <v>2022</v>
      </c>
      <c r="E27" s="275">
        <f>(IF('Daily HLP'!H29&gt;0,'Daily HLP'!H29,0))</f>
        <v>27688</v>
      </c>
      <c r="F27" s="276">
        <v>9</v>
      </c>
      <c r="G27" s="276">
        <f>(IF('Daily HLP'!L29&gt;0,'Daily HLP'!L29,0))</f>
        <v>1116</v>
      </c>
      <c r="H27" s="276">
        <v>75</v>
      </c>
      <c r="I27" s="276">
        <f>(IF('Daily HLP'!O29&gt;0,'Daily HLP'!O29,0))</f>
        <v>328</v>
      </c>
      <c r="J27" s="276">
        <v>100</v>
      </c>
      <c r="K27" s="281">
        <f>Occupancy!G27</f>
        <v>160</v>
      </c>
      <c r="L27" s="275">
        <f>Occupancy!F27</f>
        <v>541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4</v>
      </c>
      <c r="D28" s="274">
        <v>2022</v>
      </c>
      <c r="E28" s="275">
        <f>(IF('Daily HLP'!H30&gt;0,'Daily HLP'!H30,0))</f>
        <v>27760</v>
      </c>
      <c r="F28" s="276">
        <v>9</v>
      </c>
      <c r="G28" s="276">
        <f>(IF('Daily HLP'!L30&gt;0,'Daily HLP'!L30,0))</f>
        <v>1061</v>
      </c>
      <c r="H28" s="276">
        <v>75</v>
      </c>
      <c r="I28" s="276">
        <f>(IF('Daily HLP'!O30&gt;0,'Daily HLP'!O30,0))</f>
        <v>280</v>
      </c>
      <c r="J28" s="276">
        <v>100</v>
      </c>
      <c r="K28" s="281">
        <f>Occupancy!G28</f>
        <v>168</v>
      </c>
      <c r="L28" s="275">
        <f>Occupancy!F28</f>
        <v>570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4</v>
      </c>
      <c r="D29" s="274">
        <v>2022</v>
      </c>
      <c r="E29" s="275">
        <f>(IF('Daily HLP'!H31&gt;0,'Daily HLP'!H31,0))</f>
        <v>28771</v>
      </c>
      <c r="F29" s="276">
        <v>9</v>
      </c>
      <c r="G29" s="276">
        <f>(IF('Daily HLP'!L31&gt;0,'Daily HLP'!L31,0))</f>
        <v>1107</v>
      </c>
      <c r="H29" s="276">
        <v>75</v>
      </c>
      <c r="I29" s="276">
        <f>(IF('Daily HLP'!O31&gt;0,'Daily HLP'!O31,0))</f>
        <v>313</v>
      </c>
      <c r="J29" s="276">
        <v>100</v>
      </c>
      <c r="K29" s="281">
        <f>Occupancy!G29</f>
        <v>176</v>
      </c>
      <c r="L29" s="275">
        <f>Occupancy!F29</f>
        <v>448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4</v>
      </c>
      <c r="D30" s="274">
        <v>2022</v>
      </c>
      <c r="E30" s="275">
        <f>(IF('Daily HLP'!H32&gt;0,'Daily HLP'!H32,0))</f>
        <v>30503</v>
      </c>
      <c r="F30" s="276">
        <v>9</v>
      </c>
      <c r="G30" s="276">
        <f>(IF('Daily HLP'!L32&gt;0,'Daily HLP'!L32,0))</f>
        <v>1096</v>
      </c>
      <c r="H30" s="276">
        <v>75</v>
      </c>
      <c r="I30" s="276">
        <f>(IF('Daily HLP'!O32&gt;0,'Daily HLP'!O32,0))</f>
        <v>311</v>
      </c>
      <c r="J30" s="276">
        <v>100</v>
      </c>
      <c r="K30" s="281">
        <f>Occupancy!G30</f>
        <v>177</v>
      </c>
      <c r="L30" s="275">
        <f>Occupancy!F30</f>
        <v>500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4</v>
      </c>
      <c r="D31" s="274">
        <v>2022</v>
      </c>
      <c r="E31" s="275">
        <f>(IF('Daily HLP'!H33&gt;0,'Daily HLP'!H33,0))</f>
        <v>30519</v>
      </c>
      <c r="F31" s="276">
        <v>9</v>
      </c>
      <c r="G31" s="276">
        <f>(IF('Daily HLP'!L33&gt;0,'Daily HLP'!L33,0))</f>
        <v>1106</v>
      </c>
      <c r="H31" s="276">
        <v>75</v>
      </c>
      <c r="I31" s="276">
        <f>(IF('Daily HLP'!O33&gt;0,'Daily HLP'!O33,0))</f>
        <v>379</v>
      </c>
      <c r="J31" s="276">
        <v>100</v>
      </c>
      <c r="K31" s="281">
        <f>Occupancy!G31</f>
        <v>171</v>
      </c>
      <c r="L31" s="275">
        <f>Occupancy!F31</f>
        <v>1083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4</v>
      </c>
      <c r="D32" s="274">
        <v>2022</v>
      </c>
      <c r="E32" s="275">
        <f>(IF('Daily HLP'!H34&gt;0,'Daily HLP'!H34,0))</f>
        <v>26000</v>
      </c>
      <c r="F32" s="276">
        <v>9</v>
      </c>
      <c r="G32" s="276">
        <f>(IF('Daily HLP'!L34&gt;0,'Daily HLP'!L34,0))</f>
        <v>0</v>
      </c>
      <c r="H32" s="276">
        <v>75</v>
      </c>
      <c r="I32" s="276">
        <f>(IF('Daily HLP'!O34&gt;0,'Daily HLP'!O34,0))</f>
        <v>220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4</v>
      </c>
      <c r="D2" s="288">
        <v>2022</v>
      </c>
      <c r="E2" s="294">
        <f>(IF('Section Load'!F5&gt;0,'Section Load'!F5,0))</f>
        <v>3921.5900000000111</v>
      </c>
      <c r="F2" s="294">
        <f>(IF('Section Load'!G5&gt;0,'Section Load'!G5,0))</f>
        <v>1644.9800000000105</v>
      </c>
      <c r="G2" s="294">
        <f>(IF('Section Load'!H5&gt;0,'Section Load'!H5,0))</f>
        <v>2659.3900000000049</v>
      </c>
      <c r="H2" s="294">
        <f>(IF('Section Load'!I5&gt;0,'Section Load'!I5,0))</f>
        <v>3316.570000000007</v>
      </c>
      <c r="I2" s="294">
        <f>(IF('Section Load'!J5&gt;0,'Section Load'!J5,0))</f>
        <v>5997.7700000000077</v>
      </c>
      <c r="J2" s="294">
        <f>(IF('Section Load'!K5&gt;0,'Section Load'!K5,0))</f>
        <v>3093.5299999999988</v>
      </c>
      <c r="K2" s="294">
        <f>(IF('Section Load'!L5&gt;0,'Section Load'!L5,0))</f>
        <v>1450.859999999986</v>
      </c>
      <c r="L2" s="294">
        <f>(IF('Section Load'!M5&gt;0,'Section Load'!M5,0))</f>
        <v>1190.3399999999965</v>
      </c>
      <c r="M2" s="294">
        <f>(IF('Section Load'!N5&gt;0,'Section Load'!N5,0))</f>
        <v>191</v>
      </c>
      <c r="N2" s="294">
        <f>(IF('Section Load'!O5&gt;0,'Section Load'!O5,0))</f>
        <v>155</v>
      </c>
      <c r="O2" s="294">
        <f>(IF('Section Load'!P5&gt;0,'Section Load'!P5,0))</f>
        <v>1</v>
      </c>
      <c r="P2" s="294">
        <f>(IF('Section Load'!Q5&gt;0,'Section Load'!Q5,0))</f>
        <v>208.47000000000116</v>
      </c>
      <c r="Q2" s="294">
        <f>(IF('Section Load'!R5&gt;0,'Section Load'!R5,0))</f>
        <v>77.599999999998545</v>
      </c>
      <c r="R2" s="294">
        <f>(IF('Section Load'!S5&gt;0,'Section Load'!S5,0))</f>
        <v>1.6000000000003638</v>
      </c>
      <c r="S2" s="294">
        <f>(IF('Section Load'!T5&gt;0,'Section Load'!T5,0))</f>
        <v>504</v>
      </c>
      <c r="T2" s="294">
        <f>(IF('Section Load'!U5&gt;0,'Section Load'!U5,0))</f>
        <v>251</v>
      </c>
      <c r="U2" s="294">
        <f>(IF('Section Load'!V5&gt;0,'Section Load'!V5,0))</f>
        <v>460</v>
      </c>
      <c r="V2" s="294">
        <f>(IF('Section Load'!W5&gt;0,'Section Load'!W5,0))</f>
        <v>422.31999999994878</v>
      </c>
      <c r="W2" s="294">
        <f>(IF('Section Load'!X5&gt;0,'Section Load'!X5,0))</f>
        <v>30.289999999999964</v>
      </c>
      <c r="X2" s="294">
        <f>(IF('Section Load'!Y5&gt;0,'Section Load'!Y5,0))</f>
        <v>235.79999999999927</v>
      </c>
      <c r="Y2" s="294">
        <f>(IF('Section Load'!Z5&gt;0,'Section Load'!Z5,0))</f>
        <v>294</v>
      </c>
      <c r="Z2" s="294">
        <f>(IF('Section Load'!AA5&gt;0,'Section Load'!AA5,0))</f>
        <v>0.27000000001862645</v>
      </c>
      <c r="AA2" s="294">
        <f>(IF('Section Load'!AB5&gt;0,'Section Load'!AB5,0))</f>
        <v>49.100000000005821</v>
      </c>
      <c r="AB2" s="294">
        <f>(IF('Section Load'!AC5&gt;0,'Section Load'!AC5,0))</f>
        <v>0</v>
      </c>
      <c r="AC2" s="294">
        <f>(IF('Section Load'!AD5&gt;0,'Section Load'!AD5,0))</f>
        <v>195.79999999999745</v>
      </c>
      <c r="AD2" s="294">
        <f>(IF('Section Load'!AE5&gt;0,'Section Load'!AE5,0))</f>
        <v>434.38000000000102</v>
      </c>
      <c r="AE2" s="294">
        <f>(IF('Section Load'!AF5&gt;0,'Section Load'!AF5,0))</f>
        <v>190.82699999999932</v>
      </c>
      <c r="AF2" s="294">
        <f>(IF('Section Load'!AG5&gt;0,'Section Load'!AG5,0))</f>
        <v>549.03000000002794</v>
      </c>
      <c r="AG2" s="294">
        <f>(IF('Section Load'!AH5&gt;0,'Section Load'!AH5,0))</f>
        <v>443.60999999998603</v>
      </c>
      <c r="AH2" s="294">
        <f>(IF('Section Load'!AI5&gt;0,'Section Load'!AI5,0))</f>
        <v>423.24000000000524</v>
      </c>
      <c r="AI2" s="294">
        <f>(IF('Section Load'!AJ5&gt;0,'Section Load'!AJ5,0))</f>
        <v>786.72999999998137</v>
      </c>
      <c r="AJ2" s="294">
        <f>(IF('Section Load'!AK5&gt;0,'Section Load'!AK5,0))</f>
        <v>238.85999999998603</v>
      </c>
      <c r="AK2" s="294">
        <f>(IF('Section Load'!AL5&gt;0,'Section Load'!AL5,0))</f>
        <v>252</v>
      </c>
      <c r="AL2" s="294">
        <f>(IF('Section Load'!AM5&gt;0,'Section Load'!AM5,0))</f>
        <v>756.01000000000931</v>
      </c>
      <c r="AM2" s="295">
        <f>(IF('Water Report'!$D$7&gt;0,'Water Report'!$D$7,0))</f>
        <v>210</v>
      </c>
      <c r="AN2" s="295">
        <f>(IF('Water Report'!$D$8&gt;0,'Water Report'!$D$8,0))</f>
        <v>186</v>
      </c>
      <c r="AO2" s="295">
        <f>(IF('Water Report'!$D$9&gt;0,'Water Report'!$D$9,0))</f>
        <v>137</v>
      </c>
      <c r="AP2" s="295">
        <f>(IF('Water Report'!$D$10&gt;0,'Water Report'!$D$10,0))</f>
        <v>18</v>
      </c>
      <c r="AQ2" s="295">
        <f>(IF('Water Report'!$D$11&gt;0,'Water Report'!$D$11,0))</f>
        <v>79</v>
      </c>
      <c r="AR2" s="295">
        <f>(IF('Water Report'!$D$13&gt;0,'Water Report'!$D$13,0))</f>
        <v>65</v>
      </c>
      <c r="AS2" s="295">
        <f>(IF('Water Report'!$D$14&gt;0,'Water Report'!$D$14,0))</f>
        <v>8</v>
      </c>
      <c r="AT2" s="295">
        <f>(IF('Water Report'!$D$15&gt;0,'Water Report'!$D$15,0))</f>
        <v>7</v>
      </c>
      <c r="AU2" s="295">
        <f>(IF('Water Report'!$D$17&gt;0,'Water Report'!$D$17,0))</f>
        <v>1</v>
      </c>
      <c r="AV2" s="295">
        <f>(IF('Water Report'!$D$18&gt;0,'Water Report'!$D$18,0))</f>
        <v>15</v>
      </c>
      <c r="AW2" s="295">
        <f>(IF('Water Report'!$D$19&gt;0,'Water Report'!$D$19,0))</f>
        <v>11</v>
      </c>
      <c r="AX2" s="301">
        <f>(IF('Water Report'!$D$21&gt;0,'Water Report'!$D$21,0))</f>
        <v>105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8</v>
      </c>
      <c r="BB2" s="301">
        <f>(IF('Water Report'!$D$15&gt;0,'Water Report'!$D$15,0))</f>
        <v>7</v>
      </c>
      <c r="BC2" s="301">
        <f>(IF('Water Report'!$D$13&gt;0,'Water Report'!$D$13,0))</f>
        <v>65</v>
      </c>
      <c r="BD2" s="301">
        <f>(IF('Water Report'!$D$24&gt;0,'Water Report'!$D$24,0))</f>
        <v>331</v>
      </c>
      <c r="BE2" s="301">
        <f>(IF('Water Report'!$D$25&gt;0,'Water Report'!$D$25,0))</f>
        <v>249</v>
      </c>
      <c r="BF2" s="301">
        <f>(IF('Water Report'!$D$27&gt;0,'Water Report'!$D$27,0))</f>
        <v>170</v>
      </c>
      <c r="BG2" s="296">
        <f>(IF('Section Load'!AN5&gt;0,'Section Load'!AN5,0))</f>
        <v>1086</v>
      </c>
      <c r="BH2" s="296">
        <f>(IF('Section Load'!AO5&gt;0,'Section Load'!AO5,0))</f>
        <v>301.48999999999069</v>
      </c>
      <c r="BI2" s="296">
        <f>(IF('Section Load'!AP5&gt;0,'Section Load'!AP5,0))</f>
        <v>0</v>
      </c>
      <c r="BJ2" s="296">
        <f>(IF('Section Load'!AQ5&gt;0,'Section Load'!AQ5,0))</f>
        <v>119</v>
      </c>
      <c r="BK2" s="296">
        <f>(IF('Section Load'!AR5&gt;0,'Section Load'!AR5,0))</f>
        <v>57</v>
      </c>
      <c r="BL2" s="296">
        <f>(IF('Section Load'!AS5&gt;0,'Section Load'!AS5,0))</f>
        <v>0</v>
      </c>
      <c r="BM2" s="296">
        <f>(IF('Section Load'!AT5&gt;0,'Section Load'!AT5,0))</f>
        <v>608.51000000000931</v>
      </c>
    </row>
    <row r="3" spans="1:65">
      <c r="A3" s="287" t="s">
        <v>268</v>
      </c>
      <c r="B3" s="288">
        <f>B2+1</f>
        <v>2</v>
      </c>
      <c r="C3" s="288">
        <v>4</v>
      </c>
      <c r="D3" s="288">
        <v>2022</v>
      </c>
      <c r="E3" s="294">
        <f>(IF('Section Load'!F6&gt;0,'Section Load'!F6,0))</f>
        <v>3757</v>
      </c>
      <c r="F3" s="294">
        <f>(IF('Section Load'!G6&gt;0,'Section Load'!G6,0))</f>
        <v>1598</v>
      </c>
      <c r="G3" s="294">
        <f>(IF('Section Load'!H6&gt;0,'Section Load'!H6,0))</f>
        <v>2699</v>
      </c>
      <c r="H3" s="294">
        <f>(IF('Section Load'!I6&gt;0,'Section Load'!I6,0))</f>
        <v>3422</v>
      </c>
      <c r="I3" s="294">
        <f>(IF('Section Load'!J6&gt;0,'Section Load'!J6,0))</f>
        <v>7149</v>
      </c>
      <c r="J3" s="294">
        <f>(IF('Section Load'!K6&gt;0,'Section Load'!K6,0))</f>
        <v>3118</v>
      </c>
      <c r="K3" s="294">
        <f>(IF('Section Load'!L6&gt;0,'Section Load'!L6,0))</f>
        <v>1512</v>
      </c>
      <c r="L3" s="294">
        <f>(IF('Section Load'!M6&gt;0,'Section Load'!M6,0))</f>
        <v>814</v>
      </c>
      <c r="M3" s="294">
        <f>(IF('Section Load'!N6&gt;0,'Section Load'!N6,0))</f>
        <v>206</v>
      </c>
      <c r="N3" s="294">
        <f>(IF('Section Load'!O6&gt;0,'Section Load'!O6,0))</f>
        <v>188</v>
      </c>
      <c r="O3" s="294">
        <f>(IF('Section Load'!P6&gt;0,'Section Load'!P6,0))</f>
        <v>1</v>
      </c>
      <c r="P3" s="294">
        <f>(IF('Section Load'!Q6&gt;0,'Section Load'!Q6,0))</f>
        <v>189</v>
      </c>
      <c r="Q3" s="294">
        <f>(IF('Section Load'!R6&gt;0,'Section Load'!R6,0))</f>
        <v>79</v>
      </c>
      <c r="R3" s="294">
        <f>(IF('Section Load'!S6&gt;0,'Section Load'!S6,0))</f>
        <v>2</v>
      </c>
      <c r="S3" s="294">
        <f>(IF('Section Load'!T6&gt;0,'Section Load'!T6,0))</f>
        <v>548</v>
      </c>
      <c r="T3" s="294">
        <f>(IF('Section Load'!U6&gt;0,'Section Load'!U6,0))</f>
        <v>262</v>
      </c>
      <c r="U3" s="294">
        <f>(IF('Section Load'!V6&gt;0,'Section Load'!V6,0))</f>
        <v>459</v>
      </c>
      <c r="V3" s="294">
        <f>(IF('Section Load'!W6&gt;0,'Section Load'!W6,0))</f>
        <v>355</v>
      </c>
      <c r="W3" s="294">
        <f>(IF('Section Load'!X6&gt;0,'Section Load'!X6,0))</f>
        <v>27</v>
      </c>
      <c r="X3" s="294">
        <f>(IF('Section Load'!Y6&gt;0,'Section Load'!Y6,0))</f>
        <v>235</v>
      </c>
      <c r="Y3" s="294">
        <f>(IF('Section Load'!Z6&gt;0,'Section Load'!Z6,0))</f>
        <v>302</v>
      </c>
      <c r="Z3" s="294">
        <f>(IF('Section Load'!AA6&gt;0,'Section Load'!AA6,0))</f>
        <v>0</v>
      </c>
      <c r="AA3" s="294">
        <f>(IF('Section Load'!AB6&gt;0,'Section Load'!AB6,0))</f>
        <v>23</v>
      </c>
      <c r="AB3" s="294">
        <f>(IF('Section Load'!AC6&gt;0,'Section Load'!AC6,0))</f>
        <v>0</v>
      </c>
      <c r="AC3" s="294">
        <f>(IF('Section Load'!AD6&gt;0,'Section Load'!AD6,0))</f>
        <v>212</v>
      </c>
      <c r="AD3" s="294">
        <f>(IF('Section Load'!AE6&gt;0,'Section Load'!AE6,0))</f>
        <v>440</v>
      </c>
      <c r="AE3" s="294">
        <f>(IF('Section Load'!AF6&gt;0,'Section Load'!AF6,0))</f>
        <v>216</v>
      </c>
      <c r="AF3" s="294">
        <f>(IF('Section Load'!AG6&gt;0,'Section Load'!AG6,0))</f>
        <v>536</v>
      </c>
      <c r="AG3" s="294">
        <f>(IF('Section Load'!AH6&gt;0,'Section Load'!AH6,0))</f>
        <v>450</v>
      </c>
      <c r="AH3" s="294">
        <f>(IF('Section Load'!AI6&gt;0,'Section Load'!AI6,0))</f>
        <v>426</v>
      </c>
      <c r="AI3" s="294">
        <f>(IF('Section Load'!AJ6&gt;0,'Section Load'!AJ6,0))</f>
        <v>818</v>
      </c>
      <c r="AJ3" s="294">
        <f>(IF('Section Load'!AK6&gt;0,'Section Load'!AK6,0))</f>
        <v>226</v>
      </c>
      <c r="AK3" s="294">
        <f>(IF('Section Load'!AL6&gt;0,'Section Load'!AL6,0))</f>
        <v>261</v>
      </c>
      <c r="AL3" s="294">
        <f>(IF('Section Load'!AM6&gt;0,'Section Load'!AM6,0))</f>
        <v>776</v>
      </c>
      <c r="AM3" s="295">
        <f>(IF('Water Report'!$E$7&gt;0,'Water Report'!$E$7,0))</f>
        <v>186</v>
      </c>
      <c r="AN3" s="295">
        <f>(IF('Water Report'!$E$8&gt;0,'Water Report'!$E$8,0))</f>
        <v>133</v>
      </c>
      <c r="AO3" s="295">
        <f>(IF('Water Report'!$E$9&gt;0,'Water Report'!$E$9,0))</f>
        <v>98</v>
      </c>
      <c r="AP3" s="295">
        <f>(IF('Water Report'!$E$10&gt;0,'Water Report'!$E$10,0))</f>
        <v>16</v>
      </c>
      <c r="AQ3" s="295">
        <f>(IF('Water Report'!$E$11&gt;0,'Water Report'!$E$11,0))</f>
        <v>84</v>
      </c>
      <c r="AR3" s="295">
        <f>(IF('Water Report'!$E$13&gt;0,'Water Report'!$E$13,0))</f>
        <v>79</v>
      </c>
      <c r="AS3" s="295">
        <f>(IF('Water Report'!$E$14&gt;0,'Water Report'!$E$14,0))</f>
        <v>26</v>
      </c>
      <c r="AT3" s="295">
        <f>(IF('Water Report'!$E$15&gt;0,'Water Report'!$E$15,0))</f>
        <v>8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12</v>
      </c>
      <c r="AX3" s="301">
        <f>(IF('Water Report'!$E$21&gt;0,'Water Report'!$E$21,0))</f>
        <v>85</v>
      </c>
      <c r="AY3" s="301">
        <f>(IF('Water Report'!$E$22&gt;0,'Water Report'!$E$22,0))</f>
        <v>32</v>
      </c>
      <c r="AZ3" s="301">
        <f>(IF('Water Report'!$E$23&gt;0,'Water Report'!$E$23,0))</f>
        <v>17</v>
      </c>
      <c r="BA3" s="301">
        <f>(IF('Water Report'!$E$14&gt;0,'Water Report'!$E$14,0))</f>
        <v>26</v>
      </c>
      <c r="BB3" s="301">
        <f>(IF('Water Report'!$E$15&gt;0,'Water Report'!$E$15,0))</f>
        <v>8</v>
      </c>
      <c r="BC3" s="301">
        <f>(IF('Water Report'!$E$13&gt;0,'Water Report'!$E$13,0))</f>
        <v>79</v>
      </c>
      <c r="BD3" s="301">
        <f>(IF('Water Report'!$E$24&gt;0,'Water Report'!$E$24,0))</f>
        <v>285</v>
      </c>
      <c r="BE3" s="301">
        <f>(IF('Water Report'!$E$25&gt;0,'Water Report'!$E$25,0))</f>
        <v>232</v>
      </c>
      <c r="BF3" s="301">
        <f>(IF('Water Report'!$E$27&gt;0,'Water Report'!$E$27,0))</f>
        <v>181</v>
      </c>
      <c r="BG3" s="296">
        <f>(IF('Section Load'!AN6&gt;0,'Section Load'!AN6,0))</f>
        <v>1084</v>
      </c>
      <c r="BH3" s="296">
        <f>(IF('Section Load'!AO6&gt;0,'Section Load'!AO6,0))</f>
        <v>298</v>
      </c>
      <c r="BI3" s="296">
        <f>(IF('Section Load'!AP6&gt;0,'Section Load'!AP6,0))</f>
        <v>0</v>
      </c>
      <c r="BJ3" s="296">
        <f>(IF('Section Load'!AQ6&gt;0,'Section Load'!AQ6,0))</f>
        <v>137</v>
      </c>
      <c r="BK3" s="296">
        <f>(IF('Section Load'!AR6&gt;0,'Section Load'!AR6,0))</f>
        <v>47</v>
      </c>
      <c r="BL3" s="296">
        <f>(IF('Section Load'!AS6&gt;0,'Section Load'!AS6,0))</f>
        <v>0</v>
      </c>
      <c r="BM3" s="296">
        <f>(IF('Section Load'!AT6&gt;0,'Section Load'!AT6,0))</f>
        <v>602</v>
      </c>
    </row>
    <row r="4" spans="1:65">
      <c r="A4" s="287" t="s">
        <v>268</v>
      </c>
      <c r="B4" s="288">
        <f t="shared" ref="B4:B32" si="0">B3+1</f>
        <v>3</v>
      </c>
      <c r="C4" s="288">
        <v>4</v>
      </c>
      <c r="D4" s="288">
        <v>2022</v>
      </c>
      <c r="E4" s="294">
        <f>(IF('Section Load'!F7&gt;0,'Section Load'!F7,0))</f>
        <v>3807</v>
      </c>
      <c r="F4" s="294">
        <f>(IF('Section Load'!G7&gt;0,'Section Load'!G7,0))</f>
        <v>1561</v>
      </c>
      <c r="G4" s="294">
        <f>(IF('Section Load'!H7&gt;0,'Section Load'!H7,0))</f>
        <v>2594.9899999999998</v>
      </c>
      <c r="H4" s="294">
        <f>(IF('Section Load'!I7&gt;0,'Section Load'!I7,0))</f>
        <v>3290</v>
      </c>
      <c r="I4" s="294">
        <f>(IF('Section Load'!J7&gt;0,'Section Load'!J7,0))</f>
        <v>7071</v>
      </c>
      <c r="J4" s="294">
        <f>(IF('Section Load'!K7&gt;0,'Section Load'!K7,0))</f>
        <v>3044</v>
      </c>
      <c r="K4" s="294">
        <f>(IF('Section Load'!L7&gt;0,'Section Load'!L7,0))</f>
        <v>1680</v>
      </c>
      <c r="L4" s="294">
        <f>(IF('Section Load'!M7&gt;0,'Section Load'!M7,0))</f>
        <v>842</v>
      </c>
      <c r="M4" s="294">
        <f>(IF('Section Load'!N7&gt;0,'Section Load'!N7,0))</f>
        <v>163</v>
      </c>
      <c r="N4" s="294">
        <f>(IF('Section Load'!O7&gt;0,'Section Load'!O7,0))</f>
        <v>116</v>
      </c>
      <c r="O4" s="294">
        <f>(IF('Section Load'!P7&gt;0,'Section Load'!P7,0))</f>
        <v>1</v>
      </c>
      <c r="P4" s="294">
        <f>(IF('Section Load'!Q7&gt;0,'Section Load'!Q7,0))</f>
        <v>190</v>
      </c>
      <c r="Q4" s="294">
        <f>(IF('Section Load'!R7&gt;0,'Section Load'!R7,0))</f>
        <v>78</v>
      </c>
      <c r="R4" s="294">
        <f>(IF('Section Load'!S7&gt;0,'Section Load'!S7,0))</f>
        <v>0</v>
      </c>
      <c r="S4" s="294">
        <f>(IF('Section Load'!T7&gt;0,'Section Load'!T7,0))</f>
        <v>549</v>
      </c>
      <c r="T4" s="294">
        <f>(IF('Section Load'!U7&gt;0,'Section Load'!U7,0))</f>
        <v>268</v>
      </c>
      <c r="U4" s="294">
        <f>(IF('Section Load'!V7&gt;0,'Section Load'!V7,0))</f>
        <v>494</v>
      </c>
      <c r="V4" s="294">
        <f>(IF('Section Load'!W7&gt;0,'Section Load'!W7,0))</f>
        <v>388</v>
      </c>
      <c r="W4" s="294">
        <f>(IF('Section Load'!X7&gt;0,'Section Load'!X7,0))</f>
        <v>26</v>
      </c>
      <c r="X4" s="294">
        <f>(IF('Section Load'!Y7&gt;0,'Section Load'!Y7,0))</f>
        <v>237</v>
      </c>
      <c r="Y4" s="294">
        <f>(IF('Section Load'!Z7&gt;0,'Section Load'!Z7,0))</f>
        <v>282</v>
      </c>
      <c r="Z4" s="294">
        <f>(IF('Section Load'!AA7&gt;0,'Section Load'!AA7,0))</f>
        <v>0</v>
      </c>
      <c r="AA4" s="294">
        <f>(IF('Section Load'!AB7&gt;0,'Section Load'!AB7,0))</f>
        <v>7</v>
      </c>
      <c r="AB4" s="294">
        <f>(IF('Section Load'!AC7&gt;0,'Section Load'!AC7,0))</f>
        <v>0</v>
      </c>
      <c r="AC4" s="294">
        <f>(IF('Section Load'!AD7&gt;0,'Section Load'!AD7,0))</f>
        <v>205</v>
      </c>
      <c r="AD4" s="294">
        <f>(IF('Section Load'!AE7&gt;0,'Section Load'!AE7,0))</f>
        <v>435</v>
      </c>
      <c r="AE4" s="294">
        <f>(IF('Section Load'!AF7&gt;0,'Section Load'!AF7,0))</f>
        <v>205</v>
      </c>
      <c r="AF4" s="294">
        <f>(IF('Section Load'!AG7&gt;0,'Section Load'!AG7,0))</f>
        <v>536</v>
      </c>
      <c r="AG4" s="294">
        <f>(IF('Section Load'!AH7&gt;0,'Section Load'!AH7,0))</f>
        <v>439</v>
      </c>
      <c r="AH4" s="294">
        <f>(IF('Section Load'!AI7&gt;0,'Section Load'!AI7,0))</f>
        <v>414</v>
      </c>
      <c r="AI4" s="294">
        <f>(IF('Section Load'!AJ7&gt;0,'Section Load'!AJ7,0))</f>
        <v>793</v>
      </c>
      <c r="AJ4" s="294">
        <f>(IF('Section Load'!AK7&gt;0,'Section Load'!AK7,0))</f>
        <v>211</v>
      </c>
      <c r="AK4" s="294">
        <f>(IF('Section Load'!AL7&gt;0,'Section Load'!AL7,0))</f>
        <v>259</v>
      </c>
      <c r="AL4" s="294">
        <f>(IF('Section Load'!AM7&gt;0,'Section Load'!AM7,0))</f>
        <v>858</v>
      </c>
      <c r="AM4" s="295">
        <f>(IF('Water Report'!$F$7&gt;0,'Water Report'!$F$7,0))</f>
        <v>200</v>
      </c>
      <c r="AN4" s="295">
        <f>(IF('Water Report'!$F$8&gt;0,'Water Report'!$F$8,0))</f>
        <v>162</v>
      </c>
      <c r="AO4" s="295">
        <f>(IF('Water Report'!$F$9&gt;0,'Water Report'!$G$9,0))</f>
        <v>101</v>
      </c>
      <c r="AP4" s="295">
        <f>(IF('Water Report'!$F$10&gt;0,'Water Report'!$F$10,0))</f>
        <v>14</v>
      </c>
      <c r="AQ4" s="295">
        <f>(IF('Water Report'!$F$11&gt;0,'Water Report'!$F$11,0))</f>
        <v>74</v>
      </c>
      <c r="AR4" s="295">
        <f>(IF('Water Report'!$F$13&gt;0,'Water Report'!$F$13,0))</f>
        <v>84</v>
      </c>
      <c r="AS4" s="295">
        <f>(IF('Water Report'!$F$14&gt;0,'Water Report'!$F$14,0))</f>
        <v>27</v>
      </c>
      <c r="AT4" s="295">
        <f>(IF('Water Report'!$F$15&gt;0,'Water Report'!$F$15,0))</f>
        <v>8</v>
      </c>
      <c r="AU4" s="295">
        <f>(IF('Water Report'!$F$17&gt;0,'Water Report'!$F$17,0))</f>
        <v>0</v>
      </c>
      <c r="AV4" s="295">
        <f>(IF('Water Report'!$F$18&gt;0,'Water Report'!$F$18,0))</f>
        <v>14</v>
      </c>
      <c r="AW4" s="295">
        <f>(IF('Water Report'!$F$19&gt;0,'Water Report'!$F$19,0))</f>
        <v>14</v>
      </c>
      <c r="AX4" s="301">
        <f>(IF('Water Report'!$F$21&gt;0,'Water Report'!$F$21,0))</f>
        <v>84</v>
      </c>
      <c r="AY4" s="301">
        <f>(IF('Water Report'!$F$22&gt;0,'Water Report'!$F$22,0))</f>
        <v>38</v>
      </c>
      <c r="AZ4" s="301">
        <f>(IF('Water Report'!$F$23&gt;0,'Water Report'!$F$23,0))</f>
        <v>0</v>
      </c>
      <c r="BA4" s="301">
        <f>(IF('Water Report'!$F$14&gt;0,'Water Report'!$F$14,0))</f>
        <v>27</v>
      </c>
      <c r="BB4" s="301">
        <f>(IF('Water Report'!$F$15&gt;0,'Water Report'!$F$15,0))</f>
        <v>8</v>
      </c>
      <c r="BC4" s="301">
        <f>(IF('Water Report'!$F$13&gt;0,'Water Report'!$F$13,0))</f>
        <v>84</v>
      </c>
      <c r="BD4" s="301">
        <f>(IF('Water Report'!$F$24&gt;0,'Water Report'!$F$24,0))</f>
        <v>329</v>
      </c>
      <c r="BE4" s="301">
        <f>(IF('Water Report'!$F$25&gt;0,'Water Report'!$F$25,0))</f>
        <v>237</v>
      </c>
      <c r="BF4" s="301">
        <f>(IF('Water Report'!$F$27&gt;0,'Water Report'!$F$27,0))</f>
        <v>168</v>
      </c>
      <c r="BG4" s="296">
        <f>(IF('Section Load'!AN7&gt;0,'Section Load'!AN7,0))</f>
        <v>1110</v>
      </c>
      <c r="BH4" s="296">
        <f>(IF('Section Load'!AO7&gt;0,'Section Load'!AO7,0))</f>
        <v>335</v>
      </c>
      <c r="BI4" s="296">
        <f>(IF('Section Load'!AP7&gt;0,'Section Load'!AP7,0))</f>
        <v>0</v>
      </c>
      <c r="BJ4" s="296">
        <f>(IF('Section Load'!AQ7&gt;0,'Section Load'!AQ7,0))</f>
        <v>96</v>
      </c>
      <c r="BK4" s="296">
        <f>(IF('Section Load'!AR7&gt;0,'Section Load'!AR7,0))</f>
        <v>44</v>
      </c>
      <c r="BL4" s="296">
        <f>(IF('Section Load'!AS7&gt;0,'Section Load'!AS7,0))</f>
        <v>0</v>
      </c>
      <c r="BM4" s="296">
        <f>(IF('Section Load'!AT7&gt;0,'Section Load'!AT7,0))</f>
        <v>635</v>
      </c>
    </row>
    <row r="5" spans="1:65">
      <c r="A5" s="287" t="s">
        <v>268</v>
      </c>
      <c r="B5" s="288">
        <f t="shared" si="0"/>
        <v>4</v>
      </c>
      <c r="C5" s="288">
        <v>4</v>
      </c>
      <c r="D5" s="288">
        <v>2022</v>
      </c>
      <c r="E5" s="294">
        <f>(IF('Section Load'!F8&gt;0,'Section Load'!F8,0))</f>
        <v>3710</v>
      </c>
      <c r="F5" s="294">
        <f>(IF('Section Load'!G8&gt;0,'Section Load'!G8,0))</f>
        <v>1597</v>
      </c>
      <c r="G5" s="294">
        <f>(IF('Section Load'!H8&gt;0,'Section Load'!H8,0))</f>
        <v>2489</v>
      </c>
      <c r="H5" s="294">
        <f>(IF('Section Load'!I8&gt;0,'Section Load'!I8,0))</f>
        <v>3251</v>
      </c>
      <c r="I5" s="294">
        <f>(IF('Section Load'!J8&gt;0,'Section Load'!J8,0))</f>
        <v>7153</v>
      </c>
      <c r="J5" s="294">
        <f>(IF('Section Load'!K8&gt;0,'Section Load'!K8,0))</f>
        <v>2917</v>
      </c>
      <c r="K5" s="294">
        <f>(IF('Section Load'!L8&gt;0,'Section Load'!L8,0))</f>
        <v>1671</v>
      </c>
      <c r="L5" s="294">
        <f>(IF('Section Load'!M8&gt;0,'Section Load'!M8,0))</f>
        <v>730</v>
      </c>
      <c r="M5" s="294">
        <f>(IF('Section Load'!N8&gt;0,'Section Load'!N8,0))</f>
        <v>167</v>
      </c>
      <c r="N5" s="294">
        <f>(IF('Section Load'!O8&gt;0,'Section Load'!O8,0))</f>
        <v>138</v>
      </c>
      <c r="O5" s="294">
        <f>(IF('Section Load'!P8&gt;0,'Section Load'!P8,0))</f>
        <v>1</v>
      </c>
      <c r="P5" s="294">
        <f>(IF('Section Load'!Q8&gt;0,'Section Load'!Q8,0))</f>
        <v>187</v>
      </c>
      <c r="Q5" s="294">
        <f>(IF('Section Load'!R8&gt;0,'Section Load'!R8,0))</f>
        <v>83</v>
      </c>
      <c r="R5" s="294">
        <f>(IF('Section Load'!S8&gt;0,'Section Load'!S8,0))</f>
        <v>1</v>
      </c>
      <c r="S5" s="294">
        <f>(IF('Section Load'!T8&gt;0,'Section Load'!T8,0))</f>
        <v>457</v>
      </c>
      <c r="T5" s="294">
        <f>(IF('Section Load'!U8&gt;0,'Section Load'!U8,0))</f>
        <v>246</v>
      </c>
      <c r="U5" s="294">
        <f>(IF('Section Load'!V8&gt;0,'Section Load'!V8,0))</f>
        <v>479</v>
      </c>
      <c r="V5" s="294">
        <f>(IF('Section Load'!W8&gt;0,'Section Load'!W8,0))</f>
        <v>301</v>
      </c>
      <c r="W5" s="294">
        <f>(IF('Section Load'!X8&gt;0,'Section Load'!X8,0))</f>
        <v>27</v>
      </c>
      <c r="X5" s="294">
        <f>(IF('Section Load'!Y8&gt;0,'Section Load'!Y8,0))</f>
        <v>225</v>
      </c>
      <c r="Y5" s="294">
        <f>(IF('Section Load'!Z8&gt;0,'Section Load'!Z8,0))</f>
        <v>272</v>
      </c>
      <c r="Z5" s="294">
        <f>(IF('Section Load'!AA8&gt;0,'Section Load'!AA8,0))</f>
        <v>0</v>
      </c>
      <c r="AA5" s="294">
        <f>(IF('Section Load'!AB8&gt;0,'Section Load'!AB8,0))</f>
        <v>39</v>
      </c>
      <c r="AB5" s="294">
        <f>(IF('Section Load'!AC8&gt;0,'Section Load'!AC8,0))</f>
        <v>0</v>
      </c>
      <c r="AC5" s="294">
        <f>(IF('Section Load'!AD8&gt;0,'Section Load'!AD8,0))</f>
        <v>200</v>
      </c>
      <c r="AD5" s="294">
        <f>(IF('Section Load'!AE8&gt;0,'Section Load'!AE8,0))</f>
        <v>457</v>
      </c>
      <c r="AE5" s="294">
        <f>(IF('Section Load'!AF8&gt;0,'Section Load'!AF8,0))</f>
        <v>182</v>
      </c>
      <c r="AF5" s="294">
        <f>(IF('Section Load'!AG8&gt;0,'Section Load'!AG8,0))</f>
        <v>545</v>
      </c>
      <c r="AG5" s="294">
        <f>(IF('Section Load'!AH8&gt;0,'Section Load'!AH8,0))</f>
        <v>436</v>
      </c>
      <c r="AH5" s="294">
        <f>(IF('Section Load'!AI8&gt;0,'Section Load'!AI8,0))</f>
        <v>415</v>
      </c>
      <c r="AI5" s="294">
        <f>(IF('Section Load'!AJ8&gt;0,'Section Load'!AJ8,0))</f>
        <v>745</v>
      </c>
      <c r="AJ5" s="294">
        <f>(IF('Section Load'!AK8&gt;0,'Section Load'!AK8,0))</f>
        <v>239</v>
      </c>
      <c r="AK5" s="294">
        <f>(IF('Section Load'!AL8&gt;0,'Section Load'!AL8,0))</f>
        <v>256</v>
      </c>
      <c r="AL5" s="294">
        <f>(IF('Section Load'!AM8&gt;0,'Section Load'!AM8,0))</f>
        <v>783</v>
      </c>
      <c r="AM5" s="295">
        <f>(IF('Water Report'!$G$7&gt;0,'Water Report'!$F$7,0))</f>
        <v>200</v>
      </c>
      <c r="AN5" s="295">
        <f>(IF('Water Report'!$G$8&gt;0,'Water Report'!$F$8,0))</f>
        <v>162</v>
      </c>
      <c r="AO5" s="295">
        <f>(IF('Water Report'!$G$9&gt;0,'Water Report'!$H$9,0))</f>
        <v>109</v>
      </c>
      <c r="AP5" s="295">
        <f>(IF('Water Report'!$G$10&gt;0,'Water Report'!$G$10,0))</f>
        <v>14</v>
      </c>
      <c r="AQ5" s="295">
        <f>(IF('Water Report'!$G$11&gt;0,'Water Report'!$G$11,0))</f>
        <v>68</v>
      </c>
      <c r="AR5" s="295">
        <f>(IF('Water Report'!$G$13&gt;0,'Water Report'!$G$13,0))</f>
        <v>46</v>
      </c>
      <c r="AS5" s="295">
        <f>(IF('Water Report'!$G$14&gt;0,'Water Report'!$G$14,0))</f>
        <v>6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10</v>
      </c>
      <c r="AX5" s="301">
        <f>(IF('Water Report'!$G$21&gt;0,'Water Report'!$G$21,0))</f>
        <v>83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6</v>
      </c>
      <c r="BB5" s="301">
        <f>(IF('Water Report'!$G$15&gt;0,'Water Report'!$G$15,0))</f>
        <v>6</v>
      </c>
      <c r="BC5" s="301">
        <f>(IF('Water Report'!$G$13&gt;0,'Water Report'!$G$13,0))</f>
        <v>46</v>
      </c>
      <c r="BD5" s="301">
        <f>(IF('Water Report'!$G$24&gt;0,'Water Report'!$G$24,0))</f>
        <v>326</v>
      </c>
      <c r="BE5" s="301">
        <f>(IF('Water Report'!$G$25&gt;0,'Water Report'!$G$25,0))</f>
        <v>195</v>
      </c>
      <c r="BF5" s="301">
        <f>(IF('Water Report'!$G$27&gt;0,'Water Report'!$G$27,0))</f>
        <v>129</v>
      </c>
      <c r="BG5" s="296">
        <f>(IF('Section Load'!AN8&gt;0,'Section Load'!AN8,0))</f>
        <v>1059</v>
      </c>
      <c r="BH5" s="296">
        <f>(IF('Section Load'!AO8&gt;0,'Section Load'!AO8,0))</f>
        <v>318</v>
      </c>
      <c r="BI5" s="296">
        <f>(IF('Section Load'!AP8&gt;0,'Section Load'!AP8,0))</f>
        <v>0</v>
      </c>
      <c r="BJ5" s="296">
        <f>(IF('Section Load'!AQ8&gt;0,'Section Load'!AQ8,0))</f>
        <v>95</v>
      </c>
      <c r="BK5" s="296">
        <f>(IF('Section Load'!AR8&gt;0,'Section Load'!AR8,0))</f>
        <v>43</v>
      </c>
      <c r="BL5" s="296">
        <f>(IF('Section Load'!AS8&gt;0,'Section Load'!AS8,0))</f>
        <v>0</v>
      </c>
      <c r="BM5" s="296">
        <f>(IF('Section Load'!AT8&gt;0,'Section Load'!AT8,0))</f>
        <v>603</v>
      </c>
    </row>
    <row r="6" spans="1:65">
      <c r="A6" s="287" t="s">
        <v>268</v>
      </c>
      <c r="B6" s="288">
        <f t="shared" si="0"/>
        <v>5</v>
      </c>
      <c r="C6" s="288">
        <v>4</v>
      </c>
      <c r="D6" s="288">
        <v>2022</v>
      </c>
      <c r="E6" s="294">
        <f>(IF('Section Load'!F9&gt;0,'Section Load'!F9,0))</f>
        <v>4031.1399999999994</v>
      </c>
      <c r="F6" s="294">
        <f>(IF('Section Load'!G9&gt;0,'Section Load'!G9,0))</f>
        <v>1642.890000000014</v>
      </c>
      <c r="G6" s="294">
        <f>(IF('Section Load'!H9&gt;0,'Section Load'!H9,0))</f>
        <v>2495.9399999999932</v>
      </c>
      <c r="H6" s="294">
        <f>(IF('Section Load'!I9&gt;0,'Section Load'!I9,0))</f>
        <v>3265.2699999999895</v>
      </c>
      <c r="I6" s="294">
        <f>(IF('Section Load'!J9&gt;0,'Section Load'!J9,0))</f>
        <v>6722.8000000000029</v>
      </c>
      <c r="J6" s="294">
        <f>(IF('Section Load'!K9&gt;0,'Section Load'!K9,0))</f>
        <v>2879.4899999999907</v>
      </c>
      <c r="K6" s="294">
        <f>(IF('Section Load'!L9&gt;0,'Section Load'!L9,0))</f>
        <v>1112.5599999999977</v>
      </c>
      <c r="L6" s="294">
        <f>(IF('Section Load'!M9&gt;0,'Section Load'!M9,0))</f>
        <v>777.13000000000466</v>
      </c>
      <c r="M6" s="294">
        <f>(IF('Section Load'!N9&gt;0,'Section Load'!N9,0))</f>
        <v>179</v>
      </c>
      <c r="N6" s="294">
        <f>(IF('Section Load'!O9&gt;0,'Section Load'!O9,0))</f>
        <v>130</v>
      </c>
      <c r="O6" s="294">
        <f>(IF('Section Load'!P9&gt;0,'Section Load'!P9,0))</f>
        <v>1</v>
      </c>
      <c r="P6" s="294">
        <f>(IF('Section Load'!Q9&gt;0,'Section Load'!Q9,0))</f>
        <v>201.99000000000524</v>
      </c>
      <c r="Q6" s="294">
        <f>(IF('Section Load'!R9&gt;0,'Section Load'!R9,0))</f>
        <v>84.599999999998545</v>
      </c>
      <c r="R6" s="294">
        <f>(IF('Section Load'!S9&gt;0,'Section Load'!S9,0))</f>
        <v>1.3699999999998909</v>
      </c>
      <c r="S6" s="294">
        <f>(IF('Section Load'!T9&gt;0,'Section Load'!T9,0))</f>
        <v>525</v>
      </c>
      <c r="T6" s="294">
        <f>(IF('Section Load'!U9&gt;0,'Section Load'!U9,0))</f>
        <v>222</v>
      </c>
      <c r="U6" s="294">
        <f>(IF('Section Load'!V9&gt;0,'Section Load'!V9,0))</f>
        <v>424.23999999999069</v>
      </c>
      <c r="V6" s="294">
        <f>(IF('Section Load'!W9&gt;0,'Section Load'!W9,0))</f>
        <v>328.43999999994412</v>
      </c>
      <c r="W6" s="294">
        <f>(IF('Section Load'!X9&gt;0,'Section Load'!X9,0))</f>
        <v>25.460000000000036</v>
      </c>
      <c r="X6" s="294">
        <f>(IF('Section Load'!Y9&gt;0,'Section Load'!Y9,0))</f>
        <v>244.68000000000029</v>
      </c>
      <c r="Y6" s="294">
        <f>(IF('Section Load'!Z9&gt;0,'Section Load'!Z9,0))</f>
        <v>253</v>
      </c>
      <c r="Z6" s="294">
        <f>(IF('Section Load'!AA9&gt;0,'Section Load'!AA9,0))</f>
        <v>0.44000000000232831</v>
      </c>
      <c r="AA6" s="294">
        <f>(IF('Section Load'!AB9&gt;0,'Section Load'!AB9,0))</f>
        <v>40.130000000004657</v>
      </c>
      <c r="AB6" s="294">
        <f>(IF('Section Load'!AC9&gt;0,'Section Load'!AC9,0))</f>
        <v>0</v>
      </c>
      <c r="AC6" s="294">
        <f>(IF('Section Load'!AD9&gt;0,'Section Load'!AD9,0))</f>
        <v>175.00000000000546</v>
      </c>
      <c r="AD6" s="294">
        <f>(IF('Section Load'!AE9&gt;0,'Section Load'!AE9,0))</f>
        <v>410.63000000000102</v>
      </c>
      <c r="AE6" s="294">
        <f>(IF('Section Load'!AF9&gt;0,'Section Load'!AF9,0))</f>
        <v>204.28000000000065</v>
      </c>
      <c r="AF6" s="294">
        <f>(IF('Section Load'!AG9&gt;0,'Section Load'!AG9,0))</f>
        <v>510.04999999998836</v>
      </c>
      <c r="AG6" s="294">
        <f>(IF('Section Load'!AH9&gt;0,'Section Load'!AH9,0))</f>
        <v>447.98999999999069</v>
      </c>
      <c r="AH6" s="294">
        <f>(IF('Section Load'!AI9&gt;0,'Section Load'!AI9,0))</f>
        <v>421.44999999999709</v>
      </c>
      <c r="AI6" s="294">
        <f>(IF('Section Load'!AJ9&gt;0,'Section Load'!AJ9,0))</f>
        <v>812.51000000000931</v>
      </c>
      <c r="AJ6" s="294">
        <f>(IF('Section Load'!AK9&gt;0,'Section Load'!AK9,0))</f>
        <v>231.85000000000582</v>
      </c>
      <c r="AK6" s="294">
        <f>(IF('Section Load'!AL9&gt;0,'Section Load'!AL9,0))</f>
        <v>270.42999999999302</v>
      </c>
      <c r="AL6" s="294">
        <f>(IF('Section Load'!AM9&gt;0,'Section Load'!AM9,0))</f>
        <v>944.83999999999651</v>
      </c>
      <c r="AM6" s="295">
        <f>(IF('Water Report'!$H$7&gt;0,'Water Report'!$H$7,0))</f>
        <v>173</v>
      </c>
      <c r="AN6" s="295">
        <f>(IF('Water Report'!$H$8&gt;0,'Water Report'!$H$8,0))</f>
        <v>166</v>
      </c>
      <c r="AO6" s="295">
        <f>(IF('Water Report'!$H$9&gt;0,'Water Report'!$H$9,0))</f>
        <v>109</v>
      </c>
      <c r="AP6" s="295">
        <f>(IF('Water Report'!$H$10&gt;0,'Water Report'!$H$10,0))</f>
        <v>18</v>
      </c>
      <c r="AQ6" s="295">
        <f>(IF('Water Report'!$H$11&gt;0,'Water Report'!$H$11,0))</f>
        <v>71</v>
      </c>
      <c r="AR6" s="295">
        <f>(IF('Water Report'!$H$13&gt;0,'Water Report'!$H$13,0))</f>
        <v>54</v>
      </c>
      <c r="AS6" s="295">
        <f>(IF('Water Report'!$H$14&gt;0,'Water Report'!$H$14,0))</f>
        <v>17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14</v>
      </c>
      <c r="AX6" s="301">
        <f>(IF('Water Report'!$H$21&gt;0,'Water Report'!$H$21,0))</f>
        <v>86</v>
      </c>
      <c r="AY6" s="301">
        <f>(IF('Water Report'!$H$22&gt;0,'Water Report'!$H$22,0))</f>
        <v>4</v>
      </c>
      <c r="AZ6" s="301">
        <f>(IF('Water Report'!$H$23&gt;0,'Water Report'!$H$23,0))</f>
        <v>16</v>
      </c>
      <c r="BA6" s="301">
        <f>(IF('Water Report'!$H$14&gt;0,'Water Report'!$H$14,0))</f>
        <v>17</v>
      </c>
      <c r="BB6" s="301">
        <f>(IF('Water Report'!$H$15&gt;0,'Water Report'!$H$15,0))</f>
        <v>6</v>
      </c>
      <c r="BC6" s="301">
        <f>(IF('Water Report'!$H$13&gt;0,'Water Report'!$H$13,0))</f>
        <v>54</v>
      </c>
      <c r="BD6" s="301">
        <f>(IF('Water Report'!$H$24&gt;0,'Water Report'!$H$24,0))</f>
        <v>286</v>
      </c>
      <c r="BE6" s="301">
        <f>(IF('Water Report'!$H$25&gt;0,'Water Report'!$H$25,0))</f>
        <v>221</v>
      </c>
      <c r="BF6" s="301">
        <f>(IF('Water Report'!$H$27&gt;0,'Water Report'!$H$27,0))</f>
        <v>156</v>
      </c>
      <c r="BG6" s="296">
        <f>(IF('Section Load'!AN9&gt;0,'Section Load'!AN9,0))</f>
        <v>1117.8899999998976</v>
      </c>
      <c r="BH6" s="296">
        <f>(IF('Section Load'!AO9&gt;0,'Section Load'!AO9,0))</f>
        <v>316.85999999998603</v>
      </c>
      <c r="BI6" s="296">
        <f>(IF('Section Load'!AP9&gt;0,'Section Load'!AP9,0))</f>
        <v>0</v>
      </c>
      <c r="BJ6" s="296">
        <f>(IF('Section Load'!AQ9&gt;0,'Section Load'!AQ9,0))</f>
        <v>102.20000000001164</v>
      </c>
      <c r="BK6" s="296">
        <f>(IF('Section Load'!AR9&gt;0,'Section Load'!AR9,0))</f>
        <v>54.30000000000291</v>
      </c>
      <c r="BL6" s="296">
        <f>(IF('Section Load'!AS9&gt;0,'Section Load'!AS9,0))</f>
        <v>0.3999999999996362</v>
      </c>
      <c r="BM6" s="296">
        <f>(IF('Section Load'!AT9&gt;0,'Section Load'!AT9,0))</f>
        <v>644.12999999989734</v>
      </c>
    </row>
    <row r="7" spans="1:65">
      <c r="A7" s="287" t="s">
        <v>268</v>
      </c>
      <c r="B7" s="288">
        <f t="shared" si="0"/>
        <v>6</v>
      </c>
      <c r="C7" s="288">
        <v>4</v>
      </c>
      <c r="D7" s="288">
        <v>2022</v>
      </c>
      <c r="E7" s="294">
        <f>(IF('Section Load'!F10&gt;0,'Section Load'!F10,0))</f>
        <v>3914.3500000000058</v>
      </c>
      <c r="F7" s="294">
        <f>(IF('Section Load'!G10&gt;0,'Section Load'!G10,0))</f>
        <v>1635.7199999999721</v>
      </c>
      <c r="G7" s="294">
        <f>(IF('Section Load'!H10&gt;0,'Section Load'!H10,0))</f>
        <v>2460.179999999993</v>
      </c>
      <c r="H7" s="294">
        <f>(IF('Section Load'!I10&gt;0,'Section Load'!I10,0))</f>
        <v>3292.3399999999965</v>
      </c>
      <c r="I7" s="294">
        <f>(IF('Section Load'!J10&gt;0,'Section Load'!J10,0))</f>
        <v>7849.890000000014</v>
      </c>
      <c r="J7" s="294">
        <f>(IF('Section Load'!K10&gt;0,'Section Load'!K10,0))</f>
        <v>2996.7800000000279</v>
      </c>
      <c r="K7" s="294">
        <f>(IF('Section Load'!L10&gt;0,'Section Load'!L10,0))</f>
        <v>1119.0400000000081</v>
      </c>
      <c r="L7" s="294">
        <f>(IF('Section Load'!M10&gt;0,'Section Load'!M10,0))</f>
        <v>947.52999999999884</v>
      </c>
      <c r="M7" s="294">
        <f>(IF('Section Load'!N10&gt;0,'Section Load'!N10,0))</f>
        <v>154</v>
      </c>
      <c r="N7" s="294">
        <f>(IF('Section Load'!O10&gt;0,'Section Load'!O10,0))</f>
        <v>128</v>
      </c>
      <c r="O7" s="294">
        <f>(IF('Section Load'!P10&gt;0,'Section Load'!P10,0))</f>
        <v>8.5</v>
      </c>
      <c r="P7" s="294">
        <f>(IF('Section Load'!Q10&gt;0,'Section Load'!Q10,0))</f>
        <v>197.5</v>
      </c>
      <c r="Q7" s="294">
        <f>(IF('Section Load'!R10&gt;0,'Section Load'!R10,0))</f>
        <v>70.680000000000291</v>
      </c>
      <c r="R7" s="294">
        <f>(IF('Section Load'!S10&gt;0,'Section Load'!S10,0))</f>
        <v>0.43000000000029104</v>
      </c>
      <c r="S7" s="294">
        <f>(IF('Section Load'!T10&gt;0,'Section Load'!T10,0))</f>
        <v>575</v>
      </c>
      <c r="T7" s="294">
        <f>(IF('Section Load'!U10&gt;0,'Section Load'!U10,0))</f>
        <v>243</v>
      </c>
      <c r="U7" s="294">
        <f>(IF('Section Load'!V10&gt;0,'Section Load'!V10,0))</f>
        <v>397.56000000005588</v>
      </c>
      <c r="V7" s="294">
        <f>(IF('Section Load'!W10&gt;0,'Section Load'!W10,0))</f>
        <v>332.32000000006519</v>
      </c>
      <c r="W7" s="294">
        <f>(IF('Section Load'!X10&gt;0,'Section Load'!X10,0))</f>
        <v>28.630000000000109</v>
      </c>
      <c r="X7" s="294">
        <f>(IF('Section Load'!Y10&gt;0,'Section Load'!Y10,0))</f>
        <v>245</v>
      </c>
      <c r="Y7" s="294">
        <f>(IF('Section Load'!Z10&gt;0,'Section Load'!Z10,0))</f>
        <v>284</v>
      </c>
      <c r="Z7" s="294">
        <f>(IF('Section Load'!AA10&gt;0,'Section Load'!AA10,0))</f>
        <v>0</v>
      </c>
      <c r="AA7" s="294">
        <f>(IF('Section Load'!AB10&gt;0,'Section Load'!AB10,0))</f>
        <v>37.069999999992433</v>
      </c>
      <c r="AB7" s="294">
        <f>(IF('Section Load'!AC10&gt;0,'Section Load'!AC10,0))</f>
        <v>0</v>
      </c>
      <c r="AC7" s="294">
        <f>(IF('Section Load'!AD10&gt;0,'Section Load'!AD10,0))</f>
        <v>176.59999999999491</v>
      </c>
      <c r="AD7" s="294">
        <f>(IF('Section Load'!AE10&gt;0,'Section Load'!AE10,0))</f>
        <v>413.81999999999971</v>
      </c>
      <c r="AE7" s="294">
        <f>(IF('Section Load'!AF10&gt;0,'Section Load'!AF10,0))</f>
        <v>189.77999999999884</v>
      </c>
      <c r="AF7" s="294">
        <f>(IF('Section Load'!AG10&gt;0,'Section Load'!AG10,0))</f>
        <v>511.40000000002328</v>
      </c>
      <c r="AG7" s="294">
        <f>(IF('Section Load'!AH10&gt;0,'Section Load'!AH10,0))</f>
        <v>450.28000000002794</v>
      </c>
      <c r="AH7" s="294">
        <f>(IF('Section Load'!AI10&gt;0,'Section Load'!AI10,0))</f>
        <v>404.10000000000582</v>
      </c>
      <c r="AI7" s="294">
        <f>(IF('Section Load'!AJ10&gt;0,'Section Load'!AJ10,0))</f>
        <v>861.20000000001164</v>
      </c>
      <c r="AJ7" s="294">
        <f>(IF('Section Load'!AK10&gt;0,'Section Load'!AK10,0))</f>
        <v>218.88999999998487</v>
      </c>
      <c r="AK7" s="294">
        <f>(IF('Section Load'!AL10&gt;0,'Section Load'!AL10,0))</f>
        <v>258.55999999999767</v>
      </c>
      <c r="AL7" s="294">
        <f>(IF('Section Load'!AM10&gt;0,'Section Load'!AM10,0))</f>
        <v>933.23999999999069</v>
      </c>
      <c r="AM7" s="295">
        <f>(IF('Water Report'!$I$7&gt;0,'Water Report'!$I$7,0))</f>
        <v>171</v>
      </c>
      <c r="AN7" s="295">
        <f>(IF('Water Report'!$I$8&gt;0,'Water Report'!$I$8,0))</f>
        <v>165</v>
      </c>
      <c r="AO7" s="295">
        <f>(IF('Water Report'!$I$9&gt;0,'Water Report'!$I$9,0))</f>
        <v>115</v>
      </c>
      <c r="AP7" s="295">
        <f>(IF('Water Report'!$I$10&gt;0,'Water Report'!$I$10,0))</f>
        <v>16</v>
      </c>
      <c r="AQ7" s="295">
        <f>(IF('Water Report'!$I$11&gt;0,'Water Report'!$I$11,0))</f>
        <v>72</v>
      </c>
      <c r="AR7" s="295">
        <f>(IF('Water Report'!$I$13&gt;0,'Water Report'!$I$13,0))</f>
        <v>49</v>
      </c>
      <c r="AS7" s="295">
        <f>(IF('Water Report'!$I$14&gt;0,'Water Report'!$I$14,0))</f>
        <v>11</v>
      </c>
      <c r="AT7" s="295">
        <f>(IF('Water Report'!$I$15&gt;0,'Water Report'!$I$15,0))</f>
        <v>7</v>
      </c>
      <c r="AU7" s="295">
        <f>(IF('Water Report'!$I$17&gt;0,'Water Report'!$I$17,0))</f>
        <v>0</v>
      </c>
      <c r="AV7" s="295">
        <f>(IF('Water Report'!$I$18&gt;0,'Water Report'!$I$18,0))</f>
        <v>15</v>
      </c>
      <c r="AW7" s="295">
        <f>(IF('Water Report'!$I$19&gt;0,'Water Report'!$I$19,0))</f>
        <v>13</v>
      </c>
      <c r="AX7" s="301">
        <f>(IF('Water Report'!$I$21&gt;0,'Water Report'!$I$21,0))</f>
        <v>106</v>
      </c>
      <c r="AY7" s="301">
        <f>(IF('Water Report'!$I$22&gt;0,'Water Report'!$I$22,0))</f>
        <v>9</v>
      </c>
      <c r="AZ7" s="301">
        <f>(IF('Water Report'!$I$23&gt;0,'Water Report'!$I$23,0))</f>
        <v>15</v>
      </c>
      <c r="BA7" s="301">
        <f>(IF('Water Report'!$I$14&gt;0,'Water Report'!$I$14,0))</f>
        <v>11</v>
      </c>
      <c r="BB7" s="301">
        <f>(IF('Water Report'!$I$15&gt;0,'Water Report'!$I$15,0))</f>
        <v>7</v>
      </c>
      <c r="BC7" s="301">
        <f>(IF('Water Report'!$I$13&gt;0,'Water Report'!$I$13,0))</f>
        <v>49</v>
      </c>
      <c r="BD7" s="301">
        <f>(IF('Water Report'!$I$24&gt;0,'Water Report'!$I$24,0))</f>
        <v>310</v>
      </c>
      <c r="BE7" s="301">
        <f>(IF('Water Report'!$I$25&gt;0,'Water Report'!$I$25,0))</f>
        <v>221</v>
      </c>
      <c r="BF7" s="301">
        <f>(IF('Water Report'!$I$27&gt;0,'Water Report'!$I$27,0))</f>
        <v>170</v>
      </c>
      <c r="BG7" s="296">
        <f>(IF('Section Load'!AN10&gt;0,'Section Load'!AN10,0))</f>
        <v>1125.8300000000745</v>
      </c>
      <c r="BH7" s="296">
        <f>(IF('Section Load'!AO10&gt;0,'Section Load'!AO10,0))</f>
        <v>310.46999999997206</v>
      </c>
      <c r="BI7" s="296">
        <f>(IF('Section Load'!AP10&gt;0,'Section Load'!AP10,0))</f>
        <v>0</v>
      </c>
      <c r="BJ7" s="296">
        <f>(IF('Section Load'!AQ10&gt;0,'Section Load'!AQ10,0))</f>
        <v>109.01999999998952</v>
      </c>
      <c r="BK7" s="296">
        <f>(IF('Section Load'!AR10&gt;0,'Section Load'!AR10,0))</f>
        <v>47.69999999999709</v>
      </c>
      <c r="BL7" s="296">
        <f>(IF('Section Load'!AS10&gt;0,'Section Load'!AS10,0))</f>
        <v>0</v>
      </c>
      <c r="BM7" s="296">
        <f>(IF('Section Load'!AT10&gt;0,'Section Load'!AT10,0))</f>
        <v>658.64000000011583</v>
      </c>
    </row>
    <row r="8" spans="1:65">
      <c r="A8" s="287" t="s">
        <v>268</v>
      </c>
      <c r="B8" s="288">
        <f t="shared" si="0"/>
        <v>7</v>
      </c>
      <c r="C8" s="288">
        <v>4</v>
      </c>
      <c r="D8" s="288">
        <v>2022</v>
      </c>
      <c r="E8" s="294">
        <f>(IF('Section Load'!F11&gt;0,'Section Load'!F11,0))</f>
        <v>3984.8699999999953</v>
      </c>
      <c r="F8" s="294">
        <f>(IF('Section Load'!G11&gt;0,'Section Load'!G11,0))</f>
        <v>1636.9000000000233</v>
      </c>
      <c r="G8" s="294">
        <f>(IF('Section Load'!H11&gt;0,'Section Load'!H11,0))</f>
        <v>2435.9800000000105</v>
      </c>
      <c r="H8" s="294">
        <f>(IF('Section Load'!I11&gt;0,'Section Load'!I11,0))</f>
        <v>3334.6600000000326</v>
      </c>
      <c r="I8" s="294">
        <f>(IF('Section Load'!J11&gt;0,'Section Load'!J11,0))</f>
        <v>8007.3199999999924</v>
      </c>
      <c r="J8" s="294">
        <f>(IF('Section Load'!K11&gt;0,'Section Load'!K11,0))</f>
        <v>3021.1999999999534</v>
      </c>
      <c r="K8" s="294">
        <f>(IF('Section Load'!L11&gt;0,'Section Load'!L11,0))</f>
        <v>1144.3800000000047</v>
      </c>
      <c r="L8" s="294">
        <f>(IF('Section Load'!M11&gt;0,'Section Load'!M11,0))</f>
        <v>1059.3899999999994</v>
      </c>
      <c r="M8" s="294">
        <f>(IF('Section Load'!N11&gt;0,'Section Load'!N11,0))</f>
        <v>167</v>
      </c>
      <c r="N8" s="294">
        <f>(IF('Section Load'!O11&gt;0,'Section Load'!O11,0))</f>
        <v>157</v>
      </c>
      <c r="O8" s="294">
        <f>(IF('Section Load'!P11&gt;0,'Section Load'!P11,0))</f>
        <v>1.6000000000058208</v>
      </c>
      <c r="P8" s="294">
        <f>(IF('Section Load'!Q11&gt;0,'Section Load'!Q11,0))</f>
        <v>201.05999999999767</v>
      </c>
      <c r="Q8" s="294">
        <f>(IF('Section Load'!R11&gt;0,'Section Load'!R11,0))</f>
        <v>61.370000000002619</v>
      </c>
      <c r="R8" s="294">
        <f>(IF('Section Load'!S11&gt;0,'Section Load'!S11,0))</f>
        <v>0.68999999999959982</v>
      </c>
      <c r="S8" s="294">
        <f>(IF('Section Load'!T11&gt;0,'Section Load'!T11,0))</f>
        <v>453</v>
      </c>
      <c r="T8" s="294">
        <f>(IF('Section Load'!U11&gt;0,'Section Load'!U11,0))</f>
        <v>275</v>
      </c>
      <c r="U8" s="294">
        <f>(IF('Section Load'!V11&gt;0,'Section Load'!V11,0))</f>
        <v>405.11999999999534</v>
      </c>
      <c r="V8" s="294">
        <f>(IF('Section Load'!W11&gt;0,'Section Load'!W11,0))</f>
        <v>312.88000000000466</v>
      </c>
      <c r="W8" s="294">
        <f>(IF('Section Load'!X11&gt;0,'Section Load'!X11,0))</f>
        <v>27.319999999999709</v>
      </c>
      <c r="X8" s="294">
        <f>(IF('Section Load'!Y11&gt;0,'Section Load'!Y11,0))</f>
        <v>226.79000000000087</v>
      </c>
      <c r="Y8" s="294">
        <f>(IF('Section Load'!Z11&gt;0,'Section Load'!Z11,0))</f>
        <v>262</v>
      </c>
      <c r="Z8" s="294">
        <f>(IF('Section Load'!AA11&gt;0,'Section Load'!AA11,0))</f>
        <v>0</v>
      </c>
      <c r="AA8" s="294">
        <f>(IF('Section Load'!AB11&gt;0,'Section Load'!AB11,0))</f>
        <v>40.19999999999709</v>
      </c>
      <c r="AB8" s="294">
        <f>(IF('Section Load'!AC11&gt;0,'Section Load'!AC11,0))</f>
        <v>0</v>
      </c>
      <c r="AC8" s="294">
        <f>(IF('Section Load'!AD11&gt;0,'Section Load'!AD11,0))</f>
        <v>199.29999999999382</v>
      </c>
      <c r="AD8" s="294">
        <f>(IF('Section Load'!AE11&gt;0,'Section Load'!AE11,0))</f>
        <v>430.06999999999971</v>
      </c>
      <c r="AE8" s="294">
        <f>(IF('Section Load'!AF11&gt;0,'Section Load'!AF11,0))</f>
        <v>298.36000000000058</v>
      </c>
      <c r="AF8" s="294">
        <f>(IF('Section Load'!AG11&gt;0,'Section Load'!AG11,0))</f>
        <v>563.82000000000698</v>
      </c>
      <c r="AG8" s="294">
        <f>(IF('Section Load'!AH11&gt;0,'Section Load'!AH11,0))</f>
        <v>435.72999999998137</v>
      </c>
      <c r="AH8" s="294">
        <f>(IF('Section Load'!AI11&gt;0,'Section Load'!AI11,0))</f>
        <v>407.44999999999709</v>
      </c>
      <c r="AI8" s="294">
        <f>(IF('Section Load'!AJ11&gt;0,'Section Load'!AJ11,0))</f>
        <v>775.15999999997439</v>
      </c>
      <c r="AJ8" s="294">
        <f>(IF('Section Load'!AK11&gt;0,'Section Load'!AK11,0))</f>
        <v>192.77000000001863</v>
      </c>
      <c r="AK8" s="294">
        <f>(IF('Section Load'!AL11&gt;0,'Section Load'!AL11,0))</f>
        <v>243.48000000001048</v>
      </c>
      <c r="AL8" s="294">
        <f>(IF('Section Load'!AM11&gt;0,'Section Load'!AM11,0))</f>
        <v>920.87000000002445</v>
      </c>
      <c r="AM8" s="295">
        <f>(IF('Water Report'!$J$7&gt;0,'Water Report'!$J$7,0))</f>
        <v>151</v>
      </c>
      <c r="AN8" s="295">
        <f>(IF('Water Report'!$J$8&gt;0,'Water Report'!$J$8,0))</f>
        <v>123</v>
      </c>
      <c r="AO8" s="295">
        <f>(IF('Water Report'!$J$9&gt;0,'Water Report'!$J$9,0))</f>
        <v>101</v>
      </c>
      <c r="AP8" s="295">
        <f>(IF('Water Report'!$J$10&gt;0,'Water Report'!$J$10,0))</f>
        <v>13</v>
      </c>
      <c r="AQ8" s="295">
        <f>(IF('Water Report'!$J$11&gt;0,'Water Report'!$J$11,0))</f>
        <v>71</v>
      </c>
      <c r="AR8" s="295">
        <f>(IF('Water Report'!$J$13&gt;0,'Water Report'!$J$13,0))</f>
        <v>53</v>
      </c>
      <c r="AS8" s="295">
        <f>(IF('Water Report'!$J$14&gt;0,'Water Report'!$J$14,0))</f>
        <v>14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16</v>
      </c>
      <c r="AW8" s="295">
        <f>(IF('Water Report'!$J$19&gt;0,'Water Report'!$J$19,0))</f>
        <v>13</v>
      </c>
      <c r="AX8" s="301">
        <f>(IF('Water Report'!$J$21&gt;0,'Water Report'!$J$21,0))</f>
        <v>84</v>
      </c>
      <c r="AY8" s="301">
        <f>(IF('Water Report'!$J$22&gt;0,'Water Report'!$J$22,0))</f>
        <v>13</v>
      </c>
      <c r="AZ8" s="301">
        <f>(IF('Water Report'!$J$23&gt;0,'Water Report'!$J$23,0))</f>
        <v>3</v>
      </c>
      <c r="BA8" s="301">
        <f>(IF('Water Report'!$J$14&gt;0,'Water Report'!$J$14,0))</f>
        <v>14</v>
      </c>
      <c r="BB8" s="301">
        <f>(IF('Water Report'!$J$15&gt;0,'Water Report'!$J$15,0))</f>
        <v>8</v>
      </c>
      <c r="BC8" s="301">
        <f>(IF('Water Report'!$J$13&gt;0,'Water Report'!$J$13,0))</f>
        <v>53</v>
      </c>
      <c r="BD8" s="301">
        <f>(IF('Water Report'!$J$24&gt;0,'Water Report'!$J$24,0))</f>
        <v>206</v>
      </c>
      <c r="BE8" s="301">
        <f>(IF('Water Report'!$J$25&gt;0,'Water Report'!$J$25,0))</f>
        <v>207</v>
      </c>
      <c r="BF8" s="301">
        <f>(IF('Water Report'!$J$27&gt;0,'Water Report'!$J$27,0))</f>
        <v>140</v>
      </c>
      <c r="BG8" s="296">
        <f>(IF('Section Load'!AN11&gt;0,'Section Load'!AN11,0))</f>
        <v>1059.5700000000652</v>
      </c>
      <c r="BH8" s="296">
        <f>(IF('Section Load'!AO11&gt;0,'Section Load'!AO11,0))</f>
        <v>292.95000000006985</v>
      </c>
      <c r="BI8" s="296">
        <f>(IF('Section Load'!AP11&gt;0,'Section Load'!AP11,0))</f>
        <v>0</v>
      </c>
      <c r="BJ8" s="296">
        <f>(IF('Section Load'!AQ11&gt;0,'Section Load'!AQ11,0))</f>
        <v>106.67999999999302</v>
      </c>
      <c r="BK8" s="296">
        <f>(IF('Section Load'!AR11&gt;0,'Section Load'!AR11,0))</f>
        <v>50.30000000000291</v>
      </c>
      <c r="BL8" s="296">
        <f>(IF('Section Load'!AS11&gt;0,'Section Load'!AS11,0))</f>
        <v>0</v>
      </c>
      <c r="BM8" s="296">
        <f>(IF('Section Load'!AT11&gt;0,'Section Load'!AT11,0))</f>
        <v>609.63999999999942</v>
      </c>
    </row>
    <row r="9" spans="1:65">
      <c r="A9" s="287" t="s">
        <v>268</v>
      </c>
      <c r="B9" s="288">
        <f t="shared" si="0"/>
        <v>8</v>
      </c>
      <c r="C9" s="288">
        <v>4</v>
      </c>
      <c r="D9" s="288">
        <v>2022</v>
      </c>
      <c r="E9" s="294">
        <f>(IF('Section Load'!F12&gt;0,'Section Load'!F12,0))</f>
        <v>4164.3000000000029</v>
      </c>
      <c r="F9" s="294">
        <f>(IF('Section Load'!G12&gt;0,'Section Load'!G12,0))</f>
        <v>1608.7599999999802</v>
      </c>
      <c r="G9" s="294">
        <f>(IF('Section Load'!H12&gt;0,'Section Load'!H12,0))</f>
        <v>2563.2399999999907</v>
      </c>
      <c r="H9" s="294">
        <f>(IF('Section Load'!I12&gt;0,'Section Load'!I12,0))</f>
        <v>3259.4400000000023</v>
      </c>
      <c r="I9" s="294">
        <f>(IF('Section Load'!J12&gt;0,'Section Load'!J12,0))</f>
        <v>7852.0999999999622</v>
      </c>
      <c r="J9" s="294">
        <f>(IF('Section Load'!K12&gt;0,'Section Load'!K12,0))</f>
        <v>3290.8800000000047</v>
      </c>
      <c r="K9" s="294">
        <f>(IF('Section Load'!L12&gt;0,'Section Load'!L12,0))</f>
        <v>1416.8099999999977</v>
      </c>
      <c r="L9" s="294">
        <f>(IF('Section Load'!M12&gt;0,'Section Load'!M12,0))</f>
        <v>1131.2399999999907</v>
      </c>
      <c r="M9" s="294">
        <f>(IF('Section Load'!N12&gt;0,'Section Load'!N12,0))</f>
        <v>196</v>
      </c>
      <c r="N9" s="294">
        <f>(IF('Section Load'!O12&gt;0,'Section Load'!O12,0))</f>
        <v>165</v>
      </c>
      <c r="O9" s="294">
        <f>(IF('Section Load'!P12&gt;0,'Section Load'!P12,0))</f>
        <v>1.6999999999970896</v>
      </c>
      <c r="P9" s="294">
        <f>(IF('Section Load'!Q12&gt;0,'Section Load'!Q12,0))</f>
        <v>193.36000000000058</v>
      </c>
      <c r="Q9" s="294">
        <f>(IF('Section Load'!R12&gt;0,'Section Load'!R12,0))</f>
        <v>67.649999999997817</v>
      </c>
      <c r="R9" s="294">
        <f>(IF('Section Load'!S12&gt;0,'Section Load'!S12,0))</f>
        <v>3.2800000000006548</v>
      </c>
      <c r="S9" s="294">
        <f>(IF('Section Load'!T12&gt;0,'Section Load'!T12,0))</f>
        <v>485</v>
      </c>
      <c r="T9" s="294">
        <f>(IF('Section Load'!U12&gt;0,'Section Load'!U12,0))</f>
        <v>273</v>
      </c>
      <c r="U9" s="294">
        <f>(IF('Section Load'!V12&gt;0,'Section Load'!V12,0))</f>
        <v>462.31999999994878</v>
      </c>
      <c r="V9" s="294">
        <f>(IF('Section Load'!W12&gt;0,'Section Load'!W12,0))</f>
        <v>401.19999999995343</v>
      </c>
      <c r="W9" s="294">
        <f>(IF('Section Load'!X12&gt;0,'Section Load'!X12,0))</f>
        <v>25.159999999999854</v>
      </c>
      <c r="X9" s="294">
        <f>(IF('Section Load'!Y12&gt;0,'Section Load'!Y12,0))</f>
        <v>209.57999999999811</v>
      </c>
      <c r="Y9" s="294">
        <f>(IF('Section Load'!Z12&gt;0,'Section Load'!Z12,0))</f>
        <v>309</v>
      </c>
      <c r="Z9" s="294">
        <f>(IF('Section Load'!AA12&gt;0,'Section Load'!AA12,0))</f>
        <v>0</v>
      </c>
      <c r="AA9" s="294">
        <f>(IF('Section Load'!AB12&gt;0,'Section Load'!AB12,0))</f>
        <v>45.400000000008731</v>
      </c>
      <c r="AB9" s="294">
        <f>(IF('Section Load'!AC12&gt;0,'Section Load'!AC12,0))</f>
        <v>0</v>
      </c>
      <c r="AC9" s="294">
        <f>(IF('Section Load'!AD12&gt;0,'Section Load'!AD12,0))</f>
        <v>189.70000000001164</v>
      </c>
      <c r="AD9" s="294">
        <f>(IF('Section Load'!AE12&gt;0,'Section Load'!AE12,0))</f>
        <v>398.13000000000102</v>
      </c>
      <c r="AE9" s="294">
        <f>(IF('Section Load'!AF12&gt;0,'Section Load'!AF12,0))</f>
        <v>221.3799999999992</v>
      </c>
      <c r="AF9" s="294">
        <f>(IF('Section Load'!AG12&gt;0,'Section Load'!AG12,0))</f>
        <v>536.95999999996275</v>
      </c>
      <c r="AG9" s="294">
        <f>(IF('Section Load'!AH12&gt;0,'Section Load'!AH12,0))</f>
        <v>437</v>
      </c>
      <c r="AH9" s="294">
        <f>(IF('Section Load'!AI12&gt;0,'Section Load'!AI12,0))</f>
        <v>405.63999999999942</v>
      </c>
      <c r="AI9" s="294">
        <f>(IF('Section Load'!AJ12&gt;0,'Section Load'!AJ12,0))</f>
        <v>797.35999999998603</v>
      </c>
      <c r="AJ9" s="294">
        <f>(IF('Section Load'!AK12&gt;0,'Section Load'!AK12,0))</f>
        <v>199.81999999997788</v>
      </c>
      <c r="AK9" s="294">
        <f>(IF('Section Load'!AL12&gt;0,'Section Load'!AL12,0))</f>
        <v>259.92000000001281</v>
      </c>
      <c r="AL9" s="294">
        <f>(IF('Section Load'!AM12&gt;0,'Section Load'!AM12,0))</f>
        <v>997.86999999999534</v>
      </c>
      <c r="AM9" s="295">
        <f>(IF('Water Report'!$K$7&gt;0,'Water Report'!$K$7,0))</f>
        <v>166</v>
      </c>
      <c r="AN9" s="295">
        <f>(IF('Water Report'!$K$8&gt;0,'Water Report'!$K$8,0))</f>
        <v>166</v>
      </c>
      <c r="AO9" s="295">
        <f>(IF('Water Report'!$K$9&gt;0,'Water Report'!$K$9,0))</f>
        <v>116</v>
      </c>
      <c r="AP9" s="295">
        <f>(IF('Water Report'!$K$10&gt;0,'Water Report'!$K$10,0))</f>
        <v>20</v>
      </c>
      <c r="AQ9" s="295">
        <f>(IF('Water Report'!$K$11&gt;0,'Water Report'!$K$11,0))</f>
        <v>76</v>
      </c>
      <c r="AR9" s="295">
        <f>(IF('Water Report'!$K$13&gt;0,'Water Report'!$K$13,0))</f>
        <v>47</v>
      </c>
      <c r="AS9" s="295">
        <f>(IF('Water Report'!$K$14&gt;0,'Water Report'!$K$14,0))</f>
        <v>11</v>
      </c>
      <c r="AT9" s="295">
        <f>(IF('Water Report'!$K$15&gt;0,'Water Report'!$K$15,0))</f>
        <v>18</v>
      </c>
      <c r="AU9" s="295">
        <f>(IF('Water Report'!$K$17&gt;0,'Water Report'!$K$17,0))</f>
        <v>0</v>
      </c>
      <c r="AV9" s="295">
        <f>(IF('Water Report'!$K$18&gt;0,'Water Report'!$K$18,0))</f>
        <v>15</v>
      </c>
      <c r="AW9" s="295">
        <f>(IF('Water Report'!$K$19&gt;0,'Water Report'!$K$19,0))</f>
        <v>12</v>
      </c>
      <c r="AX9" s="301">
        <f>(IF('Water Report'!$K$21&gt;0,'Water Report'!$K$21,0))</f>
        <v>109</v>
      </c>
      <c r="AY9" s="301">
        <f>(IF('Water Report'!$K$22&gt;0,'Water Report'!$K$22,0))</f>
        <v>0</v>
      </c>
      <c r="AZ9" s="301">
        <f>(IF('Water Report'!$K$23&gt;0,'Water Report'!$K$23,0))</f>
        <v>13</v>
      </c>
      <c r="BA9" s="301">
        <f>(IF('Water Report'!$K$14&gt;0,'Water Report'!$K$14,0))</f>
        <v>11</v>
      </c>
      <c r="BB9" s="301">
        <f>(IF('Water Report'!$K$15&gt;0,'Water Report'!$K$15,0))</f>
        <v>18</v>
      </c>
      <c r="BC9" s="301">
        <f>(IF('Water Report'!$K$13&gt;0,'Water Report'!$K$13,0))</f>
        <v>47</v>
      </c>
      <c r="BD9" s="301">
        <f>(IF('Water Report'!$K$24&gt;0,'Water Report'!$K$24,0))</f>
        <v>278</v>
      </c>
      <c r="BE9" s="301">
        <f>(IF('Water Report'!$K$25&gt;0,'Water Report'!$K$25,0))</f>
        <v>241</v>
      </c>
      <c r="BF9" s="301">
        <f>(IF('Water Report'!$K$27&gt;0,'Water Report'!$K$27,0))</f>
        <v>169</v>
      </c>
      <c r="BG9" s="296">
        <f>(IF('Section Load'!AN12&gt;0,'Section Load'!AN12,0))</f>
        <v>1091.9399999999441</v>
      </c>
      <c r="BH9" s="296">
        <f>(IF('Section Load'!AO12&gt;0,'Section Load'!AO12,0))</f>
        <v>302.07999999995809</v>
      </c>
      <c r="BI9" s="296">
        <f>(IF('Section Load'!AP12&gt;0,'Section Load'!AP12,0))</f>
        <v>0</v>
      </c>
      <c r="BJ9" s="296">
        <f>(IF('Section Load'!AQ12&gt;0,'Section Load'!AQ12,0))</f>
        <v>128.02999999999884</v>
      </c>
      <c r="BK9" s="296">
        <f>(IF('Section Load'!AR12&gt;0,'Section Load'!AR12,0))</f>
        <v>41.299999999995634</v>
      </c>
      <c r="BL9" s="296">
        <f>(IF('Section Load'!AS12&gt;0,'Section Load'!AS12,0))</f>
        <v>0</v>
      </c>
      <c r="BM9" s="296">
        <f>(IF('Section Load'!AT12&gt;0,'Section Load'!AT12,0))</f>
        <v>620.52999999999156</v>
      </c>
    </row>
    <row r="10" spans="1:65">
      <c r="A10" s="287" t="s">
        <v>268</v>
      </c>
      <c r="B10" s="288">
        <f t="shared" si="0"/>
        <v>9</v>
      </c>
      <c r="C10" s="288">
        <v>4</v>
      </c>
      <c r="D10" s="288">
        <v>2022</v>
      </c>
      <c r="E10" s="294">
        <f>(IF('Section Load'!F13&gt;0,'Section Load'!F13,0))</f>
        <v>4112.109999999986</v>
      </c>
      <c r="F10" s="294">
        <f>(IF('Section Load'!G13&gt;0,'Section Load'!G13,0))</f>
        <v>1595.8300000000092</v>
      </c>
      <c r="G10" s="294">
        <f>(IF('Section Load'!H13&gt;0,'Section Load'!H13,0))</f>
        <v>2514.4000000000033</v>
      </c>
      <c r="H10" s="294">
        <f>(IF('Section Load'!I13&gt;0,'Section Load'!I13,0))</f>
        <v>3193.7699999999604</v>
      </c>
      <c r="I10" s="294">
        <f>(IF('Section Load'!J13&gt;0,'Section Load'!J13,0))</f>
        <v>8851.9600000000355</v>
      </c>
      <c r="J10" s="294">
        <f>(IF('Section Load'!K13&gt;0,'Section Load'!K13,0))</f>
        <v>3267.7400000000489</v>
      </c>
      <c r="K10" s="294">
        <f>(IF('Section Load'!L13&gt;0,'Section Load'!L13,0))</f>
        <v>1498.609999999986</v>
      </c>
      <c r="L10" s="294">
        <f>(IF('Section Load'!M13&gt;0,'Section Load'!M13,0))</f>
        <v>918.91000000000349</v>
      </c>
      <c r="M10" s="294">
        <f>(IF('Section Load'!N13&gt;0,'Section Load'!N13,0))</f>
        <v>164</v>
      </c>
      <c r="N10" s="294">
        <f>(IF('Section Load'!O13&gt;0,'Section Load'!O13,0))</f>
        <v>167</v>
      </c>
      <c r="O10" s="294">
        <f>(IF('Section Load'!P13&gt;0,'Section Load'!P13,0))</f>
        <v>1.8000000000029104</v>
      </c>
      <c r="P10" s="294">
        <f>(IF('Section Load'!Q13&gt;0,'Section Load'!Q13,0))</f>
        <v>204.48999999999069</v>
      </c>
      <c r="Q10" s="294">
        <f>(IF('Section Load'!R13&gt;0,'Section Load'!R13,0))</f>
        <v>61.400000000001455</v>
      </c>
      <c r="R10" s="294">
        <f>(IF('Section Load'!S13&gt;0,'Section Load'!S13,0))</f>
        <v>3.5799999999999272</v>
      </c>
      <c r="S10" s="294">
        <f>(IF('Section Load'!T13&gt;0,'Section Load'!T13,0))</f>
        <v>507</v>
      </c>
      <c r="T10" s="294">
        <f>(IF('Section Load'!U13&gt;0,'Section Load'!U13,0))</f>
        <v>240</v>
      </c>
      <c r="U10" s="294">
        <f>(IF('Section Load'!V13&gt;0,'Section Load'!V13,0))</f>
        <v>435.28000000002794</v>
      </c>
      <c r="V10" s="294">
        <f>(IF('Section Load'!W13&gt;0,'Section Load'!W13,0))</f>
        <v>313.28000000002794</v>
      </c>
      <c r="W10" s="294">
        <f>(IF('Section Load'!X13&gt;0,'Section Load'!X13,0))</f>
        <v>29.630000000000109</v>
      </c>
      <c r="X10" s="294">
        <f>(IF('Section Load'!Y13&gt;0,'Section Load'!Y13,0))</f>
        <v>258.63999999999942</v>
      </c>
      <c r="Y10" s="294">
        <f>(IF('Section Load'!Z13&gt;0,'Section Load'!Z13,0))</f>
        <v>284</v>
      </c>
      <c r="Z10" s="294">
        <f>(IF('Section Load'!AA13&gt;0,'Section Load'!AA13,0))</f>
        <v>0</v>
      </c>
      <c r="AA10" s="294">
        <f>(IF('Section Load'!AB13&gt;0,'Section Load'!AB13,0))</f>
        <v>26.80000000000291</v>
      </c>
      <c r="AB10" s="294">
        <f>(IF('Section Load'!AC13&gt;0,'Section Load'!AC13,0))</f>
        <v>0</v>
      </c>
      <c r="AC10" s="294">
        <f>(IF('Section Load'!AD13&gt;0,'Section Load'!AD13,0))</f>
        <v>174.09999999999127</v>
      </c>
      <c r="AD10" s="294">
        <f>(IF('Section Load'!AE13&gt;0,'Section Load'!AE13,0))</f>
        <v>386.2599999999984</v>
      </c>
      <c r="AE10" s="294">
        <f>(IF('Section Load'!AF13&gt;0,'Section Load'!AF13,0))</f>
        <v>164.9900000000016</v>
      </c>
      <c r="AF10" s="294">
        <f>(IF('Section Load'!AG13&gt;0,'Section Load'!AG13,0))</f>
        <v>540.77000000001863</v>
      </c>
      <c r="AG10" s="294">
        <f>(IF('Section Load'!AH13&gt;0,'Section Load'!AH13,0))</f>
        <v>428.46999999997206</v>
      </c>
      <c r="AH10" s="294">
        <f>(IF('Section Load'!AI13&gt;0,'Section Load'!AI13,0))</f>
        <v>398.74000000000524</v>
      </c>
      <c r="AI10" s="294">
        <f>(IF('Section Load'!AJ13&gt;0,'Section Load'!AJ13,0))</f>
        <v>827.88000000000466</v>
      </c>
      <c r="AJ10" s="294">
        <f>(IF('Section Load'!AK13&gt;0,'Section Load'!AK13,0))</f>
        <v>210.30000000001746</v>
      </c>
      <c r="AK10" s="294">
        <f>(IF('Section Load'!AL13&gt;0,'Section Load'!AL13,0))</f>
        <v>268.31999999997788</v>
      </c>
      <c r="AL10" s="294">
        <f>(IF('Section Load'!AM13&gt;0,'Section Load'!AM13,0))</f>
        <v>1008.9400000000023</v>
      </c>
      <c r="AM10" s="295">
        <f>(IF('Water Report'!$L$7&gt;0,'Water Report'!$L$7,0))</f>
        <v>185</v>
      </c>
      <c r="AN10" s="295">
        <f>(IF('Water Report'!$L$8&gt;0,'Water Report'!$L$8,0))</f>
        <v>143</v>
      </c>
      <c r="AO10" s="295">
        <f>(IF('Water Report'!$L$9&gt;0,'Water Report'!$L$9,0))</f>
        <v>102</v>
      </c>
      <c r="AP10" s="295">
        <f>(IF('Water Report'!$L$10&gt;0,'Water Report'!$L$10,0))</f>
        <v>17</v>
      </c>
      <c r="AQ10" s="295">
        <f>(IF('Water Report'!$L$11&gt;0,'Water Report'!$L$11,0))</f>
        <v>72</v>
      </c>
      <c r="AR10" s="295">
        <f>(IF('Water Report'!$L$13&gt;0,'Water Report'!$L$13,0))</f>
        <v>30</v>
      </c>
      <c r="AS10" s="295">
        <f>(IF('Water Report'!$L$14&gt;0,'Water Report'!$L$14,0))</f>
        <v>20</v>
      </c>
      <c r="AT10" s="295">
        <f>(IF('Water Report'!$L$15&gt;0,'Water Report'!$L$15,0))</f>
        <v>10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13</v>
      </c>
      <c r="AX10" s="301">
        <f>(IF('Water Report'!$L$21&gt;0,'Water Report'!$L$21,0))</f>
        <v>110</v>
      </c>
      <c r="AY10" s="301">
        <f>(IF('Water Report'!$L$22&gt;0,'Water Report'!$L$22,0))</f>
        <v>0</v>
      </c>
      <c r="AZ10" s="301">
        <f>(IF('Water Report'!$L$23&gt;0,'Water Report'!$L$23,0))</f>
        <v>18</v>
      </c>
      <c r="BA10" s="301">
        <f>(IF('Water Report'!$L$14&gt;0,'Water Report'!$L$14,0))</f>
        <v>20</v>
      </c>
      <c r="BB10" s="301">
        <f>(IF('Water Report'!$L$15&gt;0,'Water Report'!$L$15,0))</f>
        <v>10</v>
      </c>
      <c r="BC10" s="301">
        <f>(IF('Water Report'!$L$13&gt;0,'Water Report'!$L$13,0))</f>
        <v>30</v>
      </c>
      <c r="BD10" s="301">
        <f>(IF('Water Report'!$L$24&gt;0,'Water Report'!$L$24,0))</f>
        <v>327</v>
      </c>
      <c r="BE10" s="301">
        <f>(IF('Water Report'!$L$25&gt;0,'Water Report'!$L$25,0))</f>
        <v>221</v>
      </c>
      <c r="BF10" s="301">
        <f>(IF('Water Report'!$L$27&gt;0,'Water Report'!$L$27,0))</f>
        <v>158</v>
      </c>
      <c r="BG10" s="296">
        <f>(IF('Section Load'!AN13&gt;0,'Section Load'!AN13,0))</f>
        <v>1090.3829999999143</v>
      </c>
      <c r="BH10" s="296">
        <f>(IF('Section Load'!AO13&gt;0,'Section Load'!AO13,0))</f>
        <v>288.20000000006985</v>
      </c>
      <c r="BI10" s="296">
        <f>(IF('Section Load'!AP13&gt;0,'Section Load'!AP13,0))</f>
        <v>0</v>
      </c>
      <c r="BJ10" s="296">
        <f>(IF('Section Load'!AQ13&gt;0,'Section Load'!AQ13,0))</f>
        <v>127.07000000000698</v>
      </c>
      <c r="BK10" s="296">
        <f>(IF('Section Load'!AR13&gt;0,'Section Load'!AR13,0))</f>
        <v>54.400000000001455</v>
      </c>
      <c r="BL10" s="296">
        <f>(IF('Section Load'!AS13&gt;0,'Section Load'!AS13,0))</f>
        <v>0</v>
      </c>
      <c r="BM10" s="296">
        <f>(IF('Section Load'!AT13&gt;0,'Section Load'!AT13,0))</f>
        <v>620.71299999983603</v>
      </c>
    </row>
    <row r="11" spans="1:65">
      <c r="A11" s="287" t="s">
        <v>268</v>
      </c>
      <c r="B11" s="288">
        <f t="shared" si="0"/>
        <v>10</v>
      </c>
      <c r="C11" s="288">
        <v>4</v>
      </c>
      <c r="D11" s="288">
        <v>2022</v>
      </c>
      <c r="E11" s="294">
        <f>(IF('Section Load'!F14&gt;0,'Section Load'!F14,0))</f>
        <v>4169.4800000000105</v>
      </c>
      <c r="F11" s="294">
        <f>(IF('Section Load'!G14&gt;0,'Section Load'!G14,0))</f>
        <v>1639.6700000000128</v>
      </c>
      <c r="G11" s="294">
        <f>(IF('Section Load'!H14&gt;0,'Section Load'!H14,0))</f>
        <v>2598.820000000007</v>
      </c>
      <c r="H11" s="294">
        <f>(IF('Section Load'!I14&gt;0,'Section Load'!I14,0))</f>
        <v>3362.4200000000419</v>
      </c>
      <c r="I11" s="294">
        <f>(IF('Section Load'!J14&gt;0,'Section Load'!J14,0))</f>
        <v>8212.4899999999579</v>
      </c>
      <c r="J11" s="294">
        <f>(IF('Section Load'!K14&gt;0,'Section Load'!K14,0))</f>
        <v>3612.2399999999907</v>
      </c>
      <c r="K11" s="294">
        <f>(IF('Section Load'!L14&gt;0,'Section Load'!L14,0))</f>
        <v>1495.4500000000116</v>
      </c>
      <c r="L11" s="294">
        <f>(IF('Section Load'!M14&gt;0,'Section Load'!M14,0))</f>
        <v>1141.75</v>
      </c>
      <c r="M11" s="294">
        <f>(IF('Section Load'!N14&gt;0,'Section Load'!N14,0))</f>
        <v>192</v>
      </c>
      <c r="N11" s="294">
        <f>(IF('Section Load'!O14&gt;0,'Section Load'!O14,0))</f>
        <v>167</v>
      </c>
      <c r="O11" s="294">
        <f>(IF('Section Load'!P14&gt;0,'Section Load'!P14,0))</f>
        <v>0</v>
      </c>
      <c r="P11" s="294">
        <f>(IF('Section Load'!Q14&gt;0,'Section Load'!Q14,0))</f>
        <v>195.20000000001164</v>
      </c>
      <c r="Q11" s="294">
        <f>(IF('Section Load'!R14&gt;0,'Section Load'!R14,0))</f>
        <v>59.020000000000437</v>
      </c>
      <c r="R11" s="294">
        <f>(IF('Section Load'!S14&gt;0,'Section Load'!S14,0))</f>
        <v>3.7799999999997453</v>
      </c>
      <c r="S11" s="294">
        <f>(IF('Section Load'!T14&gt;0,'Section Load'!T14,0))</f>
        <v>584</v>
      </c>
      <c r="T11" s="294">
        <f>(IF('Section Load'!U14&gt;0,'Section Load'!U14,0))</f>
        <v>263</v>
      </c>
      <c r="U11" s="294">
        <f>(IF('Section Load'!V14&gt;0,'Section Load'!V14,0))</f>
        <v>458.71999999997206</v>
      </c>
      <c r="V11" s="294">
        <f>(IF('Section Load'!W14&gt;0,'Section Load'!W14,0))</f>
        <v>453.52000000001863</v>
      </c>
      <c r="W11" s="294">
        <f>(IF('Section Load'!X14&gt;0,'Section Load'!X14,0))</f>
        <v>33.630000000000109</v>
      </c>
      <c r="X11" s="294">
        <f>(IF('Section Load'!Y14&gt;0,'Section Load'!Y14,0))</f>
        <v>269.76000000000204</v>
      </c>
      <c r="Y11" s="294">
        <f>(IF('Section Load'!Z14&gt;0,'Section Load'!Z14,0))</f>
        <v>282</v>
      </c>
      <c r="Z11" s="294">
        <f>(IF('Section Load'!AA14&gt;0,'Section Load'!AA14,0))</f>
        <v>13.559999999997672</v>
      </c>
      <c r="AA11" s="294">
        <f>(IF('Section Load'!AB14&gt;0,'Section Load'!AB14,0))</f>
        <v>21.299999999988358</v>
      </c>
      <c r="AB11" s="294">
        <f>(IF('Section Load'!AC14&gt;0,'Section Load'!AC14,0))</f>
        <v>0</v>
      </c>
      <c r="AC11" s="294">
        <f>(IF('Section Load'!AD14&gt;0,'Section Load'!AD14,0))</f>
        <v>160.30000000000837</v>
      </c>
      <c r="AD11" s="294">
        <f>(IF('Section Load'!AE14&gt;0,'Section Load'!AE14,0))</f>
        <v>427.61000000000058</v>
      </c>
      <c r="AE11" s="294">
        <f>(IF('Section Load'!AF14&gt;0,'Section Load'!AF14,0))</f>
        <v>190.40999999999985</v>
      </c>
      <c r="AF11" s="294">
        <f>(IF('Section Load'!AG14&gt;0,'Section Load'!AG14,0))</f>
        <v>497.45000000001164</v>
      </c>
      <c r="AG11" s="294">
        <f>(IF('Section Load'!AH14&gt;0,'Section Load'!AH14,0))</f>
        <v>610.68000000005122</v>
      </c>
      <c r="AH11" s="294">
        <f>(IF('Section Load'!AI14&gt;0,'Section Load'!AI14,0))</f>
        <v>418.81999999999243</v>
      </c>
      <c r="AI11" s="294">
        <f>(IF('Section Load'!AJ14&gt;0,'Section Load'!AJ14,0))</f>
        <v>852.32000000000698</v>
      </c>
      <c r="AJ11" s="294">
        <f>(IF('Section Load'!AK14&gt;0,'Section Load'!AK14,0))</f>
        <v>236.19999999998254</v>
      </c>
      <c r="AK11" s="294">
        <f>(IF('Section Load'!AL14&gt;0,'Section Load'!AL14,0))</f>
        <v>270.0800000000163</v>
      </c>
      <c r="AL11" s="294">
        <f>(IF('Section Load'!AM14&gt;0,'Section Load'!AM14,0))</f>
        <v>984.44999999998254</v>
      </c>
      <c r="AM11" s="295">
        <f>(IF('Water Report'!$M$7&gt;0,'Water Report'!$M$7,0))</f>
        <v>232</v>
      </c>
      <c r="AN11" s="295">
        <f>(IF('Water Report'!$M$8&gt;0,'Water Report'!$M$8,0))</f>
        <v>176</v>
      </c>
      <c r="AO11" s="295">
        <f>(IF('Water Report'!$M$9&gt;0,'Water Report'!$M$9,0))</f>
        <v>123</v>
      </c>
      <c r="AP11" s="295">
        <f>(IF('Water Report'!$M$10&gt;0,'Water Report'!$M$10,0))</f>
        <v>22</v>
      </c>
      <c r="AQ11" s="295">
        <f>(IF('Water Report'!$M$11&gt;0,'Water Report'!$M$11,0))</f>
        <v>87</v>
      </c>
      <c r="AR11" s="295">
        <f>(IF('Water Report'!$M$13&gt;0,'Water Report'!$M$13,0))</f>
        <v>44</v>
      </c>
      <c r="AS11" s="295">
        <f>(IF('Water Report'!$M$14&gt;0,'Water Report'!$M$14,0))</f>
        <v>16</v>
      </c>
      <c r="AT11" s="295">
        <f>(IF('Water Report'!$M$15&gt;0,'Water Report'!$M$15,0))</f>
        <v>7</v>
      </c>
      <c r="AU11" s="295">
        <f>(IF('Water Report'!$M$17&gt;0,'Water Report'!$M$17,0))</f>
        <v>0</v>
      </c>
      <c r="AV11" s="295">
        <f>(IF('Water Report'!$M$18&gt;0,'Water Report'!$M$18,0))</f>
        <v>16</v>
      </c>
      <c r="AW11" s="295">
        <f>(IF('Water Report'!$M$19&gt;0,'Water Report'!$M$19,0))</f>
        <v>10</v>
      </c>
      <c r="AX11" s="301">
        <f>(IF('Water Report'!$M$21&gt;0,'Water Report'!$M$21,0))</f>
        <v>107</v>
      </c>
      <c r="AY11" s="301">
        <f>(IF('Water Report'!$M$22&gt;0,'Water Report'!$M$22,0))</f>
        <v>0</v>
      </c>
      <c r="AZ11" s="301">
        <f>(IF('Water Report'!$M$23&gt;0,'Water Report'!$M$23,0))</f>
        <v>2</v>
      </c>
      <c r="BA11" s="301">
        <f>(IF('Water Report'!$M$14&gt;0,'Water Report'!$M$14,0))</f>
        <v>16</v>
      </c>
      <c r="BB11" s="301">
        <f>(IF('Water Report'!$M$15&gt;0,'Water Report'!$M$15,0))</f>
        <v>7</v>
      </c>
      <c r="BC11" s="301">
        <f>(IF('Water Report'!$M$13&gt;0,'Water Report'!$M$13,0))</f>
        <v>44</v>
      </c>
      <c r="BD11" s="301">
        <f>(IF('Water Report'!$M$24&gt;0,'Water Report'!$M$24,0))</f>
        <v>356</v>
      </c>
      <c r="BE11" s="301">
        <f>(IF('Water Report'!$M$25&gt;0,'Water Report'!$M$25,0))</f>
        <v>255</v>
      </c>
      <c r="BF11" s="301">
        <f>(IF('Water Report'!$M$27&gt;0,'Water Report'!$M$27,0))</f>
        <v>153</v>
      </c>
      <c r="BG11" s="296">
        <f>(IF('Section Load'!AN14&gt;0,'Section Load'!AN14,0))</f>
        <v>1087.3870000001043</v>
      </c>
      <c r="BH11" s="296">
        <f>(IF('Section Load'!AO14&gt;0,'Section Load'!AO14,0))</f>
        <v>307.47999999998137</v>
      </c>
      <c r="BI11" s="296">
        <f>(IF('Section Load'!AP14&gt;0,'Section Load'!AP14,0))</f>
        <v>0</v>
      </c>
      <c r="BJ11" s="296">
        <f>(IF('Section Load'!AQ14&gt;0,'Section Load'!AQ14,0))</f>
        <v>106.63000000000466</v>
      </c>
      <c r="BK11" s="296">
        <f>(IF('Section Load'!AR14&gt;0,'Section Load'!AR14,0))</f>
        <v>59</v>
      </c>
      <c r="BL11" s="296">
        <f>(IF('Section Load'!AS14&gt;0,'Section Load'!AS14,0))</f>
        <v>0</v>
      </c>
      <c r="BM11" s="296">
        <f>(IF('Section Load'!AT14&gt;0,'Section Load'!AT14,0))</f>
        <v>614.67700000011791</v>
      </c>
    </row>
    <row r="12" spans="1:65">
      <c r="A12" s="287" t="s">
        <v>268</v>
      </c>
      <c r="B12" s="288">
        <f t="shared" si="0"/>
        <v>11</v>
      </c>
      <c r="C12" s="288">
        <v>4</v>
      </c>
      <c r="D12" s="288">
        <v>2022</v>
      </c>
      <c r="E12" s="294">
        <f>(IF('Section Load'!F15&gt;0,'Section Load'!F15,0))</f>
        <v>3964.7600000000093</v>
      </c>
      <c r="F12" s="294">
        <f>(IF('Section Load'!G15&gt;0,'Section Load'!G15,0))</f>
        <v>1580.6599999999744</v>
      </c>
      <c r="G12" s="294">
        <f>(IF('Section Load'!H15&gt;0,'Section Load'!H15,0))</f>
        <v>2393.0199999999895</v>
      </c>
      <c r="H12" s="294">
        <f>(IF('Section Load'!I15&gt;0,'Section Load'!I15,0))</f>
        <v>3209.9699999999721</v>
      </c>
      <c r="I12" s="294">
        <f>(IF('Section Load'!J15&gt;0,'Section Load'!J15,0))</f>
        <v>6189.9600000000064</v>
      </c>
      <c r="J12" s="294">
        <f>(IF('Section Load'!K15&gt;0,'Section Load'!K15,0))</f>
        <v>3056.6399999999558</v>
      </c>
      <c r="K12" s="294">
        <f>(IF('Section Load'!L15&gt;0,'Section Load'!L15,0))</f>
        <v>1132.2399999999907</v>
      </c>
      <c r="L12" s="294">
        <f>(IF('Section Load'!M15&gt;0,'Section Load'!M15,0))</f>
        <v>1004.0800000000017</v>
      </c>
      <c r="M12" s="294">
        <f>(IF('Section Load'!N15&gt;0,'Section Load'!N15,0))</f>
        <v>151</v>
      </c>
      <c r="N12" s="294">
        <f>(IF('Section Load'!O15&gt;0,'Section Load'!O15,0))</f>
        <v>148</v>
      </c>
      <c r="O12" s="294">
        <f>(IF('Section Load'!P15&gt;0,'Section Load'!P15,0))</f>
        <v>0</v>
      </c>
      <c r="P12" s="294">
        <f>(IF('Section Load'!Q15&gt;0,'Section Load'!Q15,0))</f>
        <v>188.93999999998778</v>
      </c>
      <c r="Q12" s="294">
        <f>(IF('Section Load'!R15&gt;0,'Section Load'!R15,0))</f>
        <v>57.340000000000146</v>
      </c>
      <c r="R12" s="294">
        <f>(IF('Section Load'!S15&gt;0,'Section Load'!S15,0))</f>
        <v>3.4899999999997817</v>
      </c>
      <c r="S12" s="294">
        <f>(IF('Section Load'!T15&gt;0,'Section Load'!T15,0))</f>
        <v>387</v>
      </c>
      <c r="T12" s="294">
        <f>(IF('Section Load'!U15&gt;0,'Section Load'!U15,0))</f>
        <v>250</v>
      </c>
      <c r="U12" s="294">
        <f>(IF('Section Load'!V15&gt;0,'Section Load'!V15,0))</f>
        <v>416.88000000000466</v>
      </c>
      <c r="V12" s="294">
        <f>(IF('Section Load'!W15&gt;0,'Section Load'!W15,0))</f>
        <v>358.07999999995809</v>
      </c>
      <c r="W12" s="294">
        <f>(IF('Section Load'!X15&gt;0,'Section Load'!X15,0))</f>
        <v>26.350000000000364</v>
      </c>
      <c r="X12" s="294">
        <f>(IF('Section Load'!Y15&gt;0,'Section Load'!Y15,0))</f>
        <v>267.36999999999898</v>
      </c>
      <c r="Y12" s="294">
        <f>(IF('Section Load'!Z15&gt;0,'Section Load'!Z15,0))</f>
        <v>296</v>
      </c>
      <c r="Z12" s="294">
        <f>(IF('Section Load'!AA15&gt;0,'Section Load'!AA15,0))</f>
        <v>40.400000000023283</v>
      </c>
      <c r="AA12" s="294">
        <f>(IF('Section Load'!AB15&gt;0,'Section Load'!AB15,0))</f>
        <v>40.200000000011642</v>
      </c>
      <c r="AB12" s="294">
        <f>(IF('Section Load'!AC15&gt;0,'Section Load'!AC15,0))</f>
        <v>0</v>
      </c>
      <c r="AC12" s="294">
        <f>(IF('Section Load'!AD15&gt;0,'Section Load'!AD15,0))</f>
        <v>150.5</v>
      </c>
      <c r="AD12" s="294">
        <f>(IF('Section Load'!AE15&gt;0,'Section Load'!AE15,0))</f>
        <v>468.22000000000116</v>
      </c>
      <c r="AE12" s="294">
        <f>(IF('Section Load'!AF15&gt;0,'Section Load'!AF15,0))</f>
        <v>182.02999999999884</v>
      </c>
      <c r="AF12" s="294">
        <f>(IF('Section Load'!AG15&gt;0,'Section Load'!AG15,0))</f>
        <v>504.97999999998137</v>
      </c>
      <c r="AG12" s="294">
        <f>(IF('Section Load'!AH15&gt;0,'Section Load'!AH15,0))</f>
        <v>202.3399999999674</v>
      </c>
      <c r="AH12" s="294">
        <f>(IF('Section Load'!AI15&gt;0,'Section Load'!AI15,0))</f>
        <v>408.47000000000116</v>
      </c>
      <c r="AI12" s="294">
        <f>(IF('Section Load'!AJ15&gt;0,'Section Load'!AJ15,0))</f>
        <v>740.73999999999069</v>
      </c>
      <c r="AJ12" s="294">
        <f>(IF('Section Load'!AK15&gt;0,'Section Load'!AK15,0))</f>
        <v>211.93000000002212</v>
      </c>
      <c r="AK12" s="294">
        <f>(IF('Section Load'!AL15&gt;0,'Section Load'!AL15,0))</f>
        <v>246.20999999999185</v>
      </c>
      <c r="AL12" s="294">
        <f>(IF('Section Load'!AM15&gt;0,'Section Load'!AM15,0))</f>
        <v>888.70000000001164</v>
      </c>
      <c r="AM12" s="295">
        <f>(IF('Water Report'!$N$7&gt;0,'Water Report'!$N$7,0))</f>
        <v>164</v>
      </c>
      <c r="AN12" s="295">
        <f>(IF('Water Report'!$N$8&gt;0,'Water Report'!$N$8,0))</f>
        <v>133</v>
      </c>
      <c r="AO12" s="295">
        <f>(IF('Water Report'!$N$9&gt;0,'Water Report'!$N$9,0))</f>
        <v>127</v>
      </c>
      <c r="AP12" s="295">
        <f>(IF('Water Report'!$N$10&gt;0,'Water Report'!$N$10,0))</f>
        <v>15</v>
      </c>
      <c r="AQ12" s="295">
        <f>(IF('Water Report'!$N$11&gt;0,'Water Report'!$N$11,0))</f>
        <v>71</v>
      </c>
      <c r="AR12" s="295">
        <f>(IF('Water Report'!$N$13&gt;0,'Water Report'!$N$13,0))</f>
        <v>19</v>
      </c>
      <c r="AS12" s="295">
        <f>(IF('Water Report'!$N$14&gt;0,'Water Report'!$N$14,0))</f>
        <v>17</v>
      </c>
      <c r="AT12" s="295">
        <f>(IF('Water Report'!$N$15&gt;0,'Water Report'!$N$15,0))</f>
        <v>7</v>
      </c>
      <c r="AU12" s="295">
        <f>(IF('Water Report'!$N$17&gt;0,'Water Report'!$N$17,0))</f>
        <v>0</v>
      </c>
      <c r="AV12" s="295">
        <f>(IF('Water Report'!$N$18&gt;0,'Water Report'!$N$18,0))</f>
        <v>17</v>
      </c>
      <c r="AW12" s="295">
        <f>(IF('Water Report'!$N$19&gt;0,'Water Report'!$N$19,0))</f>
        <v>13</v>
      </c>
      <c r="AX12" s="301">
        <f>(IF('Water Report'!$N$21&gt;0,'Water Report'!$N$21,0))</f>
        <v>85</v>
      </c>
      <c r="AY12" s="301">
        <f>(IF('Water Report'!$N$22&gt;0,'Water Report'!$N$22,0))</f>
        <v>0</v>
      </c>
      <c r="AZ12" s="301">
        <f>(IF('Water Report'!$N$23&gt;0,'Water Report'!$N$23,0))</f>
        <v>17</v>
      </c>
      <c r="BA12" s="301">
        <f>(IF('Water Report'!$N$14&gt;0,'Water Report'!$N$14,0))</f>
        <v>17</v>
      </c>
      <c r="BB12" s="301">
        <f>(IF('Water Report'!$N$15&gt;0,'Water Report'!$N$15,0))</f>
        <v>7</v>
      </c>
      <c r="BC12" s="301">
        <f>(IF('Water Report'!$N$13&gt;0,'Water Report'!$N$13,0))</f>
        <v>19</v>
      </c>
      <c r="BD12" s="301">
        <f>(IF('Water Report'!$N$24&gt;0,'Water Report'!$N$24,0))</f>
        <v>261</v>
      </c>
      <c r="BE12" s="301">
        <f>(IF('Water Report'!$N$25&gt;0,'Water Report'!$N$25,0))</f>
        <v>237</v>
      </c>
      <c r="BF12" s="301">
        <f>(IF('Water Report'!$N$27&gt;0,'Water Report'!$N$27,0))</f>
        <v>121</v>
      </c>
      <c r="BG12" s="296">
        <f>(IF('Section Load'!AN15&gt;0,'Section Load'!AN15,0))</f>
        <v>1115.2600000000093</v>
      </c>
      <c r="BH12" s="296">
        <f>(IF('Section Load'!AO15&gt;0,'Section Load'!AO15,0))</f>
        <v>290.42900000000373</v>
      </c>
      <c r="BI12" s="296">
        <f>(IF('Section Load'!AP15&gt;0,'Section Load'!AP15,0))</f>
        <v>0</v>
      </c>
      <c r="BJ12" s="296">
        <f>(IF('Section Load'!AQ15&gt;0,'Section Load'!AQ15,0))</f>
        <v>135.36999999999534</v>
      </c>
      <c r="BK12" s="296">
        <f>(IF('Section Load'!AR15&gt;0,'Section Load'!AR15,0))</f>
        <v>43</v>
      </c>
      <c r="BL12" s="296">
        <f>(IF('Section Load'!AS15&gt;0,'Section Load'!AS15,0))</f>
        <v>0</v>
      </c>
      <c r="BM12" s="296">
        <f>(IF('Section Load'!AT15&gt;0,'Section Load'!AT15,0))</f>
        <v>646.46100000001024</v>
      </c>
    </row>
    <row r="13" spans="1:65">
      <c r="A13" s="287" t="s">
        <v>268</v>
      </c>
      <c r="B13" s="288">
        <f t="shared" si="0"/>
        <v>12</v>
      </c>
      <c r="C13" s="288">
        <v>4</v>
      </c>
      <c r="D13" s="288">
        <v>2022</v>
      </c>
      <c r="E13" s="294">
        <f>(IF('Section Load'!F16&gt;0,'Section Load'!F16,0))</f>
        <v>4022.9899999999907</v>
      </c>
      <c r="F13" s="294">
        <f>(IF('Section Load'!G16&gt;0,'Section Load'!G16,0))</f>
        <v>1658.890000000014</v>
      </c>
      <c r="G13" s="294">
        <f>(IF('Section Load'!H16&gt;0,'Section Load'!H16,0))</f>
        <v>2360.6700000000128</v>
      </c>
      <c r="H13" s="294">
        <f>(IF('Section Load'!I16&gt;0,'Section Load'!I16,0))</f>
        <v>3231.1300000000047</v>
      </c>
      <c r="I13" s="294">
        <f>(IF('Section Load'!J16&gt;0,'Section Load'!J16,0))</f>
        <v>8032.7500000000291</v>
      </c>
      <c r="J13" s="294">
        <f>(IF('Section Load'!K16&gt;0,'Section Load'!K16,0))</f>
        <v>3523.0300000000279</v>
      </c>
      <c r="K13" s="294">
        <f>(IF('Section Load'!L16&gt;0,'Section Load'!L16,0))</f>
        <v>1248.9100000000035</v>
      </c>
      <c r="L13" s="294">
        <f>(IF('Section Load'!M16&gt;0,'Section Load'!M16,0))</f>
        <v>1052.9700000000012</v>
      </c>
      <c r="M13" s="294">
        <f>(IF('Section Load'!N16&gt;0,'Section Load'!N16,0))</f>
        <v>112</v>
      </c>
      <c r="N13" s="294">
        <f>(IF('Section Load'!O16&gt;0,'Section Load'!O16,0))</f>
        <v>152</v>
      </c>
      <c r="O13" s="294">
        <f>(IF('Section Load'!P16&gt;0,'Section Load'!P16,0))</f>
        <v>0</v>
      </c>
      <c r="P13" s="294">
        <f>(IF('Section Load'!Q16&gt;0,'Section Load'!Q16,0))</f>
        <v>204.4600000000064</v>
      </c>
      <c r="Q13" s="294">
        <f>(IF('Section Load'!R16&gt;0,'Section Load'!R16,0))</f>
        <v>64.93999999999869</v>
      </c>
      <c r="R13" s="294">
        <f>(IF('Section Load'!S16&gt;0,'Section Load'!S16,0))</f>
        <v>2.3800000000001091</v>
      </c>
      <c r="S13" s="294">
        <f>(IF('Section Load'!T16&gt;0,'Section Load'!T16,0))</f>
        <v>466</v>
      </c>
      <c r="T13" s="294">
        <f>(IF('Section Load'!U16&gt;0,'Section Load'!U16,0))</f>
        <v>247</v>
      </c>
      <c r="U13" s="294">
        <f>(IF('Section Load'!V16&gt;0,'Section Load'!V16,0))</f>
        <v>410.88000000000466</v>
      </c>
      <c r="V13" s="294">
        <f>(IF('Section Load'!W16&gt;0,'Section Load'!W16,0))</f>
        <v>380.28000000002794</v>
      </c>
      <c r="W13" s="294">
        <f>(IF('Section Load'!X16&gt;0,'Section Load'!X16,0))</f>
        <v>25.819999999999709</v>
      </c>
      <c r="X13" s="294">
        <f>(IF('Section Load'!Y16&gt;0,'Section Load'!Y16,0))</f>
        <v>219.18000000000029</v>
      </c>
      <c r="Y13" s="294">
        <f>(IF('Section Load'!Z16&gt;0,'Section Load'!Z16,0))</f>
        <v>285</v>
      </c>
      <c r="Z13" s="294">
        <f>(IF('Section Load'!AA16&gt;0,'Section Load'!AA16,0))</f>
        <v>41.599999999976717</v>
      </c>
      <c r="AA13" s="294">
        <f>(IF('Section Load'!AB16&gt;0,'Section Load'!AB16,0))</f>
        <v>38.899999999994179</v>
      </c>
      <c r="AB13" s="294">
        <f>(IF('Section Load'!AC16&gt;0,'Section Load'!AC16,0))</f>
        <v>0</v>
      </c>
      <c r="AC13" s="294">
        <f>(IF('Section Load'!AD16&gt;0,'Section Load'!AD16,0))</f>
        <v>193.29999999999745</v>
      </c>
      <c r="AD13" s="294">
        <f>(IF('Section Load'!AE16&gt;0,'Section Load'!AE16,0))</f>
        <v>340.2599999999984</v>
      </c>
      <c r="AE13" s="294">
        <f>(IF('Section Load'!AF16&gt;0,'Section Load'!AF16,0))</f>
        <v>171.77000000000044</v>
      </c>
      <c r="AF13" s="294">
        <f>(IF('Section Load'!AG16&gt;0,'Section Load'!AG16,0))</f>
        <v>569.57000000000698</v>
      </c>
      <c r="AG13" s="294">
        <f>(IF('Section Load'!AH16&gt;0,'Section Load'!AH16,0))</f>
        <v>412.51000000000931</v>
      </c>
      <c r="AH13" s="294">
        <f>(IF('Section Load'!AI16&gt;0,'Section Load'!AI16,0))</f>
        <v>408.33000000000175</v>
      </c>
      <c r="AI13" s="294">
        <f>(IF('Section Load'!AJ16&gt;0,'Section Load'!AJ16,0))</f>
        <v>795.8300000000163</v>
      </c>
      <c r="AJ13" s="294">
        <f>(IF('Section Load'!AK16&gt;0,'Section Load'!AK16,0))</f>
        <v>195.23999999999069</v>
      </c>
      <c r="AK13" s="294">
        <f>(IF('Section Load'!AL16&gt;0,'Section Load'!AL16,0))</f>
        <v>249</v>
      </c>
      <c r="AL13" s="294">
        <f>(IF('Section Load'!AM16&gt;0,'Section Load'!AM16,0))</f>
        <v>896.08999999999651</v>
      </c>
      <c r="AM13" s="295">
        <f>(IF('Water Report'!$O$7&gt;0,'Water Report'!$O$7,0))</f>
        <v>160</v>
      </c>
      <c r="AN13" s="295">
        <f>(IF('Water Report'!$O$8&gt;0,'Water Report'!$O$8,0))</f>
        <v>158</v>
      </c>
      <c r="AO13" s="295">
        <f>(IF('Water Report'!$O$9&gt;0,'Water Report'!$O$9,0))</f>
        <v>117</v>
      </c>
      <c r="AP13" s="295">
        <f>(IF('Water Report'!$O$10&gt;0,'Water Report'!$O$10,0))</f>
        <v>18</v>
      </c>
      <c r="AQ13" s="295">
        <f>(IF('Water Report'!$O$11&gt;0,'Water Report'!$O$11,0))</f>
        <v>71</v>
      </c>
      <c r="AR13" s="295">
        <f>(IF('Water Report'!$O$13&gt;0,'Water Report'!$O$13,0))</f>
        <v>48</v>
      </c>
      <c r="AS13" s="295">
        <f>(IF('Water Report'!$O$14&gt;0,'Water Report'!$O$14,0))</f>
        <v>5</v>
      </c>
      <c r="AT13" s="295">
        <f>(IF('Water Report'!$O$15&gt;0,'Water Report'!$O$15,0))</f>
        <v>14</v>
      </c>
      <c r="AU13" s="295">
        <f>(IF('Water Report'!$O$17&gt;0,'Water Report'!$O$17,0))</f>
        <v>0</v>
      </c>
      <c r="AV13" s="295">
        <f>(IF('Water Report'!$O$18&gt;0,'Water Report'!$O$18,0))</f>
        <v>15</v>
      </c>
      <c r="AW13" s="295">
        <f>(IF('Water Report'!$O$19&gt;0,'Water Report'!$O$19,0))</f>
        <v>10</v>
      </c>
      <c r="AX13" s="301">
        <f>(IF('Water Report'!$O$21&gt;0,'Water Report'!$O$21,0))</f>
        <v>106</v>
      </c>
      <c r="AY13" s="301">
        <f>(IF('Water Report'!$O$22&gt;0,'Water Report'!$O$22,0))</f>
        <v>0</v>
      </c>
      <c r="AZ13" s="301">
        <f>(IF('Water Report'!$O$23&gt;0,'Water Report'!$O$23,0))</f>
        <v>5</v>
      </c>
      <c r="BA13" s="301">
        <f>(IF('Water Report'!$O$14&gt;0,'Water Report'!$O$14,0))</f>
        <v>5</v>
      </c>
      <c r="BB13" s="301">
        <f>(IF('Water Report'!$O$15&gt;0,'Water Report'!$O$15,0))</f>
        <v>14</v>
      </c>
      <c r="BC13" s="301">
        <f>(IF('Water Report'!$O$13&gt;0,'Water Report'!$O$13,0))</f>
        <v>48</v>
      </c>
      <c r="BD13" s="301">
        <f>(IF('Water Report'!$O$24&gt;0,'Water Report'!$O$24,0))</f>
        <v>260</v>
      </c>
      <c r="BE13" s="301">
        <f>(IF('Water Report'!$O$25&gt;0,'Water Report'!$O$25,0))</f>
        <v>225</v>
      </c>
      <c r="BF13" s="301">
        <f>(IF('Water Report'!$O$27&gt;0,'Water Report'!$O$27,0))</f>
        <v>159</v>
      </c>
      <c r="BG13" s="296">
        <f>(IF('Section Load'!AN16&gt;0,'Section Load'!AN16,0))</f>
        <v>1116.7399999999907</v>
      </c>
      <c r="BH13" s="296">
        <f>(IF('Section Load'!AO16&gt;0,'Section Load'!AO16,0))</f>
        <v>340.53099999995902</v>
      </c>
      <c r="BI13" s="296">
        <f>(IF('Section Load'!AP16&gt;0,'Section Load'!AP16,0))</f>
        <v>0.19999999999708962</v>
      </c>
      <c r="BJ13" s="296">
        <f>(IF('Section Load'!AQ16&gt;0,'Section Load'!AQ16,0))</f>
        <v>134</v>
      </c>
      <c r="BK13" s="296">
        <f>(IF('Section Load'!AR16&gt;0,'Section Load'!AR16,0))</f>
        <v>53</v>
      </c>
      <c r="BL13" s="296">
        <f>(IF('Section Load'!AS16&gt;0,'Section Load'!AS16,0))</f>
        <v>1</v>
      </c>
      <c r="BM13" s="296">
        <f>(IF('Section Load'!AT16&gt;0,'Section Load'!AT16,0))</f>
        <v>588.00900000003458</v>
      </c>
    </row>
    <row r="14" spans="1:65">
      <c r="A14" s="287" t="s">
        <v>268</v>
      </c>
      <c r="B14" s="288">
        <f t="shared" si="0"/>
        <v>13</v>
      </c>
      <c r="C14" s="288">
        <v>4</v>
      </c>
      <c r="D14" s="288">
        <v>2022</v>
      </c>
      <c r="E14" s="294">
        <f>(IF('Section Load'!F17&gt;0,'Section Load'!F17,0))</f>
        <v>4088</v>
      </c>
      <c r="F14" s="294">
        <f>(IF('Section Load'!G17&gt;0,'Section Load'!G17,0))</f>
        <v>1611</v>
      </c>
      <c r="G14" s="294">
        <f>(IF('Section Load'!H17&gt;0,'Section Load'!H17,0))</f>
        <v>2460</v>
      </c>
      <c r="H14" s="294">
        <f>(IF('Section Load'!I17&gt;0,'Section Load'!I17,0))</f>
        <v>3268</v>
      </c>
      <c r="I14" s="294">
        <f>(IF('Section Load'!J17&gt;0,'Section Load'!J17,0))</f>
        <v>8137</v>
      </c>
      <c r="J14" s="294">
        <f>(IF('Section Load'!K17&gt;0,'Section Load'!K17,0))</f>
        <v>3231</v>
      </c>
      <c r="K14" s="294">
        <f>(IF('Section Load'!L17&gt;0,'Section Load'!L17,0))</f>
        <v>1522</v>
      </c>
      <c r="L14" s="294">
        <f>(IF('Section Load'!M17&gt;0,'Section Load'!M17,0))</f>
        <v>1161</v>
      </c>
      <c r="M14" s="294">
        <f>(IF('Section Load'!N17&gt;0,'Section Load'!N17,0))</f>
        <v>149</v>
      </c>
      <c r="N14" s="294">
        <f>(IF('Section Load'!O17&gt;0,'Section Load'!O17,0))</f>
        <v>161</v>
      </c>
      <c r="O14" s="294">
        <f>(IF('Section Load'!P17&gt;0,'Section Load'!P17,0))</f>
        <v>0</v>
      </c>
      <c r="P14" s="294">
        <f>(IF('Section Load'!Q17&gt;0,'Section Load'!Q17,0))</f>
        <v>198</v>
      </c>
      <c r="Q14" s="294">
        <f>(IF('Section Load'!R17&gt;0,'Section Load'!R17,0))</f>
        <v>59</v>
      </c>
      <c r="R14" s="294">
        <f>(IF('Section Load'!S17&gt;0,'Section Load'!S17,0))</f>
        <v>1</v>
      </c>
      <c r="S14" s="294">
        <f>(IF('Section Load'!T17&gt;0,'Section Load'!T17,0))</f>
        <v>483</v>
      </c>
      <c r="T14" s="294">
        <f>(IF('Section Load'!U17&gt;0,'Section Load'!U17,0))</f>
        <v>250</v>
      </c>
      <c r="U14" s="294">
        <f>(IF('Section Load'!V17&gt;0,'Section Load'!V17,0))</f>
        <v>454</v>
      </c>
      <c r="V14" s="294">
        <f>(IF('Section Load'!W17&gt;0,'Section Load'!W17,0))</f>
        <v>379</v>
      </c>
      <c r="W14" s="294">
        <f>(IF('Section Load'!X17&gt;0,'Section Load'!X17,0))</f>
        <v>31</v>
      </c>
      <c r="X14" s="294">
        <f>(IF('Section Load'!Y17&gt;0,'Section Load'!Y17,0))</f>
        <v>228</v>
      </c>
      <c r="Y14" s="294">
        <f>(IF('Section Load'!Z17&gt;0,'Section Load'!Z17,0))</f>
        <v>262</v>
      </c>
      <c r="Z14" s="294">
        <f>(IF('Section Load'!AA17&gt;0,'Section Load'!AA17,0))</f>
        <v>46</v>
      </c>
      <c r="AA14" s="294">
        <f>(IF('Section Load'!AB17&gt;0,'Section Load'!AB17,0))</f>
        <v>45</v>
      </c>
      <c r="AB14" s="294">
        <f>(IF('Section Load'!AC17&gt;0,'Section Load'!AC17,0))</f>
        <v>10.239999999997963</v>
      </c>
      <c r="AC14" s="294">
        <f>(IF('Section Load'!AD17&gt;0,'Section Load'!AD17,0))</f>
        <v>176.19999999999709</v>
      </c>
      <c r="AD14" s="294">
        <f>(IF('Section Load'!AE17&gt;0,'Section Load'!AE17,0))</f>
        <v>441</v>
      </c>
      <c r="AE14" s="294">
        <f>(IF('Section Load'!AF17&gt;0,'Section Load'!AF17,0))</f>
        <v>144</v>
      </c>
      <c r="AF14" s="294">
        <f>(IF('Section Load'!AG17&gt;0,'Section Load'!AG17,0))</f>
        <v>547</v>
      </c>
      <c r="AG14" s="294">
        <f>(IF('Section Load'!AH17&gt;0,'Section Load'!AH17,0))</f>
        <v>433</v>
      </c>
      <c r="AH14" s="294">
        <f>(IF('Section Load'!AI17&gt;0,'Section Load'!AI17,0))</f>
        <v>395</v>
      </c>
      <c r="AI14" s="294">
        <f>(IF('Section Load'!AJ17&gt;0,'Section Load'!AJ17,0))</f>
        <v>799</v>
      </c>
      <c r="AJ14" s="294">
        <f>(IF('Section Load'!AK17&gt;0,'Section Load'!AK17,0))</f>
        <v>205</v>
      </c>
      <c r="AK14" s="294">
        <f>(IF('Section Load'!AL17&gt;0,'Section Load'!AL17,0))</f>
        <v>255</v>
      </c>
      <c r="AL14" s="294">
        <f>(IF('Section Load'!AM17&gt;0,'Section Load'!AM17,0))</f>
        <v>937</v>
      </c>
      <c r="AM14" s="295">
        <f>(IF('Water Report'!$P$7&gt;0,'Water Report'!$P$7,0))</f>
        <v>208</v>
      </c>
      <c r="AN14" s="295">
        <f>(IF('Water Report'!$P$8&gt;0,'Water Report'!$P$8,0))</f>
        <v>144</v>
      </c>
      <c r="AO14" s="295">
        <f>(IF('Water Report'!$P$9&gt;0,'Water Report'!$P$9,0))</f>
        <v>134</v>
      </c>
      <c r="AP14" s="295">
        <f>(IF('Water Report'!$P$10&gt;0,'Water Report'!$P$10,0))</f>
        <v>15</v>
      </c>
      <c r="AQ14" s="295">
        <f>(IF('Water Report'!$P$11&gt;0,'Water Report'!$P$11,0))</f>
        <v>69</v>
      </c>
      <c r="AR14" s="295">
        <f>(IF('Water Report'!$P$13&gt;0,'Water Report'!$P$13,0))</f>
        <v>62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14</v>
      </c>
      <c r="AW14" s="295">
        <f>(IF('Water Report'!$P$19&gt;0,'Water Report'!$P$19,0))</f>
        <v>13</v>
      </c>
      <c r="AX14" s="301">
        <f>(IF('Water Report'!$P$21&gt;0,'Water Report'!$P$21,0))</f>
        <v>79</v>
      </c>
      <c r="AY14" s="301">
        <f>(IF('Water Report'!$P$22&gt;0,'Water Report'!$P$22,0))</f>
        <v>0</v>
      </c>
      <c r="AZ14" s="301">
        <f>(IF('Water Report'!$P$23&gt;0,'Water Report'!$P$23,0))</f>
        <v>4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62</v>
      </c>
      <c r="BD14" s="301">
        <f>(IF('Water Report'!$P$24&gt;0,'Water Report'!$P$24,0))</f>
        <v>288</v>
      </c>
      <c r="BE14" s="301">
        <f>(IF('Water Report'!$P$25&gt;0,'Water Report'!$P$25,0))</f>
        <v>237</v>
      </c>
      <c r="BF14" s="301">
        <f>(IF('Water Report'!$P$27&gt;0,'Water Report'!$P$27,0))</f>
        <v>145</v>
      </c>
      <c r="BG14" s="296">
        <f>(IF('Section Load'!AN17&gt;0,'Section Load'!AN17,0))</f>
        <v>1076</v>
      </c>
      <c r="BH14" s="296">
        <f>(IF('Section Load'!AO17&gt;0,'Section Load'!AO17,0))</f>
        <v>292</v>
      </c>
      <c r="BI14" s="296">
        <f>(IF('Section Load'!AP17&gt;0,'Section Load'!AP17,0))</f>
        <v>0</v>
      </c>
      <c r="BJ14" s="296">
        <f>(IF('Section Load'!AQ17&gt;0,'Section Load'!AQ17,0))</f>
        <v>123</v>
      </c>
      <c r="BK14" s="296">
        <f>(IF('Section Load'!AR17&gt;0,'Section Load'!AR17,0))</f>
        <v>44</v>
      </c>
      <c r="BL14" s="296">
        <f>(IF('Section Load'!AS17&gt;0,'Section Load'!AS17,0))</f>
        <v>0</v>
      </c>
      <c r="BM14" s="296">
        <f>(IF('Section Load'!AT17&gt;0,'Section Load'!AT17,0))</f>
        <v>617</v>
      </c>
    </row>
    <row r="15" spans="1:65">
      <c r="A15" s="287" t="s">
        <v>268</v>
      </c>
      <c r="B15" s="288">
        <f t="shared" si="0"/>
        <v>14</v>
      </c>
      <c r="C15" s="288">
        <v>4</v>
      </c>
      <c r="D15" s="288">
        <v>2022</v>
      </c>
      <c r="E15" s="294">
        <f>(IF('Section Load'!F18&gt;0,'Section Load'!F18,0))</f>
        <v>4107</v>
      </c>
      <c r="F15" s="294">
        <f>(IF('Section Load'!G18&gt;0,'Section Load'!G18,0))</f>
        <v>1876</v>
      </c>
      <c r="G15" s="294">
        <f>(IF('Section Load'!H18&gt;0,'Section Load'!H18,0))</f>
        <v>2478</v>
      </c>
      <c r="H15" s="294">
        <f>(IF('Section Load'!I18&gt;0,'Section Load'!I18,0))</f>
        <v>3305</v>
      </c>
      <c r="I15" s="294">
        <f>(IF('Section Load'!J18&gt;0,'Section Load'!J18,0))</f>
        <v>8134</v>
      </c>
      <c r="J15" s="294">
        <f>(IF('Section Load'!K18&gt;0,'Section Load'!K18,0))</f>
        <v>3419</v>
      </c>
      <c r="K15" s="294">
        <f>(IF('Section Load'!L18&gt;0,'Section Load'!L18,0))</f>
        <v>1725</v>
      </c>
      <c r="L15" s="294">
        <f>(IF('Section Load'!M18&gt;0,'Section Load'!M18,0))</f>
        <v>1156</v>
      </c>
      <c r="M15" s="294">
        <f>(IF('Section Load'!N18&gt;0,'Section Load'!N18,0))</f>
        <v>171</v>
      </c>
      <c r="N15" s="294">
        <f>(IF('Section Load'!O18&gt;0,'Section Load'!O18,0))</f>
        <v>162</v>
      </c>
      <c r="O15" s="294">
        <f>(IF('Section Load'!P18&gt;0,'Section Load'!P18,0))</f>
        <v>0</v>
      </c>
      <c r="P15" s="294">
        <f>(IF('Section Load'!Q18&gt;0,'Section Load'!Q18,0))</f>
        <v>205</v>
      </c>
      <c r="Q15" s="294">
        <f>(IF('Section Load'!R18&gt;0,'Section Load'!R18,0))</f>
        <v>58</v>
      </c>
      <c r="R15" s="294">
        <f>(IF('Section Load'!S18&gt;0,'Section Load'!S18,0))</f>
        <v>3</v>
      </c>
      <c r="S15" s="294">
        <f>(IF('Section Load'!T18&gt;0,'Section Load'!T18,0))</f>
        <v>483</v>
      </c>
      <c r="T15" s="294">
        <f>(IF('Section Load'!U18&gt;0,'Section Load'!U18,0))</f>
        <v>252</v>
      </c>
      <c r="U15" s="294">
        <f>(IF('Section Load'!V18&gt;0,'Section Load'!V18,0))</f>
        <v>407</v>
      </c>
      <c r="V15" s="294">
        <f>(IF('Section Load'!W18&gt;0,'Section Load'!W18,0))</f>
        <v>354</v>
      </c>
      <c r="W15" s="294">
        <f>(IF('Section Load'!X18&gt;0,'Section Load'!X18,0))</f>
        <v>26</v>
      </c>
      <c r="X15" s="294">
        <f>(IF('Section Load'!Y18&gt;0,'Section Load'!Y18,0))</f>
        <v>232</v>
      </c>
      <c r="Y15" s="294">
        <f>(IF('Section Load'!Z18&gt;0,'Section Load'!Z18,0))</f>
        <v>291</v>
      </c>
      <c r="Z15" s="294">
        <f>(IF('Section Load'!AA18&gt;0,'Section Load'!AA18,0))</f>
        <v>43</v>
      </c>
      <c r="AA15" s="294">
        <f>(IF('Section Load'!AB18&gt;0,'Section Load'!AB18,0))</f>
        <v>47</v>
      </c>
      <c r="AB15" s="294">
        <f>(IF('Section Load'!AC18&gt;0,'Section Load'!AC18,0))</f>
        <v>10.630000000001019</v>
      </c>
      <c r="AC15" s="294">
        <f>(IF('Section Load'!AD18&gt;0,'Section Load'!AD18,0))</f>
        <v>179</v>
      </c>
      <c r="AD15" s="294">
        <f>(IF('Section Load'!AE18&gt;0,'Section Load'!AE18,0))</f>
        <v>503</v>
      </c>
      <c r="AE15" s="294">
        <f>(IF('Section Load'!AF18&gt;0,'Section Load'!AF18,0))</f>
        <v>154</v>
      </c>
      <c r="AF15" s="294">
        <f>(IF('Section Load'!AG18&gt;0,'Section Load'!AG18,0))</f>
        <v>502</v>
      </c>
      <c r="AG15" s="294">
        <f>(IF('Section Load'!AH18&gt;0,'Section Load'!AH18,0))</f>
        <v>411</v>
      </c>
      <c r="AH15" s="294">
        <f>(IF('Section Load'!AI18&gt;0,'Section Load'!AI18,0))</f>
        <v>392</v>
      </c>
      <c r="AI15" s="294">
        <f>(IF('Section Load'!AJ18&gt;0,'Section Load'!AJ18,0))</f>
        <v>755</v>
      </c>
      <c r="AJ15" s="294">
        <f>(IF('Section Load'!AK18&gt;0,'Section Load'!AK18,0))</f>
        <v>200</v>
      </c>
      <c r="AK15" s="294">
        <f>(IF('Section Load'!AL18&gt;0,'Section Load'!AL18,0))</f>
        <v>256</v>
      </c>
      <c r="AL15" s="294">
        <f>(IF('Section Load'!AM18&gt;0,'Section Load'!AM18,0))</f>
        <v>964</v>
      </c>
      <c r="AM15" s="295">
        <f>(IF('Water Report'!$Q$7&gt;0,'Water Report'!$Q$7,0))</f>
        <v>163</v>
      </c>
      <c r="AN15" s="295">
        <f>(IF('Water Report'!$Q$8&gt;0,'Water Report'!$Q$8,0))</f>
        <v>136</v>
      </c>
      <c r="AO15" s="295">
        <f>(IF('Water Report'!$Q$9&gt;0,'Water Report'!$Q$9,0))</f>
        <v>110</v>
      </c>
      <c r="AP15" s="295">
        <f>(IF('Water Report'!$Q$10&gt;0,'Water Report'!$Q$10,0))</f>
        <v>16</v>
      </c>
      <c r="AQ15" s="295">
        <f>(IF('Water Report'!$Q$11&gt;0,'Water Report'!$Q$11,0))</f>
        <v>77</v>
      </c>
      <c r="AR15" s="295">
        <f>(IF('Water Report'!$Q$13&gt;0,'Water Report'!$Q$13,0))</f>
        <v>27</v>
      </c>
      <c r="AS15" s="295">
        <f>(IF('Water Report'!$Q$14&gt;0,'Water Report'!$Q$14,0))</f>
        <v>11</v>
      </c>
      <c r="AT15" s="295">
        <f>(IF('Water Report'!$Q$15&gt;0,'Water Report'!$Q$15,0))</f>
        <v>9</v>
      </c>
      <c r="AU15" s="295">
        <f>(IF('Water Report'!$Q$17&gt;0,'Water Report'!$Q$17,0))</f>
        <v>0</v>
      </c>
      <c r="AV15" s="295">
        <f>(IF('Water Report'!$Q$18&gt;0,'Water Report'!$Q$18,0))</f>
        <v>15</v>
      </c>
      <c r="AW15" s="295">
        <f>(IF('Water Report'!$Q$19&gt;0,'Water Report'!$Q$19,0))</f>
        <v>10</v>
      </c>
      <c r="AX15" s="301">
        <f>(IF('Water Report'!$Q$21&gt;0,'Water Report'!$Q$21,0))</f>
        <v>112</v>
      </c>
      <c r="AY15" s="301">
        <f>(IF('Water Report'!$Q$22&gt;0,'Water Report'!$Q$22,0))</f>
        <v>0</v>
      </c>
      <c r="AZ15" s="301">
        <f>(IF('Water Report'!$Q$23&gt;0,'Water Report'!$Q$23,0))</f>
        <v>7</v>
      </c>
      <c r="BA15" s="301">
        <f>(IF('Water Report'!$Q$14&gt;0,'Water Report'!$Q$14,0))</f>
        <v>11</v>
      </c>
      <c r="BB15" s="301">
        <f>(IF('Water Report'!$Q$15&gt;0,'Water Report'!$Q$15,0))</f>
        <v>9</v>
      </c>
      <c r="BC15" s="301">
        <f>(IF('Water Report'!$Q$13&gt;0,'Water Report'!$Q$13,0))</f>
        <v>27</v>
      </c>
      <c r="BD15" s="301">
        <f>(IF('Water Report'!$Q$24&gt;0,'Water Report'!$Q$24,0))</f>
        <v>362</v>
      </c>
      <c r="BE15" s="301">
        <f>(IF('Water Report'!$Q$25&gt;0,'Water Report'!$Q$25,0))</f>
        <v>223</v>
      </c>
      <c r="BF15" s="301">
        <f>(IF('Water Report'!$Q$27&gt;0,'Water Report'!$Q$27,0))</f>
        <v>146</v>
      </c>
      <c r="BG15" s="296">
        <f>(IF('Section Load'!AN18&gt;0,'Section Load'!AN18,0))</f>
        <v>1054</v>
      </c>
      <c r="BH15" s="296">
        <f>(IF('Section Load'!AO18&gt;0,'Section Load'!AO18,0))</f>
        <v>325</v>
      </c>
      <c r="BI15" s="296">
        <f>(IF('Section Load'!AP18&gt;0,'Section Load'!AP18,0))</f>
        <v>0</v>
      </c>
      <c r="BJ15" s="296">
        <f>(IF('Section Load'!AQ18&gt;0,'Section Load'!AQ18,0))</f>
        <v>123</v>
      </c>
      <c r="BK15" s="296">
        <f>(IF('Section Load'!AR18&gt;0,'Section Load'!AR18,0))</f>
        <v>56</v>
      </c>
      <c r="BL15" s="296">
        <f>(IF('Section Load'!AS18&gt;0,'Section Load'!AS18,0))</f>
        <v>0</v>
      </c>
      <c r="BM15" s="296">
        <f>(IF('Section Load'!AT18&gt;0,'Section Load'!AT18,0))</f>
        <v>550</v>
      </c>
    </row>
    <row r="16" spans="1:65">
      <c r="A16" s="287" t="s">
        <v>268</v>
      </c>
      <c r="B16" s="288">
        <f t="shared" si="0"/>
        <v>15</v>
      </c>
      <c r="C16" s="288">
        <v>4</v>
      </c>
      <c r="D16" s="288">
        <v>2022</v>
      </c>
      <c r="E16" s="294">
        <f>(IF('Section Load'!F19&gt;0,'Section Load'!F19,0))</f>
        <v>3991</v>
      </c>
      <c r="F16" s="294">
        <f>(IF('Section Load'!G19&gt;0,'Section Load'!G19,0))</f>
        <v>1297</v>
      </c>
      <c r="G16" s="294">
        <f>(IF('Section Load'!H19&gt;0,'Section Load'!H19,0))</f>
        <v>2419.7600000000002</v>
      </c>
      <c r="H16" s="294">
        <f>(IF('Section Load'!I19&gt;0,'Section Load'!I19,0))</f>
        <v>3266</v>
      </c>
      <c r="I16" s="294">
        <f>(IF('Section Load'!J19&gt;0,'Section Load'!J19,0))</f>
        <v>7049.7</v>
      </c>
      <c r="J16" s="294">
        <f>(IF('Section Load'!K19&gt;0,'Section Load'!K19,0))</f>
        <v>3255</v>
      </c>
      <c r="K16" s="294">
        <f>(IF('Section Load'!L19&gt;0,'Section Load'!L19,0))</f>
        <v>1532</v>
      </c>
      <c r="L16" s="294">
        <f>(IF('Section Load'!M19&gt;0,'Section Load'!M19,0))</f>
        <v>895</v>
      </c>
      <c r="M16" s="294">
        <f>(IF('Section Load'!N19&gt;0,'Section Load'!N19,0))</f>
        <v>122</v>
      </c>
      <c r="N16" s="294">
        <f>(IF('Section Load'!O19&gt;0,'Section Load'!O19,0))</f>
        <v>148</v>
      </c>
      <c r="O16" s="294">
        <f>(IF('Section Load'!P19&gt;0,'Section Load'!P19,0))</f>
        <v>0</v>
      </c>
      <c r="P16" s="294">
        <f>(IF('Section Load'!Q19&gt;0,'Section Load'!Q19,0))</f>
        <v>202</v>
      </c>
      <c r="Q16" s="294">
        <f>(IF('Section Load'!R19&gt;0,'Section Load'!R19,0))</f>
        <v>56</v>
      </c>
      <c r="R16" s="294">
        <f>(IF('Section Load'!S19&gt;0,'Section Load'!S19,0))</f>
        <v>3</v>
      </c>
      <c r="S16" s="294">
        <f>(IF('Section Load'!T19&gt;0,'Section Load'!T19,0))</f>
        <v>491</v>
      </c>
      <c r="T16" s="294">
        <f>(IF('Section Load'!U19&gt;0,'Section Load'!U19,0))</f>
        <v>258</v>
      </c>
      <c r="U16" s="294">
        <f>(IF('Section Load'!V19&gt;0,'Section Load'!V19,0))</f>
        <v>434</v>
      </c>
      <c r="V16" s="294">
        <f>(IF('Section Load'!W19&gt;0,'Section Load'!W19,0))</f>
        <v>344</v>
      </c>
      <c r="W16" s="294">
        <f>(IF('Section Load'!X19&gt;0,'Section Load'!X19,0))</f>
        <v>30</v>
      </c>
      <c r="X16" s="294">
        <f>(IF('Section Load'!Y19&gt;0,'Section Load'!Y19,0))</f>
        <v>224</v>
      </c>
      <c r="Y16" s="294">
        <f>(IF('Section Load'!Z19&gt;0,'Section Load'!Z19,0))</f>
        <v>287</v>
      </c>
      <c r="Z16" s="294">
        <f>(IF('Section Load'!AA19&gt;0,'Section Load'!AA19,0))</f>
        <v>46</v>
      </c>
      <c r="AA16" s="294">
        <f>(IF('Section Load'!AB19&gt;0,'Section Load'!AB19,0))</f>
        <v>52</v>
      </c>
      <c r="AB16" s="294">
        <f>(IF('Section Load'!AC19&gt;0,'Section Load'!AC19,0))</f>
        <v>10.25</v>
      </c>
      <c r="AC16" s="294">
        <f>(IF('Section Load'!AD19&gt;0,'Section Load'!AD19,0))</f>
        <v>194</v>
      </c>
      <c r="AD16" s="294">
        <f>(IF('Section Load'!AE19&gt;0,'Section Load'!AE19,0))</f>
        <v>436</v>
      </c>
      <c r="AE16" s="294">
        <f>(IF('Section Load'!AF19&gt;0,'Section Load'!AF19,0))</f>
        <v>180</v>
      </c>
      <c r="AF16" s="294">
        <f>(IF('Section Load'!AG19&gt;0,'Section Load'!AG19,0))</f>
        <v>528</v>
      </c>
      <c r="AG16" s="294">
        <f>(IF('Section Load'!AH19&gt;0,'Section Load'!AH19,0))</f>
        <v>441</v>
      </c>
      <c r="AH16" s="294">
        <f>(IF('Section Load'!AI19&gt;0,'Section Load'!AI19,0))</f>
        <v>427</v>
      </c>
      <c r="AI16" s="294">
        <f>(IF('Section Load'!AJ19&gt;0,'Section Load'!AJ19,0))</f>
        <v>838</v>
      </c>
      <c r="AJ16" s="294">
        <f>(IF('Section Load'!AK19&gt;0,'Section Load'!AK19,0))</f>
        <v>208</v>
      </c>
      <c r="AK16" s="294">
        <f>(IF('Section Load'!AL19&gt;0,'Section Load'!AL19,0))</f>
        <v>254</v>
      </c>
      <c r="AL16" s="294">
        <f>(IF('Section Load'!AM19&gt;0,'Section Load'!AM19,0))</f>
        <v>899</v>
      </c>
      <c r="AM16" s="295">
        <f>(IF('Water Report'!$R$7&gt;0,'Water Report'!$R$7,0))</f>
        <v>179</v>
      </c>
      <c r="AN16" s="295">
        <f>(IF('Water Report'!$R$8&gt;0,'Water Report'!$R$8,0))</f>
        <v>157</v>
      </c>
      <c r="AO16" s="295">
        <f>(IF('Water Report'!$R$9&gt;0,'Water Report'!$R$9,0))</f>
        <v>113</v>
      </c>
      <c r="AP16" s="295">
        <f>(IF('Water Report'!$R$10&gt;0,'Water Report'!$R$10,0))</f>
        <v>23</v>
      </c>
      <c r="AQ16" s="295">
        <f>(IF('Water Report'!$R$11&gt;0,'Water Report'!$R$11,0))</f>
        <v>80</v>
      </c>
      <c r="AR16" s="295">
        <f>(IF('Water Report'!$R$13&gt;0,'Water Report'!$R$13,0))</f>
        <v>20</v>
      </c>
      <c r="AS16" s="295">
        <f>(IF('Water Report'!$R$14&gt;0,'Water Report'!$R$14,0))</f>
        <v>9</v>
      </c>
      <c r="AT16" s="295">
        <f>(IF('Water Report'!$R$15&gt;0,'Water Report'!$R$15,0))</f>
        <v>8</v>
      </c>
      <c r="AU16" s="295">
        <f>(IF('Water Report'!$R$17&gt;0,'Water Report'!$R$17,0))</f>
        <v>10</v>
      </c>
      <c r="AV16" s="295">
        <f>(IF('Water Report'!$R$18&gt;0,'Water Report'!$R$18,0))</f>
        <v>15</v>
      </c>
      <c r="AW16" s="295">
        <f>(IF('Water Report'!$R$19&gt;0,'Water Report'!$R$19,0))</f>
        <v>14</v>
      </c>
      <c r="AX16" s="301">
        <f>(IF('Water Report'!$R$21&gt;0,'Water Report'!$R$21,0))</f>
        <v>106</v>
      </c>
      <c r="AY16" s="301">
        <f>(IF('Water Report'!$R$22&gt;0,'Water Report'!$R$22,0))</f>
        <v>0</v>
      </c>
      <c r="AZ16" s="301">
        <f>(IF('Water Report'!$R$23&gt;0,'Water Report'!$R$23,0))</f>
        <v>17</v>
      </c>
      <c r="BA16" s="301">
        <f>(IF('Water Report'!$R$14&gt;0,'Water Report'!$R$14,0))</f>
        <v>9</v>
      </c>
      <c r="BB16" s="301">
        <f>(IF('Water Report'!$R$15&gt;0,'Water Report'!$R$15,0))</f>
        <v>8</v>
      </c>
      <c r="BC16" s="301">
        <f>(IF('Water Report'!$R$13&gt;0,'Water Report'!$R$13,0))</f>
        <v>20</v>
      </c>
      <c r="BD16" s="301">
        <f>(IF('Water Report'!$R$24&gt;0,'Water Report'!$R$24,0))</f>
        <v>269</v>
      </c>
      <c r="BE16" s="301">
        <f>(IF('Water Report'!$R$25&gt;0,'Water Report'!$R$25,0))</f>
        <v>233</v>
      </c>
      <c r="BF16" s="301">
        <f>(IF('Water Report'!$R$27&gt;0,'Water Report'!$R$27,0))</f>
        <v>143</v>
      </c>
      <c r="BG16" s="296">
        <f>(IF('Section Load'!AN19&gt;0,'Section Load'!AN19,0))</f>
        <v>998</v>
      </c>
      <c r="BH16" s="296">
        <f>(IF('Section Load'!AO19&gt;0,'Section Load'!AO19,0))</f>
        <v>292</v>
      </c>
      <c r="BI16" s="296">
        <f>(IF('Section Load'!AP19&gt;0,'Section Load'!AP19,0))</f>
        <v>0</v>
      </c>
      <c r="BJ16" s="296">
        <f>(IF('Section Load'!AQ19&gt;0,'Section Load'!AQ19,0))</f>
        <v>111</v>
      </c>
      <c r="BK16" s="296">
        <f>(IF('Section Load'!AR19&gt;0,'Section Load'!AR19,0))</f>
        <v>55</v>
      </c>
      <c r="BL16" s="296">
        <f>(IF('Section Load'!AS19&gt;0,'Section Load'!AS19,0))</f>
        <v>0</v>
      </c>
      <c r="BM16" s="296">
        <f>(IF('Section Load'!AT19&gt;0,'Section Load'!AT19,0))</f>
        <v>540.19999999999709</v>
      </c>
    </row>
    <row r="17" spans="1:65">
      <c r="A17" s="287" t="s">
        <v>268</v>
      </c>
      <c r="B17" s="288">
        <f t="shared" si="0"/>
        <v>16</v>
      </c>
      <c r="C17" s="288">
        <v>4</v>
      </c>
      <c r="D17" s="288">
        <v>2022</v>
      </c>
      <c r="E17" s="294">
        <f>(IF('Section Load'!F20&gt;0,'Section Load'!F20,0))</f>
        <v>3996</v>
      </c>
      <c r="F17" s="294">
        <f>(IF('Section Load'!G20&gt;0,'Section Load'!G20,0))</f>
        <v>1603</v>
      </c>
      <c r="G17" s="294">
        <f>(IF('Section Load'!H20&gt;0,'Section Load'!H20,0))</f>
        <v>2339</v>
      </c>
      <c r="H17" s="294">
        <f>(IF('Section Load'!I20&gt;0,'Section Load'!I20,0))</f>
        <v>3268</v>
      </c>
      <c r="I17" s="294">
        <f>(IF('Section Load'!J20&gt;0,'Section Load'!J20,0))</f>
        <v>7327</v>
      </c>
      <c r="J17" s="294">
        <f>(IF('Section Load'!K20&gt;0,'Section Load'!K20,0))</f>
        <v>3191</v>
      </c>
      <c r="K17" s="294">
        <f>(IF('Section Load'!L20&gt;0,'Section Load'!L20,0))</f>
        <v>1070</v>
      </c>
      <c r="L17" s="294">
        <f>(IF('Section Load'!M20&gt;0,'Section Load'!M20,0))</f>
        <v>853</v>
      </c>
      <c r="M17" s="294">
        <f>(IF('Section Load'!N20&gt;0,'Section Load'!N20,0))</f>
        <v>123</v>
      </c>
      <c r="N17" s="294">
        <f>(IF('Section Load'!O20&gt;0,'Section Load'!O20,0))</f>
        <v>146</v>
      </c>
      <c r="O17" s="294">
        <f>(IF('Section Load'!P20&gt;0,'Section Load'!P20,0))</f>
        <v>11.399999999994179</v>
      </c>
      <c r="P17" s="294">
        <f>(IF('Section Load'!Q20&gt;0,'Section Load'!Q20,0))</f>
        <v>189</v>
      </c>
      <c r="Q17" s="294">
        <f>(IF('Section Load'!R20&gt;0,'Section Load'!R20,0))</f>
        <v>52</v>
      </c>
      <c r="R17" s="294">
        <f>(IF('Section Load'!S20&gt;0,'Section Load'!S20,0))</f>
        <v>3</v>
      </c>
      <c r="S17" s="294">
        <f>(IF('Section Load'!T20&gt;0,'Section Load'!T20,0))</f>
        <v>536</v>
      </c>
      <c r="T17" s="294">
        <f>(IF('Section Load'!U20&gt;0,'Section Load'!U20,0))</f>
        <v>256</v>
      </c>
      <c r="U17" s="294">
        <f>(IF('Section Load'!V20&gt;0,'Section Load'!V20,0))</f>
        <v>415</v>
      </c>
      <c r="V17" s="294">
        <f>(IF('Section Load'!W20&gt;0,'Section Load'!W20,0))</f>
        <v>340</v>
      </c>
      <c r="W17" s="294">
        <f>(IF('Section Load'!X20&gt;0,'Section Load'!X20,0))</f>
        <v>26</v>
      </c>
      <c r="X17" s="294">
        <f>(IF('Section Load'!Y20&gt;0,'Section Load'!Y20,0))</f>
        <v>236</v>
      </c>
      <c r="Y17" s="294">
        <f>(IF('Section Load'!Z20&gt;0,'Section Load'!Z20,0))</f>
        <v>289</v>
      </c>
      <c r="Z17" s="294">
        <f>(IF('Section Load'!AA20&gt;0,'Section Load'!AA20,0))</f>
        <v>43</v>
      </c>
      <c r="AA17" s="294">
        <f>(IF('Section Load'!AB20&gt;0,'Section Load'!AB20,0))</f>
        <v>42</v>
      </c>
      <c r="AB17" s="294">
        <f>(IF('Section Load'!AC20&gt;0,'Section Load'!AC20,0))</f>
        <v>0</v>
      </c>
      <c r="AC17" s="294">
        <f>(IF('Section Load'!AD20&gt;0,'Section Load'!AD20,0))</f>
        <v>165</v>
      </c>
      <c r="AD17" s="294">
        <f>(IF('Section Load'!AE20&gt;0,'Section Load'!AE20,0))</f>
        <v>422</v>
      </c>
      <c r="AE17" s="294">
        <f>(IF('Section Load'!AF20&gt;0,'Section Load'!AF20,0))</f>
        <v>177</v>
      </c>
      <c r="AF17" s="294">
        <f>(IF('Section Load'!AG20&gt;0,'Section Load'!AG20,0))</f>
        <v>518</v>
      </c>
      <c r="AG17" s="294">
        <f>(IF('Section Load'!AH20&gt;0,'Section Load'!AH20,0))</f>
        <v>492</v>
      </c>
      <c r="AH17" s="294">
        <f>(IF('Section Load'!AI20&gt;0,'Section Load'!AI20,0))</f>
        <v>422</v>
      </c>
      <c r="AI17" s="294">
        <f>(IF('Section Load'!AJ20&gt;0,'Section Load'!AJ20,0))</f>
        <v>849</v>
      </c>
      <c r="AJ17" s="294">
        <f>(IF('Section Load'!AK20&gt;0,'Section Load'!AK20,0))</f>
        <v>206</v>
      </c>
      <c r="AK17" s="294">
        <f>(IF('Section Load'!AL20&gt;0,'Section Load'!AL20,0))</f>
        <v>240</v>
      </c>
      <c r="AL17" s="294">
        <f>(IF('Section Load'!AM20&gt;0,'Section Load'!AM20,0))</f>
        <v>890</v>
      </c>
      <c r="AM17" s="295">
        <f>(IF('Water Report'!$S$7&gt;0,'Water Report'!$S$7,0))</f>
        <v>188</v>
      </c>
      <c r="AN17" s="295">
        <f>(IF('Water Report'!$S$8&gt;0,'Water Report'!$S$8,0))</f>
        <v>137</v>
      </c>
      <c r="AO17" s="295">
        <f>(IF('Water Report'!$S$9&gt;0,'Water Report'!$S$9,0))</f>
        <v>112</v>
      </c>
      <c r="AP17" s="295">
        <f>(IF('Water Report'!$S$10&gt;0,'Water Report'!$D$10,0))</f>
        <v>18</v>
      </c>
      <c r="AQ17" s="295">
        <f>(IF('Water Report'!$S$11&gt;0,'Water Report'!$D$11,0))</f>
        <v>79</v>
      </c>
      <c r="AR17" s="295">
        <f>(IF('Water Report'!$S$13&gt;0,'Water Report'!$D$13,0))</f>
        <v>65</v>
      </c>
      <c r="AS17" s="295">
        <f>(IF('Water Report'!$S$14&gt;0,'Water Report'!$D$14,0))</f>
        <v>8</v>
      </c>
      <c r="AT17" s="295">
        <f>(IF('Water Report'!$S$15&gt;0,'Water Report'!$D$15,0))</f>
        <v>7</v>
      </c>
      <c r="AU17" s="295">
        <f>(IF('Water Report'!$S$17&gt;0,'Water Report'!$D$17,0))</f>
        <v>1</v>
      </c>
      <c r="AV17" s="295">
        <f>(IF('Water Report'!$S$18&gt;0,'Water Report'!$D$18,0))</f>
        <v>15</v>
      </c>
      <c r="AW17" s="295">
        <f>(IF('Water Report'!$S$19&gt;0,'Water Report'!$D$19,0))</f>
        <v>11</v>
      </c>
      <c r="AX17" s="301">
        <f>(IF('Water Report'!$S$21&gt;0,'Water Report'!$D$21,0))</f>
        <v>105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8</v>
      </c>
      <c r="BB17" s="301">
        <f>(IF('Water Report'!$S$15&gt;0,'Water Report'!$D$15,0))</f>
        <v>7</v>
      </c>
      <c r="BC17" s="301">
        <f>(IF('Water Report'!$S$13&gt;0,'Water Report'!$D$13,0))</f>
        <v>65</v>
      </c>
      <c r="BD17" s="301">
        <f>(IF('Water Report'!$S$24&gt;0,'Water Report'!$D$24,0))</f>
        <v>331</v>
      </c>
      <c r="BE17" s="301">
        <f>(IF('Water Report'!$S$25&gt;0,'Water Report'!$D$25,0))</f>
        <v>249</v>
      </c>
      <c r="BF17" s="301">
        <f>(IF('Water Report'!$S$27&gt;0,'Water Report'!$D$27,0))</f>
        <v>170</v>
      </c>
      <c r="BG17" s="296">
        <f>(IF('Section Load'!AN20&gt;0,'Section Load'!AN20,0))</f>
        <v>1153</v>
      </c>
      <c r="BH17" s="296">
        <f>(IF('Section Load'!AO20&gt;0,'Section Load'!AO20,0))</f>
        <v>346</v>
      </c>
      <c r="BI17" s="296">
        <f>(IF('Section Load'!AP20&gt;0,'Section Load'!AP20,0))</f>
        <v>0</v>
      </c>
      <c r="BJ17" s="296">
        <f>(IF('Section Load'!AQ20&gt;0,'Section Load'!AQ20,0))</f>
        <v>127</v>
      </c>
      <c r="BK17" s="296">
        <f>(IF('Section Load'!AR20&gt;0,'Section Load'!AR20,0))</f>
        <v>48</v>
      </c>
      <c r="BL17" s="296">
        <f>(IF('Section Load'!AS20&gt;0,'Section Load'!AS20,0))</f>
        <v>0</v>
      </c>
      <c r="BM17" s="296">
        <f>(IF('Section Load'!AT20&gt;0,'Section Load'!AT20,0))</f>
        <v>632</v>
      </c>
    </row>
    <row r="18" spans="1:65">
      <c r="A18" s="287" t="s">
        <v>268</v>
      </c>
      <c r="B18" s="288">
        <f t="shared" si="0"/>
        <v>17</v>
      </c>
      <c r="C18" s="288">
        <v>4</v>
      </c>
      <c r="D18" s="288">
        <v>2022</v>
      </c>
      <c r="E18" s="294">
        <f>(IF('Section Load'!F21&gt;0,'Section Load'!F21,0))</f>
        <v>3966</v>
      </c>
      <c r="F18" s="294">
        <f>(IF('Section Load'!G21&gt;0,'Section Load'!G21,0))</f>
        <v>1602</v>
      </c>
      <c r="G18" s="294">
        <f>(IF('Section Load'!H21&gt;0,'Section Load'!H21,0))</f>
        <v>2369</v>
      </c>
      <c r="H18" s="294">
        <f>(IF('Section Load'!I21&gt;0,'Section Load'!I21,0))</f>
        <v>3351</v>
      </c>
      <c r="I18" s="294">
        <f>(IF('Section Load'!J21&gt;0,'Section Load'!J21,0))</f>
        <v>7873.3</v>
      </c>
      <c r="J18" s="294">
        <f>(IF('Section Load'!K21&gt;0,'Section Load'!K21,0))</f>
        <v>3298</v>
      </c>
      <c r="K18" s="294">
        <f>(IF('Section Load'!L21&gt;0,'Section Load'!L21,0))</f>
        <v>1428</v>
      </c>
      <c r="L18" s="294">
        <f>(IF('Section Load'!M21&gt;0,'Section Load'!M21,0))</f>
        <v>1067</v>
      </c>
      <c r="M18" s="294">
        <f>(IF('Section Load'!N21&gt;0,'Section Load'!N21,0))</f>
        <v>159</v>
      </c>
      <c r="N18" s="294">
        <f>(IF('Section Load'!O21&gt;0,'Section Load'!O21,0))</f>
        <v>150</v>
      </c>
      <c r="O18" s="294">
        <f>(IF('Section Load'!P21&gt;0,'Section Load'!P21,0))</f>
        <v>2</v>
      </c>
      <c r="P18" s="294">
        <f>(IF('Section Load'!Q21&gt;0,'Section Load'!Q21,0))</f>
        <v>201</v>
      </c>
      <c r="Q18" s="294">
        <f>(IF('Section Load'!R21&gt;0,'Section Load'!R21,0))</f>
        <v>59</v>
      </c>
      <c r="R18" s="294">
        <f>(IF('Section Load'!S21&gt;0,'Section Load'!S21,0))</f>
        <v>4</v>
      </c>
      <c r="S18" s="294">
        <f>(IF('Section Load'!T21&gt;0,'Section Load'!T21,0))</f>
        <v>434</v>
      </c>
      <c r="T18" s="294">
        <f>(IF('Section Load'!U21&gt;0,'Section Load'!U21,0))</f>
        <v>256</v>
      </c>
      <c r="U18" s="294">
        <f>(IF('Section Load'!V21&gt;0,'Section Load'!V21,0))</f>
        <v>467</v>
      </c>
      <c r="V18" s="294">
        <f>(IF('Section Load'!W21&gt;0,'Section Load'!W21,0))</f>
        <v>361</v>
      </c>
      <c r="W18" s="294">
        <f>(IF('Section Load'!X21&gt;0,'Section Load'!X21,0))</f>
        <v>28</v>
      </c>
      <c r="X18" s="294">
        <f>(IF('Section Load'!Y21&gt;0,'Section Load'!Y21,0))</f>
        <v>239</v>
      </c>
      <c r="Y18" s="294">
        <f>(IF('Section Load'!Z21&gt;0,'Section Load'!Z21,0))</f>
        <v>278</v>
      </c>
      <c r="Z18" s="294">
        <f>(IF('Section Load'!AA21&gt;0,'Section Load'!AA21,0))</f>
        <v>48</v>
      </c>
      <c r="AA18" s="294">
        <f>(IF('Section Load'!AB21&gt;0,'Section Load'!AB21,0))</f>
        <v>16</v>
      </c>
      <c r="AB18" s="294">
        <f>(IF('Section Load'!AC21&gt;0,'Section Load'!AC21,0))</f>
        <v>10.380000000001019</v>
      </c>
      <c r="AC18" s="294">
        <f>(IF('Section Load'!AD21&gt;0,'Section Load'!AD21,0))</f>
        <v>161</v>
      </c>
      <c r="AD18" s="294">
        <f>(IF('Section Load'!AE21&gt;0,'Section Load'!AE21,0))</f>
        <v>439</v>
      </c>
      <c r="AE18" s="294">
        <f>(IF('Section Load'!AF21&gt;0,'Section Load'!AF21,0))</f>
        <v>171</v>
      </c>
      <c r="AF18" s="294">
        <f>(IF('Section Load'!AG21&gt;0,'Section Load'!AG21,0))</f>
        <v>511</v>
      </c>
      <c r="AG18" s="294">
        <f>(IF('Section Load'!AH21&gt;0,'Section Load'!AH21,0))</f>
        <v>459</v>
      </c>
      <c r="AH18" s="294">
        <f>(IF('Section Load'!AI21&gt;0,'Section Load'!AI21,0))</f>
        <v>419</v>
      </c>
      <c r="AI18" s="294">
        <f>(IF('Section Load'!AJ21&gt;0,'Section Load'!AJ21,0))</f>
        <v>787</v>
      </c>
      <c r="AJ18" s="294">
        <f>(IF('Section Load'!AK21&gt;0,'Section Load'!AK21,0))</f>
        <v>189</v>
      </c>
      <c r="AK18" s="294">
        <f>(IF('Section Load'!AL21&gt;0,'Section Load'!AL21,0))</f>
        <v>248</v>
      </c>
      <c r="AL18" s="294">
        <f>(IF('Section Load'!AM21&gt;0,'Section Load'!AM21,0))</f>
        <v>878</v>
      </c>
      <c r="AM18" s="295">
        <f>(IF('Water Report'!$T$7&gt;0,'Water Report'!$T$7,0))</f>
        <v>174</v>
      </c>
      <c r="AN18" s="295">
        <f>(IF('Water Report'!$T$8&gt;0,'Water Report'!$T$8,0))</f>
        <v>150</v>
      </c>
      <c r="AO18" s="295">
        <f>(IF('Water Report'!$T$9&gt;0,'Water Report'!$T$9,0))</f>
        <v>99</v>
      </c>
      <c r="AP18" s="295">
        <f>(IF('Water Report'!$T$10&gt;0,'Water Report'!$T$10,0))</f>
        <v>24</v>
      </c>
      <c r="AQ18" s="295">
        <f>(IF('Water Report'!$T$11&gt;0,'Water Report'!$T$11,0))</f>
        <v>86</v>
      </c>
      <c r="AR18" s="295">
        <f>(IF('Water Report'!$T$13&gt;0,'Water Report'!$T$13,0))</f>
        <v>22</v>
      </c>
      <c r="AS18" s="295">
        <f>(IF('Water Report'!$T$14&gt;0,'Water Report'!$T$14,0))</f>
        <v>9</v>
      </c>
      <c r="AT18" s="295">
        <f>(IF('Water Report'!$T$15&gt;0,'Water Report'!$T$15,0))</f>
        <v>11</v>
      </c>
      <c r="AU18" s="295">
        <f>(IF('Water Report'!$T$17&gt;0,'Water Report'!$T$17,0))</f>
        <v>0</v>
      </c>
      <c r="AV18" s="295">
        <f>(IF('Water Report'!$T$18&gt;0,'Water Report'!$T$18,0))</f>
        <v>16</v>
      </c>
      <c r="AW18" s="295">
        <f>(IF('Water Report'!$T$19&gt;0,'Water Report'!$T$19,0))</f>
        <v>14</v>
      </c>
      <c r="AX18" s="301">
        <f>(IF('Water Report'!$T$21&gt;0,'Water Report'!$T$21,0))</f>
        <v>107</v>
      </c>
      <c r="AY18" s="301">
        <f>(IF('Water Report'!$T$22&gt;0,'Water Report'!$T$22,0))</f>
        <v>0</v>
      </c>
      <c r="AZ18" s="301">
        <f>(IF('Water Report'!$T$23&gt;0,'Water Report'!$T$23,0))</f>
        <v>21</v>
      </c>
      <c r="BA18" s="301">
        <f>(IF('Water Report'!$T$14&gt;0,'Water Report'!$T$14,0))</f>
        <v>9</v>
      </c>
      <c r="BB18" s="301">
        <f>(IF('Water Report'!$T$15&gt;0,'Water Report'!$T$15,0))</f>
        <v>11</v>
      </c>
      <c r="BC18" s="301">
        <f>(IF('Water Report'!$T$13&gt;0,'Water Report'!$T$13,0))</f>
        <v>22</v>
      </c>
      <c r="BD18" s="301">
        <f>(IF('Water Report'!$T$24&gt;0,'Water Report'!$T$24,0))</f>
        <v>270</v>
      </c>
      <c r="BE18" s="301">
        <f>(IF('Water Report'!$T$25&gt;0,'Water Report'!$T$25,0))</f>
        <v>229</v>
      </c>
      <c r="BF18" s="301">
        <f>(IF('Water Report'!$T$27&gt;0,'Water Report'!$T$27,0))</f>
        <v>150</v>
      </c>
      <c r="BG18" s="296">
        <f>(IF('Section Load'!AN21&gt;0,'Section Load'!AN21,0))</f>
        <v>1081</v>
      </c>
      <c r="BH18" s="296">
        <f>(IF('Section Load'!AO21&gt;0,'Section Load'!AO21,0))</f>
        <v>346</v>
      </c>
      <c r="BI18" s="296">
        <f>(IF('Section Load'!AP21&gt;0,'Section Load'!AP21,0))</f>
        <v>0</v>
      </c>
      <c r="BJ18" s="296">
        <f>(IF('Section Load'!AQ21&gt;0,'Section Load'!AQ21,0))</f>
        <v>119</v>
      </c>
      <c r="BK18" s="296">
        <f>(IF('Section Load'!AR21&gt;0,'Section Load'!AR21,0))</f>
        <v>59</v>
      </c>
      <c r="BL18" s="296">
        <f>(IF('Section Load'!AS21&gt;0,'Section Load'!AS21,0))</f>
        <v>0</v>
      </c>
      <c r="BM18" s="296">
        <f>(IF('Section Load'!AT21&gt;0,'Section Load'!AT21,0))</f>
        <v>557</v>
      </c>
    </row>
    <row r="19" spans="1:65">
      <c r="A19" s="287" t="s">
        <v>268</v>
      </c>
      <c r="B19" s="288">
        <f t="shared" si="0"/>
        <v>18</v>
      </c>
      <c r="C19" s="288">
        <v>4</v>
      </c>
      <c r="D19" s="288">
        <v>2022</v>
      </c>
      <c r="E19" s="294">
        <f>(IF('Section Load'!F22&gt;0,'Section Load'!F22,0))</f>
        <v>3926</v>
      </c>
      <c r="F19" s="294">
        <f>(IF('Section Load'!G22&gt;0,'Section Load'!G22,0))</f>
        <v>1696</v>
      </c>
      <c r="G19" s="294">
        <f>(IF('Section Load'!H22&gt;0,'Section Load'!H22,0))</f>
        <v>2295</v>
      </c>
      <c r="H19" s="294">
        <f>(IF('Section Load'!I22&gt;0,'Section Load'!I22,0))</f>
        <v>3285</v>
      </c>
      <c r="I19" s="294">
        <f>(IF('Section Load'!J22&gt;0,'Section Load'!J22,0))</f>
        <v>7242</v>
      </c>
      <c r="J19" s="294">
        <f>(IF('Section Load'!K22&gt;0,'Section Load'!K22,0))</f>
        <v>3303</v>
      </c>
      <c r="K19" s="294">
        <f>(IF('Section Load'!L22&gt;0,'Section Load'!L22,0))</f>
        <v>1432</v>
      </c>
      <c r="L19" s="294">
        <f>(IF('Section Load'!M22&gt;0,'Section Load'!M22,0))</f>
        <v>1020</v>
      </c>
      <c r="M19" s="294">
        <f>(IF('Section Load'!N22&gt;0,'Section Load'!N22,0))</f>
        <v>159</v>
      </c>
      <c r="N19" s="294">
        <f>(IF('Section Load'!O22&gt;0,'Section Load'!O22,0))</f>
        <v>147</v>
      </c>
      <c r="O19" s="294">
        <f>(IF('Section Load'!P22&gt;0,'Section Load'!P22,0))</f>
        <v>1</v>
      </c>
      <c r="P19" s="294">
        <f>(IF('Section Load'!Q22&gt;0,'Section Load'!Q22,0))</f>
        <v>191</v>
      </c>
      <c r="Q19" s="294">
        <f>(IF('Section Load'!R22&gt;0,'Section Load'!R22,0))</f>
        <v>61</v>
      </c>
      <c r="R19" s="294">
        <f>(IF('Section Load'!S22&gt;0,'Section Load'!S22,0))</f>
        <v>2</v>
      </c>
      <c r="S19" s="294">
        <f>(IF('Section Load'!T22&gt;0,'Section Load'!T22,0))</f>
        <v>443</v>
      </c>
      <c r="T19" s="294">
        <f>(IF('Section Load'!U22&gt;0,'Section Load'!U22,0))</f>
        <v>252</v>
      </c>
      <c r="U19" s="294">
        <f>(IF('Section Load'!V22&gt;0,'Section Load'!V22,0))</f>
        <v>412</v>
      </c>
      <c r="V19" s="294">
        <f>(IF('Section Load'!W22&gt;0,'Section Load'!W22,0))</f>
        <v>351</v>
      </c>
      <c r="W19" s="294">
        <f>(IF('Section Load'!X22&gt;0,'Section Load'!X22,0))</f>
        <v>25</v>
      </c>
      <c r="X19" s="294">
        <f>(IF('Section Load'!Y22&gt;0,'Section Load'!Y22,0))</f>
        <v>241</v>
      </c>
      <c r="Y19" s="294">
        <f>(IF('Section Load'!Z22&gt;0,'Section Load'!Z22,0))</f>
        <v>277</v>
      </c>
      <c r="Z19" s="294">
        <f>(IF('Section Load'!AA22&gt;0,'Section Load'!AA22,0))</f>
        <v>206</v>
      </c>
      <c r="AA19" s="294">
        <f>(IF('Section Load'!AB22&gt;0,'Section Load'!AB22,0))</f>
        <v>36</v>
      </c>
      <c r="AB19" s="294">
        <f>(IF('Section Load'!AC22&gt;0,'Section Load'!AC22,0))</f>
        <v>8.6199999999989814</v>
      </c>
      <c r="AC19" s="294">
        <f>(IF('Section Load'!AD22&gt;0,'Section Load'!AD22,0))</f>
        <v>170</v>
      </c>
      <c r="AD19" s="294">
        <f>(IF('Section Load'!AE22&gt;0,'Section Load'!AE22,0))</f>
        <v>416</v>
      </c>
      <c r="AE19" s="294">
        <f>(IF('Section Load'!AF22&gt;0,'Section Load'!AF22,0))</f>
        <v>229</v>
      </c>
      <c r="AF19" s="294">
        <f>(IF('Section Load'!AG22&gt;0,'Section Load'!AG22,0))</f>
        <v>542</v>
      </c>
      <c r="AG19" s="294">
        <f>(IF('Section Load'!AH22&gt;0,'Section Load'!AH22,0))</f>
        <v>398</v>
      </c>
      <c r="AH19" s="294">
        <f>(IF('Section Load'!AI22&gt;0,'Section Load'!AI22,0))</f>
        <v>415</v>
      </c>
      <c r="AI19" s="294">
        <f>(IF('Section Load'!AJ22&gt;0,'Section Load'!AJ22,0))</f>
        <v>763</v>
      </c>
      <c r="AJ19" s="294">
        <f>(IF('Section Load'!AK22&gt;0,'Section Load'!AK22,0))</f>
        <v>195</v>
      </c>
      <c r="AK19" s="294">
        <f>(IF('Section Load'!AL22&gt;0,'Section Load'!AL22,0))</f>
        <v>254</v>
      </c>
      <c r="AL19" s="294">
        <f>(IF('Section Load'!AM22&gt;0,'Section Load'!AM22,0))</f>
        <v>888</v>
      </c>
      <c r="AM19" s="295">
        <f>(IF('Water Report'!$U$7&gt;0,'Water Report'!$U$7,0))</f>
        <v>147</v>
      </c>
      <c r="AN19" s="295">
        <f>(IF('Water Report'!$U$8&gt;0,'Water Report'!$U$8,0))</f>
        <v>144</v>
      </c>
      <c r="AO19" s="295">
        <f>(IF('Water Report'!$U$9&gt;0,'Water Report'!$U$9,0))</f>
        <v>116</v>
      </c>
      <c r="AP19" s="295">
        <f>(IF('Water Report'!$U$10&gt;0,'Water Report'!$U$10,0))</f>
        <v>12</v>
      </c>
      <c r="AQ19" s="295">
        <f>(IF('Water Report'!$U$11&gt;0,'Water Report'!$U$11,0))</f>
        <v>69</v>
      </c>
      <c r="AR19" s="295">
        <f>(IF('Water Report'!$U$13&gt;0,'Water Report'!$U$13,0))</f>
        <v>16</v>
      </c>
      <c r="AS19" s="295">
        <f>(IF('Water Report'!$U$14&gt;0,'Water Report'!$U$14,0))</f>
        <v>6</v>
      </c>
      <c r="AT19" s="295">
        <f>(IF('Water Report'!$U$15&gt;0,'Water Report'!$U$15,0))</f>
        <v>7</v>
      </c>
      <c r="AU19" s="295">
        <f>(IF('Water Report'!$U$17&gt;0,'Water Report'!$U$17,0))</f>
        <v>1</v>
      </c>
      <c r="AV19" s="295">
        <f>(IF('Water Report'!$U$18&gt;0,'Water Report'!$U$18,0))</f>
        <v>16</v>
      </c>
      <c r="AW19" s="295">
        <f>(IF('Water Report'!$U$19&gt;0,'Water Report'!$U$19,0))</f>
        <v>14</v>
      </c>
      <c r="AX19" s="301">
        <f>(IF('Water Report'!$U$21&gt;0,'Water Report'!$U$21,0))</f>
        <v>106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6</v>
      </c>
      <c r="BB19" s="301">
        <f>(IF('Water Report'!$U$15&gt;0,'Water Report'!$U$15,0))</f>
        <v>7</v>
      </c>
      <c r="BC19" s="301">
        <f>(IF('Water Report'!$U$13&gt;0,'Water Report'!$U$13,0))</f>
        <v>16</v>
      </c>
      <c r="BD19" s="301">
        <f>(IF('Water Report'!$U$24&gt;0,'Water Report'!$U$24,0))</f>
        <v>255</v>
      </c>
      <c r="BE19" s="301">
        <f>(IF('Water Report'!$U$25&gt;0,'Water Report'!$U$25,0))</f>
        <v>210</v>
      </c>
      <c r="BF19" s="301">
        <f>(IF('Water Report'!$U$27&gt;0,'Water Report'!$U$27,0))</f>
        <v>125</v>
      </c>
      <c r="BG19" s="296">
        <f>(IF('Section Load'!AN22&gt;0,'Section Load'!AN22,0))</f>
        <v>1092</v>
      </c>
      <c r="BH19" s="296">
        <f>(IF('Section Load'!AO22&gt;0,'Section Load'!AO22,0))</f>
        <v>314</v>
      </c>
      <c r="BI19" s="296">
        <f>(IF('Section Load'!AP22&gt;0,'Section Load'!AP22,0))</f>
        <v>0</v>
      </c>
      <c r="BJ19" s="296">
        <f>(IF('Section Load'!AQ22&gt;0,'Section Load'!AQ22,0))</f>
        <v>114</v>
      </c>
      <c r="BK19" s="296">
        <f>(IF('Section Load'!AR22&gt;0,'Section Load'!AR22,0))</f>
        <v>45</v>
      </c>
      <c r="BL19" s="296">
        <f>(IF('Section Load'!AS22&gt;0,'Section Load'!AS22,0))</f>
        <v>0</v>
      </c>
      <c r="BM19" s="296">
        <f>(IF('Section Load'!AT22&gt;0,'Section Load'!AT22,0))</f>
        <v>619</v>
      </c>
    </row>
    <row r="20" spans="1:65">
      <c r="A20" s="287" t="s">
        <v>268</v>
      </c>
      <c r="B20" s="288">
        <f t="shared" si="0"/>
        <v>19</v>
      </c>
      <c r="C20" s="288">
        <v>4</v>
      </c>
      <c r="D20" s="288">
        <v>2022</v>
      </c>
      <c r="E20" s="294">
        <f>(IF('Section Load'!F23&gt;0,'Section Load'!F23,0))</f>
        <v>3887</v>
      </c>
      <c r="F20" s="294">
        <f>(IF('Section Load'!G23&gt;0,'Section Load'!G23,0))</f>
        <v>1723</v>
      </c>
      <c r="G20" s="294">
        <f>(IF('Section Load'!H23&gt;0,'Section Load'!H23,0))</f>
        <v>2295</v>
      </c>
      <c r="H20" s="294">
        <f>(IF('Section Load'!I23&gt;0,'Section Load'!I23,0))</f>
        <v>3229</v>
      </c>
      <c r="I20" s="294">
        <f>(IF('Section Load'!J23&gt;0,'Section Load'!J23,0))</f>
        <v>5840</v>
      </c>
      <c r="J20" s="294">
        <f>(IF('Section Load'!K23&gt;0,'Section Load'!K23,0))</f>
        <v>3310</v>
      </c>
      <c r="K20" s="294">
        <f>(IF('Section Load'!L23&gt;0,'Section Load'!L23,0))</f>
        <v>1258</v>
      </c>
      <c r="L20" s="294">
        <f>(IF('Section Load'!M23&gt;0,'Section Load'!M23,0))</f>
        <v>1171</v>
      </c>
      <c r="M20" s="294">
        <f>(IF('Section Load'!N23&gt;0,'Section Load'!N23,0))</f>
        <v>158</v>
      </c>
      <c r="N20" s="294">
        <f>(IF('Section Load'!O23&gt;0,'Section Load'!O23,0))</f>
        <v>152</v>
      </c>
      <c r="O20" s="294">
        <f>(IF('Section Load'!P23&gt;0,'Section Load'!P23,0))</f>
        <v>1</v>
      </c>
      <c r="P20" s="294">
        <f>(IF('Section Load'!Q23&gt;0,'Section Load'!Q23,0))</f>
        <v>201</v>
      </c>
      <c r="Q20" s="294">
        <f>(IF('Section Load'!R23&gt;0,'Section Load'!R23,0))</f>
        <v>60</v>
      </c>
      <c r="R20" s="294">
        <f>(IF('Section Load'!S23&gt;0,'Section Load'!S23,0))</f>
        <v>4</v>
      </c>
      <c r="S20" s="294">
        <f>(IF('Section Load'!T23&gt;0,'Section Load'!T23,0))</f>
        <v>460</v>
      </c>
      <c r="T20" s="294">
        <f>(IF('Section Load'!U23&gt;0,'Section Load'!U23,0))</f>
        <v>241</v>
      </c>
      <c r="U20" s="294">
        <f>(IF('Section Load'!V23&gt;0,'Section Load'!V23,0))</f>
        <v>424</v>
      </c>
      <c r="V20" s="294">
        <f>(IF('Section Load'!W23&gt;0,'Section Load'!W23,0))</f>
        <v>402</v>
      </c>
      <c r="W20" s="294">
        <f>(IF('Section Load'!X23&gt;0,'Section Load'!X23,0))</f>
        <v>28</v>
      </c>
      <c r="X20" s="294">
        <f>(IF('Section Load'!Y23&gt;0,'Section Load'!Y23,0))</f>
        <v>248</v>
      </c>
      <c r="Y20" s="294">
        <f>(IF('Section Load'!Z23&gt;0,'Section Load'!Z23,0))</f>
        <v>286</v>
      </c>
      <c r="Z20" s="294">
        <f>(IF('Section Load'!AA23&gt;0,'Section Load'!AA23,0))</f>
        <v>159</v>
      </c>
      <c r="AA20" s="294">
        <f>(IF('Section Load'!AB23&gt;0,'Section Load'!AB23,0))</f>
        <v>42</v>
      </c>
      <c r="AB20" s="294">
        <f>(IF('Section Load'!AC23&gt;0,'Section Load'!AC23,0))</f>
        <v>10</v>
      </c>
      <c r="AC20" s="294">
        <f>(IF('Section Load'!AD23&gt;0,'Section Load'!AD23,0))</f>
        <v>152</v>
      </c>
      <c r="AD20" s="294">
        <f>(IF('Section Load'!AE23&gt;0,'Section Load'!AE23,0))</f>
        <v>431</v>
      </c>
      <c r="AE20" s="294">
        <f>(IF('Section Load'!AF23&gt;0,'Section Load'!AF23,0))</f>
        <v>165</v>
      </c>
      <c r="AF20" s="294">
        <f>(IF('Section Load'!AG23&gt;0,'Section Load'!AG23,0))</f>
        <v>521</v>
      </c>
      <c r="AG20" s="294">
        <f>(IF('Section Load'!AH23&gt;0,'Section Load'!AH23,0))</f>
        <v>433</v>
      </c>
      <c r="AH20" s="294">
        <f>(IF('Section Load'!AI23&gt;0,'Section Load'!AI23,0))</f>
        <v>407</v>
      </c>
      <c r="AI20" s="294">
        <f>(IF('Section Load'!AJ23&gt;0,'Section Load'!AJ23,0))</f>
        <v>816</v>
      </c>
      <c r="AJ20" s="294">
        <f>(IF('Section Load'!AK23&gt;0,'Section Load'!AK23,0))</f>
        <v>211</v>
      </c>
      <c r="AK20" s="294">
        <f>(IF('Section Load'!AL23&gt;0,'Section Load'!AL23,0))</f>
        <v>252</v>
      </c>
      <c r="AL20" s="294">
        <f>(IF('Section Load'!AM23&gt;0,'Section Load'!AM23,0))</f>
        <v>877</v>
      </c>
      <c r="AM20" s="295">
        <f>(IF('Water Report'!$V$7&gt;0,'Water Report'!$V$7,0))</f>
        <v>183</v>
      </c>
      <c r="AN20" s="295">
        <f>(IF('Water Report'!$V$8&gt;0,'Water Report'!$V$8,0))</f>
        <v>154</v>
      </c>
      <c r="AO20" s="295">
        <f>(IF('Water Report'!$V$9&gt;0,'Water Report'!$V$9,0))</f>
        <v>127</v>
      </c>
      <c r="AP20" s="295">
        <f>(IF('Water Report'!$V$10&gt;0,'Water Report'!$V$10,0))</f>
        <v>12</v>
      </c>
      <c r="AQ20" s="295">
        <f>(IF('Water Report'!$V$11&gt;0,'Water Report'!$V$11,0))</f>
        <v>63</v>
      </c>
      <c r="AR20" s="295">
        <f>(IF('Water Report'!$V$13&gt;0,'Water Report'!$V$13,0))</f>
        <v>17</v>
      </c>
      <c r="AS20" s="295">
        <f>(IF('Water Report'!$V$14&gt;0,'Water Report'!$V$14,0))</f>
        <v>9</v>
      </c>
      <c r="AT20" s="295">
        <f>(IF('Water Report'!$V$15&gt;0,'Water Report'!$V$15,0))</f>
        <v>11</v>
      </c>
      <c r="AU20" s="295">
        <f>(IF('Water Report'!$V$17&gt;0,'Water Report'!$V$17,0))</f>
        <v>0</v>
      </c>
      <c r="AV20" s="295">
        <f>(IF('Water Report'!$V$18&gt;0,'Water Report'!$V$18,0))</f>
        <v>18</v>
      </c>
      <c r="AW20" s="295">
        <f>(IF('Water Report'!$V$19&gt;0,'Water Report'!$V$19,0))</f>
        <v>14</v>
      </c>
      <c r="AX20" s="301">
        <f>(IF('Water Report'!$V$21&gt;0,'Water Report'!$V$21,0))</f>
        <v>86</v>
      </c>
      <c r="AY20" s="301">
        <f>(IF('Water Report'!$V$22&gt;0,'Water Report'!$V$22,0))</f>
        <v>0</v>
      </c>
      <c r="AZ20" s="301">
        <f>(IF('Water Report'!$V$23&gt;0,'Water Report'!$V$23,0))</f>
        <v>6</v>
      </c>
      <c r="BA20" s="301">
        <f>(IF('Water Report'!$V$14&gt;0,'Water Report'!$V$14,0))</f>
        <v>9</v>
      </c>
      <c r="BB20" s="301">
        <f>(IF('Water Report'!$V$15&gt;0,'Water Report'!$V$15,0))</f>
        <v>11</v>
      </c>
      <c r="BC20" s="301">
        <f>(IF('Water Report'!$V$13&gt;0,'Water Report'!$V$13,0))</f>
        <v>17</v>
      </c>
      <c r="BD20" s="301">
        <f>(IF('Water Report'!$V$24&gt;0,'Water Report'!$V$24,0))</f>
        <v>274</v>
      </c>
      <c r="BE20" s="301">
        <f>(IF('Water Report'!$V$25&gt;0,'Water Report'!$V$25,0))</f>
        <v>222</v>
      </c>
      <c r="BF20" s="301">
        <f>(IF('Water Report'!$V$27&gt;0,'Water Report'!$V$27,0))</f>
        <v>109</v>
      </c>
      <c r="BG20" s="296">
        <f>(IF('Section Load'!AN23&gt;0,'Section Load'!AN23,0))</f>
        <v>1090</v>
      </c>
      <c r="BH20" s="296">
        <f>(IF('Section Load'!AO23&gt;0,'Section Load'!AO23,0))</f>
        <v>331</v>
      </c>
      <c r="BI20" s="296">
        <f>(IF('Section Load'!AP23&gt;0,'Section Load'!AP23,0))</f>
        <v>0</v>
      </c>
      <c r="BJ20" s="296">
        <f>(IF('Section Load'!AQ23&gt;0,'Section Load'!AQ23,0))</f>
        <v>99</v>
      </c>
      <c r="BK20" s="296">
        <f>(IF('Section Load'!AR23&gt;0,'Section Load'!AR23,0))</f>
        <v>47</v>
      </c>
      <c r="BL20" s="296">
        <f>(IF('Section Load'!AS23&gt;0,'Section Load'!AS23,0))</f>
        <v>0</v>
      </c>
      <c r="BM20" s="296">
        <f>(IF('Section Load'!AT23&gt;0,'Section Load'!AT23,0))</f>
        <v>613</v>
      </c>
    </row>
    <row r="21" spans="1:65">
      <c r="A21" s="287" t="s">
        <v>268</v>
      </c>
      <c r="B21" s="288">
        <f t="shared" si="0"/>
        <v>20</v>
      </c>
      <c r="C21" s="288">
        <v>4</v>
      </c>
      <c r="D21" s="288">
        <v>2022</v>
      </c>
      <c r="E21" s="294">
        <f>(IF('Section Load'!F24&gt;0,'Section Load'!F24,0))</f>
        <v>4020.4599999999919</v>
      </c>
      <c r="F21" s="294">
        <f>(IF('Section Load'!G24&gt;0,'Section Load'!G24,0))</f>
        <v>1793.1700000000128</v>
      </c>
      <c r="G21" s="294">
        <f>(IF('Section Load'!H24&gt;0,'Section Load'!H24,0))</f>
        <v>2268.9100000000035</v>
      </c>
      <c r="H21" s="294">
        <f>(IF('Section Load'!I24&gt;0,'Section Load'!I24,0))</f>
        <v>3276.3699999999953</v>
      </c>
      <c r="I21" s="294">
        <f>(IF('Section Load'!J24&gt;0,'Section Load'!J24,0))</f>
        <v>6519.3600000000151</v>
      </c>
      <c r="J21" s="294">
        <f>(IF('Section Load'!K24&gt;0,'Section Load'!K24,0))</f>
        <v>3343.6500000000233</v>
      </c>
      <c r="K21" s="294">
        <f>(IF('Section Load'!L24&gt;0,'Section Load'!L24,0))</f>
        <v>1170.4200000000128</v>
      </c>
      <c r="L21" s="294">
        <f>(IF('Section Load'!M24&gt;0,'Section Load'!M24,0))</f>
        <v>912.80999999999767</v>
      </c>
      <c r="M21" s="294">
        <f>(IF('Section Load'!N24&gt;0,'Section Load'!N24,0))</f>
        <v>154</v>
      </c>
      <c r="N21" s="294">
        <f>(IF('Section Load'!O24&gt;0,'Section Load'!O24,0))</f>
        <v>127</v>
      </c>
      <c r="O21" s="294">
        <f>(IF('Section Load'!P24&gt;0,'Section Load'!P24,0))</f>
        <v>1</v>
      </c>
      <c r="P21" s="294">
        <f>(IF('Section Load'!Q24&gt;0,'Section Load'!Q24,0))</f>
        <v>186.19000000000233</v>
      </c>
      <c r="Q21" s="294">
        <f>(IF('Section Load'!R24&gt;0,'Section Load'!R24,0))</f>
        <v>60.930000000000291</v>
      </c>
      <c r="R21" s="294">
        <f>(IF('Section Load'!S24&gt;0,'Section Load'!S24,0))</f>
        <v>3.8000000000001819</v>
      </c>
      <c r="S21" s="294">
        <f>(IF('Section Load'!T24&gt;0,'Section Load'!T24,0))</f>
        <v>545</v>
      </c>
      <c r="T21" s="294">
        <f>(IF('Section Load'!U24&gt;0,'Section Load'!U24,0))</f>
        <v>229</v>
      </c>
      <c r="U21" s="294">
        <f>(IF('Section Load'!V24&gt;0,'Section Load'!V24,0))</f>
        <v>402.28000000002794</v>
      </c>
      <c r="V21" s="294">
        <f>(IF('Section Load'!W24&gt;0,'Section Load'!W24,0))</f>
        <v>320.47999999998137</v>
      </c>
      <c r="W21" s="294">
        <f>(IF('Section Load'!X24&gt;0,'Section Load'!X24,0))</f>
        <v>31.279999999999745</v>
      </c>
      <c r="X21" s="294">
        <f>(IF('Section Load'!Y24&gt;0,'Section Load'!Y24,0))</f>
        <v>205.5</v>
      </c>
      <c r="Y21" s="294">
        <f>(IF('Section Load'!Z24&gt;0,'Section Load'!Z24,0))</f>
        <v>280</v>
      </c>
      <c r="Z21" s="294">
        <f>(IF('Section Load'!AA24&gt;0,'Section Load'!AA24,0))</f>
        <v>18.840000000025611</v>
      </c>
      <c r="AA21" s="294">
        <f>(IF('Section Load'!AB24&gt;0,'Section Load'!AB24,0))</f>
        <v>45.899999999994179</v>
      </c>
      <c r="AB21" s="294">
        <f>(IF('Section Load'!AC24&gt;0,'Section Load'!AC24,0))</f>
        <v>0</v>
      </c>
      <c r="AC21" s="294">
        <f>(IF('Section Load'!AD24&gt;0,'Section Load'!AD24,0))</f>
        <v>164.60000000000582</v>
      </c>
      <c r="AD21" s="294">
        <f>(IF('Section Load'!AE24&gt;0,'Section Load'!AE24,0))</f>
        <v>416.27000000000044</v>
      </c>
      <c r="AE21" s="294">
        <f>(IF('Section Load'!AF24&gt;0,'Section Load'!AF24,0))</f>
        <v>145.88999999999942</v>
      </c>
      <c r="AF21" s="294">
        <f>(IF('Section Load'!AG24&gt;0,'Section Load'!AG24,0))</f>
        <v>534.23</v>
      </c>
      <c r="AG21" s="294">
        <f>(IF('Section Load'!AH24&gt;0,'Section Load'!AH24,0))</f>
        <v>457.43000000000006</v>
      </c>
      <c r="AH21" s="294">
        <f>(IF('Section Load'!AI24&gt;0,'Section Load'!AI24,0))</f>
        <v>401.03999999999996</v>
      </c>
      <c r="AI21" s="294">
        <f>(IF('Section Load'!AJ24&gt;0,'Section Load'!AJ24,0))</f>
        <v>837.5</v>
      </c>
      <c r="AJ21" s="294">
        <f>(IF('Section Load'!AK24&gt;0,'Section Load'!AK24,0))</f>
        <v>242.30999999999995</v>
      </c>
      <c r="AK21" s="294">
        <f>(IF('Section Load'!AL24&gt;0,'Section Load'!AL24,0))</f>
        <v>257.17000000001281</v>
      </c>
      <c r="AL21" s="294">
        <f>(IF('Section Load'!AM24&gt;0,'Section Load'!AM24,0))</f>
        <v>973.17999999999302</v>
      </c>
      <c r="AM21" s="295">
        <f>(IF('Water Report'!$W$7&gt;0,'Water Report'!$W$7,0))</f>
        <v>164</v>
      </c>
      <c r="AN21" s="295">
        <f>(IF('Water Report'!$W$8&gt;0,'Water Report'!$W$8,0))</f>
        <v>154</v>
      </c>
      <c r="AO21" s="295">
        <f>(IF('Water Report'!$W$9&gt;0,'Water Report'!$W$9,0))</f>
        <v>97</v>
      </c>
      <c r="AP21" s="295">
        <f>(IF('Water Report'!$W$10&gt;0,'Water Report'!$W$10,0))</f>
        <v>14</v>
      </c>
      <c r="AQ21" s="295">
        <f>(IF('Water Report'!$W$11&gt;0,'Water Report'!$W$11,0))</f>
        <v>94</v>
      </c>
      <c r="AR21" s="295">
        <f>(IF('Water Report'!$W$13&gt;0,'Water Report'!$W$13,0))</f>
        <v>33</v>
      </c>
      <c r="AS21" s="295">
        <f>(IF('Water Report'!$W$14&gt;0,'Water Report'!$W$14,0))</f>
        <v>6</v>
      </c>
      <c r="AT21" s="295">
        <f>(IF('Water Report'!$W$15&gt;0,'Water Report'!$W$15,0))</f>
        <v>17</v>
      </c>
      <c r="AU21" s="295">
        <f>(IF('Water Report'!$W$17&gt;0,'Water Report'!$W$17,0))</f>
        <v>73</v>
      </c>
      <c r="AV21" s="295">
        <f>(IF('Water Report'!$W$18&gt;0,'Water Report'!$W$18,0))</f>
        <v>14</v>
      </c>
      <c r="AW21" s="295">
        <f>(IF('Water Report'!$W$19&gt;0,'Water Report'!$W$19,0))</f>
        <v>11</v>
      </c>
      <c r="AX21" s="301">
        <f>(IF('Water Report'!$W$21&gt;0,'Water Report'!$W$21,0))</f>
        <v>107</v>
      </c>
      <c r="AY21" s="301">
        <f>(IF('Water Report'!$W$22&gt;0,'Water Report'!$W$22,0))</f>
        <v>0</v>
      </c>
      <c r="AZ21" s="301">
        <f>(IF('Water Report'!$W$23&gt;0,'Water Report'!$W$23,0))</f>
        <v>15</v>
      </c>
      <c r="BA21" s="301">
        <f>(IF('Water Report'!$W$14&gt;0,'Water Report'!$W$14,0))</f>
        <v>6</v>
      </c>
      <c r="BB21" s="301">
        <f>(IF('Water Report'!$W$15&gt;0,'Water Report'!$W$15,0))</f>
        <v>17</v>
      </c>
      <c r="BC21" s="301">
        <f>(IF('Water Report'!$W$13&gt;0,'Water Report'!$W$13,0))</f>
        <v>33</v>
      </c>
      <c r="BD21" s="301">
        <f>(IF('Water Report'!$W$24&gt;0,'Water Report'!$W$24,0))</f>
        <v>307</v>
      </c>
      <c r="BE21" s="301">
        <f>(IF('Water Report'!$W$25&gt;0,'Water Report'!$W$25,0))</f>
        <v>228</v>
      </c>
      <c r="BF21" s="301">
        <f>(IF('Water Report'!$W$27&gt;0,'Water Report'!$W$27,0))</f>
        <v>155</v>
      </c>
      <c r="BG21" s="296">
        <f>(IF('Section Load'!AN24&gt;0,'Section Load'!AN24,0))</f>
        <v>1090.6999999999534</v>
      </c>
      <c r="BH21" s="296">
        <f>(IF('Section Load'!AO24&gt;0,'Section Load'!AO24,0))</f>
        <v>333.11999999999534</v>
      </c>
      <c r="BI21" s="296">
        <f>(IF('Section Load'!AP24&gt;0,'Section Load'!AP24,0))</f>
        <v>0</v>
      </c>
      <c r="BJ21" s="296">
        <f>(IF('Section Load'!AQ24&gt;0,'Section Load'!AQ24,0))</f>
        <v>125.57999999998719</v>
      </c>
      <c r="BK21" s="296">
        <f>(IF('Section Load'!AR24&gt;0,'Section Load'!AR24,0))</f>
        <v>50.5</v>
      </c>
      <c r="BL21" s="296">
        <f>(IF('Section Load'!AS24&gt;0,'Section Load'!AS24,0))</f>
        <v>0</v>
      </c>
      <c r="BM21" s="296">
        <f>(IF('Section Load'!AT24&gt;0,'Section Load'!AT24,0))</f>
        <v>581.4999999999709</v>
      </c>
    </row>
    <row r="22" spans="1:65">
      <c r="A22" s="287" t="s">
        <v>268</v>
      </c>
      <c r="B22" s="288">
        <f t="shared" si="0"/>
        <v>21</v>
      </c>
      <c r="C22" s="288">
        <v>4</v>
      </c>
      <c r="D22" s="288">
        <v>2022</v>
      </c>
      <c r="E22" s="294">
        <f>(IF('Section Load'!F25&gt;0,'Section Load'!F25,0))</f>
        <v>4041.6199999999953</v>
      </c>
      <c r="F22" s="294">
        <f>(IF('Section Load'!G25&gt;0,'Section Load'!G25,0))</f>
        <v>1751.9499999999825</v>
      </c>
      <c r="G22" s="294">
        <f>(IF('Section Load'!H25&gt;0,'Section Load'!H25,0))</f>
        <v>2476.7799999999988</v>
      </c>
      <c r="H22" s="294">
        <f>(IF('Section Load'!I25&gt;0,'Section Load'!I25,0))</f>
        <v>3181.3800000000047</v>
      </c>
      <c r="I22" s="294">
        <f>(IF('Section Load'!J25&gt;0,'Section Load'!J25,0))</f>
        <v>7678.4199999999837</v>
      </c>
      <c r="J22" s="294">
        <f>(IF('Section Load'!K25&gt;0,'Section Load'!K25,0))</f>
        <v>3448.6199999999953</v>
      </c>
      <c r="K22" s="294">
        <f>(IF('Section Load'!L25&gt;0,'Section Load'!L25,0))</f>
        <v>1720.7299999999814</v>
      </c>
      <c r="L22" s="294">
        <f>(IF('Section Load'!M25&gt;0,'Section Load'!M25,0))</f>
        <v>1318.2200000000012</v>
      </c>
      <c r="M22" s="294">
        <f>(IF('Section Load'!N25&gt;0,'Section Load'!N25,0))</f>
        <v>139</v>
      </c>
      <c r="N22" s="294">
        <f>(IF('Section Load'!O25&gt;0,'Section Load'!O25,0))</f>
        <v>191</v>
      </c>
      <c r="O22" s="294">
        <f>(IF('Section Load'!P25&gt;0,'Section Load'!P25,0))</f>
        <v>3.8999999999941792</v>
      </c>
      <c r="P22" s="294">
        <f>(IF('Section Load'!Q25&gt;0,'Section Load'!Q25,0))</f>
        <v>202.19000000000233</v>
      </c>
      <c r="Q22" s="294">
        <f>(IF('Section Load'!R25&gt;0,'Section Load'!R25,0))</f>
        <v>57.380000000001019</v>
      </c>
      <c r="R22" s="294">
        <f>(IF('Section Load'!S25&gt;0,'Section Load'!S25,0))</f>
        <v>2.8000000000001819</v>
      </c>
      <c r="S22" s="294">
        <f>(IF('Section Load'!T25&gt;0,'Section Load'!T25,0))</f>
        <v>426</v>
      </c>
      <c r="T22" s="294">
        <f>(IF('Section Load'!U25&gt;0,'Section Load'!U25,0))</f>
        <v>232</v>
      </c>
      <c r="U22" s="294">
        <f>(IF('Section Load'!V25&gt;0,'Section Load'!V25,0))</f>
        <v>465.67999999993481</v>
      </c>
      <c r="V22" s="294">
        <f>(IF('Section Load'!W25&gt;0,'Section Load'!W25,0))</f>
        <v>430.95999999996275</v>
      </c>
      <c r="W22" s="294">
        <f>(IF('Section Load'!X25&gt;0,'Section Load'!X25,0))</f>
        <v>33.010000000000218</v>
      </c>
      <c r="X22" s="294">
        <f>(IF('Section Load'!Y25&gt;0,'Section Load'!Y25,0))</f>
        <v>238.88000000000102</v>
      </c>
      <c r="Y22" s="294">
        <f>(IF('Section Load'!Z25&gt;0,'Section Load'!Z25,0))</f>
        <v>299</v>
      </c>
      <c r="Z22" s="294">
        <f>(IF('Section Load'!AA25&gt;0,'Section Load'!AA25,0))</f>
        <v>23.159999999974389</v>
      </c>
      <c r="AA22" s="294">
        <f>(IF('Section Load'!AB25&gt;0,'Section Load'!AB25,0))</f>
        <v>41.5</v>
      </c>
      <c r="AB22" s="294">
        <f>(IF('Section Load'!AC25&gt;0,'Section Load'!AC25,0))</f>
        <v>0</v>
      </c>
      <c r="AC22" s="294">
        <f>(IF('Section Load'!AD25&gt;0,'Section Load'!AD25,0))</f>
        <v>172.69999999999163</v>
      </c>
      <c r="AD22" s="294">
        <f>(IF('Section Load'!AE25&gt;0,'Section Load'!AE25,0))</f>
        <v>361.59999999999854</v>
      </c>
      <c r="AE22" s="294">
        <f>(IF('Section Load'!AF25&gt;0,'Section Load'!AF25,0))</f>
        <v>200.35000000000218</v>
      </c>
      <c r="AF22" s="294">
        <f>(IF('Section Load'!AG25&gt;0,'Section Load'!AG25,0))</f>
        <v>542.90000000000009</v>
      </c>
      <c r="AG22" s="294">
        <f>(IF('Section Load'!AH25&gt;0,'Section Load'!AH25,0))</f>
        <v>447.01</v>
      </c>
      <c r="AH22" s="294">
        <f>(IF('Section Load'!AI25&gt;0,'Section Load'!AI25,0))</f>
        <v>396.61999999999989</v>
      </c>
      <c r="AI22" s="294">
        <f>(IF('Section Load'!AJ25&gt;0,'Section Load'!AJ25,0))</f>
        <v>749.89000000000033</v>
      </c>
      <c r="AJ22" s="294">
        <f>(IF('Section Load'!AK25&gt;0,'Section Load'!AK25,0))</f>
        <v>187.71000000000004</v>
      </c>
      <c r="AK22" s="294">
        <f>(IF('Section Load'!AL25&gt;0,'Section Load'!AL25,0))</f>
        <v>247.13999999998487</v>
      </c>
      <c r="AL22" s="294">
        <f>(IF('Section Load'!AM25&gt;0,'Section Load'!AM25,0))</f>
        <v>956.41000000000349</v>
      </c>
      <c r="AM22" s="295">
        <f>(IF('Water Report'!$X$7&gt;0,'Water Report'!$X$7,0))</f>
        <v>194</v>
      </c>
      <c r="AN22" s="295">
        <f>(IF('Water Report'!$X$8&gt;0,'Water Report'!$X$8,0))</f>
        <v>183</v>
      </c>
      <c r="AO22" s="295">
        <f>(IF('Water Report'!$X$9&gt;0,'Water Report'!$X$9,0))</f>
        <v>124</v>
      </c>
      <c r="AP22" s="295">
        <f>(IF('Water Report'!$X$10&gt;0,'Water Report'!$X$10,0))</f>
        <v>17</v>
      </c>
      <c r="AQ22" s="295">
        <f>(IF('Water Report'!$X$11&gt;0,'Water Report'!$X$11,0))</f>
        <v>78</v>
      </c>
      <c r="AR22" s="295">
        <f>(IF('Water Report'!$X$13&gt;0,'Water Report'!$X$13,0))</f>
        <v>95</v>
      </c>
      <c r="AS22" s="295">
        <f>(IF('Water Report'!$X$14&gt;0,'Water Report'!$X$14,0))</f>
        <v>15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107</v>
      </c>
      <c r="AY22" s="301">
        <f>(IF('Water Report'!$X$22&gt;0,'Water Report'!$X$22,0))</f>
        <v>17</v>
      </c>
      <c r="AZ22" s="301">
        <f>(IF('Water Report'!$X$23&gt;0,'Water Report'!$X$23,0))</f>
        <v>3</v>
      </c>
      <c r="BA22" s="301">
        <f>(IF('Water Report'!$X$14&gt;0,'Water Report'!$X$14,0))</f>
        <v>15</v>
      </c>
      <c r="BB22" s="301">
        <f>(IF('Water Report'!$X$15&gt;0,'Water Report'!$X$15,0))</f>
        <v>8</v>
      </c>
      <c r="BC22" s="301">
        <f>(IF('Water Report'!$X$13&gt;0,'Water Report'!$X$13,0))</f>
        <v>95</v>
      </c>
      <c r="BD22" s="301">
        <f>(IF('Water Report'!$X$24&gt;0,'Water Report'!$X$24,0))</f>
        <v>277</v>
      </c>
      <c r="BE22" s="301">
        <f>(IF('Water Report'!$X$25&gt;0,'Water Report'!$X$25,0))</f>
        <v>242</v>
      </c>
      <c r="BF22" s="301">
        <f>(IF('Water Report'!$X$27&gt;0,'Water Report'!$X$27,0))</f>
        <v>205</v>
      </c>
      <c r="BG22" s="296">
        <f>(IF('Section Load'!AN25&gt;0,'Section Load'!AN25,0))</f>
        <v>1136.9899999999907</v>
      </c>
      <c r="BH22" s="296">
        <f>(IF('Section Load'!AO25&gt;0,'Section Load'!AO25,0))</f>
        <v>311.35999999998603</v>
      </c>
      <c r="BI22" s="296">
        <f>(IF('Section Load'!AP25&gt;0,'Section Load'!AP25,0))</f>
        <v>0</v>
      </c>
      <c r="BJ22" s="296">
        <f>(IF('Section Load'!AQ25&gt;0,'Section Load'!AQ25,0))</f>
        <v>124.24000000001979</v>
      </c>
      <c r="BK22" s="296">
        <f>(IF('Section Load'!AR25&gt;0,'Section Load'!AR25,0))</f>
        <v>42.400000000001455</v>
      </c>
      <c r="BL22" s="296">
        <f>(IF('Section Load'!AS25&gt;0,'Section Load'!AS25,0))</f>
        <v>0</v>
      </c>
      <c r="BM22" s="296">
        <f>(IF('Section Load'!AT25&gt;0,'Section Load'!AT25,0))</f>
        <v>658.98999999998341</v>
      </c>
    </row>
    <row r="23" spans="1:65">
      <c r="A23" s="287" t="s">
        <v>268</v>
      </c>
      <c r="B23" s="288">
        <f t="shared" si="0"/>
        <v>22</v>
      </c>
      <c r="C23" s="288">
        <v>4</v>
      </c>
      <c r="D23" s="288">
        <v>2022</v>
      </c>
      <c r="E23" s="294">
        <f>(IF('Section Load'!F26&gt;0,'Section Load'!F26,0))</f>
        <v>3924.460000000021</v>
      </c>
      <c r="F23" s="294">
        <f>(IF('Section Load'!G26&gt;0,'Section Load'!G26,0))</f>
        <v>1773.3300000000163</v>
      </c>
      <c r="G23" s="294">
        <f>(IF('Section Load'!H26&gt;0,'Section Load'!H26,0))</f>
        <v>2323.6000000000058</v>
      </c>
      <c r="H23" s="294">
        <f>(IF('Section Load'!I26&gt;0,'Section Load'!I26,0))</f>
        <v>3155.179999999993</v>
      </c>
      <c r="I23" s="294">
        <f>(IF('Section Load'!J26&gt;0,'Section Load'!J26,0))</f>
        <v>8506.1299999999756</v>
      </c>
      <c r="J23" s="294">
        <f>(IF('Section Load'!K26&gt;0,'Section Load'!K26,0))</f>
        <v>3471.6199999999953</v>
      </c>
      <c r="K23" s="294">
        <f>(IF('Section Load'!L26&gt;0,'Section Load'!L26,0))</f>
        <v>1197.1199999999953</v>
      </c>
      <c r="L23" s="294">
        <f>(IF('Section Load'!M26&gt;0,'Section Load'!M26,0))</f>
        <v>1008.9499999999971</v>
      </c>
      <c r="M23" s="294">
        <f>(IF('Section Load'!N26&gt;0,'Section Load'!N26,0))</f>
        <v>137</v>
      </c>
      <c r="N23" s="294">
        <f>(IF('Section Load'!O26&gt;0,'Section Load'!O26,0))</f>
        <v>166</v>
      </c>
      <c r="O23" s="294">
        <f>(IF('Section Load'!P26&gt;0,'Section Load'!P26,0))</f>
        <v>1.5</v>
      </c>
      <c r="P23" s="294">
        <f>(IF('Section Load'!Q26&gt;0,'Section Load'!Q26,0))</f>
        <v>203.27999999999884</v>
      </c>
      <c r="Q23" s="294">
        <f>(IF('Section Load'!R26&gt;0,'Section Load'!R26,0))</f>
        <v>62.109999999996944</v>
      </c>
      <c r="R23" s="294">
        <f>(IF('Section Load'!S26&gt;0,'Section Load'!S26,0))</f>
        <v>2.4399999999995998</v>
      </c>
      <c r="S23" s="294">
        <f>(IF('Section Load'!T26&gt;0,'Section Load'!T26,0))</f>
        <v>483</v>
      </c>
      <c r="T23" s="294">
        <f>(IF('Section Load'!U26&gt;0,'Section Load'!U26,0))</f>
        <v>230</v>
      </c>
      <c r="U23" s="294">
        <f>(IF('Section Load'!V26&gt;0,'Section Load'!V26,0))</f>
        <v>423.20000000006985</v>
      </c>
      <c r="V23" s="294">
        <f>(IF('Section Load'!W26&gt;0,'Section Load'!W26,0))</f>
        <v>329.04000000003725</v>
      </c>
      <c r="W23" s="294">
        <f>(IF('Section Load'!X26&gt;0,'Section Load'!X26,0))</f>
        <v>27.869999999999891</v>
      </c>
      <c r="X23" s="294">
        <f>(IF('Section Load'!Y26&gt;0,'Section Load'!Y26,0))</f>
        <v>217.97999999999956</v>
      </c>
      <c r="Y23" s="294">
        <f>(IF('Section Load'!Z26&gt;0,'Section Load'!Z26,0))</f>
        <v>262</v>
      </c>
      <c r="Z23" s="294">
        <f>(IF('Section Load'!AA26&gt;0,'Section Load'!AA26,0))</f>
        <v>23.840000000025611</v>
      </c>
      <c r="AA23" s="294">
        <f>(IF('Section Load'!AB26&gt;0,'Section Load'!AB26,0))</f>
        <v>36.30000000000291</v>
      </c>
      <c r="AB23" s="294">
        <f>(IF('Section Load'!AC26&gt;0,'Section Load'!AC26,0))</f>
        <v>0</v>
      </c>
      <c r="AC23" s="294">
        <f>(IF('Section Load'!AD26&gt;0,'Section Load'!AD26,0))</f>
        <v>186.19999999999982</v>
      </c>
      <c r="AD23" s="294">
        <f>(IF('Section Load'!AE26&gt;0,'Section Load'!AE26,0))</f>
        <v>281.47999999999956</v>
      </c>
      <c r="AE23" s="294">
        <f>(IF('Section Load'!AF26&gt;0,'Section Load'!AF26,0))</f>
        <v>133.87999999999738</v>
      </c>
      <c r="AF23" s="294">
        <f>(IF('Section Load'!AG26&gt;0,'Section Load'!AG26,0))</f>
        <v>553.6899999999996</v>
      </c>
      <c r="AG23" s="294">
        <f>(IF('Section Load'!AH26&gt;0,'Section Load'!AH26,0))</f>
        <v>462.67999999999984</v>
      </c>
      <c r="AH23" s="294">
        <f>(IF('Section Load'!AI26&gt;0,'Section Load'!AI26,0))</f>
        <v>409.77</v>
      </c>
      <c r="AI23" s="294">
        <f>(IF('Section Load'!AJ26&gt;0,'Section Load'!AJ26,0))</f>
        <v>798.35999999999967</v>
      </c>
      <c r="AJ23" s="294">
        <f>(IF('Section Load'!AK26&gt;0,'Section Load'!AK26,0))</f>
        <v>203.30999999999995</v>
      </c>
      <c r="AK23" s="294">
        <f>(IF('Section Load'!AL26&gt;0,'Section Load'!AL26,0))</f>
        <v>244.22000000000116</v>
      </c>
      <c r="AL23" s="294">
        <f>(IF('Section Load'!AM26&gt;0,'Section Load'!AM26,0))</f>
        <v>905.19000000000233</v>
      </c>
      <c r="AM23" s="295">
        <f>(IF('Water Report'!$Y$7&gt;0,'Water Report'!$Y$7,0))</f>
        <v>170</v>
      </c>
      <c r="AN23" s="295">
        <f>(IF('Water Report'!$Y$8&gt;0,'Water Report'!$Y$8,0))</f>
        <v>140</v>
      </c>
      <c r="AO23" s="295">
        <f>(IF('Water Report'!$Y$9&gt;0,'Water Report'!$Y$9,0))</f>
        <v>116</v>
      </c>
      <c r="AP23" s="295">
        <f>(IF('Water Report'!$Y$10&gt;0,'Water Report'!$Y$10,0))</f>
        <v>13</v>
      </c>
      <c r="AQ23" s="295">
        <f>(IF('Water Report'!$Y$11&gt;0,'Water Report'!$Y$11,0))</f>
        <v>82</v>
      </c>
      <c r="AR23" s="295">
        <f>(IF('Water Report'!$Y$13&gt;0,'Water Report'!$Y$13,0))</f>
        <v>58</v>
      </c>
      <c r="AS23" s="295">
        <f>(IF('Water Report'!$Y$14&gt;0,'Water Report'!$Y$14,0))</f>
        <v>12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12</v>
      </c>
      <c r="AX23" s="301">
        <f>(IF('Water Report'!$Y$21&gt;0,'Water Report'!$Y$21,0))</f>
        <v>85</v>
      </c>
      <c r="AY23" s="301">
        <f>(IF('Water Report'!$Y$22&gt;0,'Water Report'!$Y$22,0))</f>
        <v>5</v>
      </c>
      <c r="AZ23" s="301">
        <f>(IF('Water Report'!$Y$23&gt;0,'Water Report'!$Y$23,0))</f>
        <v>4</v>
      </c>
      <c r="BA23" s="301">
        <f>(IF('Water Report'!$Y$14&gt;0,'Water Report'!$Y$14,0))</f>
        <v>12</v>
      </c>
      <c r="BB23" s="301">
        <f>(IF('Water Report'!$Y$15&gt;0,'Water Report'!$Y$15,0))</f>
        <v>6</v>
      </c>
      <c r="BC23" s="301">
        <f>(IF('Water Report'!$Y$13&gt;0,'Water Report'!$Y$13,0))</f>
        <v>58</v>
      </c>
      <c r="BD23" s="301">
        <f>(IF('Water Report'!$Y$24&gt;0,'Water Report'!$Y$24,0))</f>
        <v>296</v>
      </c>
      <c r="BE23" s="301">
        <f>(IF('Water Report'!$Y$25&gt;0,'Water Report'!$Y$25,0))</f>
        <v>229</v>
      </c>
      <c r="BF23" s="301">
        <f>(IF('Water Report'!$Y$27&gt;0,'Water Report'!$Y$27,0))</f>
        <v>147</v>
      </c>
      <c r="BG23" s="296">
        <f>(IF('Section Load'!AN26&gt;0,'Section Load'!AN26,0))</f>
        <v>1078.8900000001304</v>
      </c>
      <c r="BH23" s="296">
        <f>(IF('Section Load'!AO26&gt;0,'Section Load'!AO26,0))</f>
        <v>321.5</v>
      </c>
      <c r="BI23" s="296">
        <f>(IF('Section Load'!AP26&gt;0,'Section Load'!AP26,0))</f>
        <v>0</v>
      </c>
      <c r="BJ23" s="296">
        <f>(IF('Section Load'!AQ26&gt;0,'Section Load'!AQ26,0))</f>
        <v>114.86999999999534</v>
      </c>
      <c r="BK23" s="296">
        <f>(IF('Section Load'!AR26&gt;0,'Section Load'!AR26,0))</f>
        <v>54.400000000001455</v>
      </c>
      <c r="BL23" s="296">
        <f>(IF('Section Load'!AS26&gt;0,'Section Load'!AS26,0))</f>
        <v>0</v>
      </c>
      <c r="BM23" s="296">
        <f>(IF('Section Load'!AT26&gt;0,'Section Load'!AT26,0))</f>
        <v>588.12000000013359</v>
      </c>
    </row>
    <row r="24" spans="1:65">
      <c r="A24" s="287" t="s">
        <v>268</v>
      </c>
      <c r="B24" s="288">
        <f t="shared" si="0"/>
        <v>23</v>
      </c>
      <c r="C24" s="288">
        <v>4</v>
      </c>
      <c r="D24" s="288">
        <v>2022</v>
      </c>
      <c r="E24" s="294">
        <f>(IF('Section Load'!F27&gt;0,'Section Load'!F27,0))</f>
        <v>3923.4200000000128</v>
      </c>
      <c r="F24" s="294">
        <f>(IF('Section Load'!G27&gt;0,'Section Load'!G27,0))</f>
        <v>1861.7399999999907</v>
      </c>
      <c r="G24" s="294">
        <f>(IF('Section Load'!H27&gt;0,'Section Load'!H27,0))</f>
        <v>2416.6600000000035</v>
      </c>
      <c r="H24" s="294">
        <f>(IF('Section Load'!I27&gt;0,'Section Load'!I27,0))</f>
        <v>3156.7999999999884</v>
      </c>
      <c r="I24" s="294">
        <f>(IF('Section Load'!J27&gt;0,'Section Load'!J27,0))</f>
        <v>9799.2200000000503</v>
      </c>
      <c r="J24" s="294">
        <f>(IF('Section Load'!K27&gt;0,'Section Load'!K27,0))</f>
        <v>3760.5599999999977</v>
      </c>
      <c r="K24" s="294">
        <f>(IF('Section Load'!L27&gt;0,'Section Load'!L27,0))</f>
        <v>1403.3300000000163</v>
      </c>
      <c r="L24" s="294">
        <f>(IF('Section Load'!M27&gt;0,'Section Load'!M27,0))</f>
        <v>1296.0200000000041</v>
      </c>
      <c r="M24" s="294">
        <f>(IF('Section Load'!N27&gt;0,'Section Load'!N27,0))</f>
        <v>181</v>
      </c>
      <c r="N24" s="294">
        <f>(IF('Section Load'!O27&gt;0,'Section Load'!O27,0))</f>
        <v>145</v>
      </c>
      <c r="O24" s="294">
        <f>(IF('Section Load'!P27&gt;0,'Section Load'!P27,0))</f>
        <v>1.6000000000058208</v>
      </c>
      <c r="P24" s="294">
        <f>(IF('Section Load'!Q27&gt;0,'Section Load'!Q27,0))</f>
        <v>207.75</v>
      </c>
      <c r="Q24" s="294">
        <f>(IF('Section Load'!R27&gt;0,'Section Load'!R27,0))</f>
        <v>63.070000000003347</v>
      </c>
      <c r="R24" s="294">
        <f>(IF('Section Load'!S27&gt;0,'Section Load'!S27,0))</f>
        <v>2.3400000000001455</v>
      </c>
      <c r="S24" s="294">
        <f>(IF('Section Load'!T27&gt;0,'Section Load'!T27,0))</f>
        <v>501</v>
      </c>
      <c r="T24" s="294">
        <f>(IF('Section Load'!U27&gt;0,'Section Load'!U27,0))</f>
        <v>206</v>
      </c>
      <c r="U24" s="294">
        <f>(IF('Section Load'!V27&gt;0,'Section Load'!V27,0))</f>
        <v>488.8399999999674</v>
      </c>
      <c r="V24" s="294">
        <f>(IF('Section Load'!W27&gt;0,'Section Load'!W27,0))</f>
        <v>443.04000000003725</v>
      </c>
      <c r="W24" s="294">
        <f>(IF('Section Load'!X27&gt;0,'Section Load'!X27,0))</f>
        <v>31.210000000000036</v>
      </c>
      <c r="X24" s="294">
        <f>(IF('Section Load'!Y27&gt;0,'Section Load'!Y27,0))</f>
        <v>232.84000000000015</v>
      </c>
      <c r="Y24" s="294">
        <f>(IF('Section Load'!Z27&gt;0,'Section Load'!Z27,0))</f>
        <v>296</v>
      </c>
      <c r="Z24" s="294">
        <f>(IF('Section Load'!AA27&gt;0,'Section Load'!AA27,0))</f>
        <v>23.479999999981374</v>
      </c>
      <c r="AA24" s="294">
        <f>(IF('Section Load'!AB27&gt;0,'Section Load'!AB27,0))</f>
        <v>18.100000000005821</v>
      </c>
      <c r="AB24" s="294">
        <f>(IF('Section Load'!AC27&gt;0,'Section Load'!AC27,0))</f>
        <v>7.6300000000010186</v>
      </c>
      <c r="AC24" s="294">
        <f>(IF('Section Load'!AD27&gt;0,'Section Load'!AD27,0))</f>
        <v>159.50000000000546</v>
      </c>
      <c r="AD24" s="294">
        <f>(IF('Section Load'!AE27&gt;0,'Section Load'!AE27,0))</f>
        <v>400.2400000000016</v>
      </c>
      <c r="AE24" s="294">
        <f>(IF('Section Load'!AF27&gt;0,'Section Load'!AF27,0))</f>
        <v>89.880000000001019</v>
      </c>
      <c r="AF24" s="294">
        <f>(IF('Section Load'!AG27&gt;0,'Section Load'!AG27,0))</f>
        <v>524.18000000000029</v>
      </c>
      <c r="AG24" s="294">
        <f>(IF('Section Load'!AH27&gt;0,'Section Load'!AH27,0))</f>
        <v>454.90000000000009</v>
      </c>
      <c r="AH24" s="294">
        <f>(IF('Section Load'!AI27&gt;0,'Section Load'!AI27,0))</f>
        <v>417.91000000000031</v>
      </c>
      <c r="AI24" s="294">
        <f>(IF('Section Load'!AJ27&gt;0,'Section Load'!AJ27,0))</f>
        <v>813.14999999999964</v>
      </c>
      <c r="AJ24" s="294">
        <f>(IF('Section Load'!AK27&gt;0,'Section Load'!AK27,0))</f>
        <v>241.22000000000025</v>
      </c>
      <c r="AK24" s="294">
        <f>(IF('Section Load'!AL27&gt;0,'Section Load'!AL27,0))</f>
        <v>284</v>
      </c>
      <c r="AL24" s="294">
        <f>(IF('Section Load'!AM27&gt;0,'Section Load'!AM27,0))</f>
        <v>987.52999999999884</v>
      </c>
      <c r="AM24" s="295">
        <f>(IF('Water Report'!$Z$7&gt;0,'Water Report'!$Z$7,0))</f>
        <v>211</v>
      </c>
      <c r="AN24" s="295">
        <f>(IF('Water Report'!$Z$8&gt;0,'Water Report'!$Z$8,0))</f>
        <v>153</v>
      </c>
      <c r="AO24" s="295">
        <f>(IF('Water Report'!$Z$9&gt;0,'Water Report'!$Z$9,0))</f>
        <v>150</v>
      </c>
      <c r="AP24" s="295">
        <f>(IF('Water Report'!$Z$10&gt;0,'Water Report'!$Z$10,0))</f>
        <v>17</v>
      </c>
      <c r="AQ24" s="295">
        <f>(IF('Water Report'!$Z$11&gt;0,'Water Report'!$Z$11,0))</f>
        <v>89</v>
      </c>
      <c r="AR24" s="295">
        <f>(IF('Water Report'!$Z$13&gt;0,'Water Report'!$Z$13,0))</f>
        <v>70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6</v>
      </c>
      <c r="AV24" s="295">
        <f>(IF('Water Report'!$Z$18&gt;0,'Water Report'!$Z$18,0))</f>
        <v>13</v>
      </c>
      <c r="AW24" s="295">
        <f>(IF('Water Report'!$Z$19&gt;0,'Water Report'!$Z$19,0))</f>
        <v>13</v>
      </c>
      <c r="AX24" s="301">
        <f>(IF('Water Report'!$Z$21&gt;0,'Water Report'!$Z$21,0))</f>
        <v>107</v>
      </c>
      <c r="AY24" s="301">
        <f>(IF('Water Report'!$Z$22&gt;0,'Water Report'!$Z$22,0))</f>
        <v>7</v>
      </c>
      <c r="AZ24" s="301">
        <f>(IF('Water Report'!$Z$23&gt;0,'Water Report'!$Z$23,0))</f>
        <v>9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70</v>
      </c>
      <c r="BD24" s="301">
        <f>(IF('Water Report'!$Z$24&gt;0,'Water Report'!$Z$24,0))</f>
        <v>291</v>
      </c>
      <c r="BE24" s="301">
        <f>(IF('Water Report'!$Z$25&gt;0,'Water Report'!$Z$25,0))</f>
        <v>272</v>
      </c>
      <c r="BF24" s="301">
        <f>(IF('Water Report'!$Z$27&gt;0,'Water Report'!$Z$27,0))</f>
        <v>186</v>
      </c>
      <c r="BG24" s="296">
        <f>(IF('Section Load'!AN27&gt;0,'Section Load'!AN27,0))</f>
        <v>1118.1399999998976</v>
      </c>
      <c r="BH24" s="296">
        <f>(IF('Section Load'!AO27&gt;0,'Section Load'!AO27,0))</f>
        <v>318.35999999998603</v>
      </c>
      <c r="BI24" s="296">
        <f>(IF('Section Load'!AP27&gt;0,'Section Load'!AP27,0))</f>
        <v>0</v>
      </c>
      <c r="BJ24" s="296">
        <f>(IF('Section Load'!AQ27&gt;0,'Section Load'!AQ27,0))</f>
        <v>121.41000000000349</v>
      </c>
      <c r="BK24" s="296">
        <f>(IF('Section Load'!AR27&gt;0,'Section Load'!AR27,0))</f>
        <v>57.69999999999709</v>
      </c>
      <c r="BL24" s="296">
        <f>(IF('Section Load'!AS27&gt;0,'Section Load'!AS27,0))</f>
        <v>0</v>
      </c>
      <c r="BM24" s="296">
        <f>(IF('Section Load'!AT27&gt;0,'Section Load'!AT27,0))</f>
        <v>620.66999999991094</v>
      </c>
    </row>
    <row r="25" spans="1:65">
      <c r="A25" s="287" t="s">
        <v>268</v>
      </c>
      <c r="B25" s="288">
        <f t="shared" si="0"/>
        <v>24</v>
      </c>
      <c r="C25" s="288">
        <v>4</v>
      </c>
      <c r="D25" s="288">
        <v>2022</v>
      </c>
      <c r="E25" s="294">
        <f>(IF('Section Load'!F28&gt;0,'Section Load'!F28,0))</f>
        <v>3918.0599999999977</v>
      </c>
      <c r="F25" s="294">
        <f>(IF('Section Load'!G28&gt;0,'Section Load'!G28,0))</f>
        <v>1735.3999999999942</v>
      </c>
      <c r="G25" s="294">
        <f>(IF('Section Load'!H28&gt;0,'Section Load'!H28,0))</f>
        <v>2360.7799999999788</v>
      </c>
      <c r="H25" s="294">
        <f>(IF('Section Load'!I28&gt;0,'Section Load'!I28,0))</f>
        <v>3178.3800000000047</v>
      </c>
      <c r="I25" s="294">
        <f>(IF('Section Load'!J28&gt;0,'Section Load'!J28,0))</f>
        <v>10213.349999999973</v>
      </c>
      <c r="J25" s="294">
        <f>(IF('Section Load'!K28&gt;0,'Section Load'!K28,0))</f>
        <v>3676.7799999999697</v>
      </c>
      <c r="K25" s="294">
        <f>(IF('Section Load'!L28&gt;0,'Section Load'!L28,0))</f>
        <v>1356.2699999999895</v>
      </c>
      <c r="L25" s="294">
        <f>(IF('Section Load'!M28&gt;0,'Section Load'!M28,0))</f>
        <v>1272.2700000000041</v>
      </c>
      <c r="M25" s="294">
        <f>(IF('Section Load'!N28&gt;0,'Section Load'!N28,0))</f>
        <v>177</v>
      </c>
      <c r="N25" s="294">
        <f>(IF('Section Load'!O28&gt;0,'Section Load'!O28,0))</f>
        <v>143</v>
      </c>
      <c r="O25" s="294">
        <f>(IF('Section Load'!P28&gt;0,'Section Load'!P28,0))</f>
        <v>0</v>
      </c>
      <c r="P25" s="294">
        <f>(IF('Section Load'!Q28&gt;0,'Section Load'!Q28,0))</f>
        <v>222.22999999999593</v>
      </c>
      <c r="Q25" s="294">
        <f>(IF('Section Load'!R28&gt;0,'Section Load'!R28,0))</f>
        <v>56.819999999999709</v>
      </c>
      <c r="R25" s="294">
        <f>(IF('Section Load'!S28&gt;0,'Section Load'!S28,0))</f>
        <v>3.4899999999997817</v>
      </c>
      <c r="S25" s="294">
        <f>(IF('Section Load'!T28&gt;0,'Section Load'!T28,0))</f>
        <v>383</v>
      </c>
      <c r="T25" s="294">
        <f>(IF('Section Load'!U28&gt;0,'Section Load'!U28,0))</f>
        <v>215</v>
      </c>
      <c r="U25" s="294">
        <f>(IF('Section Load'!V28&gt;0,'Section Load'!V28,0))</f>
        <v>468.52000000001863</v>
      </c>
      <c r="V25" s="294">
        <f>(IF('Section Load'!W28&gt;0,'Section Load'!W28,0))</f>
        <v>478.31999999994878</v>
      </c>
      <c r="W25" s="294">
        <f>(IF('Section Load'!X28&gt;0,'Section Load'!X28,0))</f>
        <v>29.829999999999927</v>
      </c>
      <c r="X25" s="294">
        <f>(IF('Section Load'!Y28&gt;0,'Section Load'!Y28,0))</f>
        <v>240.5</v>
      </c>
      <c r="Y25" s="294">
        <f>(IF('Section Load'!Z28&gt;0,'Section Load'!Z28,0))</f>
        <v>292</v>
      </c>
      <c r="Z25" s="294">
        <f>(IF('Section Load'!AA28&gt;0,'Section Load'!AA28,0))</f>
        <v>24.320000000006985</v>
      </c>
      <c r="AA25" s="294">
        <f>(IF('Section Load'!AB28&gt;0,'Section Load'!AB28,0))</f>
        <v>11.30000000000291</v>
      </c>
      <c r="AB25" s="294">
        <f>(IF('Section Load'!AC28&gt;0,'Section Load'!AC28,0))</f>
        <v>4.6899999999986903</v>
      </c>
      <c r="AC25" s="294">
        <f>(IF('Section Load'!AD28&gt;0,'Section Load'!AD28,0))</f>
        <v>164.89999999999145</v>
      </c>
      <c r="AD25" s="294">
        <f>(IF('Section Load'!AE28&gt;0,'Section Load'!AE28,0))</f>
        <v>423.40999999999985</v>
      </c>
      <c r="AE25" s="294">
        <f>(IF('Section Load'!AF28&gt;0,'Section Load'!AF28,0))</f>
        <v>130.66999999999825</v>
      </c>
      <c r="AF25" s="294">
        <f>(IF('Section Load'!AG28&gt;0,'Section Load'!AG28,0))</f>
        <v>529.70100000000002</v>
      </c>
      <c r="AG25" s="294">
        <f>(IF('Section Load'!AH28&gt;0,'Section Load'!AH28,0))</f>
        <v>448.2199999999998</v>
      </c>
      <c r="AH25" s="294">
        <f>(IF('Section Load'!AI28&gt;0,'Section Load'!AI28,0))</f>
        <v>423.94999999999982</v>
      </c>
      <c r="AI25" s="294">
        <f>(IF('Section Load'!AJ28&gt;0,'Section Load'!AJ28,0))</f>
        <v>780.67000000000007</v>
      </c>
      <c r="AJ25" s="294">
        <f>(IF('Section Load'!AK28&gt;0,'Section Load'!AK28,0))</f>
        <v>200.15999999999985</v>
      </c>
      <c r="AK25" s="294">
        <f>(IF('Section Load'!AL28&gt;0,'Section Load'!AL28,0))</f>
        <v>5.8100000000000023</v>
      </c>
      <c r="AL25" s="294">
        <f>(IF('Section Load'!AM28&gt;0,'Section Load'!AM28,0))</f>
        <v>952.64999999999418</v>
      </c>
      <c r="AM25" s="295">
        <f>(IF('Water Report'!$AA$7&gt;0,'Water Report'!$AA$7,0))</f>
        <v>196</v>
      </c>
      <c r="AN25" s="295">
        <f>(IF('Water Report'!$AA$8&gt;0,'Water Report'!$AA$8,0))</f>
        <v>123</v>
      </c>
      <c r="AO25" s="295">
        <f>(IF('Water Report'!$AA$9&gt;0,'Water Report'!$AA$9,0))</f>
        <v>94</v>
      </c>
      <c r="AP25" s="295">
        <f>(IF('Water Report'!$AA$10&gt;0,'Water Report'!$AA$10,0))</f>
        <v>20</v>
      </c>
      <c r="AQ25" s="295">
        <f>(IF('Water Report'!$AA$11&gt;0,'Water Report'!$AA$11,0))</f>
        <v>83</v>
      </c>
      <c r="AR25" s="295">
        <f>(IF('Water Report'!$AA$13&gt;0,'Water Report'!$AA$13,0))</f>
        <v>55</v>
      </c>
      <c r="AS25" s="295">
        <f>(IF('Water Report'!$AA$14&gt;0,'Water Report'!$AA$14,0))</f>
        <v>10</v>
      </c>
      <c r="AT25" s="295">
        <f>(IF('Water Report'!$AA$15&gt;0,'Water Report'!$AA$15,0))</f>
        <v>17</v>
      </c>
      <c r="AU25" s="295">
        <f>(IF('Water Report'!$AA$17&gt;0,'Water Report'!$AA$17,0))</f>
        <v>0</v>
      </c>
      <c r="AV25" s="295">
        <f>(IF('Water Report'!$AA$18&gt;0,'Water Report'!$AA$18,0))</f>
        <v>29</v>
      </c>
      <c r="AW25" s="295">
        <f>(IF('Water Report'!$AA$19&gt;0,'Water Report'!$AA$19,0))</f>
        <v>12</v>
      </c>
      <c r="AX25" s="301">
        <f>(IF('Water Report'!$AA$21&gt;0,'Water Report'!$AA$21,0))</f>
        <v>107</v>
      </c>
      <c r="AY25" s="301">
        <f>(IF('Water Report'!$AA$22&gt;0,'Water Report'!$AA$22,0))</f>
        <v>0</v>
      </c>
      <c r="AZ25" s="301">
        <f>(IF('Water Report'!$AA$23&gt;0,'Water Report'!$AA$23,0))</f>
        <v>3</v>
      </c>
      <c r="BA25" s="301">
        <f>(IF('Water Report'!$AA$14&gt;0,'Water Report'!$AA$14,0))</f>
        <v>10</v>
      </c>
      <c r="BB25" s="301">
        <f>(IF('Water Report'!$AA$15&gt;0,'Water Report'!$AA$15,0))</f>
        <v>17</v>
      </c>
      <c r="BC25" s="301">
        <f>(IF('Water Report'!$AA$13&gt;0,'Water Report'!$AA$13,0))</f>
        <v>55</v>
      </c>
      <c r="BD25" s="301">
        <f>(IF('Water Report'!$AA$24&gt;0,'Water Report'!$AA$24,0))</f>
        <v>307</v>
      </c>
      <c r="BE25" s="301">
        <f>(IF('Water Report'!$AA$25&gt;0,'Water Report'!$AA$25,0))</f>
        <v>224</v>
      </c>
      <c r="BF25" s="301">
        <f>(IF('Water Report'!$AA$27&gt;0,'Water Report'!$AA$27,0))</f>
        <v>165</v>
      </c>
      <c r="BG25" s="296">
        <f>(IF('Section Load'!AN28&gt;0,'Section Load'!AN28,0))</f>
        <v>1099.2700000000186</v>
      </c>
      <c r="BH25" s="296">
        <f>(IF('Section Load'!AO28&gt;0,'Section Load'!AO28,0))</f>
        <v>292.45000000006985</v>
      </c>
      <c r="BI25" s="296">
        <f>(IF('Section Load'!AP28&gt;0,'Section Load'!AP28,0))</f>
        <v>0</v>
      </c>
      <c r="BJ25" s="296">
        <f>(IF('Section Load'!AQ28&gt;0,'Section Load'!AQ28,0))</f>
        <v>143.79999999998836</v>
      </c>
      <c r="BK25" s="296">
        <f>(IF('Section Load'!AR28&gt;0,'Section Load'!AR28,0))</f>
        <v>50.19999999999709</v>
      </c>
      <c r="BL25" s="296">
        <f>(IF('Section Load'!AS28&gt;0,'Section Load'!AS28,0))</f>
        <v>0</v>
      </c>
      <c r="BM25" s="296">
        <f>(IF('Section Load'!AT28&gt;0,'Section Load'!AT28,0))</f>
        <v>613.41999999996369</v>
      </c>
    </row>
    <row r="26" spans="1:65">
      <c r="A26" s="287" t="s">
        <v>268</v>
      </c>
      <c r="B26" s="288">
        <f>B25+1</f>
        <v>25</v>
      </c>
      <c r="C26" s="288">
        <v>4</v>
      </c>
      <c r="D26" s="288">
        <v>2022</v>
      </c>
      <c r="E26" s="294">
        <f>(IF('Section Load'!F29&gt;0,'Section Load'!F29,0))</f>
        <v>3975.4799999999814</v>
      </c>
      <c r="F26" s="294">
        <f>(IF('Section Load'!G29&gt;0,'Section Load'!G29,0))</f>
        <v>1762.0599999999977</v>
      </c>
      <c r="G26" s="294">
        <f>(IF('Section Load'!H29&gt;0,'Section Load'!H29,0))</f>
        <v>2402.460000000021</v>
      </c>
      <c r="H26" s="294">
        <f>(IF('Section Load'!I29&gt;0,'Section Load'!I29,0))</f>
        <v>3106.2800000000279</v>
      </c>
      <c r="I26" s="294">
        <f>(IF('Section Load'!J29&gt;0,'Section Load'!J29,0))</f>
        <v>8766.0600000000341</v>
      </c>
      <c r="J26" s="294">
        <f>(IF('Section Load'!K29&gt;0,'Section Load'!K29,0))</f>
        <v>3475.4000000000233</v>
      </c>
      <c r="K26" s="294">
        <f>(IF('Section Load'!L29&gt;0,'Section Load'!L29,0))</f>
        <v>1088.4800000000105</v>
      </c>
      <c r="L26" s="294">
        <f>(IF('Section Load'!M29&gt;0,'Section Load'!M29,0))</f>
        <v>935.1299999999901</v>
      </c>
      <c r="M26" s="294">
        <f>(IF('Section Load'!N29&gt;0,'Section Load'!N29,0))</f>
        <v>155</v>
      </c>
      <c r="N26" s="294">
        <f>(IF('Section Load'!O29&gt;0,'Section Load'!O29,0))</f>
        <v>147</v>
      </c>
      <c r="O26" s="294">
        <f>(IF('Section Load'!P29&gt;0,'Section Load'!P29,0))</f>
        <v>0</v>
      </c>
      <c r="P26" s="294">
        <f>(IF('Section Load'!Q29&gt;0,'Section Load'!Q29,0))</f>
        <v>197.55999999999767</v>
      </c>
      <c r="Q26" s="294">
        <f>(IF('Section Load'!R29&gt;0,'Section Load'!R29,0))</f>
        <v>69.590000000000146</v>
      </c>
      <c r="R26" s="294">
        <f>(IF('Section Load'!S29&gt;0,'Section Load'!S29,0))</f>
        <v>3.4800000000004729</v>
      </c>
      <c r="S26" s="294">
        <f>(IF('Section Load'!T29&gt;0,'Section Load'!T29,0))</f>
        <v>320</v>
      </c>
      <c r="T26" s="294">
        <f>(IF('Section Load'!U29&gt;0,'Section Load'!U29,0))</f>
        <v>214</v>
      </c>
      <c r="U26" s="294">
        <f>(IF('Section Load'!V29&gt;0,'Section Load'!V29,0))</f>
        <v>399.04000000003725</v>
      </c>
      <c r="V26" s="294">
        <f>(IF('Section Load'!W29&gt;0,'Section Load'!W29,0))</f>
        <v>266</v>
      </c>
      <c r="W26" s="294">
        <f>(IF('Section Load'!X29&gt;0,'Section Load'!X29,0))</f>
        <v>26.850000000000364</v>
      </c>
      <c r="X26" s="294">
        <f>(IF('Section Load'!Y29&gt;0,'Section Load'!Y29,0))</f>
        <v>237.86000000000058</v>
      </c>
      <c r="Y26" s="294">
        <f>(IF('Section Load'!Z29&gt;0,'Section Load'!Z29,0))</f>
        <v>280</v>
      </c>
      <c r="Z26" s="294">
        <f>(IF('Section Load'!AA29&gt;0,'Section Load'!AA29,0))</f>
        <v>20.35999999998603</v>
      </c>
      <c r="AA26" s="294">
        <f>(IF('Section Load'!AB29&gt;0,'Section Load'!AB29,0))</f>
        <v>41.799999999988358</v>
      </c>
      <c r="AB26" s="294">
        <f>(IF('Section Load'!AC29&gt;0,'Section Load'!AC29,0))</f>
        <v>0</v>
      </c>
      <c r="AC26" s="294">
        <f>(IF('Section Load'!AD29&gt;0,'Section Load'!AD29,0))</f>
        <v>156.10000000000582</v>
      </c>
      <c r="AD26" s="294">
        <f>(IF('Section Load'!AE29&gt;0,'Section Load'!AE29,0))</f>
        <v>348.97000000000116</v>
      </c>
      <c r="AE26" s="294">
        <f>(IF('Section Load'!AF29&gt;0,'Section Load'!AF29,0))</f>
        <v>242.33000000000175</v>
      </c>
      <c r="AF26" s="294">
        <f>(IF('Section Load'!AG29&gt;0,'Section Load'!AG29,0))</f>
        <v>520.62899999999991</v>
      </c>
      <c r="AG26" s="294">
        <f>(IF('Section Load'!AH29&gt;0,'Section Load'!AH29,0))</f>
        <v>467.26000000000022</v>
      </c>
      <c r="AH26" s="294">
        <f>(IF('Section Load'!AI29&gt;0,'Section Load'!AI29,0))</f>
        <v>435.51000000000022</v>
      </c>
      <c r="AI26" s="294">
        <f>(IF('Section Load'!AJ29&gt;0,'Section Load'!AJ29,0))</f>
        <v>680.70000000000073</v>
      </c>
      <c r="AJ26" s="294">
        <f>(IF('Section Load'!AK29&gt;0,'Section Load'!AK29,0))</f>
        <v>217.23999999999978</v>
      </c>
      <c r="AK26" s="294">
        <f>(IF('Section Load'!AL29&gt;0,'Section Load'!AL29,0))</f>
        <v>8</v>
      </c>
      <c r="AL26" s="294">
        <f>(IF('Section Load'!AM29&gt;0,'Section Load'!AM29,0))</f>
        <v>920.63000000000466</v>
      </c>
      <c r="AM26" s="295">
        <f>(IF('Water Report'!$AB$7&gt;0,'Water Report'!$AB$7,0))</f>
        <v>192</v>
      </c>
      <c r="AN26" s="295">
        <f>(IF('Water Report'!$AB$8&gt;0,'Water Report'!$AB$8,0))</f>
        <v>132</v>
      </c>
      <c r="AO26" s="295">
        <f>(IF('Water Report'!$AB$9&gt;0,'Water Report'!$AB$9,0))</f>
        <v>116</v>
      </c>
      <c r="AP26" s="295">
        <f>(IF('Water Report'!$AB$10&gt;0,'Water Report'!$AB$10,0))</f>
        <v>15</v>
      </c>
      <c r="AQ26" s="295">
        <f>(IF('Water Report'!$AB$11&gt;0,'Water Report'!$AB$11,0))</f>
        <v>80</v>
      </c>
      <c r="AR26" s="295">
        <f>(IF('Water Report'!$AB$13&gt;0,'Water Report'!$AB$13,0))</f>
        <v>73</v>
      </c>
      <c r="AS26" s="295">
        <f>(IF('Water Report'!$AB$14&gt;0,'Water Report'!$AB$14,0))</f>
        <v>25</v>
      </c>
      <c r="AT26" s="295">
        <f>(IF('Water Report'!$AB$15&gt;0,'Water Report'!$AB$15,0))</f>
        <v>8</v>
      </c>
      <c r="AU26" s="295">
        <f>(IF('Water Report'!$AB$17&gt;0,'Water Report'!$AB$17,0))</f>
        <v>3</v>
      </c>
      <c r="AV26" s="295">
        <f>(IF('Water Report'!$AB$18&gt;0,'Water Report'!$AB$18,0))</f>
        <v>15</v>
      </c>
      <c r="AW26" s="295">
        <f>(IF('Water Report'!$AB$19&gt;0,'Water Report'!$AB$19,0))</f>
        <v>12</v>
      </c>
      <c r="AX26" s="301">
        <f>(IF('Water Report'!$AB$21&gt;0,'Water Report'!$AB$21,0))</f>
        <v>108</v>
      </c>
      <c r="AY26" s="301">
        <f>(IF('Water Report'!$AB$22&gt;0,'Water Report'!$AB$22,0))</f>
        <v>26</v>
      </c>
      <c r="AZ26" s="301">
        <f>(IF('Water Report'!$AB$23&gt;0,'Water Report'!$AB$23,0))</f>
        <v>4</v>
      </c>
      <c r="BA26" s="301">
        <f>(IF('Water Report'!$AB$14&gt;0,'Water Report'!$AB$14,0))</f>
        <v>25</v>
      </c>
      <c r="BB26" s="301">
        <f>(IF('Water Report'!$AB$15&gt;0,'Water Report'!$AB$15,0))</f>
        <v>8</v>
      </c>
      <c r="BC26" s="301">
        <f>(IF('Water Report'!$AB$13&gt;0,'Water Report'!$AB$13,0))</f>
        <v>73</v>
      </c>
      <c r="BD26" s="301">
        <f>(IF('Water Report'!$AB$24&gt;0,'Water Report'!$AB$24,0))</f>
        <v>381</v>
      </c>
      <c r="BE26" s="301">
        <f>(IF('Water Report'!$AB$25&gt;0,'Water Report'!$AB$25,0))</f>
        <v>244</v>
      </c>
      <c r="BF26" s="301">
        <f>(IF('Water Report'!$AB$27&gt;0,'Water Report'!$AB$27,0))</f>
        <v>185</v>
      </c>
      <c r="BG26" s="296">
        <f>(IF('Section Load'!AN29&gt;0,'Section Load'!AN29,0))</f>
        <v>1092.0100000000093</v>
      </c>
      <c r="BH26" s="296">
        <f>(IF('Section Load'!AO29&gt;0,'Section Load'!AO29,0))</f>
        <v>328.10999999998603</v>
      </c>
      <c r="BI26" s="296">
        <f>(IF('Section Load'!AP29&gt;0,'Section Load'!AP29,0))</f>
        <v>0</v>
      </c>
      <c r="BJ26" s="296">
        <f>(IF('Section Load'!AQ29&gt;0,'Section Load'!AQ29,0))</f>
        <v>108.10000000000582</v>
      </c>
      <c r="BK26" s="296">
        <f>(IF('Section Load'!AR29&gt;0,'Section Load'!AR29,0))</f>
        <v>43.80000000000291</v>
      </c>
      <c r="BL26" s="296">
        <f>(IF('Section Load'!AS29&gt;0,'Section Load'!AS29,0))</f>
        <v>0</v>
      </c>
      <c r="BM26" s="296">
        <f>(IF('Section Load'!AT29&gt;0,'Section Load'!AT29,0))</f>
        <v>612.40000000001419</v>
      </c>
    </row>
    <row r="27" spans="1:65">
      <c r="A27" s="287" t="s">
        <v>268</v>
      </c>
      <c r="B27" s="288">
        <f t="shared" si="0"/>
        <v>26</v>
      </c>
      <c r="C27" s="288">
        <v>4</v>
      </c>
      <c r="D27" s="288">
        <v>2022</v>
      </c>
      <c r="E27" s="294">
        <f>(IF('Section Load'!F30&gt;0,'Section Load'!F30,0))</f>
        <v>3821.2000000000116</v>
      </c>
      <c r="F27" s="294">
        <f>(IF('Section Load'!G30&gt;0,'Section Load'!G30,0))</f>
        <v>1702.9800000000105</v>
      </c>
      <c r="G27" s="294">
        <f>(IF('Section Load'!H30&gt;0,'Section Load'!H30,0))</f>
        <v>2440.0999999999767</v>
      </c>
      <c r="H27" s="294">
        <f>(IF('Section Load'!I30&gt;0,'Section Load'!I30,0))</f>
        <v>2871.9400000000023</v>
      </c>
      <c r="I27" s="294">
        <f>(IF('Section Load'!J30&gt;0,'Section Load'!J30,0))</f>
        <v>9058.4999999999527</v>
      </c>
      <c r="J27" s="294">
        <f>(IF('Section Load'!K30&gt;0,'Section Load'!K30,0))</f>
        <v>3310.7999999999884</v>
      </c>
      <c r="K27" s="294">
        <f>(IF('Section Load'!L30&gt;0,'Section Load'!L30,0))</f>
        <v>1098.8500000000058</v>
      </c>
      <c r="L27" s="294">
        <f>(IF('Section Load'!M30&gt;0,'Section Load'!M30,0))</f>
        <v>1097.4500000000116</v>
      </c>
      <c r="M27" s="294">
        <f>(IF('Section Load'!N30&gt;0,'Section Load'!N30,0))</f>
        <v>144</v>
      </c>
      <c r="N27" s="294">
        <f>(IF('Section Load'!O30&gt;0,'Section Load'!O30,0))</f>
        <v>144</v>
      </c>
      <c r="O27" s="294">
        <f>(IF('Section Load'!P30&gt;0,'Section Load'!P30,0))</f>
        <v>0</v>
      </c>
      <c r="P27" s="294">
        <f>(IF('Section Load'!Q30&gt;0,'Section Load'!Q30,0))</f>
        <v>197</v>
      </c>
      <c r="Q27" s="294">
        <f>(IF('Section Load'!R30&gt;0,'Section Load'!R30,0))</f>
        <v>68.899999999997817</v>
      </c>
      <c r="R27" s="294">
        <f>(IF('Section Load'!S30&gt;0,'Section Load'!S30,0))</f>
        <v>2.2399999999997817</v>
      </c>
      <c r="S27" s="294">
        <f>(IF('Section Load'!T30&gt;0,'Section Load'!T30,0))</f>
        <v>85</v>
      </c>
      <c r="T27" s="294">
        <f>(IF('Section Load'!U30&gt;0,'Section Load'!U30,0))</f>
        <v>265</v>
      </c>
      <c r="U27" s="294">
        <f>(IF('Section Load'!V30&gt;0,'Section Load'!V30,0))</f>
        <v>444.43999999994412</v>
      </c>
      <c r="V27" s="294">
        <f>(IF('Section Load'!W30&gt;0,'Section Load'!W30,0))</f>
        <v>330.1600000000326</v>
      </c>
      <c r="W27" s="294">
        <f>(IF('Section Load'!X30&gt;0,'Section Load'!X30,0))</f>
        <v>30.909999999999854</v>
      </c>
      <c r="X27" s="294">
        <f>(IF('Section Load'!Y30&gt;0,'Section Load'!Y30,0))</f>
        <v>241.79999999999927</v>
      </c>
      <c r="Y27" s="294">
        <f>(IF('Section Load'!Z30&gt;0,'Section Load'!Z30,0))</f>
        <v>304</v>
      </c>
      <c r="Z27" s="294">
        <f>(IF('Section Load'!AA30&gt;0,'Section Load'!AA30,0))</f>
        <v>25</v>
      </c>
      <c r="AA27" s="294">
        <f>(IF('Section Load'!AB30&gt;0,'Section Load'!AB30,0))</f>
        <v>47.100000000005821</v>
      </c>
      <c r="AB27" s="294">
        <f>(IF('Section Load'!AC30&gt;0,'Section Load'!AC30,0))</f>
        <v>0</v>
      </c>
      <c r="AC27" s="294">
        <f>(IF('Section Load'!AD30&gt;0,'Section Load'!AD30,0))</f>
        <v>150.50000000000273</v>
      </c>
      <c r="AD27" s="294">
        <f>(IF('Section Load'!AE30&gt;0,'Section Load'!AE30,0))</f>
        <v>332.87999999999738</v>
      </c>
      <c r="AE27" s="294">
        <f>(IF('Section Load'!AF30&gt;0,'Section Load'!AF30,0))</f>
        <v>76</v>
      </c>
      <c r="AF27" s="294">
        <f>(IF('Section Load'!AG30&gt;0,'Section Load'!AG30,0))</f>
        <v>507.78999999999996</v>
      </c>
      <c r="AG27" s="294">
        <f>(IF('Section Load'!AH30&gt;0,'Section Load'!AH30,0))</f>
        <v>455.76000000000022</v>
      </c>
      <c r="AH27" s="294">
        <f>(IF('Section Load'!AI30&gt;0,'Section Load'!AI30,0))</f>
        <v>425.19999999999982</v>
      </c>
      <c r="AI27" s="294">
        <f>(IF('Section Load'!AJ30&gt;0,'Section Load'!AJ30,0))</f>
        <v>493.52999999999884</v>
      </c>
      <c r="AJ27" s="294">
        <f>(IF('Section Load'!AK30&gt;0,'Section Load'!AK30,0))</f>
        <v>238.15000000000009</v>
      </c>
      <c r="AK27" s="294">
        <f>(IF('Section Load'!AL30&gt;0,'Section Load'!AL30,0))</f>
        <v>11.899999999999977</v>
      </c>
      <c r="AL27" s="294">
        <f>(IF('Section Load'!AM30&gt;0,'Section Load'!AM30,0))</f>
        <v>868.16000000000349</v>
      </c>
      <c r="AM27" s="295">
        <f>(IF('Water Report'!$AC$7&gt;0,'Water Report'!$AC$7,0))</f>
        <v>177</v>
      </c>
      <c r="AN27" s="295">
        <f>(IF('Water Report'!$AC$8&gt;0,'Water Report'!$AC$8,0))</f>
        <v>123</v>
      </c>
      <c r="AO27" s="295">
        <f>(IF('Water Report'!$AC$9&gt;0,'Water Report'!$AC$9,0))</f>
        <v>132</v>
      </c>
      <c r="AP27" s="295">
        <f>(IF('Water Report'!$AC$10&gt;0,'Water Report'!$AC$10,0))</f>
        <v>14</v>
      </c>
      <c r="AQ27" s="295">
        <f>(IF('Water Report'!$AC$11&gt;0,'Water Report'!$AC$11,0))</f>
        <v>80</v>
      </c>
      <c r="AR27" s="295">
        <f>(IF('Water Report'!$AC$13&gt;0,'Water Report'!$AC$13,0))</f>
        <v>53</v>
      </c>
      <c r="AS27" s="295">
        <f>(IF('Water Report'!$AC$14&gt;0,'Water Report'!$AC$14,0))</f>
        <v>28</v>
      </c>
      <c r="AT27" s="295">
        <f>(IF('Water Report'!$AC$15&gt;0,'Water Report'!$AC$15,0))</f>
        <v>7</v>
      </c>
      <c r="AU27" s="295">
        <f>(IF('Water Report'!$AC$17&gt;0,'Water Report'!$AC$17,0))</f>
        <v>2</v>
      </c>
      <c r="AV27" s="295">
        <f>(IF('Water Report'!$AC$18&gt;0,'Water Report'!$AC$18,0))</f>
        <v>16</v>
      </c>
      <c r="AW27" s="295">
        <f>(IF('Water Report'!$AC$19&gt;0,'Water Report'!$AC$19,0))</f>
        <v>11</v>
      </c>
      <c r="AX27" s="301">
        <f>(IF('Water Report'!$AC$21&gt;0,'Water Report'!$AC$21,0))</f>
        <v>130</v>
      </c>
      <c r="AY27" s="301">
        <f>(IF('Water Report'!$AC$22&gt;0,'Water Report'!$AC$22,0))</f>
        <v>3</v>
      </c>
      <c r="AZ27" s="301">
        <f>(IF('Water Report'!$AC$23&gt;0,'Water Report'!$AC$23,0))</f>
        <v>7</v>
      </c>
      <c r="BA27" s="301">
        <f>(IF('Water Report'!$AC$14&gt;0,'Water Report'!$AC$14,0))</f>
        <v>28</v>
      </c>
      <c r="BB27" s="301">
        <f>(IF('Water Report'!$AC$15&gt;0,'Water Report'!$AC$15,0))</f>
        <v>7</v>
      </c>
      <c r="BC27" s="301">
        <f>(IF('Water Report'!$AC$13&gt;0,'Water Report'!$AC$13,0))</f>
        <v>53</v>
      </c>
      <c r="BD27" s="301">
        <f>(IF('Water Report'!$AC$24&gt;0,'Water Report'!$AC$24,0))</f>
        <v>328</v>
      </c>
      <c r="BE27" s="301">
        <f>(IF('Water Report'!$AC$25&gt;0,'Water Report'!$AC$25,0))</f>
        <v>261</v>
      </c>
      <c r="BF27" s="301">
        <f>(IF('Water Report'!$AC$27&gt;0,'Water Report'!$AC$27,0))</f>
        <v>190</v>
      </c>
      <c r="BG27" s="296">
        <f>(IF('Section Load'!AN30&gt;0,'Section Load'!AN30,0))</f>
        <v>1116</v>
      </c>
      <c r="BH27" s="296">
        <f>(IF('Section Load'!AO30&gt;0,'Section Load'!AO30,0))</f>
        <v>306.09999999997672</v>
      </c>
      <c r="BI27" s="296">
        <f>(IF('Section Load'!AP30&gt;0,'Section Load'!AP30,0))</f>
        <v>0</v>
      </c>
      <c r="BJ27" s="296">
        <f>(IF('Section Load'!AQ30&gt;0,'Section Load'!AQ30,0))</f>
        <v>122</v>
      </c>
      <c r="BK27" s="296">
        <f>(IF('Section Load'!AR30&gt;0,'Section Load'!AR30,0))</f>
        <v>56</v>
      </c>
      <c r="BL27" s="296">
        <f>(IF('Section Load'!AS30&gt;0,'Section Load'!AS30,0))</f>
        <v>0.3999999999996362</v>
      </c>
      <c r="BM27" s="296">
        <f>(IF('Section Load'!AT30&gt;0,'Section Load'!AT30,0))</f>
        <v>631.50000000002365</v>
      </c>
    </row>
    <row r="28" spans="1:65">
      <c r="A28" s="287" t="s">
        <v>268</v>
      </c>
      <c r="B28" s="288">
        <f t="shared" si="0"/>
        <v>27</v>
      </c>
      <c r="C28" s="288">
        <v>4</v>
      </c>
      <c r="D28" s="288">
        <v>2022</v>
      </c>
      <c r="E28" s="294">
        <f>(IF('Section Load'!F31&gt;0,'Section Load'!F31,0))</f>
        <v>3833.2999999999884</v>
      </c>
      <c r="F28" s="294">
        <f>(IF('Section Load'!G31&gt;0,'Section Load'!G31,0))</f>
        <v>1751.3699999999953</v>
      </c>
      <c r="G28" s="294">
        <f>(IF('Section Load'!H31&gt;0,'Section Load'!H31,0))</f>
        <v>2459.9500000000116</v>
      </c>
      <c r="H28" s="294">
        <f>(IF('Section Load'!I31&gt;0,'Section Load'!I31,0))</f>
        <v>2859.6699999999837</v>
      </c>
      <c r="I28" s="294">
        <f>(IF('Section Load'!J31&gt;0,'Section Load'!J31,0))</f>
        <v>9133.9600000000155</v>
      </c>
      <c r="J28" s="294">
        <f>(IF('Section Load'!K31&gt;0,'Section Load'!K31,0))</f>
        <v>3295.570000000007</v>
      </c>
      <c r="K28" s="294">
        <f>(IF('Section Load'!L31&gt;0,'Section Load'!L31,0))</f>
        <v>1105.7999999999884</v>
      </c>
      <c r="L28" s="294">
        <f>(IF('Section Load'!M31&gt;0,'Section Load'!M31,0))</f>
        <v>1058.1499999999942</v>
      </c>
      <c r="M28" s="294">
        <f>(IF('Section Load'!N31&gt;0,'Section Load'!N31,0))</f>
        <v>169</v>
      </c>
      <c r="N28" s="294">
        <f>(IF('Section Load'!O31&gt;0,'Section Load'!O31,0))</f>
        <v>156</v>
      </c>
      <c r="O28" s="294">
        <f>(IF('Section Load'!P31&gt;0,'Section Load'!P31,0))</f>
        <v>0</v>
      </c>
      <c r="P28" s="294">
        <f>(IF('Section Load'!Q31&gt;0,'Section Load'!Q31,0))</f>
        <v>189.80000000000291</v>
      </c>
      <c r="Q28" s="294">
        <f>(IF('Section Load'!R31&gt;0,'Section Load'!R31,0))</f>
        <v>68.200000000000728</v>
      </c>
      <c r="R28" s="294">
        <f>(IF('Section Load'!S31&gt;0,'Section Load'!S31,0))</f>
        <v>0.40999999999985448</v>
      </c>
      <c r="S28" s="294">
        <f>(IF('Section Load'!T31&gt;0,'Section Load'!T31,0))</f>
        <v>8</v>
      </c>
      <c r="T28" s="294">
        <f>(IF('Section Load'!U31&gt;0,'Section Load'!U31,0))</f>
        <v>259</v>
      </c>
      <c r="U28" s="294">
        <f>(IF('Section Load'!V31&gt;0,'Section Load'!V31,0))</f>
        <v>412</v>
      </c>
      <c r="V28" s="294">
        <f>(IF('Section Load'!W31&gt;0,'Section Load'!W31,0))</f>
        <v>380</v>
      </c>
      <c r="W28" s="294">
        <f>(IF('Section Load'!X31&gt;0,'Section Load'!X31,0))</f>
        <v>27.039999999999964</v>
      </c>
      <c r="X28" s="294">
        <f>(IF('Section Load'!Y31&gt;0,'Section Load'!Y31,0))</f>
        <v>215.63999999999942</v>
      </c>
      <c r="Y28" s="294">
        <f>(IF('Section Load'!Z31&gt;0,'Section Load'!Z31,0))</f>
        <v>301</v>
      </c>
      <c r="Z28" s="294">
        <f>(IF('Section Load'!AA31&gt;0,'Section Load'!AA31,0))</f>
        <v>24</v>
      </c>
      <c r="AA28" s="294">
        <f>(IF('Section Load'!AB31&gt;0,'Section Load'!AB31,0))</f>
        <v>44</v>
      </c>
      <c r="AB28" s="294">
        <f>(IF('Section Load'!AC31&gt;0,'Section Load'!AC31,0))</f>
        <v>0</v>
      </c>
      <c r="AC28" s="294">
        <f>(IF('Section Load'!AD31&gt;0,'Section Load'!AD31,0))</f>
        <v>175.49999999999727</v>
      </c>
      <c r="AD28" s="294">
        <f>(IF('Section Load'!AE31&gt;0,'Section Load'!AE31,0))</f>
        <v>328.15000000000146</v>
      </c>
      <c r="AE28" s="294">
        <f>(IF('Section Load'!AF31&gt;0,'Section Load'!AF31,0))</f>
        <v>165</v>
      </c>
      <c r="AF28" s="294">
        <f>(IF('Section Load'!AG31&gt;0,'Section Load'!AG31,0))</f>
        <v>527.88000000000011</v>
      </c>
      <c r="AG28" s="294">
        <f>(IF('Section Load'!AH31&gt;0,'Section Load'!AH31,0))</f>
        <v>443.73999999999978</v>
      </c>
      <c r="AH28" s="294">
        <f>(IF('Section Load'!AI31&gt;0,'Section Load'!AI31,0))</f>
        <v>427</v>
      </c>
      <c r="AI28" s="294">
        <f>(IF('Section Load'!AJ31&gt;0,'Section Load'!AJ31,0))</f>
        <v>435.20000000000073</v>
      </c>
      <c r="AJ28" s="294">
        <f>(IF('Section Load'!AK31&gt;0,'Section Load'!AK31,0))</f>
        <v>239.90000000000009</v>
      </c>
      <c r="AK28" s="294">
        <f>(IF('Section Load'!AL31&gt;0,'Section Load'!AL31,0))</f>
        <v>202.29000000000002</v>
      </c>
      <c r="AL28" s="294">
        <f>(IF('Section Load'!AM31&gt;0,'Section Load'!AM31,0))</f>
        <v>862.25</v>
      </c>
      <c r="AM28" s="295">
        <f>(IF('Water Report'!$AD$7&gt;0,'Water Report'!$AD$7,0))</f>
        <v>162</v>
      </c>
      <c r="AN28" s="295">
        <f>(IF('Water Report'!$AD$8&gt;0,'Water Report'!$AD$8,0))</f>
        <v>146</v>
      </c>
      <c r="AO28" s="295">
        <f>(IF('Water Report'!$AD$9&gt;0,'Water Report'!$AD$9,0))</f>
        <v>116</v>
      </c>
      <c r="AP28" s="295">
        <f>(IF('Water Report'!$AD$10&gt;0,'Water Report'!AD$10,0))</f>
        <v>12</v>
      </c>
      <c r="AQ28" s="295">
        <f>(IF('Water Report'!$AD$11&gt;0,'Water Report'!AE$11,0))</f>
        <v>77</v>
      </c>
      <c r="AR28" s="295">
        <f>(IF('Water Report'!$AD$13&gt;0,'Water Report'!AF$13,0))</f>
        <v>15</v>
      </c>
      <c r="AS28" s="295">
        <f>(IF('Water Report'!$AD$14&gt;0,'Water Report'!AG$14,0))</f>
        <v>8</v>
      </c>
      <c r="AT28" s="295">
        <f>(IF('Water Report'!$AD$15&gt;0,'Water Report'!AH$15,0))</f>
        <v>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1061</v>
      </c>
      <c r="BH28" s="296">
        <f>(IF('Section Load'!AO31&gt;0,'Section Load'!AO31,0))</f>
        <v>317</v>
      </c>
      <c r="BI28" s="296">
        <f>(IF('Section Load'!AP31&gt;0,'Section Load'!AP31,0))</f>
        <v>0</v>
      </c>
      <c r="BJ28" s="296">
        <f>(IF('Section Load'!AQ31&gt;0,'Section Load'!AQ31,0))</f>
        <v>121</v>
      </c>
      <c r="BK28" s="296">
        <f>(IF('Section Load'!AR31&gt;0,'Section Load'!AR31,0))</f>
        <v>46</v>
      </c>
      <c r="BL28" s="296">
        <f>(IF('Section Load'!AS31&gt;0,'Section Load'!AS31,0))</f>
        <v>0</v>
      </c>
      <c r="BM28" s="296">
        <f>(IF('Section Load'!AT31&gt;0,'Section Load'!AT31,0))</f>
        <v>577.39999999999964</v>
      </c>
    </row>
    <row r="29" spans="1:65">
      <c r="A29" s="287" t="s">
        <v>268</v>
      </c>
      <c r="B29" s="288">
        <f t="shared" si="0"/>
        <v>28</v>
      </c>
      <c r="C29" s="288">
        <v>4</v>
      </c>
      <c r="D29" s="288">
        <v>2022</v>
      </c>
      <c r="E29" s="294">
        <f>(IF('Section Load'!F32&gt;0,'Section Load'!F32,0))</f>
        <v>3943</v>
      </c>
      <c r="F29" s="294">
        <f>(IF('Section Load'!G32&gt;0,'Section Load'!G32,0))</f>
        <v>1728</v>
      </c>
      <c r="G29" s="294">
        <f>(IF('Section Load'!H32&gt;0,'Section Load'!H32,0))</f>
        <v>2374</v>
      </c>
      <c r="H29" s="294">
        <f>(IF('Section Load'!I32&gt;0,'Section Load'!I32,0))</f>
        <v>2899</v>
      </c>
      <c r="I29" s="294">
        <f>(IF('Section Load'!J32&gt;0,'Section Load'!J32,0))</f>
        <v>9987</v>
      </c>
      <c r="J29" s="294">
        <f>(IF('Section Load'!K32&gt;0,'Section Load'!K32,0))</f>
        <v>3306</v>
      </c>
      <c r="K29" s="294">
        <f>(IF('Section Load'!L32&gt;0,'Section Load'!L32,0))</f>
        <v>1379</v>
      </c>
      <c r="L29" s="294">
        <f>(IF('Section Load'!M32&gt;0,'Section Load'!M32,0))</f>
        <v>886</v>
      </c>
      <c r="M29" s="294">
        <f>(IF('Section Load'!N32&gt;0,'Section Load'!N32,0))</f>
        <v>154</v>
      </c>
      <c r="N29" s="294">
        <f>(IF('Section Load'!O32&gt;0,'Section Load'!O32,0))</f>
        <v>97</v>
      </c>
      <c r="O29" s="294">
        <f>(IF('Section Load'!P32&gt;0,'Section Load'!P32,0))</f>
        <v>11</v>
      </c>
      <c r="P29" s="294">
        <f>(IF('Section Load'!Q32&gt;0,'Section Load'!Q32,0))</f>
        <v>201</v>
      </c>
      <c r="Q29" s="294">
        <f>(IF('Section Load'!R32&gt;0,'Section Load'!R32,0))</f>
        <v>69</v>
      </c>
      <c r="R29" s="294">
        <f>(IF('Section Load'!S32&gt;0,'Section Load'!S32,0))</f>
        <v>2</v>
      </c>
      <c r="S29" s="294">
        <f>(IF('Section Load'!T32&gt;0,'Section Load'!T32,0))</f>
        <v>7</v>
      </c>
      <c r="T29" s="294">
        <f>(IF('Section Load'!U32&gt;0,'Section Load'!U32,0))</f>
        <v>237</v>
      </c>
      <c r="U29" s="294">
        <f>(IF('Section Load'!V32&gt;0,'Section Load'!V32,0))</f>
        <v>371</v>
      </c>
      <c r="V29" s="294">
        <f>(IF('Section Load'!W32&gt;0,'Section Load'!W32,0))</f>
        <v>334</v>
      </c>
      <c r="W29" s="294">
        <f>(IF('Section Load'!X32&gt;0,'Section Load'!X32,0))</f>
        <v>31</v>
      </c>
      <c r="X29" s="294">
        <f>(IF('Section Load'!Y32&gt;0,'Section Load'!Y32,0))</f>
        <v>230</v>
      </c>
      <c r="Y29" s="294">
        <f>(IF('Section Load'!Z32&gt;0,'Section Load'!Z32,0))</f>
        <v>260</v>
      </c>
      <c r="Z29" s="294">
        <f>(IF('Section Load'!AA32&gt;0,'Section Load'!AA32,0))</f>
        <v>25</v>
      </c>
      <c r="AA29" s="294">
        <f>(IF('Section Load'!AB32&gt;0,'Section Load'!AB32,0))</f>
        <v>41</v>
      </c>
      <c r="AB29" s="294">
        <f>(IF('Section Load'!AC32&gt;0,'Section Load'!AC32,0))</f>
        <v>1.1699999999982538</v>
      </c>
      <c r="AC29" s="294">
        <f>(IF('Section Load'!AD32&gt;0,'Section Load'!AD32,0))</f>
        <v>199</v>
      </c>
      <c r="AD29" s="294">
        <f>(IF('Section Load'!AE32&gt;0,'Section Load'!AE32,0))</f>
        <v>307</v>
      </c>
      <c r="AE29" s="294">
        <f>(IF('Section Load'!AF32&gt;0,'Section Load'!AF32,0))</f>
        <v>181</v>
      </c>
      <c r="AF29" s="294">
        <f>(IF('Section Load'!AG32&gt;0,'Section Load'!AG32,0))</f>
        <v>571</v>
      </c>
      <c r="AG29" s="294">
        <f>(IF('Section Load'!AH32&gt;0,'Section Load'!AH32,0))</f>
        <v>430</v>
      </c>
      <c r="AH29" s="294">
        <f>(IF('Section Load'!AI32&gt;0,'Section Load'!AI32,0))</f>
        <v>426</v>
      </c>
      <c r="AI29" s="294">
        <f>(IF('Section Load'!AJ32&gt;0,'Section Load'!AJ32,0))</f>
        <v>496</v>
      </c>
      <c r="AJ29" s="294">
        <f>(IF('Section Load'!AK32&gt;0,'Section Load'!AK32,0))</f>
        <v>209</v>
      </c>
      <c r="AK29" s="294">
        <f>(IF('Section Load'!AL32&gt;0,'Section Load'!AL32,0))</f>
        <v>329</v>
      </c>
      <c r="AL29" s="294">
        <f>(IF('Section Load'!AM32&gt;0,'Section Load'!AM32,0))</f>
        <v>872</v>
      </c>
      <c r="AM29" s="295">
        <f>(IF('Water Report'!$AE$7&gt;0,'Water Report'!$AE$7,0))</f>
        <v>166</v>
      </c>
      <c r="AN29" s="295">
        <f>(IF('Water Report'!$AE$8&gt;0,'Water Report'!$AE$8,0))</f>
        <v>107</v>
      </c>
      <c r="AO29" s="295">
        <f>(IF('Water Report'!$AE$9&gt;0,'Water Report'!$AE$9,0))</f>
        <v>116</v>
      </c>
      <c r="AP29" s="295">
        <f>(IF('Water Report'!$AE$10&gt;0,'Water Report'!$AE$10,0))</f>
        <v>17</v>
      </c>
      <c r="AQ29" s="295">
        <f>(IF('Water Report'!$AE$11&gt;0,'Water Report'!$AE$11,0))</f>
        <v>77</v>
      </c>
      <c r="AR29" s="295">
        <f>(IF('Water Report'!$AE$13&gt;0,'Water Report'!$AE$13,0))</f>
        <v>43</v>
      </c>
      <c r="AS29" s="295">
        <f>(IF('Water Report'!$AE$14&gt;0,'Water Report'!$AE$14,0))</f>
        <v>7</v>
      </c>
      <c r="AT29" s="295">
        <f>(IF('Water Report'!$AE$15&gt;0,'Water Report'!$AE$15,0))</f>
        <v>7</v>
      </c>
      <c r="AU29" s="295">
        <f>(IF('Water Report'!$AE$17&gt;0,'Water Report'!$AE$17,0))</f>
        <v>21</v>
      </c>
      <c r="AV29" s="295">
        <f>(IF('Water Report'!$AE$18&gt;0,'Water Report'!$AE$18,0))</f>
        <v>15</v>
      </c>
      <c r="AW29" s="295">
        <f>(IF('Water Report'!$AE$19&gt;0,'Water Report'!$AE$19,0))</f>
        <v>13</v>
      </c>
      <c r="AX29" s="301">
        <f>(IF('Water Report'!$AE$21&gt;0,'Water Report'!$AE$21,0))</f>
        <v>84</v>
      </c>
      <c r="AY29" s="301">
        <f>(IF('Water Report'!$AE$22&gt;0,'Water Report'!$AE$22,0))</f>
        <v>0</v>
      </c>
      <c r="AZ29" s="301">
        <f>(IF('Water Report'!$AE$23&gt;0,'Water Report'!$AE$23,0))</f>
        <v>13</v>
      </c>
      <c r="BA29" s="301">
        <f>(IF('Water Report'!$AE$14&gt;0,'Water Report'!$AE$14,0))</f>
        <v>7</v>
      </c>
      <c r="BB29" s="301">
        <f>(IF('Water Report'!$AE$15&gt;0,'Water Report'!$AE$15,0))</f>
        <v>7</v>
      </c>
      <c r="BC29" s="301">
        <f>(IF('Water Report'!$AE$13&gt;0,'Water Report'!$AE$13,0))</f>
        <v>43</v>
      </c>
      <c r="BD29" s="301">
        <f>(IF('Water Report'!$AE$24&gt;0,'Water Report'!$AE$24,0))</f>
        <v>313</v>
      </c>
      <c r="BE29" s="301">
        <f>(IF('Water Report'!$AE$25&gt;0,'Water Report'!$AE$25,0))</f>
        <v>224</v>
      </c>
      <c r="BF29" s="301">
        <f>(IF('Water Report'!$AE$27&gt;0,'Water Report'!$AE$27,0))</f>
        <v>140</v>
      </c>
      <c r="BG29" s="296">
        <f>(IF('Section Load'!AN32&gt;0,'Section Load'!AN32,0))</f>
        <v>1107</v>
      </c>
      <c r="BH29" s="296">
        <f>(IF('Section Load'!AO32&gt;0,'Section Load'!AO32,0))</f>
        <v>329</v>
      </c>
      <c r="BI29" s="296">
        <f>(IF('Section Load'!AP32&gt;0,'Section Load'!AP32,0))</f>
        <v>0</v>
      </c>
      <c r="BJ29" s="296">
        <f>(IF('Section Load'!AQ32&gt;0,'Section Load'!AQ32,0))</f>
        <v>118</v>
      </c>
      <c r="BK29" s="296">
        <f>(IF('Section Load'!AR32&gt;0,'Section Load'!AR32,0))</f>
        <v>53</v>
      </c>
      <c r="BL29" s="296">
        <f>(IF('Section Load'!AS32&gt;0,'Section Load'!AS32,0))</f>
        <v>0</v>
      </c>
      <c r="BM29" s="296">
        <f>(IF('Section Load'!AT32&gt;0,'Section Load'!AT32,0))</f>
        <v>607</v>
      </c>
    </row>
    <row r="30" spans="1:65">
      <c r="A30" s="287" t="s">
        <v>268</v>
      </c>
      <c r="B30" s="288">
        <f t="shared" si="0"/>
        <v>29</v>
      </c>
      <c r="C30" s="288">
        <v>4</v>
      </c>
      <c r="D30" s="288">
        <v>2022</v>
      </c>
      <c r="E30" s="294">
        <f>(IF('Section Load'!F33&gt;0,'Section Load'!F33,0))</f>
        <v>4115</v>
      </c>
      <c r="F30" s="294">
        <f>(IF('Section Load'!G33&gt;0,'Section Load'!G33,0))</f>
        <v>1726</v>
      </c>
      <c r="G30" s="294">
        <f>(IF('Section Load'!H33&gt;0,'Section Load'!H33,0))</f>
        <v>2399</v>
      </c>
      <c r="H30" s="294">
        <f>(IF('Section Load'!I33&gt;0,'Section Load'!I33,0))</f>
        <v>2849</v>
      </c>
      <c r="I30" s="294">
        <f>(IF('Section Load'!J33&gt;0,'Section Load'!J33,0))</f>
        <v>10787</v>
      </c>
      <c r="J30" s="294">
        <f>(IF('Section Load'!K33&gt;0,'Section Load'!K33,0))</f>
        <v>3440</v>
      </c>
      <c r="K30" s="294">
        <f>(IF('Section Load'!L33&gt;0,'Section Load'!L33,0))</f>
        <v>1646</v>
      </c>
      <c r="L30" s="294">
        <f>(IF('Section Load'!M33&gt;0,'Section Load'!M33,0))</f>
        <v>1210</v>
      </c>
      <c r="M30" s="294">
        <f>(IF('Section Load'!N33&gt;0,'Section Load'!N33,0))</f>
        <v>154</v>
      </c>
      <c r="N30" s="294">
        <f>(IF('Section Load'!O33&gt;0,'Section Load'!O33,0))</f>
        <v>220</v>
      </c>
      <c r="O30" s="294">
        <f>(IF('Section Load'!P33&gt;0,'Section Load'!P33,0))</f>
        <v>12</v>
      </c>
      <c r="P30" s="294">
        <f>(IF('Section Load'!Q33&gt;0,'Section Load'!Q33,0))</f>
        <v>212</v>
      </c>
      <c r="Q30" s="294">
        <f>(IF('Section Load'!R33&gt;0,'Section Load'!R33,0))</f>
        <v>70</v>
      </c>
      <c r="R30" s="294">
        <f>(IF('Section Load'!S33&gt;0,'Section Load'!S33,0))</f>
        <v>3</v>
      </c>
      <c r="S30" s="294">
        <f>(IF('Section Load'!T33&gt;0,'Section Load'!T33,0))</f>
        <v>0</v>
      </c>
      <c r="T30" s="294">
        <f>(IF('Section Load'!U33&gt;0,'Section Load'!U33,0))</f>
        <v>251</v>
      </c>
      <c r="U30" s="294">
        <f>(IF('Section Load'!V33&gt;0,'Section Load'!V33,0))</f>
        <v>401</v>
      </c>
      <c r="V30" s="294">
        <f>(IF('Section Load'!W33&gt;0,'Section Load'!W33,0))</f>
        <v>496</v>
      </c>
      <c r="W30" s="294">
        <f>(IF('Section Load'!X33&gt;0,'Section Load'!X33,0))</f>
        <v>34</v>
      </c>
      <c r="X30" s="294">
        <f>(IF('Section Load'!Y33&gt;0,'Section Load'!Y33,0))</f>
        <v>220</v>
      </c>
      <c r="Y30" s="294">
        <f>(IF('Section Load'!Z33&gt;0,'Section Load'!Z33,0))</f>
        <v>317</v>
      </c>
      <c r="Z30" s="294">
        <f>(IF('Section Load'!AA33&gt;0,'Section Load'!AA33,0))</f>
        <v>24</v>
      </c>
      <c r="AA30" s="294">
        <f>(IF('Section Load'!AB33&gt;0,'Section Load'!AB33,0))</f>
        <v>41</v>
      </c>
      <c r="AB30" s="294">
        <f>(IF('Section Load'!AC33&gt;0,'Section Load'!AC33,0))</f>
        <v>0</v>
      </c>
      <c r="AC30" s="294">
        <f>(IF('Section Load'!AD33&gt;0,'Section Load'!AD33,0))</f>
        <v>190</v>
      </c>
      <c r="AD30" s="294">
        <f>(IF('Section Load'!AE33&gt;0,'Section Load'!AE33,0))</f>
        <v>300</v>
      </c>
      <c r="AE30" s="294">
        <f>(IF('Section Load'!AF33&gt;0,'Section Load'!AF33,0))</f>
        <v>161</v>
      </c>
      <c r="AF30" s="294">
        <f>(IF('Section Load'!AG33&gt;0,'Section Load'!AG33,0))</f>
        <v>566</v>
      </c>
      <c r="AG30" s="294">
        <f>(IF('Section Load'!AH33&gt;0,'Section Load'!AH33,0))</f>
        <v>434</v>
      </c>
      <c r="AH30" s="294">
        <f>(IF('Section Load'!AI33&gt;0,'Section Load'!AI33,0))</f>
        <v>436</v>
      </c>
      <c r="AI30" s="294">
        <f>(IF('Section Load'!AJ33&gt;0,'Section Load'!AJ33,0))</f>
        <v>381</v>
      </c>
      <c r="AJ30" s="294">
        <f>(IF('Section Load'!AK33&gt;0,'Section Load'!AK33,0))</f>
        <v>186</v>
      </c>
      <c r="AK30" s="294">
        <f>(IF('Section Load'!AL33&gt;0,'Section Load'!AL33,0))</f>
        <v>315</v>
      </c>
      <c r="AL30" s="294">
        <f>(IF('Section Load'!AM33&gt;0,'Section Load'!AM33,0))</f>
        <v>843</v>
      </c>
      <c r="AM30" s="295">
        <f>(IF('Water Report'!$AF$7&gt;0,'Water Report'!$AF$7,0))</f>
        <v>169</v>
      </c>
      <c r="AN30" s="295">
        <f>(IF('Water Report'!$AF$8&gt;0,'Water Report'!$AF$8,0))</f>
        <v>144</v>
      </c>
      <c r="AO30" s="295">
        <f>(IF('Water Report'!$AF$9&gt;0,'Water Report'!$AF$9,0))</f>
        <v>112</v>
      </c>
      <c r="AP30" s="295">
        <f>(IF('Water Report'!$AF$10&gt;0,'Water Report'!$AF$10,0))</f>
        <v>18</v>
      </c>
      <c r="AQ30" s="295">
        <f>(IF('Water Report'!$AF$11&gt;0,'Water Report'!$AF$11,0))</f>
        <v>76</v>
      </c>
      <c r="AR30" s="295">
        <f>(IF('Water Report'!$AF$13&gt;0,'Water Report'!$AF$13,0))</f>
        <v>15</v>
      </c>
      <c r="AS30" s="295">
        <f>(IF('Water Report'!$AF$14&gt;0,'Water Report'!$AF$14,0))</f>
        <v>14</v>
      </c>
      <c r="AT30" s="295">
        <f>(IF('Water Report'!$AF$15&gt;0,'Water Report'!$AF$15,0))</f>
        <v>8</v>
      </c>
      <c r="AU30" s="295">
        <f>(IF('Water Report'!$AF$17&gt;0,'Water Report'!$AF$17,0))</f>
        <v>0</v>
      </c>
      <c r="AV30" s="295">
        <f>(IF('Water Report'!$AF$18&gt;0,'Water Report'!$AF$18,0))</f>
        <v>15</v>
      </c>
      <c r="AW30" s="295">
        <f>(IF('Water Report'!$AF$19&gt;0,'Water Report'!$AF$19,0))</f>
        <v>12</v>
      </c>
      <c r="AX30" s="301">
        <f>(IF('Water Report'!$AF$21&gt;0,'Water Report'!$AF$21,0))</f>
        <v>106</v>
      </c>
      <c r="AY30" s="301">
        <f>(IF('Water Report'!$AF$22&gt;0,'Water Report'!$AF$22,0))</f>
        <v>1</v>
      </c>
      <c r="AZ30" s="301">
        <f>(IF('Water Report'!$AF$23&gt;0,'Water Report'!$AF$23,0))</f>
        <v>5</v>
      </c>
      <c r="BA30" s="301">
        <f>(IF('Water Report'!$AF$14&gt;0,'Water Report'!$AF$14,0))</f>
        <v>14</v>
      </c>
      <c r="BB30" s="301">
        <f>(IF('Water Report'!$AF$15&gt;0,'Water Report'!$AF$15,0))</f>
        <v>8</v>
      </c>
      <c r="BC30" s="301">
        <f>(IF('Water Report'!$AF$13&gt;0,'Water Report'!$AF$13,0))</f>
        <v>15</v>
      </c>
      <c r="BD30" s="301">
        <f>(IF('Water Report'!$AF$24&gt;0,'Water Report'!$AF$24,0))</f>
        <v>311</v>
      </c>
      <c r="BE30" s="301">
        <f>(IF('Water Report'!$AF$25&gt;0,'Water Report'!$AF$25,0))</f>
        <v>228</v>
      </c>
      <c r="BF30" s="301">
        <f>(IF('Water Report'!$AF$27&gt;0,'Water Report'!$AF$27,0))</f>
        <v>126</v>
      </c>
      <c r="BG30" s="296">
        <f>(IF('Section Load'!AN33&gt;0,'Section Load'!AN33,0))</f>
        <v>1096</v>
      </c>
      <c r="BH30" s="296">
        <f>(IF('Section Load'!AO33&gt;0,'Section Load'!AO33,0))</f>
        <v>317</v>
      </c>
      <c r="BI30" s="296">
        <f>(IF('Section Load'!AP33&gt;0,'Section Load'!AP33,0))</f>
        <v>0</v>
      </c>
      <c r="BJ30" s="296">
        <f>(IF('Section Load'!AQ33&gt;0,'Section Load'!AQ33,0))</f>
        <v>143</v>
      </c>
      <c r="BK30" s="296">
        <f>(IF('Section Load'!AR33&gt;0,'Section Load'!AR33,0))</f>
        <v>57</v>
      </c>
      <c r="BL30" s="296">
        <f>(IF('Section Load'!AS33&gt;0,'Section Load'!AS33,0))</f>
        <v>0</v>
      </c>
      <c r="BM30" s="296">
        <f>(IF('Section Load'!AT33&gt;0,'Section Load'!AT33,0))</f>
        <v>579</v>
      </c>
    </row>
    <row r="31" spans="1:65">
      <c r="A31" s="287" t="s">
        <v>268</v>
      </c>
      <c r="B31" s="288">
        <f t="shared" si="0"/>
        <v>30</v>
      </c>
      <c r="C31" s="288">
        <v>4</v>
      </c>
      <c r="D31" s="288">
        <v>2022</v>
      </c>
      <c r="E31" s="294">
        <f>(IF('Section Load'!F34&gt;0,'Section Load'!F34,0))</f>
        <v>4237</v>
      </c>
      <c r="F31" s="294">
        <f>(IF('Section Load'!G34&gt;0,'Section Load'!G34,0))</f>
        <v>1805.68</v>
      </c>
      <c r="G31" s="294">
        <f>(IF('Section Load'!H34&gt;0,'Section Load'!H34,0))</f>
        <v>2500</v>
      </c>
      <c r="H31" s="294">
        <f>(IF('Section Load'!I34&gt;0,'Section Load'!I34,0))</f>
        <v>2900</v>
      </c>
      <c r="I31" s="294">
        <f>(IF('Section Load'!J34&gt;0,'Section Load'!J34,0))</f>
        <v>9046</v>
      </c>
      <c r="J31" s="294">
        <f>(IF('Section Load'!K34&gt;0,'Section Load'!K34,0))</f>
        <v>3408</v>
      </c>
      <c r="K31" s="294">
        <f>(IF('Section Load'!L34&gt;0,'Section Load'!L34,0))</f>
        <v>1782</v>
      </c>
      <c r="L31" s="294">
        <f>(IF('Section Load'!M34&gt;0,'Section Load'!M34,0))</f>
        <v>1131</v>
      </c>
      <c r="M31" s="294">
        <f>(IF('Section Load'!N34&gt;0,'Section Load'!N34,0))</f>
        <v>141</v>
      </c>
      <c r="N31" s="294">
        <f>(IF('Section Load'!O34&gt;0,'Section Load'!O34,0))</f>
        <v>135</v>
      </c>
      <c r="O31" s="294">
        <f>(IF('Section Load'!P34&gt;0,'Section Load'!P34,0))</f>
        <v>11</v>
      </c>
      <c r="P31" s="294">
        <f>(IF('Section Load'!Q34&gt;0,'Section Load'!Q34,0))</f>
        <v>223</v>
      </c>
      <c r="Q31" s="294">
        <f>(IF('Section Load'!R34&gt;0,'Section Load'!R34,0))</f>
        <v>74</v>
      </c>
      <c r="R31" s="294">
        <f>(IF('Section Load'!S34&gt;0,'Section Load'!S34,0))</f>
        <v>2</v>
      </c>
      <c r="S31" s="294">
        <f>(IF('Section Load'!T34&gt;0,'Section Load'!T34,0))</f>
        <v>0</v>
      </c>
      <c r="T31" s="294">
        <f>(IF('Section Load'!U34&gt;0,'Section Load'!U34,0))</f>
        <v>256</v>
      </c>
      <c r="U31" s="294">
        <f>(IF('Section Load'!V34&gt;0,'Section Load'!V34,0))</f>
        <v>452</v>
      </c>
      <c r="V31" s="294">
        <f>(IF('Section Load'!W34&gt;0,'Section Load'!W34,0))</f>
        <v>366</v>
      </c>
      <c r="W31" s="294">
        <f>(IF('Section Load'!X34&gt;0,'Section Load'!X34,0))</f>
        <v>27</v>
      </c>
      <c r="X31" s="294">
        <f>(IF('Section Load'!Y34&gt;0,'Section Load'!Y34,0))</f>
        <v>236</v>
      </c>
      <c r="Y31" s="294">
        <f>(IF('Section Load'!Z34&gt;0,'Section Load'!Z34,0))</f>
        <v>351</v>
      </c>
      <c r="Z31" s="294">
        <f>(IF('Section Load'!AA34&gt;0,'Section Load'!AA34,0))</f>
        <v>23</v>
      </c>
      <c r="AA31" s="294">
        <f>(IF('Section Load'!AB34&gt;0,'Section Load'!AB34,0))</f>
        <v>38</v>
      </c>
      <c r="AB31" s="294">
        <f>(IF('Section Load'!AC34&gt;0,'Section Load'!AC34,0))</f>
        <v>0.11999999999898137</v>
      </c>
      <c r="AC31" s="294">
        <f>(IF('Section Load'!AD34&gt;0,'Section Load'!AD34,0))</f>
        <v>179</v>
      </c>
      <c r="AD31" s="294">
        <f>(IF('Section Load'!AE34&gt;0,'Section Load'!AE34,0))</f>
        <v>252</v>
      </c>
      <c r="AE31" s="294">
        <f>(IF('Section Load'!AF34&gt;0,'Section Load'!AF34,0))</f>
        <v>160</v>
      </c>
      <c r="AF31" s="294">
        <f>(IF('Section Load'!AG34&gt;0,'Section Load'!AG34,0))</f>
        <v>563</v>
      </c>
      <c r="AG31" s="294">
        <f>(IF('Section Load'!AH34&gt;0,'Section Load'!AH34,0))</f>
        <v>462</v>
      </c>
      <c r="AH31" s="294">
        <f>(IF('Section Load'!AI34&gt;0,'Section Load'!AI34,0))</f>
        <v>454</v>
      </c>
      <c r="AI31" s="294">
        <f>(IF('Section Load'!AJ34&gt;0,'Section Load'!AJ34,0))</f>
        <v>453</v>
      </c>
      <c r="AJ31" s="294">
        <f>(IF('Section Load'!AK34&gt;0,'Section Load'!AK34,0))</f>
        <v>190</v>
      </c>
      <c r="AK31" s="294">
        <f>(IF('Section Load'!AL34&gt;0,'Section Load'!AL34,0))</f>
        <v>323</v>
      </c>
      <c r="AL31" s="294">
        <f>(IF('Section Load'!AM34&gt;0,'Section Load'!AM34,0))</f>
        <v>842</v>
      </c>
      <c r="AM31" s="295">
        <f>(IF('Water Report'!$AG$7&gt;0,'Water Report'!$AG$7,0))</f>
        <v>172</v>
      </c>
      <c r="AN31" s="295">
        <f>(IF('Water Report'!$AG$8&gt;0,'Water Report'!$AG$8,0))</f>
        <v>131</v>
      </c>
      <c r="AO31" s="295">
        <f>(IF('Water Report'!$AG$9&gt;0,'Water Report'!$AG$9,0))</f>
        <v>117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1106</v>
      </c>
      <c r="BH31" s="296">
        <f>(IF('Section Load'!AO34&gt;0,'Section Load'!AO34,0))</f>
        <v>331</v>
      </c>
      <c r="BI31" s="296">
        <f>(IF('Section Load'!AP34&gt;0,'Section Load'!AP34,0))</f>
        <v>0</v>
      </c>
      <c r="BJ31" s="296">
        <f>(IF('Section Load'!AQ34&gt;0,'Section Load'!AQ34,0))</f>
        <v>113</v>
      </c>
      <c r="BK31" s="296">
        <f>(IF('Section Load'!AR34&gt;0,'Section Load'!AR34,0))</f>
        <v>52</v>
      </c>
      <c r="BL31" s="296">
        <f>(IF('Section Load'!AS34&gt;0,'Section Load'!AS34,0))</f>
        <v>0.3999999999996362</v>
      </c>
      <c r="BM31" s="296">
        <f>(IF('Section Load'!AT34&gt;0,'Section Load'!AT34,0))</f>
        <v>609.60000000000036</v>
      </c>
    </row>
    <row r="32" spans="1:65">
      <c r="A32" s="287" t="s">
        <v>268</v>
      </c>
      <c r="B32" s="288">
        <f t="shared" si="0"/>
        <v>31</v>
      </c>
      <c r="C32" s="288">
        <v>4</v>
      </c>
      <c r="D32" s="288">
        <v>2022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0</v>
      </c>
      <c r="BH32" s="296">
        <f>(IF('Section Load'!AO35&gt;0,'Section Load'!AO35,0))</f>
        <v>0</v>
      </c>
      <c r="BI32" s="296">
        <f>(IF('Section Load'!AP35&gt;0,'Section Load'!AP35,0))</f>
        <v>0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>
        <f>(IF('Section Load'!AT35&gt;0,'Section Load'!AT35,0))</f>
        <v>0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4"/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5" t="s">
        <v>5</v>
      </c>
      <c r="I2" s="765"/>
      <c r="J2" s="765"/>
      <c r="K2" s="44"/>
      <c r="L2" s="766" t="s">
        <v>6</v>
      </c>
      <c r="M2" s="766"/>
      <c r="N2" s="766"/>
      <c r="O2" s="767" t="s">
        <v>7</v>
      </c>
      <c r="P2" s="767"/>
      <c r="Q2" s="767"/>
      <c r="R2" s="44" t="s">
        <v>8</v>
      </c>
      <c r="S2" s="768" t="s">
        <v>9</v>
      </c>
      <c r="T2" s="768"/>
      <c r="U2" s="768"/>
      <c r="V2" s="769" t="s">
        <v>10</v>
      </c>
      <c r="W2" s="770"/>
      <c r="X2" s="771"/>
      <c r="Y2" s="263"/>
      <c r="Z2" s="772" t="s">
        <v>11</v>
      </c>
      <c r="AA2" s="772"/>
      <c r="AB2" s="772"/>
      <c r="AC2" s="772"/>
      <c r="AD2" s="264"/>
      <c r="AE2" s="264" t="s">
        <v>12</v>
      </c>
      <c r="AF2" s="264" t="s">
        <v>13</v>
      </c>
      <c r="AG2" s="772" t="s">
        <v>14</v>
      </c>
      <c r="AH2" s="772"/>
      <c r="AI2" s="772"/>
      <c r="AJ2" s="264" t="s">
        <v>15</v>
      </c>
      <c r="AK2" s="772" t="s">
        <v>16</v>
      </c>
      <c r="AL2" s="772"/>
      <c r="AM2" s="772"/>
      <c r="AN2" s="264" t="s">
        <v>17</v>
      </c>
      <c r="AO2" s="5" t="s">
        <v>18</v>
      </c>
      <c r="AP2" s="773" t="s">
        <v>19</v>
      </c>
      <c r="AQ2" s="774"/>
      <c r="AR2" s="774"/>
      <c r="AS2" s="774"/>
      <c r="AT2" s="774"/>
      <c r="AU2" s="774"/>
      <c r="AV2" s="774"/>
      <c r="AW2" s="774"/>
      <c r="AX2" s="774"/>
      <c r="AY2" s="775"/>
      <c r="AZ2" s="773" t="s">
        <v>20</v>
      </c>
      <c r="BA2" s="774"/>
      <c r="BB2" s="774"/>
      <c r="BC2" s="774"/>
      <c r="BD2" s="774"/>
      <c r="BE2" s="774"/>
      <c r="BF2" s="774"/>
      <c r="BG2" s="774"/>
      <c r="BH2" s="774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27033</v>
      </c>
      <c r="H4" s="19">
        <f>'1'!G8</f>
        <v>27412.78</v>
      </c>
      <c r="I4" s="19">
        <v>9</v>
      </c>
      <c r="J4" s="49">
        <f>H4*I4</f>
        <v>246715.02</v>
      </c>
      <c r="K4" s="45">
        <f>H4/202</f>
        <v>135.7068316831683</v>
      </c>
      <c r="L4" s="19">
        <f>'1'!G15</f>
        <v>1086</v>
      </c>
      <c r="M4" s="19">
        <v>56.2</v>
      </c>
      <c r="N4" s="45">
        <f>L4*M4</f>
        <v>61033.200000000004</v>
      </c>
      <c r="O4" s="19">
        <f>'1'!G20</f>
        <v>331</v>
      </c>
      <c r="P4" s="19">
        <v>108</v>
      </c>
      <c r="Q4" s="46">
        <f t="shared" ref="Q4:Q33" si="0">O4*P4</f>
        <v>35748</v>
      </c>
      <c r="R4" s="47">
        <f t="shared" ref="R4:R34" si="1">O4/(F4*202/100)</f>
        <v>178.11020232458029</v>
      </c>
      <c r="S4" s="19">
        <f>'1'!G24</f>
        <v>0</v>
      </c>
      <c r="T4" s="19">
        <v>69</v>
      </c>
      <c r="U4" s="48">
        <f>S4*T4</f>
        <v>0</v>
      </c>
      <c r="V4" s="22">
        <f>'1'!G65</f>
        <v>137</v>
      </c>
      <c r="W4" s="22">
        <f>'1'!G66</f>
        <v>18</v>
      </c>
      <c r="X4" s="22">
        <f>'1'!G67</f>
        <v>79</v>
      </c>
      <c r="Y4" s="22">
        <f>V4+W4+X4</f>
        <v>234</v>
      </c>
      <c r="Z4" s="19">
        <f>'1'!G84</f>
        <v>0.40000000000145519</v>
      </c>
      <c r="AA4" s="19">
        <f>'1'!G85</f>
        <v>11.5</v>
      </c>
      <c r="AB4" s="19">
        <f>'1'!G86</f>
        <v>23.599999999998545</v>
      </c>
      <c r="AC4" s="19">
        <f>'1'!G87</f>
        <v>0</v>
      </c>
      <c r="AD4" s="19">
        <f>Z4+AA4+AB4+AC4</f>
        <v>35.5</v>
      </c>
      <c r="AE4" s="23">
        <f t="shared" ref="AE4:AE33" si="2">AU4+AV4+BE4+BF4</f>
        <v>5997.7700000000077</v>
      </c>
      <c r="AF4" s="23">
        <f>AE4/AD4</f>
        <v>168.95126760563403</v>
      </c>
      <c r="AG4" s="19">
        <f>'1'!G88</f>
        <v>0</v>
      </c>
      <c r="AH4" s="19">
        <f>'1'!G89</f>
        <v>9.6899999999986903</v>
      </c>
      <c r="AI4" s="19">
        <f>'1'!G90</f>
        <v>9.8899999999994179</v>
      </c>
      <c r="AJ4" s="19">
        <f>AG4+AH4+AI4</f>
        <v>19.579999999998108</v>
      </c>
      <c r="AK4" s="19">
        <f>'1'!G91</f>
        <v>0</v>
      </c>
      <c r="AL4" s="19">
        <f>'1'!G92</f>
        <v>10.699999999999818</v>
      </c>
      <c r="AM4" s="19"/>
      <c r="AN4" s="19">
        <f>AK4+AL4</f>
        <v>10.699999999999818</v>
      </c>
      <c r="AO4" s="52">
        <f>'1'!G74</f>
        <v>301.48999999999069</v>
      </c>
      <c r="AP4" s="55">
        <f>'1'!G35</f>
        <v>2204.7900000000081</v>
      </c>
      <c r="AQ4" s="19">
        <f>'1'!G37</f>
        <v>1644.9800000000105</v>
      </c>
      <c r="AR4" s="19">
        <f>'1'!G38</f>
        <v>2659.6300000000047</v>
      </c>
      <c r="AS4" s="19">
        <f>'1'!G39</f>
        <v>3316.570000000007</v>
      </c>
      <c r="AT4" s="19">
        <f>'1'!G40</f>
        <v>611.13999999999942</v>
      </c>
      <c r="AU4" s="19">
        <f>'1'!G41</f>
        <v>-0.27000000000000313</v>
      </c>
      <c r="AV4" s="19">
        <f>'1'!G42</f>
        <v>2443.75</v>
      </c>
      <c r="AW4" s="19">
        <f>'1'!G43</f>
        <v>3093.5299999999988</v>
      </c>
      <c r="AX4" s="19">
        <f>'1'!G44</f>
        <v>0</v>
      </c>
      <c r="AY4" s="56">
        <f>'1'!G36</f>
        <v>1190.3399999999965</v>
      </c>
      <c r="AZ4" s="55">
        <f>'1'!G49</f>
        <v>1716.8000000000029</v>
      </c>
      <c r="BA4" s="19">
        <f>'1'!G51</f>
        <v>0</v>
      </c>
      <c r="BB4" s="19">
        <f>'1'!G52</f>
        <v>-0.24000000000000021</v>
      </c>
      <c r="BC4" s="19">
        <f>'1'!G53</f>
        <v>0</v>
      </c>
      <c r="BD4" s="19">
        <f>'1'!G54</f>
        <v>525.94000000000233</v>
      </c>
      <c r="BE4" s="19">
        <f>'1'!G55</f>
        <v>3553.9700000000012</v>
      </c>
      <c r="BF4" s="19">
        <f>'1'!G56</f>
        <v>0.32000000000698492</v>
      </c>
      <c r="BG4" s="19">
        <f>'1'!G57</f>
        <v>0</v>
      </c>
      <c r="BH4" s="56">
        <f>'1'!G50</f>
        <v>1450.859999999986</v>
      </c>
      <c r="BI4" s="60">
        <f>SUM(AU4,AV4,BE4,BF4)</f>
        <v>5997.7700000000077</v>
      </c>
      <c r="BJ4" s="60">
        <f>'1'!G133</f>
        <v>756.01000000000931</v>
      </c>
      <c r="BK4" s="23">
        <f>SUM(AP4,AU4,AV4,AW4,AZ4,BE4,BF4,BG4)/H4%</f>
        <v>47.470158079552746</v>
      </c>
      <c r="BL4" s="23">
        <f>SUM(AS4,BC4)/H4%</f>
        <v>12.098626990768565</v>
      </c>
      <c r="BM4" s="24">
        <f>(AR4+BB4)/H4</f>
        <v>9.7012780170417048E-2</v>
      </c>
      <c r="BN4" s="25">
        <f>J4+N4+Q4+U4</f>
        <v>343496.22</v>
      </c>
      <c r="BO4" s="38">
        <f>SUM(AU4,AV4,AW4,BE4,BF4,BG4,BJ4)</f>
        <v>9847.3100000000159</v>
      </c>
      <c r="BP4">
        <f>BO4/(AD4*280)</f>
        <v>0.99067505030181247</v>
      </c>
      <c r="BQ4" s="38">
        <f>SUM(AU4,AV4,BE4,BF4)/(AD4*400)</f>
        <v>0.42237816901408504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0.86</v>
      </c>
      <c r="G5" s="19">
        <f>'2'!G7</f>
        <v>26948</v>
      </c>
      <c r="H5" s="19">
        <f>'2'!G8</f>
        <v>27332</v>
      </c>
      <c r="I5" s="19">
        <v>9</v>
      </c>
      <c r="J5" s="49">
        <f t="shared" ref="J5:J34" si="3">H5*I5</f>
        <v>245988</v>
      </c>
      <c r="K5" s="45">
        <f t="shared" ref="K5:K33" si="4">H5/202</f>
        <v>135.30693069306932</v>
      </c>
      <c r="L5" s="19">
        <f>'2'!G15</f>
        <v>1084</v>
      </c>
      <c r="M5" s="19">
        <v>56.2</v>
      </c>
      <c r="N5" s="45">
        <f t="shared" ref="N5:N33" si="5">L5*M5</f>
        <v>60920.800000000003</v>
      </c>
      <c r="O5" s="19">
        <f>'2'!G20</f>
        <v>285</v>
      </c>
      <c r="P5" s="19">
        <v>108</v>
      </c>
      <c r="Q5" s="46">
        <f t="shared" si="0"/>
        <v>30780</v>
      </c>
      <c r="R5" s="47">
        <f t="shared" si="1"/>
        <v>164.05710338475708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441366</v>
      </c>
      <c r="W5" s="22">
        <f>'2'!G66</f>
        <v>16</v>
      </c>
      <c r="X5" s="22">
        <f>'2'!G67</f>
        <v>84</v>
      </c>
      <c r="Y5" s="22">
        <f t="shared" ref="Y5:Y33" si="7">V5+W5+X5</f>
        <v>441466</v>
      </c>
      <c r="Z5" s="19">
        <f>'2'!G84</f>
        <v>-0.40000000000145519</v>
      </c>
      <c r="AA5" s="19">
        <f>'2'!G85</f>
        <v>24</v>
      </c>
      <c r="AB5" s="19">
        <f>'2'!G86</f>
        <v>12</v>
      </c>
      <c r="AC5" s="19">
        <f>'2'!G87</f>
        <v>-0.34999999999854481</v>
      </c>
      <c r="AD5" s="19">
        <f t="shared" ref="AD5:AD33" si="8">Z5+AA5+AB5+AC5</f>
        <v>35.25</v>
      </c>
      <c r="AE5" s="23">
        <f t="shared" si="2"/>
        <v>7149</v>
      </c>
      <c r="AF5" s="23">
        <f t="shared" ref="AF5:AF33" si="9">AE5/AD5</f>
        <v>202.80851063829786</v>
      </c>
      <c r="AG5" s="19">
        <f>'2'!G88</f>
        <v>-0.40000000000145519</v>
      </c>
      <c r="AH5" s="19">
        <f>'2'!G89</f>
        <v>9.9799999999995634</v>
      </c>
      <c r="AI5" s="19">
        <f>'2'!G90</f>
        <v>8</v>
      </c>
      <c r="AJ5" s="19">
        <f t="shared" ref="AJ5:AJ33" si="10">AG5+AH5+AI5</f>
        <v>17.579999999998108</v>
      </c>
      <c r="AK5" s="19">
        <f>'2'!G91</f>
        <v>0.25</v>
      </c>
      <c r="AL5" s="19">
        <f>'2'!G92</f>
        <v>10</v>
      </c>
      <c r="AM5" s="19"/>
      <c r="AN5" s="19">
        <f t="shared" ref="AN5:AN33" si="11">AK5+AL5</f>
        <v>10.25</v>
      </c>
      <c r="AO5" s="52">
        <f>'2'!G74</f>
        <v>298</v>
      </c>
      <c r="AP5" s="55">
        <f>'2'!G35</f>
        <v>2080</v>
      </c>
      <c r="AQ5" s="19">
        <f>'2'!G37</f>
        <v>1598</v>
      </c>
      <c r="AR5" s="19">
        <f>'2'!G38</f>
        <v>2699</v>
      </c>
      <c r="AS5" s="19">
        <f>'2'!G39</f>
        <v>3422</v>
      </c>
      <c r="AT5" s="19">
        <f>'2'!G40</f>
        <v>612</v>
      </c>
      <c r="AU5" s="19">
        <f>'2'!G41</f>
        <v>0</v>
      </c>
      <c r="AV5" s="19">
        <f>'2'!G42</f>
        <v>5519</v>
      </c>
      <c r="AW5" s="19">
        <f>'2'!G43</f>
        <v>3118</v>
      </c>
      <c r="AX5" s="19">
        <f>'2'!G44</f>
        <v>0</v>
      </c>
      <c r="AY5" s="56">
        <f>'2'!G36</f>
        <v>814</v>
      </c>
      <c r="AZ5" s="55">
        <f>'2'!G49</f>
        <v>1677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529</v>
      </c>
      <c r="BE5" s="19">
        <f>'2'!G55</f>
        <v>1630</v>
      </c>
      <c r="BF5" s="19">
        <f>'2'!G56</f>
        <v>0</v>
      </c>
      <c r="BG5" s="19">
        <f>'2'!G57</f>
        <v>0</v>
      </c>
      <c r="BH5" s="56">
        <f>'2'!G50</f>
        <v>1512</v>
      </c>
      <c r="BI5" s="60">
        <f t="shared" ref="BI5:BI32" si="12">SUM(AU5,AV5,BE5,BF5)</f>
        <v>7149</v>
      </c>
      <c r="BJ5" s="60">
        <f>'2'!G133</f>
        <v>776</v>
      </c>
      <c r="BK5" s="23">
        <f t="shared" ref="BK5:BK33" si="13">SUM(AP5,AU5,AV5,AW5,AZ5,BE5,BF5,BG5)/H5%</f>
        <v>51.309819991219086</v>
      </c>
      <c r="BL5" s="23">
        <f t="shared" ref="BL5:BL33" si="14">SUM(AS5,BC5)/H5%</f>
        <v>12.520122932825991</v>
      </c>
      <c r="BM5" s="24">
        <f t="shared" ref="BM5:BM33" si="15">(AR5+BB5)/H5</f>
        <v>9.8748719449729253E-2</v>
      </c>
      <c r="BN5" s="25">
        <f t="shared" ref="BN5:BN33" si="16">J5+N5+Q5+U5</f>
        <v>337688.8</v>
      </c>
      <c r="BO5" s="38">
        <f t="shared" ref="BO5:BO35" si="17">SUM(AU5,AV5,AW5,BE5,BF5,BG5,BJ5)</f>
        <v>11043</v>
      </c>
      <c r="BP5">
        <f t="shared" ref="BP5:BP35" si="18">BO5/(AD5*280)</f>
        <v>1.1188449848024316</v>
      </c>
    </row>
    <row r="6" spans="1:69">
      <c r="A6" s="16">
        <v>3</v>
      </c>
      <c r="B6" s="26">
        <v>3</v>
      </c>
      <c r="C6" s="26"/>
      <c r="D6" s="19" t="str">
        <f>'3'!D3</f>
        <v xml:space="preserve">  `1</v>
      </c>
      <c r="E6" s="50">
        <f>'3'!D4</f>
        <v>0.9</v>
      </c>
      <c r="F6" s="50">
        <f>'3'!D2</f>
        <v>0.8</v>
      </c>
      <c r="G6" s="19">
        <f>'3'!G7</f>
        <v>26602</v>
      </c>
      <c r="H6" s="19">
        <f>'3'!G8</f>
        <v>26968</v>
      </c>
      <c r="I6" s="19">
        <v>9</v>
      </c>
      <c r="J6" s="49">
        <f t="shared" si="3"/>
        <v>242712</v>
      </c>
      <c r="K6" s="45">
        <f t="shared" si="4"/>
        <v>133.50495049504951</v>
      </c>
      <c r="L6" s="19">
        <f>'3'!G15</f>
        <v>1110</v>
      </c>
      <c r="M6" s="19">
        <v>56.2</v>
      </c>
      <c r="N6" s="45">
        <f t="shared" si="5"/>
        <v>62382</v>
      </c>
      <c r="O6" s="19">
        <f>'3'!G20</f>
        <v>329</v>
      </c>
      <c r="P6" s="19">
        <v>108</v>
      </c>
      <c r="Q6" s="46">
        <f t="shared" si="0"/>
        <v>35532</v>
      </c>
      <c r="R6" s="47">
        <f t="shared" si="1"/>
        <v>203.58910891089104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114</v>
      </c>
      <c r="W6" s="22">
        <f>'3'!G66</f>
        <v>14</v>
      </c>
      <c r="X6" s="22">
        <f>'3'!G67</f>
        <v>74</v>
      </c>
      <c r="Y6" s="22">
        <f>V6+W6+X6</f>
        <v>202</v>
      </c>
      <c r="Z6" s="19">
        <f>'3'!G84</f>
        <v>0</v>
      </c>
      <c r="AA6" s="19">
        <f>'3'!G85</f>
        <v>24</v>
      </c>
      <c r="AB6" s="19">
        <f>'3'!G86</f>
        <v>12</v>
      </c>
      <c r="AC6" s="19">
        <f>'3'!G87</f>
        <v>0</v>
      </c>
      <c r="AD6" s="19">
        <f t="shared" si="8"/>
        <v>36</v>
      </c>
      <c r="AE6" s="23">
        <f t="shared" si="2"/>
        <v>7071</v>
      </c>
      <c r="AF6" s="23">
        <f t="shared" si="9"/>
        <v>196.41666666666666</v>
      </c>
      <c r="AG6" s="19">
        <f>'3'!G88</f>
        <v>0</v>
      </c>
      <c r="AH6" s="19">
        <f>'3'!G89</f>
        <v>11.540000000000873</v>
      </c>
      <c r="AI6" s="19">
        <f>'3'!G90</f>
        <v>9</v>
      </c>
      <c r="AJ6" s="19">
        <f t="shared" si="10"/>
        <v>20.540000000000873</v>
      </c>
      <c r="AK6" s="19">
        <f>'3'!G91</f>
        <v>0</v>
      </c>
      <c r="AL6" s="19">
        <f>'3'!G92</f>
        <v>12</v>
      </c>
      <c r="AM6" s="19"/>
      <c r="AN6" s="19">
        <f t="shared" si="11"/>
        <v>12</v>
      </c>
      <c r="AO6" s="52">
        <f>'3'!G74</f>
        <v>335</v>
      </c>
      <c r="AP6" s="55">
        <f>'3'!G35</f>
        <v>2036</v>
      </c>
      <c r="AQ6" s="19">
        <f>'3'!G37</f>
        <v>1561</v>
      </c>
      <c r="AR6" s="19">
        <f>'3'!G38</f>
        <v>2595</v>
      </c>
      <c r="AS6" s="19">
        <f>'3'!G39</f>
        <v>3290</v>
      </c>
      <c r="AT6" s="19">
        <f>'3'!G40</f>
        <v>619</v>
      </c>
      <c r="AU6" s="19">
        <f>'3'!G41</f>
        <v>0</v>
      </c>
      <c r="AV6" s="19">
        <f>'3'!G42</f>
        <v>5410</v>
      </c>
      <c r="AW6" s="19">
        <f>'3'!G43</f>
        <v>3044</v>
      </c>
      <c r="AX6" s="19">
        <f>'3'!G44</f>
        <v>0</v>
      </c>
      <c r="AY6" s="56">
        <f>'3'!G36</f>
        <v>842</v>
      </c>
      <c r="AZ6" s="55">
        <f>'3'!G49</f>
        <v>1771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531</v>
      </c>
      <c r="BE6" s="19">
        <f>'3'!G55</f>
        <v>1661</v>
      </c>
      <c r="BF6" s="19">
        <f>'3'!G56</f>
        <v>0</v>
      </c>
      <c r="BG6" s="19">
        <f>'3'!G57</f>
        <v>0</v>
      </c>
      <c r="BH6" s="56">
        <f>'3'!G50</f>
        <v>1680</v>
      </c>
      <c r="BI6" s="60">
        <f t="shared" si="12"/>
        <v>7071</v>
      </c>
      <c r="BJ6" s="60">
        <f>'3'!G133</f>
        <v>858</v>
      </c>
      <c r="BK6" s="23">
        <f t="shared" si="13"/>
        <v>51.624147137347968</v>
      </c>
      <c r="BL6" s="23">
        <f t="shared" si="14"/>
        <v>12.199644022545238</v>
      </c>
      <c r="BM6" s="24">
        <f t="shared" si="15"/>
        <v>9.6224784930287743E-2</v>
      </c>
      <c r="BN6" s="25">
        <f t="shared" si="16"/>
        <v>340626</v>
      </c>
      <c r="BO6" s="38">
        <f t="shared" si="17"/>
        <v>10973</v>
      </c>
      <c r="BP6">
        <f t="shared" si="18"/>
        <v>1.0885912698412699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26553</v>
      </c>
      <c r="H7" s="19">
        <f>'4'!G8</f>
        <v>26930</v>
      </c>
      <c r="I7" s="19">
        <v>9</v>
      </c>
      <c r="J7" s="49">
        <f t="shared" si="3"/>
        <v>242370</v>
      </c>
      <c r="K7" s="45">
        <f t="shared" si="4"/>
        <v>133.31683168316832</v>
      </c>
      <c r="L7" s="19">
        <f>'4'!G15</f>
        <v>1059</v>
      </c>
      <c r="M7" s="19">
        <v>56.2</v>
      </c>
      <c r="N7" s="45">
        <f t="shared" si="5"/>
        <v>59515.8</v>
      </c>
      <c r="O7" s="19">
        <f>'4'!G20</f>
        <v>326</v>
      </c>
      <c r="P7" s="19">
        <v>108</v>
      </c>
      <c r="Q7" s="46">
        <f t="shared" si="0"/>
        <v>35208</v>
      </c>
      <c r="R7" s="47">
        <f t="shared" si="1"/>
        <v>161.38613861386139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101</v>
      </c>
      <c r="W7" s="22">
        <f>'4'!G66</f>
        <v>14</v>
      </c>
      <c r="X7" s="22">
        <f>'4'!G67</f>
        <v>68</v>
      </c>
      <c r="Y7" s="22">
        <f t="shared" si="7"/>
        <v>183</v>
      </c>
      <c r="Z7" s="19">
        <f>'4'!G84</f>
        <v>0.26000000000203727</v>
      </c>
      <c r="AA7" s="19">
        <f>'4'!G85</f>
        <v>23</v>
      </c>
      <c r="AB7" s="19">
        <f>'4'!G86</f>
        <v>0</v>
      </c>
      <c r="AC7" s="19">
        <f>'4'!G87</f>
        <v>14</v>
      </c>
      <c r="AD7" s="19">
        <f t="shared" si="8"/>
        <v>37.260000000002037</v>
      </c>
      <c r="AE7" s="23">
        <f t="shared" si="2"/>
        <v>7153</v>
      </c>
      <c r="AF7" s="23">
        <f t="shared" si="9"/>
        <v>191.9753086419648</v>
      </c>
      <c r="AG7" s="19">
        <f>'4'!G88</f>
        <v>0</v>
      </c>
      <c r="AH7" s="19">
        <f>'4'!G89</f>
        <v>10</v>
      </c>
      <c r="AI7" s="19">
        <f>'4'!G90</f>
        <v>8</v>
      </c>
      <c r="AJ7" s="19">
        <f t="shared" si="10"/>
        <v>18</v>
      </c>
      <c r="AK7" s="19">
        <f>'4'!G91</f>
        <v>0</v>
      </c>
      <c r="AL7" s="19">
        <f>'4'!G92</f>
        <v>11</v>
      </c>
      <c r="AM7" s="19"/>
      <c r="AN7" s="19">
        <f t="shared" si="11"/>
        <v>11</v>
      </c>
      <c r="AO7" s="52">
        <f>'4'!G74</f>
        <v>318</v>
      </c>
      <c r="AP7" s="55">
        <f>'4'!G35</f>
        <v>2039</v>
      </c>
      <c r="AQ7" s="19">
        <f>'4'!G37</f>
        <v>1597</v>
      </c>
      <c r="AR7" s="19">
        <f>'4'!G38</f>
        <v>2489</v>
      </c>
      <c r="AS7" s="19">
        <f>'4'!G39</f>
        <v>3251</v>
      </c>
      <c r="AT7" s="19">
        <f>'4'!G40</f>
        <v>622</v>
      </c>
      <c r="AU7" s="19">
        <f>'4'!G41</f>
        <v>0</v>
      </c>
      <c r="AV7" s="19">
        <f>'4'!G42</f>
        <v>5345</v>
      </c>
      <c r="AW7" s="19">
        <f>'4'!G43</f>
        <v>2917</v>
      </c>
      <c r="AX7" s="19">
        <f>'4'!G44</f>
        <v>0</v>
      </c>
      <c r="AY7" s="56">
        <f>'4'!G36</f>
        <v>730</v>
      </c>
      <c r="AZ7" s="55">
        <f>'4'!G49</f>
        <v>1671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531</v>
      </c>
      <c r="BE7" s="19">
        <f>'4'!G55</f>
        <v>0</v>
      </c>
      <c r="BF7" s="19">
        <f>'4'!G56</f>
        <v>1808</v>
      </c>
      <c r="BG7" s="19">
        <f>'4'!G57</f>
        <v>0</v>
      </c>
      <c r="BH7" s="56">
        <f>'4'!G50</f>
        <v>1671</v>
      </c>
      <c r="BI7" s="60">
        <f t="shared" si="12"/>
        <v>7153</v>
      </c>
      <c r="BJ7" s="60">
        <f>'3'!G133</f>
        <v>858</v>
      </c>
      <c r="BK7" s="23">
        <f t="shared" si="13"/>
        <v>51.169699220200521</v>
      </c>
      <c r="BL7" s="23">
        <f t="shared" si="14"/>
        <v>12.072038618640921</v>
      </c>
      <c r="BM7" s="24">
        <f t="shared" si="15"/>
        <v>9.2424805050129968E-2</v>
      </c>
      <c r="BN7" s="25">
        <f t="shared" si="16"/>
        <v>337093.8</v>
      </c>
      <c r="BO7" s="38">
        <f t="shared" si="17"/>
        <v>10928</v>
      </c>
      <c r="BP7">
        <f t="shared" si="18"/>
        <v>1.0474656851467874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26902.710000000006</v>
      </c>
      <c r="H8" s="19">
        <f>'5'!G8</f>
        <v>27471.010000000009</v>
      </c>
      <c r="I8" s="19">
        <v>9</v>
      </c>
      <c r="J8" s="49">
        <f t="shared" si="3"/>
        <v>247239.09000000008</v>
      </c>
      <c r="K8" s="45">
        <f t="shared" si="4"/>
        <v>135.99509900990103</v>
      </c>
      <c r="L8" s="19">
        <f>'5'!G15</f>
        <v>1117.8899999998976</v>
      </c>
      <c r="M8" s="19">
        <v>56.2</v>
      </c>
      <c r="N8" s="45">
        <f t="shared" si="5"/>
        <v>62825.417999994243</v>
      </c>
      <c r="O8" s="19">
        <f>'5'!G20</f>
        <v>286</v>
      </c>
      <c r="P8" s="19">
        <v>108</v>
      </c>
      <c r="Q8" s="46">
        <f t="shared" si="0"/>
        <v>30888</v>
      </c>
      <c r="R8" s="47">
        <f t="shared" si="1"/>
        <v>211.31963942662924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109</v>
      </c>
      <c r="W8" s="22">
        <f>'5'!G66</f>
        <v>18</v>
      </c>
      <c r="X8" s="22">
        <f>'5'!G67</f>
        <v>71</v>
      </c>
      <c r="Y8" s="22">
        <f t="shared" si="7"/>
        <v>198</v>
      </c>
      <c r="Z8" s="19">
        <f>'5'!G84</f>
        <v>0</v>
      </c>
      <c r="AA8" s="19">
        <f>'5'!G85</f>
        <v>14.519999999999982</v>
      </c>
      <c r="AB8" s="19">
        <f>'5'!G86</f>
        <v>0</v>
      </c>
      <c r="AC8" s="19">
        <f>'5'!G87</f>
        <v>24.190000000002328</v>
      </c>
      <c r="AD8" s="19">
        <f t="shared" si="8"/>
        <v>38.71000000000231</v>
      </c>
      <c r="AE8" s="23">
        <f t="shared" si="2"/>
        <v>6722.8000000000029</v>
      </c>
      <c r="AF8" s="23">
        <f t="shared" si="9"/>
        <v>173.67088607593908</v>
      </c>
      <c r="AG8" s="19">
        <f>'5'!G88</f>
        <v>2.8899999999994179</v>
      </c>
      <c r="AH8" s="19">
        <f>'5'!G89</f>
        <v>10.319999999999709</v>
      </c>
      <c r="AI8" s="19">
        <f>'5'!G90</f>
        <v>6.8899999999994179</v>
      </c>
      <c r="AJ8" s="19">
        <f t="shared" si="10"/>
        <v>20.099999999998545</v>
      </c>
      <c r="AK8" s="19">
        <f>'5'!G91</f>
        <v>0</v>
      </c>
      <c r="AL8" s="19">
        <f>'5'!G92</f>
        <v>10.890000000000327</v>
      </c>
      <c r="AM8" s="19"/>
      <c r="AN8" s="19">
        <f t="shared" si="11"/>
        <v>10.890000000000327</v>
      </c>
      <c r="AO8" s="52">
        <f>'5'!G74</f>
        <v>316.85999999998603</v>
      </c>
      <c r="AP8" s="55">
        <f>'5'!G35</f>
        <v>2156.1499999999942</v>
      </c>
      <c r="AQ8" s="19">
        <f>'5'!G37</f>
        <v>1642.890000000014</v>
      </c>
      <c r="AR8" s="19">
        <f>'5'!G38</f>
        <v>2495.929999999993</v>
      </c>
      <c r="AS8" s="19">
        <f>'5'!G39</f>
        <v>3265.2699999999895</v>
      </c>
      <c r="AT8" s="19">
        <f>'5'!G40</f>
        <v>420.18000000000029</v>
      </c>
      <c r="AU8" s="19">
        <f>'5'!G41</f>
        <v>0</v>
      </c>
      <c r="AV8" s="19">
        <f>'5'!G42</f>
        <v>3182.6900000000023</v>
      </c>
      <c r="AW8" s="19">
        <f>'5'!G43</f>
        <v>2879.4899999999907</v>
      </c>
      <c r="AX8" s="19">
        <f>'5'!G44</f>
        <v>0</v>
      </c>
      <c r="AY8" s="56">
        <f>'5'!G36</f>
        <v>777.13000000000466</v>
      </c>
      <c r="AZ8" s="55">
        <f>'5'!G49</f>
        <v>1874.9900000000052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527.62999999999738</v>
      </c>
      <c r="BE8" s="19">
        <f>'5'!G55</f>
        <v>0.44999999999708962</v>
      </c>
      <c r="BF8" s="19">
        <f>'5'!G56</f>
        <v>3539.6600000000035</v>
      </c>
      <c r="BG8" s="19">
        <f>'5'!G57</f>
        <v>0</v>
      </c>
      <c r="BH8" s="56">
        <f>'5'!G50</f>
        <v>1112.5599999999977</v>
      </c>
      <c r="BI8" s="60">
        <f t="shared" si="12"/>
        <v>6722.8000000000029</v>
      </c>
      <c r="BJ8" s="60">
        <f>'5'!G133</f>
        <v>944.83999999999651</v>
      </c>
      <c r="BK8" s="23">
        <f t="shared" si="13"/>
        <v>49.628426475764776</v>
      </c>
      <c r="BL8" s="23">
        <f t="shared" si="14"/>
        <v>11.886239348316602</v>
      </c>
      <c r="BM8" s="24">
        <f t="shared" si="15"/>
        <v>9.0857234590209543E-2</v>
      </c>
      <c r="BN8" s="25">
        <f t="shared" si="16"/>
        <v>340952.50799999433</v>
      </c>
      <c r="BO8" s="38">
        <f t="shared" si="17"/>
        <v>10547.12999999999</v>
      </c>
      <c r="BP8">
        <f t="shared" si="18"/>
        <v>0.97309019448641554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27592.029999999984</v>
      </c>
      <c r="H9" s="19">
        <f>'6'!G8</f>
        <v>28151.059999999998</v>
      </c>
      <c r="I9" s="19">
        <v>9</v>
      </c>
      <c r="J9" s="49">
        <f t="shared" si="3"/>
        <v>253359.53999999998</v>
      </c>
      <c r="K9" s="45">
        <f t="shared" si="4"/>
        <v>139.36168316831683</v>
      </c>
      <c r="L9" s="19">
        <f>'6'!G15</f>
        <v>1125.8300000000745</v>
      </c>
      <c r="M9" s="19">
        <v>56.2</v>
      </c>
      <c r="N9" s="45">
        <f t="shared" si="5"/>
        <v>63271.646000004192</v>
      </c>
      <c r="O9" s="19">
        <f>'6'!G20</f>
        <v>310</v>
      </c>
      <c r="P9" s="19">
        <v>108</v>
      </c>
      <c r="Q9" s="46">
        <f t="shared" si="0"/>
        <v>33480</v>
      </c>
      <c r="R9" s="47">
        <f t="shared" si="1"/>
        <v>264.59542505974736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115</v>
      </c>
      <c r="W9" s="22">
        <f>'6'!G66</f>
        <v>16</v>
      </c>
      <c r="X9" s="22">
        <f>'6'!G67</f>
        <v>72</v>
      </c>
      <c r="Y9" s="22">
        <f t="shared" si="7"/>
        <v>203</v>
      </c>
      <c r="Z9" s="19">
        <f>'6'!G84</f>
        <v>-0.26000000000203727</v>
      </c>
      <c r="AA9" s="19">
        <f>'6'!G85</f>
        <v>22.860000000000127</v>
      </c>
      <c r="AB9" s="19">
        <f>'6'!G86</f>
        <v>0</v>
      </c>
      <c r="AC9" s="19">
        <f>'6'!G87</f>
        <v>17.019999999996799</v>
      </c>
      <c r="AD9" s="19">
        <f t="shared" si="8"/>
        <v>39.619999999994889</v>
      </c>
      <c r="AE9" s="23">
        <f t="shared" si="2"/>
        <v>7849.890000000014</v>
      </c>
      <c r="AF9" s="23">
        <f t="shared" si="9"/>
        <v>198.12948006060137</v>
      </c>
      <c r="AG9" s="19">
        <f>'6'!G88</f>
        <v>3.0100000000020373</v>
      </c>
      <c r="AH9" s="19">
        <f>'6'!G89</f>
        <v>10.330000000001746</v>
      </c>
      <c r="AI9" s="19">
        <f>'6'!G90</f>
        <v>7.0099999999947613</v>
      </c>
      <c r="AJ9" s="19">
        <f t="shared" si="10"/>
        <v>20.349999999998545</v>
      </c>
      <c r="AK9" s="19">
        <f>'6'!G91</f>
        <v>0</v>
      </c>
      <c r="AL9" s="19">
        <f>'6'!G92</f>
        <v>10.769999999999527</v>
      </c>
      <c r="AM9" s="19"/>
      <c r="AN9" s="19">
        <f t="shared" si="11"/>
        <v>10.769999999999527</v>
      </c>
      <c r="AO9" s="52">
        <f>'6'!G74</f>
        <v>310.46999999997206</v>
      </c>
      <c r="AP9" s="55">
        <f>'6'!G35</f>
        <v>2151.0100000000093</v>
      </c>
      <c r="AQ9" s="19">
        <f>'6'!G37</f>
        <v>1635.7199999999721</v>
      </c>
      <c r="AR9" s="19">
        <f>'6'!G38</f>
        <v>2460.179999999993</v>
      </c>
      <c r="AS9" s="19">
        <f>'6'!G39</f>
        <v>3292.3399999999965</v>
      </c>
      <c r="AT9" s="19">
        <f>'6'!G40</f>
        <v>468.83999999999651</v>
      </c>
      <c r="AU9" s="19">
        <f>'6'!G41</f>
        <v>0</v>
      </c>
      <c r="AV9" s="19">
        <f>'6'!G42</f>
        <v>5497.3400000000256</v>
      </c>
      <c r="AW9" s="19">
        <f>'6'!G43</f>
        <v>2996.7800000000279</v>
      </c>
      <c r="AX9" s="19">
        <f>'6'!G44</f>
        <v>0</v>
      </c>
      <c r="AY9" s="56">
        <f>'6'!G36</f>
        <v>947.52999999999884</v>
      </c>
      <c r="AZ9" s="55">
        <f>'6'!G49</f>
        <v>1763.3399999999965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476.91000000000349</v>
      </c>
      <c r="BE9" s="19">
        <f>'6'!G55</f>
        <v>-2.0000000004074536E-2</v>
      </c>
      <c r="BF9" s="19">
        <f>'6'!G56</f>
        <v>2352.5699999999924</v>
      </c>
      <c r="BG9" s="19">
        <f>'6'!G57</f>
        <v>0</v>
      </c>
      <c r="BH9" s="56">
        <f>'6'!G50</f>
        <v>1119.0400000000081</v>
      </c>
      <c r="BI9" s="60">
        <f t="shared" si="12"/>
        <v>7849.890000000014</v>
      </c>
      <c r="BJ9" s="60">
        <f>'6'!G133</f>
        <v>933.23999999999069</v>
      </c>
      <c r="BK9" s="23">
        <f t="shared" si="13"/>
        <v>52.435041522415318</v>
      </c>
      <c r="BL9" s="23">
        <f t="shared" si="14"/>
        <v>11.695261208636538</v>
      </c>
      <c r="BM9" s="24">
        <f t="shared" si="15"/>
        <v>8.7392091097102317E-2</v>
      </c>
      <c r="BN9" s="25">
        <f t="shared" si="16"/>
        <v>350111.18600000418</v>
      </c>
      <c r="BO9" s="38">
        <f t="shared" si="17"/>
        <v>11779.910000000033</v>
      </c>
      <c r="BP9">
        <f t="shared" si="18"/>
        <v>1.0618653998703353</v>
      </c>
    </row>
    <row r="10" spans="1:69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27926.290000000008</v>
      </c>
      <c r="H10" s="19">
        <f>'7'!G8</f>
        <v>28469.679999999993</v>
      </c>
      <c r="I10" s="19">
        <v>9</v>
      </c>
      <c r="J10" s="49">
        <f t="shared" si="3"/>
        <v>256227.11999999994</v>
      </c>
      <c r="K10" s="45">
        <f t="shared" si="4"/>
        <v>140.93900990099007</v>
      </c>
      <c r="L10" s="19">
        <f>'7'!G15</f>
        <v>1059.5700000000652</v>
      </c>
      <c r="M10" s="19">
        <v>56.2</v>
      </c>
      <c r="N10" s="45">
        <f t="shared" si="5"/>
        <v>59547.83400000367</v>
      </c>
      <c r="O10" s="19">
        <f>'7'!G20</f>
        <v>206</v>
      </c>
      <c r="P10" s="19">
        <v>108</v>
      </c>
      <c r="Q10" s="46">
        <f t="shared" si="0"/>
        <v>22248</v>
      </c>
      <c r="R10" s="47">
        <f t="shared" si="1"/>
        <v>135.97359735973598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101</v>
      </c>
      <c r="W10" s="22">
        <f>'7'!G66</f>
        <v>13</v>
      </c>
      <c r="X10" s="22">
        <f>'7'!G67</f>
        <v>71</v>
      </c>
      <c r="Y10" s="22">
        <f t="shared" si="7"/>
        <v>185</v>
      </c>
      <c r="Z10" s="19">
        <f>'7'!G84</f>
        <v>0</v>
      </c>
      <c r="AA10" s="19">
        <f>'7'!G85</f>
        <v>24.039999999999964</v>
      </c>
      <c r="AB10" s="19">
        <f>'7'!G86</f>
        <v>0</v>
      </c>
      <c r="AC10" s="19">
        <f>'7'!G87</f>
        <v>16.129999999997381</v>
      </c>
      <c r="AD10" s="19">
        <f t="shared" si="8"/>
        <v>40.169999999997344</v>
      </c>
      <c r="AE10" s="23">
        <f t="shared" si="2"/>
        <v>8007.3199999999924</v>
      </c>
      <c r="AF10" s="23">
        <f t="shared" si="9"/>
        <v>199.33582275331148</v>
      </c>
      <c r="AG10" s="19">
        <f>'7'!G88</f>
        <v>0</v>
      </c>
      <c r="AH10" s="19">
        <f>'7'!G89</f>
        <v>9.4399999999986903</v>
      </c>
      <c r="AI10" s="19">
        <f>'7'!G90</f>
        <v>10.790000000008149</v>
      </c>
      <c r="AJ10" s="19">
        <f t="shared" si="10"/>
        <v>20.230000000006839</v>
      </c>
      <c r="AK10" s="19">
        <f>'7'!G91</f>
        <v>0</v>
      </c>
      <c r="AL10" s="19">
        <f>'7'!G92</f>
        <v>10.25</v>
      </c>
      <c r="AM10" s="19"/>
      <c r="AN10" s="19">
        <f t="shared" si="11"/>
        <v>10.25</v>
      </c>
      <c r="AO10" s="52">
        <f>'7'!G74</f>
        <v>292.95000000006985</v>
      </c>
      <c r="AP10" s="55">
        <f>'7'!G35</f>
        <v>2173.1600000000035</v>
      </c>
      <c r="AQ10" s="19">
        <f>'7'!G37</f>
        <v>1636.9000000000233</v>
      </c>
      <c r="AR10" s="19">
        <f>'7'!G38</f>
        <v>2435.9800000000105</v>
      </c>
      <c r="AS10" s="19">
        <f>'7'!G39</f>
        <v>3334.6600000000326</v>
      </c>
      <c r="AT10" s="19">
        <f>'7'!G40</f>
        <v>492</v>
      </c>
      <c r="AU10" s="19">
        <f>'7'!G41</f>
        <v>0</v>
      </c>
      <c r="AV10" s="19">
        <f>'7'!G42</f>
        <v>5626.359999999986</v>
      </c>
      <c r="AW10" s="19">
        <f>'7'!G43</f>
        <v>3021.1999999999534</v>
      </c>
      <c r="AX10" s="19">
        <f>'7'!G44</f>
        <v>0</v>
      </c>
      <c r="AY10" s="56">
        <f>'7'!G36</f>
        <v>1059.3899999999994</v>
      </c>
      <c r="AZ10" s="55">
        <f>'7'!G49</f>
        <v>1811.7099999999919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469.95999999999913</v>
      </c>
      <c r="BE10" s="19">
        <f>'7'!G55</f>
        <v>0</v>
      </c>
      <c r="BF10" s="19">
        <f>'7'!G56</f>
        <v>2380.9600000000064</v>
      </c>
      <c r="BG10" s="19">
        <f>'7'!G57</f>
        <v>0</v>
      </c>
      <c r="BH10" s="56">
        <f>'7'!G50</f>
        <v>1144.3800000000047</v>
      </c>
      <c r="BI10" s="60">
        <f t="shared" si="12"/>
        <v>8007.3199999999924</v>
      </c>
      <c r="BJ10" s="60">
        <f>'7'!G133</f>
        <v>920.87000000002445</v>
      </c>
      <c r="BK10" s="23">
        <f t="shared" si="13"/>
        <v>52.73466368431238</v>
      </c>
      <c r="BL10" s="23">
        <f t="shared" si="14"/>
        <v>11.713022415425931</v>
      </c>
      <c r="BM10" s="24">
        <f t="shared" si="15"/>
        <v>8.5564010554386671E-2</v>
      </c>
      <c r="BN10" s="25">
        <f t="shared" si="16"/>
        <v>338022.95400000364</v>
      </c>
      <c r="BO10" s="38">
        <f t="shared" si="17"/>
        <v>11949.38999999997</v>
      </c>
      <c r="BP10">
        <f t="shared" si="18"/>
        <v>1.0623946441908283</v>
      </c>
    </row>
    <row r="11" spans="1:69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0.98</v>
      </c>
      <c r="G11" s="19">
        <f>'8'!G7</f>
        <v>28543.140000000014</v>
      </c>
      <c r="H11" s="19">
        <f>'8'!G8</f>
        <v>29142.900000000023</v>
      </c>
      <c r="I11" s="19">
        <v>9</v>
      </c>
      <c r="J11" s="49">
        <f t="shared" si="3"/>
        <v>262286.10000000021</v>
      </c>
      <c r="K11" s="45">
        <f t="shared" si="4"/>
        <v>144.27178217821793</v>
      </c>
      <c r="L11" s="19">
        <f>'8'!G15</f>
        <v>1091.9399999999441</v>
      </c>
      <c r="M11" s="19">
        <v>56.2</v>
      </c>
      <c r="N11" s="45">
        <f t="shared" si="5"/>
        <v>61367.027999996862</v>
      </c>
      <c r="O11" s="19">
        <f>'8'!G20</f>
        <v>278</v>
      </c>
      <c r="P11" s="19">
        <v>108</v>
      </c>
      <c r="Q11" s="46">
        <f t="shared" si="0"/>
        <v>30024</v>
      </c>
      <c r="R11" s="47">
        <f t="shared" si="1"/>
        <v>140.43241058799757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116</v>
      </c>
      <c r="W11" s="22">
        <f>'8'!G66</f>
        <v>20</v>
      </c>
      <c r="X11" s="22">
        <f>'8'!G67</f>
        <v>76</v>
      </c>
      <c r="Y11" s="22">
        <f t="shared" si="7"/>
        <v>212</v>
      </c>
      <c r="Z11" s="19">
        <f>'8'!G84</f>
        <v>0</v>
      </c>
      <c r="AA11" s="19">
        <f>'8'!G85</f>
        <v>24.049999999999727</v>
      </c>
      <c r="AB11" s="19">
        <f>'8'!G86</f>
        <v>0</v>
      </c>
      <c r="AC11" s="19">
        <f>'8'!G87</f>
        <v>16.190000000002328</v>
      </c>
      <c r="AD11" s="19">
        <f t="shared" si="8"/>
        <v>40.240000000002055</v>
      </c>
      <c r="AE11" s="23">
        <f t="shared" si="2"/>
        <v>7852.0999999999622</v>
      </c>
      <c r="AF11" s="23">
        <f t="shared" si="9"/>
        <v>195.13170974153979</v>
      </c>
      <c r="AG11" s="19">
        <f>'8'!G88</f>
        <v>0</v>
      </c>
      <c r="AH11" s="19">
        <f>'8'!G89</f>
        <v>9.25</v>
      </c>
      <c r="AI11" s="19">
        <f>'8'!G90</f>
        <v>10.580000000001746</v>
      </c>
      <c r="AJ11" s="19">
        <f t="shared" si="10"/>
        <v>19.830000000001746</v>
      </c>
      <c r="AK11" s="19">
        <f>'8'!G91</f>
        <v>0</v>
      </c>
      <c r="AL11" s="19">
        <f>'8'!G92</f>
        <v>10.480000000000473</v>
      </c>
      <c r="AM11" s="19"/>
      <c r="AN11" s="19">
        <f t="shared" si="11"/>
        <v>10.480000000000473</v>
      </c>
      <c r="AO11" s="52">
        <f>'8'!G74</f>
        <v>302.07999999995809</v>
      </c>
      <c r="AP11" s="55">
        <f>'8'!G35</f>
        <v>2213.4100000000035</v>
      </c>
      <c r="AQ11" s="19">
        <f>'8'!G37</f>
        <v>1608.7599999999802</v>
      </c>
      <c r="AR11" s="19">
        <f>'8'!G38</f>
        <v>2563.2399999999907</v>
      </c>
      <c r="AS11" s="19">
        <f>'8'!G39</f>
        <v>3259.4400000000023</v>
      </c>
      <c r="AT11" s="19">
        <f>'8'!G40</f>
        <v>502.70000000000437</v>
      </c>
      <c r="AU11" s="19">
        <f>'8'!G41</f>
        <v>0</v>
      </c>
      <c r="AV11" s="19">
        <f>'8'!G42</f>
        <v>5461.5799999999581</v>
      </c>
      <c r="AW11" s="19">
        <f>'8'!G43</f>
        <v>3290.8800000000047</v>
      </c>
      <c r="AX11" s="23">
        <f>'8'!G44</f>
        <v>0</v>
      </c>
      <c r="AY11" s="56">
        <f>'8'!G36</f>
        <v>1131.2399999999907</v>
      </c>
      <c r="AZ11" s="55">
        <f>'8'!G49</f>
        <v>1950.8899999999994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472.84999999999854</v>
      </c>
      <c r="BE11" s="19">
        <f>'8'!G55</f>
        <v>0</v>
      </c>
      <c r="BF11" s="19">
        <f>'8'!G56</f>
        <v>2390.5200000000041</v>
      </c>
      <c r="BG11" s="19">
        <f>'8'!G57</f>
        <v>0</v>
      </c>
      <c r="BH11" s="56">
        <f>'8'!G50</f>
        <v>1416.8099999999977</v>
      </c>
      <c r="BI11" s="60">
        <f t="shared" si="12"/>
        <v>7852.0999999999622</v>
      </c>
      <c r="BJ11" s="60">
        <f>'8'!G133</f>
        <v>997.86999999999534</v>
      </c>
      <c r="BK11" s="23">
        <f t="shared" si="13"/>
        <v>52.524903149652083</v>
      </c>
      <c r="BL11" s="23">
        <f t="shared" si="14"/>
        <v>11.184336493622801</v>
      </c>
      <c r="BM11" s="24">
        <f t="shared" si="15"/>
        <v>8.7954184381101017E-2</v>
      </c>
      <c r="BN11" s="25">
        <f t="shared" si="16"/>
        <v>353677.12799999706</v>
      </c>
      <c r="BO11" s="38">
        <f t="shared" si="17"/>
        <v>12140.849999999962</v>
      </c>
      <c r="BP11">
        <f t="shared" si="18"/>
        <v>1.0775392289121823</v>
      </c>
    </row>
    <row r="12" spans="1:69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0.92</v>
      </c>
      <c r="G12" s="19">
        <f>'9'!G7</f>
        <v>29399.829999999987</v>
      </c>
      <c r="H12" s="19">
        <f>'9'!G8</f>
        <v>30000</v>
      </c>
      <c r="I12" s="19">
        <v>9</v>
      </c>
      <c r="J12" s="49">
        <f t="shared" si="3"/>
        <v>270000</v>
      </c>
      <c r="K12" s="45">
        <f t="shared" si="4"/>
        <v>148.51485148514851</v>
      </c>
      <c r="L12" s="19">
        <f>'9'!G15</f>
        <v>1090.3829999999143</v>
      </c>
      <c r="M12" s="19">
        <v>56.2</v>
      </c>
      <c r="N12" s="45">
        <f t="shared" si="5"/>
        <v>61279.524599995188</v>
      </c>
      <c r="O12" s="19">
        <f>'9'!G20</f>
        <v>327</v>
      </c>
      <c r="P12" s="19">
        <v>108</v>
      </c>
      <c r="Q12" s="46">
        <f t="shared" si="0"/>
        <v>35316</v>
      </c>
      <c r="R12" s="47">
        <f t="shared" si="1"/>
        <v>175.9578131726216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102</v>
      </c>
      <c r="W12" s="22">
        <f>'9'!G66</f>
        <v>17</v>
      </c>
      <c r="X12" s="22">
        <f>'9'!G67</f>
        <v>72</v>
      </c>
      <c r="Y12" s="22">
        <f t="shared" si="7"/>
        <v>191</v>
      </c>
      <c r="Z12" s="19">
        <f>'9'!G84</f>
        <v>0</v>
      </c>
      <c r="AA12" s="19">
        <f>'9'!G85</f>
        <v>23.610000000000127</v>
      </c>
      <c r="AB12" s="19">
        <f>'9'!G86</f>
        <v>0</v>
      </c>
      <c r="AC12" s="19">
        <f>'9'!G87</f>
        <v>17.470000000001164</v>
      </c>
      <c r="AD12" s="19">
        <f t="shared" si="8"/>
        <v>41.080000000001291</v>
      </c>
      <c r="AE12" s="23">
        <f t="shared" si="2"/>
        <v>8851.9600000000355</v>
      </c>
      <c r="AF12" s="23">
        <f t="shared" si="9"/>
        <v>215.48101265822194</v>
      </c>
      <c r="AG12" s="19">
        <f>'9'!G88</f>
        <v>0</v>
      </c>
      <c r="AH12" s="19">
        <f>'9'!G89</f>
        <v>10.139999999999418</v>
      </c>
      <c r="AI12" s="19">
        <f>'9'!G90</f>
        <v>11.129999999990105</v>
      </c>
      <c r="AJ12" s="19">
        <f t="shared" si="10"/>
        <v>21.269999999989523</v>
      </c>
      <c r="AK12" s="19">
        <f>'9'!G91</f>
        <v>0</v>
      </c>
      <c r="AL12" s="19">
        <f>'9'!G92</f>
        <v>10.009999999999309</v>
      </c>
      <c r="AM12" s="19"/>
      <c r="AN12" s="19">
        <f t="shared" si="11"/>
        <v>10.009999999999309</v>
      </c>
      <c r="AO12" s="52">
        <f>'9'!G74</f>
        <v>288.20000000006985</v>
      </c>
      <c r="AP12" s="55">
        <f>'9'!G35</f>
        <v>2178.0999999999767</v>
      </c>
      <c r="AQ12" s="19">
        <f>'9'!G37</f>
        <v>1595.5100000000093</v>
      </c>
      <c r="AR12" s="19">
        <f>'9'!G38</f>
        <v>2514.1600000000035</v>
      </c>
      <c r="AS12" s="19">
        <f>'9'!G39</f>
        <v>3193.7699999999604</v>
      </c>
      <c r="AT12" s="19">
        <f>'9'!G40</f>
        <v>505.36000000000058</v>
      </c>
      <c r="AU12" s="19">
        <f>'9'!G41</f>
        <v>0</v>
      </c>
      <c r="AV12" s="19">
        <f>'9'!G42</f>
        <v>6118.8000000000466</v>
      </c>
      <c r="AW12" s="19">
        <f>'9'!G43</f>
        <v>3267.7400000000489</v>
      </c>
      <c r="AX12" s="23">
        <f>'9'!G44</f>
        <v>0</v>
      </c>
      <c r="AY12" s="56">
        <f>'9'!G36</f>
        <v>918.91000000000349</v>
      </c>
      <c r="AZ12" s="55">
        <f>'9'!G49</f>
        <v>1934.0100000000093</v>
      </c>
      <c r="BA12" s="19">
        <f>'9'!G51</f>
        <v>0.31999999999999318</v>
      </c>
      <c r="BB12" s="19">
        <f>'9'!G52</f>
        <v>0.24000000000000021</v>
      </c>
      <c r="BC12" s="19">
        <f>'9'!G53</f>
        <v>0</v>
      </c>
      <c r="BD12" s="19">
        <f>'9'!G54</f>
        <v>465.15000000000146</v>
      </c>
      <c r="BE12" s="19">
        <f>'9'!G55</f>
        <v>0</v>
      </c>
      <c r="BF12" s="19">
        <f>'9'!G56</f>
        <v>2733.1599999999889</v>
      </c>
      <c r="BG12" s="19">
        <f>'9'!G57</f>
        <v>0</v>
      </c>
      <c r="BH12" s="56">
        <f>'9'!G50</f>
        <v>1498.609999999986</v>
      </c>
      <c r="BI12" s="60">
        <f t="shared" si="12"/>
        <v>8851.9600000000355</v>
      </c>
      <c r="BJ12" s="60">
        <f>'8'!G133</f>
        <v>997.86999999999534</v>
      </c>
      <c r="BK12" s="23">
        <f t="shared" si="13"/>
        <v>54.106033333333571</v>
      </c>
      <c r="BL12" s="23">
        <f t="shared" si="14"/>
        <v>10.645899999999868</v>
      </c>
      <c r="BM12" s="24">
        <f t="shared" si="15"/>
        <v>8.3813333333333448E-2</v>
      </c>
      <c r="BN12" s="25">
        <f t="shared" si="16"/>
        <v>366595.52459999517</v>
      </c>
      <c r="BO12" s="38">
        <f t="shared" si="17"/>
        <v>13117.57000000008</v>
      </c>
      <c r="BP12">
        <f t="shared" si="18"/>
        <v>1.1404202601195983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30381</v>
      </c>
      <c r="H13" s="19">
        <f>'10'!G8</f>
        <v>31171.849999999977</v>
      </c>
      <c r="I13" s="19">
        <v>9</v>
      </c>
      <c r="J13" s="49">
        <f t="shared" si="3"/>
        <v>280546.64999999979</v>
      </c>
      <c r="K13" s="45">
        <f t="shared" si="4"/>
        <v>154.31608910891077</v>
      </c>
      <c r="L13" s="19">
        <f>'10'!G15</f>
        <v>1087.3870000001043</v>
      </c>
      <c r="M13" s="19">
        <v>56.2</v>
      </c>
      <c r="N13" s="45">
        <f t="shared" si="5"/>
        <v>61111.149400005866</v>
      </c>
      <c r="O13" s="19">
        <f>'10'!G20</f>
        <v>356</v>
      </c>
      <c r="P13" s="19">
        <v>108</v>
      </c>
      <c r="Q13" s="46">
        <f t="shared" si="0"/>
        <v>38448</v>
      </c>
      <c r="R13" s="47">
        <f t="shared" si="1"/>
        <v>193.66771842019369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123</v>
      </c>
      <c r="W13" s="22">
        <f>'10'!G66</f>
        <v>22</v>
      </c>
      <c r="X13" s="22">
        <f>'10'!G67</f>
        <v>87</v>
      </c>
      <c r="Y13" s="22">
        <f t="shared" si="7"/>
        <v>232</v>
      </c>
      <c r="Z13" s="19">
        <f>'10'!G84</f>
        <v>0</v>
      </c>
      <c r="AA13" s="19">
        <f>'10'!G85</f>
        <v>18.920000000000073</v>
      </c>
      <c r="AB13" s="19">
        <f>'10'!G86</f>
        <v>0</v>
      </c>
      <c r="AC13" s="19">
        <f>'10'!G87</f>
        <v>24</v>
      </c>
      <c r="AD13" s="19">
        <f t="shared" si="8"/>
        <v>42.920000000000073</v>
      </c>
      <c r="AE13" s="23">
        <f t="shared" si="2"/>
        <v>8212.4899999999579</v>
      </c>
      <c r="AF13" s="23">
        <f t="shared" si="9"/>
        <v>191.34412861136869</v>
      </c>
      <c r="AG13" s="19">
        <f>'10'!G88</f>
        <v>0</v>
      </c>
      <c r="AH13" s="19">
        <f>'10'!G89</f>
        <v>9.9399999999986903</v>
      </c>
      <c r="AI13" s="19">
        <f>'10'!G90</f>
        <v>9.7300000000104774</v>
      </c>
      <c r="AJ13" s="19">
        <f t="shared" si="10"/>
        <v>19.670000000009168</v>
      </c>
      <c r="AK13" s="19">
        <f>'10'!G91</f>
        <v>0</v>
      </c>
      <c r="AL13" s="19">
        <f>'10'!G92</f>
        <v>10.660000000000764</v>
      </c>
      <c r="AM13" s="19"/>
      <c r="AN13" s="19">
        <f t="shared" si="11"/>
        <v>10.660000000000764</v>
      </c>
      <c r="AO13" s="52">
        <f>'10'!G74</f>
        <v>307.47999999998137</v>
      </c>
      <c r="AP13" s="55">
        <f>'10'!G35</f>
        <v>2321.5100000000093</v>
      </c>
      <c r="AQ13" s="19">
        <f>'10'!G37</f>
        <v>1639.6700000000128</v>
      </c>
      <c r="AR13" s="19">
        <f>'10'!G38</f>
        <v>2598.820000000007</v>
      </c>
      <c r="AS13" s="19">
        <f>'10'!G39</f>
        <v>3362.4200000000419</v>
      </c>
      <c r="AT13" s="19">
        <f>'10'!G40</f>
        <v>75.339999999996508</v>
      </c>
      <c r="AU13" s="19">
        <f>'10'!G41</f>
        <v>0.27000000000000313</v>
      </c>
      <c r="AV13" s="19">
        <f>'10'!G42</f>
        <v>4561.0799999999581</v>
      </c>
      <c r="AW13" s="19">
        <f>'10'!G43</f>
        <v>3612.2399999999907</v>
      </c>
      <c r="AX13" s="23">
        <f>'10'!G44</f>
        <v>0</v>
      </c>
      <c r="AY13" s="56">
        <f>'10'!G36</f>
        <v>1141.75</v>
      </c>
      <c r="AZ13" s="55">
        <f>'10'!G49</f>
        <v>1847.9700000000012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477.76000000000204</v>
      </c>
      <c r="BE13" s="19">
        <f>'10'!G55</f>
        <v>0</v>
      </c>
      <c r="BF13" s="19">
        <f>'10'!G56</f>
        <v>3651.1399999999994</v>
      </c>
      <c r="BG13" s="19">
        <f>'10'!G57</f>
        <v>0</v>
      </c>
      <c r="BH13" s="56">
        <f>'10'!G50</f>
        <v>1495.4500000000116</v>
      </c>
      <c r="BI13" s="60">
        <f t="shared" si="12"/>
        <v>8212.4899999999579</v>
      </c>
      <c r="BJ13" s="60">
        <f>'8'!G133</f>
        <v>997.86999999999534</v>
      </c>
      <c r="BK13" s="23">
        <f t="shared" si="13"/>
        <v>51.309787516621469</v>
      </c>
      <c r="BL13" s="23">
        <f t="shared" si="14"/>
        <v>10.786719427945547</v>
      </c>
      <c r="BM13" s="24">
        <f t="shared" si="15"/>
        <v>8.3370733530413146E-2</v>
      </c>
      <c r="BN13" s="25">
        <f t="shared" si="16"/>
        <v>380105.79940000566</v>
      </c>
      <c r="BO13" s="38">
        <f t="shared" si="17"/>
        <v>12822.599999999944</v>
      </c>
      <c r="BP13">
        <f t="shared" si="18"/>
        <v>1.0669850885368062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26422.25</v>
      </c>
      <c r="H14" s="19">
        <f>'11'!G8</f>
        <v>26950.5</v>
      </c>
      <c r="I14" s="19">
        <v>9</v>
      </c>
      <c r="J14" s="49">
        <f t="shared" si="3"/>
        <v>242554.5</v>
      </c>
      <c r="K14" s="45">
        <f t="shared" si="4"/>
        <v>133.41831683168317</v>
      </c>
      <c r="L14" s="19">
        <f>'11'!G15</f>
        <v>1115.2600000000093</v>
      </c>
      <c r="M14" s="19">
        <v>56.2</v>
      </c>
      <c r="N14" s="45">
        <f t="shared" si="5"/>
        <v>62677.612000000525</v>
      </c>
      <c r="O14" s="19">
        <f>'11'!G20</f>
        <v>261</v>
      </c>
      <c r="P14" s="19">
        <v>108</v>
      </c>
      <c r="Q14" s="46">
        <f t="shared" si="0"/>
        <v>28188</v>
      </c>
      <c r="R14" s="47">
        <f t="shared" si="1"/>
        <v>179.45544554455446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127</v>
      </c>
      <c r="W14" s="22">
        <f>'11'!G66</f>
        <v>15</v>
      </c>
      <c r="X14" s="22">
        <f>'11'!G67</f>
        <v>71</v>
      </c>
      <c r="Y14" s="22">
        <f t="shared" si="7"/>
        <v>213</v>
      </c>
      <c r="Z14" s="19">
        <f>'11'!G84</f>
        <v>0</v>
      </c>
      <c r="AA14" s="19">
        <f>'11'!G85</f>
        <v>12.210000000000036</v>
      </c>
      <c r="AB14" s="19">
        <f>'11'!G86</f>
        <v>0</v>
      </c>
      <c r="AC14" s="19">
        <f>'11'!G87</f>
        <v>20.040000000000873</v>
      </c>
      <c r="AD14" s="19">
        <f t="shared" si="8"/>
        <v>32.250000000000909</v>
      </c>
      <c r="AE14" s="23">
        <f t="shared" si="2"/>
        <v>6189.9600000000064</v>
      </c>
      <c r="AF14" s="23">
        <f t="shared" si="9"/>
        <v>191.9367441860413</v>
      </c>
      <c r="AG14" s="19">
        <f>'11'!G88</f>
        <v>0</v>
      </c>
      <c r="AH14" s="19">
        <f>'11'!G89</f>
        <v>10.900000000001455</v>
      </c>
      <c r="AI14" s="19">
        <f>'11'!G90</f>
        <v>9</v>
      </c>
      <c r="AJ14" s="19">
        <f t="shared" si="10"/>
        <v>19.900000000001455</v>
      </c>
      <c r="AK14" s="19">
        <f>'11'!G91</f>
        <v>0</v>
      </c>
      <c r="AL14" s="19">
        <f>'11'!G92</f>
        <v>10.089999999999236</v>
      </c>
      <c r="AM14" s="19"/>
      <c r="AN14" s="19">
        <f t="shared" si="11"/>
        <v>10.089999999999236</v>
      </c>
      <c r="AO14" s="52">
        <f>'11'!G74</f>
        <v>290.42900000000373</v>
      </c>
      <c r="AP14" s="55">
        <f>'11'!G35</f>
        <v>2156.8000000000175</v>
      </c>
      <c r="AQ14" s="19">
        <f>'11'!G37</f>
        <v>1580.6599999999744</v>
      </c>
      <c r="AR14" s="19">
        <f>'11'!G38</f>
        <v>2393.0199999999895</v>
      </c>
      <c r="AS14" s="19">
        <f>'11'!G39</f>
        <v>3209.9699999999721</v>
      </c>
      <c r="AT14" s="19">
        <f>'11'!G40</f>
        <v>356.55000000000291</v>
      </c>
      <c r="AU14" s="19">
        <f>'11'!G41</f>
        <v>0</v>
      </c>
      <c r="AV14" s="19">
        <f>'11'!G42</f>
        <v>2846.320000000007</v>
      </c>
      <c r="AW14" s="19">
        <f>'11'!G43</f>
        <v>3056.6399999999558</v>
      </c>
      <c r="AX14" s="23">
        <f>'11'!G44</f>
        <v>0</v>
      </c>
      <c r="AY14" s="56">
        <f>'11'!G36</f>
        <v>1004.0800000000017</v>
      </c>
      <c r="AZ14" s="55">
        <f>'11'!G49</f>
        <v>1807.9599999999919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454.11000000000058</v>
      </c>
      <c r="BE14" s="19">
        <f>'11'!G55</f>
        <v>0</v>
      </c>
      <c r="BF14" s="19">
        <f>'11'!G56</f>
        <v>3343.6399999999994</v>
      </c>
      <c r="BG14" s="19">
        <f>'11'!G57</f>
        <v>0</v>
      </c>
      <c r="BH14" s="56">
        <f>'11'!G50</f>
        <v>1132.2399999999907</v>
      </c>
      <c r="BI14" s="60">
        <f t="shared" si="12"/>
        <v>6189.9600000000064</v>
      </c>
      <c r="BJ14" s="60">
        <f>'11'!G133</f>
        <v>888.70000000001164</v>
      </c>
      <c r="BK14" s="23">
        <f t="shared" si="13"/>
        <v>49.020834492866449</v>
      </c>
      <c r="BL14" s="23">
        <f t="shared" si="14"/>
        <v>11.910613903266997</v>
      </c>
      <c r="BM14" s="24">
        <f t="shared" si="15"/>
        <v>8.8793157826385027E-2</v>
      </c>
      <c r="BN14" s="25">
        <f t="shared" si="16"/>
        <v>333420.11200000055</v>
      </c>
      <c r="BO14" s="38">
        <f t="shared" si="17"/>
        <v>10135.299999999974</v>
      </c>
      <c r="BP14">
        <f t="shared" si="18"/>
        <v>1.1224031007751591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0.82</v>
      </c>
      <c r="G15" s="19">
        <f>'12'!G7</f>
        <v>28093.75</v>
      </c>
      <c r="H15" s="19">
        <f>'12'!G8</f>
        <v>28588</v>
      </c>
      <c r="I15" s="19">
        <v>9</v>
      </c>
      <c r="J15" s="49">
        <f t="shared" si="3"/>
        <v>257292</v>
      </c>
      <c r="K15" s="45">
        <f t="shared" si="4"/>
        <v>141.52475247524754</v>
      </c>
      <c r="L15" s="19">
        <f>'12'!G15</f>
        <v>1116.7399999999907</v>
      </c>
      <c r="M15" s="19">
        <v>56.2</v>
      </c>
      <c r="N15" s="41">
        <f t="shared" si="5"/>
        <v>62760.787999999477</v>
      </c>
      <c r="O15" s="19">
        <f>'12'!G20</f>
        <v>260</v>
      </c>
      <c r="P15" s="19">
        <v>108</v>
      </c>
      <c r="Q15" s="46">
        <f t="shared" si="0"/>
        <v>28080</v>
      </c>
      <c r="R15" s="47">
        <f t="shared" si="1"/>
        <v>156.96691620381552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117</v>
      </c>
      <c r="W15" s="22">
        <f>'12'!G66</f>
        <v>18</v>
      </c>
      <c r="X15" s="22">
        <f>'12'!G67</f>
        <v>71</v>
      </c>
      <c r="Y15" s="22">
        <f t="shared" si="7"/>
        <v>206</v>
      </c>
      <c r="Z15" s="19">
        <f>'12'!G84</f>
        <v>0</v>
      </c>
      <c r="AA15" s="19">
        <f>'12'!G85</f>
        <v>23.789999999999964</v>
      </c>
      <c r="AB15" s="19">
        <f>'12'!G86</f>
        <v>15</v>
      </c>
      <c r="AC15" s="19">
        <f>'12'!G87</f>
        <v>0</v>
      </c>
      <c r="AD15" s="19">
        <f t="shared" si="8"/>
        <v>38.789999999999964</v>
      </c>
      <c r="AE15" s="23">
        <f t="shared" si="2"/>
        <v>8032.7500000000291</v>
      </c>
      <c r="AF15" s="23">
        <f t="shared" si="9"/>
        <v>207.0830110853322</v>
      </c>
      <c r="AG15" s="19">
        <f>'12'!G88</f>
        <v>0</v>
      </c>
      <c r="AH15" s="19">
        <f>'12'!G89</f>
        <v>9.1300000000010186</v>
      </c>
      <c r="AI15" s="19">
        <f>'12'!G90</f>
        <v>9.1999999999970896</v>
      </c>
      <c r="AJ15" s="19">
        <f t="shared" si="10"/>
        <v>18.329999999998108</v>
      </c>
      <c r="AK15" s="19">
        <f>'12'!G91</f>
        <v>0</v>
      </c>
      <c r="AL15" s="19">
        <f>'12'!G92</f>
        <v>11.8100000000004</v>
      </c>
      <c r="AM15" s="19"/>
      <c r="AN15" s="19">
        <f t="shared" si="11"/>
        <v>11.8100000000004</v>
      </c>
      <c r="AO15" s="52">
        <f>'12'!G74</f>
        <v>340.53099999995902</v>
      </c>
      <c r="AP15" s="55">
        <f>'12'!G35</f>
        <v>2196.859999999986</v>
      </c>
      <c r="AQ15" s="19">
        <f>'12'!G37</f>
        <v>1658.890000000014</v>
      </c>
      <c r="AR15" s="19">
        <f>'12'!G38</f>
        <v>2360.6700000000128</v>
      </c>
      <c r="AS15" s="19">
        <f>'12'!G39</f>
        <v>3231.1300000000047</v>
      </c>
      <c r="AT15" s="19">
        <f>'12'!G40</f>
        <v>509.02999999999884</v>
      </c>
      <c r="AU15" s="19">
        <f>'12'!G41</f>
        <v>0</v>
      </c>
      <c r="AV15" s="19">
        <f>'12'!G42</f>
        <v>5744.8300000000163</v>
      </c>
      <c r="AW15" s="19">
        <f>'12'!G43</f>
        <v>3523.0300000000279</v>
      </c>
      <c r="AX15" s="23">
        <f>'12'!G44</f>
        <v>0</v>
      </c>
      <c r="AY15" s="56">
        <f>'12'!G36</f>
        <v>1052.9700000000012</v>
      </c>
      <c r="AZ15" s="55">
        <f>'12'!G49</f>
        <v>1826.1300000000047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472.62999999999738</v>
      </c>
      <c r="BE15" s="19">
        <f>'12'!G55</f>
        <v>2287.570000000007</v>
      </c>
      <c r="BF15" s="19">
        <f>'12'!G56</f>
        <v>0.35000000000582077</v>
      </c>
      <c r="BG15" s="19">
        <f>'12'!G57</f>
        <v>0</v>
      </c>
      <c r="BH15" s="56">
        <f>'12'!G50</f>
        <v>1248.9100000000035</v>
      </c>
      <c r="BI15" s="60">
        <f t="shared" si="12"/>
        <v>8032.7500000000291</v>
      </c>
      <c r="BJ15" s="60">
        <f>'12'!G133</f>
        <v>896.08999999999651</v>
      </c>
      <c r="BK15" s="23">
        <f t="shared" si="13"/>
        <v>54.494088428711514</v>
      </c>
      <c r="BL15" s="23">
        <f t="shared" si="14"/>
        <v>11.302399608227244</v>
      </c>
      <c r="BM15" s="24">
        <f t="shared" si="15"/>
        <v>8.2575556177417547E-2</v>
      </c>
      <c r="BN15" s="25">
        <f t="shared" si="16"/>
        <v>348132.78799999948</v>
      </c>
      <c r="BO15" s="38">
        <f t="shared" si="17"/>
        <v>12451.870000000054</v>
      </c>
      <c r="BP15">
        <f t="shared" si="18"/>
        <v>1.1464543512687424</v>
      </c>
    </row>
    <row r="16" spans="1:69">
      <c r="A16" s="16">
        <v>13</v>
      </c>
      <c r="B16" s="26">
        <v>13</v>
      </c>
      <c r="C16" s="26"/>
      <c r="D16" s="19">
        <f>'13'!D3</f>
        <v>32</v>
      </c>
      <c r="E16" s="50">
        <f>'13'!D4</f>
        <v>0.82</v>
      </c>
      <c r="F16" s="50">
        <f>'13'!D2</f>
        <v>0.83</v>
      </c>
      <c r="G16" s="19">
        <f>'13'!G7</f>
        <v>28485</v>
      </c>
      <c r="H16" s="19">
        <f>'13'!G8</f>
        <v>29100</v>
      </c>
      <c r="I16" s="19">
        <v>9</v>
      </c>
      <c r="J16" s="49">
        <f t="shared" si="3"/>
        <v>261900</v>
      </c>
      <c r="K16" s="45">
        <f t="shared" si="4"/>
        <v>144.05940594059405</v>
      </c>
      <c r="L16" s="19">
        <f>'13'!G15</f>
        <v>1076</v>
      </c>
      <c r="M16" s="19">
        <v>56.2</v>
      </c>
      <c r="N16" s="41">
        <f t="shared" si="5"/>
        <v>60471.200000000004</v>
      </c>
      <c r="O16" s="19">
        <f>'13'!G20</f>
        <v>288</v>
      </c>
      <c r="P16" s="19">
        <v>108</v>
      </c>
      <c r="Q16" s="46">
        <f t="shared" si="0"/>
        <v>31104</v>
      </c>
      <c r="R16" s="47">
        <f t="shared" si="1"/>
        <v>171.77621376595494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134</v>
      </c>
      <c r="W16" s="22">
        <f>'13'!G66</f>
        <v>15</v>
      </c>
      <c r="X16" s="22">
        <f>'13'!G67</f>
        <v>69</v>
      </c>
      <c r="Y16" s="22">
        <f t="shared" si="7"/>
        <v>218</v>
      </c>
      <c r="Z16" s="19">
        <f>'13'!G84</f>
        <v>0</v>
      </c>
      <c r="AA16" s="19">
        <f>'13'!G85</f>
        <v>24</v>
      </c>
      <c r="AB16" s="19">
        <f>'13'!G86</f>
        <v>15</v>
      </c>
      <c r="AC16" s="19">
        <f>'13'!G87</f>
        <v>0</v>
      </c>
      <c r="AD16" s="19">
        <f t="shared" si="8"/>
        <v>39</v>
      </c>
      <c r="AE16" s="23">
        <f t="shared" si="2"/>
        <v>8137</v>
      </c>
      <c r="AF16" s="23">
        <f t="shared" si="9"/>
        <v>208.64102564102564</v>
      </c>
      <c r="AG16" s="19">
        <f>'13'!G88</f>
        <v>10.239999999997963</v>
      </c>
      <c r="AH16" s="19">
        <f>'13'!G89</f>
        <v>0.7000000000007276</v>
      </c>
      <c r="AI16" s="19">
        <f>'13'!G90</f>
        <v>13.869999999995343</v>
      </c>
      <c r="AJ16" s="19">
        <f t="shared" si="10"/>
        <v>24.809999999994034</v>
      </c>
      <c r="AK16" s="19">
        <f>'13'!G91</f>
        <v>0</v>
      </c>
      <c r="AL16" s="19">
        <f>'13'!G92</f>
        <v>10.170000000000073</v>
      </c>
      <c r="AM16" s="19"/>
      <c r="AN16" s="19">
        <f t="shared" si="11"/>
        <v>10.170000000000073</v>
      </c>
      <c r="AO16" s="52">
        <f>'13'!G74</f>
        <v>292</v>
      </c>
      <c r="AP16" s="55">
        <f>'13'!G35</f>
        <v>2137</v>
      </c>
      <c r="AQ16" s="19">
        <f>'13'!G37</f>
        <v>1611</v>
      </c>
      <c r="AR16" s="19">
        <f>'13'!G38</f>
        <v>2460</v>
      </c>
      <c r="AS16" s="19">
        <f>'13'!G39</f>
        <v>3268</v>
      </c>
      <c r="AT16" s="19">
        <f>'13'!G40</f>
        <v>511</v>
      </c>
      <c r="AU16" s="19">
        <f>'13'!G41</f>
        <v>0</v>
      </c>
      <c r="AV16" s="19">
        <f>'13'!G42</f>
        <v>5800</v>
      </c>
      <c r="AW16" s="19">
        <f>'13'!G43</f>
        <v>3231</v>
      </c>
      <c r="AX16" s="23">
        <f>'13'!G44</f>
        <v>0</v>
      </c>
      <c r="AY16" s="56">
        <f>'13'!G36</f>
        <v>1161</v>
      </c>
      <c r="AZ16" s="55">
        <f>'13'!G49</f>
        <v>1951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475</v>
      </c>
      <c r="BE16" s="19">
        <f>'13'!G55</f>
        <v>2337</v>
      </c>
      <c r="BF16" s="19">
        <f>'13'!G56</f>
        <v>0</v>
      </c>
      <c r="BG16" s="19">
        <f>'13'!G57</f>
        <v>0</v>
      </c>
      <c r="BH16" s="56">
        <f>'13'!G50</f>
        <v>1522</v>
      </c>
      <c r="BI16" s="60">
        <f t="shared" si="12"/>
        <v>8137</v>
      </c>
      <c r="BJ16" s="60">
        <f>'13'!G133</f>
        <v>937</v>
      </c>
      <c r="BK16" s="23">
        <f t="shared" si="13"/>
        <v>53.113402061855673</v>
      </c>
      <c r="BL16" s="23">
        <f t="shared" si="14"/>
        <v>11.230240549828178</v>
      </c>
      <c r="BM16" s="24">
        <f t="shared" si="15"/>
        <v>8.4536082474226809E-2</v>
      </c>
      <c r="BN16" s="25">
        <f t="shared" si="16"/>
        <v>353475.2</v>
      </c>
      <c r="BO16" s="38">
        <f t="shared" si="17"/>
        <v>12305</v>
      </c>
      <c r="BP16">
        <f t="shared" si="18"/>
        <v>1.1268315018315018</v>
      </c>
    </row>
    <row r="17" spans="1:68">
      <c r="A17" s="16">
        <v>14</v>
      </c>
      <c r="B17" s="17">
        <v>14</v>
      </c>
      <c r="C17" s="27"/>
      <c r="D17" s="19">
        <f>'14'!D3</f>
        <v>32</v>
      </c>
      <c r="E17" s="50">
        <f>'14'!D4</f>
        <v>0.81</v>
      </c>
      <c r="F17" s="50">
        <f>'14'!D2</f>
        <v>0.75</v>
      </c>
      <c r="G17" s="19">
        <f>'14'!G7</f>
        <v>30407</v>
      </c>
      <c r="H17" s="19">
        <f>'14'!G8</f>
        <v>31246</v>
      </c>
      <c r="I17" s="19">
        <v>9</v>
      </c>
      <c r="J17" s="49">
        <f t="shared" si="3"/>
        <v>281214</v>
      </c>
      <c r="K17" s="45">
        <f t="shared" si="4"/>
        <v>154.68316831683168</v>
      </c>
      <c r="L17" s="19">
        <f>'14'!G15</f>
        <v>1054</v>
      </c>
      <c r="M17" s="19">
        <v>56.2</v>
      </c>
      <c r="N17" s="41">
        <f t="shared" si="5"/>
        <v>59234.8</v>
      </c>
      <c r="O17" s="19">
        <f>'14'!G20</f>
        <v>362</v>
      </c>
      <c r="P17" s="19">
        <v>108</v>
      </c>
      <c r="Q17" s="46">
        <f t="shared" si="0"/>
        <v>39096</v>
      </c>
      <c r="R17" s="47">
        <f t="shared" si="1"/>
        <v>238.94389438943895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110</v>
      </c>
      <c r="W17" s="22">
        <f>'14'!G66</f>
        <v>16</v>
      </c>
      <c r="X17" s="22">
        <f>'14'!G67</f>
        <v>77</v>
      </c>
      <c r="Y17" s="22">
        <f>V17+W17+X17</f>
        <v>203</v>
      </c>
      <c r="Z17" s="19">
        <f>'14'!G84</f>
        <v>0</v>
      </c>
      <c r="AA17" s="19">
        <f>'14'!G85</f>
        <v>15</v>
      </c>
      <c r="AB17" s="19">
        <f>'14'!G86</f>
        <v>22</v>
      </c>
      <c r="AC17" s="19">
        <f>'14'!G87</f>
        <v>8.9599999999991269</v>
      </c>
      <c r="AD17" s="19">
        <f t="shared" si="8"/>
        <v>45.959999999999127</v>
      </c>
      <c r="AE17" s="23">
        <f t="shared" si="2"/>
        <v>8134</v>
      </c>
      <c r="AF17" s="23">
        <f t="shared" si="9"/>
        <v>176.97998259356297</v>
      </c>
      <c r="AG17" s="19">
        <f>'14'!G88</f>
        <v>10.630000000001019</v>
      </c>
      <c r="AH17" s="19">
        <f>'14'!G89</f>
        <v>0</v>
      </c>
      <c r="AI17" s="19">
        <f>'14'!G90</f>
        <v>10.850000000005821</v>
      </c>
      <c r="AJ17" s="19">
        <f t="shared" si="10"/>
        <v>21.480000000006839</v>
      </c>
      <c r="AK17" s="19">
        <f>'14'!G91</f>
        <v>0</v>
      </c>
      <c r="AL17" s="19">
        <f>'14'!G92</f>
        <v>11.359999999999673</v>
      </c>
      <c r="AM17" s="19"/>
      <c r="AN17" s="19">
        <f t="shared" si="11"/>
        <v>11.359999999999673</v>
      </c>
      <c r="AO17" s="52">
        <f>'14'!G44</f>
        <v>0</v>
      </c>
      <c r="AP17" s="55">
        <f>'14'!G35</f>
        <v>2166</v>
      </c>
      <c r="AQ17" s="19">
        <f>'14'!G37</f>
        <v>1876</v>
      </c>
      <c r="AR17" s="19">
        <f>'14'!G38</f>
        <v>2478</v>
      </c>
      <c r="AS17" s="19">
        <f>'14'!G39</f>
        <v>3305</v>
      </c>
      <c r="AT17" s="19">
        <f>'14'!G40</f>
        <v>447</v>
      </c>
      <c r="AU17" s="19">
        <f>'14'!G41</f>
        <v>0</v>
      </c>
      <c r="AV17" s="19">
        <f>'14'!G42</f>
        <v>3279</v>
      </c>
      <c r="AW17" s="19">
        <f>'14'!G43</f>
        <v>3419</v>
      </c>
      <c r="AX17" s="23">
        <f>'14'!G44</f>
        <v>0</v>
      </c>
      <c r="AY17" s="56">
        <f>'14'!G36</f>
        <v>1156</v>
      </c>
      <c r="AZ17" s="55">
        <f>'14'!G49</f>
        <v>1941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469</v>
      </c>
      <c r="BE17" s="19">
        <f>'14'!G55</f>
        <v>3246</v>
      </c>
      <c r="BF17" s="19">
        <f>'14'!G56</f>
        <v>1609</v>
      </c>
      <c r="BG17" s="19">
        <f>'14'!G57</f>
        <v>0</v>
      </c>
      <c r="BH17" s="56">
        <f>'14'!G50</f>
        <v>1725</v>
      </c>
      <c r="BI17" s="60">
        <f t="shared" si="12"/>
        <v>8134</v>
      </c>
      <c r="BJ17" s="60">
        <f>'14'!G133</f>
        <v>964</v>
      </c>
      <c r="BK17" s="23">
        <f t="shared" si="13"/>
        <v>50.11841515714012</v>
      </c>
      <c r="BL17" s="23">
        <f t="shared" si="14"/>
        <v>10.577353901299366</v>
      </c>
      <c r="BM17" s="24">
        <f t="shared" si="15"/>
        <v>7.9306151187351986E-2</v>
      </c>
      <c r="BN17" s="25">
        <f t="shared" si="16"/>
        <v>379544.8</v>
      </c>
      <c r="BO17" s="38">
        <f t="shared" si="17"/>
        <v>12517</v>
      </c>
      <c r="BP17">
        <f t="shared" si="18"/>
        <v>0.97266256372002347</v>
      </c>
    </row>
    <row r="18" spans="1:68">
      <c r="A18" s="16">
        <v>15</v>
      </c>
      <c r="B18" s="26">
        <v>15</v>
      </c>
      <c r="C18" s="18"/>
      <c r="D18" s="19">
        <f>'15'!D3</f>
        <v>32</v>
      </c>
      <c r="E18" s="50">
        <f>'15'!D4</f>
        <v>0.78</v>
      </c>
      <c r="F18" s="50">
        <f>'15'!D2</f>
        <v>0.72</v>
      </c>
      <c r="G18" s="19">
        <f>'15'!G7</f>
        <v>27848</v>
      </c>
      <c r="H18" s="19">
        <f>'15'!G8</f>
        <v>28556</v>
      </c>
      <c r="I18" s="19">
        <v>9</v>
      </c>
      <c r="J18" s="49">
        <f t="shared" si="3"/>
        <v>257004</v>
      </c>
      <c r="K18" s="45">
        <f t="shared" si="4"/>
        <v>141.36633663366337</v>
      </c>
      <c r="L18" s="19">
        <f>'15'!G15</f>
        <v>998</v>
      </c>
      <c r="M18" s="19">
        <v>56.2</v>
      </c>
      <c r="N18" s="41">
        <f t="shared" si="5"/>
        <v>56087.600000000006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184.95599559955997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113</v>
      </c>
      <c r="W18" s="22">
        <f>'15'!G66</f>
        <v>23</v>
      </c>
      <c r="X18" s="22">
        <f>'15'!G67</f>
        <v>80</v>
      </c>
      <c r="Y18" s="22">
        <f t="shared" si="7"/>
        <v>216</v>
      </c>
      <c r="Z18" s="19">
        <f>'15'!G84</f>
        <v>0</v>
      </c>
      <c r="AA18" s="19">
        <f>'15'!G85</f>
        <v>17</v>
      </c>
      <c r="AB18" s="19">
        <f>'15'!G86</f>
        <v>0</v>
      </c>
      <c r="AC18" s="19">
        <f>'15'!G87</f>
        <v>24</v>
      </c>
      <c r="AD18" s="19">
        <f t="shared" si="8"/>
        <v>41</v>
      </c>
      <c r="AE18" s="23">
        <f t="shared" si="2"/>
        <v>7049.7</v>
      </c>
      <c r="AF18" s="23">
        <f t="shared" si="9"/>
        <v>171.94390243902438</v>
      </c>
      <c r="AG18" s="19">
        <f>'15'!G88</f>
        <v>10.25</v>
      </c>
      <c r="AH18" s="19">
        <f>'15'!G89</f>
        <v>0</v>
      </c>
      <c r="AI18" s="19">
        <f>'15'!G90</f>
        <v>10.489999999990687</v>
      </c>
      <c r="AJ18" s="19">
        <f t="shared" si="10"/>
        <v>20.739999999990687</v>
      </c>
      <c r="AK18" s="19">
        <f>'15'!G91</f>
        <v>0</v>
      </c>
      <c r="AL18" s="19">
        <f>'15'!G92</f>
        <v>10.170000000000073</v>
      </c>
      <c r="AM18" s="19"/>
      <c r="AN18" s="19">
        <f t="shared" si="11"/>
        <v>10.170000000000073</v>
      </c>
      <c r="AO18" s="52">
        <f>'15'!G74</f>
        <v>292</v>
      </c>
      <c r="AP18" s="55">
        <f>'15'!G35</f>
        <v>2145</v>
      </c>
      <c r="AQ18" s="19">
        <f>'15'!G37</f>
        <v>1297</v>
      </c>
      <c r="AR18" s="19">
        <f>'15'!G38</f>
        <v>2420</v>
      </c>
      <c r="AS18" s="19">
        <f>'15'!G39</f>
        <v>3266</v>
      </c>
      <c r="AT18" s="19">
        <f>'15'!G40</f>
        <v>219</v>
      </c>
      <c r="AU18" s="19">
        <f>'15'!G41</f>
        <v>-0.29999999999999716</v>
      </c>
      <c r="AV18" s="19">
        <f>'15'!G42</f>
        <v>3670</v>
      </c>
      <c r="AW18" s="19">
        <f>'15'!G43</f>
        <v>3255</v>
      </c>
      <c r="AX18" s="23">
        <f>'15'!G44</f>
        <v>0</v>
      </c>
      <c r="AY18" s="56">
        <f>'15'!G36</f>
        <v>895</v>
      </c>
      <c r="AZ18" s="55">
        <f>'15'!G49</f>
        <v>1846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467</v>
      </c>
      <c r="BE18" s="19">
        <f>'15'!G55</f>
        <v>67</v>
      </c>
      <c r="BF18" s="19">
        <f>'15'!G56</f>
        <v>3313</v>
      </c>
      <c r="BG18" s="19">
        <f>'15'!G57</f>
        <v>0</v>
      </c>
      <c r="BH18" s="56">
        <f>'15'!G50</f>
        <v>1532</v>
      </c>
      <c r="BI18" s="60">
        <f t="shared" si="12"/>
        <v>7049.7</v>
      </c>
      <c r="BJ18" s="60">
        <f>'15'!G133</f>
        <v>899</v>
      </c>
      <c r="BK18" s="23">
        <f t="shared" si="13"/>
        <v>50.061983471074385</v>
      </c>
      <c r="BL18" s="23">
        <f t="shared" si="14"/>
        <v>11.437176075080544</v>
      </c>
      <c r="BM18" s="24">
        <f t="shared" si="15"/>
        <v>8.4737358173413657E-2</v>
      </c>
      <c r="BN18" s="25">
        <f t="shared" si="16"/>
        <v>342143.6</v>
      </c>
      <c r="BO18" s="38">
        <f t="shared" si="17"/>
        <v>11203.7</v>
      </c>
      <c r="BP18">
        <f t="shared" si="18"/>
        <v>0.975932055749129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26729</v>
      </c>
      <c r="H19" s="19">
        <f>'16'!G8</f>
        <v>27220</v>
      </c>
      <c r="I19" s="19">
        <v>9</v>
      </c>
      <c r="J19" s="49">
        <f t="shared" si="3"/>
        <v>244980</v>
      </c>
      <c r="K19" s="45">
        <f t="shared" si="4"/>
        <v>134.75247524752476</v>
      </c>
      <c r="L19" s="19">
        <f>'16'!G15</f>
        <v>1153</v>
      </c>
      <c r="M19" s="19">
        <v>56.2</v>
      </c>
      <c r="N19" s="41">
        <f t="shared" si="5"/>
        <v>64798.600000000006</v>
      </c>
      <c r="O19" s="19">
        <f>'16'!G20</f>
        <v>362</v>
      </c>
      <c r="P19" s="19">
        <v>108</v>
      </c>
      <c r="Q19" s="46">
        <f t="shared" si="0"/>
        <v>39096</v>
      </c>
      <c r="R19" s="47">
        <f t="shared" si="1"/>
        <v>179.20792079207919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112</v>
      </c>
      <c r="W19" s="22">
        <f>'16'!G66</f>
        <v>25</v>
      </c>
      <c r="X19" s="22">
        <f>'16'!G67</f>
        <v>71</v>
      </c>
      <c r="Y19" s="22">
        <f t="shared" si="7"/>
        <v>208</v>
      </c>
      <c r="Z19" s="19">
        <f>'16'!G84</f>
        <v>0</v>
      </c>
      <c r="AA19" s="19">
        <f>'16'!G85</f>
        <v>24</v>
      </c>
      <c r="AB19" s="19">
        <f>'16'!G86</f>
        <v>0</v>
      </c>
      <c r="AC19" s="19">
        <f>'16'!G87</f>
        <v>14</v>
      </c>
      <c r="AD19" s="19">
        <f t="shared" si="8"/>
        <v>38</v>
      </c>
      <c r="AE19" s="23">
        <f t="shared" si="2"/>
        <v>7327</v>
      </c>
      <c r="AF19" s="23">
        <f t="shared" si="9"/>
        <v>192.81578947368422</v>
      </c>
      <c r="AG19" s="19">
        <f>'16'!G88</f>
        <v>-2.0000000000436557E-2</v>
      </c>
      <c r="AH19" s="19">
        <f>'16'!G89</f>
        <v>9.8499999999985448</v>
      </c>
      <c r="AI19" s="19">
        <f>'16'!G90</f>
        <v>11.460000000006403</v>
      </c>
      <c r="AJ19" s="19">
        <f t="shared" si="10"/>
        <v>21.290000000004511</v>
      </c>
      <c r="AK19" s="19">
        <f>'16'!G91</f>
        <v>0</v>
      </c>
      <c r="AL19" s="19">
        <f>'16'!G92</f>
        <v>12.340000000000146</v>
      </c>
      <c r="AM19" s="19"/>
      <c r="AN19" s="19">
        <f t="shared" si="11"/>
        <v>12.340000000000146</v>
      </c>
      <c r="AO19" s="52">
        <f>'16'!G74</f>
        <v>346</v>
      </c>
      <c r="AP19" s="55">
        <f>'16'!G35</f>
        <v>2150</v>
      </c>
      <c r="AQ19" s="19">
        <f>'16'!G37</f>
        <v>1603</v>
      </c>
      <c r="AR19" s="19">
        <f>'16'!G38</f>
        <v>2339</v>
      </c>
      <c r="AS19" s="19">
        <f>'16'!G39</f>
        <v>3268</v>
      </c>
      <c r="AT19" s="19">
        <f>'16'!G40</f>
        <v>364</v>
      </c>
      <c r="AU19" s="19">
        <f>'16'!G41</f>
        <v>0</v>
      </c>
      <c r="AV19" s="19">
        <f>'16'!G42</f>
        <v>5491</v>
      </c>
      <c r="AW19" s="19">
        <f>'16'!G43</f>
        <v>3191</v>
      </c>
      <c r="AX19" s="23">
        <f>'16'!G44</f>
        <v>0</v>
      </c>
      <c r="AY19" s="56">
        <f>'16'!G36</f>
        <v>853</v>
      </c>
      <c r="AZ19" s="55">
        <f>'16'!G49</f>
        <v>1846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470</v>
      </c>
      <c r="BE19" s="19">
        <f>'16'!G55</f>
        <v>0</v>
      </c>
      <c r="BF19" s="19">
        <f>'16'!G56</f>
        <v>1836</v>
      </c>
      <c r="BG19" s="19">
        <f>'16'!G57</f>
        <v>0</v>
      </c>
      <c r="BH19" s="56">
        <f>'16'!G50</f>
        <v>1070</v>
      </c>
      <c r="BI19" s="60">
        <f t="shared" si="12"/>
        <v>7327</v>
      </c>
      <c r="BJ19" s="60">
        <f>'16'!G133</f>
        <v>890</v>
      </c>
      <c r="BK19" s="23">
        <f t="shared" si="13"/>
        <v>53.321087435709039</v>
      </c>
      <c r="BL19" s="23">
        <f t="shared" si="14"/>
        <v>12.005878030859662</v>
      </c>
      <c r="BM19" s="24">
        <f t="shared" si="15"/>
        <v>8.5929463629684052E-2</v>
      </c>
      <c r="BN19" s="25">
        <f t="shared" si="16"/>
        <v>348874.6</v>
      </c>
      <c r="BO19" s="38">
        <f t="shared" si="17"/>
        <v>11408</v>
      </c>
      <c r="BP19">
        <f t="shared" si="18"/>
        <v>1.0721804511278195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28087</v>
      </c>
      <c r="H20" s="19">
        <f>'17'!G8</f>
        <v>28641</v>
      </c>
      <c r="I20" s="19">
        <v>9</v>
      </c>
      <c r="J20" s="49">
        <f t="shared" si="3"/>
        <v>257769</v>
      </c>
      <c r="K20" s="45">
        <f t="shared" si="4"/>
        <v>141.78712871287129</v>
      </c>
      <c r="L20" s="19">
        <f>'17'!G15</f>
        <v>1081</v>
      </c>
      <c r="M20" s="19">
        <v>56.2</v>
      </c>
      <c r="N20" s="41">
        <f t="shared" si="5"/>
        <v>60752.200000000004</v>
      </c>
      <c r="O20" s="19">
        <f>'17'!G20</f>
        <v>270</v>
      </c>
      <c r="P20" s="19">
        <v>108</v>
      </c>
      <c r="Q20" s="46">
        <f t="shared" si="0"/>
        <v>29160</v>
      </c>
      <c r="R20" s="47">
        <f t="shared" si="1"/>
        <v>146.8828201501469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99</v>
      </c>
      <c r="W20" s="22">
        <f>'17'!G66</f>
        <v>24</v>
      </c>
      <c r="X20" s="22">
        <f>'17'!G67</f>
        <v>86</v>
      </c>
      <c r="Y20" s="22">
        <f t="shared" si="7"/>
        <v>209</v>
      </c>
      <c r="Z20" s="19">
        <f>'17'!G84</f>
        <v>0</v>
      </c>
      <c r="AA20" s="19">
        <f>'17'!G85</f>
        <v>24</v>
      </c>
      <c r="AB20" s="19">
        <f>'17'!G86</f>
        <v>16.470000000001164</v>
      </c>
      <c r="AC20" s="19">
        <f>'17'!G87</f>
        <v>0</v>
      </c>
      <c r="AD20" s="19">
        <f t="shared" si="8"/>
        <v>40.470000000001164</v>
      </c>
      <c r="AE20" s="23">
        <f t="shared" si="2"/>
        <v>7873.3</v>
      </c>
      <c r="AF20" s="23">
        <f t="shared" si="9"/>
        <v>194.54657771187976</v>
      </c>
      <c r="AG20" s="19">
        <f>'17'!G88</f>
        <v>10.380000000001019</v>
      </c>
      <c r="AH20" s="19">
        <f>'17'!G89</f>
        <v>1</v>
      </c>
      <c r="AI20" s="19">
        <f>'17'!G90</f>
        <v>10</v>
      </c>
      <c r="AJ20" s="19">
        <f t="shared" si="10"/>
        <v>21.380000000001019</v>
      </c>
      <c r="AK20" s="19">
        <f>'17'!G91</f>
        <v>0</v>
      </c>
      <c r="AL20" s="19">
        <f>'17'!G92</f>
        <v>12</v>
      </c>
      <c r="AM20" s="19"/>
      <c r="AN20" s="19">
        <f t="shared" si="11"/>
        <v>12</v>
      </c>
      <c r="AO20" s="52">
        <f>'17'!G74</f>
        <v>346</v>
      </c>
      <c r="AP20" s="55">
        <f>'17'!G35</f>
        <v>2161</v>
      </c>
      <c r="AQ20" s="19">
        <f>'17'!G37</f>
        <v>1602</v>
      </c>
      <c r="AR20" s="19">
        <f>'17'!G38</f>
        <v>2369</v>
      </c>
      <c r="AS20" s="19">
        <f>'17'!G39</f>
        <v>3351</v>
      </c>
      <c r="AT20" s="19">
        <f>'17'!G40</f>
        <v>376</v>
      </c>
      <c r="AU20" s="19">
        <f>'17'!G41</f>
        <v>0.29999999999999716</v>
      </c>
      <c r="AV20" s="19">
        <f>'17'!G42</f>
        <v>5545</v>
      </c>
      <c r="AW20" s="19">
        <f>'17'!G43</f>
        <v>3298</v>
      </c>
      <c r="AX20" s="23">
        <f>'17'!G44</f>
        <v>0</v>
      </c>
      <c r="AY20" s="56">
        <f>'17'!G36</f>
        <v>1067</v>
      </c>
      <c r="AZ20" s="55">
        <f>'17'!G49</f>
        <v>1805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470</v>
      </c>
      <c r="BE20" s="19">
        <f>'17'!G55</f>
        <v>2328</v>
      </c>
      <c r="BF20" s="19">
        <f>'17'!G56</f>
        <v>0</v>
      </c>
      <c r="BG20" s="19">
        <f>'17'!G57</f>
        <v>0</v>
      </c>
      <c r="BH20" s="56">
        <f>'17'!G50</f>
        <v>1428</v>
      </c>
      <c r="BI20" s="60">
        <f t="shared" si="12"/>
        <v>7873.3</v>
      </c>
      <c r="BJ20" s="60">
        <f>'17'!G133</f>
        <v>878</v>
      </c>
      <c r="BK20" s="23">
        <f t="shared" si="13"/>
        <v>52.851855731294293</v>
      </c>
      <c r="BL20" s="23">
        <f t="shared" si="14"/>
        <v>11.700010474494604</v>
      </c>
      <c r="BM20" s="24">
        <f t="shared" si="15"/>
        <v>8.2713592402499911E-2</v>
      </c>
      <c r="BN20" s="25">
        <f t="shared" si="16"/>
        <v>347681.2</v>
      </c>
      <c r="BO20" s="38">
        <f t="shared" si="17"/>
        <v>12049.3</v>
      </c>
      <c r="BP20">
        <f t="shared" si="18"/>
        <v>1.0633361572946145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0.79</v>
      </c>
      <c r="F21" s="50">
        <f>'18 '!D2</f>
        <v>0.88</v>
      </c>
      <c r="G21" s="19">
        <f>'18 '!G7</f>
        <v>27376</v>
      </c>
      <c r="H21" s="19">
        <f>'18 '!G8</f>
        <v>27917</v>
      </c>
      <c r="I21" s="19">
        <v>9</v>
      </c>
      <c r="J21" s="49">
        <f t="shared" si="3"/>
        <v>251253</v>
      </c>
      <c r="K21" s="45">
        <f t="shared" si="4"/>
        <v>138.20297029702971</v>
      </c>
      <c r="L21" s="19">
        <f>'18 '!G15</f>
        <v>1092</v>
      </c>
      <c r="M21" s="19">
        <v>56.2</v>
      </c>
      <c r="N21" s="41">
        <f t="shared" si="5"/>
        <v>61370.400000000001</v>
      </c>
      <c r="O21" s="19">
        <f>'18 '!G20</f>
        <v>255</v>
      </c>
      <c r="P21" s="19">
        <v>108</v>
      </c>
      <c r="Q21" s="46">
        <f t="shared" si="0"/>
        <v>27540</v>
      </c>
      <c r="R21" s="47">
        <f t="shared" si="1"/>
        <v>143.45184518451848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116</v>
      </c>
      <c r="W21" s="22">
        <f>'18 '!G66</f>
        <v>12</v>
      </c>
      <c r="X21" s="22">
        <f>'18 '!G67</f>
        <v>69</v>
      </c>
      <c r="Y21" s="22">
        <f t="shared" si="7"/>
        <v>197</v>
      </c>
      <c r="Z21" s="19">
        <f>'18 '!G84</f>
        <v>0.26000000000203727</v>
      </c>
      <c r="AA21" s="19">
        <f>'18 '!G85</f>
        <v>24</v>
      </c>
      <c r="AB21" s="19">
        <f>'18 '!G86</f>
        <v>0</v>
      </c>
      <c r="AC21" s="19">
        <f>'18 '!G87</f>
        <v>15</v>
      </c>
      <c r="AD21" s="19">
        <f t="shared" si="8"/>
        <v>39.260000000002037</v>
      </c>
      <c r="AE21" s="23">
        <f t="shared" si="2"/>
        <v>7242</v>
      </c>
      <c r="AF21" s="23">
        <f t="shared" si="9"/>
        <v>184.46255731022987</v>
      </c>
      <c r="AG21" s="19">
        <f>'18 '!G88</f>
        <v>8.6199999999989814</v>
      </c>
      <c r="AH21" s="19">
        <f>'18 '!G89</f>
        <v>5</v>
      </c>
      <c r="AI21" s="19">
        <f>'18 '!G90</f>
        <v>6</v>
      </c>
      <c r="AJ21" s="19">
        <f t="shared" si="10"/>
        <v>19.619999999998981</v>
      </c>
      <c r="AK21" s="19">
        <f>'18 '!G91</f>
        <v>8</v>
      </c>
      <c r="AL21" s="19">
        <f>'18 '!G92</f>
        <v>3</v>
      </c>
      <c r="AM21" s="19"/>
      <c r="AN21" s="19">
        <f t="shared" si="11"/>
        <v>11</v>
      </c>
      <c r="AO21" s="52">
        <f>'18 '!G74</f>
        <v>314</v>
      </c>
      <c r="AP21" s="55">
        <f>'18 '!G35</f>
        <v>2143</v>
      </c>
      <c r="AQ21" s="19">
        <f>'18 '!G37</f>
        <v>1696</v>
      </c>
      <c r="AR21" s="19">
        <f>'18 '!G38</f>
        <v>2295</v>
      </c>
      <c r="AS21" s="19">
        <f>'18 '!G39</f>
        <v>3285</v>
      </c>
      <c r="AT21" s="19">
        <f>'18 '!G40</f>
        <v>420</v>
      </c>
      <c r="AU21" s="19">
        <f>'18 '!G41</f>
        <v>0</v>
      </c>
      <c r="AV21" s="19">
        <f>'18 '!G42</f>
        <v>5209</v>
      </c>
      <c r="AW21" s="19">
        <f>'18 '!G43</f>
        <v>3303</v>
      </c>
      <c r="AX21" s="23">
        <f>'18 '!G44</f>
        <v>0</v>
      </c>
      <c r="AY21" s="56">
        <f>'18 '!G36</f>
        <v>1020</v>
      </c>
      <c r="AZ21" s="55">
        <f>'18 '!G49</f>
        <v>1783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468</v>
      </c>
      <c r="BE21" s="19">
        <f>'18 '!G55</f>
        <v>138</v>
      </c>
      <c r="BF21" s="19">
        <f>'18 '!G56</f>
        <v>1895</v>
      </c>
      <c r="BG21" s="19">
        <f>'18 '!G57</f>
        <v>0</v>
      </c>
      <c r="BH21" s="56">
        <f>'18 '!G50</f>
        <v>1432</v>
      </c>
      <c r="BI21" s="60">
        <f t="shared" si="12"/>
        <v>7242</v>
      </c>
      <c r="BJ21" s="60">
        <f>'18 '!G133</f>
        <v>888</v>
      </c>
      <c r="BK21" s="23">
        <f t="shared" si="13"/>
        <v>51.835798975534615</v>
      </c>
      <c r="BL21" s="23">
        <f t="shared" si="14"/>
        <v>11.767023677329226</v>
      </c>
      <c r="BM21" s="24">
        <f t="shared" si="15"/>
        <v>8.2207973636135689E-2</v>
      </c>
      <c r="BN21" s="25">
        <f t="shared" si="16"/>
        <v>340163.4</v>
      </c>
      <c r="BO21" s="38">
        <f t="shared" si="17"/>
        <v>11433</v>
      </c>
      <c r="BP21">
        <f t="shared" si="18"/>
        <v>1.0400443926933454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1</v>
      </c>
      <c r="G22" s="19">
        <f>'19'!G7</f>
        <v>27150</v>
      </c>
      <c r="H22" s="19">
        <f>'19'!G8</f>
        <v>27928</v>
      </c>
      <c r="I22" s="19">
        <v>9</v>
      </c>
      <c r="J22" s="49">
        <f t="shared" si="3"/>
        <v>251352</v>
      </c>
      <c r="K22" s="45">
        <f t="shared" si="4"/>
        <v>138.25742574257427</v>
      </c>
      <c r="L22" s="19">
        <f>'19'!G15</f>
        <v>1090</v>
      </c>
      <c r="M22" s="19">
        <v>56.2</v>
      </c>
      <c r="N22" s="41">
        <f t="shared" si="5"/>
        <v>61258</v>
      </c>
      <c r="O22" s="19">
        <f>'19'!G20</f>
        <v>274</v>
      </c>
      <c r="P22" s="19">
        <v>108</v>
      </c>
      <c r="Q22" s="46">
        <f t="shared" si="0"/>
        <v>29592</v>
      </c>
      <c r="R22" s="47">
        <f t="shared" si="1"/>
        <v>135.64356435643563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127</v>
      </c>
      <c r="W22" s="22">
        <f>'19'!G66</f>
        <v>12</v>
      </c>
      <c r="X22" s="22">
        <f>'19'!G67</f>
        <v>63</v>
      </c>
      <c r="Y22" s="22">
        <f t="shared" si="7"/>
        <v>202</v>
      </c>
      <c r="Z22" s="19">
        <f>'19'!G84</f>
        <v>0.22999999999592546</v>
      </c>
      <c r="AA22" s="19">
        <f>'19'!G85</f>
        <v>6</v>
      </c>
      <c r="AB22" s="19">
        <f>'19'!G86</f>
        <v>11.529999999998836</v>
      </c>
      <c r="AC22" s="19">
        <f>'19'!G87</f>
        <v>24</v>
      </c>
      <c r="AD22" s="19">
        <f t="shared" si="8"/>
        <v>41.759999999994761</v>
      </c>
      <c r="AE22" s="23">
        <f t="shared" si="2"/>
        <v>5840</v>
      </c>
      <c r="AF22" s="23">
        <f t="shared" si="9"/>
        <v>139.8467432950367</v>
      </c>
      <c r="AG22" s="19">
        <f>'19'!G88</f>
        <v>10</v>
      </c>
      <c r="AH22" s="19">
        <f>'19'!G89</f>
        <v>3</v>
      </c>
      <c r="AI22" s="19">
        <f>'19'!G90</f>
        <v>9</v>
      </c>
      <c r="AJ22" s="19">
        <f t="shared" si="10"/>
        <v>22</v>
      </c>
      <c r="AK22" s="19">
        <f>'19'!G91</f>
        <v>12.480000000000018</v>
      </c>
      <c r="AL22" s="19">
        <f>'19'!G92</f>
        <v>0</v>
      </c>
      <c r="AM22" s="19"/>
      <c r="AN22" s="19">
        <f t="shared" si="11"/>
        <v>12.480000000000018</v>
      </c>
      <c r="AO22" s="52">
        <f>'19'!G74</f>
        <v>331</v>
      </c>
      <c r="AP22" s="55">
        <f>'19'!G35</f>
        <v>2112</v>
      </c>
      <c r="AQ22" s="19">
        <f>'19'!G37</f>
        <v>1723</v>
      </c>
      <c r="AR22" s="19">
        <f>'19'!G38</f>
        <v>2295</v>
      </c>
      <c r="AS22" s="19">
        <f>'19'!G39</f>
        <v>3229</v>
      </c>
      <c r="AT22" s="19">
        <f>'19'!G40</f>
        <v>518</v>
      </c>
      <c r="AU22" s="19">
        <f>'19'!G41</f>
        <v>0</v>
      </c>
      <c r="AV22" s="19">
        <f>'19'!G42</f>
        <v>1299</v>
      </c>
      <c r="AW22" s="19">
        <f>'19'!G43</f>
        <v>3310</v>
      </c>
      <c r="AX22" s="23">
        <f>'19'!G44</f>
        <v>0</v>
      </c>
      <c r="AY22" s="56">
        <f>'19'!G36</f>
        <v>1171</v>
      </c>
      <c r="AZ22" s="55">
        <f>'19'!G49</f>
        <v>1775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463</v>
      </c>
      <c r="BE22" s="19">
        <f>'19'!G55</f>
        <v>1493</v>
      </c>
      <c r="BF22" s="19">
        <f>'19'!G56</f>
        <v>3048</v>
      </c>
      <c r="BG22" s="19">
        <f>'19'!G57</f>
        <v>0</v>
      </c>
      <c r="BH22" s="56">
        <f>'19'!G50</f>
        <v>1258</v>
      </c>
      <c r="BI22" s="60">
        <f t="shared" si="12"/>
        <v>5840</v>
      </c>
      <c r="BJ22" s="60">
        <f>'19'!G133</f>
        <v>877</v>
      </c>
      <c r="BK22" s="23">
        <f t="shared" si="13"/>
        <v>46.680750501289033</v>
      </c>
      <c r="BL22" s="23">
        <f t="shared" si="14"/>
        <v>11.561873388713837</v>
      </c>
      <c r="BM22" s="24">
        <f t="shared" si="15"/>
        <v>8.2175594385562878E-2</v>
      </c>
      <c r="BN22" s="25">
        <f t="shared" si="16"/>
        <v>342202</v>
      </c>
      <c r="BO22" s="38">
        <f t="shared" si="17"/>
        <v>10027</v>
      </c>
      <c r="BP22">
        <f t="shared" si="18"/>
        <v>0.85753626163119678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27361.430000000051</v>
      </c>
      <c r="H23" s="19">
        <f>'20'!G8</f>
        <v>28067.069999999949</v>
      </c>
      <c r="I23" s="19">
        <v>9</v>
      </c>
      <c r="J23" s="49">
        <f t="shared" si="3"/>
        <v>252603.62999999954</v>
      </c>
      <c r="K23" s="45">
        <f t="shared" si="4"/>
        <v>138.94589108910867</v>
      </c>
      <c r="L23" s="19">
        <f>'20'!G15</f>
        <v>1090.6999999999534</v>
      </c>
      <c r="M23" s="19">
        <v>56.2</v>
      </c>
      <c r="N23" s="41">
        <f t="shared" si="5"/>
        <v>61297.339999997384</v>
      </c>
      <c r="O23" s="19">
        <f>'20'!G20</f>
        <v>307</v>
      </c>
      <c r="P23" s="19">
        <v>108</v>
      </c>
      <c r="Q23" s="46">
        <f t="shared" si="0"/>
        <v>33156</v>
      </c>
      <c r="R23" s="47">
        <f t="shared" si="1"/>
        <v>222.48601671761381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97</v>
      </c>
      <c r="W23" s="22">
        <f>'20'!G66</f>
        <v>14</v>
      </c>
      <c r="X23" s="22">
        <f>'20'!G67</f>
        <v>94</v>
      </c>
      <c r="Y23" s="22">
        <f t="shared" si="7"/>
        <v>205</v>
      </c>
      <c r="Z23" s="19">
        <f>'20'!G84</f>
        <v>0</v>
      </c>
      <c r="AA23" s="19">
        <f>'20'!G85</f>
        <v>11.210000000000036</v>
      </c>
      <c r="AB23" s="19">
        <f>'20'!G86</f>
        <v>17.239999999997963</v>
      </c>
      <c r="AC23" s="19">
        <f>'20'!G87</f>
        <v>14.059999999997672</v>
      </c>
      <c r="AD23" s="19">
        <f t="shared" si="8"/>
        <v>42.509999999995671</v>
      </c>
      <c r="AE23" s="23">
        <f t="shared" si="2"/>
        <v>6519.3600000000151</v>
      </c>
      <c r="AF23" s="23">
        <f t="shared" si="9"/>
        <v>153.36062103036178</v>
      </c>
      <c r="AG23" s="19">
        <f>'20'!G88</f>
        <v>0</v>
      </c>
      <c r="AH23" s="19">
        <f>'20'!G89</f>
        <v>9.1899999999986903</v>
      </c>
      <c r="AI23" s="19">
        <f>'20'!G90</f>
        <v>11.490000000005239</v>
      </c>
      <c r="AJ23" s="19">
        <f t="shared" si="10"/>
        <v>20.680000000003929</v>
      </c>
      <c r="AK23" s="19">
        <f>'20'!G91</f>
        <v>12.210000000000036</v>
      </c>
      <c r="AL23" s="19">
        <f>'20'!G92</f>
        <v>-0.13000000000010914</v>
      </c>
      <c r="AM23" s="19"/>
      <c r="AN23" s="19">
        <f t="shared" si="11"/>
        <v>12.079999999999927</v>
      </c>
      <c r="AO23" s="52">
        <f>'20'!G74</f>
        <v>333.11999999999534</v>
      </c>
      <c r="AP23" s="55">
        <f>'20'!G35</f>
        <v>2147.609999999986</v>
      </c>
      <c r="AQ23" s="19">
        <f>'20'!G37</f>
        <v>1793.1700000000128</v>
      </c>
      <c r="AR23" s="19">
        <f>'20'!G38</f>
        <v>2268.9100000000035</v>
      </c>
      <c r="AS23" s="19">
        <f>'20'!G39</f>
        <v>3276.3699999999953</v>
      </c>
      <c r="AT23" s="19">
        <f>'20'!G40</f>
        <v>342.30000000000291</v>
      </c>
      <c r="AU23" s="19">
        <f>'20'!G41</f>
        <v>0</v>
      </c>
      <c r="AV23" s="19">
        <f>'20'!G42</f>
        <v>2335.5900000000256</v>
      </c>
      <c r="AW23" s="19">
        <f>'20'!G43</f>
        <v>3343.6500000000233</v>
      </c>
      <c r="AX23" s="23">
        <f>'20'!G44</f>
        <v>0</v>
      </c>
      <c r="AY23" s="56">
        <f>'20'!G36</f>
        <v>912.80999999999767</v>
      </c>
      <c r="AZ23" s="55">
        <f>'20'!G49</f>
        <v>1872.8500000000058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471.7699999999968</v>
      </c>
      <c r="BE23" s="19">
        <f>'20'!G55</f>
        <v>2457.109999999986</v>
      </c>
      <c r="BF23" s="19">
        <f>'20'!G56</f>
        <v>1726.6600000000035</v>
      </c>
      <c r="BG23" s="19">
        <f>'20'!G57</f>
        <v>0</v>
      </c>
      <c r="BH23" s="56">
        <f>'20'!G50</f>
        <v>1170.4200000000128</v>
      </c>
      <c r="BI23" s="60">
        <f t="shared" si="12"/>
        <v>6519.3600000000151</v>
      </c>
      <c r="BJ23" s="60">
        <f>'20'!G133</f>
        <v>973.17999999999302</v>
      </c>
      <c r="BK23" s="23">
        <f t="shared" si="13"/>
        <v>49.465334286764012</v>
      </c>
      <c r="BL23" s="23">
        <f t="shared" si="14"/>
        <v>11.673359563360199</v>
      </c>
      <c r="BM23" s="24">
        <f t="shared" si="15"/>
        <v>8.0838862054357918E-2</v>
      </c>
      <c r="BN23" s="25">
        <f t="shared" si="16"/>
        <v>347056.96999999695</v>
      </c>
      <c r="BO23" s="38">
        <f t="shared" si="17"/>
        <v>10836.190000000031</v>
      </c>
      <c r="BP23">
        <f t="shared" si="18"/>
        <v>0.91038999227082162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28729.279999999912</v>
      </c>
      <c r="H24" s="19">
        <f>'21'!G8</f>
        <v>29272.920000000042</v>
      </c>
      <c r="I24" s="19">
        <v>9</v>
      </c>
      <c r="J24" s="49">
        <f t="shared" si="3"/>
        <v>263456.28000000038</v>
      </c>
      <c r="K24" s="45">
        <f t="shared" si="4"/>
        <v>144.91544554455467</v>
      </c>
      <c r="L24" s="19">
        <f>'21'!G15</f>
        <v>1136.9899999999907</v>
      </c>
      <c r="M24" s="19">
        <v>56.2</v>
      </c>
      <c r="N24" s="41">
        <f t="shared" si="5"/>
        <v>63898.83799999948</v>
      </c>
      <c r="O24" s="19">
        <f>'21'!G20</f>
        <v>277</v>
      </c>
      <c r="P24" s="19">
        <v>108</v>
      </c>
      <c r="Q24" s="46">
        <f t="shared" si="0"/>
        <v>29916</v>
      </c>
      <c r="R24" s="47">
        <f t="shared" si="1"/>
        <v>193.13903221308047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124</v>
      </c>
      <c r="W24" s="22">
        <f>'21'!G66</f>
        <v>17</v>
      </c>
      <c r="X24" s="22">
        <f>'21'!G67</f>
        <v>78</v>
      </c>
      <c r="Y24" s="22">
        <f t="shared" si="7"/>
        <v>219</v>
      </c>
      <c r="Z24" s="19">
        <f>'21'!G84</f>
        <v>-8.999999999650754E-2</v>
      </c>
      <c r="AA24" s="19">
        <f>'21'!G85</f>
        <v>24</v>
      </c>
      <c r="AB24" s="19">
        <f>'21'!G86</f>
        <v>17.930000000000291</v>
      </c>
      <c r="AC24" s="19">
        <f>'21'!G87</f>
        <v>0</v>
      </c>
      <c r="AD24" s="19">
        <f t="shared" si="8"/>
        <v>41.840000000003783</v>
      </c>
      <c r="AE24" s="23">
        <f t="shared" si="2"/>
        <v>7678.4199999999837</v>
      </c>
      <c r="AF24" s="23">
        <f t="shared" si="9"/>
        <v>183.51864244740176</v>
      </c>
      <c r="AG24" s="19">
        <f>'21'!G88</f>
        <v>-0.31000000000130967</v>
      </c>
      <c r="AH24" s="19">
        <f>'21'!G89</f>
        <v>9.930000000000291</v>
      </c>
      <c r="AI24" s="19">
        <f>'21'!G90</f>
        <v>12.519999999989523</v>
      </c>
      <c r="AJ24" s="19">
        <f t="shared" si="10"/>
        <v>22.139999999988504</v>
      </c>
      <c r="AK24" s="19">
        <f>'21'!G91</f>
        <v>11.429999999999836</v>
      </c>
      <c r="AL24" s="19">
        <f>'21'!G92</f>
        <v>0</v>
      </c>
      <c r="AM24" s="19"/>
      <c r="AN24" s="19">
        <f t="shared" si="11"/>
        <v>11.429999999999836</v>
      </c>
      <c r="AO24" s="52">
        <f>'21'!G74</f>
        <v>311.35999999998603</v>
      </c>
      <c r="AP24" s="55">
        <f>'21'!G35</f>
        <v>2215.4400000000023</v>
      </c>
      <c r="AQ24" s="19">
        <f>'21'!G37</f>
        <v>1751.9499999999825</v>
      </c>
      <c r="AR24" s="19">
        <f>'21'!G38</f>
        <v>2476.7799999999988</v>
      </c>
      <c r="AS24" s="19">
        <f>'21'!G39</f>
        <v>3181.3800000000047</v>
      </c>
      <c r="AT24" s="19">
        <f>'21'!G40</f>
        <v>539.55999999999767</v>
      </c>
      <c r="AU24" s="19">
        <f>'21'!G41</f>
        <v>0</v>
      </c>
      <c r="AV24" s="19">
        <f>'21'!G42</f>
        <v>5120.7199999999721</v>
      </c>
      <c r="AW24" s="19">
        <f>'21'!G43</f>
        <v>3448.6199999999953</v>
      </c>
      <c r="AX24" s="23">
        <f>'21'!G44</f>
        <v>0</v>
      </c>
      <c r="AY24" s="56">
        <f>'21'!G36</f>
        <v>1318.2200000000012</v>
      </c>
      <c r="AZ24" s="55">
        <f>'21'!G49</f>
        <v>1826.179999999993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472.56999999999971</v>
      </c>
      <c r="BE24" s="19">
        <f>'21'!G55</f>
        <v>2557.7000000000116</v>
      </c>
      <c r="BF24" s="19">
        <f>'21'!G56</f>
        <v>0</v>
      </c>
      <c r="BG24" s="19">
        <f>'21'!G57</f>
        <v>0</v>
      </c>
      <c r="BH24" s="56">
        <f>'21'!G50</f>
        <v>1720.7299999999814</v>
      </c>
      <c r="BI24" s="60">
        <f t="shared" si="12"/>
        <v>7678.4199999999837</v>
      </c>
      <c r="BJ24" s="60">
        <f>'21'!G133</f>
        <v>956.41000000000349</v>
      </c>
      <c r="BK24" s="23">
        <f t="shared" si="13"/>
        <v>51.81806256430842</v>
      </c>
      <c r="BL24" s="23">
        <f t="shared" si="14"/>
        <v>10.867996769710707</v>
      </c>
      <c r="BM24" s="24">
        <f t="shared" si="15"/>
        <v>8.460993983517856E-2</v>
      </c>
      <c r="BN24" s="25">
        <f t="shared" si="16"/>
        <v>357271.11799999984</v>
      </c>
      <c r="BO24" s="38">
        <f t="shared" si="17"/>
        <v>12083.449999999983</v>
      </c>
      <c r="BP24">
        <f t="shared" si="18"/>
        <v>1.0314335222615825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28537.080000000075</v>
      </c>
      <c r="H25" s="19">
        <f>'22'!G8</f>
        <v>29201.040000000037</v>
      </c>
      <c r="I25" s="19">
        <v>9</v>
      </c>
      <c r="J25" s="49">
        <f t="shared" si="3"/>
        <v>262809.36000000034</v>
      </c>
      <c r="K25" s="45">
        <f t="shared" si="4"/>
        <v>144.55960396039623</v>
      </c>
      <c r="L25" s="19">
        <f>'22'!G15</f>
        <v>1078.8900000001304</v>
      </c>
      <c r="M25" s="19">
        <v>56.2</v>
      </c>
      <c r="N25" s="41">
        <f t="shared" si="5"/>
        <v>60633.618000007329</v>
      </c>
      <c r="O25" s="19">
        <f>'22'!G20</f>
        <v>296</v>
      </c>
      <c r="P25" s="19">
        <v>108</v>
      </c>
      <c r="Q25" s="46">
        <f t="shared" si="0"/>
        <v>31968</v>
      </c>
      <c r="R25" s="47">
        <f t="shared" si="1"/>
        <v>149.52515659729238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116</v>
      </c>
      <c r="W25" s="22">
        <f>'22'!G66</f>
        <v>13</v>
      </c>
      <c r="X25" s="22">
        <f>'22'!G67</f>
        <v>82</v>
      </c>
      <c r="Y25" s="22">
        <f t="shared" si="7"/>
        <v>211</v>
      </c>
      <c r="Z25" s="19">
        <f>'22'!G84</f>
        <v>0</v>
      </c>
      <c r="AA25" s="19">
        <f>'22'!G85</f>
        <v>24</v>
      </c>
      <c r="AB25" s="19">
        <f>'22'!G86</f>
        <v>17.090000000003783</v>
      </c>
      <c r="AC25" s="19">
        <f>'22'!G87</f>
        <v>0</v>
      </c>
      <c r="AD25" s="19">
        <f t="shared" si="8"/>
        <v>41.090000000003783</v>
      </c>
      <c r="AE25" s="23">
        <f t="shared" si="2"/>
        <v>8506.1299999999756</v>
      </c>
      <c r="AF25" s="23">
        <f t="shared" si="9"/>
        <v>207.0121684107859</v>
      </c>
      <c r="AG25" s="19">
        <f>'22'!G88</f>
        <v>0</v>
      </c>
      <c r="AH25" s="19">
        <f>'22'!G89</f>
        <v>9.1000000000021828</v>
      </c>
      <c r="AI25" s="19">
        <f>'22'!G90</f>
        <v>10.75</v>
      </c>
      <c r="AJ25" s="19">
        <f t="shared" si="10"/>
        <v>19.850000000002183</v>
      </c>
      <c r="AK25" s="19">
        <f>'22'!G91</f>
        <v>11.890000000000327</v>
      </c>
      <c r="AL25" s="19">
        <f>'22'!G92</f>
        <v>0</v>
      </c>
      <c r="AM25" s="19"/>
      <c r="AN25" s="19">
        <f t="shared" si="11"/>
        <v>11.890000000000327</v>
      </c>
      <c r="AO25" s="52">
        <f>'22'!G74</f>
        <v>321.5</v>
      </c>
      <c r="AP25" s="55">
        <f>'22'!G35</f>
        <v>2146.2000000000116</v>
      </c>
      <c r="AQ25" s="19">
        <f>'22'!G37</f>
        <v>1773.3300000000163</v>
      </c>
      <c r="AR25" s="19">
        <f>'22'!G38</f>
        <v>2323.6000000000058</v>
      </c>
      <c r="AS25" s="19">
        <f>'22'!G39</f>
        <v>3155.179999999993</v>
      </c>
      <c r="AT25" s="19">
        <f>'22'!G40</f>
        <v>623.37000000000262</v>
      </c>
      <c r="AU25" s="19">
        <f>'22'!G41</f>
        <v>0</v>
      </c>
      <c r="AV25" s="19">
        <f>'22'!G42</f>
        <v>5837.039999999979</v>
      </c>
      <c r="AW25" s="19">
        <f>'22'!G43</f>
        <v>3471.6199999999953</v>
      </c>
      <c r="AX25" s="23">
        <f>'22'!G44</f>
        <v>0</v>
      </c>
      <c r="AY25" s="56">
        <f>'22'!G36</f>
        <v>1008.9499999999971</v>
      </c>
      <c r="AZ25" s="55">
        <f>'22'!G49</f>
        <v>1778.2600000000093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470.61000000000058</v>
      </c>
      <c r="BE25" s="19">
        <f>'22'!G55</f>
        <v>2669.0899999999965</v>
      </c>
      <c r="BF25" s="19">
        <f>'22'!G56</f>
        <v>0</v>
      </c>
      <c r="BG25" s="19">
        <f>'22'!G57</f>
        <v>0</v>
      </c>
      <c r="BH25" s="56">
        <f>'22'!G50</f>
        <v>1197.1199999999953</v>
      </c>
      <c r="BI25" s="60">
        <f t="shared" si="12"/>
        <v>8506.1299999999756</v>
      </c>
      <c r="BJ25" s="60">
        <f>'22'!G133</f>
        <v>905.19000000000233</v>
      </c>
      <c r="BK25" s="23">
        <f t="shared" si="13"/>
        <v>54.457683698936656</v>
      </c>
      <c r="BL25" s="23">
        <f t="shared" si="14"/>
        <v>10.805026122357249</v>
      </c>
      <c r="BM25" s="24">
        <f t="shared" si="15"/>
        <v>7.9572508376414094E-2</v>
      </c>
      <c r="BN25" s="25">
        <f t="shared" si="16"/>
        <v>355410.97800000769</v>
      </c>
      <c r="BO25" s="38">
        <f t="shared" si="17"/>
        <v>12882.939999999973</v>
      </c>
      <c r="BP25">
        <f t="shared" si="18"/>
        <v>1.1197493307373003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30904.520000000019</v>
      </c>
      <c r="H26" s="19">
        <f>'23'!G8</f>
        <v>31648.400000000023</v>
      </c>
      <c r="I26" s="19">
        <v>9</v>
      </c>
      <c r="J26" s="49">
        <f t="shared" si="3"/>
        <v>284835.60000000021</v>
      </c>
      <c r="K26" s="45">
        <f t="shared" si="4"/>
        <v>156.67524752475259</v>
      </c>
      <c r="L26" s="19">
        <f>'23'!G15</f>
        <v>1118.1399999998976</v>
      </c>
      <c r="M26" s="19">
        <v>56.2</v>
      </c>
      <c r="N26" s="41">
        <f t="shared" si="5"/>
        <v>62839.467999994245</v>
      </c>
      <c r="O26" s="19">
        <f>'23'!G20</f>
        <v>291</v>
      </c>
      <c r="P26" s="19">
        <v>108</v>
      </c>
      <c r="Q26" s="46">
        <f t="shared" si="0"/>
        <v>31428</v>
      </c>
      <c r="R26" s="47">
        <f t="shared" si="1"/>
        <v>145.51455145514552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150</v>
      </c>
      <c r="W26" s="22">
        <f>'23'!G66</f>
        <v>17</v>
      </c>
      <c r="X26" s="22">
        <f>'23'!G67</f>
        <v>89</v>
      </c>
      <c r="Y26" s="22">
        <f t="shared" si="7"/>
        <v>256</v>
      </c>
      <c r="Z26" s="19">
        <f>'23'!G84</f>
        <v>6.1299999999973807</v>
      </c>
      <c r="AA26" s="19">
        <f>'23'!G85</f>
        <v>24</v>
      </c>
      <c r="AB26" s="19">
        <f>'23'!G86</f>
        <v>18.930000000000291</v>
      </c>
      <c r="AC26" s="19">
        <f>'23'!G87</f>
        <v>0</v>
      </c>
      <c r="AD26" s="19">
        <f t="shared" si="8"/>
        <v>49.059999999997672</v>
      </c>
      <c r="AE26" s="23">
        <f t="shared" si="2"/>
        <v>9799.2200000000503</v>
      </c>
      <c r="AF26" s="23">
        <f t="shared" si="9"/>
        <v>199.73950264982705</v>
      </c>
      <c r="AG26" s="19">
        <f>'23'!G88</f>
        <v>7.6300000000010186</v>
      </c>
      <c r="AH26" s="19">
        <f>'23'!G89</f>
        <v>3.4799999999995634</v>
      </c>
      <c r="AI26" s="19">
        <f>'23'!G90</f>
        <v>11.180000000007567</v>
      </c>
      <c r="AJ26" s="19">
        <f t="shared" si="10"/>
        <v>22.290000000008149</v>
      </c>
      <c r="AK26" s="19">
        <f>'23'!G91</f>
        <v>11.7199999999998</v>
      </c>
      <c r="AL26" s="19">
        <f>'23'!G92</f>
        <v>0</v>
      </c>
      <c r="AM26" s="19"/>
      <c r="AN26" s="19">
        <f t="shared" si="11"/>
        <v>11.7199999999998</v>
      </c>
      <c r="AO26" s="52">
        <f>'23'!G74</f>
        <v>318.35999999998603</v>
      </c>
      <c r="AP26" s="55">
        <f>'23'!G35</f>
        <v>2048.820000000007</v>
      </c>
      <c r="AQ26" s="19">
        <f>'23'!G37</f>
        <v>1861.7399999999907</v>
      </c>
      <c r="AR26" s="19">
        <f>'23'!G38</f>
        <v>2416.6600000000035</v>
      </c>
      <c r="AS26" s="19">
        <f>'23'!G39</f>
        <v>3156.7999999999884</v>
      </c>
      <c r="AT26" s="19">
        <f>'23'!G40</f>
        <v>597.41999999999825</v>
      </c>
      <c r="AU26" s="19">
        <f>'23'!G41</f>
        <v>1203.51</v>
      </c>
      <c r="AV26" s="19">
        <f>'23'!G42</f>
        <v>5667.9800000000396</v>
      </c>
      <c r="AW26" s="19">
        <f>'23'!G43</f>
        <v>3760.5599999999977</v>
      </c>
      <c r="AX26" s="23">
        <f>'23'!G44</f>
        <v>0</v>
      </c>
      <c r="AY26" s="56">
        <f>'23'!G36</f>
        <v>1296.0200000000041</v>
      </c>
      <c r="AZ26" s="55">
        <f>'23'!G49</f>
        <v>1874.6000000000058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454.84000000000378</v>
      </c>
      <c r="BE26" s="19">
        <f>'23'!G55</f>
        <v>2927.7300000000105</v>
      </c>
      <c r="BF26" s="19">
        <f>'23'!G56</f>
        <v>0</v>
      </c>
      <c r="BG26" s="19">
        <f>'23'!G57</f>
        <v>0</v>
      </c>
      <c r="BH26" s="56">
        <f>'23'!G50</f>
        <v>1403.3300000000163</v>
      </c>
      <c r="BI26" s="60">
        <f t="shared" si="12"/>
        <v>9799.2200000000503</v>
      </c>
      <c r="BJ26" s="60">
        <f>'23'!G133</f>
        <v>987.52999999999884</v>
      </c>
      <c r="BK26" s="23">
        <f t="shared" si="13"/>
        <v>55.24197115809978</v>
      </c>
      <c r="BL26" s="23">
        <f t="shared" si="14"/>
        <v>9.9745958721451515</v>
      </c>
      <c r="BM26" s="24">
        <f t="shared" si="15"/>
        <v>7.6359626395015284E-2</v>
      </c>
      <c r="BN26" s="25">
        <f t="shared" si="16"/>
        <v>379103.06799999444</v>
      </c>
      <c r="BO26" s="38">
        <f t="shared" si="17"/>
        <v>14547.310000000047</v>
      </c>
      <c r="BP26">
        <f t="shared" si="18"/>
        <v>1.059002824529784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29992.689999999944</v>
      </c>
      <c r="H27" s="19">
        <f>'24'!G8</f>
        <v>30546.469999999972</v>
      </c>
      <c r="I27" s="19">
        <v>9</v>
      </c>
      <c r="J27" s="49">
        <f t="shared" si="3"/>
        <v>274918.22999999975</v>
      </c>
      <c r="K27" s="45">
        <f t="shared" si="4"/>
        <v>151.22014851485136</v>
      </c>
      <c r="L27" s="19">
        <f>'24'!G15</f>
        <v>1099.2700000000186</v>
      </c>
      <c r="M27" s="19">
        <v>56.2</v>
      </c>
      <c r="N27" s="41">
        <f t="shared" si="5"/>
        <v>61778.97400000105</v>
      </c>
      <c r="O27" s="19">
        <f>'24'!G20</f>
        <v>307</v>
      </c>
      <c r="P27" s="19">
        <v>108</v>
      </c>
      <c r="Q27" s="46">
        <f t="shared" si="0"/>
        <v>33156</v>
      </c>
      <c r="R27" s="47">
        <f t="shared" si="1"/>
        <v>151.98019801980197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94</v>
      </c>
      <c r="W27" s="22">
        <f>'24'!G66</f>
        <v>20</v>
      </c>
      <c r="X27" s="22">
        <f>'24'!G67</f>
        <v>83</v>
      </c>
      <c r="Y27" s="22">
        <f t="shared" si="7"/>
        <v>197</v>
      </c>
      <c r="Z27" s="19">
        <f>'24'!G84</f>
        <v>15.739999999997963</v>
      </c>
      <c r="AA27" s="19">
        <f>'24'!G85</f>
        <v>23.190000000000055</v>
      </c>
      <c r="AB27" s="19">
        <f>'24'!G86</f>
        <v>5.2900000000008731</v>
      </c>
      <c r="AC27" s="19">
        <f>'24'!G87</f>
        <v>0</v>
      </c>
      <c r="AD27" s="19">
        <f t="shared" si="8"/>
        <v>44.21999999999889</v>
      </c>
      <c r="AE27" s="23">
        <f t="shared" si="2"/>
        <v>10213.349999999973</v>
      </c>
      <c r="AF27" s="23">
        <f t="shared" si="9"/>
        <v>230.96675712347871</v>
      </c>
      <c r="AG27" s="19">
        <f>'24'!G88</f>
        <v>4.6899999999986903</v>
      </c>
      <c r="AH27" s="19">
        <f>'24'!G89</f>
        <v>7.3099999999976717</v>
      </c>
      <c r="AI27" s="19">
        <f>'24'!G90</f>
        <v>5.8499999999912689</v>
      </c>
      <c r="AJ27" s="19">
        <f t="shared" si="10"/>
        <v>17.849999999987631</v>
      </c>
      <c r="AK27" s="19">
        <f>'24'!G91</f>
        <v>10.7800000000002</v>
      </c>
      <c r="AL27" s="19">
        <f>'24'!G92</f>
        <v>0</v>
      </c>
      <c r="AM27" s="19"/>
      <c r="AN27" s="19">
        <f t="shared" si="11"/>
        <v>10.7800000000002</v>
      </c>
      <c r="AO27" s="52">
        <f>'24'!G74</f>
        <v>292.45000000006985</v>
      </c>
      <c r="AP27" s="55">
        <f>'24'!G35</f>
        <v>2081</v>
      </c>
      <c r="AQ27" s="19">
        <f>'24'!G37</f>
        <v>1735.3999999999942</v>
      </c>
      <c r="AR27" s="19">
        <f>'24'!G38</f>
        <v>2360.539999999979</v>
      </c>
      <c r="AS27" s="19">
        <f>'24'!G39</f>
        <v>3178.3800000000047</v>
      </c>
      <c r="AT27" s="19">
        <f>'24'!G40</f>
        <v>526.69999999999709</v>
      </c>
      <c r="AU27" s="19">
        <f>'24'!G41</f>
        <v>3748.1899999999996</v>
      </c>
      <c r="AV27" s="19">
        <f>'24'!G42</f>
        <v>5790.7799999999697</v>
      </c>
      <c r="AW27" s="19">
        <f>'24'!G43</f>
        <v>3676.7799999999697</v>
      </c>
      <c r="AX27" s="23">
        <f>'24'!G44</f>
        <v>0</v>
      </c>
      <c r="AY27" s="56">
        <f>'24'!G36</f>
        <v>1272.2700000000041</v>
      </c>
      <c r="AZ27" s="55">
        <f>'24'!G49</f>
        <v>1837.0599999999977</v>
      </c>
      <c r="BA27" s="19">
        <f>'24'!G51</f>
        <v>0</v>
      </c>
      <c r="BB27" s="19">
        <f>'24'!G52</f>
        <v>0.24000000000000021</v>
      </c>
      <c r="BC27" s="19">
        <f>'24'!G53</f>
        <v>0</v>
      </c>
      <c r="BD27" s="19">
        <f>'24'!G54</f>
        <v>465.11000000000058</v>
      </c>
      <c r="BE27" s="19">
        <f>'24'!G55</f>
        <v>674.38000000000466</v>
      </c>
      <c r="BF27" s="19">
        <f>'24'!G56</f>
        <v>0</v>
      </c>
      <c r="BG27" s="19">
        <f>'24'!G57</f>
        <v>0</v>
      </c>
      <c r="BH27" s="56">
        <f>'24'!G50</f>
        <v>1356.2699999999895</v>
      </c>
      <c r="BI27" s="60">
        <f t="shared" si="12"/>
        <v>10213.349999999973</v>
      </c>
      <c r="BJ27" s="60">
        <f>'24'!G133</f>
        <v>952.64999999999418</v>
      </c>
      <c r="BK27" s="23">
        <f t="shared" si="13"/>
        <v>58.298683939584372</v>
      </c>
      <c r="BL27" s="23">
        <f t="shared" si="14"/>
        <v>10.405064807815789</v>
      </c>
      <c r="BM27" s="24">
        <f t="shared" si="15"/>
        <v>7.7284871214250969E-2</v>
      </c>
      <c r="BN27" s="25">
        <f t="shared" si="16"/>
        <v>369853.20400000078</v>
      </c>
      <c r="BO27" s="38">
        <f t="shared" si="17"/>
        <v>14842.779999999937</v>
      </c>
      <c r="BP27">
        <f t="shared" si="18"/>
        <v>1.1987772178070935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27505</v>
      </c>
      <c r="H28" s="19">
        <f>'25'!G8</f>
        <v>27904.099999999977</v>
      </c>
      <c r="I28" s="19">
        <v>9</v>
      </c>
      <c r="J28" s="49">
        <f t="shared" si="3"/>
        <v>251136.89999999979</v>
      </c>
      <c r="K28" s="45">
        <f t="shared" si="4"/>
        <v>138.13910891089097</v>
      </c>
      <c r="L28" s="19">
        <f>'25'!G15</f>
        <v>1092.0100000000093</v>
      </c>
      <c r="M28" s="19">
        <v>56.2</v>
      </c>
      <c r="N28" s="41">
        <f t="shared" si="5"/>
        <v>61370.962000000523</v>
      </c>
      <c r="O28" s="19">
        <f>'25'!G20</f>
        <v>381</v>
      </c>
      <c r="P28" s="19">
        <v>108</v>
      </c>
      <c r="Q28" s="46">
        <f t="shared" si="0"/>
        <v>41148</v>
      </c>
      <c r="R28" s="47">
        <f t="shared" si="1"/>
        <v>192.46312386340674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116</v>
      </c>
      <c r="W28" s="22">
        <f>'25'!G66</f>
        <v>15</v>
      </c>
      <c r="X28" s="22">
        <f>'25'!G67</f>
        <v>80</v>
      </c>
      <c r="Y28" s="22">
        <f t="shared" si="7"/>
        <v>211</v>
      </c>
      <c r="Z28" s="19">
        <f>'25'!G84</f>
        <v>16.730000000003201</v>
      </c>
      <c r="AA28" s="19">
        <f>'25'!G85</f>
        <v>23.630000000000109</v>
      </c>
      <c r="AB28" s="19">
        <f>'25'!G86</f>
        <v>0</v>
      </c>
      <c r="AC28" s="19">
        <f>'25'!G87</f>
        <v>-5.9999999997671694E-2</v>
      </c>
      <c r="AD28" s="19">
        <f t="shared" si="8"/>
        <v>40.300000000005639</v>
      </c>
      <c r="AE28" s="23">
        <f t="shared" si="2"/>
        <v>3461.9000000000005</v>
      </c>
      <c r="AF28" s="23">
        <f t="shared" si="9"/>
        <v>85.903225806439607</v>
      </c>
      <c r="AG28" s="19">
        <f>'25'!G88</f>
        <v>0</v>
      </c>
      <c r="AH28" s="19">
        <f>'25'!G89</f>
        <v>10.340000000000146</v>
      </c>
      <c r="AI28" s="19">
        <f>'25'!G90</f>
        <v>10.610000000000582</v>
      </c>
      <c r="AJ28" s="19">
        <f t="shared" si="10"/>
        <v>20.950000000000728</v>
      </c>
      <c r="AK28" s="19">
        <f>'25'!G91</f>
        <v>12.049999999999727</v>
      </c>
      <c r="AL28" s="19">
        <f>'25'!G92</f>
        <v>0</v>
      </c>
      <c r="AM28" s="19"/>
      <c r="AN28" s="19">
        <f t="shared" si="11"/>
        <v>12.049999999999727</v>
      </c>
      <c r="AO28" s="52">
        <f>'25'!G74</f>
        <v>328.10999999998603</v>
      </c>
      <c r="AP28" s="55">
        <f>'25'!G35</f>
        <v>2131.6199999999953</v>
      </c>
      <c r="AQ28" s="19">
        <f>'25'!G37</f>
        <v>1762.0599999999977</v>
      </c>
      <c r="AR28" s="19">
        <f>'25'!G38</f>
        <v>2402.460000000021</v>
      </c>
      <c r="AS28" s="19">
        <f>'25'!G39</f>
        <v>3106.2800000000279</v>
      </c>
      <c r="AT28" s="19">
        <f>'25'!G40</f>
        <v>688.05000000000291</v>
      </c>
      <c r="AU28" s="19">
        <f>'25'!G41</f>
        <v>3461.9000000000005</v>
      </c>
      <c r="AV28" s="19"/>
      <c r="AW28" s="19">
        <f>'25'!G43</f>
        <v>3475.4000000000233</v>
      </c>
      <c r="AX28" s="23">
        <f>'25'!G44</f>
        <v>0</v>
      </c>
      <c r="AY28" s="56">
        <f>'25'!G36</f>
        <v>935.1299999999901</v>
      </c>
      <c r="AZ28" s="55">
        <f>'25'!G49</f>
        <v>1843.859999999986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465.11000000000058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1088.4800000000105</v>
      </c>
      <c r="BI28" s="60">
        <f t="shared" si="12"/>
        <v>3461.9000000000005</v>
      </c>
      <c r="BJ28" s="60">
        <f>'25'!G133</f>
        <v>920.63000000000466</v>
      </c>
      <c r="BK28" s="23">
        <f t="shared" si="13"/>
        <v>39.10815973279918</v>
      </c>
      <c r="BL28" s="23">
        <f t="shared" si="14"/>
        <v>11.131984188703562</v>
      </c>
      <c r="BM28" s="24">
        <f t="shared" si="15"/>
        <v>8.6097025168345262E-2</v>
      </c>
      <c r="BN28" s="25">
        <f t="shared" si="16"/>
        <v>353655.86200000031</v>
      </c>
      <c r="BO28" s="38">
        <f t="shared" si="17"/>
        <v>7857.9300000000285</v>
      </c>
      <c r="BP28">
        <f t="shared" si="18"/>
        <v>0.69637805742634962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27309</v>
      </c>
      <c r="H29" s="19">
        <f>'26'!G8</f>
        <v>27688</v>
      </c>
      <c r="I29" s="19">
        <v>9</v>
      </c>
      <c r="J29" s="49">
        <f t="shared" si="3"/>
        <v>249192</v>
      </c>
      <c r="K29" s="45">
        <f t="shared" si="4"/>
        <v>137.06930693069307</v>
      </c>
      <c r="L29" s="19">
        <f>'26'!G15</f>
        <v>1116</v>
      </c>
      <c r="M29" s="19">
        <v>56.2</v>
      </c>
      <c r="N29" s="41">
        <f t="shared" si="5"/>
        <v>62719.200000000004</v>
      </c>
      <c r="O29" s="19">
        <f>'26'!G20</f>
        <v>328</v>
      </c>
      <c r="P29" s="19">
        <v>108</v>
      </c>
      <c r="Q29" s="46">
        <f t="shared" si="0"/>
        <v>35424</v>
      </c>
      <c r="R29" s="47">
        <f t="shared" si="1"/>
        <v>162.37623762376236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132</v>
      </c>
      <c r="W29" s="22">
        <f>'26'!G66</f>
        <v>14</v>
      </c>
      <c r="X29" s="22">
        <f>'26'!G67</f>
        <v>80</v>
      </c>
      <c r="Y29" s="22">
        <f t="shared" si="7"/>
        <v>226</v>
      </c>
      <c r="Z29" s="19">
        <f>'26'!G84</f>
        <v>15.30000000000291</v>
      </c>
      <c r="AA29" s="19">
        <f>'26'!G85</f>
        <v>24.369999999999891</v>
      </c>
      <c r="AB29" s="19">
        <f>'26'!G86</f>
        <v>0</v>
      </c>
      <c r="AC29" s="19">
        <f>'26'!G87</f>
        <v>0</v>
      </c>
      <c r="AD29" s="19">
        <f t="shared" si="8"/>
        <v>39.670000000002801</v>
      </c>
      <c r="AE29" s="23">
        <f t="shared" si="2"/>
        <v>9058.4999999999527</v>
      </c>
      <c r="AF29" s="23">
        <f t="shared" si="9"/>
        <v>228.34635744893654</v>
      </c>
      <c r="AG29" s="19">
        <f>'26'!G88</f>
        <v>0</v>
      </c>
      <c r="AH29" s="19">
        <f>'26'!G89</f>
        <v>10.25</v>
      </c>
      <c r="AI29" s="19">
        <f>'26'!G90</f>
        <v>9.4600000000064028</v>
      </c>
      <c r="AJ29" s="19">
        <f t="shared" si="10"/>
        <v>19.710000000006403</v>
      </c>
      <c r="AK29" s="19">
        <f>'26'!G91</f>
        <v>10.990000000000236</v>
      </c>
      <c r="AL29" s="19">
        <f>'26'!G92</f>
        <v>0</v>
      </c>
      <c r="AM29" s="19"/>
      <c r="AN29" s="19">
        <f t="shared" si="11"/>
        <v>10.990000000000236</v>
      </c>
      <c r="AO29" s="52">
        <f>'26'!G74</f>
        <v>306.09999999997672</v>
      </c>
      <c r="AP29" s="55">
        <f>'26'!G35</f>
        <v>2058.2000000000116</v>
      </c>
      <c r="AQ29" s="19">
        <f>'26'!G37</f>
        <v>1702.9800000000105</v>
      </c>
      <c r="AR29" s="19">
        <f>'26'!G38</f>
        <v>2440.0999999999767</v>
      </c>
      <c r="AS29" s="19">
        <f>'26'!G39</f>
        <v>2871.9400000000023</v>
      </c>
      <c r="AT29" s="19">
        <f>'26'!G40</f>
        <v>764.09999999999854</v>
      </c>
      <c r="AU29" s="19">
        <f>'26'!G41</f>
        <v>3421.2999999999993</v>
      </c>
      <c r="AV29" s="19">
        <f>'26'!G42</f>
        <v>5637.1999999999534</v>
      </c>
      <c r="AW29" s="19">
        <f>'26'!G43</f>
        <v>3310.7999999999884</v>
      </c>
      <c r="AX29" s="23">
        <f>'26'!G44</f>
        <v>0</v>
      </c>
      <c r="AY29" s="56">
        <f>'26'!G36</f>
        <v>1097.4500000000116</v>
      </c>
      <c r="AZ29" s="55">
        <f>'26'!G49</f>
        <v>1763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474.86999999999534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1098.8500000000058</v>
      </c>
      <c r="BI29" s="60">
        <f t="shared" si="12"/>
        <v>9058.4999999999527</v>
      </c>
      <c r="BJ29" s="60">
        <f>'26'!G133</f>
        <v>868.16000000000349</v>
      </c>
      <c r="BK29" s="23">
        <f t="shared" si="13"/>
        <v>58.474790522970068</v>
      </c>
      <c r="BL29" s="23">
        <f t="shared" si="14"/>
        <v>10.372507945680448</v>
      </c>
      <c r="BM29" s="24">
        <f t="shared" si="15"/>
        <v>8.8128431089279716E-2</v>
      </c>
      <c r="BN29" s="25">
        <f t="shared" si="16"/>
        <v>347335.2</v>
      </c>
      <c r="BO29" s="38">
        <f t="shared" si="17"/>
        <v>13237.459999999945</v>
      </c>
      <c r="BP29">
        <f t="shared" si="18"/>
        <v>1.1917479923654983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27348</v>
      </c>
      <c r="H30" s="19">
        <f>'27'!G8</f>
        <v>27760</v>
      </c>
      <c r="I30" s="19">
        <v>9</v>
      </c>
      <c r="J30" s="49">
        <f t="shared" si="3"/>
        <v>249840</v>
      </c>
      <c r="K30" s="45">
        <f t="shared" si="4"/>
        <v>137.42574257425741</v>
      </c>
      <c r="L30" s="19">
        <f>'27'!G15</f>
        <v>1061</v>
      </c>
      <c r="M30" s="19">
        <v>56.2</v>
      </c>
      <c r="N30" s="41">
        <f t="shared" si="5"/>
        <v>59628.200000000004</v>
      </c>
      <c r="O30" s="19">
        <f>'27'!G20</f>
        <v>280</v>
      </c>
      <c r="P30" s="19">
        <v>108</v>
      </c>
      <c r="Q30" s="46">
        <f t="shared" si="0"/>
        <v>30240</v>
      </c>
      <c r="R30" s="47">
        <f t="shared" si="1"/>
        <v>182.38665971860343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116</v>
      </c>
      <c r="W30" s="22">
        <f>'27'!G66</f>
        <v>12</v>
      </c>
      <c r="X30" s="22">
        <f>'27'!G67</f>
        <v>78</v>
      </c>
      <c r="Y30" s="22">
        <f t="shared" si="7"/>
        <v>206</v>
      </c>
      <c r="Z30" s="19">
        <f>'27'!G84</f>
        <v>14.69999999999709</v>
      </c>
      <c r="AA30" s="19">
        <f>'27'!G85</f>
        <v>23.599999999999909</v>
      </c>
      <c r="AB30" s="19">
        <f>'27'!G86</f>
        <v>0</v>
      </c>
      <c r="AC30" s="19">
        <f>'27'!G87</f>
        <v>0</v>
      </c>
      <c r="AD30" s="19">
        <f t="shared" si="8"/>
        <v>38.299999999996999</v>
      </c>
      <c r="AE30" s="23">
        <f t="shared" si="2"/>
        <v>9133.9600000000155</v>
      </c>
      <c r="AF30" s="23">
        <f t="shared" si="9"/>
        <v>238.48459530028018</v>
      </c>
      <c r="AG30" s="19">
        <f>'27'!G88</f>
        <v>-9.9999999983992893E-3</v>
      </c>
      <c r="AH30" s="19">
        <f>'27'!G89</f>
        <v>8.9900000000016007</v>
      </c>
      <c r="AI30" s="19">
        <f>'27'!G90</f>
        <v>9.5299999999988358</v>
      </c>
      <c r="AJ30" s="19">
        <f t="shared" si="10"/>
        <v>18.510000000002037</v>
      </c>
      <c r="AK30" s="19">
        <f>'27'!G91</f>
        <v>11.949999999999818</v>
      </c>
      <c r="AL30" s="19">
        <f>'27'!G92</f>
        <v>0</v>
      </c>
      <c r="AM30" s="19"/>
      <c r="AN30" s="19">
        <f t="shared" si="11"/>
        <v>11.949999999999818</v>
      </c>
      <c r="AO30" s="52">
        <f>'27'!G74</f>
        <v>317</v>
      </c>
      <c r="AP30" s="55">
        <f>'27'!G35</f>
        <v>2069.109999999986</v>
      </c>
      <c r="AQ30" s="19">
        <f>'27'!G37</f>
        <v>1751.3699999999953</v>
      </c>
      <c r="AR30" s="19">
        <f>'27'!G38</f>
        <v>2459.9500000000116</v>
      </c>
      <c r="AS30" s="19">
        <f>'27'!G39</f>
        <v>2859.6699999999837</v>
      </c>
      <c r="AT30" s="19">
        <f>'27'!G40</f>
        <v>772.5</v>
      </c>
      <c r="AU30" s="19">
        <f>'27'!G41</f>
        <v>3426.1000000000004</v>
      </c>
      <c r="AV30" s="19">
        <f>'27'!G42</f>
        <v>5707.5300000000279</v>
      </c>
      <c r="AW30" s="19">
        <f>'27'!G43</f>
        <v>3295.570000000007</v>
      </c>
      <c r="AX30" s="23">
        <f>'27'!G44</f>
        <v>0</v>
      </c>
      <c r="AY30" s="56">
        <f>'27'!G36</f>
        <v>1058.1499999999942</v>
      </c>
      <c r="AZ30" s="55">
        <f>'27'!G49</f>
        <v>1764.1900000000023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474.30000000000291</v>
      </c>
      <c r="BE30" s="19">
        <f>'27'!G55</f>
        <v>-1.0000000009313226E-2</v>
      </c>
      <c r="BF30" s="19">
        <f>'27'!G56</f>
        <v>0.33999999999650754</v>
      </c>
      <c r="BG30" s="19">
        <f>'27'!G57</f>
        <v>0</v>
      </c>
      <c r="BH30" s="56">
        <f>'27'!G50</f>
        <v>1105.7999999999884</v>
      </c>
      <c r="BI30" s="60">
        <f t="shared" si="12"/>
        <v>9133.9600000000155</v>
      </c>
      <c r="BJ30" s="60">
        <f>'27'!G133</f>
        <v>862.25</v>
      </c>
      <c r="BK30" s="23">
        <f t="shared" si="13"/>
        <v>58.583681556195998</v>
      </c>
      <c r="BL30" s="23">
        <f t="shared" si="14"/>
        <v>10.301404899135386</v>
      </c>
      <c r="BM30" s="24">
        <f t="shared" si="15"/>
        <v>8.8614913544669008E-2</v>
      </c>
      <c r="BN30" s="25">
        <f t="shared" si="16"/>
        <v>339708.2</v>
      </c>
      <c r="BO30" s="38">
        <f t="shared" si="17"/>
        <v>13291.780000000022</v>
      </c>
      <c r="BP30">
        <f t="shared" si="18"/>
        <v>1.23944237224926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28316</v>
      </c>
      <c r="H31" s="19">
        <f>'28'!G8</f>
        <v>28771</v>
      </c>
      <c r="I31" s="19">
        <v>9</v>
      </c>
      <c r="J31" s="49">
        <f t="shared" si="3"/>
        <v>258939</v>
      </c>
      <c r="K31" s="45">
        <f t="shared" si="4"/>
        <v>142.43069306930693</v>
      </c>
      <c r="L31" s="19">
        <f>'28'!G15</f>
        <v>1107</v>
      </c>
      <c r="M31" s="19">
        <v>56.2</v>
      </c>
      <c r="N31" s="41">
        <f t="shared" si="5"/>
        <v>62213.4</v>
      </c>
      <c r="O31" s="19">
        <f>'28'!G20</f>
        <v>313</v>
      </c>
      <c r="P31" s="19">
        <v>108</v>
      </c>
      <c r="Q31" s="46">
        <f t="shared" si="0"/>
        <v>33804</v>
      </c>
      <c r="R31" s="47">
        <f t="shared" si="1"/>
        <v>193.68811881188114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116</v>
      </c>
      <c r="W31" s="22">
        <f>'28'!G66</f>
        <v>17</v>
      </c>
      <c r="X31" s="22">
        <f>'28'!G67</f>
        <v>77</v>
      </c>
      <c r="Y31" s="22">
        <f t="shared" si="7"/>
        <v>210</v>
      </c>
      <c r="Z31" s="19">
        <f>'28'!G84</f>
        <v>24</v>
      </c>
      <c r="AA31" s="19">
        <f>'28'!G85</f>
        <v>17</v>
      </c>
      <c r="AB31" s="19">
        <f>'28'!G86</f>
        <v>-0.48000000000320142</v>
      </c>
      <c r="AC31" s="19">
        <f>'28'!G87</f>
        <v>0</v>
      </c>
      <c r="AD31" s="19">
        <f t="shared" si="8"/>
        <v>40.519999999996799</v>
      </c>
      <c r="AE31" s="23">
        <f t="shared" si="2"/>
        <v>9987</v>
      </c>
      <c r="AF31" s="23">
        <f t="shared" si="9"/>
        <v>246.47087857849922</v>
      </c>
      <c r="AG31" s="19">
        <f>'28'!G88</f>
        <v>1.1699999999982538</v>
      </c>
      <c r="AH31" s="19">
        <f>'28'!G89</f>
        <v>10.069999999999709</v>
      </c>
      <c r="AI31" s="19">
        <f>'28'!G90</f>
        <v>9.9600000000064028</v>
      </c>
      <c r="AJ31" s="19">
        <f t="shared" si="10"/>
        <v>21.200000000004366</v>
      </c>
      <c r="AK31" s="19">
        <f>'28'!G91</f>
        <v>11.940000000000055</v>
      </c>
      <c r="AL31" s="19">
        <f>'28'!G92</f>
        <v>0.17000000000007276</v>
      </c>
      <c r="AM31" s="19"/>
      <c r="AN31" s="19">
        <f t="shared" si="11"/>
        <v>12.110000000000127</v>
      </c>
      <c r="AO31" s="52">
        <f>'28'!G74</f>
        <v>329</v>
      </c>
      <c r="AP31" s="55">
        <f>'28'!G35</f>
        <v>2136</v>
      </c>
      <c r="AQ31" s="19">
        <f>'28'!G37</f>
        <v>1728</v>
      </c>
      <c r="AR31" s="19">
        <f>'28'!G38</f>
        <v>2374</v>
      </c>
      <c r="AS31" s="19">
        <f>'28'!G39</f>
        <v>2899</v>
      </c>
      <c r="AT31" s="19">
        <f>'28'!G40</f>
        <v>760</v>
      </c>
      <c r="AU31" s="19">
        <f>'28'!G41</f>
        <v>6009</v>
      </c>
      <c r="AV31" s="19">
        <f>'28'!G42</f>
        <v>3978</v>
      </c>
      <c r="AW31" s="86">
        <f>'28'!G43</f>
        <v>3306</v>
      </c>
      <c r="AX31" s="23">
        <f>'28'!G44</f>
        <v>0</v>
      </c>
      <c r="AY31" s="56">
        <f>'28'!G36</f>
        <v>886</v>
      </c>
      <c r="AZ31" s="55">
        <f>'28'!G49</f>
        <v>1807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481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1379</v>
      </c>
      <c r="BI31" s="60">
        <f t="shared" si="12"/>
        <v>9987</v>
      </c>
      <c r="BJ31" s="60">
        <f>'28'!G133</f>
        <v>872</v>
      </c>
      <c r="BK31" s="23">
        <f>SUM(AP31,AU31,AV31,AW31,AZ31,BE31,BF31,BG31)/H31%</f>
        <v>59.907545792638423</v>
      </c>
      <c r="BL31" s="23">
        <f t="shared" si="14"/>
        <v>10.076118313579647</v>
      </c>
      <c r="BM31" s="24">
        <f t="shared" si="15"/>
        <v>8.2513642209168958E-2</v>
      </c>
      <c r="BN31" s="25">
        <f t="shared" si="16"/>
        <v>354956.4</v>
      </c>
      <c r="BO31" s="38">
        <f t="shared" si="17"/>
        <v>14165</v>
      </c>
      <c r="BP31">
        <f t="shared" si="18"/>
        <v>1.2485016217741784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29985</v>
      </c>
      <c r="H32" s="19">
        <f>'29'!G8</f>
        <v>30503</v>
      </c>
      <c r="I32" s="19">
        <v>9</v>
      </c>
      <c r="J32" s="49">
        <f t="shared" si="3"/>
        <v>274527</v>
      </c>
      <c r="K32" s="45">
        <f t="shared" si="4"/>
        <v>151.00495049504951</v>
      </c>
      <c r="L32" s="19">
        <f>'29'!G15</f>
        <v>1096</v>
      </c>
      <c r="M32" s="19">
        <v>56.2</v>
      </c>
      <c r="N32" s="41">
        <f t="shared" si="5"/>
        <v>61595.200000000004</v>
      </c>
      <c r="O32" s="19">
        <f>'29'!G20</f>
        <v>311</v>
      </c>
      <c r="P32" s="19">
        <v>108</v>
      </c>
      <c r="Q32" s="46">
        <f t="shared" si="0"/>
        <v>33588</v>
      </c>
      <c r="R32" s="47">
        <f t="shared" si="1"/>
        <v>153.96039603960395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18</v>
      </c>
      <c r="X32" s="22">
        <f>'29'!G67</f>
        <v>76</v>
      </c>
      <c r="Y32" s="22">
        <f t="shared" si="7"/>
        <v>206</v>
      </c>
      <c r="Z32" s="19">
        <f>'29'!G84</f>
        <v>24</v>
      </c>
      <c r="AA32" s="19">
        <f>'29'!G85</f>
        <v>18.579999999999927</v>
      </c>
      <c r="AB32" s="19">
        <f>'29'!G86</f>
        <v>0</v>
      </c>
      <c r="AC32" s="19">
        <f>'29'!G87</f>
        <v>0</v>
      </c>
      <c r="AD32" s="19">
        <f t="shared" si="8"/>
        <v>42.579999999999927</v>
      </c>
      <c r="AE32" s="23">
        <f t="shared" si="2"/>
        <v>10787</v>
      </c>
      <c r="AF32" s="23">
        <f t="shared" si="9"/>
        <v>253.33489901362185</v>
      </c>
      <c r="AG32" s="19">
        <f>'29'!G88</f>
        <v>-0.16999999999825377</v>
      </c>
      <c r="AH32" s="19">
        <f>'29'!G89</f>
        <v>8.3400000000001455</v>
      </c>
      <c r="AI32" s="19">
        <f>'29'!G90</f>
        <v>8.6499999999941792</v>
      </c>
      <c r="AJ32" s="19">
        <f t="shared" si="10"/>
        <v>16.819999999996071</v>
      </c>
      <c r="AK32" s="19">
        <f>'29'!G91</f>
        <v>11.559999999999945</v>
      </c>
      <c r="AL32" s="19">
        <f>'29'!G92</f>
        <v>-3.999999999996362E-2</v>
      </c>
      <c r="AM32" s="19"/>
      <c r="AN32" s="19">
        <f t="shared" si="11"/>
        <v>11.519999999999982</v>
      </c>
      <c r="AO32" s="52">
        <f>'29'!G74</f>
        <v>317</v>
      </c>
      <c r="AP32" s="55">
        <f>'29'!G35</f>
        <v>2288</v>
      </c>
      <c r="AQ32" s="19">
        <f>'29'!G37</f>
        <v>1726</v>
      </c>
      <c r="AR32" s="19">
        <f>'29'!G38</f>
        <v>2399</v>
      </c>
      <c r="AS32" s="19">
        <f>'29'!G39</f>
        <v>2849</v>
      </c>
      <c r="AT32" s="19">
        <f>'29'!G40</f>
        <v>748</v>
      </c>
      <c r="AU32" s="19">
        <f>'29'!G41</f>
        <v>6045</v>
      </c>
      <c r="AV32" s="19">
        <f>'29'!G42</f>
        <v>4742</v>
      </c>
      <c r="AW32" s="19">
        <f>'29'!G43</f>
        <v>3440</v>
      </c>
      <c r="AX32" s="23">
        <f>'29'!G44</f>
        <v>0</v>
      </c>
      <c r="AY32" s="56">
        <f>'29'!G36</f>
        <v>1210</v>
      </c>
      <c r="AZ32" s="55">
        <f>'29'!G49</f>
        <v>1827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468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1646</v>
      </c>
      <c r="BI32" s="60">
        <f t="shared" si="12"/>
        <v>10787</v>
      </c>
      <c r="BJ32" s="60">
        <f>'29'!G133</f>
        <v>843</v>
      </c>
      <c r="BK32" s="23">
        <f t="shared" si="13"/>
        <v>60.13179031570666</v>
      </c>
      <c r="BL32" s="23">
        <f t="shared" si="14"/>
        <v>9.3400649116480352</v>
      </c>
      <c r="BM32" s="24">
        <f t="shared" si="15"/>
        <v>7.8648001835884995E-2</v>
      </c>
      <c r="BN32" s="25">
        <f t="shared" si="16"/>
        <v>369710.2</v>
      </c>
      <c r="BO32" s="38">
        <f t="shared" si="17"/>
        <v>15070</v>
      </c>
      <c r="BP32">
        <f t="shared" si="18"/>
        <v>1.2640072468630499</v>
      </c>
    </row>
    <row r="33" spans="1:68">
      <c r="A33" s="16">
        <v>30</v>
      </c>
      <c r="B33" s="27">
        <v>30</v>
      </c>
      <c r="C33" s="28"/>
      <c r="D33" s="19">
        <f>'30'!D3</f>
        <v>32</v>
      </c>
      <c r="E33" s="50">
        <f>'30'!D4</f>
        <v>0.72</v>
      </c>
      <c r="F33" s="50">
        <f>'30'!D2</f>
        <v>0.72</v>
      </c>
      <c r="G33" s="19">
        <f>'30'!G7</f>
        <v>29861</v>
      </c>
      <c r="H33" s="19">
        <f>'30'!G8</f>
        <v>30519</v>
      </c>
      <c r="I33" s="19">
        <v>9</v>
      </c>
      <c r="J33" s="49">
        <f t="shared" si="3"/>
        <v>274671</v>
      </c>
      <c r="K33" s="45">
        <f t="shared" si="4"/>
        <v>151.08415841584159</v>
      </c>
      <c r="L33" s="19">
        <f>'30'!G15</f>
        <v>1106</v>
      </c>
      <c r="M33" s="19">
        <v>56.2</v>
      </c>
      <c r="N33" s="41">
        <f t="shared" si="5"/>
        <v>62157.200000000004</v>
      </c>
      <c r="O33" s="19">
        <f>'30'!G20</f>
        <v>379</v>
      </c>
      <c r="P33" s="19">
        <v>108</v>
      </c>
      <c r="Q33" s="46">
        <f t="shared" si="0"/>
        <v>40932</v>
      </c>
      <c r="R33" s="47">
        <f t="shared" si="1"/>
        <v>260.58855885588559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117</v>
      </c>
      <c r="W33" s="22">
        <f>'30'!G66</f>
        <v>26</v>
      </c>
      <c r="X33" s="22">
        <f>'30'!G67</f>
        <v>79</v>
      </c>
      <c r="Y33" s="22">
        <f t="shared" si="7"/>
        <v>222</v>
      </c>
      <c r="Z33" s="19">
        <f>'30'!G84</f>
        <v>0</v>
      </c>
      <c r="AA33" s="19">
        <f>'30'!G85</f>
        <v>24.420000000000073</v>
      </c>
      <c r="AB33" s="19">
        <f>'30'!G86</f>
        <v>15</v>
      </c>
      <c r="AC33" s="19">
        <f>'30'!G87</f>
        <v>0</v>
      </c>
      <c r="AD33" s="19">
        <f t="shared" si="8"/>
        <v>39.420000000000073</v>
      </c>
      <c r="AE33" s="23">
        <f t="shared" si="2"/>
        <v>9046</v>
      </c>
      <c r="AF33" s="23">
        <f t="shared" si="9"/>
        <v>229.47742262810715</v>
      </c>
      <c r="AG33" s="19">
        <f>'30'!G88</f>
        <v>0.11999999999898137</v>
      </c>
      <c r="AH33" s="19">
        <f>'30'!G89</f>
        <v>10.220000000001164</v>
      </c>
      <c r="AI33" s="19">
        <f>'30'!G90</f>
        <v>9.5299999999988358</v>
      </c>
      <c r="AJ33" s="19">
        <f t="shared" si="10"/>
        <v>19.869999999998981</v>
      </c>
      <c r="AK33" s="19">
        <f>'30'!G91</f>
        <v>12.239999999999782</v>
      </c>
      <c r="AL33" s="19">
        <f>'30'!G92</f>
        <v>0</v>
      </c>
      <c r="AM33" s="19"/>
      <c r="AN33" s="19">
        <f t="shared" si="11"/>
        <v>12.239999999999782</v>
      </c>
      <c r="AO33" s="52">
        <f>'30'!G74</f>
        <v>331</v>
      </c>
      <c r="AP33" s="55">
        <f>'30'!G35</f>
        <v>2363</v>
      </c>
      <c r="AQ33" s="19">
        <f>'30'!G37</f>
        <v>1806</v>
      </c>
      <c r="AR33" s="19">
        <f>'30'!G38</f>
        <v>2500</v>
      </c>
      <c r="AS33" s="19">
        <f>'30'!G39</f>
        <v>2900</v>
      </c>
      <c r="AT33" s="19">
        <f>'30'!G40</f>
        <v>714</v>
      </c>
      <c r="AU33" s="19">
        <f>'30'!G41</f>
        <v>315</v>
      </c>
      <c r="AV33" s="19">
        <f>'30'!G42</f>
        <v>6273</v>
      </c>
      <c r="AW33" s="19">
        <f>'30'!G43</f>
        <v>3408</v>
      </c>
      <c r="AX33" s="23">
        <f>'30'!G44</f>
        <v>0</v>
      </c>
      <c r="AY33" s="56">
        <f>'30'!G36</f>
        <v>1131</v>
      </c>
      <c r="AZ33" s="55">
        <f>'30'!G49</f>
        <v>1874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480</v>
      </c>
      <c r="BE33" s="19">
        <f>'30'!G55</f>
        <v>2458</v>
      </c>
      <c r="BF33" s="19">
        <f>'30'!G56</f>
        <v>0</v>
      </c>
      <c r="BG33" s="19">
        <f>'30'!G57</f>
        <v>0</v>
      </c>
      <c r="BH33" s="56">
        <f>'30'!G50</f>
        <v>1782</v>
      </c>
      <c r="BI33" s="60">
        <f t="shared" ref="BI33" si="19">SUM(AU33,AV33,BE33,BF33)</f>
        <v>9046</v>
      </c>
      <c r="BJ33" s="60">
        <f>'30'!G133</f>
        <v>842</v>
      </c>
      <c r="BK33" s="23">
        <f t="shared" si="13"/>
        <v>54.690520659261445</v>
      </c>
      <c r="BL33" s="23">
        <f t="shared" si="14"/>
        <v>9.5022772698974407</v>
      </c>
      <c r="BM33" s="24">
        <f t="shared" si="15"/>
        <v>8.1916183361184836E-2</v>
      </c>
      <c r="BN33" s="25">
        <f t="shared" si="16"/>
        <v>377760.2</v>
      </c>
      <c r="BO33" s="38">
        <f t="shared" si="17"/>
        <v>13296</v>
      </c>
      <c r="BP33">
        <f t="shared" si="18"/>
        <v>1.2046096977603804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32</v>
      </c>
      <c r="G34" s="19">
        <f>'31'!G7</f>
        <v>26000</v>
      </c>
      <c r="H34" s="19">
        <f>'31'!G8</f>
        <v>26000</v>
      </c>
      <c r="I34" s="19">
        <v>9</v>
      </c>
      <c r="J34" s="49">
        <f t="shared" si="3"/>
        <v>234000</v>
      </c>
      <c r="K34" s="45">
        <f t="shared" ref="K34" si="20">H34/202</f>
        <v>128.71287128712871</v>
      </c>
      <c r="L34" s="19">
        <f>'31'!G15</f>
        <v>0</v>
      </c>
      <c r="M34" s="19">
        <v>56.2</v>
      </c>
      <c r="N34" s="41">
        <f t="shared" ref="N34" si="21">L34*M34</f>
        <v>0</v>
      </c>
      <c r="O34" s="19">
        <f>'31'!G20</f>
        <v>220</v>
      </c>
      <c r="P34" s="19">
        <v>108</v>
      </c>
      <c r="Q34" s="46">
        <f t="shared" ref="Q34" si="22">O34*P34</f>
        <v>23760</v>
      </c>
      <c r="R34" s="47">
        <f t="shared" si="1"/>
        <v>3.4034653465346536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0</v>
      </c>
      <c r="W34" s="22">
        <f>'31'!G66</f>
        <v>0</v>
      </c>
      <c r="X34" s="22">
        <f>'31'!G67</f>
        <v>0</v>
      </c>
      <c r="Y34" s="22">
        <f t="shared" ref="Y34" si="24">V34+W34+X34</f>
        <v>0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0</v>
      </c>
      <c r="AD34" s="19">
        <f t="shared" ref="AD34" si="25">Z34+AA34+AB34+AC34</f>
        <v>0</v>
      </c>
      <c r="AE34" s="23">
        <f t="shared" ref="AE34" si="26">AU34+AV34+BE34+BF34</f>
        <v>0</v>
      </c>
      <c r="AF34" s="23" t="e">
        <f t="shared" ref="AF34" si="27">AE34/AD34</f>
        <v>#DIV/0!</v>
      </c>
      <c r="AG34" s="19">
        <f>'31'!G88</f>
        <v>0</v>
      </c>
      <c r="AH34" s="19">
        <f>'31'!G89</f>
        <v>0</v>
      </c>
      <c r="AI34" s="19">
        <f>'31'!G90</f>
        <v>0</v>
      </c>
      <c r="AJ34" s="19">
        <f t="shared" ref="AJ34" si="28">AG34+AH34+AI34</f>
        <v>0</v>
      </c>
      <c r="AK34" s="19">
        <f>'31'!G91</f>
        <v>0</v>
      </c>
      <c r="AL34" s="19">
        <f>'31'!G92</f>
        <v>0</v>
      </c>
      <c r="AM34" s="19"/>
      <c r="AN34" s="19">
        <f t="shared" ref="AN34" si="29">AK34+AL34</f>
        <v>0</v>
      </c>
      <c r="AO34" s="52">
        <f>'31'!G74</f>
        <v>0</v>
      </c>
      <c r="AP34" s="55">
        <f>'31'!G35</f>
        <v>0</v>
      </c>
      <c r="AQ34" s="19">
        <f>'31'!G37</f>
        <v>0</v>
      </c>
      <c r="AR34" s="19">
        <f>'31'!G38</f>
        <v>0</v>
      </c>
      <c r="AS34" s="19">
        <f>'31'!G39</f>
        <v>0</v>
      </c>
      <c r="AT34" s="19">
        <f>'31'!G40</f>
        <v>0</v>
      </c>
      <c r="AU34" s="19">
        <f>'31'!G41</f>
        <v>0</v>
      </c>
      <c r="AV34" s="19">
        <f>'31'!G42</f>
        <v>0</v>
      </c>
      <c r="AW34" s="19">
        <f>'31'!G43</f>
        <v>0</v>
      </c>
      <c r="AX34" s="23">
        <f>'31'!G44</f>
        <v>0</v>
      </c>
      <c r="AY34" s="56">
        <f>'31'!G36</f>
        <v>0</v>
      </c>
      <c r="AZ34" s="55">
        <f>'31'!G49</f>
        <v>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</v>
      </c>
      <c r="BE34" s="19">
        <f>'31'!G55</f>
        <v>0</v>
      </c>
      <c r="BF34" s="19">
        <f>'31'!G56</f>
        <v>0</v>
      </c>
      <c r="BG34" s="19">
        <f>'31'!G57</f>
        <v>0</v>
      </c>
      <c r="BH34" s="56">
        <f>'31'!G50</f>
        <v>0</v>
      </c>
      <c r="BI34" s="60">
        <f t="shared" ref="BI34" si="30">SUM(AU34,AV34,BE34,BF34)</f>
        <v>0</v>
      </c>
      <c r="BJ34" s="60">
        <f>'31'!G133</f>
        <v>0</v>
      </c>
      <c r="BK34" s="23">
        <f t="shared" ref="BK34" si="31">SUM(AP34,AU34,AV34,AW34,AZ34,BE34,BF34,BG34)/H34%</f>
        <v>0</v>
      </c>
      <c r="BL34" s="23">
        <f t="shared" ref="BL34" si="32">SUM(AS34,BC34)/H34%</f>
        <v>0</v>
      </c>
      <c r="BM34" s="24">
        <f t="shared" ref="BM34" si="33">(AR34+BB34)/H34</f>
        <v>0</v>
      </c>
      <c r="BN34" s="25">
        <f t="shared" ref="BN34" si="34">J34+N34+Q34+U34</f>
        <v>257760</v>
      </c>
      <c r="BO34" s="38">
        <f t="shared" ref="BO34" si="35">SUM(AU34,AV34,AW34,BE34,BF34,BG34,BJ34)</f>
        <v>0</v>
      </c>
      <c r="BP34" t="e">
        <f t="shared" ref="BP34" si="36">BO34/(AD34*280)</f>
        <v>#DIV/0!</v>
      </c>
    </row>
    <row r="35" spans="1:68">
      <c r="A35" s="16" t="s">
        <v>196</v>
      </c>
      <c r="B35" s="30"/>
      <c r="C35" s="31"/>
      <c r="D35" s="32">
        <f>AVERAGE(D4:D34)</f>
        <v>28.566666666666666</v>
      </c>
      <c r="E35" s="33"/>
      <c r="F35" s="73">
        <f>AVERAGE(F4:F34)</f>
        <v>1.8594548387096776</v>
      </c>
      <c r="G35" s="34">
        <f>SUM(G4:G34)</f>
        <v>870328</v>
      </c>
      <c r="H35" s="34">
        <f t="shared" ref="H35:BN35" si="37">SUM(H4:H34)</f>
        <v>887076.78</v>
      </c>
      <c r="I35" s="19">
        <v>9</v>
      </c>
      <c r="J35" s="34">
        <f t="shared" si="37"/>
        <v>7983691.0199999996</v>
      </c>
      <c r="K35" s="34">
        <f t="shared" si="37"/>
        <v>4391.4692079207925</v>
      </c>
      <c r="L35" s="34">
        <f t="shared" si="37"/>
        <v>32790</v>
      </c>
      <c r="M35" s="34">
        <f t="shared" si="37"/>
        <v>1742.200000000001</v>
      </c>
      <c r="N35" s="34">
        <f t="shared" si="37"/>
        <v>1842797.9999999995</v>
      </c>
      <c r="O35" s="34">
        <f t="shared" si="37"/>
        <v>9325</v>
      </c>
      <c r="P35" s="34">
        <f t="shared" si="37"/>
        <v>3348</v>
      </c>
      <c r="Q35" s="34">
        <f t="shared" si="37"/>
        <v>1007100</v>
      </c>
      <c r="R35" s="34">
        <f t="shared" si="37"/>
        <v>5377.8852885101333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444729</v>
      </c>
      <c r="W35" s="34">
        <f t="shared" si="37"/>
        <v>511</v>
      </c>
      <c r="X35" s="34">
        <f t="shared" si="37"/>
        <v>2307</v>
      </c>
      <c r="Y35" s="34">
        <f t="shared" si="37"/>
        <v>447547</v>
      </c>
      <c r="Z35" s="34">
        <f t="shared" si="37"/>
        <v>117</v>
      </c>
      <c r="AA35" s="34">
        <f t="shared" si="37"/>
        <v>618.5</v>
      </c>
      <c r="AB35" s="34">
        <f t="shared" si="37"/>
        <v>218.59999999999854</v>
      </c>
      <c r="AC35" s="34">
        <f t="shared" si="37"/>
        <v>248.65000000000146</v>
      </c>
      <c r="AD35" s="34">
        <f t="shared" si="37"/>
        <v>1202.75</v>
      </c>
      <c r="AE35" s="34">
        <f t="shared" si="37"/>
        <v>234883.87999999998</v>
      </c>
      <c r="AF35" s="34" t="e">
        <f t="shared" si="37"/>
        <v>#DIV/0!</v>
      </c>
      <c r="AG35" s="34">
        <f t="shared" si="37"/>
        <v>78.719999999997526</v>
      </c>
      <c r="AH35" s="34">
        <f t="shared" si="37"/>
        <v>237.43000000000029</v>
      </c>
      <c r="AI35" s="34">
        <f t="shared" si="37"/>
        <v>290.41999999999825</v>
      </c>
      <c r="AJ35" s="34">
        <f t="shared" si="37"/>
        <v>606.56999999999607</v>
      </c>
      <c r="AK35" s="34">
        <f t="shared" si="37"/>
        <v>149.48999999999978</v>
      </c>
      <c r="AL35" s="34">
        <f t="shared" si="37"/>
        <v>187.69999999999982</v>
      </c>
      <c r="AM35" s="34">
        <f t="shared" si="37"/>
        <v>0</v>
      </c>
      <c r="AN35" s="34">
        <f t="shared" si="37"/>
        <v>337.1899999999996</v>
      </c>
      <c r="AO35" s="34">
        <f t="shared" si="37"/>
        <v>9127.4899999999907</v>
      </c>
      <c r="AP35" s="34">
        <f t="shared" si="37"/>
        <v>64605.790000000008</v>
      </c>
      <c r="AQ35" s="34">
        <f t="shared" si="37"/>
        <v>50199.98000000001</v>
      </c>
      <c r="AR35" s="34">
        <f t="shared" si="37"/>
        <v>73342.63</v>
      </c>
      <c r="AS35" s="34">
        <f t="shared" si="37"/>
        <v>95834.57</v>
      </c>
      <c r="AT35" s="34">
        <f t="shared" si="37"/>
        <v>15725.14</v>
      </c>
      <c r="AU35" s="34">
        <f t="shared" si="37"/>
        <v>27630</v>
      </c>
      <c r="AV35" s="34">
        <f t="shared" si="37"/>
        <v>139139.58999999997</v>
      </c>
      <c r="AW35" s="34">
        <f t="shared" si="37"/>
        <v>98764.53</v>
      </c>
      <c r="AX35" s="34">
        <f t="shared" si="37"/>
        <v>0</v>
      </c>
      <c r="AY35" s="34">
        <f t="shared" si="37"/>
        <v>31058.339999999997</v>
      </c>
      <c r="AZ35" s="34">
        <f t="shared" si="37"/>
        <v>54667.8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14394.120000000003</v>
      </c>
      <c r="BE35" s="34">
        <f t="shared" si="37"/>
        <v>32485.97</v>
      </c>
      <c r="BF35" s="34">
        <f t="shared" si="37"/>
        <v>35628.320000000007</v>
      </c>
      <c r="BG35" s="34">
        <f t="shared" si="37"/>
        <v>0</v>
      </c>
      <c r="BH35" s="34">
        <f t="shared" si="37"/>
        <v>41396.859999999986</v>
      </c>
      <c r="BI35" s="34">
        <f t="shared" si="37"/>
        <v>234883.87999999998</v>
      </c>
      <c r="BJ35" s="34">
        <f t="shared" si="37"/>
        <v>27141.360000000015</v>
      </c>
      <c r="BK35" s="34">
        <f t="shared" si="37"/>
        <v>1575.9891205931606</v>
      </c>
      <c r="BL35" s="34">
        <f t="shared" si="37"/>
        <v>334.74488173186126</v>
      </c>
      <c r="BM35" s="34">
        <f t="shared" si="37"/>
        <v>2.5609216120635372</v>
      </c>
      <c r="BN35" s="34">
        <f t="shared" si="37"/>
        <v>10833589.019999996</v>
      </c>
      <c r="BO35" s="38">
        <f t="shared" si="17"/>
        <v>360789.77</v>
      </c>
      <c r="BP35">
        <f t="shared" si="18"/>
        <v>1.0713239599726818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-3.0000000000000027E-2</v>
      </c>
      <c r="F36" s="35">
        <f t="shared" si="38"/>
        <v>-3.0000000000000027E-2</v>
      </c>
      <c r="G36" s="35"/>
      <c r="H36" s="35">
        <f t="shared" ref="H36:AN36" si="39">H18-H17</f>
        <v>-2690</v>
      </c>
      <c r="I36" s="35">
        <f t="shared" si="39"/>
        <v>0</v>
      </c>
      <c r="J36" s="42">
        <f t="shared" si="39"/>
        <v>-24210</v>
      </c>
      <c r="K36" s="42">
        <f t="shared" si="39"/>
        <v>-13.316831683168317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-93</v>
      </c>
      <c r="P36" s="35">
        <f t="shared" si="39"/>
        <v>0</v>
      </c>
      <c r="Q36" s="42">
        <f t="shared" si="39"/>
        <v>-10044</v>
      </c>
      <c r="R36" s="42">
        <f t="shared" si="39"/>
        <v>-53.987898789878983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</v>
      </c>
      <c r="W36" s="35">
        <f t="shared" si="39"/>
        <v>7</v>
      </c>
      <c r="X36" s="35">
        <f t="shared" si="39"/>
        <v>3</v>
      </c>
      <c r="Y36" s="35">
        <f t="shared" si="39"/>
        <v>13</v>
      </c>
      <c r="Z36" s="35">
        <f t="shared" si="39"/>
        <v>0</v>
      </c>
      <c r="AA36" s="35">
        <f t="shared" si="39"/>
        <v>2</v>
      </c>
      <c r="AB36" s="35">
        <f t="shared" si="39"/>
        <v>-22</v>
      </c>
      <c r="AC36" s="35">
        <f t="shared" si="39"/>
        <v>15.040000000000873</v>
      </c>
      <c r="AD36" s="35">
        <f t="shared" si="39"/>
        <v>-4.9599999999991269</v>
      </c>
      <c r="AE36" s="35">
        <f t="shared" si="39"/>
        <v>-1084.3000000000002</v>
      </c>
      <c r="AF36" s="35">
        <f t="shared" si="39"/>
        <v>-5.0360801545385812</v>
      </c>
      <c r="AG36" s="35">
        <f t="shared" si="39"/>
        <v>-0.38000000000101863</v>
      </c>
      <c r="AH36" s="35">
        <f t="shared" si="39"/>
        <v>0</v>
      </c>
      <c r="AI36" s="35">
        <f t="shared" si="39"/>
        <v>-0.36000000001513399</v>
      </c>
      <c r="AJ36" s="35">
        <f t="shared" si="39"/>
        <v>-0.74000000001615263</v>
      </c>
      <c r="AK36" s="35">
        <f t="shared" si="39"/>
        <v>0</v>
      </c>
      <c r="AL36" s="35">
        <f t="shared" si="39"/>
        <v>-1.1899999999995998</v>
      </c>
      <c r="AM36" s="35">
        <f t="shared" si="39"/>
        <v>0</v>
      </c>
      <c r="AN36" s="35">
        <f t="shared" si="39"/>
        <v>-1.1899999999995998</v>
      </c>
      <c r="AO36" s="35"/>
      <c r="AP36" s="35">
        <f t="shared" ref="AP36:AW36" si="40">AP18-AP17</f>
        <v>-21</v>
      </c>
      <c r="AQ36" s="35">
        <f t="shared" si="40"/>
        <v>-579</v>
      </c>
      <c r="AR36" s="35">
        <f t="shared" si="40"/>
        <v>-58</v>
      </c>
      <c r="AS36" s="35">
        <f t="shared" si="40"/>
        <v>-39</v>
      </c>
      <c r="AT36" s="35">
        <f t="shared" si="40"/>
        <v>-228</v>
      </c>
      <c r="AU36" s="35">
        <f t="shared" si="40"/>
        <v>-0.29999999999999716</v>
      </c>
      <c r="AV36" s="35">
        <f t="shared" si="40"/>
        <v>391</v>
      </c>
      <c r="AW36" s="35">
        <f t="shared" si="40"/>
        <v>-164</v>
      </c>
      <c r="AX36" s="35"/>
      <c r="AY36" s="35"/>
      <c r="AZ36" s="35">
        <f t="shared" ref="AZ36:BG36" si="41">AZ18-AZ17</f>
        <v>-95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-2</v>
      </c>
      <c r="BE36" s="35">
        <f t="shared" si="41"/>
        <v>-3179</v>
      </c>
      <c r="BF36" s="35">
        <f t="shared" si="41"/>
        <v>1704</v>
      </c>
      <c r="BG36" s="35">
        <f t="shared" si="41"/>
        <v>0</v>
      </c>
      <c r="BH36" s="35"/>
      <c r="BI36" s="35"/>
      <c r="BJ36" s="35"/>
      <c r="BK36" s="35">
        <f>BK18-BK17</f>
        <v>-5.6431686065735676E-2</v>
      </c>
      <c r="BL36" s="35">
        <f>BL18-BL17</f>
        <v>0.85982217378117731</v>
      </c>
      <c r="BM36" s="35"/>
      <c r="BN36" s="35">
        <f>BN18-BN17</f>
        <v>-37401.200000000012</v>
      </c>
      <c r="BO36" s="35">
        <f>BO18-BO17</f>
        <v>-1313.2999999999993</v>
      </c>
    </row>
    <row r="37" spans="1:68">
      <c r="F37" s="38">
        <f>AVERAGE(F4:F35)</f>
        <v>1.8594548387096776</v>
      </c>
      <c r="G37" s="38"/>
      <c r="H37" s="38">
        <f>AVERAGE(H4:H35)</f>
        <v>55442.298750000002</v>
      </c>
    </row>
    <row r="38" spans="1:68">
      <c r="B38" s="36" t="s">
        <v>66</v>
      </c>
      <c r="F38" s="72">
        <f>AVERAGE(F4:F35)</f>
        <v>1.8594548387096776</v>
      </c>
      <c r="G38" s="72"/>
    </row>
    <row r="41" spans="1:68">
      <c r="BI41">
        <f>(BI31+BJ31)/400</f>
        <v>27.147500000000001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abSelected="1" topLeftCell="A15" workbookViewId="0">
      <selection activeCell="C34" sqref="C34:H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76.237623762376231</v>
      </c>
      <c r="C2" s="381">
        <v>154</v>
      </c>
      <c r="D2" s="381">
        <v>7</v>
      </c>
      <c r="E2" s="381">
        <f>(C2+D2)/202%</f>
        <v>79.702970297029708</v>
      </c>
      <c r="F2" s="382">
        <v>814</v>
      </c>
      <c r="G2" s="382">
        <f>C2+D2</f>
        <v>161</v>
      </c>
      <c r="H2" s="383">
        <f>C2/202%</f>
        <v>76.237623762376231</v>
      </c>
      <c r="I2" s="384"/>
      <c r="J2" s="383">
        <f>'Section Load'!C5/G2</f>
        <v>170.26571428571427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65.841584158415841</v>
      </c>
      <c r="C3" s="381">
        <v>133</v>
      </c>
      <c r="D3" s="381">
        <v>8</v>
      </c>
      <c r="E3" s="381">
        <f t="shared" ref="E3:E32" si="1">(C3+D3)/202%</f>
        <v>69.801980198019805</v>
      </c>
      <c r="F3" s="382">
        <v>1019</v>
      </c>
      <c r="G3" s="382">
        <f t="shared" ref="G3:G31" si="2">C3+D3</f>
        <v>141</v>
      </c>
      <c r="H3" s="383">
        <f t="shared" ref="H3:H32" si="3">C3/202%</f>
        <v>65.841584158415841</v>
      </c>
      <c r="I3" s="384"/>
      <c r="J3" s="383">
        <f>'Section Load'!C6/G3</f>
        <v>193.84397163120568</v>
      </c>
    </row>
    <row r="4" spans="1:17">
      <c r="A4" s="248">
        <v>3</v>
      </c>
      <c r="B4" s="381">
        <f t="shared" si="0"/>
        <v>68.811881188118818</v>
      </c>
      <c r="C4" s="381">
        <v>139</v>
      </c>
      <c r="D4" s="381">
        <v>5</v>
      </c>
      <c r="E4" s="381">
        <f t="shared" si="1"/>
        <v>71.287128712871294</v>
      </c>
      <c r="F4" s="382">
        <v>621</v>
      </c>
      <c r="G4" s="382">
        <f t="shared" si="2"/>
        <v>144</v>
      </c>
      <c r="H4" s="383">
        <f t="shared" si="3"/>
        <v>68.811881188118818</v>
      </c>
      <c r="I4" s="384"/>
      <c r="J4" s="383">
        <f>'Section Load'!C7/G4</f>
        <v>187.27777777777777</v>
      </c>
      <c r="Q4" s="403">
        <f>C2/202</f>
        <v>0.76237623762376239</v>
      </c>
    </row>
    <row r="5" spans="1:17">
      <c r="A5" s="248">
        <v>4</v>
      </c>
      <c r="B5" s="381">
        <f t="shared" si="0"/>
        <v>84.653465346534659</v>
      </c>
      <c r="C5" s="381">
        <v>171</v>
      </c>
      <c r="D5" s="381">
        <v>6</v>
      </c>
      <c r="E5" s="381">
        <f t="shared" si="1"/>
        <v>87.623762376237622</v>
      </c>
      <c r="F5" s="382">
        <v>603</v>
      </c>
      <c r="G5" s="382">
        <f t="shared" si="2"/>
        <v>177</v>
      </c>
      <c r="H5" s="383">
        <f t="shared" si="3"/>
        <v>84.653465346534659</v>
      </c>
      <c r="I5" s="384"/>
      <c r="J5" s="383">
        <f>'Section Load'!C8/G5</f>
        <v>152.14689265536722</v>
      </c>
    </row>
    <row r="6" spans="1:17">
      <c r="A6" s="248">
        <v>5</v>
      </c>
      <c r="B6" s="381">
        <f t="shared" si="0"/>
        <v>83.168316831683171</v>
      </c>
      <c r="C6" s="381">
        <v>168</v>
      </c>
      <c r="D6" s="381">
        <v>6</v>
      </c>
      <c r="E6" s="381">
        <f t="shared" si="1"/>
        <v>86.138613861386133</v>
      </c>
      <c r="F6" s="382">
        <v>574</v>
      </c>
      <c r="G6" s="382">
        <f t="shared" si="2"/>
        <v>174</v>
      </c>
      <c r="H6" s="383">
        <f t="shared" si="3"/>
        <v>83.168316831683171</v>
      </c>
      <c r="I6" s="384"/>
      <c r="J6" s="383">
        <f>'Section Load'!C9/G6</f>
        <v>157.87936781609201</v>
      </c>
    </row>
    <row r="7" spans="1:17">
      <c r="A7" s="248">
        <v>6</v>
      </c>
      <c r="B7" s="381">
        <f t="shared" si="0"/>
        <v>81.683168316831683</v>
      </c>
      <c r="C7" s="381">
        <v>165</v>
      </c>
      <c r="D7" s="381">
        <v>6</v>
      </c>
      <c r="E7" s="381">
        <f t="shared" si="1"/>
        <v>84.653465346534659</v>
      </c>
      <c r="F7" s="382">
        <v>692</v>
      </c>
      <c r="G7" s="382">
        <f t="shared" si="2"/>
        <v>171</v>
      </c>
      <c r="H7" s="383">
        <f t="shared" si="3"/>
        <v>81.683168316831683</v>
      </c>
      <c r="I7" s="384"/>
      <c r="J7" s="383">
        <f>'Section Load'!C10/G7</f>
        <v>164.62608187134501</v>
      </c>
    </row>
    <row r="8" spans="1:17">
      <c r="A8" s="248">
        <v>7</v>
      </c>
      <c r="B8" s="381">
        <f t="shared" si="0"/>
        <v>85.643564356435647</v>
      </c>
      <c r="C8" s="381">
        <v>173</v>
      </c>
      <c r="D8" s="381">
        <v>5</v>
      </c>
      <c r="E8" s="381">
        <f t="shared" si="1"/>
        <v>88.118811881188122</v>
      </c>
      <c r="F8" s="382">
        <v>759</v>
      </c>
      <c r="G8" s="382">
        <f t="shared" si="2"/>
        <v>178</v>
      </c>
      <c r="H8" s="383">
        <f t="shared" si="3"/>
        <v>85.643564356435647</v>
      </c>
      <c r="I8" s="384"/>
      <c r="J8" s="383">
        <f>'Section Load'!C11/G8</f>
        <v>159.94202247191006</v>
      </c>
      <c r="K8" s="537" t="s">
        <v>368</v>
      </c>
    </row>
    <row r="9" spans="1:17">
      <c r="A9" s="248">
        <v>8</v>
      </c>
      <c r="B9" s="381">
        <f t="shared" si="0"/>
        <v>81.188118811881182</v>
      </c>
      <c r="C9" s="381">
        <v>164</v>
      </c>
      <c r="D9" s="381">
        <v>5</v>
      </c>
      <c r="E9" s="381">
        <f t="shared" si="1"/>
        <v>83.663366336633658</v>
      </c>
      <c r="F9" s="382">
        <v>795</v>
      </c>
      <c r="G9" s="382">
        <f t="shared" si="2"/>
        <v>169</v>
      </c>
      <c r="H9" s="383">
        <f t="shared" si="3"/>
        <v>81.188118811881182</v>
      </c>
      <c r="I9" s="384"/>
      <c r="J9" s="383">
        <f>'Section Load'!C12/G9</f>
        <v>172.44319526627234</v>
      </c>
    </row>
    <row r="10" spans="1:17">
      <c r="A10" s="248">
        <v>9</v>
      </c>
      <c r="B10" s="381">
        <f t="shared" si="0"/>
        <v>77.722772277227719</v>
      </c>
      <c r="C10" s="381">
        <v>157</v>
      </c>
      <c r="D10" s="381">
        <v>6</v>
      </c>
      <c r="E10" s="381">
        <f t="shared" si="1"/>
        <v>80.693069306930695</v>
      </c>
      <c r="F10" s="382">
        <v>917</v>
      </c>
      <c r="G10" s="382">
        <f t="shared" si="2"/>
        <v>163</v>
      </c>
      <c r="H10" s="383">
        <f t="shared" si="3"/>
        <v>77.722772277227719</v>
      </c>
      <c r="I10" s="384"/>
      <c r="J10" s="383">
        <f>'Section Load'!C13/G10</f>
        <v>184.04907975460122</v>
      </c>
    </row>
    <row r="11" spans="1:17">
      <c r="A11" s="248">
        <v>10</v>
      </c>
      <c r="B11" s="381">
        <f t="shared" si="0"/>
        <v>73.762376237623755</v>
      </c>
      <c r="C11" s="381">
        <v>149</v>
      </c>
      <c r="D11" s="381">
        <v>5</v>
      </c>
      <c r="E11" s="381">
        <f t="shared" si="1"/>
        <v>76.237623762376231</v>
      </c>
      <c r="F11" s="382">
        <v>652</v>
      </c>
      <c r="G11" s="382">
        <f t="shared" si="2"/>
        <v>154</v>
      </c>
      <c r="H11" s="383">
        <f t="shared" si="3"/>
        <v>73.762376237623755</v>
      </c>
      <c r="I11" s="384"/>
      <c r="J11" s="383">
        <f>'Section Load'!C14/G11</f>
        <v>202.41461038961023</v>
      </c>
    </row>
    <row r="12" spans="1:17">
      <c r="A12" s="248">
        <v>11</v>
      </c>
      <c r="B12" s="381">
        <f t="shared" si="0"/>
        <v>82.178217821782184</v>
      </c>
      <c r="C12" s="381">
        <v>166</v>
      </c>
      <c r="D12" s="381">
        <v>6</v>
      </c>
      <c r="E12" s="381">
        <f t="shared" si="1"/>
        <v>85.148514851485146</v>
      </c>
      <c r="F12" s="382">
        <v>591</v>
      </c>
      <c r="G12" s="382">
        <f t="shared" si="2"/>
        <v>172</v>
      </c>
      <c r="H12" s="383">
        <f t="shared" si="3"/>
        <v>82.178217821782184</v>
      </c>
      <c r="I12" s="384"/>
      <c r="J12" s="383">
        <f>'Section Load'!C15/G12</f>
        <v>156.68895348837211</v>
      </c>
    </row>
    <row r="13" spans="1:17">
      <c r="A13" s="248">
        <v>12</v>
      </c>
      <c r="B13" s="381">
        <f t="shared" si="0"/>
        <v>84.158415841584159</v>
      </c>
      <c r="C13" s="381">
        <v>170</v>
      </c>
      <c r="D13" s="381">
        <v>5</v>
      </c>
      <c r="E13" s="381">
        <f t="shared" si="1"/>
        <v>86.633663366336634</v>
      </c>
      <c r="F13" s="381">
        <v>937</v>
      </c>
      <c r="G13" s="382">
        <f t="shared" si="2"/>
        <v>175</v>
      </c>
      <c r="H13" s="383">
        <f t="shared" si="3"/>
        <v>84.158415841584159</v>
      </c>
      <c r="I13" s="384"/>
      <c r="J13" s="383">
        <f>'Section Load'!C16/G13</f>
        <v>163.36000000000001</v>
      </c>
    </row>
    <row r="14" spans="1:17">
      <c r="A14" s="248">
        <v>13</v>
      </c>
      <c r="B14" s="381">
        <f t="shared" si="0"/>
        <v>83.168316831683171</v>
      </c>
      <c r="C14" s="381">
        <v>168</v>
      </c>
      <c r="D14" s="381">
        <v>8</v>
      </c>
      <c r="E14" s="381">
        <f t="shared" si="1"/>
        <v>87.128712871287135</v>
      </c>
      <c r="F14" s="381">
        <v>491</v>
      </c>
      <c r="G14" s="382">
        <f t="shared" si="2"/>
        <v>176</v>
      </c>
      <c r="H14" s="383">
        <f t="shared" si="3"/>
        <v>83.168316831683171</v>
      </c>
      <c r="I14" s="384"/>
      <c r="J14" s="383">
        <f>'Section Load'!C17/G14</f>
        <v>165.34090909090909</v>
      </c>
    </row>
    <row r="15" spans="1:17">
      <c r="A15" s="248">
        <v>14</v>
      </c>
      <c r="B15" s="381">
        <f t="shared" si="0"/>
        <v>79.702970297029708</v>
      </c>
      <c r="C15" s="381">
        <v>161</v>
      </c>
      <c r="D15" s="381">
        <v>7</v>
      </c>
      <c r="E15" s="381">
        <f t="shared" si="1"/>
        <v>83.168316831683171</v>
      </c>
      <c r="F15" s="381">
        <v>595</v>
      </c>
      <c r="G15" s="382">
        <f t="shared" si="2"/>
        <v>168</v>
      </c>
      <c r="H15" s="383">
        <f t="shared" si="3"/>
        <v>79.702970297029708</v>
      </c>
      <c r="I15" s="384"/>
      <c r="J15" s="383">
        <f>'Section Load'!C18/G15</f>
        <v>185.98809523809524</v>
      </c>
    </row>
    <row r="16" spans="1:17">
      <c r="A16" s="248">
        <v>15</v>
      </c>
      <c r="B16" s="381">
        <f t="shared" si="0"/>
        <v>84.653465346534659</v>
      </c>
      <c r="C16" s="381">
        <v>171</v>
      </c>
      <c r="D16" s="381">
        <v>5</v>
      </c>
      <c r="E16" s="381">
        <f t="shared" si="1"/>
        <v>87.128712871287135</v>
      </c>
      <c r="F16" s="381">
        <v>549</v>
      </c>
      <c r="G16" s="382">
        <f t="shared" si="2"/>
        <v>176</v>
      </c>
      <c r="H16" s="383">
        <f t="shared" si="3"/>
        <v>84.653465346534659</v>
      </c>
      <c r="I16" s="384"/>
      <c r="J16" s="383">
        <f>'Section Load'!C19/G16</f>
        <v>162.25</v>
      </c>
    </row>
    <row r="17" spans="1:10">
      <c r="A17" s="248">
        <v>16</v>
      </c>
      <c r="B17" s="381">
        <f t="shared" si="0"/>
        <v>85.643564356435647</v>
      </c>
      <c r="C17" s="381">
        <v>173</v>
      </c>
      <c r="D17" s="381">
        <v>6</v>
      </c>
      <c r="E17" s="381">
        <f t="shared" si="1"/>
        <v>88.613861386138609</v>
      </c>
      <c r="F17" s="381">
        <v>575</v>
      </c>
      <c r="G17" s="382">
        <f t="shared" si="2"/>
        <v>179</v>
      </c>
      <c r="H17" s="383">
        <f t="shared" si="3"/>
        <v>85.643564356435647</v>
      </c>
      <c r="I17" s="384"/>
      <c r="J17" s="383">
        <f>'Section Load'!C20/G17</f>
        <v>152.06703910614524</v>
      </c>
    </row>
    <row r="18" spans="1:10">
      <c r="A18" s="248">
        <v>17</v>
      </c>
      <c r="B18" s="381">
        <f t="shared" si="0"/>
        <v>75.247524752475243</v>
      </c>
      <c r="C18" s="381">
        <v>152</v>
      </c>
      <c r="D18" s="381">
        <v>6</v>
      </c>
      <c r="E18" s="381">
        <f t="shared" si="1"/>
        <v>78.21782178217822</v>
      </c>
      <c r="F18" s="381">
        <v>832</v>
      </c>
      <c r="G18" s="382">
        <f t="shared" si="2"/>
        <v>158</v>
      </c>
      <c r="H18" s="383">
        <f t="shared" si="3"/>
        <v>75.247524752475243</v>
      </c>
      <c r="I18" s="384"/>
      <c r="J18" s="383">
        <f>'Section Load'!C21/G18</f>
        <v>181.27215189873417</v>
      </c>
    </row>
    <row r="19" spans="1:10">
      <c r="A19" s="248">
        <v>18</v>
      </c>
      <c r="B19" s="381">
        <f t="shared" si="0"/>
        <v>74.752475247524757</v>
      </c>
      <c r="C19" s="385">
        <v>151</v>
      </c>
      <c r="D19" s="385">
        <v>5</v>
      </c>
      <c r="E19" s="381">
        <f t="shared" si="1"/>
        <v>77.227722772277232</v>
      </c>
      <c r="F19" s="385">
        <v>1196</v>
      </c>
      <c r="G19" s="382">
        <f t="shared" si="2"/>
        <v>156</v>
      </c>
      <c r="H19" s="383">
        <f t="shared" si="3"/>
        <v>74.752475247524757</v>
      </c>
      <c r="I19" s="384"/>
      <c r="J19" s="383">
        <f>'Section Load'!C22/G19</f>
        <v>178.9551282051282</v>
      </c>
    </row>
    <row r="20" spans="1:10">
      <c r="A20" s="248">
        <v>19</v>
      </c>
      <c r="B20" s="381">
        <f t="shared" si="0"/>
        <v>86.138613861386133</v>
      </c>
      <c r="C20" s="381">
        <v>174</v>
      </c>
      <c r="D20" s="381">
        <v>6</v>
      </c>
      <c r="E20" s="381">
        <f t="shared" si="1"/>
        <v>89.10891089108911</v>
      </c>
      <c r="F20" s="381">
        <v>524</v>
      </c>
      <c r="G20" s="382">
        <f t="shared" si="2"/>
        <v>180</v>
      </c>
      <c r="H20" s="383">
        <f t="shared" si="3"/>
        <v>86.138613861386133</v>
      </c>
      <c r="I20" s="384"/>
      <c r="J20" s="383">
        <f>'Section Load'!C23/G20</f>
        <v>155.15555555555557</v>
      </c>
    </row>
    <row r="21" spans="1:10">
      <c r="A21" s="248">
        <v>20</v>
      </c>
      <c r="B21" s="381">
        <f t="shared" si="0"/>
        <v>83.168316831683171</v>
      </c>
      <c r="C21" s="381">
        <v>168</v>
      </c>
      <c r="D21" s="381">
        <v>10</v>
      </c>
      <c r="E21" s="381">
        <f t="shared" si="1"/>
        <v>88.118811881188122</v>
      </c>
      <c r="F21" s="381">
        <v>734</v>
      </c>
      <c r="G21" s="382">
        <f t="shared" si="2"/>
        <v>178</v>
      </c>
      <c r="H21" s="383">
        <f t="shared" si="3"/>
        <v>83.168316831683171</v>
      </c>
      <c r="I21" s="384"/>
      <c r="J21" s="383">
        <f>'Section Load'!C24/G21</f>
        <v>157.68016853932556</v>
      </c>
    </row>
    <row r="22" spans="1:10">
      <c r="A22" s="248">
        <v>21</v>
      </c>
      <c r="B22" s="381">
        <f t="shared" si="0"/>
        <v>77.722772277227719</v>
      </c>
      <c r="C22" s="381">
        <v>157</v>
      </c>
      <c r="D22" s="381">
        <v>10</v>
      </c>
      <c r="E22" s="381">
        <f t="shared" si="1"/>
        <v>82.67326732673267</v>
      </c>
      <c r="F22" s="381">
        <v>566</v>
      </c>
      <c r="G22" s="382">
        <f t="shared" si="2"/>
        <v>167</v>
      </c>
      <c r="H22" s="383">
        <f t="shared" si="3"/>
        <v>77.722772277227719</v>
      </c>
      <c r="I22" s="384"/>
      <c r="J22" s="383">
        <f>'Section Load'!C25/G22</f>
        <v>175.28694610778467</v>
      </c>
    </row>
    <row r="23" spans="1:10">
      <c r="A23" s="248">
        <v>22</v>
      </c>
      <c r="B23" s="381">
        <v>83</v>
      </c>
      <c r="C23" s="381">
        <v>141</v>
      </c>
      <c r="D23" s="381">
        <v>10</v>
      </c>
      <c r="E23" s="381">
        <f t="shared" si="1"/>
        <v>74.752475247524757</v>
      </c>
      <c r="F23" s="381">
        <v>1733</v>
      </c>
      <c r="G23" s="382">
        <f t="shared" si="2"/>
        <v>151</v>
      </c>
      <c r="H23" s="383">
        <f t="shared" si="3"/>
        <v>69.801980198019805</v>
      </c>
      <c r="I23" s="384"/>
      <c r="J23" s="383">
        <f>'Section Load'!C26/G23</f>
        <v>193.38437086092739</v>
      </c>
    </row>
    <row r="24" spans="1:10">
      <c r="A24" s="248">
        <v>23</v>
      </c>
      <c r="B24" s="381">
        <v>98</v>
      </c>
      <c r="C24" s="381">
        <v>154</v>
      </c>
      <c r="D24" s="381">
        <v>13</v>
      </c>
      <c r="E24" s="381">
        <f t="shared" si="1"/>
        <v>82.67326732673267</v>
      </c>
      <c r="F24" s="381">
        <v>935</v>
      </c>
      <c r="G24" s="382">
        <f t="shared" si="2"/>
        <v>167</v>
      </c>
      <c r="H24" s="383">
        <f t="shared" si="3"/>
        <v>76.237623762376231</v>
      </c>
      <c r="I24" s="384"/>
      <c r="J24" s="383">
        <f>'Section Load'!C27/G24</f>
        <v>189.51137724550912</v>
      </c>
    </row>
    <row r="25" spans="1:10">
      <c r="A25" s="248">
        <v>24</v>
      </c>
      <c r="B25" s="381">
        <f t="shared" si="0"/>
        <v>67.32673267326733</v>
      </c>
      <c r="C25" s="381">
        <v>136</v>
      </c>
      <c r="D25" s="381">
        <v>13</v>
      </c>
      <c r="E25" s="381">
        <f t="shared" si="1"/>
        <v>73.762376237623755</v>
      </c>
      <c r="F25" s="381">
        <v>693</v>
      </c>
      <c r="G25" s="382">
        <f t="shared" si="2"/>
        <v>149</v>
      </c>
      <c r="H25" s="383">
        <f t="shared" si="3"/>
        <v>67.32673267326733</v>
      </c>
      <c r="I25" s="384"/>
      <c r="J25" s="383">
        <f>'Section Load'!C28/G25</f>
        <v>205.00986577181189</v>
      </c>
    </row>
    <row r="26" spans="1:10">
      <c r="A26" s="248">
        <v>25</v>
      </c>
      <c r="B26" s="381">
        <f t="shared" si="0"/>
        <v>77.227722772277232</v>
      </c>
      <c r="C26" s="381">
        <v>156</v>
      </c>
      <c r="D26" s="381">
        <v>9</v>
      </c>
      <c r="E26" s="381">
        <f t="shared" si="1"/>
        <v>81.683168316831683</v>
      </c>
      <c r="F26" s="381">
        <v>422</v>
      </c>
      <c r="G26" s="382">
        <f t="shared" si="2"/>
        <v>165</v>
      </c>
      <c r="H26" s="383">
        <f t="shared" si="3"/>
        <v>77.227722772277232</v>
      </c>
      <c r="I26" s="384"/>
      <c r="J26" s="383">
        <f>'Section Load'!C29/G26</f>
        <v>169.11575757575744</v>
      </c>
    </row>
    <row r="27" spans="1:10">
      <c r="A27" s="248">
        <v>26</v>
      </c>
      <c r="B27" s="381">
        <f t="shared" si="0"/>
        <v>76.237623762376231</v>
      </c>
      <c r="C27" s="381">
        <v>154</v>
      </c>
      <c r="D27" s="381">
        <v>6</v>
      </c>
      <c r="E27" s="381">
        <f t="shared" si="1"/>
        <v>79.207920792079207</v>
      </c>
      <c r="F27" s="381">
        <v>541</v>
      </c>
      <c r="G27" s="382">
        <f t="shared" si="2"/>
        <v>160</v>
      </c>
      <c r="H27" s="383">
        <f t="shared" si="3"/>
        <v>76.237623762376231</v>
      </c>
      <c r="I27" s="384"/>
      <c r="J27" s="383">
        <f>'Section Load'!C30/G27</f>
        <v>173.05</v>
      </c>
    </row>
    <row r="28" spans="1:10">
      <c r="A28" s="248">
        <v>27</v>
      </c>
      <c r="B28" s="381">
        <f t="shared" si="0"/>
        <v>80.198019801980195</v>
      </c>
      <c r="C28" s="381">
        <v>162</v>
      </c>
      <c r="D28" s="381">
        <v>6</v>
      </c>
      <c r="E28" s="381">
        <f t="shared" si="1"/>
        <v>83.168316831683171</v>
      </c>
      <c r="F28" s="381">
        <v>570</v>
      </c>
      <c r="G28" s="382">
        <f t="shared" si="2"/>
        <v>168</v>
      </c>
      <c r="H28" s="383">
        <f t="shared" si="3"/>
        <v>80.198019801980195</v>
      </c>
      <c r="I28" s="384"/>
      <c r="J28" s="383">
        <f>'Section Load'!C31/G28</f>
        <v>165.23809523809524</v>
      </c>
    </row>
    <row r="29" spans="1:10">
      <c r="A29" s="248">
        <v>28</v>
      </c>
      <c r="B29" s="381">
        <f t="shared" si="0"/>
        <v>83.168316831683171</v>
      </c>
      <c r="C29" s="381">
        <v>168</v>
      </c>
      <c r="D29" s="381">
        <v>8</v>
      </c>
      <c r="E29" s="381">
        <f t="shared" si="1"/>
        <v>87.128712871287135</v>
      </c>
      <c r="F29" s="381">
        <v>448</v>
      </c>
      <c r="G29" s="382">
        <f t="shared" si="2"/>
        <v>176</v>
      </c>
      <c r="H29" s="383">
        <f t="shared" si="3"/>
        <v>83.168316831683171</v>
      </c>
      <c r="I29" s="384"/>
      <c r="J29" s="383">
        <f>'Section Load'!C32/G29</f>
        <v>163.47159090909091</v>
      </c>
    </row>
    <row r="30" spans="1:10">
      <c r="A30" s="248">
        <v>29</v>
      </c>
      <c r="B30" s="381">
        <f>C30/202%</f>
        <v>84.158415841584159</v>
      </c>
      <c r="C30" s="381">
        <v>170</v>
      </c>
      <c r="D30" s="381">
        <v>7</v>
      </c>
      <c r="E30" s="381">
        <f t="shared" si="1"/>
        <v>87.623762376237622</v>
      </c>
      <c r="F30" s="381">
        <v>500</v>
      </c>
      <c r="G30" s="382">
        <f t="shared" si="2"/>
        <v>177</v>
      </c>
      <c r="H30" s="383">
        <f>C30/202%</f>
        <v>84.158415841584159</v>
      </c>
      <c r="I30" s="384"/>
      <c r="J30" s="383">
        <f>'Section Load'!C33/G30</f>
        <v>172.33333333333334</v>
      </c>
    </row>
    <row r="31" spans="1:10">
      <c r="A31" s="248">
        <v>30</v>
      </c>
      <c r="B31" s="381">
        <f t="shared" si="0"/>
        <v>80.693069306930695</v>
      </c>
      <c r="C31" s="381">
        <v>163</v>
      </c>
      <c r="D31" s="381">
        <v>8</v>
      </c>
      <c r="E31" s="381">
        <f t="shared" si="1"/>
        <v>84.653465346534659</v>
      </c>
      <c r="F31" s="381">
        <v>1083</v>
      </c>
      <c r="G31" s="386">
        <f t="shared" si="2"/>
        <v>171</v>
      </c>
      <c r="H31" s="383">
        <f t="shared" si="3"/>
        <v>80.693069306930695</v>
      </c>
      <c r="I31" s="384"/>
      <c r="J31" s="383">
        <f>'Section Load'!C34/G31</f>
        <v>178.47368421052633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80.175247524752464</v>
      </c>
      <c r="C33" s="275">
        <v>154</v>
      </c>
      <c r="D33" s="275">
        <f t="shared" ref="D33:H33" si="4">AVERAGE(D2:D31)</f>
        <v>7.1</v>
      </c>
      <c r="E33" s="275">
        <f t="shared" si="4"/>
        <v>82.524752475247524</v>
      </c>
      <c r="F33" s="275">
        <f t="shared" si="4"/>
        <v>732.0333333333333</v>
      </c>
      <c r="G33" s="275">
        <f t="shared" si="4"/>
        <v>166.7</v>
      </c>
      <c r="H33" s="275">
        <f t="shared" si="4"/>
        <v>79.009900990098984</v>
      </c>
    </row>
    <row r="34" spans="1:8">
      <c r="A34" t="s">
        <v>374</v>
      </c>
      <c r="C34" s="275">
        <f>SUM(C2:C32)</f>
        <v>4788</v>
      </c>
      <c r="D34" s="275">
        <f t="shared" ref="D34:H34" si="5">SUM(D2:D32)</f>
        <v>213</v>
      </c>
      <c r="E34" s="275">
        <f t="shared" si="5"/>
        <v>2475.7425742574255</v>
      </c>
      <c r="F34" s="275">
        <f t="shared" si="5"/>
        <v>21961</v>
      </c>
      <c r="G34" s="275">
        <f t="shared" si="5"/>
        <v>5001</v>
      </c>
      <c r="H34" s="275">
        <f t="shared" si="5"/>
        <v>2370.2970297029697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76.237623762376231</v>
      </c>
      <c r="E4" s="91">
        <f>Occupancy!B3</f>
        <v>65.841584158415841</v>
      </c>
      <c r="F4" s="91">
        <f>Occupancy!C3</f>
        <v>133</v>
      </c>
      <c r="G4" s="91">
        <f>Occupancy!D3</f>
        <v>8</v>
      </c>
      <c r="H4" s="91">
        <f>Occupancy!E3</f>
        <v>69.801980198019805</v>
      </c>
      <c r="I4" s="91">
        <f>Occupancy!F3</f>
        <v>1019</v>
      </c>
      <c r="J4" s="91">
        <f>Occupancy!G3</f>
        <v>141</v>
      </c>
      <c r="K4" s="91">
        <f>Occupancy!H3</f>
        <v>65.841584158415841</v>
      </c>
      <c r="L4" s="91">
        <f>Occupancy!I3</f>
        <v>0</v>
      </c>
      <c r="M4" s="91">
        <f>Occupancy!J3</f>
        <v>193.84397163120568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280</v>
      </c>
      <c r="E5" s="91">
        <f>'2'!G18</f>
        <v>240</v>
      </c>
      <c r="F5" s="91">
        <f>'3'!G18</f>
        <v>280</v>
      </c>
      <c r="G5" s="91">
        <f>'4'!G18</f>
        <v>280</v>
      </c>
      <c r="H5" s="91">
        <f>'5'!G18</f>
        <v>240</v>
      </c>
      <c r="I5" s="91">
        <f>'6'!G18</f>
        <v>260</v>
      </c>
      <c r="J5" s="91">
        <f>'7'!G18</f>
        <v>160</v>
      </c>
      <c r="K5" s="91">
        <f>'8'!G18</f>
        <v>230</v>
      </c>
      <c r="L5" s="91">
        <f>'9'!G18</f>
        <v>290</v>
      </c>
      <c r="M5" s="91">
        <f>'10'!G18</f>
        <v>310</v>
      </c>
      <c r="N5" s="91">
        <f>'11'!G18</f>
        <v>210</v>
      </c>
      <c r="O5" s="91">
        <f>'12'!G18</f>
        <v>210</v>
      </c>
      <c r="P5" s="91">
        <f>'13'!G18</f>
        <v>240</v>
      </c>
      <c r="Q5" s="91">
        <f>'14'!G18</f>
        <v>310</v>
      </c>
      <c r="R5" s="91">
        <f>'15'!G18</f>
        <v>220</v>
      </c>
      <c r="S5" s="91">
        <f>'16'!G18</f>
        <v>310</v>
      </c>
      <c r="T5" s="91">
        <f>'17'!G18</f>
        <v>220</v>
      </c>
      <c r="U5" s="91">
        <f>'18 '!G18</f>
        <v>200</v>
      </c>
      <c r="V5" s="91">
        <f>'19'!G18</f>
        <v>220</v>
      </c>
      <c r="W5" s="91">
        <f>'20'!G18</f>
        <v>270</v>
      </c>
      <c r="X5" s="91">
        <f>'21'!G18</f>
        <v>230</v>
      </c>
      <c r="Y5" s="91">
        <f>'22'!G18</f>
        <v>240</v>
      </c>
      <c r="Z5" s="91">
        <f>'23'!G18</f>
        <v>240</v>
      </c>
      <c r="AA5" s="91">
        <f>'24'!G18</f>
        <v>260</v>
      </c>
      <c r="AB5" s="91">
        <f>'25'!G18</f>
        <v>330</v>
      </c>
      <c r="AC5" s="91">
        <f>'26'!G18</f>
        <v>280</v>
      </c>
      <c r="AD5" s="91">
        <f>'27'!G18</f>
        <v>230</v>
      </c>
      <c r="AE5" s="91">
        <f>'28'!G18</f>
        <v>260</v>
      </c>
      <c r="AF5" s="91">
        <f>'29'!G18</f>
        <v>260</v>
      </c>
      <c r="AG5" s="91">
        <f>'30'!G18</f>
        <v>330</v>
      </c>
      <c r="AH5" s="91">
        <f>'31'!G18</f>
        <v>220</v>
      </c>
      <c r="AI5" s="90"/>
    </row>
    <row r="6" spans="2:35">
      <c r="B6" s="93"/>
      <c r="C6" s="90" t="s">
        <v>69</v>
      </c>
      <c r="D6" s="91">
        <f>'1'!G19</f>
        <v>51</v>
      </c>
      <c r="E6" s="91">
        <f>'2'!G19</f>
        <v>45</v>
      </c>
      <c r="F6" s="91">
        <f>'3'!G19</f>
        <v>49</v>
      </c>
      <c r="G6" s="91">
        <f>'4'!G19</f>
        <v>46</v>
      </c>
      <c r="H6" s="91">
        <f>'5'!G19</f>
        <v>46</v>
      </c>
      <c r="I6" s="91">
        <f>'6'!G19</f>
        <v>50</v>
      </c>
      <c r="J6" s="91">
        <f>'7'!G19</f>
        <v>46</v>
      </c>
      <c r="K6" s="91">
        <f>'8'!G19</f>
        <v>48</v>
      </c>
      <c r="L6" s="91">
        <f>'9'!G19</f>
        <v>37</v>
      </c>
      <c r="M6" s="91">
        <f>'10'!G19</f>
        <v>46</v>
      </c>
      <c r="N6" s="91">
        <f>'11'!G19</f>
        <v>51</v>
      </c>
      <c r="O6" s="91">
        <f>'12'!G19</f>
        <v>50</v>
      </c>
      <c r="P6" s="91">
        <f>'13'!G19</f>
        <v>48</v>
      </c>
      <c r="Q6" s="91">
        <f>'14'!G19</f>
        <v>52</v>
      </c>
      <c r="R6" s="91">
        <f>'15'!G19</f>
        <v>49</v>
      </c>
      <c r="S6" s="91">
        <f>'16'!G19</f>
        <v>52</v>
      </c>
      <c r="T6" s="91">
        <f>'17'!G19</f>
        <v>50</v>
      </c>
      <c r="U6" s="91">
        <f>'18 '!G19</f>
        <v>55</v>
      </c>
      <c r="V6" s="91">
        <f>'19'!G19</f>
        <v>54</v>
      </c>
      <c r="W6" s="91">
        <f>'20'!G19</f>
        <v>37</v>
      </c>
      <c r="X6" s="91">
        <f>'21'!G19</f>
        <v>47</v>
      </c>
      <c r="Y6" s="91">
        <f>'22'!G19</f>
        <v>56</v>
      </c>
      <c r="Z6" s="91">
        <f>'23'!G19</f>
        <v>51</v>
      </c>
      <c r="AA6" s="91">
        <f>'24'!G19</f>
        <v>47</v>
      </c>
      <c r="AB6" s="91">
        <f>'25'!G19</f>
        <v>51</v>
      </c>
      <c r="AC6" s="91">
        <f>'26'!G19</f>
        <v>48</v>
      </c>
      <c r="AD6" s="91">
        <f>'27'!G19</f>
        <v>50</v>
      </c>
      <c r="AE6" s="91">
        <f>'28'!G19</f>
        <v>53</v>
      </c>
      <c r="AF6" s="91">
        <f>'29'!G19</f>
        <v>51</v>
      </c>
      <c r="AG6" s="91">
        <f>'30'!G19</f>
        <v>49</v>
      </c>
      <c r="AH6" s="91">
        <f>'31'!G19</f>
        <v>0</v>
      </c>
      <c r="AI6" s="90"/>
    </row>
    <row r="7" spans="2:35">
      <c r="B7" s="93"/>
      <c r="C7" s="90" t="s">
        <v>70</v>
      </c>
      <c r="D7" s="91">
        <f>'1'!G62</f>
        <v>210</v>
      </c>
      <c r="E7" s="91">
        <f>'2'!G62</f>
        <v>186</v>
      </c>
      <c r="F7" s="91">
        <f>'3'!G62</f>
        <v>200</v>
      </c>
      <c r="G7" s="91">
        <f>'4'!G62</f>
        <v>170</v>
      </c>
      <c r="H7" s="91">
        <f>'5'!G62</f>
        <v>173</v>
      </c>
      <c r="I7" s="91">
        <f>'6'!G62</f>
        <v>171</v>
      </c>
      <c r="J7" s="91">
        <f>'7'!G62</f>
        <v>151</v>
      </c>
      <c r="K7" s="91">
        <f>'8'!G62</f>
        <v>166</v>
      </c>
      <c r="L7" s="91">
        <f>'9'!G62</f>
        <v>185</v>
      </c>
      <c r="M7" s="91">
        <f>'10'!G62</f>
        <v>232</v>
      </c>
      <c r="N7" s="91">
        <f>'11'!G62</f>
        <v>164</v>
      </c>
      <c r="O7" s="91">
        <f>'12'!G62</f>
        <v>160</v>
      </c>
      <c r="P7" s="91">
        <f>'13'!G62</f>
        <v>208</v>
      </c>
      <c r="Q7" s="91">
        <f>'14'!G62</f>
        <v>163</v>
      </c>
      <c r="R7" s="91">
        <f>'15'!G62</f>
        <v>179</v>
      </c>
      <c r="S7" s="91">
        <f>'16'!G62</f>
        <v>188</v>
      </c>
      <c r="T7" s="91">
        <f>'17'!G62</f>
        <v>174</v>
      </c>
      <c r="U7" s="91">
        <f>'18 '!G62</f>
        <v>147</v>
      </c>
      <c r="V7" s="91">
        <f>'19'!G62</f>
        <v>183</v>
      </c>
      <c r="W7" s="91">
        <f>'20'!G62</f>
        <v>164</v>
      </c>
      <c r="X7" s="91">
        <f>'21'!G62</f>
        <v>194</v>
      </c>
      <c r="Y7" s="91">
        <f>'22'!G62</f>
        <v>170</v>
      </c>
      <c r="Z7" s="91">
        <f>'23'!G62</f>
        <v>211</v>
      </c>
      <c r="AA7" s="91">
        <f>'24'!G62</f>
        <v>196</v>
      </c>
      <c r="AB7" s="91">
        <f>'25'!G62</f>
        <v>192</v>
      </c>
      <c r="AC7" s="91">
        <f>'26'!G62</f>
        <v>177</v>
      </c>
      <c r="AD7" s="91">
        <f>'27'!G62</f>
        <v>162</v>
      </c>
      <c r="AE7" s="91">
        <f>'28'!G62</f>
        <v>166</v>
      </c>
      <c r="AF7" s="91">
        <f>'29'!G62</f>
        <v>169</v>
      </c>
      <c r="AG7" s="91">
        <f>'30'!G62</f>
        <v>172</v>
      </c>
      <c r="AH7" s="91">
        <f>'31'!G62</f>
        <v>0</v>
      </c>
      <c r="AI7" s="90"/>
    </row>
    <row r="8" spans="2:35">
      <c r="B8" s="93"/>
      <c r="C8" s="90" t="s">
        <v>299</v>
      </c>
      <c r="D8" s="91">
        <f>'1'!G63</f>
        <v>186</v>
      </c>
      <c r="E8" s="91">
        <f>'2'!G63</f>
        <v>133</v>
      </c>
      <c r="F8" s="91">
        <f>'3'!G63</f>
        <v>162</v>
      </c>
      <c r="G8" s="91">
        <f>'4'!G63</f>
        <v>129</v>
      </c>
      <c r="H8" s="91">
        <f>'5'!G63</f>
        <v>166</v>
      </c>
      <c r="I8" s="91">
        <f>'6'!G63</f>
        <v>165</v>
      </c>
      <c r="J8" s="91">
        <f>'7'!G63</f>
        <v>123</v>
      </c>
      <c r="K8" s="91">
        <f>'8'!G63</f>
        <v>166</v>
      </c>
      <c r="L8" s="91">
        <f>'9'!G63</f>
        <v>143</v>
      </c>
      <c r="M8" s="91">
        <f>'10'!G63</f>
        <v>176</v>
      </c>
      <c r="N8" s="91">
        <f>'11'!G63</f>
        <v>133</v>
      </c>
      <c r="O8" s="91">
        <f>'12'!G63</f>
        <v>158</v>
      </c>
      <c r="P8" s="91">
        <f>'13'!G63</f>
        <v>144</v>
      </c>
      <c r="Q8" s="91">
        <f>'14'!G63</f>
        <v>136</v>
      </c>
      <c r="R8" s="91">
        <f>'15'!G63</f>
        <v>157</v>
      </c>
      <c r="S8" s="91">
        <f>'16'!G63</f>
        <v>137</v>
      </c>
      <c r="T8" s="91">
        <f>'17'!G63</f>
        <v>150</v>
      </c>
      <c r="U8" s="91">
        <f>'18 '!G63</f>
        <v>144</v>
      </c>
      <c r="V8" s="91">
        <f>'19'!G63</f>
        <v>154</v>
      </c>
      <c r="W8" s="91">
        <f>'20'!G63</f>
        <v>154</v>
      </c>
      <c r="X8" s="91">
        <f>'21'!G63</f>
        <v>183</v>
      </c>
      <c r="Y8" s="91">
        <f>'22'!G63</f>
        <v>140</v>
      </c>
      <c r="Z8" s="91">
        <f>'23'!G63</f>
        <v>153</v>
      </c>
      <c r="AA8" s="91">
        <f>'24'!G63</f>
        <v>123</v>
      </c>
      <c r="AB8" s="91">
        <f>'25'!G63</f>
        <v>132</v>
      </c>
      <c r="AC8" s="91">
        <f>'26'!G63</f>
        <v>123</v>
      </c>
      <c r="AD8" s="91">
        <f>'27'!G63</f>
        <v>146</v>
      </c>
      <c r="AE8" s="91">
        <f>'28'!G63</f>
        <v>107</v>
      </c>
      <c r="AF8" s="91">
        <f>'29'!G63</f>
        <v>144</v>
      </c>
      <c r="AG8" s="91">
        <f>'30'!G63</f>
        <v>131</v>
      </c>
      <c r="AH8" s="91">
        <f>'31'!G63</f>
        <v>0</v>
      </c>
      <c r="AI8" s="90"/>
    </row>
    <row r="9" spans="2:35">
      <c r="B9" s="776" t="s">
        <v>71</v>
      </c>
      <c r="C9" s="90" t="s">
        <v>31</v>
      </c>
      <c r="D9" s="91">
        <f>'1'!G65</f>
        <v>137</v>
      </c>
      <c r="E9" s="91">
        <f>'2'!G65</f>
        <v>98</v>
      </c>
      <c r="F9" s="91">
        <f>'3'!G65</f>
        <v>114</v>
      </c>
      <c r="G9" s="91">
        <f>'4'!G65</f>
        <v>101</v>
      </c>
      <c r="H9" s="91">
        <f>'5'!G65</f>
        <v>109</v>
      </c>
      <c r="I9" s="91">
        <f>'6'!G65</f>
        <v>115</v>
      </c>
      <c r="J9" s="91">
        <f>'7'!G65</f>
        <v>101</v>
      </c>
      <c r="K9" s="91">
        <f>'8'!G65</f>
        <v>116</v>
      </c>
      <c r="L9" s="91">
        <f>'9'!G65</f>
        <v>102</v>
      </c>
      <c r="M9" s="91">
        <f>'10'!G65</f>
        <v>123</v>
      </c>
      <c r="N9" s="91">
        <f>'11'!G65</f>
        <v>127</v>
      </c>
      <c r="O9" s="91">
        <f>'12'!G65</f>
        <v>117</v>
      </c>
      <c r="P9" s="91">
        <f>'13'!G65</f>
        <v>134</v>
      </c>
      <c r="Q9" s="91">
        <f>'14'!G65</f>
        <v>110</v>
      </c>
      <c r="R9" s="91">
        <f>'15'!G65</f>
        <v>113</v>
      </c>
      <c r="S9" s="91">
        <f>'16'!G65</f>
        <v>112</v>
      </c>
      <c r="T9" s="91">
        <f>'17'!G65</f>
        <v>99</v>
      </c>
      <c r="U9" s="91">
        <f>'18 '!G65</f>
        <v>116</v>
      </c>
      <c r="V9" s="91">
        <f>'19'!G65</f>
        <v>127</v>
      </c>
      <c r="W9" s="91">
        <f>'20'!G65</f>
        <v>97</v>
      </c>
      <c r="X9" s="91">
        <f>'21'!G65</f>
        <v>124</v>
      </c>
      <c r="Y9" s="91">
        <f>'22'!G65</f>
        <v>116</v>
      </c>
      <c r="Z9" s="91">
        <f>'23'!G65</f>
        <v>150</v>
      </c>
      <c r="AA9" s="91">
        <f>'24'!G65</f>
        <v>94</v>
      </c>
      <c r="AB9" s="91">
        <f>'25'!G65</f>
        <v>116</v>
      </c>
      <c r="AC9" s="91">
        <f>'26'!G65</f>
        <v>132</v>
      </c>
      <c r="AD9" s="91">
        <f>'27'!G65</f>
        <v>116</v>
      </c>
      <c r="AE9" s="91">
        <f>'28'!G65</f>
        <v>116</v>
      </c>
      <c r="AF9" s="91">
        <f>'29'!G65</f>
        <v>112</v>
      </c>
      <c r="AG9" s="91">
        <f>'30'!G65</f>
        <v>117</v>
      </c>
      <c r="AH9" s="91">
        <f>'31'!G65</f>
        <v>0</v>
      </c>
      <c r="AI9" s="90"/>
    </row>
    <row r="10" spans="2:35">
      <c r="B10" s="776"/>
      <c r="C10" s="90" t="s">
        <v>32</v>
      </c>
      <c r="D10" s="91">
        <f>'1'!G66</f>
        <v>18</v>
      </c>
      <c r="E10" s="91">
        <f>'2'!G66</f>
        <v>16</v>
      </c>
      <c r="F10" s="91">
        <f>'3'!G66</f>
        <v>14</v>
      </c>
      <c r="G10" s="91">
        <f>'4'!G66</f>
        <v>14</v>
      </c>
      <c r="H10" s="91">
        <f>'5'!G66</f>
        <v>18</v>
      </c>
      <c r="I10" s="91">
        <f>'6'!G66</f>
        <v>16</v>
      </c>
      <c r="J10" s="91">
        <f>'7'!G66</f>
        <v>13</v>
      </c>
      <c r="K10" s="91">
        <f>'8'!G66</f>
        <v>20</v>
      </c>
      <c r="L10" s="91">
        <f>'9'!G66</f>
        <v>17</v>
      </c>
      <c r="M10" s="91">
        <f>'10'!G66</f>
        <v>22</v>
      </c>
      <c r="N10" s="91">
        <f>'11'!G66</f>
        <v>15</v>
      </c>
      <c r="O10" s="91">
        <f>'12'!G66</f>
        <v>18</v>
      </c>
      <c r="P10" s="91">
        <f>'13'!G66</f>
        <v>15</v>
      </c>
      <c r="Q10" s="91">
        <f>'14'!G66</f>
        <v>16</v>
      </c>
      <c r="R10" s="91">
        <f>'15'!G66</f>
        <v>23</v>
      </c>
      <c r="S10" s="91">
        <f>'16'!G66</f>
        <v>25</v>
      </c>
      <c r="T10" s="91">
        <f>'17'!G66</f>
        <v>24</v>
      </c>
      <c r="U10" s="91">
        <f>'18 '!G66</f>
        <v>12</v>
      </c>
      <c r="V10" s="91">
        <f>'19'!G66</f>
        <v>12</v>
      </c>
      <c r="W10" s="91">
        <f>'20'!G66</f>
        <v>14</v>
      </c>
      <c r="X10" s="91">
        <f>'21'!G66</f>
        <v>17</v>
      </c>
      <c r="Y10" s="91">
        <f>'22'!G66</f>
        <v>13</v>
      </c>
      <c r="Z10" s="91">
        <f>'23'!G66</f>
        <v>17</v>
      </c>
      <c r="AA10" s="91">
        <f>'24'!G66</f>
        <v>20</v>
      </c>
      <c r="AB10" s="91">
        <f>'25'!G66</f>
        <v>15</v>
      </c>
      <c r="AC10" s="91">
        <f>'26'!G66</f>
        <v>14</v>
      </c>
      <c r="AD10" s="91">
        <f>'27'!G66</f>
        <v>12</v>
      </c>
      <c r="AE10" s="91">
        <f>'28'!G66</f>
        <v>17</v>
      </c>
      <c r="AF10" s="91">
        <f>'29'!G66</f>
        <v>18</v>
      </c>
      <c r="AG10" s="91">
        <f>'30'!G66</f>
        <v>26</v>
      </c>
      <c r="AH10" s="91">
        <f>'31'!G66</f>
        <v>0</v>
      </c>
      <c r="AI10" s="90"/>
    </row>
    <row r="11" spans="2:35">
      <c r="B11" s="776"/>
      <c r="C11" s="90" t="s">
        <v>33</v>
      </c>
      <c r="D11" s="91">
        <f>'1'!G67</f>
        <v>79</v>
      </c>
      <c r="E11" s="91">
        <f>'2'!G67</f>
        <v>84</v>
      </c>
      <c r="F11" s="91">
        <f>'3'!G67</f>
        <v>74</v>
      </c>
      <c r="G11" s="91">
        <f>'4'!G67</f>
        <v>68</v>
      </c>
      <c r="H11" s="91">
        <f>'5'!G67</f>
        <v>71</v>
      </c>
      <c r="I11" s="91">
        <f>'6'!G67</f>
        <v>72</v>
      </c>
      <c r="J11" s="91">
        <f>'7'!G67</f>
        <v>71</v>
      </c>
      <c r="K11" s="91">
        <f>'8'!G67</f>
        <v>76</v>
      </c>
      <c r="L11" s="91">
        <f>'9'!G67</f>
        <v>72</v>
      </c>
      <c r="M11" s="91">
        <f>'10'!G67</f>
        <v>87</v>
      </c>
      <c r="N11" s="91">
        <f>'11'!G67</f>
        <v>71</v>
      </c>
      <c r="O11" s="91">
        <f>'12'!G67</f>
        <v>71</v>
      </c>
      <c r="P11" s="91">
        <f>'13'!G67</f>
        <v>69</v>
      </c>
      <c r="Q11" s="91">
        <f>'14'!G67</f>
        <v>77</v>
      </c>
      <c r="R11" s="91">
        <f>'15'!G67</f>
        <v>80</v>
      </c>
      <c r="S11" s="91">
        <f>'16'!G67</f>
        <v>71</v>
      </c>
      <c r="T11" s="91">
        <f>'17'!G67</f>
        <v>86</v>
      </c>
      <c r="U11" s="91">
        <f>'18 '!G67</f>
        <v>69</v>
      </c>
      <c r="V11" s="91">
        <f>'19'!G67</f>
        <v>63</v>
      </c>
      <c r="W11" s="91">
        <f>'20'!G67</f>
        <v>94</v>
      </c>
      <c r="X11" s="91">
        <f>'21'!G67</f>
        <v>78</v>
      </c>
      <c r="Y11" s="91">
        <f>'22'!G67</f>
        <v>82</v>
      </c>
      <c r="Z11" s="91">
        <f>'23'!G67</f>
        <v>89</v>
      </c>
      <c r="AA11" s="91">
        <f>'24'!G67</f>
        <v>83</v>
      </c>
      <c r="AB11" s="91">
        <f>'25'!G67</f>
        <v>80</v>
      </c>
      <c r="AC11" s="91">
        <f>'26'!G67</f>
        <v>80</v>
      </c>
      <c r="AD11" s="91">
        <f>'27'!G67</f>
        <v>78</v>
      </c>
      <c r="AE11" s="91">
        <f>'28'!G67</f>
        <v>77</v>
      </c>
      <c r="AF11" s="91">
        <f>'29'!G67</f>
        <v>76</v>
      </c>
      <c r="AG11" s="91">
        <f>'30'!G67</f>
        <v>79</v>
      </c>
      <c r="AH11" s="91">
        <f>'31'!G67</f>
        <v>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6" t="s">
        <v>72</v>
      </c>
      <c r="C13" s="90" t="s">
        <v>31</v>
      </c>
      <c r="D13" s="91">
        <f>'1'!G68</f>
        <v>65</v>
      </c>
      <c r="E13" s="91">
        <f>'2'!G68</f>
        <v>79</v>
      </c>
      <c r="F13" s="91">
        <f>'3'!G68</f>
        <v>84</v>
      </c>
      <c r="G13" s="91">
        <f>'4'!G68</f>
        <v>46</v>
      </c>
      <c r="H13" s="91">
        <f>'5'!G68</f>
        <v>54</v>
      </c>
      <c r="I13" s="91">
        <f>'6'!G68</f>
        <v>49</v>
      </c>
      <c r="J13" s="91">
        <f>'7'!G68</f>
        <v>53</v>
      </c>
      <c r="K13" s="91">
        <f>'8'!G68</f>
        <v>47</v>
      </c>
      <c r="L13" s="91">
        <f>'9'!G68</f>
        <v>30</v>
      </c>
      <c r="M13" s="91">
        <f>'10'!G68</f>
        <v>44</v>
      </c>
      <c r="N13" s="91">
        <f>'11'!G68</f>
        <v>19</v>
      </c>
      <c r="O13" s="91">
        <f>'12'!G68</f>
        <v>48</v>
      </c>
      <c r="P13" s="91">
        <f>'13'!G68</f>
        <v>62</v>
      </c>
      <c r="Q13" s="91">
        <f>'14'!G68</f>
        <v>27</v>
      </c>
      <c r="R13" s="91">
        <f>'15'!G68</f>
        <v>20</v>
      </c>
      <c r="S13" s="91">
        <f>'16'!G68</f>
        <v>14</v>
      </c>
      <c r="T13" s="91">
        <f>'17'!G68</f>
        <v>22</v>
      </c>
      <c r="U13" s="91">
        <f>'18 '!G68</f>
        <v>16</v>
      </c>
      <c r="V13" s="91">
        <f>'19'!G68</f>
        <v>17</v>
      </c>
      <c r="W13" s="91">
        <f>'20'!G68</f>
        <v>33</v>
      </c>
      <c r="X13" s="91">
        <f>'21'!G68</f>
        <v>95</v>
      </c>
      <c r="Y13" s="91">
        <f>'22'!G68</f>
        <v>58</v>
      </c>
      <c r="Z13" s="91">
        <f>'23'!G68</f>
        <v>70</v>
      </c>
      <c r="AA13" s="421">
        <f>'24'!G68</f>
        <v>55</v>
      </c>
      <c r="AB13" s="91">
        <f>'25'!G68</f>
        <v>73</v>
      </c>
      <c r="AC13" s="91">
        <f>'26'!G68</f>
        <v>53</v>
      </c>
      <c r="AD13" s="91">
        <f>'27'!G68</f>
        <v>55</v>
      </c>
      <c r="AE13" s="91">
        <f>'28'!G68</f>
        <v>43</v>
      </c>
      <c r="AF13" s="91">
        <f>'29'!G68</f>
        <v>15</v>
      </c>
      <c r="AG13" s="91">
        <f>'30'!G68</f>
        <v>25</v>
      </c>
      <c r="AH13" s="91">
        <f>'31'!G68</f>
        <v>0</v>
      </c>
      <c r="AI13" s="90"/>
    </row>
    <row r="14" spans="2:35">
      <c r="B14" s="776"/>
      <c r="C14" s="90" t="s">
        <v>32</v>
      </c>
      <c r="D14" s="91">
        <f>'1'!G69</f>
        <v>8</v>
      </c>
      <c r="E14" s="91">
        <f>'2'!G69</f>
        <v>26</v>
      </c>
      <c r="F14" s="91">
        <f>'3'!G69</f>
        <v>27</v>
      </c>
      <c r="G14" s="91">
        <f>'4'!G69</f>
        <v>6</v>
      </c>
      <c r="H14" s="91">
        <f>'5'!G69</f>
        <v>17</v>
      </c>
      <c r="I14" s="91">
        <f>'6'!G69</f>
        <v>11</v>
      </c>
      <c r="J14" s="91">
        <f>'7'!G69</f>
        <v>14</v>
      </c>
      <c r="K14" s="91">
        <f>'8'!G69</f>
        <v>11</v>
      </c>
      <c r="L14" s="91">
        <f>'9'!G69</f>
        <v>20</v>
      </c>
      <c r="M14" s="91">
        <f>'10'!G69</f>
        <v>16</v>
      </c>
      <c r="N14" s="91">
        <f>'11'!G69</f>
        <v>17</v>
      </c>
      <c r="O14" s="91">
        <f>'12'!G69</f>
        <v>5</v>
      </c>
      <c r="P14" s="91">
        <f>'13'!G69</f>
        <v>11</v>
      </c>
      <c r="Q14" s="91">
        <f>'14'!G69</f>
        <v>11</v>
      </c>
      <c r="R14" s="91">
        <f>'15'!G69</f>
        <v>9</v>
      </c>
      <c r="S14" s="91">
        <f>'16'!G69</f>
        <v>16</v>
      </c>
      <c r="T14" s="91">
        <f>'17'!G69</f>
        <v>9</v>
      </c>
      <c r="U14" s="91">
        <f>'18 '!G69</f>
        <v>6</v>
      </c>
      <c r="V14" s="91">
        <f>'19'!G69</f>
        <v>9</v>
      </c>
      <c r="W14" s="91">
        <f>'20'!G69</f>
        <v>6</v>
      </c>
      <c r="X14" s="91">
        <f>'21'!G69</f>
        <v>15</v>
      </c>
      <c r="Y14" s="91">
        <f>'22'!G69</f>
        <v>12</v>
      </c>
      <c r="Z14" s="91">
        <f>'23'!G69</f>
        <v>7</v>
      </c>
      <c r="AA14" s="91">
        <f>'24'!G69</f>
        <v>10</v>
      </c>
      <c r="AB14" s="91">
        <f>'25'!G69</f>
        <v>25</v>
      </c>
      <c r="AC14" s="91">
        <f>'26'!G69</f>
        <v>28</v>
      </c>
      <c r="AD14" s="91">
        <f>'27'!G69</f>
        <v>16</v>
      </c>
      <c r="AE14" s="91">
        <f>'28'!G69</f>
        <v>7</v>
      </c>
      <c r="AF14" s="91">
        <f>'29'!G69</f>
        <v>14</v>
      </c>
      <c r="AG14" s="91">
        <f>'30'!G69</f>
        <v>8</v>
      </c>
      <c r="AH14" s="91">
        <f>'31'!G69</f>
        <v>0</v>
      </c>
      <c r="AI14" s="90"/>
    </row>
    <row r="15" spans="2:35">
      <c r="B15" s="776"/>
      <c r="C15" s="90" t="s">
        <v>33</v>
      </c>
      <c r="D15" s="91">
        <f>'1'!G70</f>
        <v>7</v>
      </c>
      <c r="E15" s="91">
        <f>'2'!G70</f>
        <v>8</v>
      </c>
      <c r="F15" s="91">
        <f>'3'!G70</f>
        <v>8</v>
      </c>
      <c r="G15" s="91">
        <f>'4'!G70</f>
        <v>6</v>
      </c>
      <c r="H15" s="91">
        <f>'5'!G70</f>
        <v>6</v>
      </c>
      <c r="I15" s="91">
        <f>'6'!G70</f>
        <v>7</v>
      </c>
      <c r="J15" s="91">
        <f>'7'!G70</f>
        <v>8</v>
      </c>
      <c r="K15" s="91">
        <f>'8'!G70</f>
        <v>18</v>
      </c>
      <c r="L15" s="91">
        <f>'9'!G70</f>
        <v>10</v>
      </c>
      <c r="M15" s="91">
        <f>'10'!G70</f>
        <v>7</v>
      </c>
      <c r="N15" s="91">
        <f>'11'!G70</f>
        <v>7</v>
      </c>
      <c r="O15" s="91">
        <f>'12'!G70</f>
        <v>14</v>
      </c>
      <c r="P15" s="91">
        <f>'13'!G70</f>
        <v>8</v>
      </c>
      <c r="Q15" s="91">
        <f>'14'!G70</f>
        <v>9</v>
      </c>
      <c r="R15" s="91">
        <f>'15'!G70</f>
        <v>8</v>
      </c>
      <c r="S15" s="91">
        <f>'16'!G70</f>
        <v>9</v>
      </c>
      <c r="T15" s="91">
        <f>'17'!G70</f>
        <v>11</v>
      </c>
      <c r="U15" s="91">
        <f>'18 '!G70</f>
        <v>7</v>
      </c>
      <c r="V15" s="91">
        <f>'19'!G70</f>
        <v>11</v>
      </c>
      <c r="W15" s="91">
        <f>'20'!G70</f>
        <v>17</v>
      </c>
      <c r="X15" s="91">
        <f>'21'!G70</f>
        <v>8</v>
      </c>
      <c r="Y15" s="91">
        <f>'22'!G70</f>
        <v>6</v>
      </c>
      <c r="Z15" s="91">
        <f>'23'!G70</f>
        <v>9</v>
      </c>
      <c r="AA15" s="91">
        <f>'24'!G70</f>
        <v>17</v>
      </c>
      <c r="AB15" s="91">
        <f>'25'!G70</f>
        <v>8</v>
      </c>
      <c r="AC15" s="91">
        <f>'26'!G70</f>
        <v>7</v>
      </c>
      <c r="AD15" s="91">
        <f>'27'!G70</f>
        <v>9</v>
      </c>
      <c r="AE15" s="91">
        <f>'28'!G70</f>
        <v>7</v>
      </c>
      <c r="AF15" s="91">
        <f>'29'!G70</f>
        <v>8</v>
      </c>
      <c r="AG15" s="91">
        <f>'30'!G70</f>
        <v>8</v>
      </c>
      <c r="AH15" s="91">
        <f>'31'!G70</f>
        <v>0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6" t="s">
        <v>73</v>
      </c>
      <c r="C17" s="90" t="s">
        <v>74</v>
      </c>
      <c r="D17" s="90">
        <f>'1'!G173</f>
        <v>1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10</v>
      </c>
      <c r="S17" s="91">
        <f>'16'!G173</f>
        <v>2</v>
      </c>
      <c r="T17" s="91">
        <f>'17'!G173</f>
        <v>0</v>
      </c>
      <c r="U17" s="91">
        <f>'18 '!G173</f>
        <v>1</v>
      </c>
      <c r="V17" s="91">
        <f>'19'!G173</f>
        <v>0</v>
      </c>
      <c r="W17" s="91">
        <f>'20'!G173</f>
        <v>73</v>
      </c>
      <c r="X17" s="91">
        <f>'21'!G173</f>
        <v>0</v>
      </c>
      <c r="Y17" s="91">
        <f>'22'!G173</f>
        <v>0</v>
      </c>
      <c r="Z17" s="91">
        <f>'23'!G173</f>
        <v>6</v>
      </c>
      <c r="AA17" s="91">
        <f>'24'!G173</f>
        <v>0</v>
      </c>
      <c r="AB17" s="91">
        <f>'25'!G173</f>
        <v>3</v>
      </c>
      <c r="AC17" s="91">
        <f>'26'!G173</f>
        <v>2</v>
      </c>
      <c r="AD17" s="91">
        <f>'27'!G173</f>
        <v>0</v>
      </c>
      <c r="AE17" s="91">
        <f>'28'!G173</f>
        <v>21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6"/>
      <c r="C18" s="90" t="s">
        <v>75</v>
      </c>
      <c r="D18" s="90">
        <f>'1'!G174</f>
        <v>15</v>
      </c>
      <c r="E18" s="91">
        <f>'2'!G174</f>
        <v>14</v>
      </c>
      <c r="F18" s="91">
        <f>'3'!G174</f>
        <v>14</v>
      </c>
      <c r="G18" s="91">
        <f>'4'!G174</f>
        <v>14</v>
      </c>
      <c r="H18" s="91">
        <f>'5'!G174</f>
        <v>14</v>
      </c>
      <c r="I18" s="91">
        <f>'6'!G174</f>
        <v>15</v>
      </c>
      <c r="J18" s="91">
        <f>'7'!G174</f>
        <v>16</v>
      </c>
      <c r="K18" s="91">
        <f>'8'!G174</f>
        <v>15</v>
      </c>
      <c r="L18" s="91">
        <f>'9'!G174</f>
        <v>14</v>
      </c>
      <c r="M18" s="91">
        <f>'10'!G174</f>
        <v>16</v>
      </c>
      <c r="N18" s="91">
        <f>'11'!G174</f>
        <v>17</v>
      </c>
      <c r="O18" s="91">
        <f>'12'!G174</f>
        <v>15</v>
      </c>
      <c r="P18" s="91">
        <f>'13'!G174</f>
        <v>14</v>
      </c>
      <c r="Q18" s="91">
        <f>'14'!G174</f>
        <v>15</v>
      </c>
      <c r="R18" s="91">
        <f>'15'!G174</f>
        <v>15</v>
      </c>
      <c r="S18" s="91">
        <f>'16'!G174</f>
        <v>17</v>
      </c>
      <c r="T18" s="91">
        <f>'17'!G174</f>
        <v>16</v>
      </c>
      <c r="U18" s="91">
        <f>'18 '!G174</f>
        <v>16</v>
      </c>
      <c r="V18" s="91">
        <f>'19'!G174</f>
        <v>18</v>
      </c>
      <c r="W18" s="91">
        <f>'20'!G174</f>
        <v>14</v>
      </c>
      <c r="X18" s="91">
        <f>'21'!G174</f>
        <v>16</v>
      </c>
      <c r="Y18" s="91">
        <f>'22'!G174</f>
        <v>16</v>
      </c>
      <c r="Z18" s="91">
        <f>'23'!G174</f>
        <v>13</v>
      </c>
      <c r="AA18" s="91">
        <f>'24'!G174</f>
        <v>29</v>
      </c>
      <c r="AB18" s="91">
        <f>'25'!G174</f>
        <v>15</v>
      </c>
      <c r="AC18" s="91">
        <f>'26'!G174</f>
        <v>16</v>
      </c>
      <c r="AD18" s="91">
        <f>'27'!G174</f>
        <v>13</v>
      </c>
      <c r="AE18" s="91">
        <f>'28'!G174</f>
        <v>15</v>
      </c>
      <c r="AF18" s="91">
        <f>'29'!G174</f>
        <v>15</v>
      </c>
      <c r="AG18" s="91">
        <f>'30'!G174</f>
        <v>14</v>
      </c>
      <c r="AH18" s="91">
        <f>'31'!G174</f>
        <v>0</v>
      </c>
      <c r="AI18" s="90"/>
    </row>
    <row r="19" spans="2:35">
      <c r="B19" s="776"/>
      <c r="C19" s="90" t="s">
        <v>76</v>
      </c>
      <c r="D19" s="90">
        <f>'1'!G175</f>
        <v>11</v>
      </c>
      <c r="E19" s="91">
        <f>'2'!G175</f>
        <v>12</v>
      </c>
      <c r="F19" s="91">
        <f>'3'!G175</f>
        <v>14</v>
      </c>
      <c r="G19" s="91">
        <f>'4'!G175</f>
        <v>10</v>
      </c>
      <c r="H19" s="91">
        <f>'5'!G175</f>
        <v>14</v>
      </c>
      <c r="I19" s="91">
        <f>'6'!G175</f>
        <v>13</v>
      </c>
      <c r="J19" s="91">
        <f>'7'!G175</f>
        <v>13</v>
      </c>
      <c r="K19" s="91">
        <f>'8'!G175</f>
        <v>12</v>
      </c>
      <c r="L19" s="91">
        <f>'9'!G175</f>
        <v>13</v>
      </c>
      <c r="M19" s="91">
        <f>'10'!G175</f>
        <v>10</v>
      </c>
      <c r="N19" s="91">
        <f>'11'!G175</f>
        <v>13</v>
      </c>
      <c r="O19" s="91">
        <f>'12'!G175</f>
        <v>10</v>
      </c>
      <c r="P19" s="91">
        <f>'13'!G175</f>
        <v>13</v>
      </c>
      <c r="Q19" s="91">
        <f>'14'!G175</f>
        <v>10</v>
      </c>
      <c r="R19" s="91">
        <f>'15'!G175</f>
        <v>14</v>
      </c>
      <c r="S19" s="91">
        <f>'16'!G175</f>
        <v>12</v>
      </c>
      <c r="T19" s="91">
        <f>'17'!G175</f>
        <v>14</v>
      </c>
      <c r="U19" s="91">
        <f>'18 '!G175</f>
        <v>14</v>
      </c>
      <c r="V19" s="91">
        <f>'19'!G175</f>
        <v>14</v>
      </c>
      <c r="W19" s="91">
        <f>'20'!G175</f>
        <v>11</v>
      </c>
      <c r="X19" s="91">
        <f>'21'!G175</f>
        <v>13</v>
      </c>
      <c r="Y19" s="91">
        <f>'22'!G175</f>
        <v>12</v>
      </c>
      <c r="Z19" s="91">
        <f>'23'!G175</f>
        <v>13</v>
      </c>
      <c r="AA19" s="91">
        <f>'24'!G175</f>
        <v>12</v>
      </c>
      <c r="AB19" s="91">
        <f>'25'!G175</f>
        <v>12</v>
      </c>
      <c r="AC19" s="91">
        <f>'26'!G175</f>
        <v>11</v>
      </c>
      <c r="AD19" s="91">
        <f>'27'!G175</f>
        <v>11</v>
      </c>
      <c r="AE19" s="91">
        <f>'28'!G175</f>
        <v>13</v>
      </c>
      <c r="AF19" s="91">
        <f>'29'!G175</f>
        <v>12</v>
      </c>
      <c r="AG19" s="91">
        <f>'30'!G175</f>
        <v>11</v>
      </c>
      <c r="AH19" s="91">
        <f>'31'!G175</f>
        <v>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6" t="s">
        <v>77</v>
      </c>
      <c r="C21" s="90" t="s">
        <v>78</v>
      </c>
      <c r="D21" s="90">
        <f>'1'!G178</f>
        <v>105</v>
      </c>
      <c r="E21" s="91">
        <f>'2'!G178</f>
        <v>85</v>
      </c>
      <c r="F21" s="91">
        <f>'3'!G178</f>
        <v>84</v>
      </c>
      <c r="G21" s="91">
        <f>'4'!G178</f>
        <v>83</v>
      </c>
      <c r="H21" s="91">
        <f>'5'!G178</f>
        <v>86</v>
      </c>
      <c r="I21" s="91">
        <f>'6'!G178</f>
        <v>106</v>
      </c>
      <c r="J21" s="91">
        <f>'7'!G178</f>
        <v>84</v>
      </c>
      <c r="K21" s="91">
        <f>'8'!G178</f>
        <v>109</v>
      </c>
      <c r="L21" s="91">
        <f>'9'!G178</f>
        <v>110</v>
      </c>
      <c r="M21" s="91">
        <f>'10'!G178</f>
        <v>107</v>
      </c>
      <c r="N21" s="91">
        <f>'11'!G178</f>
        <v>85</v>
      </c>
      <c r="O21" s="91">
        <f>'12'!G178</f>
        <v>106</v>
      </c>
      <c r="P21" s="91">
        <f>'13'!G178</f>
        <v>79</v>
      </c>
      <c r="Q21" s="91">
        <f>'14'!G178</f>
        <v>112</v>
      </c>
      <c r="R21" s="91">
        <f>'15'!G178</f>
        <v>106</v>
      </c>
      <c r="S21" s="91">
        <f>'16'!G178</f>
        <v>107</v>
      </c>
      <c r="T21" s="91">
        <f>'17'!G178</f>
        <v>107</v>
      </c>
      <c r="U21" s="91">
        <f>'18 '!G178</f>
        <v>106</v>
      </c>
      <c r="V21" s="91">
        <f>'19'!G178</f>
        <v>86</v>
      </c>
      <c r="W21" s="91">
        <f>'20'!G178</f>
        <v>107</v>
      </c>
      <c r="X21" s="91">
        <f>'21'!G178</f>
        <v>107</v>
      </c>
      <c r="Y21" s="91">
        <f>'22'!G178</f>
        <v>85</v>
      </c>
      <c r="Z21" s="91">
        <f>'23'!G178</f>
        <v>107</v>
      </c>
      <c r="AA21" s="91">
        <f>'24'!G178</f>
        <v>107</v>
      </c>
      <c r="AB21" s="91">
        <f>'25'!G178</f>
        <v>108</v>
      </c>
      <c r="AC21" s="91">
        <f>'26'!G178</f>
        <v>130</v>
      </c>
      <c r="AD21" s="91">
        <f>'27'!G178</f>
        <v>107</v>
      </c>
      <c r="AE21" s="91">
        <f>'28'!G178</f>
        <v>84</v>
      </c>
      <c r="AF21" s="91">
        <f>'29'!G178</f>
        <v>106</v>
      </c>
      <c r="AG21" s="91">
        <f>'30'!G178</f>
        <v>86</v>
      </c>
      <c r="AH21" s="91">
        <f>'31'!G178</f>
        <v>0</v>
      </c>
      <c r="AI21" s="90"/>
    </row>
    <row r="22" spans="2:35">
      <c r="B22" s="776"/>
      <c r="C22" s="90" t="s">
        <v>79</v>
      </c>
      <c r="D22" s="90">
        <f>'1'!G179</f>
        <v>0</v>
      </c>
      <c r="E22" s="91">
        <f>'2'!G179</f>
        <v>32</v>
      </c>
      <c r="F22" s="91">
        <f>'3'!G179</f>
        <v>38</v>
      </c>
      <c r="G22" s="91">
        <f>'4'!G179</f>
        <v>0</v>
      </c>
      <c r="H22" s="91">
        <f>'5'!G179</f>
        <v>4</v>
      </c>
      <c r="I22" s="91">
        <f>'6'!G179</f>
        <v>9</v>
      </c>
      <c r="J22" s="91">
        <f>'7'!G179</f>
        <v>13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17</v>
      </c>
      <c r="Y22" s="91">
        <f>'22'!G179</f>
        <v>5</v>
      </c>
      <c r="Z22" s="91">
        <f>'23'!G179</f>
        <v>7</v>
      </c>
      <c r="AA22" s="91">
        <f>'24'!G179</f>
        <v>0</v>
      </c>
      <c r="AB22" s="91">
        <f>'25'!G179</f>
        <v>26</v>
      </c>
      <c r="AC22" s="91">
        <f>'26'!G179</f>
        <v>3</v>
      </c>
      <c r="AD22" s="91">
        <f>'27'!G179</f>
        <v>4</v>
      </c>
      <c r="AE22" s="91">
        <f>'28'!G179</f>
        <v>0</v>
      </c>
      <c r="AF22" s="91">
        <f>'29'!G179</f>
        <v>1</v>
      </c>
      <c r="AG22" s="91">
        <f>'30'!G179</f>
        <v>0</v>
      </c>
      <c r="AH22" s="91">
        <f>'31'!G179</f>
        <v>0</v>
      </c>
      <c r="AI22" s="90"/>
    </row>
    <row r="23" spans="2:35">
      <c r="B23" s="776"/>
      <c r="C23" s="90" t="s">
        <v>80</v>
      </c>
      <c r="D23" s="90">
        <f>'1'!G180</f>
        <v>0</v>
      </c>
      <c r="E23" s="91">
        <f>'2'!G180</f>
        <v>17</v>
      </c>
      <c r="F23" s="91">
        <f>'3'!G180</f>
        <v>0</v>
      </c>
      <c r="G23" s="91">
        <f>'4'!G180</f>
        <v>0</v>
      </c>
      <c r="H23" s="91">
        <f>'5'!G180</f>
        <v>16</v>
      </c>
      <c r="I23" s="91">
        <f>'6'!G180</f>
        <v>15</v>
      </c>
      <c r="J23" s="91">
        <f>'7'!G180</f>
        <v>3</v>
      </c>
      <c r="K23" s="91">
        <f>'8'!G180</f>
        <v>13</v>
      </c>
      <c r="L23" s="91">
        <f>'9'!G180</f>
        <v>18</v>
      </c>
      <c r="M23" s="91">
        <f>'10'!G180</f>
        <v>2</v>
      </c>
      <c r="N23" s="91">
        <f>'11'!G180</f>
        <v>17</v>
      </c>
      <c r="O23" s="91">
        <f>'12'!G180</f>
        <v>5</v>
      </c>
      <c r="P23" s="91">
        <f>'13'!G180</f>
        <v>4</v>
      </c>
      <c r="Q23" s="91">
        <f>'14'!G180</f>
        <v>7</v>
      </c>
      <c r="R23" s="91">
        <f>'15'!G180</f>
        <v>17</v>
      </c>
      <c r="S23" s="91">
        <f>'16'!G180</f>
        <v>0</v>
      </c>
      <c r="T23" s="91">
        <f>'17'!G180</f>
        <v>21</v>
      </c>
      <c r="U23" s="91">
        <f>'18 '!G180</f>
        <v>3</v>
      </c>
      <c r="V23" s="91">
        <f>'19'!G180</f>
        <v>6</v>
      </c>
      <c r="W23" s="91">
        <f>'20'!G180</f>
        <v>15</v>
      </c>
      <c r="X23" s="91">
        <f>'21'!G180</f>
        <v>3</v>
      </c>
      <c r="Y23" s="91">
        <f>'22'!G180</f>
        <v>4</v>
      </c>
      <c r="Z23" s="91">
        <f>'23'!G180</f>
        <v>9</v>
      </c>
      <c r="AA23" s="91">
        <f>'24'!G180</f>
        <v>3</v>
      </c>
      <c r="AB23" s="91">
        <f>'25'!G180</f>
        <v>4</v>
      </c>
      <c r="AC23" s="91">
        <f>'26'!G180</f>
        <v>7</v>
      </c>
      <c r="AD23" s="91">
        <f>'27'!G180</f>
        <v>8</v>
      </c>
      <c r="AE23" s="91">
        <f>'28'!G180</f>
        <v>13</v>
      </c>
      <c r="AF23" s="91">
        <f>'29'!G180</f>
        <v>5</v>
      </c>
      <c r="AG23" s="91">
        <f>'30'!G180</f>
        <v>21</v>
      </c>
      <c r="AH23" s="91">
        <f>'31'!G180</f>
        <v>0</v>
      </c>
      <c r="AI23" s="90"/>
    </row>
    <row r="24" spans="2:35" ht="30">
      <c r="B24" s="93" t="s">
        <v>301</v>
      </c>
      <c r="C24" s="90"/>
      <c r="D24" s="91">
        <f>SUM(D5:D6)</f>
        <v>331</v>
      </c>
      <c r="E24" s="91">
        <f t="shared" ref="E24:AH24" si="0">SUM(E5:E6)</f>
        <v>285</v>
      </c>
      <c r="F24" s="91">
        <f t="shared" si="0"/>
        <v>329</v>
      </c>
      <c r="G24" s="91">
        <f t="shared" si="0"/>
        <v>326</v>
      </c>
      <c r="H24" s="91">
        <f t="shared" si="0"/>
        <v>286</v>
      </c>
      <c r="I24" s="91">
        <f t="shared" si="0"/>
        <v>310</v>
      </c>
      <c r="J24" s="91">
        <f t="shared" si="0"/>
        <v>206</v>
      </c>
      <c r="K24" s="91">
        <f t="shared" si="0"/>
        <v>278</v>
      </c>
      <c r="L24" s="91">
        <f t="shared" si="0"/>
        <v>327</v>
      </c>
      <c r="M24" s="91">
        <f t="shared" si="0"/>
        <v>356</v>
      </c>
      <c r="N24" s="91">
        <f t="shared" si="0"/>
        <v>261</v>
      </c>
      <c r="O24" s="91">
        <f t="shared" si="0"/>
        <v>260</v>
      </c>
      <c r="P24" s="91">
        <f t="shared" si="0"/>
        <v>288</v>
      </c>
      <c r="Q24" s="91">
        <f t="shared" si="0"/>
        <v>362</v>
      </c>
      <c r="R24" s="91">
        <f t="shared" si="0"/>
        <v>269</v>
      </c>
      <c r="S24" s="91">
        <f t="shared" si="0"/>
        <v>362</v>
      </c>
      <c r="T24" s="91">
        <f t="shared" si="0"/>
        <v>270</v>
      </c>
      <c r="U24" s="91">
        <f t="shared" si="0"/>
        <v>255</v>
      </c>
      <c r="V24" s="91">
        <f t="shared" si="0"/>
        <v>274</v>
      </c>
      <c r="W24" s="91">
        <f t="shared" si="0"/>
        <v>307</v>
      </c>
      <c r="X24" s="91">
        <f t="shared" si="0"/>
        <v>277</v>
      </c>
      <c r="Y24" s="91">
        <f t="shared" si="0"/>
        <v>296</v>
      </c>
      <c r="Z24" s="91">
        <f t="shared" si="0"/>
        <v>291</v>
      </c>
      <c r="AA24" s="91">
        <f>SUM(AA5:AA6)</f>
        <v>307</v>
      </c>
      <c r="AB24" s="91">
        <f t="shared" si="0"/>
        <v>381</v>
      </c>
      <c r="AC24" s="91">
        <f t="shared" si="0"/>
        <v>328</v>
      </c>
      <c r="AD24" s="91">
        <f t="shared" si="0"/>
        <v>280</v>
      </c>
      <c r="AE24" s="91">
        <f t="shared" si="0"/>
        <v>313</v>
      </c>
      <c r="AF24" s="91">
        <f t="shared" si="0"/>
        <v>311</v>
      </c>
      <c r="AG24" s="91">
        <f t="shared" si="0"/>
        <v>379</v>
      </c>
      <c r="AH24" s="91">
        <f t="shared" si="0"/>
        <v>220</v>
      </c>
      <c r="AI24" s="90"/>
    </row>
    <row r="25" spans="2:35" ht="30">
      <c r="B25" s="93" t="s">
        <v>81</v>
      </c>
      <c r="C25" s="90"/>
      <c r="D25" s="91">
        <f>SUM(D9:D11,D14:D15,)</f>
        <v>249</v>
      </c>
      <c r="E25" s="91">
        <f t="shared" ref="E25:AI25" si="1">SUM(E9:E11,E14:E15,)</f>
        <v>232</v>
      </c>
      <c r="F25" s="91">
        <f t="shared" si="1"/>
        <v>237</v>
      </c>
      <c r="G25" s="91">
        <f t="shared" si="1"/>
        <v>195</v>
      </c>
      <c r="H25" s="91">
        <f t="shared" si="1"/>
        <v>221</v>
      </c>
      <c r="I25" s="91">
        <f t="shared" si="1"/>
        <v>221</v>
      </c>
      <c r="J25" s="91">
        <f t="shared" si="1"/>
        <v>207</v>
      </c>
      <c r="K25" s="91">
        <f>SUM(K9:K11,K14:K15,)</f>
        <v>241</v>
      </c>
      <c r="L25" s="91">
        <f t="shared" si="1"/>
        <v>221</v>
      </c>
      <c r="M25" s="91">
        <f t="shared" si="1"/>
        <v>255</v>
      </c>
      <c r="N25" s="91">
        <f t="shared" si="1"/>
        <v>237</v>
      </c>
      <c r="O25" s="91">
        <f t="shared" si="1"/>
        <v>225</v>
      </c>
      <c r="P25" s="91">
        <f t="shared" si="1"/>
        <v>237</v>
      </c>
      <c r="Q25" s="91">
        <f t="shared" si="1"/>
        <v>223</v>
      </c>
      <c r="R25" s="91">
        <f t="shared" si="1"/>
        <v>233</v>
      </c>
      <c r="S25" s="91">
        <f t="shared" si="1"/>
        <v>233</v>
      </c>
      <c r="T25" s="91">
        <f>SUM(T9:T11,T14:T15,)</f>
        <v>229</v>
      </c>
      <c r="U25" s="91">
        <f t="shared" si="1"/>
        <v>210</v>
      </c>
      <c r="V25" s="91">
        <f t="shared" si="1"/>
        <v>222</v>
      </c>
      <c r="W25" s="91">
        <f t="shared" si="1"/>
        <v>228</v>
      </c>
      <c r="X25" s="91">
        <f t="shared" si="1"/>
        <v>242</v>
      </c>
      <c r="Y25" s="91">
        <f t="shared" si="1"/>
        <v>229</v>
      </c>
      <c r="Z25" s="91">
        <f t="shared" si="1"/>
        <v>272</v>
      </c>
      <c r="AA25" s="91">
        <f t="shared" si="1"/>
        <v>224</v>
      </c>
      <c r="AB25" s="91">
        <f t="shared" si="1"/>
        <v>244</v>
      </c>
      <c r="AC25" s="91">
        <f t="shared" si="1"/>
        <v>261</v>
      </c>
      <c r="AD25" s="91">
        <f t="shared" si="1"/>
        <v>231</v>
      </c>
      <c r="AE25" s="91">
        <f t="shared" si="1"/>
        <v>224</v>
      </c>
      <c r="AF25" s="91">
        <f t="shared" si="1"/>
        <v>228</v>
      </c>
      <c r="AG25" s="91">
        <f t="shared" si="1"/>
        <v>238</v>
      </c>
      <c r="AH25" s="91">
        <f t="shared" si="1"/>
        <v>0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170</v>
      </c>
      <c r="E27" s="91">
        <f t="shared" ref="E27:AH27" si="2">SUM(E13,E21,E23)</f>
        <v>181</v>
      </c>
      <c r="F27" s="91">
        <f>SUM(F13,F21,F23)</f>
        <v>168</v>
      </c>
      <c r="G27" s="91">
        <f t="shared" si="2"/>
        <v>129</v>
      </c>
      <c r="H27" s="91">
        <f t="shared" si="2"/>
        <v>156</v>
      </c>
      <c r="I27" s="91">
        <f t="shared" si="2"/>
        <v>170</v>
      </c>
      <c r="J27" s="91">
        <f t="shared" si="2"/>
        <v>140</v>
      </c>
      <c r="K27" s="91">
        <f t="shared" si="2"/>
        <v>169</v>
      </c>
      <c r="L27" s="91">
        <f t="shared" si="2"/>
        <v>158</v>
      </c>
      <c r="M27" s="91">
        <f t="shared" si="2"/>
        <v>153</v>
      </c>
      <c r="N27" s="91">
        <f t="shared" si="2"/>
        <v>121</v>
      </c>
      <c r="O27" s="91">
        <f t="shared" si="2"/>
        <v>159</v>
      </c>
      <c r="P27" s="91">
        <f t="shared" si="2"/>
        <v>145</v>
      </c>
      <c r="Q27" s="91">
        <f t="shared" si="2"/>
        <v>146</v>
      </c>
      <c r="R27" s="91">
        <f t="shared" si="2"/>
        <v>143</v>
      </c>
      <c r="S27" s="91">
        <f t="shared" si="2"/>
        <v>121</v>
      </c>
      <c r="T27" s="91">
        <f t="shared" si="2"/>
        <v>150</v>
      </c>
      <c r="U27" s="91">
        <f t="shared" si="2"/>
        <v>125</v>
      </c>
      <c r="V27" s="91">
        <f t="shared" si="2"/>
        <v>109</v>
      </c>
      <c r="W27" s="91">
        <f t="shared" si="2"/>
        <v>155</v>
      </c>
      <c r="X27" s="91">
        <f t="shared" si="2"/>
        <v>205</v>
      </c>
      <c r="Y27" s="91">
        <f t="shared" si="2"/>
        <v>147</v>
      </c>
      <c r="Z27" s="91">
        <f t="shared" si="2"/>
        <v>186</v>
      </c>
      <c r="AA27" s="91">
        <f t="shared" si="2"/>
        <v>165</v>
      </c>
      <c r="AB27" s="91">
        <f t="shared" si="2"/>
        <v>185</v>
      </c>
      <c r="AC27" s="91">
        <f t="shared" si="2"/>
        <v>190</v>
      </c>
      <c r="AD27" s="91">
        <f t="shared" si="2"/>
        <v>170</v>
      </c>
      <c r="AE27" s="91">
        <f t="shared" si="2"/>
        <v>140</v>
      </c>
      <c r="AF27" s="91">
        <f t="shared" si="2"/>
        <v>126</v>
      </c>
      <c r="AG27" s="91">
        <f t="shared" si="2"/>
        <v>132</v>
      </c>
      <c r="AH27" s="91">
        <f t="shared" si="2"/>
        <v>0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137</v>
      </c>
      <c r="E29" s="249">
        <f t="shared" ref="E29:AH29" si="4">E9</f>
        <v>98</v>
      </c>
      <c r="F29" s="249">
        <f t="shared" si="4"/>
        <v>114</v>
      </c>
      <c r="G29" s="249">
        <f t="shared" si="4"/>
        <v>101</v>
      </c>
      <c r="H29" s="249">
        <f t="shared" si="4"/>
        <v>109</v>
      </c>
      <c r="I29" s="249">
        <f t="shared" si="4"/>
        <v>115</v>
      </c>
      <c r="J29" s="249">
        <f t="shared" si="4"/>
        <v>101</v>
      </c>
      <c r="K29" s="249">
        <f t="shared" si="4"/>
        <v>116</v>
      </c>
      <c r="L29" s="249">
        <f t="shared" si="4"/>
        <v>102</v>
      </c>
      <c r="M29" s="249">
        <f t="shared" si="4"/>
        <v>123</v>
      </c>
      <c r="N29" s="249">
        <f t="shared" si="4"/>
        <v>127</v>
      </c>
      <c r="O29" s="249">
        <f t="shared" si="4"/>
        <v>117</v>
      </c>
      <c r="P29" s="249">
        <f t="shared" si="4"/>
        <v>134</v>
      </c>
      <c r="Q29" s="249">
        <f t="shared" si="4"/>
        <v>110</v>
      </c>
      <c r="R29" s="249">
        <f t="shared" si="4"/>
        <v>113</v>
      </c>
      <c r="S29" s="249">
        <f t="shared" si="4"/>
        <v>112</v>
      </c>
      <c r="T29" s="249">
        <f t="shared" si="4"/>
        <v>99</v>
      </c>
      <c r="U29" s="249">
        <f t="shared" si="4"/>
        <v>116</v>
      </c>
      <c r="V29" s="249">
        <f t="shared" si="4"/>
        <v>127</v>
      </c>
      <c r="W29" s="249">
        <f t="shared" si="4"/>
        <v>97</v>
      </c>
      <c r="X29" s="249">
        <f t="shared" si="4"/>
        <v>124</v>
      </c>
      <c r="Y29" s="249">
        <f t="shared" si="4"/>
        <v>116</v>
      </c>
      <c r="Z29" s="249">
        <f t="shared" si="4"/>
        <v>150</v>
      </c>
      <c r="AA29" s="249">
        <f t="shared" si="4"/>
        <v>94</v>
      </c>
      <c r="AB29" s="249">
        <f t="shared" si="4"/>
        <v>116</v>
      </c>
      <c r="AC29" s="249">
        <f t="shared" si="4"/>
        <v>132</v>
      </c>
      <c r="AD29" s="249">
        <f t="shared" si="4"/>
        <v>116</v>
      </c>
      <c r="AE29" s="249">
        <f t="shared" si="4"/>
        <v>116</v>
      </c>
      <c r="AF29" s="249">
        <f t="shared" si="4"/>
        <v>112</v>
      </c>
      <c r="AG29" s="249">
        <f t="shared" si="4"/>
        <v>117</v>
      </c>
      <c r="AH29" s="249">
        <f t="shared" si="4"/>
        <v>0</v>
      </c>
      <c r="AI29" s="248"/>
    </row>
    <row r="30" spans="2:35">
      <c r="B30" s="247" t="s">
        <v>84</v>
      </c>
      <c r="C30" s="248"/>
      <c r="D30" s="249">
        <f>SUM(D10:D11,D14:D15)</f>
        <v>112</v>
      </c>
      <c r="E30" s="249">
        <f t="shared" ref="E30:AH30" si="5">SUM(E10:E11,E14:E15)</f>
        <v>134</v>
      </c>
      <c r="F30" s="249">
        <f t="shared" si="5"/>
        <v>123</v>
      </c>
      <c r="G30" s="249">
        <f t="shared" si="5"/>
        <v>94</v>
      </c>
      <c r="H30" s="249">
        <f t="shared" si="5"/>
        <v>112</v>
      </c>
      <c r="I30" s="249">
        <f t="shared" si="5"/>
        <v>106</v>
      </c>
      <c r="J30" s="249">
        <f t="shared" si="5"/>
        <v>106</v>
      </c>
      <c r="K30" s="249">
        <f t="shared" si="5"/>
        <v>125</v>
      </c>
      <c r="L30" s="249">
        <f t="shared" si="5"/>
        <v>119</v>
      </c>
      <c r="M30" s="249">
        <f t="shared" si="5"/>
        <v>132</v>
      </c>
      <c r="N30" s="249">
        <f t="shared" si="5"/>
        <v>110</v>
      </c>
      <c r="O30" s="249">
        <f t="shared" si="5"/>
        <v>108</v>
      </c>
      <c r="P30" s="249">
        <f t="shared" si="5"/>
        <v>103</v>
      </c>
      <c r="Q30" s="249">
        <f t="shared" si="5"/>
        <v>113</v>
      </c>
      <c r="R30" s="249">
        <f t="shared" si="5"/>
        <v>120</v>
      </c>
      <c r="S30" s="249">
        <f t="shared" si="5"/>
        <v>121</v>
      </c>
      <c r="T30" s="249">
        <f t="shared" si="5"/>
        <v>130</v>
      </c>
      <c r="U30" s="249">
        <f t="shared" si="5"/>
        <v>94</v>
      </c>
      <c r="V30" s="249">
        <f t="shared" si="5"/>
        <v>95</v>
      </c>
      <c r="W30" s="249">
        <f t="shared" si="5"/>
        <v>131</v>
      </c>
      <c r="X30" s="249">
        <f t="shared" si="5"/>
        <v>118</v>
      </c>
      <c r="Y30" s="249">
        <f t="shared" si="5"/>
        <v>113</v>
      </c>
      <c r="Z30" s="249">
        <f t="shared" si="5"/>
        <v>122</v>
      </c>
      <c r="AA30" s="249">
        <f t="shared" si="5"/>
        <v>130</v>
      </c>
      <c r="AB30" s="249">
        <f t="shared" si="5"/>
        <v>128</v>
      </c>
      <c r="AC30" s="249">
        <f t="shared" si="5"/>
        <v>129</v>
      </c>
      <c r="AD30" s="249">
        <f t="shared" si="5"/>
        <v>115</v>
      </c>
      <c r="AE30" s="249">
        <f t="shared" si="5"/>
        <v>108</v>
      </c>
      <c r="AF30" s="249">
        <f t="shared" si="5"/>
        <v>116</v>
      </c>
      <c r="AG30" s="249">
        <f t="shared" si="5"/>
        <v>121</v>
      </c>
      <c r="AH30" s="249">
        <f t="shared" si="5"/>
        <v>0</v>
      </c>
      <c r="AI30" s="248"/>
    </row>
    <row r="31" spans="2:35">
      <c r="B31" s="247" t="s">
        <v>85</v>
      </c>
      <c r="C31" s="248"/>
      <c r="D31" s="248">
        <f>D30/SUM(D29:D30)%</f>
        <v>44.979919678714857</v>
      </c>
      <c r="E31" s="248">
        <f t="shared" ref="E31:AH31" si="6">E30/SUM(E29:E30)%</f>
        <v>57.758620689655174</v>
      </c>
      <c r="F31" s="248">
        <f t="shared" si="6"/>
        <v>51.898734177215189</v>
      </c>
      <c r="G31" s="248">
        <f t="shared" si="6"/>
        <v>48.205128205128204</v>
      </c>
      <c r="H31" s="248">
        <f t="shared" si="6"/>
        <v>50.678733031674206</v>
      </c>
      <c r="I31" s="248">
        <f t="shared" si="6"/>
        <v>47.963800904977376</v>
      </c>
      <c r="J31" s="248">
        <f t="shared" si="6"/>
        <v>51.207729468599041</v>
      </c>
      <c r="K31" s="248">
        <f t="shared" si="6"/>
        <v>51.867219917012449</v>
      </c>
      <c r="L31" s="248">
        <f t="shared" si="6"/>
        <v>53.846153846153847</v>
      </c>
      <c r="M31" s="248">
        <f t="shared" si="6"/>
        <v>51.764705882352942</v>
      </c>
      <c r="N31" s="248">
        <f t="shared" si="6"/>
        <v>46.413502109704638</v>
      </c>
      <c r="O31" s="248">
        <f t="shared" si="6"/>
        <v>48</v>
      </c>
      <c r="P31" s="248">
        <f t="shared" si="6"/>
        <v>43.459915611814345</v>
      </c>
      <c r="Q31" s="248">
        <f t="shared" si="6"/>
        <v>50.672645739910315</v>
      </c>
      <c r="R31" s="248">
        <f t="shared" si="6"/>
        <v>51.502145922746777</v>
      </c>
      <c r="S31" s="248">
        <f t="shared" si="6"/>
        <v>51.931330472102999</v>
      </c>
      <c r="T31" s="248">
        <f t="shared" si="6"/>
        <v>56.768558951965062</v>
      </c>
      <c r="U31" s="248">
        <f t="shared" si="6"/>
        <v>44.761904761904759</v>
      </c>
      <c r="V31" s="248">
        <f t="shared" si="6"/>
        <v>42.792792792792788</v>
      </c>
      <c r="W31" s="248">
        <f t="shared" si="6"/>
        <v>57.456140350877199</v>
      </c>
      <c r="X31" s="248">
        <f t="shared" si="6"/>
        <v>48.760330578512395</v>
      </c>
      <c r="Y31" s="248">
        <f t="shared" si="6"/>
        <v>49.344978165938862</v>
      </c>
      <c r="Z31" s="248">
        <f t="shared" si="6"/>
        <v>44.852941176470587</v>
      </c>
      <c r="AA31" s="248">
        <f t="shared" si="6"/>
        <v>58.035714285714278</v>
      </c>
      <c r="AB31" s="248">
        <f t="shared" si="6"/>
        <v>52.459016393442624</v>
      </c>
      <c r="AC31" s="248">
        <f t="shared" si="6"/>
        <v>49.425287356321839</v>
      </c>
      <c r="AD31" s="248">
        <f t="shared" si="6"/>
        <v>49.78354978354978</v>
      </c>
      <c r="AE31" s="248">
        <f t="shared" si="6"/>
        <v>48.214285714285708</v>
      </c>
      <c r="AF31" s="248">
        <f t="shared" si="6"/>
        <v>50.877192982456144</v>
      </c>
      <c r="AG31" s="248">
        <f t="shared" si="6"/>
        <v>50.840336134453786</v>
      </c>
      <c r="AH31" s="248" t="e">
        <f t="shared" si="6"/>
        <v>#DIV/0!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4" zoomScale="70" zoomScaleNormal="70" workbookViewId="0">
      <pane xSplit="1" topLeftCell="F1" activePane="topRight" state="frozen"/>
      <selection activeCell="A4" sqref="A4"/>
      <selection pane="topRight" activeCell="C5" sqref="C5:C29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80" t="s">
        <v>308</v>
      </c>
      <c r="G2" s="781"/>
      <c r="H2" s="781"/>
      <c r="I2" s="781"/>
      <c r="J2" s="781"/>
      <c r="K2" s="781"/>
      <c r="L2" s="781"/>
      <c r="M2" s="782"/>
      <c r="N2" s="779" t="s">
        <v>86</v>
      </c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779"/>
      <c r="AJ2" s="779"/>
      <c r="AK2" s="779"/>
      <c r="AL2" s="779"/>
      <c r="AM2" s="779"/>
      <c r="AN2" s="778"/>
      <c r="AO2" s="778"/>
      <c r="AP2" s="778"/>
      <c r="AQ2" s="778"/>
      <c r="AR2" s="778"/>
      <c r="AS2" s="778"/>
      <c r="AT2" s="778"/>
      <c r="AU2" s="504"/>
      <c r="AV2" s="777" t="s">
        <v>87</v>
      </c>
      <c r="AW2" s="777"/>
      <c r="AX2" s="777"/>
      <c r="AY2" s="777"/>
      <c r="BB2" s="318" t="s">
        <v>334</v>
      </c>
      <c r="BC2" s="318" t="s">
        <v>335</v>
      </c>
    </row>
    <row r="3" spans="1:55">
      <c r="F3" s="506"/>
      <c r="G3" s="507"/>
      <c r="H3" s="507"/>
      <c r="I3" s="507"/>
      <c r="J3" s="507"/>
      <c r="K3" s="507"/>
      <c r="L3" s="507"/>
      <c r="M3" s="508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5"/>
      <c r="AN3" s="783" t="s">
        <v>138</v>
      </c>
      <c r="AO3" s="783"/>
      <c r="AP3" s="783"/>
      <c r="AQ3" s="783"/>
      <c r="AR3" s="783"/>
      <c r="AS3" s="783"/>
      <c r="AT3" s="783"/>
      <c r="AU3" s="784" t="s">
        <v>283</v>
      </c>
      <c r="AV3" s="784"/>
      <c r="AW3" s="784"/>
      <c r="AX3" s="784"/>
      <c r="AY3" s="784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9" t="s">
        <v>284</v>
      </c>
      <c r="G4" s="510" t="s">
        <v>285</v>
      </c>
      <c r="H4" s="510" t="s">
        <v>286</v>
      </c>
      <c r="I4" s="510" t="s">
        <v>287</v>
      </c>
      <c r="J4" s="510" t="s">
        <v>282</v>
      </c>
      <c r="K4" s="510" t="s">
        <v>51</v>
      </c>
      <c r="L4" s="511" t="s">
        <v>60</v>
      </c>
      <c r="M4" s="51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2">
        <f>'1'!G7</f>
        <v>27033</v>
      </c>
      <c r="C5" s="512">
        <f>'1'!G8</f>
        <v>27412.78</v>
      </c>
      <c r="D5" s="512">
        <f>'1'!G15</f>
        <v>1086</v>
      </c>
      <c r="E5" s="512">
        <f>'1'!G20</f>
        <v>331</v>
      </c>
      <c r="F5" s="512">
        <f>SUM('1'!G35,'1'!G49)</f>
        <v>3921.5900000000111</v>
      </c>
      <c r="G5" s="512">
        <f>SUM('1'!H37,'1'!H51)</f>
        <v>1644.9800000000105</v>
      </c>
      <c r="H5" s="512">
        <f>SUM('1'!G38,'1'!G52)</f>
        <v>2659.3900000000049</v>
      </c>
      <c r="I5" s="512">
        <f>SUM('1'!G39,'1'!G53)</f>
        <v>3316.570000000007</v>
      </c>
      <c r="J5" s="512">
        <f>SUM('1'!G41,'1'!G42,'1'!G55,'1'!G56)</f>
        <v>5997.7700000000077</v>
      </c>
      <c r="K5" s="512">
        <f>SUM('1'!G43,'1'!G57)</f>
        <v>3093.5299999999988</v>
      </c>
      <c r="L5" s="254">
        <f>'1'!G50</f>
        <v>1450.859999999986</v>
      </c>
      <c r="M5" s="254">
        <f>'1'!G36</f>
        <v>1190.3399999999965</v>
      </c>
      <c r="N5" s="254">
        <f>'1'!G138</f>
        <v>191</v>
      </c>
      <c r="O5" s="254">
        <f>'1'!G139</f>
        <v>155</v>
      </c>
      <c r="P5" s="254">
        <f>'1'!G140</f>
        <v>1</v>
      </c>
      <c r="Q5" s="254">
        <f>'1'!G141</f>
        <v>208.47000000000116</v>
      </c>
      <c r="R5" s="254">
        <f>'1'!G142</f>
        <v>77.599999999998545</v>
      </c>
      <c r="S5" s="254">
        <f>'1'!$G$145</f>
        <v>1.6000000000003638</v>
      </c>
      <c r="T5" s="254">
        <f>'1'!$G$146</f>
        <v>504</v>
      </c>
      <c r="U5" s="254">
        <f>'1'!$G$144</f>
        <v>251</v>
      </c>
      <c r="V5" s="254">
        <f>'1'!$G$147</f>
        <v>460</v>
      </c>
      <c r="W5" s="254">
        <f>'1'!$G$148</f>
        <v>422.31999999994878</v>
      </c>
      <c r="X5" s="254">
        <f>'1'!$G$143</f>
        <v>30.289999999999964</v>
      </c>
      <c r="Y5" s="254">
        <f>'1'!$G$58</f>
        <v>235.79999999999927</v>
      </c>
      <c r="Z5" s="254">
        <f>'1'!$G$151</f>
        <v>294</v>
      </c>
      <c r="AA5" s="254">
        <f>'1'!G161</f>
        <v>0.27000000001862645</v>
      </c>
      <c r="AB5" s="254">
        <f>'1'!G162</f>
        <v>49.100000000005821</v>
      </c>
      <c r="AC5" s="254"/>
      <c r="AD5" s="254">
        <f>'1'!G163+'1'!G164</f>
        <v>195.79999999999745</v>
      </c>
      <c r="AE5" s="254">
        <f>'1'!$G$116</f>
        <v>434.38000000000102</v>
      </c>
      <c r="AF5" s="254">
        <f>'1'!$G$117</f>
        <v>190.82699999999932</v>
      </c>
      <c r="AG5" s="254">
        <f>'1'!$G$118</f>
        <v>549.03000000002794</v>
      </c>
      <c r="AH5" s="254">
        <f>'1'!$G$119</f>
        <v>443.60999999998603</v>
      </c>
      <c r="AI5" s="254">
        <f>'1'!$G$120</f>
        <v>423.24000000000524</v>
      </c>
      <c r="AJ5" s="254">
        <f>'1'!$G$121</f>
        <v>786.72999999998137</v>
      </c>
      <c r="AK5" s="254">
        <f>'1'!$G$122</f>
        <v>238.85999999998603</v>
      </c>
      <c r="AL5" s="254">
        <f>'1'!$G$123</f>
        <v>252</v>
      </c>
      <c r="AM5" s="254">
        <f>'1'!$G$133</f>
        <v>756.01000000000931</v>
      </c>
      <c r="AN5" s="254">
        <f>'1'!$G$15</f>
        <v>1086</v>
      </c>
      <c r="AO5" s="254">
        <f>'1'!$G$74</f>
        <v>301.48999999999069</v>
      </c>
      <c r="AP5" s="254">
        <f>'1'!$G$75</f>
        <v>0</v>
      </c>
      <c r="AQ5" s="254">
        <f>'1'!$G$76</f>
        <v>119</v>
      </c>
      <c r="AR5" s="254">
        <f>'1'!$G$77</f>
        <v>57</v>
      </c>
      <c r="AS5" s="254">
        <f>'1'!$G$78</f>
        <v>0</v>
      </c>
      <c r="AT5" s="254">
        <f>AN5-SUM(AO5:AS5)</f>
        <v>608.51000000000931</v>
      </c>
      <c r="AU5" s="254">
        <f>SUM('1'!G91:G92)</f>
        <v>10.699999999999818</v>
      </c>
      <c r="AV5" s="254">
        <f>'1'!$G$88</f>
        <v>0</v>
      </c>
      <c r="AW5" s="254">
        <f>'1'!$G$89</f>
        <v>9.6899999999986903</v>
      </c>
      <c r="AX5" s="254">
        <f>'1'!$G$90</f>
        <v>9.8899999999994179</v>
      </c>
      <c r="AY5" s="252">
        <f>SUM(AV5:AX5)</f>
        <v>19.579999999998108</v>
      </c>
      <c r="AZ5" s="311">
        <f>AO5/AU5</f>
        <v>28.176635514018301</v>
      </c>
      <c r="BA5" s="311">
        <f>AT5/AY5</f>
        <v>31.078140960166909</v>
      </c>
      <c r="BB5" s="351">
        <f>C5-SUM(F5:K5,Y5)</f>
        <v>6543.1499999999614</v>
      </c>
      <c r="BC5" s="351">
        <f>BB5/B5%</f>
        <v>24.204305848407362</v>
      </c>
    </row>
    <row r="6" spans="1:55">
      <c r="A6" s="359">
        <v>2</v>
      </c>
      <c r="B6" s="512">
        <f>'2'!G7</f>
        <v>26948</v>
      </c>
      <c r="C6" s="512">
        <f>'2'!G8</f>
        <v>27332</v>
      </c>
      <c r="D6" s="512">
        <f>'2'!G15</f>
        <v>1084</v>
      </c>
      <c r="E6" s="512">
        <f>'2'!G20</f>
        <v>285</v>
      </c>
      <c r="F6" s="512">
        <f>SUM('2'!G35,'2'!G49)</f>
        <v>3757</v>
      </c>
      <c r="G6" s="512">
        <f>SUM('2'!G37,'2'!G51)</f>
        <v>1598</v>
      </c>
      <c r="H6" s="512">
        <f>SUM('2'!G38,'2'!G52)</f>
        <v>2699</v>
      </c>
      <c r="I6" s="512">
        <f>SUM('2'!G39,'2'!G53)</f>
        <v>3422</v>
      </c>
      <c r="J6" s="512">
        <f>SUM('2'!G41,'2'!G42,'2'!G55,'2'!G56)</f>
        <v>7149</v>
      </c>
      <c r="K6" s="512">
        <f>SUM('2'!G43,'2'!G57)</f>
        <v>3118</v>
      </c>
      <c r="L6" s="254">
        <f>'2'!G50</f>
        <v>1512</v>
      </c>
      <c r="M6" s="254">
        <f>'2'!G36</f>
        <v>814</v>
      </c>
      <c r="N6" s="254">
        <f>'2'!G138</f>
        <v>206</v>
      </c>
      <c r="O6" s="254">
        <f>'2'!$G$139</f>
        <v>188</v>
      </c>
      <c r="P6" s="254">
        <f>'2'!$G$140</f>
        <v>1</v>
      </c>
      <c r="Q6" s="254">
        <f>'2'!$G$141</f>
        <v>189</v>
      </c>
      <c r="R6" s="254">
        <f>'2'!$G$142</f>
        <v>79</v>
      </c>
      <c r="S6" s="254">
        <f>'2'!$G$145</f>
        <v>2</v>
      </c>
      <c r="T6" s="254">
        <f>'2'!$G$146</f>
        <v>548</v>
      </c>
      <c r="U6" s="254">
        <f>'2'!$G$144</f>
        <v>262</v>
      </c>
      <c r="V6" s="254">
        <f>'2'!$G$147</f>
        <v>459</v>
      </c>
      <c r="W6" s="251">
        <f>'2'!$G$148</f>
        <v>355</v>
      </c>
      <c r="X6" s="251">
        <f>'2'!$G$143</f>
        <v>27</v>
      </c>
      <c r="Y6" s="251">
        <f>'2'!$G$58</f>
        <v>235</v>
      </c>
      <c r="Z6" s="251">
        <f>'2'!$G$151</f>
        <v>302</v>
      </c>
      <c r="AA6" s="251">
        <f>'2'!G161</f>
        <v>0</v>
      </c>
      <c r="AB6" s="254">
        <f>'2'!G162</f>
        <v>23</v>
      </c>
      <c r="AC6" s="254"/>
      <c r="AD6" s="254">
        <f>'2'!G163+'2'!G164</f>
        <v>212</v>
      </c>
      <c r="AE6" s="254">
        <f>'2'!$G$116</f>
        <v>440</v>
      </c>
      <c r="AF6" s="254">
        <f>'2'!$G$117</f>
        <v>216</v>
      </c>
      <c r="AG6" s="254">
        <f>'2'!$G$118</f>
        <v>536</v>
      </c>
      <c r="AH6" s="254">
        <f>'2'!$G$119</f>
        <v>450</v>
      </c>
      <c r="AI6" s="254">
        <f>'2'!$G$120</f>
        <v>426</v>
      </c>
      <c r="AJ6" s="254">
        <f>'2'!$G$121</f>
        <v>818</v>
      </c>
      <c r="AK6" s="254">
        <f>'2'!$G$122</f>
        <v>226</v>
      </c>
      <c r="AL6" s="254">
        <f>'2'!$G$123</f>
        <v>261</v>
      </c>
      <c r="AM6" s="254">
        <f>'2'!$G$133</f>
        <v>776</v>
      </c>
      <c r="AN6" s="254">
        <f>'2'!$G$15</f>
        <v>1084</v>
      </c>
      <c r="AO6" s="254">
        <f>'2'!$G$74</f>
        <v>298</v>
      </c>
      <c r="AP6" s="254">
        <f>'2'!$G$75</f>
        <v>0</v>
      </c>
      <c r="AQ6" s="254">
        <f>'2'!$G$76</f>
        <v>137</v>
      </c>
      <c r="AR6" s="254">
        <f>'2'!$G$77</f>
        <v>47</v>
      </c>
      <c r="AS6" s="254">
        <f>'2'!$G$78</f>
        <v>0</v>
      </c>
      <c r="AT6" s="254">
        <f t="shared" ref="AT6:AT34" si="0">AN6-SUM(AO6:AS6)</f>
        <v>602</v>
      </c>
      <c r="AU6" s="254">
        <f>SUM('2'!G91:G92)</f>
        <v>10.25</v>
      </c>
      <c r="AV6" s="254">
        <f>'2'!$G$88</f>
        <v>-0.40000000000145519</v>
      </c>
      <c r="AW6" s="254">
        <f>'2'!$G$89</f>
        <v>9.9799999999995634</v>
      </c>
      <c r="AX6" s="254">
        <f>'2'!$G$90</f>
        <v>8</v>
      </c>
      <c r="AY6" s="252">
        <f t="shared" ref="AY6:AY34" si="1">SUM(AV6:AX6)</f>
        <v>17.579999999998108</v>
      </c>
      <c r="AZ6" s="311">
        <f t="shared" ref="AZ6:AZ8" si="2">AO6/AU6</f>
        <v>29.073170731707318</v>
      </c>
      <c r="BA6" s="311">
        <f t="shared" ref="BA6:BA35" si="3">AT6/AY6</f>
        <v>34.243458475544074</v>
      </c>
      <c r="BB6" s="351">
        <f t="shared" ref="BB6:BB35" si="4">C6-SUM(F6:K6,Y6)</f>
        <v>5354</v>
      </c>
      <c r="BC6" s="351">
        <f t="shared" ref="BC6:BC35" si="5">BB6/B6%</f>
        <v>19.867893721240907</v>
      </c>
    </row>
    <row r="7" spans="1:55" s="313" customFormat="1">
      <c r="A7" s="359">
        <v>3</v>
      </c>
      <c r="B7" s="512">
        <f>'3'!G7</f>
        <v>26602</v>
      </c>
      <c r="C7" s="512">
        <f>'3'!G8</f>
        <v>26968</v>
      </c>
      <c r="D7" s="512">
        <f>'3'!G15</f>
        <v>1110</v>
      </c>
      <c r="E7" s="512">
        <f>'3'!G20</f>
        <v>329</v>
      </c>
      <c r="F7" s="512">
        <f>SUM('3'!G35,'3'!G49)</f>
        <v>3807</v>
      </c>
      <c r="G7" s="512">
        <f>SUM('3'!G37,'3'!G51)</f>
        <v>1561</v>
      </c>
      <c r="H7" s="512">
        <f>SUM('3'!G38,'3'!G52)</f>
        <v>2594.9899999999998</v>
      </c>
      <c r="I7" s="512">
        <f>SUM('3'!G39,'3'!G53)</f>
        <v>3290</v>
      </c>
      <c r="J7" s="512">
        <f>SUM('3'!G41,'3'!G42,'3'!G55,'3'!G56)</f>
        <v>7071</v>
      </c>
      <c r="K7" s="512">
        <f>SUM('3'!G43,'3'!G57)</f>
        <v>3044</v>
      </c>
      <c r="L7" s="251">
        <f>'3'!G50</f>
        <v>1680</v>
      </c>
      <c r="M7" s="251">
        <f>'3'!G36</f>
        <v>842</v>
      </c>
      <c r="N7" s="251">
        <f>'3'!G138</f>
        <v>163</v>
      </c>
      <c r="O7" s="251">
        <f>'3'!$G$139</f>
        <v>116</v>
      </c>
      <c r="P7" s="251">
        <f>'3'!$G$140</f>
        <v>1</v>
      </c>
      <c r="Q7" s="251">
        <f>'3'!$G$141</f>
        <v>190</v>
      </c>
      <c r="R7" s="251">
        <f>'3'!$G$142</f>
        <v>78</v>
      </c>
      <c r="S7" s="251">
        <f>'3'!$G$145</f>
        <v>0</v>
      </c>
      <c r="T7" s="251">
        <f>'3'!$G$146</f>
        <v>549</v>
      </c>
      <c r="U7" s="251">
        <f>'3'!$G$144</f>
        <v>268</v>
      </c>
      <c r="V7" s="251">
        <f>'3'!$G$147</f>
        <v>494</v>
      </c>
      <c r="W7" s="251">
        <f>'3'!$G$148</f>
        <v>388</v>
      </c>
      <c r="X7" s="251">
        <f>'3'!$G$143</f>
        <v>26</v>
      </c>
      <c r="Y7" s="251">
        <f>'3'!$G$58</f>
        <v>237</v>
      </c>
      <c r="Z7" s="251">
        <f>'3'!$G$151</f>
        <v>282</v>
      </c>
      <c r="AA7" s="254">
        <f>'3'!G161</f>
        <v>0</v>
      </c>
      <c r="AB7" s="254">
        <f>'3'!G162</f>
        <v>7</v>
      </c>
      <c r="AC7" s="254"/>
      <c r="AD7" s="254">
        <f>'3'!G163+'3'!G164</f>
        <v>205</v>
      </c>
      <c r="AE7" s="251">
        <f>'3'!$G$116</f>
        <v>435</v>
      </c>
      <c r="AF7" s="251">
        <f>'3'!$G$117</f>
        <v>205</v>
      </c>
      <c r="AG7" s="251">
        <f>'3'!$G$118</f>
        <v>536</v>
      </c>
      <c r="AH7" s="251">
        <f>'3'!$G$119</f>
        <v>439</v>
      </c>
      <c r="AI7" s="251">
        <f>'3'!$G$120</f>
        <v>414</v>
      </c>
      <c r="AJ7" s="251">
        <f>'3'!$G$121</f>
        <v>793</v>
      </c>
      <c r="AK7" s="251">
        <f>'3'!$G$122</f>
        <v>211</v>
      </c>
      <c r="AL7" s="251">
        <f>'3'!$G$123</f>
        <v>259</v>
      </c>
      <c r="AM7" s="251">
        <f>'3'!$G$133</f>
        <v>858</v>
      </c>
      <c r="AN7" s="251">
        <f>'3'!$G$15</f>
        <v>1110</v>
      </c>
      <c r="AO7" s="251">
        <f>'3'!$G$74</f>
        <v>335</v>
      </c>
      <c r="AP7" s="251">
        <f>'3'!$G$75</f>
        <v>0</v>
      </c>
      <c r="AQ7" s="251">
        <f>'3'!$G$76</f>
        <v>96</v>
      </c>
      <c r="AR7" s="251">
        <f>'3'!$G$77</f>
        <v>44</v>
      </c>
      <c r="AS7" s="251">
        <f>'3'!$G$78</f>
        <v>0</v>
      </c>
      <c r="AT7" s="251">
        <f t="shared" si="0"/>
        <v>635</v>
      </c>
      <c r="AU7" s="254">
        <f>SUM('3'!G91:G92)</f>
        <v>12</v>
      </c>
      <c r="AV7" s="251">
        <f>'3'!$G$88</f>
        <v>0</v>
      </c>
      <c r="AW7" s="251">
        <f>'3'!$G$89</f>
        <v>11.540000000000873</v>
      </c>
      <c r="AX7" s="251">
        <f>'3'!$G$90</f>
        <v>9</v>
      </c>
      <c r="AY7" s="255">
        <f t="shared" si="1"/>
        <v>20.540000000000873</v>
      </c>
      <c r="AZ7" s="311">
        <f t="shared" si="2"/>
        <v>27.916666666666668</v>
      </c>
      <c r="BA7" s="311">
        <f t="shared" si="3"/>
        <v>30.915287244399853</v>
      </c>
      <c r="BB7" s="351">
        <f t="shared" si="4"/>
        <v>5363.010000000002</v>
      </c>
      <c r="BC7" s="351">
        <f t="shared" si="5"/>
        <v>20.160175926622067</v>
      </c>
    </row>
    <row r="8" spans="1:55">
      <c r="A8" s="359">
        <v>4</v>
      </c>
      <c r="B8" s="512">
        <f>'4'!G7</f>
        <v>26553</v>
      </c>
      <c r="C8" s="512">
        <f>'4'!G8</f>
        <v>26930</v>
      </c>
      <c r="D8" s="512">
        <f>'4'!G15</f>
        <v>1059</v>
      </c>
      <c r="E8" s="512">
        <f>'4'!G20</f>
        <v>326</v>
      </c>
      <c r="F8" s="512">
        <f>SUM('4'!G35,'4'!G49)</f>
        <v>3710</v>
      </c>
      <c r="G8" s="512">
        <f>SUM('4'!G37,'4'!G51)</f>
        <v>1597</v>
      </c>
      <c r="H8" s="512">
        <f>SUM('4'!G38,'4'!G52)</f>
        <v>2489</v>
      </c>
      <c r="I8" s="512">
        <f>SUM('4'!G39,'4'!G53)</f>
        <v>3251</v>
      </c>
      <c r="J8" s="512">
        <f>SUM('4'!G41,'4'!G42,'4'!G55,'4'!G56)</f>
        <v>7153</v>
      </c>
      <c r="K8" s="512">
        <f>SUM('4'!G43,'4'!G57)</f>
        <v>2917</v>
      </c>
      <c r="L8" s="254">
        <f>'4'!G50</f>
        <v>1671</v>
      </c>
      <c r="M8" s="254">
        <f>'4'!G36</f>
        <v>730</v>
      </c>
      <c r="N8" s="254">
        <f>'4'!G138</f>
        <v>167</v>
      </c>
      <c r="O8" s="254">
        <f>'4'!$G$139</f>
        <v>138</v>
      </c>
      <c r="P8" s="254">
        <f>'4'!$G$140</f>
        <v>1</v>
      </c>
      <c r="Q8" s="254">
        <f>'4'!$G$141</f>
        <v>187</v>
      </c>
      <c r="R8" s="254">
        <f>'4'!$G$142</f>
        <v>83</v>
      </c>
      <c r="S8" s="254">
        <f>'4'!$G$145</f>
        <v>1</v>
      </c>
      <c r="T8" s="254">
        <f>'4'!$G$146</f>
        <v>457</v>
      </c>
      <c r="U8" s="254">
        <f>'4'!$G$144</f>
        <v>246</v>
      </c>
      <c r="V8" s="251">
        <f>'4'!$G$147</f>
        <v>479</v>
      </c>
      <c r="W8" s="251">
        <f>'4'!$G$148</f>
        <v>301</v>
      </c>
      <c r="X8" s="254">
        <f>'4'!$G$143</f>
        <v>27</v>
      </c>
      <c r="Y8" s="254">
        <f>'4'!$G$58</f>
        <v>225</v>
      </c>
      <c r="Z8" s="254">
        <f>'4'!$G$151</f>
        <v>272</v>
      </c>
      <c r="AA8" s="254">
        <f>'4'!G161</f>
        <v>0</v>
      </c>
      <c r="AB8" s="254">
        <f>'4'!G162</f>
        <v>39</v>
      </c>
      <c r="AC8" s="254"/>
      <c r="AD8" s="254">
        <f>'4'!G163+'4'!G164</f>
        <v>200</v>
      </c>
      <c r="AE8" s="254">
        <f>'4'!$G$116</f>
        <v>457</v>
      </c>
      <c r="AF8" s="254">
        <f>'4'!$G$117</f>
        <v>182</v>
      </c>
      <c r="AG8" s="254">
        <f>'4'!$G$118</f>
        <v>545</v>
      </c>
      <c r="AH8" s="254">
        <f>'4'!$G$119</f>
        <v>436</v>
      </c>
      <c r="AI8" s="254">
        <f>'4'!$G$120</f>
        <v>415</v>
      </c>
      <c r="AJ8" s="254">
        <f>'4'!$G$121</f>
        <v>745</v>
      </c>
      <c r="AK8" s="254">
        <f>'4'!$G$122</f>
        <v>239</v>
      </c>
      <c r="AL8" s="254">
        <f>'4'!$G$123</f>
        <v>256</v>
      </c>
      <c r="AM8" s="254">
        <f>'4'!$G$133</f>
        <v>783</v>
      </c>
      <c r="AN8" s="254">
        <f>'4'!$G$15</f>
        <v>1059</v>
      </c>
      <c r="AO8" s="254">
        <f>'4'!$G$74</f>
        <v>318</v>
      </c>
      <c r="AP8" s="254">
        <f>'4'!$G$75</f>
        <v>0</v>
      </c>
      <c r="AQ8" s="254">
        <f>'4'!$G$76</f>
        <v>95</v>
      </c>
      <c r="AR8" s="254">
        <f>'4'!$G$77</f>
        <v>43</v>
      </c>
      <c r="AS8" s="254">
        <f>'4'!$G$78</f>
        <v>0</v>
      </c>
      <c r="AT8" s="254">
        <f t="shared" si="0"/>
        <v>603</v>
      </c>
      <c r="AU8" s="254">
        <f>SUM('4'!G91:G92)</f>
        <v>11</v>
      </c>
      <c r="AV8" s="254">
        <f>'4'!$G$88</f>
        <v>0</v>
      </c>
      <c r="AW8" s="254">
        <f>'4'!$G$89</f>
        <v>10</v>
      </c>
      <c r="AX8" s="254">
        <f>'4'!$G$90</f>
        <v>8</v>
      </c>
      <c r="AY8" s="252">
        <f t="shared" si="1"/>
        <v>18</v>
      </c>
      <c r="AZ8" s="311">
        <f t="shared" si="2"/>
        <v>28.90909090909091</v>
      </c>
      <c r="BA8" s="311">
        <f t="shared" si="3"/>
        <v>33.5</v>
      </c>
      <c r="BB8" s="351">
        <f t="shared" si="4"/>
        <v>5588</v>
      </c>
      <c r="BC8" s="351">
        <f t="shared" si="5"/>
        <v>21.044703046736718</v>
      </c>
    </row>
    <row r="9" spans="1:55">
      <c r="A9" s="359">
        <v>5</v>
      </c>
      <c r="B9" s="512">
        <f>'5'!G7</f>
        <v>26902.710000000006</v>
      </c>
      <c r="C9" s="512">
        <f>'5'!G8</f>
        <v>27471.010000000009</v>
      </c>
      <c r="D9" s="512">
        <f>'5'!G15</f>
        <v>1117.8899999998976</v>
      </c>
      <c r="E9" s="512">
        <f>'5'!G20</f>
        <v>286</v>
      </c>
      <c r="F9" s="512">
        <f>SUM('5'!G35,'5'!G49)</f>
        <v>4031.1399999999994</v>
      </c>
      <c r="G9" s="512">
        <f>SUM('5'!G37,'5'!G51)</f>
        <v>1642.890000000014</v>
      </c>
      <c r="H9" s="512">
        <f>SUM('5'!G38,'5'!G52)</f>
        <v>2495.9399999999932</v>
      </c>
      <c r="I9" s="512">
        <f>SUM('5'!G39,'5'!G53)</f>
        <v>3265.2699999999895</v>
      </c>
      <c r="J9" s="512">
        <f>SUM('5'!G41,'5'!G42,'5'!G55,'5'!G56)</f>
        <v>6722.8000000000029</v>
      </c>
      <c r="K9" s="512">
        <f>SUM('5'!G43,'5'!G57)</f>
        <v>2879.4899999999907</v>
      </c>
      <c r="L9" s="254">
        <f>'5'!G50</f>
        <v>1112.5599999999977</v>
      </c>
      <c r="M9" s="254">
        <f>'5'!G36</f>
        <v>777.13000000000466</v>
      </c>
      <c r="N9" s="254">
        <f>'5'!G138</f>
        <v>179</v>
      </c>
      <c r="O9" s="254">
        <f>'5'!$G$139</f>
        <v>130</v>
      </c>
      <c r="P9" s="254">
        <f>'5'!$G$140</f>
        <v>1</v>
      </c>
      <c r="Q9" s="258">
        <f>'5'!$G$141</f>
        <v>201.99000000000524</v>
      </c>
      <c r="R9" s="254">
        <f>'5'!$G$142</f>
        <v>84.599999999998545</v>
      </c>
      <c r="S9" s="251">
        <f>'5'!$G$145</f>
        <v>1.3699999999998909</v>
      </c>
      <c r="T9" s="254">
        <f>'5'!$G$146</f>
        <v>525</v>
      </c>
      <c r="U9" s="254">
        <f>'5'!$G$144</f>
        <v>222</v>
      </c>
      <c r="V9" s="256">
        <f>'5'!$G$147</f>
        <v>424.23999999999069</v>
      </c>
      <c r="W9" s="254">
        <f>'5'!$G$148</f>
        <v>328.43999999994412</v>
      </c>
      <c r="X9" s="254">
        <f>'5'!$G$143</f>
        <v>25.460000000000036</v>
      </c>
      <c r="Y9" s="254">
        <f>'5'!$G$58</f>
        <v>244.68000000000029</v>
      </c>
      <c r="Z9" s="254">
        <f>'5'!$G$151</f>
        <v>253</v>
      </c>
      <c r="AA9" s="254">
        <f>'5'!G161</f>
        <v>0.44000000000232831</v>
      </c>
      <c r="AB9" s="254">
        <f>'5'!G162</f>
        <v>40.130000000004657</v>
      </c>
      <c r="AC9" s="254"/>
      <c r="AD9" s="254">
        <f>'5'!G163+'5'!G164</f>
        <v>175.00000000000546</v>
      </c>
      <c r="AE9" s="254">
        <f>'5'!$G$116</f>
        <v>410.63000000000102</v>
      </c>
      <c r="AF9" s="254">
        <f>'5'!$G$117</f>
        <v>204.28000000000065</v>
      </c>
      <c r="AG9" s="254">
        <f>'5'!$G$118</f>
        <v>510.04999999998836</v>
      </c>
      <c r="AH9" s="254">
        <f>'5'!$G$119</f>
        <v>447.98999999999069</v>
      </c>
      <c r="AI9" s="254">
        <f>'5'!$G$120</f>
        <v>421.44999999999709</v>
      </c>
      <c r="AJ9" s="254">
        <f>'5'!$G$121</f>
        <v>812.51000000000931</v>
      </c>
      <c r="AK9" s="254">
        <f>'5'!$G$122</f>
        <v>231.85000000000582</v>
      </c>
      <c r="AL9" s="254">
        <f>'5'!$G$123</f>
        <v>270.42999999999302</v>
      </c>
      <c r="AM9" s="254">
        <f>'5'!$G$133</f>
        <v>944.83999999999651</v>
      </c>
      <c r="AN9" s="254">
        <f>'5'!$G$15</f>
        <v>1117.8899999998976</v>
      </c>
      <c r="AO9" s="256">
        <f>'5'!$G$74</f>
        <v>316.85999999998603</v>
      </c>
      <c r="AP9" s="256">
        <f>'5'!$G$75</f>
        <v>0</v>
      </c>
      <c r="AQ9" s="256">
        <f>'5'!$G$76</f>
        <v>102.20000000001164</v>
      </c>
      <c r="AR9" s="256">
        <f>'5'!$G$77</f>
        <v>54.30000000000291</v>
      </c>
      <c r="AS9" s="256">
        <f>'5'!$G$78</f>
        <v>0.3999999999996362</v>
      </c>
      <c r="AT9" s="256">
        <f t="shared" si="0"/>
        <v>644.12999999989734</v>
      </c>
      <c r="AU9" s="254">
        <f>SUM('5'!G91:G92)</f>
        <v>10.890000000000327</v>
      </c>
      <c r="AV9" s="254">
        <f>'5'!$G$88</f>
        <v>2.8899999999994179</v>
      </c>
      <c r="AW9" s="254">
        <f>'5'!$G$89</f>
        <v>10.319999999999709</v>
      </c>
      <c r="AX9" s="254">
        <f>'5'!$G$90</f>
        <v>6.8899999999994179</v>
      </c>
      <c r="AY9" s="252">
        <f t="shared" si="1"/>
        <v>20.099999999998545</v>
      </c>
      <c r="AZ9" s="311">
        <f>AO9/AU9</f>
        <v>29.096418732780212</v>
      </c>
      <c r="BA9" s="311">
        <f t="shared" si="3"/>
        <v>32.046268656713629</v>
      </c>
      <c r="BB9" s="351">
        <f t="shared" si="4"/>
        <v>6188.8000000000175</v>
      </c>
      <c r="BC9" s="351">
        <f t="shared" si="5"/>
        <v>23.004373908799582</v>
      </c>
    </row>
    <row r="10" spans="1:55">
      <c r="A10" s="359">
        <v>6</v>
      </c>
      <c r="B10" s="512">
        <f>'6'!G7</f>
        <v>27592.029999999984</v>
      </c>
      <c r="C10" s="512">
        <f>'6'!G8</f>
        <v>28151.059999999998</v>
      </c>
      <c r="D10" s="512">
        <f>'6'!G15</f>
        <v>1125.8300000000745</v>
      </c>
      <c r="E10" s="512">
        <f>'6'!G20</f>
        <v>310</v>
      </c>
      <c r="F10" s="512">
        <f>SUM('6'!G35,'6'!G49)</f>
        <v>3914.3500000000058</v>
      </c>
      <c r="G10" s="512">
        <f>SUM('6'!G37,'6'!G51)</f>
        <v>1635.7199999999721</v>
      </c>
      <c r="H10" s="512">
        <f>SUM('6'!G38,'6'!G52)</f>
        <v>2460.179999999993</v>
      </c>
      <c r="I10" s="512">
        <f>SUM('6'!G39,'6'!G53)</f>
        <v>3292.3399999999965</v>
      </c>
      <c r="J10" s="512">
        <f>SUM('6'!G41,'6'!G42,'6'!G55,'6'!G56)</f>
        <v>7849.890000000014</v>
      </c>
      <c r="K10" s="512">
        <f>SUM('6'!G43,'6'!G57)</f>
        <v>2996.7800000000279</v>
      </c>
      <c r="L10" s="254">
        <f>'6'!G50</f>
        <v>1119.0400000000081</v>
      </c>
      <c r="M10" s="254">
        <f>'6'!G36</f>
        <v>947.52999999999884</v>
      </c>
      <c r="N10" s="254">
        <f>'6'!G138</f>
        <v>154</v>
      </c>
      <c r="O10" s="254">
        <f>'6'!$G$139</f>
        <v>128</v>
      </c>
      <c r="P10" s="254">
        <f>'6'!$G$140</f>
        <v>8.5</v>
      </c>
      <c r="Q10" s="254">
        <f>'6'!$G$141</f>
        <v>197.5</v>
      </c>
      <c r="R10" s="254">
        <f>'6'!$G$142</f>
        <v>70.680000000000291</v>
      </c>
      <c r="S10" s="254">
        <f>'6'!$G$145</f>
        <v>0.43000000000029104</v>
      </c>
      <c r="T10" s="251">
        <f>'6'!$G$146</f>
        <v>575</v>
      </c>
      <c r="U10" s="251">
        <f>'6'!$G$144</f>
        <v>243</v>
      </c>
      <c r="V10" s="251">
        <f>'6'!$G$147</f>
        <v>397.56000000005588</v>
      </c>
      <c r="W10" s="251">
        <f>'6'!$G$148</f>
        <v>332.32000000006519</v>
      </c>
      <c r="X10" s="251">
        <f>'6'!$G$143</f>
        <v>28.630000000000109</v>
      </c>
      <c r="Y10" s="251">
        <f>'6'!$G$58</f>
        <v>245</v>
      </c>
      <c r="Z10" s="251">
        <f>'6'!$G$151</f>
        <v>284</v>
      </c>
      <c r="AA10" s="251">
        <f>'6'!G161</f>
        <v>0</v>
      </c>
      <c r="AB10" s="251">
        <f>'6'!G162</f>
        <v>37.069999999992433</v>
      </c>
      <c r="AC10" s="251"/>
      <c r="AD10" s="251">
        <f>'6'!G163+'6'!G164</f>
        <v>176.59999999999491</v>
      </c>
      <c r="AE10" s="254">
        <f>'6'!$G$116</f>
        <v>413.81999999999971</v>
      </c>
      <c r="AF10" s="254">
        <f>'6'!$G$117</f>
        <v>189.77999999999884</v>
      </c>
      <c r="AG10" s="254">
        <f>'6'!$G$118</f>
        <v>511.40000000002328</v>
      </c>
      <c r="AH10" s="254">
        <f>'6'!$G$119</f>
        <v>450.28000000002794</v>
      </c>
      <c r="AI10" s="254">
        <f>'6'!$G$120</f>
        <v>404.10000000000582</v>
      </c>
      <c r="AJ10" s="254">
        <f>'6'!$G$121</f>
        <v>861.20000000001164</v>
      </c>
      <c r="AK10" s="254">
        <f>'6'!$G$122</f>
        <v>218.88999999998487</v>
      </c>
      <c r="AL10" s="254">
        <f>'6'!$G$123</f>
        <v>258.55999999999767</v>
      </c>
      <c r="AM10" s="254">
        <f>'6'!$G$133</f>
        <v>933.23999999999069</v>
      </c>
      <c r="AN10" s="254">
        <f>'6'!$G$15</f>
        <v>1125.8300000000745</v>
      </c>
      <c r="AO10" s="256">
        <f>'6'!$G$74</f>
        <v>310.46999999997206</v>
      </c>
      <c r="AP10" s="256">
        <f>'6'!$G$75</f>
        <v>0</v>
      </c>
      <c r="AQ10" s="256">
        <f>'6'!$G$76</f>
        <v>109.01999999998952</v>
      </c>
      <c r="AR10" s="256">
        <f>'6'!$G$77</f>
        <v>47.69999999999709</v>
      </c>
      <c r="AS10" s="256">
        <f>'6'!$G$78</f>
        <v>0</v>
      </c>
      <c r="AT10" s="256">
        <f t="shared" si="0"/>
        <v>658.64000000011583</v>
      </c>
      <c r="AU10" s="254">
        <f>SUM('6'!G91:G92)</f>
        <v>10.769999999999527</v>
      </c>
      <c r="AV10" s="254">
        <f>'6'!$G$88</f>
        <v>3.0100000000020373</v>
      </c>
      <c r="AW10" s="254">
        <f>'6'!$G$89</f>
        <v>10.330000000001746</v>
      </c>
      <c r="AX10" s="254">
        <f>'6'!$G$90</f>
        <v>7.0099999999947613</v>
      </c>
      <c r="AY10" s="252">
        <f t="shared" si="1"/>
        <v>20.349999999998545</v>
      </c>
      <c r="AZ10" s="311">
        <f t="shared" ref="AZ10:AZ28" si="6">AO10/AU10</f>
        <v>28.827298050137948</v>
      </c>
      <c r="BA10" s="311">
        <f t="shared" si="3"/>
        <v>32.365601965609969</v>
      </c>
      <c r="BB10" s="351">
        <f t="shared" si="4"/>
        <v>5756.7999999999884</v>
      </c>
      <c r="BC10" s="351">
        <f t="shared" si="5"/>
        <v>20.863995871271495</v>
      </c>
    </row>
    <row r="11" spans="1:55">
      <c r="A11" s="359">
        <v>7</v>
      </c>
      <c r="B11" s="512">
        <f>'7'!G7</f>
        <v>27926.290000000008</v>
      </c>
      <c r="C11" s="512">
        <f>'7'!G8</f>
        <v>28469.679999999993</v>
      </c>
      <c r="D11" s="512">
        <f>'7'!G15</f>
        <v>1059.5700000000652</v>
      </c>
      <c r="E11" s="512">
        <f>'7'!G20</f>
        <v>206</v>
      </c>
      <c r="F11" s="512">
        <f>SUM('7'!G35,'7'!G49)</f>
        <v>3984.8699999999953</v>
      </c>
      <c r="G11" s="512">
        <f>SUM('7'!G37,'7'!G51)</f>
        <v>1636.9000000000233</v>
      </c>
      <c r="H11" s="512">
        <f>SUM('7'!G38,'7'!G52)</f>
        <v>2435.9800000000105</v>
      </c>
      <c r="I11" s="512">
        <f>SUM('7'!G39,'7'!G53)</f>
        <v>3334.6600000000326</v>
      </c>
      <c r="J11" s="512">
        <f>SUM('7'!G41,'7'!G42,'7'!G55,'7'!G56)</f>
        <v>8007.3199999999924</v>
      </c>
      <c r="K11" s="512">
        <f>SUM('7'!G43,'7'!G57)</f>
        <v>3021.1999999999534</v>
      </c>
      <c r="L11" s="254">
        <f>'7'!G50</f>
        <v>1144.3800000000047</v>
      </c>
      <c r="M11" s="254">
        <f>'7'!G36</f>
        <v>1059.3899999999994</v>
      </c>
      <c r="N11" s="254">
        <f>'7'!G138</f>
        <v>167</v>
      </c>
      <c r="O11" s="254">
        <f>'7'!$G$139</f>
        <v>157</v>
      </c>
      <c r="P11" s="254">
        <f>'7'!$G$140</f>
        <v>1.6000000000058208</v>
      </c>
      <c r="Q11" s="254">
        <f>'7'!$G$141</f>
        <v>201.05999999999767</v>
      </c>
      <c r="R11" s="254">
        <f>'7'!$G$142</f>
        <v>61.370000000002619</v>
      </c>
      <c r="S11" s="254">
        <f>'7'!$G$145</f>
        <v>0.68999999999959982</v>
      </c>
      <c r="T11" s="251">
        <f>'7'!$G$146</f>
        <v>453</v>
      </c>
      <c r="U11" s="251">
        <f>'7'!$G$144</f>
        <v>275</v>
      </c>
      <c r="V11" s="251">
        <f>'7'!$G$147</f>
        <v>405.11999999999534</v>
      </c>
      <c r="W11" s="251">
        <f>'7'!$G$148</f>
        <v>312.88000000000466</v>
      </c>
      <c r="X11" s="251">
        <f>'7'!$G$143</f>
        <v>27.319999999999709</v>
      </c>
      <c r="Y11" s="251">
        <f>'7'!$G$58</f>
        <v>226.79000000000087</v>
      </c>
      <c r="Z11" s="256">
        <f>'7'!$G$151</f>
        <v>262</v>
      </c>
      <c r="AA11" s="256">
        <f>'7'!G161</f>
        <v>0</v>
      </c>
      <c r="AB11" s="251">
        <f>'7'!G162</f>
        <v>40.19999999999709</v>
      </c>
      <c r="AC11" s="251"/>
      <c r="AD11" s="251">
        <f>'7'!G163+'7'!G164</f>
        <v>199.29999999999382</v>
      </c>
      <c r="AE11" s="254">
        <f>'7'!$G$116</f>
        <v>430.06999999999971</v>
      </c>
      <c r="AF11" s="254">
        <f>'7'!$G$117</f>
        <v>298.36000000000058</v>
      </c>
      <c r="AG11" s="254">
        <f>'7'!$G$118</f>
        <v>563.82000000000698</v>
      </c>
      <c r="AH11" s="254">
        <f>'7'!$G$119</f>
        <v>435.72999999998137</v>
      </c>
      <c r="AI11" s="254">
        <f>'7'!$G$120</f>
        <v>407.44999999999709</v>
      </c>
      <c r="AJ11" s="254">
        <f>'7'!$G$121</f>
        <v>775.15999999997439</v>
      </c>
      <c r="AK11" s="256">
        <f>'7'!$G$122</f>
        <v>192.77000000001863</v>
      </c>
      <c r="AL11" s="254">
        <f>'7'!$G$123</f>
        <v>243.48000000001048</v>
      </c>
      <c r="AM11" s="254">
        <f>'7'!$G$133</f>
        <v>920.87000000002445</v>
      </c>
      <c r="AN11" s="254">
        <f>'7'!$G$15</f>
        <v>1059.5700000000652</v>
      </c>
      <c r="AO11" s="256">
        <f>'7'!$G$74</f>
        <v>292.95000000006985</v>
      </c>
      <c r="AP11" s="256">
        <f>'7'!$G$75</f>
        <v>0</v>
      </c>
      <c r="AQ11" s="256">
        <f>'7'!$G$76</f>
        <v>106.67999999999302</v>
      </c>
      <c r="AR11" s="256">
        <f>'7'!$G$77</f>
        <v>50.30000000000291</v>
      </c>
      <c r="AS11" s="256">
        <f>'7'!$G$78</f>
        <v>0</v>
      </c>
      <c r="AT11" s="256">
        <f t="shared" si="0"/>
        <v>609.63999999999942</v>
      </c>
      <c r="AU11" s="254">
        <f>SUM('7'!G91:G92)</f>
        <v>10.25</v>
      </c>
      <c r="AV11" s="254">
        <f>'7'!$G$88</f>
        <v>0</v>
      </c>
      <c r="AW11" s="254">
        <f>'7'!$G$89</f>
        <v>9.4399999999986903</v>
      </c>
      <c r="AX11" s="254">
        <f>'7'!$G$90</f>
        <v>10.790000000008149</v>
      </c>
      <c r="AY11" s="252">
        <f t="shared" si="1"/>
        <v>20.230000000006839</v>
      </c>
      <c r="AZ11" s="311">
        <f>AO11/AU11</f>
        <v>28.580487804884864</v>
      </c>
      <c r="BA11" s="311">
        <f t="shared" si="3"/>
        <v>30.135442412248803</v>
      </c>
      <c r="BB11" s="351">
        <f t="shared" si="4"/>
        <v>5821.9599999999846</v>
      </c>
      <c r="BC11" s="351">
        <f t="shared" si="5"/>
        <v>20.847595581081425</v>
      </c>
    </row>
    <row r="12" spans="1:55">
      <c r="A12" s="359">
        <v>8</v>
      </c>
      <c r="B12" s="512">
        <f>'8'!G7</f>
        <v>28543.140000000014</v>
      </c>
      <c r="C12" s="512">
        <f>'8'!G8</f>
        <v>29142.900000000023</v>
      </c>
      <c r="D12" s="512">
        <f>'8'!G15</f>
        <v>1091.9399999999441</v>
      </c>
      <c r="E12" s="512">
        <f>'8'!G20</f>
        <v>278</v>
      </c>
      <c r="F12" s="512">
        <f>SUM('8'!G35,'8'!G49)</f>
        <v>4164.3000000000029</v>
      </c>
      <c r="G12" s="512">
        <f>SUM('8'!G37,'8'!G51)</f>
        <v>1608.7599999999802</v>
      </c>
      <c r="H12" s="512">
        <f>SUM('8'!G38,'8'!G52)</f>
        <v>2563.2399999999907</v>
      </c>
      <c r="I12" s="512">
        <f>SUM('8'!G39,'8'!G53)</f>
        <v>3259.4400000000023</v>
      </c>
      <c r="J12" s="512">
        <f>SUM('8'!G41,'8'!G42,'8'!G55,'8'!G56)</f>
        <v>7852.0999999999622</v>
      </c>
      <c r="K12" s="512">
        <f>SUM('8'!G43,'8'!G57)</f>
        <v>3290.8800000000047</v>
      </c>
      <c r="L12" s="254">
        <f>'8'!G50</f>
        <v>1416.8099999999977</v>
      </c>
      <c r="M12" s="254">
        <f>'8'!G36</f>
        <v>1131.2399999999907</v>
      </c>
      <c r="N12" s="254">
        <f>'8'!G138</f>
        <v>196</v>
      </c>
      <c r="O12" s="254">
        <f>'8'!$G$139</f>
        <v>165</v>
      </c>
      <c r="P12" s="254">
        <f>'8'!$G$140</f>
        <v>1.6999999999970896</v>
      </c>
      <c r="Q12" s="254">
        <f>'8'!$G$141</f>
        <v>193.36000000000058</v>
      </c>
      <c r="R12" s="254">
        <f>'8'!$G$142</f>
        <v>67.649999999997817</v>
      </c>
      <c r="S12" s="254">
        <f>'8'!$G$145</f>
        <v>3.2800000000006548</v>
      </c>
      <c r="T12" s="251">
        <f>'8'!$G$146</f>
        <v>485</v>
      </c>
      <c r="U12" s="251">
        <f>'8'!$G$144</f>
        <v>273</v>
      </c>
      <c r="V12" s="251">
        <f>'8'!$G$147</f>
        <v>462.31999999994878</v>
      </c>
      <c r="W12" s="251">
        <f>'8'!$G$148</f>
        <v>401.19999999995343</v>
      </c>
      <c r="X12" s="251">
        <f>'8'!$G$143</f>
        <v>25.159999999999854</v>
      </c>
      <c r="Y12" s="251">
        <f>'8'!$G$58</f>
        <v>209.57999999999811</v>
      </c>
      <c r="Z12" s="251">
        <f>'8'!$G$151</f>
        <v>309</v>
      </c>
      <c r="AA12" s="251">
        <f>'8'!G161</f>
        <v>0</v>
      </c>
      <c r="AB12" s="251">
        <f>'8'!G162</f>
        <v>45.400000000008731</v>
      </c>
      <c r="AC12" s="251"/>
      <c r="AD12" s="251">
        <f>'8'!G163+'8'!G164</f>
        <v>189.70000000001164</v>
      </c>
      <c r="AE12" s="254">
        <f>'8'!$G$116</f>
        <v>398.13000000000102</v>
      </c>
      <c r="AF12" s="254">
        <f>'8'!$G$117</f>
        <v>221.3799999999992</v>
      </c>
      <c r="AG12" s="254">
        <f>'8'!$G$118</f>
        <v>536.95999999996275</v>
      </c>
      <c r="AH12" s="254">
        <f>'8'!$G$119</f>
        <v>437</v>
      </c>
      <c r="AI12" s="254">
        <f>'8'!$G$120</f>
        <v>405.63999999999942</v>
      </c>
      <c r="AJ12" s="254">
        <f>'8'!$G$121</f>
        <v>797.35999999998603</v>
      </c>
      <c r="AK12" s="254">
        <f>'8'!$G$122</f>
        <v>199.81999999997788</v>
      </c>
      <c r="AL12" s="254">
        <f>'8'!$G$123</f>
        <v>259.92000000001281</v>
      </c>
      <c r="AM12" s="254">
        <f>'8'!$G$133</f>
        <v>997.86999999999534</v>
      </c>
      <c r="AN12" s="254">
        <f>'8'!$G$15</f>
        <v>1091.9399999999441</v>
      </c>
      <c r="AO12" s="256">
        <f>'8'!$G$74</f>
        <v>302.07999999995809</v>
      </c>
      <c r="AP12" s="256">
        <f>'8'!$G$75</f>
        <v>0</v>
      </c>
      <c r="AQ12" s="256">
        <f>'8'!$G$76</f>
        <v>128.02999999999884</v>
      </c>
      <c r="AR12" s="256">
        <f>'8'!$G$77</f>
        <v>41.299999999995634</v>
      </c>
      <c r="AS12" s="256">
        <f>'8'!$G$78</f>
        <v>0</v>
      </c>
      <c r="AT12" s="256">
        <f t="shared" si="0"/>
        <v>620.52999999999156</v>
      </c>
      <c r="AU12" s="254">
        <f>SUM('8'!G91:G92)</f>
        <v>10.480000000000473</v>
      </c>
      <c r="AV12" s="254">
        <f>'8'!$G$88</f>
        <v>0</v>
      </c>
      <c r="AW12" s="254">
        <f>'8'!$G$89</f>
        <v>9.25</v>
      </c>
      <c r="AX12" s="254">
        <f>'8'!$G$90</f>
        <v>10.580000000001746</v>
      </c>
      <c r="AY12" s="252">
        <f t="shared" si="1"/>
        <v>19.830000000001746</v>
      </c>
      <c r="AZ12" s="311">
        <f t="shared" si="6"/>
        <v>28.824427480910732</v>
      </c>
      <c r="BA12" s="311">
        <f t="shared" si="3"/>
        <v>31.292486132119866</v>
      </c>
      <c r="BB12" s="351">
        <f t="shared" si="4"/>
        <v>6194.6000000000822</v>
      </c>
      <c r="BC12" s="351">
        <f t="shared" si="5"/>
        <v>21.702587732113841</v>
      </c>
    </row>
    <row r="13" spans="1:55">
      <c r="A13" s="359">
        <v>9</v>
      </c>
      <c r="B13" s="512">
        <f>'9'!G7</f>
        <v>29399.829999999987</v>
      </c>
      <c r="C13" s="512">
        <f>'9'!G8</f>
        <v>30000</v>
      </c>
      <c r="D13" s="512">
        <f>'9'!G15</f>
        <v>1090.3829999999143</v>
      </c>
      <c r="E13" s="512">
        <f>'9'!G20</f>
        <v>327</v>
      </c>
      <c r="F13" s="512">
        <f>SUM('9'!G35,'9'!G49)</f>
        <v>4112.109999999986</v>
      </c>
      <c r="G13" s="512">
        <f>SUM('9'!G37,'9'!G51)</f>
        <v>1595.8300000000092</v>
      </c>
      <c r="H13" s="512">
        <f>SUM('9'!G38,'9'!G52)</f>
        <v>2514.4000000000033</v>
      </c>
      <c r="I13" s="512">
        <f>SUM('9'!G39,'9'!G53)</f>
        <v>3193.7699999999604</v>
      </c>
      <c r="J13" s="512">
        <f>SUM('9'!G41,'9'!G42,'9'!G55,'9'!G56)</f>
        <v>8851.9600000000355</v>
      </c>
      <c r="K13" s="512">
        <f>SUM('9'!G43,'9'!G57)</f>
        <v>3267.7400000000489</v>
      </c>
      <c r="L13" s="254">
        <f>'9'!G50</f>
        <v>1498.609999999986</v>
      </c>
      <c r="M13" s="254">
        <f>'9'!G36</f>
        <v>918.91000000000349</v>
      </c>
      <c r="N13" s="254">
        <f>'9'!G138</f>
        <v>164</v>
      </c>
      <c r="O13" s="254">
        <f>'9'!$G$139</f>
        <v>167</v>
      </c>
      <c r="P13" s="254">
        <f>'9'!$G$140</f>
        <v>1.8000000000029104</v>
      </c>
      <c r="Q13" s="254">
        <f>'9'!$G$141</f>
        <v>204.48999999999069</v>
      </c>
      <c r="R13" s="254">
        <f>'9'!$G$142</f>
        <v>61.400000000001455</v>
      </c>
      <c r="S13" s="254">
        <f>'9'!$G$145</f>
        <v>3.5799999999999272</v>
      </c>
      <c r="T13" s="251">
        <f>'9'!$G$146</f>
        <v>507</v>
      </c>
      <c r="U13" s="251">
        <f>'9'!$G$144</f>
        <v>240</v>
      </c>
      <c r="V13" s="251">
        <f>'9'!$G$147</f>
        <v>435.28000000002794</v>
      </c>
      <c r="W13" s="251">
        <f>'9'!$G$148</f>
        <v>313.28000000002794</v>
      </c>
      <c r="X13" s="251">
        <f>'9'!$G$143</f>
        <v>29.630000000000109</v>
      </c>
      <c r="Y13" s="251">
        <f>'9'!$G$58</f>
        <v>258.63999999999942</v>
      </c>
      <c r="Z13" s="251">
        <f>'9'!$G$151</f>
        <v>284</v>
      </c>
      <c r="AA13" s="251">
        <f>'9'!G161</f>
        <v>0</v>
      </c>
      <c r="AB13" s="251">
        <f>'9'!G162</f>
        <v>26.80000000000291</v>
      </c>
      <c r="AC13" s="251"/>
      <c r="AD13" s="251">
        <f>'9'!G163+'9'!G164</f>
        <v>174.09999999999127</v>
      </c>
      <c r="AE13" s="254">
        <f>'9'!$G$116</f>
        <v>386.2599999999984</v>
      </c>
      <c r="AF13" s="254">
        <f>'9'!$G$117</f>
        <v>164.9900000000016</v>
      </c>
      <c r="AG13" s="254">
        <f>'9'!$G$118</f>
        <v>540.77000000001863</v>
      </c>
      <c r="AH13" s="254">
        <f>'9'!$G$119</f>
        <v>428.46999999997206</v>
      </c>
      <c r="AI13" s="254">
        <f>'9'!$G$120</f>
        <v>398.74000000000524</v>
      </c>
      <c r="AJ13" s="254">
        <f>'9'!$G$121</f>
        <v>827.88000000000466</v>
      </c>
      <c r="AK13" s="254">
        <f>'9'!$G$122</f>
        <v>210.30000000001746</v>
      </c>
      <c r="AL13" s="254">
        <f>'9'!$G$123</f>
        <v>268.31999999997788</v>
      </c>
      <c r="AM13" s="254">
        <f>'9'!$G$133</f>
        <v>1008.9400000000023</v>
      </c>
      <c r="AN13" s="254">
        <f>'9'!$G$15</f>
        <v>1090.3829999999143</v>
      </c>
      <c r="AO13" s="256">
        <f>'9'!$G$74</f>
        <v>288.20000000006985</v>
      </c>
      <c r="AP13" s="256">
        <f>'9'!$G$75</f>
        <v>0</v>
      </c>
      <c r="AQ13" s="256">
        <f>'9'!$G$76</f>
        <v>127.07000000000698</v>
      </c>
      <c r="AR13" s="256">
        <f>'9'!$G$77</f>
        <v>54.400000000001455</v>
      </c>
      <c r="AS13" s="256">
        <f>'9'!$G$78</f>
        <v>0</v>
      </c>
      <c r="AT13" s="256">
        <f t="shared" si="0"/>
        <v>620.71299999983603</v>
      </c>
      <c r="AU13" s="254">
        <f>SUM('9'!G91:G92)</f>
        <v>10.009999999999309</v>
      </c>
      <c r="AV13" s="254">
        <f>'9'!$G$88</f>
        <v>0</v>
      </c>
      <c r="AW13" s="254">
        <f>'9'!$G$89</f>
        <v>10.139999999999418</v>
      </c>
      <c r="AX13" s="254">
        <f>'9'!$G$90</f>
        <v>11.129999999990105</v>
      </c>
      <c r="AY13" s="252">
        <f t="shared" si="1"/>
        <v>21.269999999989523</v>
      </c>
      <c r="AZ13" s="311">
        <f t="shared" si="6"/>
        <v>28.791208791217759</v>
      </c>
      <c r="BA13" s="311">
        <f t="shared" si="3"/>
        <v>29.182557592860451</v>
      </c>
      <c r="BB13" s="351">
        <f t="shared" si="4"/>
        <v>6205.5499999999593</v>
      </c>
      <c r="BC13" s="351">
        <f t="shared" si="5"/>
        <v>21.107434974964011</v>
      </c>
    </row>
    <row r="14" spans="1:55">
      <c r="A14" s="359">
        <v>10</v>
      </c>
      <c r="B14" s="512">
        <f>'10'!G7</f>
        <v>30381</v>
      </c>
      <c r="C14" s="512">
        <f>'10'!G8</f>
        <v>31171.849999999977</v>
      </c>
      <c r="D14" s="512">
        <f>'10'!G15</f>
        <v>1087.3870000001043</v>
      </c>
      <c r="E14" s="512">
        <f>'10'!G20</f>
        <v>356</v>
      </c>
      <c r="F14" s="512">
        <f>SUM('10'!G35,'10'!G49)</f>
        <v>4169.4800000000105</v>
      </c>
      <c r="G14" s="512">
        <f>SUM('10'!G37,'10'!G51)</f>
        <v>1639.6700000000128</v>
      </c>
      <c r="H14" s="512">
        <f>SUM('10'!G38,'10'!G52)</f>
        <v>2598.820000000007</v>
      </c>
      <c r="I14" s="512">
        <f>SUM('10'!G39,'10'!G53)</f>
        <v>3362.4200000000419</v>
      </c>
      <c r="J14" s="512">
        <f>SUM('10'!G41,'10'!G42,'10'!G55,'10'!G56)</f>
        <v>8212.4899999999579</v>
      </c>
      <c r="K14" s="512">
        <f>SUM('10'!G43,'10'!G57)</f>
        <v>3612.2399999999907</v>
      </c>
      <c r="L14" s="254">
        <f>'10'!G50</f>
        <v>1495.4500000000116</v>
      </c>
      <c r="M14" s="254">
        <f>'10'!G36</f>
        <v>1141.75</v>
      </c>
      <c r="N14" s="254">
        <f>'10'!G138</f>
        <v>192</v>
      </c>
      <c r="O14" s="254">
        <f>'10'!$G$139</f>
        <v>167</v>
      </c>
      <c r="P14" s="254">
        <f>'10'!$G$140</f>
        <v>0</v>
      </c>
      <c r="Q14" s="254">
        <f>'10'!$G$141</f>
        <v>195.20000000001164</v>
      </c>
      <c r="R14" s="254">
        <f>'10'!$G$142</f>
        <v>59.020000000000437</v>
      </c>
      <c r="S14" s="254">
        <f>'10'!$G$145</f>
        <v>3.7799999999997453</v>
      </c>
      <c r="T14" s="251">
        <f>'10'!$G$146</f>
        <v>584</v>
      </c>
      <c r="U14" s="251">
        <f>'10'!$G$144</f>
        <v>263</v>
      </c>
      <c r="V14" s="257">
        <f>'10'!$G$147</f>
        <v>458.71999999997206</v>
      </c>
      <c r="W14" s="257">
        <f>'10'!$G$148</f>
        <v>453.52000000001863</v>
      </c>
      <c r="X14" s="251">
        <f>'10'!$G$143</f>
        <v>33.630000000000109</v>
      </c>
      <c r="Y14" s="251">
        <f>'10'!$G$58</f>
        <v>269.76000000000204</v>
      </c>
      <c r="Z14" s="251">
        <f>'10'!$G$151</f>
        <v>282</v>
      </c>
      <c r="AA14" s="251">
        <f>'10'!G161</f>
        <v>13.559999999997672</v>
      </c>
      <c r="AB14" s="251">
        <f>'10'!G162</f>
        <v>21.299999999988358</v>
      </c>
      <c r="AC14" s="251"/>
      <c r="AD14" s="251">
        <f>'10'!G163+'10'!G164</f>
        <v>160.30000000000837</v>
      </c>
      <c r="AE14" s="254">
        <f>'10'!$G$116</f>
        <v>427.61000000000058</v>
      </c>
      <c r="AF14" s="254">
        <f>'10'!$G$117</f>
        <v>190.40999999999985</v>
      </c>
      <c r="AG14" s="254">
        <f>'10'!$G$118</f>
        <v>497.45000000001164</v>
      </c>
      <c r="AH14" s="254">
        <f>'10'!$G$119</f>
        <v>610.68000000005122</v>
      </c>
      <c r="AI14" s="254">
        <f>'10'!$G$120</f>
        <v>418.81999999999243</v>
      </c>
      <c r="AJ14" s="254">
        <f>'10'!$G$121</f>
        <v>852.32000000000698</v>
      </c>
      <c r="AK14" s="254">
        <f>'10'!$G$122</f>
        <v>236.19999999998254</v>
      </c>
      <c r="AL14" s="254">
        <f>'10'!$G$123</f>
        <v>270.0800000000163</v>
      </c>
      <c r="AM14" s="254">
        <f>'10'!$G$133</f>
        <v>984.44999999998254</v>
      </c>
      <c r="AN14" s="254">
        <f>'10'!$G$15</f>
        <v>1087.3870000001043</v>
      </c>
      <c r="AO14" s="256">
        <f>'10'!$G$74</f>
        <v>307.47999999998137</v>
      </c>
      <c r="AP14" s="256">
        <f>'10'!$G$75</f>
        <v>0</v>
      </c>
      <c r="AQ14" s="256">
        <f>'10'!$G$76</f>
        <v>106.63000000000466</v>
      </c>
      <c r="AR14" s="256">
        <f>'10'!$G$77</f>
        <v>59</v>
      </c>
      <c r="AS14" s="256">
        <f>'10'!$G$78</f>
        <v>-0.3999999999996362</v>
      </c>
      <c r="AT14" s="256">
        <f t="shared" si="0"/>
        <v>614.67700000011791</v>
      </c>
      <c r="AU14" s="254">
        <f>SUM('10'!G91:G92)</f>
        <v>10.660000000000764</v>
      </c>
      <c r="AV14" s="254">
        <f>'10'!$G$88</f>
        <v>0</v>
      </c>
      <c r="AW14" s="254">
        <f>'10'!$G$89</f>
        <v>9.9399999999986903</v>
      </c>
      <c r="AX14" s="254">
        <f>'10'!$G$90</f>
        <v>9.7300000000104774</v>
      </c>
      <c r="AY14" s="252">
        <f t="shared" si="1"/>
        <v>19.670000000009168</v>
      </c>
      <c r="AZ14" s="311">
        <f t="shared" si="6"/>
        <v>28.844277673542152</v>
      </c>
      <c r="BA14" s="311">
        <f t="shared" si="3"/>
        <v>31.249466192162249</v>
      </c>
      <c r="BB14" s="351">
        <f t="shared" si="4"/>
        <v>7306.9699999999539</v>
      </c>
      <c r="BC14" s="351">
        <f t="shared" si="5"/>
        <v>24.05111747473735</v>
      </c>
    </row>
    <row r="15" spans="1:55">
      <c r="A15" s="359">
        <v>11</v>
      </c>
      <c r="B15" s="512">
        <f>'11'!G7</f>
        <v>26422.25</v>
      </c>
      <c r="C15" s="512">
        <f>'11'!G8</f>
        <v>26950.5</v>
      </c>
      <c r="D15" s="512">
        <f>'11'!G15</f>
        <v>1115.2600000000093</v>
      </c>
      <c r="E15" s="512">
        <f>'11'!G20</f>
        <v>261</v>
      </c>
      <c r="F15" s="512">
        <f>SUM('11'!G35,'11'!G49)</f>
        <v>3964.7600000000093</v>
      </c>
      <c r="G15" s="512">
        <f>SUM('11'!G37,'11'!G51)</f>
        <v>1580.6599999999744</v>
      </c>
      <c r="H15" s="512">
        <f>SUM('11'!G38,'11'!G52)</f>
        <v>2393.0199999999895</v>
      </c>
      <c r="I15" s="512">
        <f>SUM('11'!G39,'11'!G53)</f>
        <v>3209.9699999999721</v>
      </c>
      <c r="J15" s="512">
        <f>SUM('11'!G41,'11'!G42,'11'!G55,'11'!G56)</f>
        <v>6189.9600000000064</v>
      </c>
      <c r="K15" s="512">
        <f>SUM('11'!G43,'11'!G57)</f>
        <v>3056.6399999999558</v>
      </c>
      <c r="L15" s="254">
        <f>'11'!G50</f>
        <v>1132.2399999999907</v>
      </c>
      <c r="M15" s="254">
        <f>'11'!G36</f>
        <v>1004.0800000000017</v>
      </c>
      <c r="N15" s="254">
        <f>'11'!G138</f>
        <v>151</v>
      </c>
      <c r="O15" s="254">
        <f>'11'!$G$139</f>
        <v>148</v>
      </c>
      <c r="P15" s="254">
        <f>'11'!$G$140</f>
        <v>0</v>
      </c>
      <c r="Q15" s="254">
        <f>'11'!$G$141</f>
        <v>188.93999999998778</v>
      </c>
      <c r="R15" s="254">
        <f>'11'!$G$142</f>
        <v>57.340000000000146</v>
      </c>
      <c r="S15" s="254">
        <f>'11'!$G$145</f>
        <v>3.4899999999997817</v>
      </c>
      <c r="T15" s="251">
        <f>'11'!$G$146</f>
        <v>387</v>
      </c>
      <c r="U15" s="251">
        <f>'11'!$G$144</f>
        <v>250</v>
      </c>
      <c r="V15" s="251">
        <f>'11'!$G$147</f>
        <v>416.88000000000466</v>
      </c>
      <c r="W15" s="251">
        <f>'11'!$G$148</f>
        <v>358.07999999995809</v>
      </c>
      <c r="X15" s="251">
        <f>'11'!$G$143</f>
        <v>26.350000000000364</v>
      </c>
      <c r="Y15" s="251">
        <f>'11'!$G$58</f>
        <v>267.36999999999898</v>
      </c>
      <c r="Z15" s="251">
        <f>'11'!$G$151</f>
        <v>296</v>
      </c>
      <c r="AA15" s="251">
        <f>'11'!G161</f>
        <v>40.400000000023283</v>
      </c>
      <c r="AB15" s="251">
        <f>'11'!G162</f>
        <v>40.200000000011642</v>
      </c>
      <c r="AC15" s="251">
        <f>'11'!G88</f>
        <v>0</v>
      </c>
      <c r="AD15" s="251">
        <f>'11'!G163+'11'!G164</f>
        <v>150.5</v>
      </c>
      <c r="AE15" s="254">
        <f>'11'!$G$116</f>
        <v>468.22000000000116</v>
      </c>
      <c r="AF15" s="254">
        <f>'11'!$G$117</f>
        <v>182.02999999999884</v>
      </c>
      <c r="AG15" s="254">
        <f>'11'!$G$118</f>
        <v>504.97999999998137</v>
      </c>
      <c r="AH15" s="254">
        <f>'11'!$G$119</f>
        <v>202.3399999999674</v>
      </c>
      <c r="AI15" s="254">
        <f>'11'!$G$120</f>
        <v>408.47000000000116</v>
      </c>
      <c r="AJ15" s="254">
        <f>'11'!$G$121</f>
        <v>740.73999999999069</v>
      </c>
      <c r="AK15" s="254">
        <f>'11'!$G$122</f>
        <v>211.93000000002212</v>
      </c>
      <c r="AL15" s="254">
        <f>'11'!$G$123</f>
        <v>246.20999999999185</v>
      </c>
      <c r="AM15" s="254">
        <f>'11'!$G$133</f>
        <v>888.70000000001164</v>
      </c>
      <c r="AN15" s="254">
        <f>'11'!$G$15</f>
        <v>1115.2600000000093</v>
      </c>
      <c r="AO15" s="256">
        <f>'11'!$G$74</f>
        <v>290.42900000000373</v>
      </c>
      <c r="AP15" s="256">
        <f>'11'!$G$75</f>
        <v>0</v>
      </c>
      <c r="AQ15" s="256">
        <f>'11'!$G$76</f>
        <v>135.36999999999534</v>
      </c>
      <c r="AR15" s="256">
        <f>'11'!$G$77</f>
        <v>43</v>
      </c>
      <c r="AS15" s="256">
        <f>'11'!$G$78</f>
        <v>0</v>
      </c>
      <c r="AT15" s="256">
        <f t="shared" si="0"/>
        <v>646.46100000001024</v>
      </c>
      <c r="AU15" s="254">
        <f>SUM('11'!G91:G92)</f>
        <v>10.089999999999236</v>
      </c>
      <c r="AV15" s="254">
        <f>'11'!$G$88</f>
        <v>0</v>
      </c>
      <c r="AW15" s="254">
        <f>'11'!$G$89</f>
        <v>10.900000000001455</v>
      </c>
      <c r="AX15" s="254">
        <f>'11'!$G$90</f>
        <v>9</v>
      </c>
      <c r="AY15" s="252">
        <f t="shared" si="1"/>
        <v>19.900000000001455</v>
      </c>
      <c r="AZ15" s="311">
        <f t="shared" si="6"/>
        <v>28.783845391479257</v>
      </c>
      <c r="BA15" s="311">
        <f t="shared" si="3"/>
        <v>32.485477386932814</v>
      </c>
      <c r="BB15" s="351">
        <f t="shared" si="4"/>
        <v>6288.1200000000936</v>
      </c>
      <c r="BC15" s="351">
        <f t="shared" si="5"/>
        <v>23.798578849265649</v>
      </c>
    </row>
    <row r="16" spans="1:55">
      <c r="A16" s="359">
        <v>12</v>
      </c>
      <c r="B16" s="512">
        <f>'12'!G7</f>
        <v>28093.75</v>
      </c>
      <c r="C16" s="512">
        <f>'12'!G8</f>
        <v>28588</v>
      </c>
      <c r="D16" s="512">
        <f>'12'!G15</f>
        <v>1116.7399999999907</v>
      </c>
      <c r="E16" s="512">
        <f>'12'!G20</f>
        <v>260</v>
      </c>
      <c r="F16" s="512">
        <f>SUM('12'!G35,'12'!G49)</f>
        <v>4022.9899999999907</v>
      </c>
      <c r="G16" s="512">
        <f>SUM('12'!G37,'12'!G51)</f>
        <v>1658.890000000014</v>
      </c>
      <c r="H16" s="512">
        <f>SUM('12'!G38,'12'!G52)</f>
        <v>2360.6700000000128</v>
      </c>
      <c r="I16" s="512">
        <f>SUM('12'!G39,'12'!G53)</f>
        <v>3231.1300000000047</v>
      </c>
      <c r="J16" s="512">
        <f>SUM('12'!G41,'12'!G42,'12'!G55,'12'!G56)</f>
        <v>8032.7500000000291</v>
      </c>
      <c r="K16" s="512">
        <f>SUM('12'!G43,'12'!G57)</f>
        <v>3523.0300000000279</v>
      </c>
      <c r="L16" s="254">
        <f>'12'!G50</f>
        <v>1248.9100000000035</v>
      </c>
      <c r="M16" s="254">
        <f>'12'!G36</f>
        <v>1052.9700000000012</v>
      </c>
      <c r="N16" s="254">
        <f>'12'!G138</f>
        <v>112</v>
      </c>
      <c r="O16" s="254">
        <f>'12'!$G$139</f>
        <v>152</v>
      </c>
      <c r="P16" s="254">
        <f>'12'!$G$140</f>
        <v>0</v>
      </c>
      <c r="Q16" s="254">
        <f>'12'!$G$141</f>
        <v>204.4600000000064</v>
      </c>
      <c r="R16" s="254">
        <f>'12'!$G$142</f>
        <v>64.93999999999869</v>
      </c>
      <c r="S16" s="254">
        <f>'12'!$G$145</f>
        <v>2.3800000000001091</v>
      </c>
      <c r="T16" s="251">
        <f>'12'!$G$146</f>
        <v>466</v>
      </c>
      <c r="U16" s="251">
        <f>'12'!$G$144</f>
        <v>247</v>
      </c>
      <c r="V16" s="251">
        <f>'12'!$G$147</f>
        <v>410.88000000000466</v>
      </c>
      <c r="W16" s="251">
        <f>'12'!$G$148</f>
        <v>380.28000000002794</v>
      </c>
      <c r="X16" s="251">
        <f>'12'!$G$143</f>
        <v>25.819999999999709</v>
      </c>
      <c r="Y16" s="251">
        <f>'12'!$G$58</f>
        <v>219.18000000000029</v>
      </c>
      <c r="Z16" s="251">
        <f>'12'!$G$151</f>
        <v>285</v>
      </c>
      <c r="AA16" s="251">
        <f>'12'!G161</f>
        <v>41.599999999976717</v>
      </c>
      <c r="AB16" s="251">
        <f>'12'!G162</f>
        <v>38.899999999994179</v>
      </c>
      <c r="AC16" s="251">
        <f>'12'!G88</f>
        <v>0</v>
      </c>
      <c r="AD16" s="251">
        <f>'12'!G163+'12'!G164</f>
        <v>193.29999999999745</v>
      </c>
      <c r="AE16" s="254">
        <f>'12'!$G$116</f>
        <v>340.2599999999984</v>
      </c>
      <c r="AF16" s="254">
        <f>'12'!$G$117</f>
        <v>171.77000000000044</v>
      </c>
      <c r="AG16" s="254">
        <f>'12'!$G$118</f>
        <v>569.57000000000698</v>
      </c>
      <c r="AH16" s="254">
        <f>'12'!$G$119</f>
        <v>412.51000000000931</v>
      </c>
      <c r="AI16" s="254">
        <f>'12'!$G$120</f>
        <v>408.33000000000175</v>
      </c>
      <c r="AJ16" s="254">
        <f>'12'!$G$121</f>
        <v>795.8300000000163</v>
      </c>
      <c r="AK16" s="254">
        <f>'12'!$G$122</f>
        <v>195.23999999999069</v>
      </c>
      <c r="AL16" s="254">
        <f>'12'!$G$123</f>
        <v>249</v>
      </c>
      <c r="AM16" s="254">
        <f>'12'!$G$133</f>
        <v>896.08999999999651</v>
      </c>
      <c r="AN16" s="254">
        <f>'12'!$G$15</f>
        <v>1116.7399999999907</v>
      </c>
      <c r="AO16" s="256">
        <f>'12'!$G$74</f>
        <v>340.53099999995902</v>
      </c>
      <c r="AP16" s="256">
        <f>'12'!$G$75</f>
        <v>0.19999999999708962</v>
      </c>
      <c r="AQ16" s="256">
        <f>'12'!$G$76</f>
        <v>134</v>
      </c>
      <c r="AR16" s="256">
        <f>'12'!$G$77</f>
        <v>53</v>
      </c>
      <c r="AS16" s="256">
        <f>'12'!$G$78</f>
        <v>1</v>
      </c>
      <c r="AT16" s="256">
        <f t="shared" si="0"/>
        <v>588.00900000003458</v>
      </c>
      <c r="AU16" s="254">
        <f>SUM('12'!G91:G92)</f>
        <v>11.8100000000004</v>
      </c>
      <c r="AV16" s="254">
        <f>'12'!$G$88</f>
        <v>0</v>
      </c>
      <c r="AW16" s="254">
        <f>'12'!$G$89</f>
        <v>9.1300000000010186</v>
      </c>
      <c r="AX16" s="254">
        <f>'12'!$G$90</f>
        <v>9.1999999999970896</v>
      </c>
      <c r="AY16" s="252">
        <f t="shared" si="1"/>
        <v>18.329999999998108</v>
      </c>
      <c r="AZ16" s="311">
        <f t="shared" si="6"/>
        <v>28.83412362404297</v>
      </c>
      <c r="BA16" s="311">
        <f t="shared" si="3"/>
        <v>32.079050736502744</v>
      </c>
      <c r="BB16" s="351">
        <f t="shared" si="4"/>
        <v>5539.3599999999205</v>
      </c>
      <c r="BC16" s="351">
        <f t="shared" si="5"/>
        <v>19.717410456062009</v>
      </c>
    </row>
    <row r="17" spans="1:55">
      <c r="A17" s="359">
        <v>13</v>
      </c>
      <c r="B17" s="512">
        <f>'13'!G7</f>
        <v>28485</v>
      </c>
      <c r="C17" s="512">
        <f>'13'!G8</f>
        <v>29100</v>
      </c>
      <c r="D17" s="512">
        <f>'13'!G15</f>
        <v>1076</v>
      </c>
      <c r="E17" s="512">
        <f>'13'!G20</f>
        <v>288</v>
      </c>
      <c r="F17" s="512">
        <f>SUM('13'!G35,'13'!G49)</f>
        <v>4088</v>
      </c>
      <c r="G17" s="512">
        <f>SUM('13'!G37,'13'!G51)</f>
        <v>1611</v>
      </c>
      <c r="H17" s="512">
        <f>SUM('13'!G38,'13'!G52)</f>
        <v>2460</v>
      </c>
      <c r="I17" s="512">
        <f>SUM('13'!G39,'13'!G53)</f>
        <v>3268</v>
      </c>
      <c r="J17" s="512">
        <f>SUM('13'!G41,'13'!G42,'13'!G55,'13'!G56)</f>
        <v>8137</v>
      </c>
      <c r="K17" s="512">
        <f>SUM('13'!G43,'13'!G57)</f>
        <v>3231</v>
      </c>
      <c r="L17" s="254">
        <f>'13'!G50</f>
        <v>1522</v>
      </c>
      <c r="M17" s="254">
        <f>'13'!G36</f>
        <v>1161</v>
      </c>
      <c r="N17" s="254">
        <f>'13'!G138</f>
        <v>149</v>
      </c>
      <c r="O17" s="254">
        <f>'13'!$G$139</f>
        <v>161</v>
      </c>
      <c r="P17" s="254">
        <f>'13'!$G$140</f>
        <v>0</v>
      </c>
      <c r="Q17" s="254">
        <f>'13'!$G$141</f>
        <v>198</v>
      </c>
      <c r="R17" s="254">
        <f>'13'!$G$142</f>
        <v>59</v>
      </c>
      <c r="S17" s="254">
        <f>'13'!$G$145</f>
        <v>1</v>
      </c>
      <c r="T17" s="251">
        <f>'13'!$G$146</f>
        <v>483</v>
      </c>
      <c r="U17" s="251">
        <f>'13'!$G$144</f>
        <v>250</v>
      </c>
      <c r="V17" s="251">
        <f>'13'!$G$147</f>
        <v>454</v>
      </c>
      <c r="W17" s="251">
        <f>'13'!$G$148</f>
        <v>379</v>
      </c>
      <c r="X17" s="251">
        <f>'13'!$G$143</f>
        <v>31</v>
      </c>
      <c r="Y17" s="251">
        <f>'13'!$G$58</f>
        <v>228</v>
      </c>
      <c r="Z17" s="251">
        <f>'13'!$G$151</f>
        <v>262</v>
      </c>
      <c r="AA17" s="251">
        <f>'13'!G161</f>
        <v>46</v>
      </c>
      <c r="AB17" s="251">
        <f>'13'!G162</f>
        <v>45</v>
      </c>
      <c r="AC17" s="251">
        <f>'13'!G88</f>
        <v>10.239999999997963</v>
      </c>
      <c r="AD17" s="251">
        <f>'13'!G163+'13'!G164</f>
        <v>176.19999999999709</v>
      </c>
      <c r="AE17" s="254">
        <f>'13'!$G$116</f>
        <v>441</v>
      </c>
      <c r="AF17" s="254">
        <f>'13'!$G$117</f>
        <v>144</v>
      </c>
      <c r="AG17" s="254">
        <f>'13'!$G$118</f>
        <v>547</v>
      </c>
      <c r="AH17" s="254">
        <f>'13'!$G$119</f>
        <v>433</v>
      </c>
      <c r="AI17" s="254">
        <f>'13'!$G$120</f>
        <v>395</v>
      </c>
      <c r="AJ17" s="254">
        <f>'13'!$G$121</f>
        <v>799</v>
      </c>
      <c r="AK17" s="254">
        <f>'13'!$G$122</f>
        <v>205</v>
      </c>
      <c r="AL17" s="254">
        <f>'13'!$G$123</f>
        <v>255</v>
      </c>
      <c r="AM17" s="254">
        <f>'13'!$G$133</f>
        <v>937</v>
      </c>
      <c r="AN17" s="254">
        <f>'13'!$G$15</f>
        <v>1076</v>
      </c>
      <c r="AO17" s="256">
        <f>'13'!$G$74</f>
        <v>292</v>
      </c>
      <c r="AP17" s="256">
        <f>'13'!$G$75</f>
        <v>0</v>
      </c>
      <c r="AQ17" s="256">
        <f>'13'!$G$76</f>
        <v>123</v>
      </c>
      <c r="AR17" s="256">
        <f>'13'!$G$77</f>
        <v>44</v>
      </c>
      <c r="AS17" s="256">
        <f>'13'!$G$78</f>
        <v>0</v>
      </c>
      <c r="AT17" s="256">
        <f t="shared" si="0"/>
        <v>617</v>
      </c>
      <c r="AU17" s="254">
        <f>SUM('13'!G91:G92)</f>
        <v>10.170000000000073</v>
      </c>
      <c r="AV17" s="254">
        <f>'13'!$G$88</f>
        <v>10.239999999997963</v>
      </c>
      <c r="AW17" s="254">
        <f>'13'!$G$89</f>
        <v>0.7000000000007276</v>
      </c>
      <c r="AX17" s="254">
        <f>'13'!$G$90</f>
        <v>13.869999999995343</v>
      </c>
      <c r="AY17" s="252">
        <f t="shared" si="1"/>
        <v>24.809999999994034</v>
      </c>
      <c r="AZ17" s="311">
        <f t="shared" si="6"/>
        <v>28.711897738446204</v>
      </c>
      <c r="BA17" s="311">
        <f t="shared" si="3"/>
        <v>24.86900443370207</v>
      </c>
      <c r="BB17" s="351">
        <f t="shared" si="4"/>
        <v>6077</v>
      </c>
      <c r="BC17" s="351">
        <f t="shared" si="5"/>
        <v>21.334035457258203</v>
      </c>
    </row>
    <row r="18" spans="1:55">
      <c r="A18" s="359">
        <v>14</v>
      </c>
      <c r="B18" s="512">
        <f>'14'!G7</f>
        <v>30407</v>
      </c>
      <c r="C18" s="512">
        <f>'14'!G8</f>
        <v>31246</v>
      </c>
      <c r="D18" s="512">
        <f>'14'!G15</f>
        <v>1054</v>
      </c>
      <c r="E18" s="512">
        <f>'14'!G20</f>
        <v>362</v>
      </c>
      <c r="F18" s="512">
        <f>SUM('14'!G35,'14'!G49)</f>
        <v>4107</v>
      </c>
      <c r="G18" s="512">
        <f>SUM('14'!G37,'14'!G51)</f>
        <v>1876</v>
      </c>
      <c r="H18" s="512">
        <f>SUM('14'!G38,'14'!G52)</f>
        <v>2478</v>
      </c>
      <c r="I18" s="512">
        <f>SUM('14'!G39,'14'!G53)</f>
        <v>3305</v>
      </c>
      <c r="J18" s="512">
        <f>SUM('14'!G41,'14'!G42,'14'!G55,'14'!G56)</f>
        <v>8134</v>
      </c>
      <c r="K18" s="512">
        <f>SUM('14'!G43,'14'!G57)</f>
        <v>3419</v>
      </c>
      <c r="L18" s="254">
        <f>'14'!G50</f>
        <v>1725</v>
      </c>
      <c r="M18" s="254">
        <f>'14'!G36</f>
        <v>1156</v>
      </c>
      <c r="N18" s="254">
        <f>'14'!G138</f>
        <v>171</v>
      </c>
      <c r="O18" s="254">
        <f>'14'!$G$139</f>
        <v>162</v>
      </c>
      <c r="P18" s="254">
        <f>'14'!$G$140</f>
        <v>0</v>
      </c>
      <c r="Q18" s="254">
        <f>'14'!$G$141</f>
        <v>205</v>
      </c>
      <c r="R18" s="254">
        <f>'14'!$G$142</f>
        <v>58</v>
      </c>
      <c r="S18" s="254">
        <f>'14'!$G$145</f>
        <v>3</v>
      </c>
      <c r="T18" s="251">
        <f>'14'!$G$146</f>
        <v>483</v>
      </c>
      <c r="U18" s="251">
        <f>'14'!$G$144</f>
        <v>252</v>
      </c>
      <c r="V18" s="251">
        <f>'14'!$G$147</f>
        <v>407</v>
      </c>
      <c r="W18" s="251">
        <f>'14'!$G$148</f>
        <v>354</v>
      </c>
      <c r="X18" s="251">
        <f>'14'!$G$143</f>
        <v>26</v>
      </c>
      <c r="Y18" s="251">
        <f>'14'!$G$58</f>
        <v>232</v>
      </c>
      <c r="Z18" s="251">
        <f>'14'!$G$151</f>
        <v>291</v>
      </c>
      <c r="AA18" s="251">
        <f>'14'!G161</f>
        <v>43</v>
      </c>
      <c r="AB18" s="251">
        <f>'14'!G162</f>
        <v>47</v>
      </c>
      <c r="AC18" s="251">
        <f>'14'!G88</f>
        <v>10.630000000001019</v>
      </c>
      <c r="AD18" s="251">
        <f>'14'!G163+'14'!G164</f>
        <v>179</v>
      </c>
      <c r="AE18" s="254">
        <f>'14'!$G$116</f>
        <v>503</v>
      </c>
      <c r="AF18" s="254">
        <f>'14'!$G$117</f>
        <v>154</v>
      </c>
      <c r="AG18" s="254">
        <f>'14'!$G$118</f>
        <v>502</v>
      </c>
      <c r="AH18" s="254">
        <f>'14'!$G$119</f>
        <v>411</v>
      </c>
      <c r="AI18" s="254">
        <f>'14'!$G$120</f>
        <v>392</v>
      </c>
      <c r="AJ18" s="254">
        <f>'14'!$G$121</f>
        <v>755</v>
      </c>
      <c r="AK18" s="254">
        <f>'14'!$G$122</f>
        <v>200</v>
      </c>
      <c r="AL18" s="254">
        <f>'14'!$G$123</f>
        <v>256</v>
      </c>
      <c r="AM18" s="254">
        <f>'14'!$G$133</f>
        <v>964</v>
      </c>
      <c r="AN18" s="254">
        <f>'14'!$G$15</f>
        <v>1054</v>
      </c>
      <c r="AO18" s="256">
        <f>'14'!$G$74</f>
        <v>325</v>
      </c>
      <c r="AP18" s="256">
        <f>'14'!$G$75</f>
        <v>0</v>
      </c>
      <c r="AQ18" s="256">
        <f>'14'!$G$76</f>
        <v>123</v>
      </c>
      <c r="AR18" s="256">
        <f>'14'!$G$77</f>
        <v>56</v>
      </c>
      <c r="AS18" s="256">
        <f>'14'!$G$78</f>
        <v>0</v>
      </c>
      <c r="AT18" s="256">
        <f t="shared" si="0"/>
        <v>550</v>
      </c>
      <c r="AU18" s="254">
        <f>SUM('14'!G91:G92)</f>
        <v>11.359999999999673</v>
      </c>
      <c r="AV18" s="254">
        <f>'14'!$G$88</f>
        <v>10.630000000001019</v>
      </c>
      <c r="AW18" s="254">
        <f>'14'!$G$89</f>
        <v>0</v>
      </c>
      <c r="AX18" s="254">
        <f>'14'!$G$90</f>
        <v>10.850000000005821</v>
      </c>
      <c r="AY18" s="252">
        <f t="shared" si="1"/>
        <v>21.480000000006839</v>
      </c>
      <c r="AZ18" s="311">
        <f t="shared" si="6"/>
        <v>28.609154929578288</v>
      </c>
      <c r="BA18" s="311">
        <f t="shared" si="3"/>
        <v>25.605214152692032</v>
      </c>
      <c r="BB18" s="351">
        <f t="shared" si="4"/>
        <v>7695</v>
      </c>
      <c r="BC18" s="351">
        <f t="shared" si="5"/>
        <v>25.306672805603974</v>
      </c>
    </row>
    <row r="19" spans="1:55">
      <c r="A19" s="359">
        <v>15</v>
      </c>
      <c r="B19" s="512">
        <f>'15'!G7</f>
        <v>27848</v>
      </c>
      <c r="C19" s="512">
        <f>'15'!G8</f>
        <v>28556</v>
      </c>
      <c r="D19" s="512">
        <f>'15'!G15</f>
        <v>998</v>
      </c>
      <c r="E19" s="512">
        <f>'15'!G20</f>
        <v>269</v>
      </c>
      <c r="F19" s="512">
        <f>SUM('15'!G35,'15'!G49)</f>
        <v>3991</v>
      </c>
      <c r="G19" s="512">
        <f>SUM('15'!G37,'15'!G51)</f>
        <v>1297</v>
      </c>
      <c r="H19" s="512">
        <f>SUM('15'!G38,'15'!G52)</f>
        <v>2419.7600000000002</v>
      </c>
      <c r="I19" s="512">
        <f>SUM('15'!G39,'15'!G53)</f>
        <v>3266</v>
      </c>
      <c r="J19" s="512">
        <f>SUM('15'!G41,'15'!G42,'15'!G55,'15'!G56)</f>
        <v>7049.7</v>
      </c>
      <c r="K19" s="512">
        <f>SUM('15'!G43,'15'!G57)</f>
        <v>3255</v>
      </c>
      <c r="L19" s="254">
        <f>'15'!G50</f>
        <v>1532</v>
      </c>
      <c r="M19" s="254">
        <f>'15'!G36</f>
        <v>895</v>
      </c>
      <c r="N19" s="254">
        <f>'15'!G138</f>
        <v>122</v>
      </c>
      <c r="O19" s="254">
        <f>'15'!$G$139</f>
        <v>148</v>
      </c>
      <c r="P19" s="254">
        <f>'15'!$G$140</f>
        <v>0</v>
      </c>
      <c r="Q19" s="254">
        <f>'15'!$G$141</f>
        <v>202</v>
      </c>
      <c r="R19" s="254">
        <f>'15'!$G$142</f>
        <v>56</v>
      </c>
      <c r="S19" s="254">
        <f>'15'!$G$145</f>
        <v>3</v>
      </c>
      <c r="T19" s="251">
        <f>'15'!$G$146</f>
        <v>491</v>
      </c>
      <c r="U19" s="251">
        <f>'15'!$G$144</f>
        <v>258</v>
      </c>
      <c r="V19" s="251">
        <f>'15'!$G$147</f>
        <v>434</v>
      </c>
      <c r="W19" s="251">
        <f>'15'!$G$148</f>
        <v>344</v>
      </c>
      <c r="X19" s="251">
        <f>'15'!$G$143</f>
        <v>30</v>
      </c>
      <c r="Y19" s="251">
        <f>'15'!$G$58</f>
        <v>224</v>
      </c>
      <c r="Z19" s="251">
        <f>'15'!$G$151</f>
        <v>287</v>
      </c>
      <c r="AA19" s="251">
        <f>'15'!G161</f>
        <v>46</v>
      </c>
      <c r="AB19" s="251">
        <f>'15'!G162</f>
        <v>52</v>
      </c>
      <c r="AC19" s="251">
        <f>'15'!G88</f>
        <v>10.25</v>
      </c>
      <c r="AD19" s="251">
        <f>'15'!G163+'15'!G164</f>
        <v>194</v>
      </c>
      <c r="AE19" s="254">
        <f>'15'!$G$116</f>
        <v>436</v>
      </c>
      <c r="AF19" s="254">
        <f>'15'!$G$117</f>
        <v>180</v>
      </c>
      <c r="AG19" s="254">
        <f>'15'!$G$118</f>
        <v>528</v>
      </c>
      <c r="AH19" s="254">
        <f>'15'!$G$119</f>
        <v>441</v>
      </c>
      <c r="AI19" s="254">
        <f>'15'!$G$120</f>
        <v>427</v>
      </c>
      <c r="AJ19" s="254">
        <f>'15'!$G$121</f>
        <v>838</v>
      </c>
      <c r="AK19" s="254">
        <f>'15'!$G$122</f>
        <v>208</v>
      </c>
      <c r="AL19" s="254">
        <f>'15'!$G$123</f>
        <v>254</v>
      </c>
      <c r="AM19" s="254">
        <f>'15'!$G$133</f>
        <v>899</v>
      </c>
      <c r="AN19" s="254">
        <f>'15'!$G$15</f>
        <v>998</v>
      </c>
      <c r="AO19" s="256">
        <f>'15'!$G$74</f>
        <v>292</v>
      </c>
      <c r="AP19" s="256">
        <f>'15'!$G$75</f>
        <v>-0.19999999999708962</v>
      </c>
      <c r="AQ19" s="256">
        <f>'15'!$G$76</f>
        <v>111</v>
      </c>
      <c r="AR19" s="256">
        <f>'15'!$G$77</f>
        <v>55</v>
      </c>
      <c r="AS19" s="256">
        <f>'15'!$G$78</f>
        <v>0</v>
      </c>
      <c r="AT19" s="256">
        <f t="shared" si="0"/>
        <v>540.19999999999709</v>
      </c>
      <c r="AU19" s="254">
        <f>SUM('15'!G91:G92)</f>
        <v>10.170000000000073</v>
      </c>
      <c r="AV19" s="254">
        <f>'15'!$G$88</f>
        <v>10.25</v>
      </c>
      <c r="AW19" s="254">
        <f>'15'!$G$89</f>
        <v>0</v>
      </c>
      <c r="AX19" s="254">
        <f>'15'!$G$90</f>
        <v>10.489999999990687</v>
      </c>
      <c r="AY19" s="252">
        <f t="shared" si="1"/>
        <v>20.739999999990687</v>
      </c>
      <c r="AZ19" s="311">
        <f t="shared" si="6"/>
        <v>28.711897738446204</v>
      </c>
      <c r="BA19" s="311">
        <f t="shared" si="3"/>
        <v>26.046287367417534</v>
      </c>
      <c r="BB19" s="351">
        <f t="shared" si="4"/>
        <v>7053.5400000000009</v>
      </c>
      <c r="BC19" s="351">
        <f t="shared" si="5"/>
        <v>25.328713013501869</v>
      </c>
    </row>
    <row r="20" spans="1:55">
      <c r="A20" s="359">
        <v>16</v>
      </c>
      <c r="B20" s="512">
        <f>'16'!G7</f>
        <v>26729</v>
      </c>
      <c r="C20" s="512">
        <f>'16'!G8</f>
        <v>27220</v>
      </c>
      <c r="D20" s="512">
        <f>'16'!G15</f>
        <v>1153</v>
      </c>
      <c r="E20" s="512">
        <f>'16'!G20</f>
        <v>362</v>
      </c>
      <c r="F20" s="512">
        <f>SUM('16'!G35,'16'!G49)</f>
        <v>3996</v>
      </c>
      <c r="G20" s="512">
        <f>SUM('16'!G37,'16'!G51)</f>
        <v>1603</v>
      </c>
      <c r="H20" s="512">
        <f>SUM('16'!G38,'16'!G52)</f>
        <v>2339</v>
      </c>
      <c r="I20" s="512">
        <f>SUM('16'!G39,'16'!G53)</f>
        <v>3268</v>
      </c>
      <c r="J20" s="512">
        <f>SUM('16'!G41,'16'!G42,'16'!G55,'16'!G56)</f>
        <v>7327</v>
      </c>
      <c r="K20" s="512">
        <f>SUM('16'!G43,'16'!G57)</f>
        <v>3191</v>
      </c>
      <c r="L20" s="254">
        <f>'16'!G50</f>
        <v>1070</v>
      </c>
      <c r="M20" s="254">
        <f>'16'!G36</f>
        <v>853</v>
      </c>
      <c r="N20" s="254">
        <f>'16'!G138</f>
        <v>123</v>
      </c>
      <c r="O20" s="254">
        <f>'16'!$G$139</f>
        <v>146</v>
      </c>
      <c r="P20" s="254">
        <f>'16'!$G$140</f>
        <v>11.399999999994179</v>
      </c>
      <c r="Q20" s="254">
        <f>'16'!$G$141</f>
        <v>189</v>
      </c>
      <c r="R20" s="254">
        <f>'16'!$G$142</f>
        <v>52</v>
      </c>
      <c r="S20" s="254">
        <f>'16'!$G$145</f>
        <v>3</v>
      </c>
      <c r="T20" s="251">
        <f>'16'!$G$146</f>
        <v>536</v>
      </c>
      <c r="U20" s="251">
        <f>'16'!$G$144</f>
        <v>256</v>
      </c>
      <c r="V20" s="251">
        <f>'16'!$G$147</f>
        <v>415</v>
      </c>
      <c r="W20" s="251">
        <f>'16'!$G$148</f>
        <v>340</v>
      </c>
      <c r="X20" s="251">
        <f>'16'!$G$143</f>
        <v>26</v>
      </c>
      <c r="Y20" s="251">
        <f>'16'!$G$58</f>
        <v>236</v>
      </c>
      <c r="Z20" s="251">
        <f>'16'!$G$151</f>
        <v>289</v>
      </c>
      <c r="AA20" s="251">
        <f>'16'!G161</f>
        <v>43</v>
      </c>
      <c r="AB20" s="251">
        <f>'16'!G162</f>
        <v>42</v>
      </c>
      <c r="AC20" s="251">
        <f>'16'!G88</f>
        <v>-2.0000000000436557E-2</v>
      </c>
      <c r="AD20" s="251">
        <f>'16'!G163+'16'!G164</f>
        <v>165</v>
      </c>
      <c r="AE20" s="254">
        <f>'16'!$G$116</f>
        <v>422</v>
      </c>
      <c r="AF20" s="254">
        <f>'16'!$G$117</f>
        <v>177</v>
      </c>
      <c r="AG20" s="254">
        <f>'16'!$G$118</f>
        <v>518</v>
      </c>
      <c r="AH20" s="254">
        <f>'16'!$G$119</f>
        <v>492</v>
      </c>
      <c r="AI20" s="254">
        <f>'16'!$G$120</f>
        <v>422</v>
      </c>
      <c r="AJ20" s="254">
        <f>'16'!$G$121</f>
        <v>849</v>
      </c>
      <c r="AK20" s="254">
        <f>'16'!$G$122</f>
        <v>206</v>
      </c>
      <c r="AL20" s="254">
        <f>'16'!$G$123</f>
        <v>240</v>
      </c>
      <c r="AM20" s="254">
        <f>'16'!$G$133</f>
        <v>890</v>
      </c>
      <c r="AN20" s="254">
        <f>'16'!$G$15</f>
        <v>1153</v>
      </c>
      <c r="AO20" s="256">
        <f>'16'!$G$74</f>
        <v>346</v>
      </c>
      <c r="AP20" s="256">
        <f>'16'!$G$75</f>
        <v>0</v>
      </c>
      <c r="AQ20" s="256">
        <f>'16'!$G$76</f>
        <v>127</v>
      </c>
      <c r="AR20" s="256">
        <f>'16'!$G$77</f>
        <v>48</v>
      </c>
      <c r="AS20" s="256">
        <f>'16'!$G$78</f>
        <v>0</v>
      </c>
      <c r="AT20" s="256">
        <f t="shared" si="0"/>
        <v>632</v>
      </c>
      <c r="AU20" s="254">
        <f>SUM('16'!G91:G92)</f>
        <v>12.340000000000146</v>
      </c>
      <c r="AV20" s="254">
        <f>'16'!$G$88</f>
        <v>-2.0000000000436557E-2</v>
      </c>
      <c r="AW20" s="254">
        <f>'16'!$G$89</f>
        <v>9.8499999999985448</v>
      </c>
      <c r="AX20" s="254">
        <f>'16'!$G$90</f>
        <v>11.460000000006403</v>
      </c>
      <c r="AY20" s="252">
        <f t="shared" si="1"/>
        <v>21.290000000004511</v>
      </c>
      <c r="AZ20" s="311">
        <f t="shared" si="6"/>
        <v>28.038897893030462</v>
      </c>
      <c r="BA20" s="311">
        <f t="shared" si="3"/>
        <v>29.68529826208859</v>
      </c>
      <c r="BB20" s="351">
        <f t="shared" si="4"/>
        <v>5260</v>
      </c>
      <c r="BC20" s="351">
        <f t="shared" si="5"/>
        <v>19.679000336712932</v>
      </c>
    </row>
    <row r="21" spans="1:55">
      <c r="A21" s="359">
        <v>17</v>
      </c>
      <c r="B21" s="512">
        <f>'17'!G7</f>
        <v>28087</v>
      </c>
      <c r="C21" s="512">
        <f>'17'!G8</f>
        <v>28641</v>
      </c>
      <c r="D21" s="512">
        <f>'17'!G15</f>
        <v>1081</v>
      </c>
      <c r="E21" s="512">
        <f>'17'!G20</f>
        <v>270</v>
      </c>
      <c r="F21" s="512">
        <f>SUM('17'!G35,'17'!G49)</f>
        <v>3966</v>
      </c>
      <c r="G21" s="512">
        <f>SUM('17'!G37,'17'!G51)</f>
        <v>1602</v>
      </c>
      <c r="H21" s="512">
        <f>SUM('17'!G38,'17'!G52)</f>
        <v>2369</v>
      </c>
      <c r="I21" s="512">
        <f>SUM('17'!G39,'17'!G53)</f>
        <v>3351</v>
      </c>
      <c r="J21" s="512">
        <f>SUM('17'!G41,'17'!G42,'17'!G55,'17'!G56)</f>
        <v>7873.3</v>
      </c>
      <c r="K21" s="512">
        <f>SUM('17'!G43,'17'!G57)</f>
        <v>3298</v>
      </c>
      <c r="L21" s="254">
        <f>'17'!G50</f>
        <v>1428</v>
      </c>
      <c r="M21" s="254">
        <f>'17'!G36</f>
        <v>1067</v>
      </c>
      <c r="N21" s="254">
        <f>'18 '!G138</f>
        <v>159</v>
      </c>
      <c r="O21" s="254">
        <f>'17'!$G$139</f>
        <v>150</v>
      </c>
      <c r="P21" s="254">
        <f>'17'!$G$140</f>
        <v>2</v>
      </c>
      <c r="Q21" s="254">
        <f>'17'!$G$141</f>
        <v>201</v>
      </c>
      <c r="R21" s="254">
        <f>'17'!$G$142</f>
        <v>59</v>
      </c>
      <c r="S21" s="254">
        <f>'17'!$G$145</f>
        <v>4</v>
      </c>
      <c r="T21" s="251">
        <f>'17'!$G$146</f>
        <v>434</v>
      </c>
      <c r="U21" s="251">
        <f>'17'!$G$144</f>
        <v>256</v>
      </c>
      <c r="V21" s="251">
        <f>'17'!$G$147</f>
        <v>467</v>
      </c>
      <c r="W21" s="251">
        <f>'17'!$G$148</f>
        <v>361</v>
      </c>
      <c r="X21" s="251">
        <f>'17'!$G$143</f>
        <v>28</v>
      </c>
      <c r="Y21" s="251">
        <f>'17'!$G$58</f>
        <v>239</v>
      </c>
      <c r="Z21" s="251">
        <f>'17'!$G$151</f>
        <v>278</v>
      </c>
      <c r="AA21" s="251">
        <f>'17'!G161</f>
        <v>48</v>
      </c>
      <c r="AB21" s="251">
        <f>'17'!G162</f>
        <v>16</v>
      </c>
      <c r="AC21" s="251">
        <f>'17'!G88</f>
        <v>10.380000000001019</v>
      </c>
      <c r="AD21" s="251">
        <f>'17'!G163+'17'!G164</f>
        <v>161</v>
      </c>
      <c r="AE21" s="254">
        <f>'17'!$G$116</f>
        <v>439</v>
      </c>
      <c r="AF21" s="254">
        <f>'17'!$G$117</f>
        <v>171</v>
      </c>
      <c r="AG21" s="254">
        <f>'17'!$G$118</f>
        <v>511</v>
      </c>
      <c r="AH21" s="254">
        <f>'17'!$G$119</f>
        <v>459</v>
      </c>
      <c r="AI21" s="254">
        <f>'17'!$G$120</f>
        <v>419</v>
      </c>
      <c r="AJ21" s="254">
        <f>'17'!$G$121</f>
        <v>787</v>
      </c>
      <c r="AK21" s="254">
        <f>'17'!$G$122</f>
        <v>189</v>
      </c>
      <c r="AL21" s="254">
        <f>'17'!$G$123</f>
        <v>248</v>
      </c>
      <c r="AM21" s="254">
        <f>'17'!$G$133</f>
        <v>878</v>
      </c>
      <c r="AN21" s="254">
        <f>'17'!$G$15</f>
        <v>1081</v>
      </c>
      <c r="AO21" s="256">
        <f>'17'!$G$74</f>
        <v>346</v>
      </c>
      <c r="AP21" s="256">
        <f>'17'!$G$75</f>
        <v>0</v>
      </c>
      <c r="AQ21" s="256">
        <f>'17'!$G$76</f>
        <v>119</v>
      </c>
      <c r="AR21" s="256">
        <f>'17'!$G$77</f>
        <v>59</v>
      </c>
      <c r="AS21" s="256">
        <f>'17'!$G$78</f>
        <v>0</v>
      </c>
      <c r="AT21" s="256">
        <f t="shared" si="0"/>
        <v>557</v>
      </c>
      <c r="AU21" s="254">
        <f>SUM('17'!G91:G92)</f>
        <v>12</v>
      </c>
      <c r="AV21" s="254">
        <f>'17'!$G$88</f>
        <v>10.380000000001019</v>
      </c>
      <c r="AW21" s="254">
        <f>'17'!$G$89</f>
        <v>1</v>
      </c>
      <c r="AX21" s="254">
        <f>'17'!$G$90</f>
        <v>10</v>
      </c>
      <c r="AY21" s="252">
        <f t="shared" si="1"/>
        <v>21.380000000001019</v>
      </c>
      <c r="AZ21" s="311">
        <f t="shared" si="6"/>
        <v>28.833333333333332</v>
      </c>
      <c r="BA21" s="311">
        <f t="shared" si="3"/>
        <v>26.052385406921115</v>
      </c>
      <c r="BB21" s="351">
        <f t="shared" si="4"/>
        <v>5942.7000000000007</v>
      </c>
      <c r="BC21" s="351">
        <f t="shared" si="5"/>
        <v>21.158187061629938</v>
      </c>
    </row>
    <row r="22" spans="1:55">
      <c r="A22" s="359">
        <v>18</v>
      </c>
      <c r="B22" s="512">
        <f>'18 '!G7</f>
        <v>27376</v>
      </c>
      <c r="C22" s="512">
        <f>'18 '!G8</f>
        <v>27917</v>
      </c>
      <c r="D22" s="512">
        <f>'18 '!G15</f>
        <v>1092</v>
      </c>
      <c r="E22" s="512">
        <f>'18 '!G20</f>
        <v>255</v>
      </c>
      <c r="F22" s="512">
        <f>SUM('18 '!G35,'18 '!G49)</f>
        <v>3926</v>
      </c>
      <c r="G22" s="512">
        <f>SUM('18 '!G37,'18 '!G51)</f>
        <v>1696</v>
      </c>
      <c r="H22" s="512">
        <f>SUM('18 '!G38,'18 '!G52)</f>
        <v>2295</v>
      </c>
      <c r="I22" s="512">
        <f>SUM('18 '!G39,'18 '!G53)</f>
        <v>3285</v>
      </c>
      <c r="J22" s="512">
        <f>SUM('18 '!G41,'18 '!G42,'18 '!G55,'18 '!G56)</f>
        <v>7242</v>
      </c>
      <c r="K22" s="512">
        <f>SUM('18 '!G43,'18 '!G57)</f>
        <v>3303</v>
      </c>
      <c r="L22" s="254">
        <f>'18 '!G50</f>
        <v>1432</v>
      </c>
      <c r="M22" s="254">
        <f>'18 '!G36</f>
        <v>1020</v>
      </c>
      <c r="N22" s="254">
        <f>'18 '!G138</f>
        <v>159</v>
      </c>
      <c r="O22" s="254">
        <f>'18 '!$G$139</f>
        <v>147</v>
      </c>
      <c r="P22" s="254">
        <f>'18 '!$G$140</f>
        <v>1</v>
      </c>
      <c r="Q22" s="254">
        <f>'18 '!$G$141</f>
        <v>191</v>
      </c>
      <c r="R22" s="254">
        <f>'18 '!$G$142</f>
        <v>61</v>
      </c>
      <c r="S22" s="254">
        <f>'18 '!$G$145</f>
        <v>2</v>
      </c>
      <c r="T22" s="251">
        <f>'18 '!$G$146</f>
        <v>443</v>
      </c>
      <c r="U22" s="251">
        <f>'18 '!$G$144</f>
        <v>252</v>
      </c>
      <c r="V22" s="256">
        <f>'18 '!$G$147</f>
        <v>412</v>
      </c>
      <c r="W22" s="256">
        <f>'18 '!$G$148</f>
        <v>351</v>
      </c>
      <c r="X22" s="256">
        <f>'18 '!$G$143</f>
        <v>25</v>
      </c>
      <c r="Y22" s="256">
        <f>'18 '!$G$58</f>
        <v>241</v>
      </c>
      <c r="Z22" s="256">
        <f>'18 '!$G$151</f>
        <v>277</v>
      </c>
      <c r="AA22" s="256">
        <f>'18 '!G161</f>
        <v>206</v>
      </c>
      <c r="AB22" s="251">
        <f>'18 '!G162</f>
        <v>36</v>
      </c>
      <c r="AC22" s="251">
        <f>'18 '!G88</f>
        <v>8.6199999999989814</v>
      </c>
      <c r="AD22" s="251">
        <f>'18 '!G163+'18 '!G164</f>
        <v>170</v>
      </c>
      <c r="AE22" s="254">
        <f>'18 '!$G$116</f>
        <v>416</v>
      </c>
      <c r="AF22" s="254">
        <f>'18 '!$G$117</f>
        <v>229</v>
      </c>
      <c r="AG22" s="254">
        <f>'18 '!$G$118</f>
        <v>542</v>
      </c>
      <c r="AH22" s="254">
        <f>'18 '!$G$119</f>
        <v>398</v>
      </c>
      <c r="AI22" s="254">
        <f>'18 '!$G$120</f>
        <v>415</v>
      </c>
      <c r="AJ22" s="254">
        <f>'18 '!$G$121</f>
        <v>763</v>
      </c>
      <c r="AK22" s="254">
        <f>'18 '!$G$122</f>
        <v>195</v>
      </c>
      <c r="AL22" s="254">
        <f>'18 '!$G$123</f>
        <v>254</v>
      </c>
      <c r="AM22" s="254">
        <f>'18 '!$G$133</f>
        <v>888</v>
      </c>
      <c r="AN22" s="254">
        <f>'18 '!$G$15</f>
        <v>1092</v>
      </c>
      <c r="AO22" s="256">
        <f>'18 '!$G$74</f>
        <v>314</v>
      </c>
      <c r="AP22" s="256">
        <f>'18 '!$G$75</f>
        <v>0</v>
      </c>
      <c r="AQ22" s="256">
        <f>'18 '!$G$76</f>
        <v>114</v>
      </c>
      <c r="AR22" s="256">
        <f>'18 '!$G$77</f>
        <v>45</v>
      </c>
      <c r="AS22" s="256">
        <f>'18 '!$G$78</f>
        <v>0</v>
      </c>
      <c r="AT22" s="256">
        <f t="shared" si="0"/>
        <v>619</v>
      </c>
      <c r="AU22" s="254">
        <f>SUM('18 '!G91:G92)</f>
        <v>11</v>
      </c>
      <c r="AV22" s="254">
        <f>'18 '!$G$88</f>
        <v>8.6199999999989814</v>
      </c>
      <c r="AW22" s="254">
        <f>'18 '!$G$89</f>
        <v>5</v>
      </c>
      <c r="AX22" s="254">
        <f>'18 '!$G$90</f>
        <v>6</v>
      </c>
      <c r="AY22" s="252">
        <f t="shared" si="1"/>
        <v>19.619999999998981</v>
      </c>
      <c r="AZ22" s="311">
        <f t="shared" si="6"/>
        <v>28.545454545454547</v>
      </c>
      <c r="BA22" s="311">
        <f t="shared" si="3"/>
        <v>31.549439347606125</v>
      </c>
      <c r="BB22" s="351">
        <f t="shared" si="4"/>
        <v>5929</v>
      </c>
      <c r="BC22" s="351">
        <f t="shared" si="5"/>
        <v>21.657656341320866</v>
      </c>
    </row>
    <row r="23" spans="1:55" s="313" customFormat="1">
      <c r="A23" s="359">
        <v>19</v>
      </c>
      <c r="B23" s="512">
        <f>'19'!G7</f>
        <v>27150</v>
      </c>
      <c r="C23" s="512">
        <f>'19'!G8</f>
        <v>27928</v>
      </c>
      <c r="D23" s="512">
        <f>'19'!G15</f>
        <v>1090</v>
      </c>
      <c r="E23" s="512">
        <f>'19'!G20</f>
        <v>274</v>
      </c>
      <c r="F23" s="512">
        <f>SUM('19'!G35,'19'!G49)</f>
        <v>3887</v>
      </c>
      <c r="G23" s="512">
        <f>SUM('19'!G37,'19'!G51)</f>
        <v>1723</v>
      </c>
      <c r="H23" s="512">
        <f>SUM('19'!G38,'19'!G52)</f>
        <v>2295</v>
      </c>
      <c r="I23" s="512">
        <f>SUM('19'!G39,'19'!G53)</f>
        <v>3229</v>
      </c>
      <c r="J23" s="512">
        <f>SUM('19'!G41,'19'!G42,'19'!G55,'19'!G56)</f>
        <v>5840</v>
      </c>
      <c r="K23" s="512">
        <f>SUM('19'!G43,'19'!G57)</f>
        <v>3310</v>
      </c>
      <c r="L23" s="251">
        <f>'19'!G50</f>
        <v>1258</v>
      </c>
      <c r="M23" s="251">
        <f>'19'!G36</f>
        <v>1171</v>
      </c>
      <c r="N23" s="251">
        <f>'19'!G138</f>
        <v>158</v>
      </c>
      <c r="O23" s="251">
        <f>'19'!$G$139</f>
        <v>152</v>
      </c>
      <c r="P23" s="251">
        <f>'19'!$G$140</f>
        <v>1</v>
      </c>
      <c r="Q23" s="251">
        <f>'19'!$G$141</f>
        <v>201</v>
      </c>
      <c r="R23" s="254">
        <f>'19'!G142</f>
        <v>60</v>
      </c>
      <c r="S23" s="251">
        <f>'19'!$G$145</f>
        <v>4</v>
      </c>
      <c r="T23" s="251">
        <f>'19'!$G$146</f>
        <v>460</v>
      </c>
      <c r="U23" s="251">
        <f>'19'!$G$144</f>
        <v>241</v>
      </c>
      <c r="V23" s="251">
        <f>'19'!$G$147</f>
        <v>424</v>
      </c>
      <c r="W23" s="251">
        <f>'19'!$G$148</f>
        <v>402</v>
      </c>
      <c r="X23" s="251">
        <f>'19'!$G$143</f>
        <v>28</v>
      </c>
      <c r="Y23" s="251">
        <f>'19'!$G$58</f>
        <v>248</v>
      </c>
      <c r="Z23" s="251">
        <f>'19'!$G$151</f>
        <v>286</v>
      </c>
      <c r="AA23" s="251">
        <f>'19'!G161</f>
        <v>159</v>
      </c>
      <c r="AB23" s="251">
        <f>'19'!G162</f>
        <v>42</v>
      </c>
      <c r="AC23" s="251">
        <f>'19'!G88</f>
        <v>10</v>
      </c>
      <c r="AD23" s="251">
        <f>'19'!G163+'19'!G164</f>
        <v>152</v>
      </c>
      <c r="AE23" s="251">
        <f>'19'!$G$116</f>
        <v>431</v>
      </c>
      <c r="AF23" s="251">
        <f>'19'!$G$117</f>
        <v>165</v>
      </c>
      <c r="AG23" s="251">
        <f>'19'!$G$118</f>
        <v>521</v>
      </c>
      <c r="AH23" s="251">
        <f>'19'!$G$119</f>
        <v>433</v>
      </c>
      <c r="AI23" s="251">
        <f>'19'!$G$120</f>
        <v>407</v>
      </c>
      <c r="AJ23" s="251">
        <f>'19'!$G$121</f>
        <v>816</v>
      </c>
      <c r="AK23" s="251">
        <f>'19'!$G$122</f>
        <v>211</v>
      </c>
      <c r="AL23" s="251">
        <f>'19'!$G$123</f>
        <v>252</v>
      </c>
      <c r="AM23" s="251">
        <f>'19'!$G$133</f>
        <v>877</v>
      </c>
      <c r="AN23" s="251">
        <f>'19'!$G$15</f>
        <v>1090</v>
      </c>
      <c r="AO23" s="256">
        <f>'19'!$G$74</f>
        <v>331</v>
      </c>
      <c r="AP23" s="256">
        <f>'19'!$G$75</f>
        <v>0</v>
      </c>
      <c r="AQ23" s="256">
        <f>'19'!$G$76</f>
        <v>99</v>
      </c>
      <c r="AR23" s="256">
        <f>'19'!$G$77</f>
        <v>47</v>
      </c>
      <c r="AS23" s="256">
        <f>'19'!$G$78</f>
        <v>0</v>
      </c>
      <c r="AT23" s="256">
        <f t="shared" si="0"/>
        <v>613</v>
      </c>
      <c r="AU23" s="251">
        <f>SUM('19'!G91:G92)</f>
        <v>12.480000000000018</v>
      </c>
      <c r="AV23" s="251">
        <f>'19'!$G$88</f>
        <v>10</v>
      </c>
      <c r="AW23" s="251">
        <f>'19'!$G$89</f>
        <v>3</v>
      </c>
      <c r="AX23" s="251">
        <f>'19'!$G$90</f>
        <v>9</v>
      </c>
      <c r="AY23" s="255">
        <f t="shared" si="1"/>
        <v>22</v>
      </c>
      <c r="AZ23" s="311">
        <f t="shared" si="6"/>
        <v>26.522435897435859</v>
      </c>
      <c r="BA23" s="311">
        <f t="shared" si="3"/>
        <v>27.863636363636363</v>
      </c>
      <c r="BB23" s="351">
        <f t="shared" si="4"/>
        <v>7396</v>
      </c>
      <c r="BC23" s="351">
        <f t="shared" si="5"/>
        <v>27.241252302025782</v>
      </c>
    </row>
    <row r="24" spans="1:55">
      <c r="A24" s="359">
        <v>20</v>
      </c>
      <c r="B24" s="512">
        <f>'20'!G7</f>
        <v>27361.430000000051</v>
      </c>
      <c r="C24" s="512">
        <f>'20'!G8</f>
        <v>28067.069999999949</v>
      </c>
      <c r="D24" s="512">
        <f>'20'!G15</f>
        <v>1090.6999999999534</v>
      </c>
      <c r="E24" s="512">
        <f>'20'!G20</f>
        <v>307</v>
      </c>
      <c r="F24" s="512">
        <f>SUM('20'!G35,'20'!G49)</f>
        <v>4020.4599999999919</v>
      </c>
      <c r="G24" s="512">
        <f>SUM('20'!G37,'20'!G51)</f>
        <v>1793.1700000000128</v>
      </c>
      <c r="H24" s="512">
        <f>SUM('20'!G38,'20'!G52)</f>
        <v>2268.9100000000035</v>
      </c>
      <c r="I24" s="512">
        <f>SUM('20'!G39,'20'!G53)</f>
        <v>3276.3699999999953</v>
      </c>
      <c r="J24" s="512">
        <f>SUM('20'!G41,'20'!G42,'20'!G55,'20'!G56)</f>
        <v>6519.3600000000151</v>
      </c>
      <c r="K24" s="512">
        <f>SUM('20'!G43,'20'!G57)</f>
        <v>3343.6500000000233</v>
      </c>
      <c r="L24" s="254">
        <f>'20'!G50</f>
        <v>1170.4200000000128</v>
      </c>
      <c r="M24" s="254">
        <f>'20'!G36</f>
        <v>912.80999999999767</v>
      </c>
      <c r="N24" s="254">
        <f>'20'!G138</f>
        <v>154</v>
      </c>
      <c r="O24" s="254">
        <f>'20'!$G$139</f>
        <v>127</v>
      </c>
      <c r="P24" s="254">
        <f>'20'!$G$140</f>
        <v>1</v>
      </c>
      <c r="Q24" s="254">
        <f>'20'!$G$141</f>
        <v>186.19000000000233</v>
      </c>
      <c r="R24" s="254">
        <f>'20'!$G$142</f>
        <v>60.930000000000291</v>
      </c>
      <c r="S24" s="254">
        <f>'20'!$G$145</f>
        <v>3.8000000000001819</v>
      </c>
      <c r="T24" s="251">
        <f>'20'!$G$146</f>
        <v>545</v>
      </c>
      <c r="U24" s="251">
        <f>'20'!$G$144</f>
        <v>229</v>
      </c>
      <c r="V24" s="251">
        <f>'20'!$G$147</f>
        <v>402.28000000002794</v>
      </c>
      <c r="W24" s="251">
        <f>'20'!$G$148</f>
        <v>320.47999999998137</v>
      </c>
      <c r="X24" s="251">
        <f>'20'!$G$143</f>
        <v>31.279999999999745</v>
      </c>
      <c r="Y24" s="251">
        <f>'20'!$G$58</f>
        <v>205.5</v>
      </c>
      <c r="Z24" s="251">
        <f>'20'!$G$151</f>
        <v>280</v>
      </c>
      <c r="AA24" s="251">
        <f>'20'!G161</f>
        <v>18.840000000025611</v>
      </c>
      <c r="AB24" s="251">
        <f>'20'!G162</f>
        <v>45.899999999994179</v>
      </c>
      <c r="AC24" s="251">
        <f>'20'!G88</f>
        <v>0</v>
      </c>
      <c r="AD24" s="251">
        <f>'20'!G163+'20'!G164</f>
        <v>164.60000000000582</v>
      </c>
      <c r="AE24" s="254">
        <f>'20'!$G$116</f>
        <v>416.27000000000044</v>
      </c>
      <c r="AF24" s="254">
        <f>'20'!$G$117</f>
        <v>145.88999999999942</v>
      </c>
      <c r="AG24" s="254">
        <f>'20'!$G$118</f>
        <v>534.23</v>
      </c>
      <c r="AH24" s="254">
        <f>'20'!$G$119</f>
        <v>457.43000000000006</v>
      </c>
      <c r="AI24" s="254">
        <f>'20'!$G$120</f>
        <v>401.03999999999996</v>
      </c>
      <c r="AJ24" s="254">
        <f>'20'!$G$121</f>
        <v>837.5</v>
      </c>
      <c r="AK24" s="254">
        <f>'20'!$G$122</f>
        <v>242.30999999999995</v>
      </c>
      <c r="AL24" s="254">
        <f>'20'!$G$123</f>
        <v>257.17000000001281</v>
      </c>
      <c r="AM24" s="254">
        <f>'20'!$G$133</f>
        <v>973.17999999999302</v>
      </c>
      <c r="AN24" s="254">
        <f>'20'!$G$15</f>
        <v>1090.6999999999534</v>
      </c>
      <c r="AO24" s="256">
        <f>'20'!$G$74</f>
        <v>333.11999999999534</v>
      </c>
      <c r="AP24" s="256">
        <f>'20'!$G$75</f>
        <v>0</v>
      </c>
      <c r="AQ24" s="256">
        <f>'20'!$G$76</f>
        <v>125.57999999998719</v>
      </c>
      <c r="AR24" s="256">
        <f>'20'!$G$77</f>
        <v>50.5</v>
      </c>
      <c r="AS24" s="256">
        <f>'20'!$G$78</f>
        <v>0</v>
      </c>
      <c r="AT24" s="256">
        <f t="shared" si="0"/>
        <v>581.4999999999709</v>
      </c>
      <c r="AU24" s="254">
        <f>SUM('20'!G91:G92)</f>
        <v>12.079999999999927</v>
      </c>
      <c r="AV24" s="254">
        <f>'20'!$G$88</f>
        <v>0</v>
      </c>
      <c r="AW24" s="254">
        <f>'20'!$G$89</f>
        <v>9.1899999999986903</v>
      </c>
      <c r="AX24" s="254">
        <f>'20'!$G$90</f>
        <v>11.490000000005239</v>
      </c>
      <c r="AY24" s="252">
        <f t="shared" si="1"/>
        <v>20.680000000003929</v>
      </c>
      <c r="AZ24" s="311">
        <f t="shared" si="6"/>
        <v>27.576158940397132</v>
      </c>
      <c r="BA24" s="311">
        <f t="shared" si="3"/>
        <v>28.118955512565783</v>
      </c>
      <c r="BB24" s="351">
        <f t="shared" si="4"/>
        <v>6639.6499999999069</v>
      </c>
      <c r="BC24" s="351">
        <f t="shared" si="5"/>
        <v>24.266458295490747</v>
      </c>
    </row>
    <row r="25" spans="1:55">
      <c r="A25" s="359">
        <v>21</v>
      </c>
      <c r="B25" s="512">
        <f>'21'!G7</f>
        <v>28729.279999999912</v>
      </c>
      <c r="C25" s="512">
        <f>'21'!G8</f>
        <v>29272.920000000042</v>
      </c>
      <c r="D25" s="512">
        <f>'21'!G15</f>
        <v>1136.9899999999907</v>
      </c>
      <c r="E25" s="512">
        <f>'21'!G20</f>
        <v>277</v>
      </c>
      <c r="F25" s="512">
        <f>SUM('21'!G35,'21'!G49)</f>
        <v>4041.6199999999953</v>
      </c>
      <c r="G25" s="512">
        <f>SUM('21'!G37,'21'!G51)</f>
        <v>1751.9499999999825</v>
      </c>
      <c r="H25" s="512">
        <f>SUM('21'!G38,'21'!G52)</f>
        <v>2476.7799999999988</v>
      </c>
      <c r="I25" s="512">
        <f>SUM('21'!G39,'21'!G53)</f>
        <v>3181.3800000000047</v>
      </c>
      <c r="J25" s="512">
        <f>SUM('21'!G41,'21'!G42,'21'!G55,'21'!G56)</f>
        <v>7678.4199999999837</v>
      </c>
      <c r="K25" s="512">
        <f>SUM('21'!G43,'21'!G57)</f>
        <v>3448.6199999999953</v>
      </c>
      <c r="L25" s="254">
        <f>'21'!G50</f>
        <v>1720.7299999999814</v>
      </c>
      <c r="M25" s="254">
        <f>'21'!G36</f>
        <v>1318.2200000000012</v>
      </c>
      <c r="N25" s="254">
        <f>'21'!G138</f>
        <v>139</v>
      </c>
      <c r="O25" s="254">
        <f>'21'!$G$139</f>
        <v>191</v>
      </c>
      <c r="P25" s="254">
        <f>'21'!$G$140</f>
        <v>3.8999999999941792</v>
      </c>
      <c r="Q25" s="254">
        <f>'21'!$G$141</f>
        <v>202.19000000000233</v>
      </c>
      <c r="R25" s="254">
        <f>'21'!$G$142</f>
        <v>57.380000000001019</v>
      </c>
      <c r="S25" s="254">
        <f>'21'!$G$145</f>
        <v>2.8000000000001819</v>
      </c>
      <c r="T25" s="251">
        <f>'21'!$G$146</f>
        <v>426</v>
      </c>
      <c r="U25" s="251">
        <f>'21'!$G$144</f>
        <v>232</v>
      </c>
      <c r="V25" s="251">
        <f>'21'!$G$147</f>
        <v>465.67999999993481</v>
      </c>
      <c r="W25" s="251">
        <f>'21'!$G$148</f>
        <v>430.95999999996275</v>
      </c>
      <c r="X25" s="251">
        <f>'21'!$G$143</f>
        <v>33.010000000000218</v>
      </c>
      <c r="Y25" s="251">
        <f>'21'!$G$58</f>
        <v>238.88000000000102</v>
      </c>
      <c r="Z25" s="251">
        <f>'21'!$G$151</f>
        <v>299</v>
      </c>
      <c r="AA25" s="251">
        <f>'21'!G161</f>
        <v>23.159999999974389</v>
      </c>
      <c r="AB25" s="251">
        <f>'21'!G162</f>
        <v>41.5</v>
      </c>
      <c r="AC25" s="251">
        <f>'21'!G88</f>
        <v>-0.31000000000130967</v>
      </c>
      <c r="AD25" s="251">
        <f>'21'!G163+'21'!G164</f>
        <v>172.69999999999163</v>
      </c>
      <c r="AE25" s="254">
        <f>'21'!$G$116</f>
        <v>361.59999999999854</v>
      </c>
      <c r="AF25" s="254">
        <f>'21'!$G$117</f>
        <v>200.35000000000218</v>
      </c>
      <c r="AG25" s="254">
        <f>'21'!$G$118</f>
        <v>542.90000000000009</v>
      </c>
      <c r="AH25" s="254">
        <f>'21'!$G$119</f>
        <v>447.01</v>
      </c>
      <c r="AI25" s="254">
        <f>'21'!$G$120</f>
        <v>396.61999999999989</v>
      </c>
      <c r="AJ25" s="254">
        <f>'21'!$G$121</f>
        <v>749.89000000000033</v>
      </c>
      <c r="AK25" s="254">
        <f>'21'!$G$122</f>
        <v>187.71000000000004</v>
      </c>
      <c r="AL25" s="254">
        <f>'21'!$G$123</f>
        <v>247.13999999998487</v>
      </c>
      <c r="AM25" s="254">
        <f>'21'!$G$133</f>
        <v>956.41000000000349</v>
      </c>
      <c r="AN25" s="254">
        <f>'21'!$G$15</f>
        <v>1136.9899999999907</v>
      </c>
      <c r="AO25" s="256">
        <f>'21'!$G$74</f>
        <v>311.35999999998603</v>
      </c>
      <c r="AP25" s="256">
        <f>'21'!$G$75</f>
        <v>0</v>
      </c>
      <c r="AQ25" s="256">
        <f>'21'!$G$76</f>
        <v>124.24000000001979</v>
      </c>
      <c r="AR25" s="256">
        <f>'21'!$G$77</f>
        <v>42.400000000001455</v>
      </c>
      <c r="AS25" s="256">
        <f>'21'!$G$78</f>
        <v>0</v>
      </c>
      <c r="AT25" s="256">
        <f t="shared" si="0"/>
        <v>658.98999999998341</v>
      </c>
      <c r="AU25" s="254">
        <f>SUM('21'!G91:G92)</f>
        <v>11.429999999999836</v>
      </c>
      <c r="AV25" s="254">
        <f>'21'!$G$88</f>
        <v>-0.31000000000130967</v>
      </c>
      <c r="AW25" s="254">
        <f>'21'!$G$89</f>
        <v>9.930000000000291</v>
      </c>
      <c r="AX25" s="254">
        <f>'21'!$G$90</f>
        <v>12.519999999989523</v>
      </c>
      <c r="AY25" s="252">
        <f t="shared" si="1"/>
        <v>22.139999999988504</v>
      </c>
      <c r="AZ25" s="311">
        <f t="shared" si="6"/>
        <v>27.240594925633463</v>
      </c>
      <c r="BA25" s="311">
        <f t="shared" si="3"/>
        <v>29.764679313474506</v>
      </c>
      <c r="BB25" s="351">
        <f t="shared" si="4"/>
        <v>6455.2700000000805</v>
      </c>
      <c r="BC25" s="351">
        <f t="shared" si="5"/>
        <v>22.469306575034601</v>
      </c>
    </row>
    <row r="26" spans="1:55">
      <c r="A26" s="359">
        <v>22</v>
      </c>
      <c r="B26" s="512">
        <f>'22'!G7</f>
        <v>28537.080000000075</v>
      </c>
      <c r="C26" s="512">
        <f>'22'!G8</f>
        <v>29201.040000000037</v>
      </c>
      <c r="D26" s="512">
        <f>'22'!G15</f>
        <v>1078.8900000001304</v>
      </c>
      <c r="E26" s="512">
        <f>'22'!G20</f>
        <v>296</v>
      </c>
      <c r="F26" s="512">
        <f>SUM('22'!G35,'22'!G49)</f>
        <v>3924.460000000021</v>
      </c>
      <c r="G26" s="512">
        <f>SUM('22'!G37,'22'!G51)</f>
        <v>1773.3300000000163</v>
      </c>
      <c r="H26" s="512">
        <f>SUM('22'!G38,'22'!G52)</f>
        <v>2323.6000000000058</v>
      </c>
      <c r="I26" s="512">
        <f>SUM('22'!G39,'22'!G53)</f>
        <v>3155.179999999993</v>
      </c>
      <c r="J26" s="512">
        <f>SUM('22'!G41,'22'!G42,'22'!G55,'22'!G56)</f>
        <v>8506.1299999999756</v>
      </c>
      <c r="K26" s="512">
        <f>SUM('22'!G43,'22'!G57)</f>
        <v>3471.6199999999953</v>
      </c>
      <c r="L26" s="254">
        <f>'22'!G50</f>
        <v>1197.1199999999953</v>
      </c>
      <c r="M26" s="254">
        <f>'22'!G36</f>
        <v>1008.9499999999971</v>
      </c>
      <c r="N26" s="254">
        <f>'22'!G138</f>
        <v>137</v>
      </c>
      <c r="O26" s="254">
        <f>'22'!$G$139</f>
        <v>166</v>
      </c>
      <c r="P26" s="254">
        <f>'22'!$G$140</f>
        <v>1.5</v>
      </c>
      <c r="Q26" s="254">
        <f>'22'!$G$141</f>
        <v>203.27999999999884</v>
      </c>
      <c r="R26" s="254">
        <f>'22'!$G$142</f>
        <v>62.109999999996944</v>
      </c>
      <c r="S26" s="254">
        <f>'22'!$G$145</f>
        <v>2.4399999999995998</v>
      </c>
      <c r="T26" s="251">
        <f>'22'!$G$146</f>
        <v>483</v>
      </c>
      <c r="U26" s="251">
        <f>'22'!$G$144</f>
        <v>230</v>
      </c>
      <c r="V26" s="251">
        <f>'22'!$G$147</f>
        <v>423.20000000006985</v>
      </c>
      <c r="W26" s="251">
        <f>'22'!$G$148</f>
        <v>329.04000000003725</v>
      </c>
      <c r="X26" s="251">
        <f>'22'!$G$143</f>
        <v>27.869999999999891</v>
      </c>
      <c r="Y26" s="251">
        <f>'22'!$G$58</f>
        <v>217.97999999999956</v>
      </c>
      <c r="Z26" s="251">
        <f>'22'!$G$151</f>
        <v>262</v>
      </c>
      <c r="AA26" s="251">
        <f>'22'!G161</f>
        <v>23.840000000025611</v>
      </c>
      <c r="AB26" s="251">
        <f>'22'!G162</f>
        <v>36.30000000000291</v>
      </c>
      <c r="AC26" s="251">
        <f>'22'!G88</f>
        <v>0</v>
      </c>
      <c r="AD26" s="251">
        <f>'22'!G163+'22'!G164</f>
        <v>186.19999999999982</v>
      </c>
      <c r="AE26" s="254">
        <f>'22'!$G$116</f>
        <v>281.47999999999956</v>
      </c>
      <c r="AF26" s="254">
        <f>'22'!$G$117</f>
        <v>133.87999999999738</v>
      </c>
      <c r="AG26" s="254">
        <f>'22'!$G$118</f>
        <v>553.6899999999996</v>
      </c>
      <c r="AH26" s="254">
        <f>'22'!$G$119</f>
        <v>462.67999999999984</v>
      </c>
      <c r="AI26" s="254">
        <f>'22'!$G$120</f>
        <v>409.77</v>
      </c>
      <c r="AJ26" s="254">
        <f>'22'!$G$121</f>
        <v>798.35999999999967</v>
      </c>
      <c r="AK26" s="254">
        <f>'22'!$G$122</f>
        <v>203.30999999999995</v>
      </c>
      <c r="AL26" s="254">
        <f>'22'!$G$123</f>
        <v>244.22000000000116</v>
      </c>
      <c r="AM26" s="254">
        <f>'22'!$G$133</f>
        <v>905.19000000000233</v>
      </c>
      <c r="AN26" s="254">
        <f>'22'!$G$15</f>
        <v>1078.8900000001304</v>
      </c>
      <c r="AO26" s="256">
        <f>'22'!$G$74</f>
        <v>321.5</v>
      </c>
      <c r="AP26" s="256">
        <f>'22'!$G$75</f>
        <v>0</v>
      </c>
      <c r="AQ26" s="256">
        <f>'22'!$G$76</f>
        <v>114.86999999999534</v>
      </c>
      <c r="AR26" s="256">
        <f>'22'!$G$77</f>
        <v>54.400000000001455</v>
      </c>
      <c r="AS26" s="256">
        <f>'22'!$G$78</f>
        <v>0</v>
      </c>
      <c r="AT26" s="256">
        <f t="shared" si="0"/>
        <v>588.12000000013359</v>
      </c>
      <c r="AU26" s="254">
        <f>SUM('22'!G91:G92)</f>
        <v>11.890000000000327</v>
      </c>
      <c r="AV26" s="254">
        <f>'22'!$G$88</f>
        <v>0</v>
      </c>
      <c r="AW26" s="254">
        <f>'22'!$G$89</f>
        <v>9.1000000000021828</v>
      </c>
      <c r="AX26" s="254">
        <f>'22'!$G$90</f>
        <v>10.75</v>
      </c>
      <c r="AY26" s="252">
        <f t="shared" si="1"/>
        <v>19.850000000002183</v>
      </c>
      <c r="AZ26" s="311">
        <f t="shared" si="6"/>
        <v>27.03952901597907</v>
      </c>
      <c r="BA26" s="311">
        <f t="shared" si="3"/>
        <v>29.628211586905234</v>
      </c>
      <c r="BB26" s="351">
        <f t="shared" si="4"/>
        <v>5828.7400000000307</v>
      </c>
      <c r="BC26" s="351">
        <f t="shared" si="5"/>
        <v>20.425145109450632</v>
      </c>
    </row>
    <row r="27" spans="1:55">
      <c r="A27" s="359">
        <v>23</v>
      </c>
      <c r="B27" s="512">
        <f>'23'!G7</f>
        <v>30904.520000000019</v>
      </c>
      <c r="C27" s="512">
        <f>'23'!G8</f>
        <v>31648.400000000023</v>
      </c>
      <c r="D27" s="512">
        <f>'23'!G15</f>
        <v>1118.1399999998976</v>
      </c>
      <c r="E27" s="512">
        <f>'23'!G20</f>
        <v>291</v>
      </c>
      <c r="F27" s="512">
        <f>SUM('23'!G35,'23'!G49)</f>
        <v>3923.4200000000128</v>
      </c>
      <c r="G27" s="512">
        <f>SUM('23'!G37,'23'!G51)</f>
        <v>1861.7399999999907</v>
      </c>
      <c r="H27" s="512">
        <f>SUM('23'!G38,'23'!G52)</f>
        <v>2416.6600000000035</v>
      </c>
      <c r="I27" s="512">
        <f>SUM('23'!G39,'23'!G53)</f>
        <v>3156.7999999999884</v>
      </c>
      <c r="J27" s="512">
        <f>SUM('23'!G41,'23'!G42,'23'!G55,'23'!G56)</f>
        <v>9799.2200000000503</v>
      </c>
      <c r="K27" s="512">
        <f>SUM('23'!G43,'23'!G57)</f>
        <v>3760.5599999999977</v>
      </c>
      <c r="L27" s="254">
        <f>'23'!G50</f>
        <v>1403.3300000000163</v>
      </c>
      <c r="M27" s="254">
        <f>'23'!G36</f>
        <v>1296.0200000000041</v>
      </c>
      <c r="N27" s="254">
        <f>'23'!G138</f>
        <v>181</v>
      </c>
      <c r="O27" s="254">
        <f>'23'!G139</f>
        <v>145</v>
      </c>
      <c r="P27" s="254">
        <f>'23'!$G$140</f>
        <v>1.6000000000058208</v>
      </c>
      <c r="Q27" s="254">
        <f>'23'!$G$141</f>
        <v>207.75</v>
      </c>
      <c r="R27" s="254">
        <f>'23'!$G$142</f>
        <v>63.070000000003347</v>
      </c>
      <c r="S27" s="254">
        <f>'23'!$G$145</f>
        <v>2.3400000000001455</v>
      </c>
      <c r="T27" s="251">
        <f>'23'!$G$146</f>
        <v>501</v>
      </c>
      <c r="U27" s="251">
        <f>'23'!$G$144</f>
        <v>206</v>
      </c>
      <c r="V27" s="251">
        <f>'23'!$G$147</f>
        <v>488.8399999999674</v>
      </c>
      <c r="W27" s="251">
        <f>'23'!$G$148</f>
        <v>443.04000000003725</v>
      </c>
      <c r="X27" s="251">
        <f>'23'!$G$143</f>
        <v>31.210000000000036</v>
      </c>
      <c r="Y27" s="251">
        <f>'23'!$G$58</f>
        <v>232.84000000000015</v>
      </c>
      <c r="Z27" s="251">
        <f>'23'!$G$151</f>
        <v>296</v>
      </c>
      <c r="AA27" s="251">
        <f>'23'!$G$161</f>
        <v>23.479999999981374</v>
      </c>
      <c r="AB27" s="251">
        <f>'23'!G162</f>
        <v>18.100000000005821</v>
      </c>
      <c r="AC27" s="251">
        <f>'23'!G88</f>
        <v>7.6300000000010186</v>
      </c>
      <c r="AD27" s="251">
        <f>'23'!G163+'23'!G164</f>
        <v>159.50000000000546</v>
      </c>
      <c r="AE27" s="254">
        <f>'23'!$G$116</f>
        <v>400.2400000000016</v>
      </c>
      <c r="AF27" s="254">
        <f>'23'!$G$117</f>
        <v>89.880000000001019</v>
      </c>
      <c r="AG27" s="254">
        <f>'23'!$G$118</f>
        <v>524.18000000000029</v>
      </c>
      <c r="AH27" s="254">
        <f>'23'!$G$119</f>
        <v>454.90000000000009</v>
      </c>
      <c r="AI27" s="254">
        <f>'23'!$G$120</f>
        <v>417.91000000000031</v>
      </c>
      <c r="AJ27" s="254">
        <f>'23'!$G$121</f>
        <v>813.14999999999964</v>
      </c>
      <c r="AK27" s="254">
        <f>'23'!$G$122</f>
        <v>241.22000000000025</v>
      </c>
      <c r="AL27" s="254">
        <f>'23'!$G$123</f>
        <v>284</v>
      </c>
      <c r="AM27" s="254">
        <f>'23'!$G$133</f>
        <v>987.52999999999884</v>
      </c>
      <c r="AN27" s="254">
        <f>'23'!$G$15</f>
        <v>1118.1399999998976</v>
      </c>
      <c r="AO27" s="256">
        <f>'23'!$G$74</f>
        <v>318.35999999998603</v>
      </c>
      <c r="AP27" s="256">
        <f>'23'!$G$75</f>
        <v>0</v>
      </c>
      <c r="AQ27" s="256">
        <f>'23'!$G$76</f>
        <v>121.41000000000349</v>
      </c>
      <c r="AR27" s="256">
        <f>'23'!$G$77</f>
        <v>57.69999999999709</v>
      </c>
      <c r="AS27" s="256">
        <f>'23'!$G$78</f>
        <v>0</v>
      </c>
      <c r="AT27" s="256">
        <f t="shared" si="0"/>
        <v>620.66999999991094</v>
      </c>
      <c r="AU27" s="254">
        <f>SUM('23'!G91:G92)</f>
        <v>11.7199999999998</v>
      </c>
      <c r="AV27" s="254">
        <f>'23'!$G$88</f>
        <v>7.6300000000010186</v>
      </c>
      <c r="AW27" s="254">
        <f>'23'!$G$89</f>
        <v>3.4799999999995634</v>
      </c>
      <c r="AX27" s="254">
        <f>'23'!$G$90</f>
        <v>11.180000000007567</v>
      </c>
      <c r="AY27" s="252">
        <f t="shared" si="1"/>
        <v>22.290000000008149</v>
      </c>
      <c r="AZ27" s="311">
        <f t="shared" si="6"/>
        <v>27.16382252559654</v>
      </c>
      <c r="BA27" s="311">
        <f t="shared" si="3"/>
        <v>27.845222072664157</v>
      </c>
      <c r="BB27" s="351">
        <f t="shared" si="4"/>
        <v>6497.159999999978</v>
      </c>
      <c r="BC27" s="351">
        <f t="shared" si="5"/>
        <v>21.023332509289819</v>
      </c>
    </row>
    <row r="28" spans="1:55" s="315" customFormat="1">
      <c r="A28" s="359">
        <v>24</v>
      </c>
      <c r="B28" s="512">
        <f>'24'!G7</f>
        <v>29992.689999999944</v>
      </c>
      <c r="C28" s="512">
        <f>'24'!G8</f>
        <v>30546.469999999972</v>
      </c>
      <c r="D28" s="512">
        <f>'24'!G15</f>
        <v>1099.2700000000186</v>
      </c>
      <c r="E28" s="512">
        <f>'24'!G20</f>
        <v>307</v>
      </c>
      <c r="F28" s="512">
        <f>SUM('24'!G35,'24'!G49)</f>
        <v>3918.0599999999977</v>
      </c>
      <c r="G28" s="512">
        <f>SUM('24'!G37,'24'!G51)</f>
        <v>1735.3999999999942</v>
      </c>
      <c r="H28" s="512">
        <f>SUM('24'!G38,'24'!G52)</f>
        <v>2360.7799999999788</v>
      </c>
      <c r="I28" s="512">
        <f>SUM('24'!G39,'24'!G53)</f>
        <v>3178.3800000000047</v>
      </c>
      <c r="J28" s="512">
        <f>SUM('24'!G41,'24'!G42,'24'!G55,'24'!G56)</f>
        <v>10213.349999999973</v>
      </c>
      <c r="K28" s="512">
        <f>SUM('24'!G43,'24'!G57)</f>
        <v>3676.7799999999697</v>
      </c>
      <c r="L28" s="254">
        <f>'24'!G50</f>
        <v>1356.2699999999895</v>
      </c>
      <c r="M28" s="251">
        <f>'24'!G36</f>
        <v>1272.2700000000041</v>
      </c>
      <c r="N28" s="251">
        <f>'24'!G138</f>
        <v>177</v>
      </c>
      <c r="O28" s="251">
        <f>'24'!G139</f>
        <v>143</v>
      </c>
      <c r="P28" s="251">
        <f>'24'!$G$140</f>
        <v>0</v>
      </c>
      <c r="Q28" s="251">
        <f>'24'!$G$141</f>
        <v>222.22999999999593</v>
      </c>
      <c r="R28" s="251">
        <f>'24'!$G$142</f>
        <v>56.819999999999709</v>
      </c>
      <c r="S28" s="251">
        <f>'24'!$G$145</f>
        <v>3.4899999999997817</v>
      </c>
      <c r="T28" s="251">
        <f>'24'!$G$146</f>
        <v>383</v>
      </c>
      <c r="U28" s="251">
        <f>'24'!$G$144</f>
        <v>215</v>
      </c>
      <c r="V28" s="251">
        <f>'24'!$G$147</f>
        <v>468.52000000001863</v>
      </c>
      <c r="W28" s="251">
        <f>'24'!$G$148</f>
        <v>478.31999999994878</v>
      </c>
      <c r="X28" s="251">
        <f>'24'!$G$143</f>
        <v>29.829999999999927</v>
      </c>
      <c r="Y28" s="251">
        <f>'24'!$G$58</f>
        <v>240.5</v>
      </c>
      <c r="Z28" s="251">
        <f>'24'!$G$151</f>
        <v>292</v>
      </c>
      <c r="AA28" s="251">
        <f>'24'!G161</f>
        <v>24.320000000006985</v>
      </c>
      <c r="AB28" s="251">
        <f>'24'!G162</f>
        <v>11.30000000000291</v>
      </c>
      <c r="AC28" s="251">
        <f>'24'!G88</f>
        <v>4.6899999999986903</v>
      </c>
      <c r="AD28" s="251">
        <f>'24'!G163+'24'!G164</f>
        <v>164.89999999999145</v>
      </c>
      <c r="AE28" s="251">
        <f>'24'!$G$116</f>
        <v>423.40999999999985</v>
      </c>
      <c r="AF28" s="251">
        <f>'24'!$G$117</f>
        <v>130.66999999999825</v>
      </c>
      <c r="AG28" s="251">
        <f>'24'!$G$118</f>
        <v>529.70100000000002</v>
      </c>
      <c r="AH28" s="251">
        <f>'24'!$G$119</f>
        <v>448.2199999999998</v>
      </c>
      <c r="AI28" s="251">
        <f>'24'!$G$120</f>
        <v>423.94999999999982</v>
      </c>
      <c r="AJ28" s="251">
        <f>'24'!$G$121</f>
        <v>780.67000000000007</v>
      </c>
      <c r="AK28" s="251">
        <f>'24'!$G$122</f>
        <v>200.15999999999985</v>
      </c>
      <c r="AL28" s="251">
        <f>'24'!$G$123</f>
        <v>5.8100000000000023</v>
      </c>
      <c r="AM28" s="251">
        <f>'24'!$G$133</f>
        <v>952.64999999999418</v>
      </c>
      <c r="AN28" s="251">
        <f>'24'!$G$15</f>
        <v>1099.2700000000186</v>
      </c>
      <c r="AO28" s="256">
        <f>'24'!$G$74</f>
        <v>292.45000000006985</v>
      </c>
      <c r="AP28" s="256">
        <f>'24'!$G$75</f>
        <v>0</v>
      </c>
      <c r="AQ28" s="256">
        <f>'24'!$G$76</f>
        <v>143.79999999998836</v>
      </c>
      <c r="AR28" s="256">
        <f>'24'!$G$77</f>
        <v>50.19999999999709</v>
      </c>
      <c r="AS28" s="256">
        <f>'24'!$G$78</f>
        <v>-0.6000000000003638</v>
      </c>
      <c r="AT28" s="256">
        <f>AN28-SUM(AO28:AS28)</f>
        <v>613.41999999996369</v>
      </c>
      <c r="AU28" s="251">
        <f>SUM('24'!G91:G92)</f>
        <v>10.7800000000002</v>
      </c>
      <c r="AV28" s="251">
        <f>'24'!$G$88</f>
        <v>4.6899999999986903</v>
      </c>
      <c r="AW28" s="251">
        <f>'24'!$G$89</f>
        <v>7.3099999999976717</v>
      </c>
      <c r="AX28" s="251">
        <f>'24'!$G$90</f>
        <v>5.8499999999912689</v>
      </c>
      <c r="AY28" s="255">
        <f t="shared" si="1"/>
        <v>17.849999999987631</v>
      </c>
      <c r="AZ28" s="311">
        <f t="shared" si="6"/>
        <v>27.128942486091319</v>
      </c>
      <c r="BA28" s="311">
        <f t="shared" si="3"/>
        <v>34.365266106464354</v>
      </c>
      <c r="BB28" s="351">
        <f t="shared" si="4"/>
        <v>5223.2200000000521</v>
      </c>
      <c r="BC28" s="351">
        <f t="shared" si="5"/>
        <v>17.414976782676252</v>
      </c>
    </row>
    <row r="29" spans="1:55">
      <c r="A29" s="359">
        <v>25</v>
      </c>
      <c r="B29" s="512">
        <f>'25'!G7</f>
        <v>27505</v>
      </c>
      <c r="C29" s="512">
        <f>'25'!G8</f>
        <v>27904.099999999977</v>
      </c>
      <c r="D29" s="512">
        <f>'25'!G15</f>
        <v>1092.0100000000093</v>
      </c>
      <c r="E29" s="512">
        <f>'25'!G20</f>
        <v>381</v>
      </c>
      <c r="F29" s="512">
        <f>SUM('25'!G35,'25'!G49)</f>
        <v>3975.4799999999814</v>
      </c>
      <c r="G29" s="512">
        <f>SUM('25'!G37,'25'!G51)</f>
        <v>1762.0599999999977</v>
      </c>
      <c r="H29" s="512">
        <f>SUM('25'!G38,'25'!G52)</f>
        <v>2402.460000000021</v>
      </c>
      <c r="I29" s="512">
        <f>SUM('25'!G39,'25'!G53)</f>
        <v>3106.2800000000279</v>
      </c>
      <c r="J29" s="512">
        <f>SUM('25'!G41,'25'!G42,'25'!G55,'25'!G56)</f>
        <v>8766.0600000000341</v>
      </c>
      <c r="K29" s="512">
        <f>SUM('25'!G43,'25'!G57)</f>
        <v>3475.4000000000233</v>
      </c>
      <c r="L29" s="254">
        <f>'25'!G50</f>
        <v>1088.4800000000105</v>
      </c>
      <c r="M29" s="254">
        <f>'25'!G36</f>
        <v>935.1299999999901</v>
      </c>
      <c r="N29" s="254">
        <f>'25'!G138</f>
        <v>155</v>
      </c>
      <c r="O29" s="254">
        <f>'25'!$G$139</f>
        <v>147</v>
      </c>
      <c r="P29" s="254">
        <f>'25'!$G$140</f>
        <v>0</v>
      </c>
      <c r="Q29" s="254">
        <f>'25'!$G$141</f>
        <v>197.55999999999767</v>
      </c>
      <c r="R29" s="254">
        <f>'25'!$G$142</f>
        <v>69.590000000000146</v>
      </c>
      <c r="S29" s="254">
        <f>'25'!$G$145</f>
        <v>3.4800000000004729</v>
      </c>
      <c r="T29" s="251">
        <f>'25'!$G$146</f>
        <v>320</v>
      </c>
      <c r="U29" s="251">
        <f>'25'!$G$144</f>
        <v>214</v>
      </c>
      <c r="V29" s="251">
        <f>'25'!$G$147</f>
        <v>399.04000000003725</v>
      </c>
      <c r="W29" s="251">
        <f>'25'!$G$148</f>
        <v>266</v>
      </c>
      <c r="X29" s="251">
        <f>'25'!$G$143</f>
        <v>26.850000000000364</v>
      </c>
      <c r="Y29" s="251">
        <f>'25'!$G$58</f>
        <v>237.86000000000058</v>
      </c>
      <c r="Z29" s="251">
        <f>'25'!$G$151</f>
        <v>280</v>
      </c>
      <c r="AA29" s="251">
        <f>'25'!G161</f>
        <v>20.35999999998603</v>
      </c>
      <c r="AB29" s="251">
        <f>'25'!G162</f>
        <v>41.799999999988358</v>
      </c>
      <c r="AC29" s="251">
        <f>'25'!G88</f>
        <v>0</v>
      </c>
      <c r="AD29" s="251">
        <f>'25'!G163+'25'!G164</f>
        <v>156.10000000000582</v>
      </c>
      <c r="AE29" s="254">
        <f>'25'!$G$116</f>
        <v>348.97000000000116</v>
      </c>
      <c r="AF29" s="254">
        <f>'25'!$G$117</f>
        <v>242.33000000000175</v>
      </c>
      <c r="AG29" s="254">
        <f>'25'!$G$118</f>
        <v>520.62899999999991</v>
      </c>
      <c r="AH29" s="254">
        <f>'25'!$G$119</f>
        <v>467.26000000000022</v>
      </c>
      <c r="AI29" s="254">
        <f>'25'!$G$120</f>
        <v>435.51000000000022</v>
      </c>
      <c r="AJ29" s="254">
        <f>'25'!$G$121</f>
        <v>680.70000000000073</v>
      </c>
      <c r="AK29" s="254">
        <f>'25'!$G$122</f>
        <v>217.23999999999978</v>
      </c>
      <c r="AL29" s="254">
        <f>'25'!$G$123</f>
        <v>8</v>
      </c>
      <c r="AM29" s="254">
        <f>'25'!$G$133</f>
        <v>920.63000000000466</v>
      </c>
      <c r="AN29" s="254">
        <f>'25'!$G$15</f>
        <v>1092.0100000000093</v>
      </c>
      <c r="AO29" s="256">
        <f>'25'!$G$74</f>
        <v>328.10999999998603</v>
      </c>
      <c r="AP29" s="256">
        <f>'25'!$G$75</f>
        <v>0</v>
      </c>
      <c r="AQ29" s="256">
        <f>'25'!$G$76</f>
        <v>108.10000000000582</v>
      </c>
      <c r="AR29" s="256">
        <f>'25'!$G$77</f>
        <v>43.80000000000291</v>
      </c>
      <c r="AS29" s="256">
        <f>'25'!$G$78</f>
        <v>-0.3999999999996362</v>
      </c>
      <c r="AT29" s="256">
        <f t="shared" si="0"/>
        <v>612.40000000001419</v>
      </c>
      <c r="AU29" s="254">
        <f>SUM('25'!G91:G92)</f>
        <v>12.049999999999727</v>
      </c>
      <c r="AV29" s="254">
        <f>'25'!$G$88</f>
        <v>0</v>
      </c>
      <c r="AW29" s="254">
        <f>'25'!$G$89</f>
        <v>10.340000000000146</v>
      </c>
      <c r="AX29" s="254">
        <f>'25'!$G$90</f>
        <v>10.610000000000582</v>
      </c>
      <c r="AY29" s="252">
        <f t="shared" si="1"/>
        <v>20.950000000000728</v>
      </c>
      <c r="BA29" s="311">
        <f t="shared" si="3"/>
        <v>29.23150357995193</v>
      </c>
      <c r="BB29" s="351">
        <f t="shared" si="4"/>
        <v>4178.4999999998909</v>
      </c>
      <c r="BC29" s="351">
        <f t="shared" si="5"/>
        <v>15.19178331212467</v>
      </c>
    </row>
    <row r="30" spans="1:55">
      <c r="A30" s="359">
        <v>26</v>
      </c>
      <c r="B30" s="512">
        <f>'26'!G7</f>
        <v>27309</v>
      </c>
      <c r="C30" s="512">
        <f>'26'!G8</f>
        <v>27688</v>
      </c>
      <c r="D30" s="512">
        <f>'26'!G15</f>
        <v>1116</v>
      </c>
      <c r="E30" s="512">
        <f>'26'!G20</f>
        <v>328</v>
      </c>
      <c r="F30" s="512">
        <f>SUM('26'!G35,'26'!G49)</f>
        <v>3821.2000000000116</v>
      </c>
      <c r="G30" s="512">
        <f>SUM('26'!G37,'26'!G51)</f>
        <v>1702.9800000000105</v>
      </c>
      <c r="H30" s="512">
        <f>SUM('26'!G38,'26'!G52)</f>
        <v>2440.0999999999767</v>
      </c>
      <c r="I30" s="512">
        <f>SUM('26'!G39,'26'!G53)</f>
        <v>2871.9400000000023</v>
      </c>
      <c r="J30" s="512">
        <f>SUM('26'!G41,'26'!G42,'26'!G55,'26'!G56)</f>
        <v>9058.4999999999527</v>
      </c>
      <c r="K30" s="512">
        <f>SUM('26'!G43,'26'!G57)</f>
        <v>3310.7999999999884</v>
      </c>
      <c r="L30" s="254">
        <f>'26'!G50</f>
        <v>1098.8500000000058</v>
      </c>
      <c r="M30" s="254">
        <f>'26'!G36</f>
        <v>1097.4500000000116</v>
      </c>
      <c r="N30" s="254">
        <f>'26'!G138</f>
        <v>144</v>
      </c>
      <c r="O30" s="254">
        <f>'26'!$G$139</f>
        <v>144</v>
      </c>
      <c r="P30" s="254">
        <f>'26'!$G$140</f>
        <v>0</v>
      </c>
      <c r="Q30" s="254">
        <f>'26'!$G$141</f>
        <v>197</v>
      </c>
      <c r="R30" s="254">
        <f>'26'!$G$142</f>
        <v>68.899999999997817</v>
      </c>
      <c r="S30" s="254">
        <f>'26'!$G$145</f>
        <v>2.2399999999997817</v>
      </c>
      <c r="T30" s="251">
        <f>'26'!$G$146</f>
        <v>85</v>
      </c>
      <c r="U30" s="251">
        <f>'26'!$G$144</f>
        <v>265</v>
      </c>
      <c r="V30" s="251">
        <f>'26'!$G$147</f>
        <v>444.43999999994412</v>
      </c>
      <c r="W30" s="251">
        <f>'26'!$G$148</f>
        <v>330.1600000000326</v>
      </c>
      <c r="X30" s="251">
        <f>'26'!$G$143</f>
        <v>30.909999999999854</v>
      </c>
      <c r="Y30" s="251">
        <f>'26'!$G$58</f>
        <v>241.79999999999927</v>
      </c>
      <c r="Z30" s="251">
        <f>'26'!$G$151</f>
        <v>304</v>
      </c>
      <c r="AA30" s="251">
        <f>'26'!G161</f>
        <v>25</v>
      </c>
      <c r="AB30" s="251">
        <f>'26'!G162</f>
        <v>47.100000000005821</v>
      </c>
      <c r="AC30" s="251">
        <f>'26'!G88</f>
        <v>0</v>
      </c>
      <c r="AD30" s="251">
        <f>'26'!G163+'26'!G164</f>
        <v>150.50000000000273</v>
      </c>
      <c r="AE30" s="254">
        <f>'26'!$G$116</f>
        <v>332.87999999999738</v>
      </c>
      <c r="AF30" s="254">
        <f>'26'!$G$117</f>
        <v>76</v>
      </c>
      <c r="AG30" s="254">
        <f>'26'!$G$118</f>
        <v>507.78999999999996</v>
      </c>
      <c r="AH30" s="254">
        <f>'26'!$G$119</f>
        <v>455.76000000000022</v>
      </c>
      <c r="AI30" s="254">
        <f>'26'!$G$120</f>
        <v>425.19999999999982</v>
      </c>
      <c r="AJ30" s="254">
        <f>'26'!$G$121</f>
        <v>493.52999999999884</v>
      </c>
      <c r="AK30" s="254">
        <f>'26'!$G$122</f>
        <v>238.15000000000009</v>
      </c>
      <c r="AL30" s="254">
        <f>'26'!$G$123</f>
        <v>11.899999999999977</v>
      </c>
      <c r="AM30" s="254">
        <f>'26'!$G$133</f>
        <v>868.16000000000349</v>
      </c>
      <c r="AN30" s="254">
        <f>'26'!$G$15</f>
        <v>1116</v>
      </c>
      <c r="AO30" s="256">
        <f>'26'!$G$74</f>
        <v>306.09999999997672</v>
      </c>
      <c r="AP30" s="256">
        <f>'26'!$G$75</f>
        <v>0</v>
      </c>
      <c r="AQ30" s="256">
        <f>'26'!$G$76</f>
        <v>122</v>
      </c>
      <c r="AR30" s="256">
        <f>'26'!$G$77</f>
        <v>56</v>
      </c>
      <c r="AS30" s="256">
        <f>'26'!$G$78</f>
        <v>0.3999999999996362</v>
      </c>
      <c r="AT30" s="256">
        <f t="shared" si="0"/>
        <v>631.50000000002365</v>
      </c>
      <c r="AU30" s="254">
        <f>SUM('26'!G91:G92)</f>
        <v>10.990000000000236</v>
      </c>
      <c r="AV30" s="254">
        <f>'26'!$G$88</f>
        <v>0</v>
      </c>
      <c r="AW30" s="254">
        <f>'26'!$G$89</f>
        <v>10.25</v>
      </c>
      <c r="AX30" s="254">
        <f>'26'!$G$90</f>
        <v>9.4600000000064028</v>
      </c>
      <c r="AY30" s="252">
        <f t="shared" si="1"/>
        <v>19.710000000006403</v>
      </c>
      <c r="BA30" s="311">
        <f t="shared" si="3"/>
        <v>32.039573820386529</v>
      </c>
      <c r="BB30" s="351">
        <f t="shared" si="4"/>
        <v>4240.6800000000585</v>
      </c>
      <c r="BC30" s="351">
        <f t="shared" si="5"/>
        <v>15.528507085576399</v>
      </c>
    </row>
    <row r="31" spans="1:55">
      <c r="A31" s="359">
        <v>27</v>
      </c>
      <c r="B31" s="512">
        <f>'27'!G7</f>
        <v>27348</v>
      </c>
      <c r="C31" s="512">
        <f>'27'!G8</f>
        <v>27760</v>
      </c>
      <c r="D31" s="512">
        <f>'27'!G15</f>
        <v>1061</v>
      </c>
      <c r="E31" s="512">
        <f>'27'!G20</f>
        <v>280</v>
      </c>
      <c r="F31" s="512">
        <f>SUM('27'!G35,'27'!G49)</f>
        <v>3833.2999999999884</v>
      </c>
      <c r="G31" s="512">
        <f>SUM('27'!G37,'27'!G51)</f>
        <v>1751.3699999999953</v>
      </c>
      <c r="H31" s="512">
        <f>SUM('27'!G38,'27'!G52)</f>
        <v>2459.9500000000116</v>
      </c>
      <c r="I31" s="512">
        <f>SUM('27'!G39,'27'!G53)</f>
        <v>2859.6699999999837</v>
      </c>
      <c r="J31" s="512">
        <f>SUM('27'!G41,'27'!G42,'27'!G55,'27'!G56)</f>
        <v>9133.9600000000155</v>
      </c>
      <c r="K31" s="512">
        <f>SUM('27'!G43,'27'!G57)</f>
        <v>3295.570000000007</v>
      </c>
      <c r="L31" s="254">
        <f>'27'!G50</f>
        <v>1105.7999999999884</v>
      </c>
      <c r="M31" s="254">
        <f>'27'!G36</f>
        <v>1058.1499999999942</v>
      </c>
      <c r="N31" s="254">
        <f>'27'!G138</f>
        <v>169</v>
      </c>
      <c r="O31" s="254">
        <f>'27'!$G$139</f>
        <v>156</v>
      </c>
      <c r="P31" s="254">
        <f>'27'!$G$140</f>
        <v>0</v>
      </c>
      <c r="Q31" s="254">
        <f>'27'!$G$141</f>
        <v>189.80000000000291</v>
      </c>
      <c r="R31" s="254">
        <f>'27'!$G$142</f>
        <v>68.200000000000728</v>
      </c>
      <c r="S31" s="254">
        <f>'27'!$G$145</f>
        <v>0.40999999999985448</v>
      </c>
      <c r="T31" s="251">
        <f>'27'!$G$146</f>
        <v>8</v>
      </c>
      <c r="U31" s="251">
        <f>'27'!$G$144</f>
        <v>259</v>
      </c>
      <c r="V31" s="251">
        <f>'27'!$G$147</f>
        <v>412</v>
      </c>
      <c r="W31" s="251">
        <f>'27'!$G$148</f>
        <v>380</v>
      </c>
      <c r="X31" s="251">
        <f>'27'!$G$143</f>
        <v>27.039999999999964</v>
      </c>
      <c r="Y31" s="251">
        <f>'27'!$G$58</f>
        <v>215.63999999999942</v>
      </c>
      <c r="Z31" s="251">
        <f>'27'!$G$151</f>
        <v>301</v>
      </c>
      <c r="AA31" s="251">
        <f>'27'!G161</f>
        <v>24</v>
      </c>
      <c r="AB31" s="251">
        <f>'27'!G162</f>
        <v>44</v>
      </c>
      <c r="AC31" s="251">
        <f>'27'!G88</f>
        <v>-9.9999999983992893E-3</v>
      </c>
      <c r="AD31" s="251">
        <f>'27'!G163+'27'!G164</f>
        <v>175.49999999999727</v>
      </c>
      <c r="AE31" s="254">
        <f>'27'!$G$116</f>
        <v>328.15000000000146</v>
      </c>
      <c r="AF31" s="254">
        <f>'27'!$G$117</f>
        <v>165</v>
      </c>
      <c r="AG31" s="254">
        <f>'27'!$G$118</f>
        <v>527.88000000000011</v>
      </c>
      <c r="AH31" s="254">
        <f>'27'!$G$119</f>
        <v>443.73999999999978</v>
      </c>
      <c r="AI31" s="254">
        <f>'27'!$G$120</f>
        <v>427</v>
      </c>
      <c r="AJ31" s="254">
        <f>'27'!$G$121</f>
        <v>435.20000000000073</v>
      </c>
      <c r="AK31" s="254">
        <f>'27'!$G$122</f>
        <v>239.90000000000009</v>
      </c>
      <c r="AL31" s="254">
        <f>'27'!$G$123</f>
        <v>202.29000000000002</v>
      </c>
      <c r="AM31" s="254">
        <f>'27'!$G$133</f>
        <v>862.25</v>
      </c>
      <c r="AN31" s="254">
        <f>'27'!$G$15</f>
        <v>1061</v>
      </c>
      <c r="AO31" s="254">
        <f>'27'!$G$74</f>
        <v>317</v>
      </c>
      <c r="AP31" s="254">
        <f>'27'!$G$75</f>
        <v>0</v>
      </c>
      <c r="AQ31" s="254">
        <f>'27'!$G$76</f>
        <v>121</v>
      </c>
      <c r="AR31" s="254">
        <f>'27'!$G$77</f>
        <v>46</v>
      </c>
      <c r="AS31" s="254">
        <f>'27'!$G$78</f>
        <v>-0.3999999999996362</v>
      </c>
      <c r="AT31" s="254">
        <f t="shared" si="0"/>
        <v>577.39999999999964</v>
      </c>
      <c r="AU31" s="254">
        <f>SUM('27'!G91:G92)</f>
        <v>11.949999999999818</v>
      </c>
      <c r="AV31" s="254">
        <f>'27'!$G$88</f>
        <v>-9.9999999983992893E-3</v>
      </c>
      <c r="AW31" s="254">
        <f>'27'!$G$89</f>
        <v>8.9900000000016007</v>
      </c>
      <c r="AX31" s="254">
        <f>'27'!$G$90</f>
        <v>9.5299999999988358</v>
      </c>
      <c r="AY31" s="252">
        <f t="shared" si="1"/>
        <v>18.510000000002037</v>
      </c>
      <c r="BA31" s="311">
        <f t="shared" si="3"/>
        <v>31.193949216636202</v>
      </c>
      <c r="BB31" s="351">
        <f t="shared" si="4"/>
        <v>4210.5400000000009</v>
      </c>
      <c r="BC31" s="351">
        <f t="shared" si="5"/>
        <v>15.396153283603923</v>
      </c>
    </row>
    <row r="32" spans="1:55">
      <c r="A32" s="359">
        <v>28</v>
      </c>
      <c r="B32" s="512">
        <f>'28'!G7</f>
        <v>28316</v>
      </c>
      <c r="C32" s="512">
        <f>'28'!G8</f>
        <v>28771</v>
      </c>
      <c r="D32" s="512">
        <f>'28'!G15</f>
        <v>1107</v>
      </c>
      <c r="E32" s="512">
        <f>'28'!G20</f>
        <v>313</v>
      </c>
      <c r="F32" s="512">
        <f>SUM('28'!G35,'28'!G49)</f>
        <v>3943</v>
      </c>
      <c r="G32" s="512">
        <f>SUM('28'!G37,'28'!G51)</f>
        <v>1728</v>
      </c>
      <c r="H32" s="512">
        <f>SUM('28'!G38,'28'!G52)</f>
        <v>2374</v>
      </c>
      <c r="I32" s="512">
        <f>SUM('28'!G39,'28'!G53)</f>
        <v>2899</v>
      </c>
      <c r="J32" s="512">
        <f>SUM('28'!G41,'28'!G42,'28'!G55,'28'!G56)</f>
        <v>9987</v>
      </c>
      <c r="K32" s="512">
        <f>SUM('28'!G43,'28'!G57)</f>
        <v>3306</v>
      </c>
      <c r="L32" s="254">
        <f>'28'!G50</f>
        <v>1379</v>
      </c>
      <c r="M32" s="254">
        <f>'28'!G36</f>
        <v>886</v>
      </c>
      <c r="N32" s="254">
        <f>'28'!G138</f>
        <v>154</v>
      </c>
      <c r="O32" s="254">
        <f>'28'!$G$139</f>
        <v>97</v>
      </c>
      <c r="P32" s="254">
        <f>'28'!$G$140</f>
        <v>11</v>
      </c>
      <c r="Q32" s="254">
        <f>'28'!$G$141</f>
        <v>201</v>
      </c>
      <c r="R32" s="254">
        <f>'28'!$G$142</f>
        <v>69</v>
      </c>
      <c r="S32" s="254">
        <f>'28'!$G$145</f>
        <v>2</v>
      </c>
      <c r="T32" s="251">
        <f>'28'!$G$146</f>
        <v>7</v>
      </c>
      <c r="U32" s="251">
        <f>'28'!$G$144</f>
        <v>237</v>
      </c>
      <c r="V32" s="251">
        <f>'28'!$G$147</f>
        <v>371</v>
      </c>
      <c r="W32" s="251">
        <f>'28'!$G$148</f>
        <v>334</v>
      </c>
      <c r="X32" s="251">
        <f>'28'!$G$143</f>
        <v>31</v>
      </c>
      <c r="Y32" s="251">
        <f>'28'!$G$58</f>
        <v>230</v>
      </c>
      <c r="Z32" s="251">
        <f>'28'!$G$151</f>
        <v>260</v>
      </c>
      <c r="AA32" s="251">
        <f>'28'!G161</f>
        <v>25</v>
      </c>
      <c r="AB32" s="251">
        <f>'28'!G162</f>
        <v>41</v>
      </c>
      <c r="AC32" s="251">
        <f>'28'!G88</f>
        <v>1.1699999999982538</v>
      </c>
      <c r="AD32" s="251">
        <f>'28'!G163+'28'!G164</f>
        <v>199</v>
      </c>
      <c r="AE32" s="254">
        <f>'28'!$G$116</f>
        <v>307</v>
      </c>
      <c r="AF32" s="254">
        <f>'28'!$G$117</f>
        <v>181</v>
      </c>
      <c r="AG32" s="254">
        <f>'28'!$G$118</f>
        <v>571</v>
      </c>
      <c r="AH32" s="254">
        <f>'28'!$G$119</f>
        <v>430</v>
      </c>
      <c r="AI32" s="254">
        <f>'28'!$G$120</f>
        <v>426</v>
      </c>
      <c r="AJ32" s="254">
        <f>'28'!$G$121</f>
        <v>496</v>
      </c>
      <c r="AK32" s="254">
        <f>'28'!$G$122</f>
        <v>209</v>
      </c>
      <c r="AL32" s="254">
        <f>'28'!$G$123</f>
        <v>329</v>
      </c>
      <c r="AM32" s="254">
        <f>'28'!$G$133</f>
        <v>872</v>
      </c>
      <c r="AN32" s="254">
        <f>'28'!$G$15</f>
        <v>1107</v>
      </c>
      <c r="AO32" s="254">
        <f>'28'!$G$74</f>
        <v>329</v>
      </c>
      <c r="AP32" s="254">
        <f>'28'!$G$75</f>
        <v>0</v>
      </c>
      <c r="AQ32" s="254">
        <f>'28'!$G$76</f>
        <v>118</v>
      </c>
      <c r="AR32" s="254">
        <f>'28'!$G$77</f>
        <v>53</v>
      </c>
      <c r="AS32" s="254">
        <f>'28'!$G$78</f>
        <v>0</v>
      </c>
      <c r="AT32" s="254">
        <f t="shared" si="0"/>
        <v>607</v>
      </c>
      <c r="AU32" s="254">
        <f>SUM('28'!G91:G92)</f>
        <v>12.110000000000127</v>
      </c>
      <c r="AV32" s="254">
        <f>'28'!$G$88</f>
        <v>1.1699999999982538</v>
      </c>
      <c r="AW32" s="254">
        <f>'28'!$G$89</f>
        <v>10.069999999999709</v>
      </c>
      <c r="AX32" s="254">
        <f>'28'!$G$90</f>
        <v>9.9600000000064028</v>
      </c>
      <c r="AY32" s="252">
        <f t="shared" si="1"/>
        <v>21.200000000004366</v>
      </c>
      <c r="BA32" s="311">
        <f t="shared" si="3"/>
        <v>28.632075471692218</v>
      </c>
      <c r="BB32" s="351">
        <f t="shared" si="4"/>
        <v>4304</v>
      </c>
      <c r="BC32" s="351">
        <f t="shared" si="5"/>
        <v>15.199886989687808</v>
      </c>
    </row>
    <row r="33" spans="1:55">
      <c r="A33" s="359">
        <v>29</v>
      </c>
      <c r="B33" s="512">
        <f>'29'!G7</f>
        <v>29985</v>
      </c>
      <c r="C33" s="512">
        <f>'29'!G8</f>
        <v>30503</v>
      </c>
      <c r="D33" s="512">
        <f>'29'!G15</f>
        <v>1096</v>
      </c>
      <c r="E33" s="512">
        <f>'29'!G20</f>
        <v>311</v>
      </c>
      <c r="F33" s="512">
        <f>SUM('29'!G35,'29'!G49)</f>
        <v>4115</v>
      </c>
      <c r="G33" s="512">
        <f>SUM('29'!G37,'29'!G51)</f>
        <v>1726</v>
      </c>
      <c r="H33" s="512">
        <f>SUM('29'!G38,'29'!G52)</f>
        <v>2399</v>
      </c>
      <c r="I33" s="512">
        <f>SUM('29'!G39,'29'!G53)</f>
        <v>2849</v>
      </c>
      <c r="J33" s="512">
        <f>SUM('29'!G41,'29'!G42,'29'!G55,'29'!G56)</f>
        <v>10787</v>
      </c>
      <c r="K33" s="512">
        <f>SUM('29'!G43,'29'!G57)</f>
        <v>3440</v>
      </c>
      <c r="L33" s="254">
        <f>'29'!G50</f>
        <v>1646</v>
      </c>
      <c r="M33" s="254">
        <f>'29'!G36</f>
        <v>1210</v>
      </c>
      <c r="N33" s="254">
        <f>'29'!G138</f>
        <v>154</v>
      </c>
      <c r="O33" s="254">
        <f>'29'!$G$139</f>
        <v>220</v>
      </c>
      <c r="P33" s="254">
        <f>'29'!$G$140</f>
        <v>12</v>
      </c>
      <c r="Q33" s="254">
        <f>'29'!$G$141</f>
        <v>212</v>
      </c>
      <c r="R33" s="254">
        <f>'29'!$G$142</f>
        <v>70</v>
      </c>
      <c r="S33" s="254">
        <f>'29'!$G$145</f>
        <v>3</v>
      </c>
      <c r="T33" s="254">
        <f>'29'!$G$146</f>
        <v>0</v>
      </c>
      <c r="U33" s="254">
        <f>'29'!$G$144</f>
        <v>251</v>
      </c>
      <c r="V33" s="254">
        <f>'29'!$G$147</f>
        <v>401</v>
      </c>
      <c r="W33" s="254">
        <f>'29'!$G$148</f>
        <v>496</v>
      </c>
      <c r="X33" s="254">
        <f>'29'!$G$143</f>
        <v>34</v>
      </c>
      <c r="Y33" s="254">
        <f>'29'!$G$58</f>
        <v>220</v>
      </c>
      <c r="Z33" s="254">
        <f>'29'!$G$151</f>
        <v>317</v>
      </c>
      <c r="AA33" s="254">
        <f>'29'!G161</f>
        <v>24</v>
      </c>
      <c r="AB33" s="254">
        <f>'29'!G162</f>
        <v>41</v>
      </c>
      <c r="AC33" s="254">
        <f>'29'!G88</f>
        <v>-0.16999999999825377</v>
      </c>
      <c r="AD33" s="254">
        <f>'29'!G163+'29'!G164</f>
        <v>190</v>
      </c>
      <c r="AE33" s="254">
        <f>'29'!$G$116</f>
        <v>300</v>
      </c>
      <c r="AF33" s="254">
        <f>'29'!$G$117</f>
        <v>161</v>
      </c>
      <c r="AG33" s="254">
        <f>'29'!$G$118</f>
        <v>566</v>
      </c>
      <c r="AH33" s="254">
        <f>'29'!$G$119</f>
        <v>434</v>
      </c>
      <c r="AI33" s="254">
        <f>'29'!$G$120</f>
        <v>436</v>
      </c>
      <c r="AJ33" s="254">
        <f>'29'!$G$121</f>
        <v>381</v>
      </c>
      <c r="AK33" s="254">
        <f>'29'!$G$122</f>
        <v>186</v>
      </c>
      <c r="AL33" s="254">
        <f>'29'!$G$123</f>
        <v>315</v>
      </c>
      <c r="AM33" s="254">
        <f>'29'!$G$133</f>
        <v>843</v>
      </c>
      <c r="AN33" s="254">
        <f>'29'!$G$15</f>
        <v>1096</v>
      </c>
      <c r="AO33" s="254">
        <f>'29'!$G$74</f>
        <v>317</v>
      </c>
      <c r="AP33" s="254">
        <f>'29'!$G$75</f>
        <v>0</v>
      </c>
      <c r="AQ33" s="254">
        <f>'29'!$G$76</f>
        <v>143</v>
      </c>
      <c r="AR33" s="254">
        <f>'29'!$G$77</f>
        <v>57</v>
      </c>
      <c r="AS33" s="254">
        <f>'29'!$G$78</f>
        <v>0</v>
      </c>
      <c r="AT33" s="254">
        <f t="shared" si="0"/>
        <v>579</v>
      </c>
      <c r="AU33" s="254">
        <f>SUM('29'!G91:G92)</f>
        <v>11.519999999999982</v>
      </c>
      <c r="AV33" s="254">
        <f>'29'!$G$88</f>
        <v>-0.16999999999825377</v>
      </c>
      <c r="AW33" s="254">
        <f>'29'!$G$89</f>
        <v>8.3400000000001455</v>
      </c>
      <c r="AX33" s="254">
        <f>'29'!$G$90</f>
        <v>8.6499999999941792</v>
      </c>
      <c r="AY33" s="252">
        <f t="shared" si="1"/>
        <v>16.819999999996071</v>
      </c>
      <c r="BA33" s="311">
        <f t="shared" si="3"/>
        <v>34.42330558859306</v>
      </c>
      <c r="BB33" s="351">
        <f t="shared" si="4"/>
        <v>4967</v>
      </c>
      <c r="BC33" s="351">
        <f t="shared" si="5"/>
        <v>16.564949141237285</v>
      </c>
    </row>
    <row r="34" spans="1:55" s="313" customFormat="1">
      <c r="A34" s="359">
        <v>30</v>
      </c>
      <c r="B34" s="512">
        <f>'30'!G7</f>
        <v>29861</v>
      </c>
      <c r="C34" s="512">
        <f>'30'!G8</f>
        <v>30519</v>
      </c>
      <c r="D34" s="512">
        <f>'30'!G15</f>
        <v>1106</v>
      </c>
      <c r="E34" s="512">
        <f>'30'!G20</f>
        <v>379</v>
      </c>
      <c r="F34" s="512">
        <f>SUM('30'!G35,'30'!G49)</f>
        <v>4237</v>
      </c>
      <c r="G34" s="512">
        <f>SUM('30'!G37,'30'!G51)</f>
        <v>1805.68</v>
      </c>
      <c r="H34" s="512">
        <f>SUM('30'!G38,'30'!G52)</f>
        <v>2500</v>
      </c>
      <c r="I34" s="512">
        <f>SUM('30'!G39,'30'!G53)</f>
        <v>2900</v>
      </c>
      <c r="J34" s="512">
        <f>SUM('30'!G41,'30'!G42,'30'!G55,'30'!G56)</f>
        <v>9046</v>
      </c>
      <c r="K34" s="512">
        <f>SUM('30'!G43,'30'!G57)</f>
        <v>3408</v>
      </c>
      <c r="L34" s="251">
        <f>'30'!G50</f>
        <v>1782</v>
      </c>
      <c r="M34" s="251">
        <f>'30'!G36</f>
        <v>1131</v>
      </c>
      <c r="N34" s="251">
        <f>'30'!G138</f>
        <v>141</v>
      </c>
      <c r="O34" s="251">
        <f>'30'!$G$139</f>
        <v>135</v>
      </c>
      <c r="P34" s="251">
        <f>'30'!$G$140</f>
        <v>11</v>
      </c>
      <c r="Q34" s="251">
        <f>'30'!$G$141</f>
        <v>223</v>
      </c>
      <c r="R34" s="251">
        <f>'30'!$G$142</f>
        <v>74</v>
      </c>
      <c r="S34" s="251">
        <f>'30'!$G$145</f>
        <v>2</v>
      </c>
      <c r="T34" s="251">
        <f>'30'!$G$146</f>
        <v>0</v>
      </c>
      <c r="U34" s="251">
        <f>'30'!$G$144</f>
        <v>256</v>
      </c>
      <c r="V34" s="251">
        <f>'30'!$G$147</f>
        <v>452</v>
      </c>
      <c r="W34" s="251">
        <f>'30'!$G$148</f>
        <v>366</v>
      </c>
      <c r="X34" s="251">
        <f>'30'!$G$143</f>
        <v>27</v>
      </c>
      <c r="Y34" s="251">
        <f>'30'!$G$58</f>
        <v>236</v>
      </c>
      <c r="Z34" s="251">
        <f>'30'!$G$151</f>
        <v>351</v>
      </c>
      <c r="AA34" s="251">
        <f>'30'!G161</f>
        <v>23</v>
      </c>
      <c r="AB34" s="251">
        <f>'30'!G162</f>
        <v>38</v>
      </c>
      <c r="AC34" s="251">
        <f>'30'!G88</f>
        <v>0.11999999999898137</v>
      </c>
      <c r="AD34" s="251">
        <f>'30'!G163+'30'!G164</f>
        <v>179</v>
      </c>
      <c r="AE34" s="251">
        <f>'30'!$G$116</f>
        <v>252</v>
      </c>
      <c r="AF34" s="251">
        <f>'30'!$G$117</f>
        <v>160</v>
      </c>
      <c r="AG34" s="251">
        <f>'30'!$G$118</f>
        <v>563</v>
      </c>
      <c r="AH34" s="251">
        <f>'30'!$G$119</f>
        <v>462</v>
      </c>
      <c r="AI34" s="251">
        <f>'30'!$G$120</f>
        <v>454</v>
      </c>
      <c r="AJ34" s="251">
        <f>'30'!$G$121</f>
        <v>453</v>
      </c>
      <c r="AK34" s="251">
        <f>'30'!$G$122</f>
        <v>190</v>
      </c>
      <c r="AL34" s="251">
        <f>'30'!$G$123</f>
        <v>323</v>
      </c>
      <c r="AM34" s="251">
        <f>'30'!$G$133</f>
        <v>842</v>
      </c>
      <c r="AN34" s="251">
        <f>'30'!$G$15</f>
        <v>1106</v>
      </c>
      <c r="AO34" s="251">
        <f>'30'!$G$74</f>
        <v>331</v>
      </c>
      <c r="AP34" s="251">
        <f>'30'!$G$75</f>
        <v>0</v>
      </c>
      <c r="AQ34" s="251">
        <f>'30'!$G$76</f>
        <v>113</v>
      </c>
      <c r="AR34" s="251">
        <f>'30'!$G$77</f>
        <v>52</v>
      </c>
      <c r="AS34" s="251">
        <f>'30'!$G$78</f>
        <v>0.3999999999996362</v>
      </c>
      <c r="AT34" s="251">
        <f t="shared" si="0"/>
        <v>609.60000000000036</v>
      </c>
      <c r="AU34" s="251">
        <f>SUM('30'!G91:G92)</f>
        <v>12.239999999999782</v>
      </c>
      <c r="AV34" s="251">
        <f>'30'!$G$88</f>
        <v>0.11999999999898137</v>
      </c>
      <c r="AW34" s="251">
        <f>'30'!$G$89</f>
        <v>10.220000000001164</v>
      </c>
      <c r="AX34" s="251">
        <f>'30'!$G$90</f>
        <v>9.5299999999988358</v>
      </c>
      <c r="AY34" s="255">
        <f t="shared" si="1"/>
        <v>19.869999999998981</v>
      </c>
      <c r="BA34" s="311">
        <f t="shared" si="3"/>
        <v>30.679416205336267</v>
      </c>
      <c r="BB34" s="351">
        <f t="shared" si="4"/>
        <v>6386.32</v>
      </c>
      <c r="BC34" s="351">
        <f t="shared" si="5"/>
        <v>21.386825625397673</v>
      </c>
    </row>
    <row r="35" spans="1:55">
      <c r="A35" s="359">
        <v>31</v>
      </c>
      <c r="B35" s="512">
        <f>'31'!G7</f>
        <v>26000</v>
      </c>
      <c r="C35" s="512">
        <f>'31'!G8</f>
        <v>26000</v>
      </c>
      <c r="D35" s="512">
        <f>'31'!G15</f>
        <v>0</v>
      </c>
      <c r="E35" s="512">
        <f>'31'!G20</f>
        <v>220</v>
      </c>
      <c r="F35" s="512">
        <f>SUM('31'!G35,'31'!G49)</f>
        <v>0</v>
      </c>
      <c r="G35" s="512">
        <f>SUM('31'!G37,'31'!G51)</f>
        <v>0</v>
      </c>
      <c r="H35" s="512">
        <f>SUM('31'!G38,'31'!G52)</f>
        <v>0</v>
      </c>
      <c r="I35" s="512">
        <f>SUM('31'!G39,'31'!G53)</f>
        <v>0</v>
      </c>
      <c r="J35" s="512">
        <f>SUM('31'!G41,'31'!G42,'31'!G55,'31'!G56)</f>
        <v>0</v>
      </c>
      <c r="K35" s="512">
        <f>SUM('31'!G43,'31'!G57)</f>
        <v>0</v>
      </c>
      <c r="L35" s="251">
        <f>'31'!G50</f>
        <v>0</v>
      </c>
      <c r="M35" s="251">
        <f>'31'!G36</f>
        <v>0</v>
      </c>
      <c r="N35" s="251">
        <f>'31'!G138</f>
        <v>0</v>
      </c>
      <c r="O35" s="251">
        <f>'31'!$G$139</f>
        <v>0</v>
      </c>
      <c r="P35" s="251">
        <f>'31'!$G$140</f>
        <v>0</v>
      </c>
      <c r="Q35" s="251">
        <f>'31'!$G$141</f>
        <v>0</v>
      </c>
      <c r="R35" s="251">
        <f>'31'!$G$142</f>
        <v>0</v>
      </c>
      <c r="S35" s="251">
        <f>'31'!$G$145</f>
        <v>0</v>
      </c>
      <c r="T35" s="251">
        <f>'31'!$G$146</f>
        <v>0</v>
      </c>
      <c r="U35" s="251">
        <f>'31'!$G$144</f>
        <v>0</v>
      </c>
      <c r="V35" s="251">
        <f>'31'!$G$147</f>
        <v>0</v>
      </c>
      <c r="W35" s="251">
        <f>'31'!$G$148</f>
        <v>0</v>
      </c>
      <c r="X35" s="251">
        <f>'31'!$G$143</f>
        <v>0</v>
      </c>
      <c r="Y35" s="251">
        <f>'31'!$G$58</f>
        <v>0</v>
      </c>
      <c r="Z35" s="251">
        <f>'31'!$G$151</f>
        <v>0</v>
      </c>
      <c r="AA35" s="251">
        <f>'31'!G161</f>
        <v>0</v>
      </c>
      <c r="AB35" s="251">
        <f>'31'!G162</f>
        <v>0</v>
      </c>
      <c r="AC35" s="251">
        <f>'31'!G89</f>
        <v>0</v>
      </c>
      <c r="AD35" s="251">
        <f>'31'!G163+'31'!G164</f>
        <v>0</v>
      </c>
      <c r="AE35" s="251">
        <f>'31'!$G$116</f>
        <v>0</v>
      </c>
      <c r="AF35" s="251">
        <f>'31'!$G$117</f>
        <v>0</v>
      </c>
      <c r="AG35" s="251">
        <f>'31'!$G$118</f>
        <v>0</v>
      </c>
      <c r="AH35" s="251">
        <f>'31'!$G$119</f>
        <v>0</v>
      </c>
      <c r="AI35" s="251">
        <f>'31'!$G$120</f>
        <v>0</v>
      </c>
      <c r="AJ35" s="251">
        <f>'31'!$G$121</f>
        <v>0</v>
      </c>
      <c r="AK35" s="251">
        <f>'31'!$G$122</f>
        <v>0</v>
      </c>
      <c r="AL35" s="251">
        <f>'31'!$G$123</f>
        <v>0</v>
      </c>
      <c r="AM35" s="251">
        <f>'31'!$G$133</f>
        <v>0</v>
      </c>
      <c r="AN35" s="251">
        <f>'31'!$G$15</f>
        <v>0</v>
      </c>
      <c r="AO35" s="251">
        <f>'31'!$G$74</f>
        <v>0</v>
      </c>
      <c r="AP35" s="251">
        <f>'31'!$G$75</f>
        <v>0</v>
      </c>
      <c r="AQ35" s="251">
        <f>'31'!$G$76</f>
        <v>0</v>
      </c>
      <c r="AR35" s="251">
        <f>'31'!$G$77</f>
        <v>0</v>
      </c>
      <c r="AS35" s="251">
        <f>'31'!$G$78</f>
        <v>0</v>
      </c>
      <c r="AT35" s="251">
        <f t="shared" ref="AT35" si="7">AN35-SUM(AO35:AS35)</f>
        <v>0</v>
      </c>
      <c r="AU35" s="251">
        <f>SUM('31'!G92:G142)</f>
        <v>0</v>
      </c>
      <c r="AV35" s="251">
        <f>'31'!$G$88</f>
        <v>0</v>
      </c>
      <c r="AW35" s="251">
        <f>'31'!$G$89</f>
        <v>0</v>
      </c>
      <c r="AX35" s="251">
        <f>'30'!$G$90</f>
        <v>9.5299999999988358</v>
      </c>
      <c r="AY35" s="255">
        <f t="shared" ref="AY35" si="8">SUM(AV35:AX35)</f>
        <v>9.5299999999988358</v>
      </c>
      <c r="BA35" s="311">
        <f t="shared" si="3"/>
        <v>0</v>
      </c>
      <c r="BB35" s="351">
        <f t="shared" si="4"/>
        <v>26000</v>
      </c>
      <c r="BC35" s="351">
        <f t="shared" si="5"/>
        <v>100</v>
      </c>
    </row>
    <row r="36" spans="1:55" s="316" customFormat="1">
      <c r="A36" s="304" t="s">
        <v>357</v>
      </c>
      <c r="B36" s="305">
        <f>AVERAGE(B5:B35)</f>
        <v>28075.096774193549</v>
      </c>
      <c r="C36" s="305">
        <f t="shared" ref="C36:BC36" si="9">AVERAGE(C5:C35)</f>
        <v>28615.38</v>
      </c>
      <c r="D36" s="305">
        <f t="shared" si="9"/>
        <v>1057.741935483871</v>
      </c>
      <c r="E36" s="305">
        <f t="shared" si="9"/>
        <v>300.80645161290323</v>
      </c>
      <c r="F36" s="305">
        <f t="shared" si="9"/>
        <v>3847.5351612903228</v>
      </c>
      <c r="G36" s="305">
        <f t="shared" si="9"/>
        <v>1619.3541935483875</v>
      </c>
      <c r="H36" s="305">
        <f t="shared" si="9"/>
        <v>2365.891290322581</v>
      </c>
      <c r="I36" s="305">
        <f t="shared" si="9"/>
        <v>3091.4377419354842</v>
      </c>
      <c r="J36" s="305">
        <f t="shared" si="9"/>
        <v>7748.0012903225806</v>
      </c>
      <c r="K36" s="305">
        <f t="shared" si="9"/>
        <v>3185.9525806451611</v>
      </c>
      <c r="L36" s="305">
        <f t="shared" si="9"/>
        <v>1335.3825806451609</v>
      </c>
      <c r="M36" s="305">
        <f t="shared" si="9"/>
        <v>1001.8819354838708</v>
      </c>
      <c r="N36" s="305">
        <f t="shared" si="9"/>
        <v>154.45161290322579</v>
      </c>
      <c r="O36" s="305">
        <f t="shared" si="9"/>
        <v>146.70967741935485</v>
      </c>
      <c r="P36" s="305">
        <f t="shared" si="9"/>
        <v>2.4516129032258065</v>
      </c>
      <c r="Q36" s="305">
        <f t="shared" si="9"/>
        <v>193.24096774193552</v>
      </c>
      <c r="R36" s="305">
        <f t="shared" si="9"/>
        <v>63.535483870967695</v>
      </c>
      <c r="S36" s="305">
        <f t="shared" si="9"/>
        <v>2.3096774193548506</v>
      </c>
      <c r="T36" s="305">
        <f t="shared" si="9"/>
        <v>391.22580645161293</v>
      </c>
      <c r="U36" s="305">
        <f t="shared" si="9"/>
        <v>238.67741935483872</v>
      </c>
      <c r="V36" s="305">
        <f t="shared" si="9"/>
        <v>420.77419354838707</v>
      </c>
      <c r="W36" s="305">
        <f t="shared" si="9"/>
        <v>356.49419354838545</v>
      </c>
      <c r="X36" s="305">
        <f t="shared" si="9"/>
        <v>27.622258064516128</v>
      </c>
      <c r="Y36" s="305">
        <f t="shared" si="9"/>
        <v>227.05806451612901</v>
      </c>
      <c r="Z36" s="305">
        <f t="shared" si="9"/>
        <v>277.96774193548384</v>
      </c>
      <c r="AA36" s="305">
        <f t="shared" si="9"/>
        <v>30.395806451613502</v>
      </c>
      <c r="AB36" s="305">
        <f t="shared" si="9"/>
        <v>35.293548387096962</v>
      </c>
      <c r="AC36" s="305">
        <f t="shared" si="9"/>
        <v>3.4866666666665487</v>
      </c>
      <c r="AD36" s="305">
        <f t="shared" si="9"/>
        <v>171.83225806451605</v>
      </c>
      <c r="AE36" s="305">
        <f t="shared" si="9"/>
        <v>383.2703225806452</v>
      </c>
      <c r="AF36" s="305">
        <f t="shared" si="9"/>
        <v>171.70409677419352</v>
      </c>
      <c r="AG36" s="305">
        <f t="shared" si="9"/>
        <v>516.48483870967846</v>
      </c>
      <c r="AH36" s="305">
        <f t="shared" si="9"/>
        <v>426.56806451612857</v>
      </c>
      <c r="AI36" s="305">
        <f t="shared" si="9"/>
        <v>402.6206451612905</v>
      </c>
      <c r="AJ36" s="305">
        <f t="shared" si="9"/>
        <v>713.92677419354777</v>
      </c>
      <c r="AK36" s="305">
        <f t="shared" si="9"/>
        <v>205.83419354838665</v>
      </c>
      <c r="AL36" s="305">
        <f t="shared" si="9"/>
        <v>228.40419354838707</v>
      </c>
      <c r="AM36" s="305">
        <f t="shared" si="9"/>
        <v>873.0325806451616</v>
      </c>
      <c r="AN36" s="305">
        <f t="shared" si="9"/>
        <v>1057.741935483871</v>
      </c>
      <c r="AO36" s="305">
        <f t="shared" si="9"/>
        <v>304.91903225806419</v>
      </c>
      <c r="AP36" s="305">
        <f t="shared" si="9"/>
        <v>0</v>
      </c>
      <c r="AQ36" s="305">
        <f t="shared" si="9"/>
        <v>115.06451612903226</v>
      </c>
      <c r="AR36" s="305">
        <f t="shared" si="9"/>
        <v>48.741935483870968</v>
      </c>
      <c r="AS36" s="305">
        <f t="shared" si="9"/>
        <v>1.2903225806439877E-2</v>
      </c>
      <c r="AT36" s="305">
        <f t="shared" si="9"/>
        <v>589.003548387097</v>
      </c>
      <c r="AU36" s="305">
        <f t="shared" si="9"/>
        <v>10.877096774193536</v>
      </c>
      <c r="AV36" s="305">
        <f t="shared" si="9"/>
        <v>2.5393548387095977</v>
      </c>
      <c r="AW36" s="305">
        <f t="shared" si="9"/>
        <v>7.6590322580645251</v>
      </c>
      <c r="AX36" s="305">
        <f t="shared" si="9"/>
        <v>9.6758064516128091</v>
      </c>
      <c r="AY36" s="305">
        <f t="shared" si="9"/>
        <v>19.874193548386934</v>
      </c>
      <c r="AZ36" s="305">
        <f t="shared" si="9"/>
        <v>28.282490472495894</v>
      </c>
      <c r="BA36" s="305">
        <f t="shared" si="9"/>
        <v>29.295698760128879</v>
      </c>
      <c r="BB36" s="305">
        <f t="shared" si="9"/>
        <v>6530.1496774193547</v>
      </c>
      <c r="BC36" s="305">
        <f t="shared" si="9"/>
        <v>23.44977469093309</v>
      </c>
    </row>
    <row r="37" spans="1:55">
      <c r="A37" s="261" t="s">
        <v>196</v>
      </c>
      <c r="B37" s="305">
        <f>SUM(B5:B35)</f>
        <v>870328</v>
      </c>
      <c r="C37" s="305">
        <f t="shared" ref="C37:BC37" si="10">SUM(C5:C35)</f>
        <v>887076.78</v>
      </c>
      <c r="D37" s="305">
        <f t="shared" si="10"/>
        <v>32790</v>
      </c>
      <c r="E37" s="305">
        <f t="shared" si="10"/>
        <v>9325</v>
      </c>
      <c r="F37" s="305">
        <f>SUM(F5:F35)</f>
        <v>119273.59000000001</v>
      </c>
      <c r="G37" s="305">
        <f t="shared" si="10"/>
        <v>50199.98000000001</v>
      </c>
      <c r="H37" s="305">
        <f t="shared" si="10"/>
        <v>73342.63</v>
      </c>
      <c r="I37" s="305">
        <f t="shared" si="10"/>
        <v>95834.57</v>
      </c>
      <c r="J37" s="305">
        <f t="shared" si="10"/>
        <v>240188.04</v>
      </c>
      <c r="K37" s="305">
        <f t="shared" si="10"/>
        <v>98764.53</v>
      </c>
      <c r="L37" s="305">
        <f t="shared" si="10"/>
        <v>41396.859999999986</v>
      </c>
      <c r="M37" s="305">
        <f t="shared" si="10"/>
        <v>31058.339999999997</v>
      </c>
      <c r="N37" s="305">
        <f t="shared" si="10"/>
        <v>4788</v>
      </c>
      <c r="O37" s="305">
        <f t="shared" si="10"/>
        <v>4548</v>
      </c>
      <c r="P37" s="305">
        <f t="shared" si="10"/>
        <v>76</v>
      </c>
      <c r="Q37" s="305">
        <f t="shared" si="10"/>
        <v>5990.4700000000012</v>
      </c>
      <c r="R37" s="305">
        <f t="shared" si="10"/>
        <v>1969.5999999999985</v>
      </c>
      <c r="S37" s="305">
        <f t="shared" si="10"/>
        <v>71.600000000000364</v>
      </c>
      <c r="T37" s="305">
        <f t="shared" si="10"/>
        <v>12128</v>
      </c>
      <c r="U37" s="305">
        <f t="shared" si="10"/>
        <v>7399</v>
      </c>
      <c r="V37" s="305">
        <f t="shared" si="10"/>
        <v>13044</v>
      </c>
      <c r="W37" s="305">
        <f t="shared" si="10"/>
        <v>11051.319999999949</v>
      </c>
      <c r="X37" s="305">
        <f t="shared" si="10"/>
        <v>856.29</v>
      </c>
      <c r="Y37" s="305">
        <f t="shared" si="10"/>
        <v>7038.7999999999993</v>
      </c>
      <c r="Z37" s="305">
        <f t="shared" si="10"/>
        <v>8617</v>
      </c>
      <c r="AA37" s="305">
        <f t="shared" si="10"/>
        <v>942.27000000001863</v>
      </c>
      <c r="AB37" s="305">
        <f t="shared" si="10"/>
        <v>1094.1000000000058</v>
      </c>
      <c r="AC37" s="305">
        <f t="shared" si="10"/>
        <v>73.219999999997526</v>
      </c>
      <c r="AD37" s="305">
        <f t="shared" si="10"/>
        <v>5326.7999999999975</v>
      </c>
      <c r="AE37" s="305">
        <f t="shared" si="10"/>
        <v>11881.380000000001</v>
      </c>
      <c r="AF37" s="305">
        <f t="shared" si="10"/>
        <v>5322.8269999999993</v>
      </c>
      <c r="AG37" s="305">
        <f t="shared" si="10"/>
        <v>16011.030000000032</v>
      </c>
      <c r="AH37" s="305">
        <f t="shared" si="10"/>
        <v>13223.609999999986</v>
      </c>
      <c r="AI37" s="305">
        <f t="shared" si="10"/>
        <v>12481.240000000005</v>
      </c>
      <c r="AJ37" s="305">
        <f t="shared" si="10"/>
        <v>22131.729999999981</v>
      </c>
      <c r="AK37" s="305">
        <f t="shared" si="10"/>
        <v>6380.859999999986</v>
      </c>
      <c r="AL37" s="305">
        <f t="shared" si="10"/>
        <v>7080.5299999999988</v>
      </c>
      <c r="AM37" s="305">
        <f t="shared" si="10"/>
        <v>27064.010000000009</v>
      </c>
      <c r="AN37" s="305">
        <f t="shared" si="10"/>
        <v>32790</v>
      </c>
      <c r="AO37" s="305">
        <f t="shared" si="10"/>
        <v>9452.4899999999907</v>
      </c>
      <c r="AP37" s="305">
        <f t="shared" si="10"/>
        <v>0</v>
      </c>
      <c r="AQ37" s="305">
        <f t="shared" si="10"/>
        <v>3567</v>
      </c>
      <c r="AR37" s="305">
        <f t="shared" si="10"/>
        <v>1511</v>
      </c>
      <c r="AS37" s="305">
        <f t="shared" si="10"/>
        <v>0.3999999999996362</v>
      </c>
      <c r="AT37" s="305">
        <f t="shared" si="10"/>
        <v>18259.110000000008</v>
      </c>
      <c r="AU37" s="305">
        <f t="shared" si="10"/>
        <v>337.1899999999996</v>
      </c>
      <c r="AV37" s="305">
        <f t="shared" si="10"/>
        <v>78.719999999997526</v>
      </c>
      <c r="AW37" s="305">
        <f t="shared" si="10"/>
        <v>237.43000000000029</v>
      </c>
      <c r="AX37" s="305">
        <f t="shared" si="10"/>
        <v>299.94999999999709</v>
      </c>
      <c r="AY37" s="305">
        <f t="shared" si="10"/>
        <v>616.09999999999491</v>
      </c>
      <c r="AZ37" s="305">
        <f t="shared" si="10"/>
        <v>678.77977133990146</v>
      </c>
      <c r="BA37" s="305">
        <f t="shared" si="10"/>
        <v>908.16666156399526</v>
      </c>
      <c r="BB37" s="305">
        <f t="shared" si="10"/>
        <v>202434.63999999998</v>
      </c>
      <c r="BC37" s="305">
        <f t="shared" si="10"/>
        <v>726.94301541892582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3">
        <f t="shared" ref="F39:K39" si="11">F19-F18</f>
        <v>-116</v>
      </c>
      <c r="G39" s="513">
        <f t="shared" si="11"/>
        <v>-579</v>
      </c>
      <c r="H39" s="513">
        <f t="shared" si="11"/>
        <v>-58.239999999999782</v>
      </c>
      <c r="I39" s="513">
        <f t="shared" si="11"/>
        <v>-39</v>
      </c>
      <c r="J39" s="513">
        <f t="shared" si="11"/>
        <v>-1084.3000000000002</v>
      </c>
      <c r="K39" s="513">
        <f t="shared" si="11"/>
        <v>-164</v>
      </c>
      <c r="L39" s="513"/>
      <c r="M39" s="513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E5" sqref="E5"/>
    </sheetView>
  </sheetViews>
  <sheetFormatPr defaultColWidth="22.33203125" defaultRowHeight="21.95" customHeight="1"/>
  <cols>
    <col min="1" max="1" width="50.21875" style="573" customWidth="1"/>
    <col min="2" max="2" width="22.6640625" style="546" customWidth="1"/>
    <col min="3" max="3" width="14.44140625" style="546" customWidth="1"/>
    <col min="4" max="4" width="13.6640625" style="546" customWidth="1"/>
    <col min="5" max="5" width="30" style="414" customWidth="1"/>
    <col min="6" max="6" width="19.44140625" style="700" customWidth="1"/>
    <col min="7" max="7" width="28.88671875" style="701" customWidth="1"/>
    <col min="8" max="8" width="24.6640625" style="702" customWidth="1"/>
    <col min="9" max="9" width="23.5546875" style="700" customWidth="1"/>
    <col min="10" max="10" width="24" style="702" customWidth="1"/>
    <col min="11" max="11" width="43.21875" style="546" hidden="1" customWidth="1"/>
    <col min="12" max="13" width="0" style="546" hidden="1" customWidth="1"/>
    <col min="14" max="14" width="25.109375" style="546" customWidth="1"/>
    <col min="15" max="16" width="22.33203125" style="546"/>
    <col min="17" max="17" width="44.77734375" style="546" customWidth="1"/>
    <col min="18" max="16384" width="22.33203125" style="546"/>
  </cols>
  <sheetData>
    <row r="1" spans="1:15" ht="26.25">
      <c r="A1" s="803" t="s">
        <v>115</v>
      </c>
      <c r="B1" s="804"/>
      <c r="C1" s="804"/>
      <c r="D1" s="804"/>
      <c r="E1" s="804"/>
      <c r="F1" s="804"/>
      <c r="G1" s="804"/>
      <c r="H1" s="804"/>
      <c r="I1" s="804"/>
      <c r="J1" s="805"/>
    </row>
    <row r="2" spans="1:15" ht="26.25">
      <c r="A2" s="547" t="s">
        <v>355</v>
      </c>
      <c r="B2" s="548">
        <v>44652</v>
      </c>
      <c r="C2" s="549" t="s">
        <v>67</v>
      </c>
      <c r="D2" s="550">
        <v>0.92</v>
      </c>
      <c r="E2" s="100"/>
      <c r="F2" s="549"/>
      <c r="G2" s="551" t="s">
        <v>116</v>
      </c>
      <c r="H2" s="549" t="s">
        <v>5</v>
      </c>
      <c r="I2" s="549" t="s">
        <v>7</v>
      </c>
      <c r="J2" s="552" t="s">
        <v>117</v>
      </c>
    </row>
    <row r="3" spans="1:15" ht="26.25">
      <c r="A3" s="553"/>
      <c r="B3" s="554"/>
      <c r="C3" s="549" t="s">
        <v>118</v>
      </c>
      <c r="D3" s="555">
        <v>26</v>
      </c>
      <c r="E3" s="815" t="s">
        <v>119</v>
      </c>
      <c r="F3" s="816"/>
      <c r="G3" s="551"/>
      <c r="H3" s="556"/>
      <c r="I3" s="556"/>
      <c r="J3" s="552"/>
      <c r="K3" s="557"/>
      <c r="L3" s="558"/>
    </row>
    <row r="4" spans="1:15" ht="26.25">
      <c r="A4" s="559"/>
      <c r="B4" s="560"/>
      <c r="C4" s="549" t="s">
        <v>120</v>
      </c>
      <c r="D4" s="550">
        <v>0.78</v>
      </c>
      <c r="E4" s="103"/>
      <c r="F4" s="561"/>
      <c r="G4" s="551"/>
      <c r="H4" s="561"/>
      <c r="I4" s="562"/>
      <c r="J4" s="552"/>
      <c r="K4" s="563"/>
      <c r="L4" s="558"/>
    </row>
    <row r="5" spans="1:15" s="573" customFormat="1" ht="26.25">
      <c r="A5" s="564" t="s">
        <v>121</v>
      </c>
      <c r="B5" s="565"/>
      <c r="C5" s="565"/>
      <c r="D5" s="565" t="s">
        <v>122</v>
      </c>
      <c r="E5" s="106" t="s">
        <v>123</v>
      </c>
      <c r="F5" s="566" t="s">
        <v>110</v>
      </c>
      <c r="G5" s="567" t="s">
        <v>124</v>
      </c>
      <c r="H5" s="568" t="s">
        <v>125</v>
      </c>
      <c r="I5" s="569" t="s">
        <v>126</v>
      </c>
      <c r="J5" s="570" t="s">
        <v>127</v>
      </c>
      <c r="K5" s="571"/>
      <c r="L5" s="572"/>
    </row>
    <row r="6" spans="1:15" s="573" customFormat="1" ht="26.25">
      <c r="A6" s="806" t="s">
        <v>128</v>
      </c>
      <c r="B6" s="807"/>
      <c r="C6" s="808"/>
      <c r="D6" s="574"/>
      <c r="E6" s="110"/>
      <c r="F6" s="575"/>
      <c r="G6" s="576"/>
      <c r="H6" s="575"/>
      <c r="I6" s="575"/>
      <c r="J6" s="577"/>
      <c r="K6" s="578"/>
      <c r="L6" s="572"/>
    </row>
    <row r="7" spans="1:15" ht="27" thickBot="1">
      <c r="A7" s="579" t="s">
        <v>129</v>
      </c>
      <c r="B7" s="580"/>
      <c r="C7" s="580"/>
      <c r="D7" s="581" t="s">
        <v>130</v>
      </c>
      <c r="E7" s="95">
        <v>0</v>
      </c>
      <c r="F7" s="582">
        <v>27033</v>
      </c>
      <c r="G7" s="583">
        <f>F7-E7</f>
        <v>27033</v>
      </c>
      <c r="H7" s="582">
        <f>G7</f>
        <v>27033</v>
      </c>
      <c r="I7" s="584">
        <v>12000</v>
      </c>
      <c r="J7" s="585">
        <f>H7/DAY(B2)</f>
        <v>27033</v>
      </c>
      <c r="K7" s="586">
        <v>1375467</v>
      </c>
      <c r="L7" s="558"/>
      <c r="N7" s="587"/>
      <c r="O7" s="588"/>
    </row>
    <row r="8" spans="1:15" ht="27" thickBot="1">
      <c r="A8" s="589" t="s">
        <v>131</v>
      </c>
      <c r="B8" s="590"/>
      <c r="C8" s="591"/>
      <c r="D8" s="592" t="s">
        <v>24</v>
      </c>
      <c r="E8" s="95">
        <v>58046.22</v>
      </c>
      <c r="F8" s="582">
        <v>85459</v>
      </c>
      <c r="G8" s="583">
        <f>F8-E8</f>
        <v>27412.78</v>
      </c>
      <c r="H8" s="582">
        <f>G8</f>
        <v>27412.78</v>
      </c>
      <c r="I8" s="593">
        <v>12000</v>
      </c>
      <c r="J8" s="585">
        <f>H8/DAY(B2)</f>
        <v>27412.78</v>
      </c>
      <c r="K8" s="586">
        <v>1715917</v>
      </c>
      <c r="L8" s="594">
        <v>1728480</v>
      </c>
      <c r="M8" s="587">
        <f>L8-K8</f>
        <v>12563</v>
      </c>
      <c r="N8" s="587"/>
      <c r="O8" s="588"/>
    </row>
    <row r="9" spans="1:15" ht="26.25">
      <c r="A9" s="595" t="s">
        <v>132</v>
      </c>
      <c r="B9" s="596"/>
      <c r="C9" s="596"/>
      <c r="D9" s="597" t="s">
        <v>130</v>
      </c>
      <c r="E9" s="470">
        <v>1267675</v>
      </c>
      <c r="F9" s="598">
        <v>1285562</v>
      </c>
      <c r="G9" s="599">
        <f>F9-E9</f>
        <v>17887</v>
      </c>
      <c r="H9" s="582">
        <f t="shared" ref="H9:H13" si="0">G9</f>
        <v>17887</v>
      </c>
      <c r="I9" s="584">
        <f>I8-J8</f>
        <v>-15412.779999999999</v>
      </c>
      <c r="J9" s="585">
        <f>H9/DAY(B2)</f>
        <v>17887</v>
      </c>
      <c r="K9" s="600">
        <f>K8-100</f>
        <v>1715817</v>
      </c>
      <c r="L9" s="558"/>
      <c r="N9" s="587"/>
      <c r="O9" s="588"/>
    </row>
    <row r="10" spans="1:15" ht="26.25">
      <c r="A10" s="579" t="s">
        <v>133</v>
      </c>
      <c r="B10" s="580"/>
      <c r="C10" s="580"/>
      <c r="D10" s="597" t="s">
        <v>130</v>
      </c>
      <c r="E10" s="353">
        <v>418275.47</v>
      </c>
      <c r="F10" s="598">
        <v>426497</v>
      </c>
      <c r="G10" s="599">
        <f t="shared" ref="G10:G11" si="1">F10-E10</f>
        <v>8221.5300000000279</v>
      </c>
      <c r="H10" s="582">
        <f t="shared" si="0"/>
        <v>8221.5300000000279</v>
      </c>
      <c r="I10" s="582"/>
      <c r="J10" s="585">
        <f>H10/DAY(B2)</f>
        <v>8221.5300000000279</v>
      </c>
      <c r="K10" s="600"/>
      <c r="L10" s="558"/>
      <c r="N10" s="587"/>
      <c r="O10" s="588"/>
    </row>
    <row r="11" spans="1:15" ht="26.25">
      <c r="A11" s="579" t="s">
        <v>134</v>
      </c>
      <c r="B11" s="580"/>
      <c r="C11" s="580"/>
      <c r="D11" s="597" t="s">
        <v>130</v>
      </c>
      <c r="E11" s="95">
        <v>37560</v>
      </c>
      <c r="F11" s="582">
        <v>37560</v>
      </c>
      <c r="G11" s="599">
        <f t="shared" si="1"/>
        <v>0</v>
      </c>
      <c r="H11" s="582">
        <f t="shared" si="0"/>
        <v>0</v>
      </c>
      <c r="I11" s="582"/>
      <c r="J11" s="585">
        <f>H11/DAY(B2)</f>
        <v>0</v>
      </c>
      <c r="K11" s="600"/>
      <c r="L11" s="558"/>
      <c r="N11" s="587"/>
      <c r="O11" s="588">
        <f>142-18</f>
        <v>124</v>
      </c>
    </row>
    <row r="12" spans="1:15" ht="26.25">
      <c r="A12" s="579" t="s">
        <v>135</v>
      </c>
      <c r="B12" s="580"/>
      <c r="C12" s="580"/>
      <c r="D12" s="597" t="s">
        <v>130</v>
      </c>
      <c r="E12" s="117">
        <v>40380</v>
      </c>
      <c r="F12" s="598">
        <v>40380</v>
      </c>
      <c r="G12" s="599">
        <f>F12-E12</f>
        <v>0</v>
      </c>
      <c r="H12" s="582">
        <f t="shared" si="0"/>
        <v>0</v>
      </c>
      <c r="I12" s="582"/>
      <c r="J12" s="585">
        <f>H12/DAY(B2)</f>
        <v>0</v>
      </c>
      <c r="K12" s="600"/>
      <c r="L12" s="558"/>
      <c r="N12" s="587"/>
      <c r="O12" s="588"/>
    </row>
    <row r="13" spans="1:15" ht="26.25">
      <c r="A13" s="601" t="s">
        <v>136</v>
      </c>
      <c r="B13" s="602"/>
      <c r="C13" s="602"/>
      <c r="D13" s="597"/>
      <c r="E13" s="95"/>
      <c r="F13" s="582"/>
      <c r="G13" s="599">
        <v>26109</v>
      </c>
      <c r="H13" s="582">
        <f t="shared" si="0"/>
        <v>26109</v>
      </c>
      <c r="I13" s="584">
        <f>G7-G13</f>
        <v>924</v>
      </c>
      <c r="J13" s="585">
        <f>H13/DAY(B2)</f>
        <v>26109</v>
      </c>
      <c r="K13" s="600"/>
      <c r="L13" s="558"/>
      <c r="N13" s="587"/>
      <c r="O13" s="588"/>
    </row>
    <row r="14" spans="1:15" ht="26.25">
      <c r="A14" s="809" t="s">
        <v>137</v>
      </c>
      <c r="B14" s="810"/>
      <c r="C14" s="811"/>
      <c r="D14" s="603"/>
      <c r="E14" s="111"/>
      <c r="F14" s="604"/>
      <c r="G14" s="605"/>
      <c r="H14" s="604"/>
      <c r="I14" s="604"/>
      <c r="J14" s="606"/>
      <c r="K14" s="607"/>
      <c r="L14" s="558"/>
      <c r="N14" s="587"/>
      <c r="O14" s="588"/>
    </row>
    <row r="15" spans="1:15" ht="26.25">
      <c r="A15" s="608" t="s">
        <v>138</v>
      </c>
      <c r="B15" s="609"/>
      <c r="C15" s="609"/>
      <c r="D15" s="597" t="s">
        <v>139</v>
      </c>
      <c r="E15" s="470">
        <v>1970937</v>
      </c>
      <c r="F15" s="610">
        <v>1972023</v>
      </c>
      <c r="G15" s="611">
        <f>(F15-E15)</f>
        <v>1086</v>
      </c>
      <c r="H15" s="584">
        <f>G15</f>
        <v>1086</v>
      </c>
      <c r="I15" s="584">
        <v>800</v>
      </c>
      <c r="J15" s="585">
        <f>H15/DAY(B2)</f>
        <v>1086</v>
      </c>
      <c r="K15" s="600"/>
      <c r="L15" s="558"/>
      <c r="N15" s="587"/>
      <c r="O15" s="588"/>
    </row>
    <row r="16" spans="1:15" ht="26.25">
      <c r="A16" s="612"/>
      <c r="B16" s="613"/>
      <c r="C16" s="613"/>
      <c r="D16" s="614"/>
      <c r="E16" s="123"/>
      <c r="F16" s="615"/>
      <c r="G16" s="599"/>
      <c r="H16" s="584"/>
      <c r="I16" s="584">
        <f>I15-J15</f>
        <v>-286</v>
      </c>
      <c r="J16" s="616"/>
      <c r="K16" s="600"/>
      <c r="L16" s="558"/>
      <c r="N16" s="587"/>
      <c r="O16" s="588"/>
    </row>
    <row r="17" spans="1:15" ht="26.25">
      <c r="A17" s="809" t="s">
        <v>140</v>
      </c>
      <c r="B17" s="810"/>
      <c r="C17" s="811"/>
      <c r="D17" s="603"/>
      <c r="E17" s="111"/>
      <c r="F17" s="604"/>
      <c r="G17" s="605"/>
      <c r="H17" s="604"/>
      <c r="I17" s="604"/>
      <c r="J17" s="606"/>
      <c r="K17" s="600"/>
      <c r="L17" s="558"/>
      <c r="N17" s="587"/>
      <c r="O17" s="588"/>
    </row>
    <row r="18" spans="1:15" ht="26.25">
      <c r="A18" s="800" t="s">
        <v>141</v>
      </c>
      <c r="B18" s="801"/>
      <c r="C18" s="802"/>
      <c r="D18" s="597" t="s">
        <v>142</v>
      </c>
      <c r="E18" s="164">
        <v>22</v>
      </c>
      <c r="F18" s="617">
        <v>28</v>
      </c>
      <c r="G18" s="618">
        <f>F18*10</f>
        <v>280</v>
      </c>
      <c r="H18" s="582">
        <f>G18</f>
        <v>280</v>
      </c>
      <c r="I18" s="584">
        <v>65</v>
      </c>
      <c r="J18" s="585">
        <f>H18/DAY(B2)</f>
        <v>280</v>
      </c>
      <c r="K18" s="600"/>
      <c r="L18" s="558"/>
      <c r="N18" s="587"/>
      <c r="O18" s="588"/>
    </row>
    <row r="19" spans="1:15" ht="26.25">
      <c r="A19" s="800" t="s">
        <v>69</v>
      </c>
      <c r="B19" s="801"/>
      <c r="C19" s="802"/>
      <c r="D19" s="597" t="s">
        <v>142</v>
      </c>
      <c r="E19" s="122">
        <v>156989</v>
      </c>
      <c r="F19" s="617">
        <v>157040</v>
      </c>
      <c r="G19" s="599">
        <f t="shared" ref="G19" si="2">F19-E19</f>
        <v>51</v>
      </c>
      <c r="H19" s="582">
        <f t="shared" ref="H19" si="3">G19</f>
        <v>51</v>
      </c>
      <c r="I19" s="598"/>
      <c r="J19" s="585">
        <f>H19/DAY(B2)</f>
        <v>51</v>
      </c>
      <c r="K19" s="600"/>
      <c r="L19" s="558"/>
      <c r="N19" s="587"/>
      <c r="O19" s="588"/>
    </row>
    <row r="20" spans="1:15" ht="26.25">
      <c r="A20" s="601" t="s">
        <v>143</v>
      </c>
      <c r="B20" s="602"/>
      <c r="C20" s="602"/>
      <c r="D20" s="619"/>
      <c r="E20" s="126"/>
      <c r="F20" s="620"/>
      <c r="G20" s="621">
        <f>G18+G19</f>
        <v>331</v>
      </c>
      <c r="H20" s="582">
        <f>G20</f>
        <v>331</v>
      </c>
      <c r="I20" s="622">
        <f>I18-J20</f>
        <v>-266</v>
      </c>
      <c r="J20" s="585">
        <f>H20/DAY(B2)</f>
        <v>331</v>
      </c>
      <c r="K20" s="600"/>
      <c r="L20" s="558"/>
      <c r="N20" s="587"/>
      <c r="O20" s="588"/>
    </row>
    <row r="21" spans="1:15" ht="26.25">
      <c r="A21" s="809" t="s">
        <v>144</v>
      </c>
      <c r="B21" s="810"/>
      <c r="C21" s="811"/>
      <c r="D21" s="603"/>
      <c r="E21" s="111"/>
      <c r="F21" s="604"/>
      <c r="G21" s="605"/>
      <c r="H21" s="604"/>
      <c r="I21" s="604"/>
      <c r="J21" s="606"/>
      <c r="K21" s="600"/>
      <c r="L21" s="558"/>
      <c r="N21" s="587"/>
      <c r="O21" s="588"/>
    </row>
    <row r="22" spans="1:15" ht="26.25">
      <c r="A22" s="608" t="s">
        <v>145</v>
      </c>
      <c r="B22" s="609"/>
      <c r="C22" s="609"/>
      <c r="D22" s="597" t="s">
        <v>146</v>
      </c>
      <c r="E22" s="122">
        <v>2970</v>
      </c>
      <c r="F22" s="617">
        <v>2970</v>
      </c>
      <c r="G22" s="618">
        <f>(F22-E22)</f>
        <v>0</v>
      </c>
      <c r="H22" s="582">
        <f>G22</f>
        <v>0</v>
      </c>
      <c r="I22" s="582"/>
      <c r="J22" s="585">
        <f>H22/DAY(B2)</f>
        <v>0</v>
      </c>
      <c r="K22" s="600"/>
      <c r="L22" s="558"/>
      <c r="N22" s="587"/>
      <c r="O22" s="588"/>
    </row>
    <row r="23" spans="1:15" ht="26.25">
      <c r="A23" s="608" t="s">
        <v>147</v>
      </c>
      <c r="B23" s="609"/>
      <c r="C23" s="609"/>
      <c r="D23" s="597" t="s">
        <v>146</v>
      </c>
      <c r="E23" s="122">
        <v>2000</v>
      </c>
      <c r="F23" s="617">
        <v>2000</v>
      </c>
      <c r="G23" s="618">
        <f t="shared" ref="G23" si="4">(F23-E23)</f>
        <v>0</v>
      </c>
      <c r="H23" s="582">
        <f t="shared" ref="H23:H24" si="5">G23</f>
        <v>0</v>
      </c>
      <c r="I23" s="582"/>
      <c r="J23" s="585">
        <f>H23/DAY(B2)</f>
        <v>0</v>
      </c>
      <c r="K23" s="600"/>
      <c r="L23" s="558"/>
      <c r="N23" s="587"/>
      <c r="O23" s="588"/>
    </row>
    <row r="24" spans="1:15" ht="26.25">
      <c r="A24" s="623" t="s">
        <v>148</v>
      </c>
      <c r="B24" s="624"/>
      <c r="C24" s="624"/>
      <c r="D24" s="625" t="s">
        <v>146</v>
      </c>
      <c r="E24" s="128">
        <v>4970</v>
      </c>
      <c r="F24" s="626">
        <v>4970</v>
      </c>
      <c r="G24" s="618">
        <f>SUM(G22:G23)</f>
        <v>0</v>
      </c>
      <c r="H24" s="582">
        <f t="shared" si="5"/>
        <v>0</v>
      </c>
      <c r="I24" s="582"/>
      <c r="J24" s="585">
        <f>H24/DAY(B2)</f>
        <v>0</v>
      </c>
      <c r="K24" s="600"/>
      <c r="L24" s="558"/>
      <c r="N24" s="587"/>
      <c r="O24" s="588"/>
    </row>
    <row r="25" spans="1:15" ht="26.25">
      <c r="A25" s="817" t="s">
        <v>149</v>
      </c>
      <c r="B25" s="818"/>
      <c r="C25" s="819"/>
      <c r="D25" s="627"/>
      <c r="E25" s="110"/>
      <c r="F25" s="604"/>
      <c r="G25" s="605"/>
      <c r="H25" s="604"/>
      <c r="I25" s="628"/>
      <c r="J25" s="606"/>
      <c r="K25" s="600"/>
      <c r="L25" s="558"/>
      <c r="N25" s="587"/>
      <c r="O25" s="588"/>
    </row>
    <row r="26" spans="1:15" ht="26.25">
      <c r="A26" s="629" t="s">
        <v>150</v>
      </c>
      <c r="B26" s="630"/>
      <c r="C26" s="631"/>
      <c r="D26" s="632" t="s">
        <v>151</v>
      </c>
      <c r="E26" s="132"/>
      <c r="F26" s="633"/>
      <c r="G26" s="634"/>
      <c r="H26" s="582"/>
      <c r="I26" s="635"/>
      <c r="J26" s="585"/>
      <c r="K26" s="607"/>
      <c r="L26" s="558"/>
      <c r="N26" s="587"/>
      <c r="O26" s="588"/>
    </row>
    <row r="27" spans="1:15" ht="26.25">
      <c r="A27" s="629" t="s">
        <v>5</v>
      </c>
      <c r="B27" s="630"/>
      <c r="C27" s="631"/>
      <c r="D27" s="636" t="s">
        <v>24</v>
      </c>
      <c r="E27" s="136">
        <f>G8</f>
        <v>27412.78</v>
      </c>
      <c r="F27" s="637">
        <v>9</v>
      </c>
      <c r="G27" s="638">
        <f>E27*F27</f>
        <v>246715.02</v>
      </c>
      <c r="H27" s="582">
        <f t="shared" ref="H27:H32" si="6">G27</f>
        <v>246715.02</v>
      </c>
      <c r="I27" s="639"/>
      <c r="J27" s="585">
        <f>H27/DAY(B2)</f>
        <v>246715.02</v>
      </c>
      <c r="K27" s="600"/>
      <c r="L27" s="558"/>
      <c r="N27" s="587"/>
      <c r="O27" s="588"/>
    </row>
    <row r="28" spans="1:15" ht="26.25">
      <c r="A28" s="629" t="s">
        <v>152</v>
      </c>
      <c r="B28" s="630"/>
      <c r="C28" s="631"/>
      <c r="D28" s="636" t="s">
        <v>153</v>
      </c>
      <c r="E28" s="136">
        <f>G15</f>
        <v>1086</v>
      </c>
      <c r="F28" s="637">
        <v>70</v>
      </c>
      <c r="G28" s="638">
        <f>E28*F28</f>
        <v>76020</v>
      </c>
      <c r="H28" s="582">
        <f t="shared" si="6"/>
        <v>76020</v>
      </c>
      <c r="I28" s="635"/>
      <c r="J28" s="585">
        <f>H28/DAY(B2)</f>
        <v>76020</v>
      </c>
      <c r="K28" s="600"/>
      <c r="L28" s="558"/>
      <c r="N28" s="587"/>
      <c r="O28" s="588"/>
    </row>
    <row r="29" spans="1:15" ht="26.25">
      <c r="A29" s="629" t="s">
        <v>154</v>
      </c>
      <c r="B29" s="630"/>
      <c r="C29" s="631"/>
      <c r="D29" s="636" t="s">
        <v>155</v>
      </c>
      <c r="E29" s="136">
        <f>G24</f>
        <v>0</v>
      </c>
      <c r="F29" s="637">
        <v>69</v>
      </c>
      <c r="G29" s="638">
        <f>E29*F29</f>
        <v>0</v>
      </c>
      <c r="H29" s="582">
        <f t="shared" si="6"/>
        <v>0</v>
      </c>
      <c r="I29" s="635"/>
      <c r="J29" s="585">
        <f>H29/DAY(B2)</f>
        <v>0</v>
      </c>
      <c r="K29" s="600"/>
      <c r="L29" s="558"/>
      <c r="N29" s="587"/>
      <c r="O29" s="588"/>
    </row>
    <row r="30" spans="1:15" ht="26.25">
      <c r="A30" s="629" t="s">
        <v>156</v>
      </c>
      <c r="B30" s="630"/>
      <c r="C30" s="631"/>
      <c r="D30" s="636" t="s">
        <v>157</v>
      </c>
      <c r="E30" s="136">
        <f>G19</f>
        <v>51</v>
      </c>
      <c r="F30" s="637">
        <v>151</v>
      </c>
      <c r="G30" s="638">
        <f>E30*F30</f>
        <v>7701</v>
      </c>
      <c r="H30" s="582">
        <f t="shared" si="6"/>
        <v>7701</v>
      </c>
      <c r="I30" s="635"/>
      <c r="J30" s="585">
        <f>H30/DAY(B2)</f>
        <v>7701</v>
      </c>
      <c r="K30" s="600"/>
      <c r="L30" s="558"/>
      <c r="N30" s="587"/>
      <c r="O30" s="588"/>
    </row>
    <row r="31" spans="1:15" ht="26.25">
      <c r="A31" s="629" t="s">
        <v>158</v>
      </c>
      <c r="B31" s="630"/>
      <c r="C31" s="631"/>
      <c r="D31" s="636" t="s">
        <v>142</v>
      </c>
      <c r="E31" s="136">
        <f>G18</f>
        <v>280</v>
      </c>
      <c r="F31" s="637">
        <v>80</v>
      </c>
      <c r="G31" s="638">
        <f>E31*F31</f>
        <v>22400</v>
      </c>
      <c r="H31" s="582">
        <f t="shared" si="6"/>
        <v>22400</v>
      </c>
      <c r="I31" s="635"/>
      <c r="J31" s="585">
        <f>H31/DAY(B2)</f>
        <v>22400</v>
      </c>
      <c r="K31" s="600"/>
      <c r="L31" s="558"/>
      <c r="N31" s="587"/>
      <c r="O31" s="588"/>
    </row>
    <row r="32" spans="1:15" ht="26.25">
      <c r="A32" s="640" t="s">
        <v>159</v>
      </c>
      <c r="B32" s="641"/>
      <c r="C32" s="642"/>
      <c r="D32" s="643"/>
      <c r="E32" s="142"/>
      <c r="F32" s="644"/>
      <c r="G32" s="645">
        <f>G27+G28+G29+G30+G31</f>
        <v>352836.02</v>
      </c>
      <c r="H32" s="646">
        <f t="shared" si="6"/>
        <v>352836.02</v>
      </c>
      <c r="I32" s="647"/>
      <c r="J32" s="648">
        <f>H32/DAY(B2)</f>
        <v>352836.02</v>
      </c>
      <c r="K32" s="600"/>
      <c r="L32" s="558"/>
      <c r="N32" s="587"/>
      <c r="O32" s="588"/>
    </row>
    <row r="33" spans="1:15" ht="25.5" customHeight="1">
      <c r="A33" s="820" t="s">
        <v>331</v>
      </c>
      <c r="B33" s="821"/>
      <c r="C33" s="821"/>
      <c r="D33" s="649"/>
      <c r="E33" s="531"/>
      <c r="F33" s="650"/>
      <c r="G33" s="650"/>
      <c r="H33" s="650"/>
      <c r="I33" s="650"/>
      <c r="J33" s="651"/>
      <c r="K33" s="600"/>
      <c r="L33" s="558"/>
      <c r="N33" s="587"/>
      <c r="O33" s="588"/>
    </row>
    <row r="34" spans="1:15" ht="26.25">
      <c r="A34" s="652" t="s">
        <v>160</v>
      </c>
      <c r="B34" s="653"/>
      <c r="C34" s="653"/>
      <c r="D34" s="603"/>
      <c r="E34" s="110"/>
      <c r="F34" s="604"/>
      <c r="G34" s="604"/>
      <c r="H34" s="604"/>
      <c r="I34" s="604"/>
      <c r="J34" s="606"/>
      <c r="K34" s="600"/>
      <c r="L34" s="558"/>
      <c r="N34" s="587"/>
      <c r="O34" s="588"/>
    </row>
    <row r="35" spans="1:15" ht="26.25">
      <c r="A35" s="579" t="s">
        <v>161</v>
      </c>
      <c r="B35" s="580"/>
      <c r="C35" s="580"/>
      <c r="D35" s="597" t="s">
        <v>130</v>
      </c>
      <c r="E35" s="145">
        <v>138279.21</v>
      </c>
      <c r="F35" s="598">
        <v>140484</v>
      </c>
      <c r="G35" s="599">
        <f t="shared" ref="G35:G46" si="7">F35-E35</f>
        <v>2204.7900000000081</v>
      </c>
      <c r="H35" s="582">
        <f t="shared" ref="H35:H47" si="8">G35</f>
        <v>2204.7900000000081</v>
      </c>
      <c r="I35" s="582"/>
      <c r="J35" s="585">
        <f>H35/DAY(B2)</f>
        <v>2204.7900000000081</v>
      </c>
      <c r="K35" s="600"/>
      <c r="L35" s="558"/>
      <c r="N35" s="587"/>
      <c r="O35" s="588"/>
    </row>
    <row r="36" spans="1:15" ht="26.25">
      <c r="A36" s="579" t="s">
        <v>162</v>
      </c>
      <c r="B36" s="580"/>
      <c r="C36" s="580"/>
      <c r="D36" s="597" t="s">
        <v>130</v>
      </c>
      <c r="E36" s="145">
        <v>100520.66</v>
      </c>
      <c r="F36" s="598">
        <v>101711</v>
      </c>
      <c r="G36" s="599">
        <f t="shared" si="7"/>
        <v>1190.3399999999965</v>
      </c>
      <c r="H36" s="582">
        <f t="shared" si="8"/>
        <v>1190.3399999999965</v>
      </c>
      <c r="I36" s="582"/>
      <c r="J36" s="585">
        <f>H36/DAY(B2)</f>
        <v>1190.3399999999965</v>
      </c>
      <c r="K36" s="600"/>
      <c r="L36" s="558"/>
      <c r="N36" s="587"/>
      <c r="O36" s="654"/>
    </row>
    <row r="37" spans="1:15" ht="26.25">
      <c r="A37" s="579" t="s">
        <v>163</v>
      </c>
      <c r="B37" s="580"/>
      <c r="C37" s="580"/>
      <c r="D37" s="597" t="s">
        <v>130</v>
      </c>
      <c r="E37" s="145">
        <v>132925.01999999999</v>
      </c>
      <c r="F37" s="598">
        <v>134570</v>
      </c>
      <c r="G37" s="599">
        <f t="shared" si="7"/>
        <v>1644.9800000000105</v>
      </c>
      <c r="H37" s="582">
        <f t="shared" si="8"/>
        <v>1644.9800000000105</v>
      </c>
      <c r="I37" s="582"/>
      <c r="J37" s="585">
        <f>H37/DAY(B2)</f>
        <v>1644.9800000000105</v>
      </c>
      <c r="K37" s="600"/>
      <c r="L37" s="558"/>
      <c r="N37" s="587"/>
      <c r="O37" s="655"/>
    </row>
    <row r="38" spans="1:15" ht="26.25">
      <c r="A38" s="579" t="s">
        <v>164</v>
      </c>
      <c r="B38" s="580"/>
      <c r="C38" s="580"/>
      <c r="D38" s="597" t="s">
        <v>130</v>
      </c>
      <c r="E38" s="108">
        <v>170109.37</v>
      </c>
      <c r="F38" s="582">
        <v>172769</v>
      </c>
      <c r="G38" s="599">
        <f t="shared" si="7"/>
        <v>2659.6300000000047</v>
      </c>
      <c r="H38" s="582">
        <f t="shared" si="8"/>
        <v>2659.6300000000047</v>
      </c>
      <c r="I38" s="582"/>
      <c r="J38" s="585">
        <f>H38/DAY(B2)</f>
        <v>2659.6300000000047</v>
      </c>
      <c r="K38" s="600"/>
      <c r="L38" s="558"/>
      <c r="N38" s="587"/>
      <c r="O38" s="588"/>
    </row>
    <row r="39" spans="1:15" ht="26.25">
      <c r="A39" s="579" t="s">
        <v>165</v>
      </c>
      <c r="B39" s="580"/>
      <c r="C39" s="580"/>
      <c r="D39" s="597" t="s">
        <v>130</v>
      </c>
      <c r="E39" s="145">
        <v>244153.43</v>
      </c>
      <c r="F39" s="598">
        <v>247470</v>
      </c>
      <c r="G39" s="599">
        <f t="shared" si="7"/>
        <v>3316.570000000007</v>
      </c>
      <c r="H39" s="582">
        <f t="shared" si="8"/>
        <v>3316.570000000007</v>
      </c>
      <c r="I39" s="582"/>
      <c r="J39" s="585">
        <f>H39/DAY(B2)</f>
        <v>3316.570000000007</v>
      </c>
      <c r="K39" s="600"/>
      <c r="L39" s="558"/>
      <c r="N39" s="587"/>
      <c r="O39" s="588"/>
    </row>
    <row r="40" spans="1:15" ht="26.25">
      <c r="A40" s="656" t="s">
        <v>166</v>
      </c>
      <c r="B40" s="657"/>
      <c r="C40" s="657"/>
      <c r="D40" s="597" t="s">
        <v>130</v>
      </c>
      <c r="E40" s="145">
        <v>49151.86</v>
      </c>
      <c r="F40" s="598">
        <v>49763</v>
      </c>
      <c r="G40" s="599">
        <f t="shared" si="7"/>
        <v>611.13999999999942</v>
      </c>
      <c r="H40" s="582">
        <f t="shared" si="8"/>
        <v>611.13999999999942</v>
      </c>
      <c r="I40" s="582"/>
      <c r="J40" s="585">
        <f>H40/DAY(B2)</f>
        <v>611.13999999999942</v>
      </c>
      <c r="K40" s="607"/>
      <c r="L40" s="558"/>
      <c r="N40" s="587"/>
      <c r="O40" s="588"/>
    </row>
    <row r="41" spans="1:15" ht="26.25">
      <c r="A41" s="579" t="s">
        <v>167</v>
      </c>
      <c r="B41" s="580"/>
      <c r="C41" s="580"/>
      <c r="D41" s="597" t="s">
        <v>130</v>
      </c>
      <c r="E41" s="145">
        <v>63</v>
      </c>
      <c r="F41" s="598">
        <v>62.73</v>
      </c>
      <c r="G41" s="599">
        <f t="shared" si="7"/>
        <v>-0.27000000000000313</v>
      </c>
      <c r="H41" s="582">
        <f t="shared" si="8"/>
        <v>-0.27000000000000313</v>
      </c>
      <c r="I41" s="582"/>
      <c r="J41" s="585">
        <f>H41/DAY(B2)</f>
        <v>-0.27000000000000313</v>
      </c>
      <c r="K41" s="600"/>
      <c r="L41" s="558"/>
      <c r="N41" s="587"/>
      <c r="O41" s="588"/>
    </row>
    <row r="42" spans="1:15" ht="26.25">
      <c r="A42" s="579" t="s">
        <v>168</v>
      </c>
      <c r="B42" s="580"/>
      <c r="C42" s="580"/>
      <c r="D42" s="597" t="s">
        <v>130</v>
      </c>
      <c r="E42" s="145">
        <v>281357.25</v>
      </c>
      <c r="F42" s="598">
        <v>283801</v>
      </c>
      <c r="G42" s="599">
        <f t="shared" si="7"/>
        <v>2443.75</v>
      </c>
      <c r="H42" s="582">
        <f t="shared" si="8"/>
        <v>2443.75</v>
      </c>
      <c r="I42" s="582"/>
      <c r="J42" s="585">
        <f>H42/DAY(B2)</f>
        <v>2443.75</v>
      </c>
      <c r="K42" s="600"/>
      <c r="L42" s="558"/>
      <c r="N42" s="587"/>
      <c r="O42" s="588"/>
    </row>
    <row r="43" spans="1:15" ht="26.25">
      <c r="A43" s="579" t="s">
        <v>169</v>
      </c>
      <c r="B43" s="580"/>
      <c r="C43" s="580"/>
      <c r="D43" s="597" t="s">
        <v>130</v>
      </c>
      <c r="E43" s="145">
        <v>258754.47</v>
      </c>
      <c r="F43" s="598">
        <v>261848</v>
      </c>
      <c r="G43" s="599">
        <f t="shared" si="7"/>
        <v>3093.5299999999988</v>
      </c>
      <c r="H43" s="582">
        <f t="shared" si="8"/>
        <v>3093.5299999999988</v>
      </c>
      <c r="I43" s="582"/>
      <c r="J43" s="585">
        <f>H43/DAY(B2)</f>
        <v>3093.5299999999988</v>
      </c>
      <c r="K43" s="600"/>
      <c r="L43" s="558"/>
      <c r="N43" s="587"/>
      <c r="O43" s="588"/>
    </row>
    <row r="44" spans="1:15" ht="26.25">
      <c r="A44" s="579" t="s">
        <v>170</v>
      </c>
      <c r="B44" s="580"/>
      <c r="C44" s="580"/>
      <c r="D44" s="597" t="s">
        <v>130</v>
      </c>
      <c r="E44" s="145">
        <v>0</v>
      </c>
      <c r="F44" s="598">
        <v>0</v>
      </c>
      <c r="G44" s="599">
        <f t="shared" si="7"/>
        <v>0</v>
      </c>
      <c r="H44" s="582">
        <f t="shared" si="8"/>
        <v>0</v>
      </c>
      <c r="I44" s="582"/>
      <c r="J44" s="585">
        <f>H44/DAY(B2)</f>
        <v>0</v>
      </c>
      <c r="K44" s="600"/>
      <c r="L44" s="558"/>
      <c r="N44" s="587"/>
      <c r="O44" s="588"/>
    </row>
    <row r="45" spans="1:15" ht="26.25">
      <c r="A45" s="579" t="s">
        <v>171</v>
      </c>
      <c r="B45" s="580"/>
      <c r="C45" s="580"/>
      <c r="D45" s="597" t="s">
        <v>130</v>
      </c>
      <c r="E45" s="145">
        <v>0</v>
      </c>
      <c r="F45" s="598">
        <v>0</v>
      </c>
      <c r="G45" s="599">
        <f t="shared" si="7"/>
        <v>0</v>
      </c>
      <c r="H45" s="582">
        <f t="shared" si="8"/>
        <v>0</v>
      </c>
      <c r="I45" s="582"/>
      <c r="J45" s="585">
        <f>H45/DAY(B2)</f>
        <v>0</v>
      </c>
      <c r="K45" s="600"/>
      <c r="L45" s="558"/>
      <c r="N45" s="587"/>
      <c r="O45" s="588"/>
    </row>
    <row r="46" spans="1:15" ht="26.25">
      <c r="A46" s="579" t="s">
        <v>172</v>
      </c>
      <c r="B46" s="580"/>
      <c r="C46" s="580"/>
      <c r="D46" s="597" t="s">
        <v>130</v>
      </c>
      <c r="E46" s="145">
        <v>0</v>
      </c>
      <c r="F46" s="598">
        <v>0</v>
      </c>
      <c r="G46" s="599">
        <f t="shared" si="7"/>
        <v>0</v>
      </c>
      <c r="H46" s="582">
        <f t="shared" si="8"/>
        <v>0</v>
      </c>
      <c r="I46" s="582"/>
      <c r="J46" s="585">
        <f>H46/DAY(B2)</f>
        <v>0</v>
      </c>
      <c r="K46" s="600"/>
      <c r="L46" s="558"/>
      <c r="N46" s="587"/>
      <c r="O46" s="588"/>
    </row>
    <row r="47" spans="1:15" ht="26.25">
      <c r="A47" s="601" t="s">
        <v>173</v>
      </c>
      <c r="B47" s="602"/>
      <c r="C47" s="602"/>
      <c r="D47" s="658"/>
      <c r="E47" s="146"/>
      <c r="F47" s="582"/>
      <c r="G47" s="618">
        <f>G35+G36+G37+G38+G39+G40+G41+G42+G43+G44+G45+G46</f>
        <v>17164.460000000025</v>
      </c>
      <c r="H47" s="582">
        <f t="shared" si="8"/>
        <v>17164.460000000025</v>
      </c>
      <c r="I47" s="582"/>
      <c r="J47" s="585">
        <f>H47/DAY(B2)</f>
        <v>17164.460000000025</v>
      </c>
      <c r="K47" s="600"/>
      <c r="L47" s="558"/>
      <c r="N47" s="587"/>
      <c r="O47" s="588"/>
    </row>
    <row r="48" spans="1:15" ht="26.25">
      <c r="A48" s="652" t="s">
        <v>174</v>
      </c>
      <c r="B48" s="653"/>
      <c r="C48" s="653"/>
      <c r="D48" s="603"/>
      <c r="E48" s="110"/>
      <c r="F48" s="604"/>
      <c r="G48" s="604"/>
      <c r="H48" s="604"/>
      <c r="I48" s="604"/>
      <c r="J48" s="606"/>
      <c r="K48" s="600"/>
      <c r="L48" s="558"/>
      <c r="N48" s="587"/>
      <c r="O48" s="588"/>
    </row>
    <row r="49" spans="1:15" ht="26.25">
      <c r="A49" s="579" t="s">
        <v>161</v>
      </c>
      <c r="B49" s="659"/>
      <c r="C49" s="659"/>
      <c r="D49" s="597" t="s">
        <v>130</v>
      </c>
      <c r="E49" s="145">
        <v>110502.2</v>
      </c>
      <c r="F49" s="598">
        <v>112219</v>
      </c>
      <c r="G49" s="599">
        <f t="shared" ref="G49:G58" si="9">F49-E49</f>
        <v>1716.8000000000029</v>
      </c>
      <c r="H49" s="582">
        <f t="shared" ref="H49:H60" si="10">G49</f>
        <v>1716.8000000000029</v>
      </c>
      <c r="I49" s="582"/>
      <c r="J49" s="585">
        <f>H49/DAY(B2)</f>
        <v>1716.8000000000029</v>
      </c>
      <c r="K49" s="600"/>
      <c r="L49" s="558"/>
      <c r="N49" s="587"/>
      <c r="O49" s="588"/>
    </row>
    <row r="50" spans="1:15" ht="26.25">
      <c r="A50" s="579" t="s">
        <v>175</v>
      </c>
      <c r="B50" s="659"/>
      <c r="C50" s="659"/>
      <c r="D50" s="597" t="s">
        <v>130</v>
      </c>
      <c r="E50" s="145">
        <v>131210.14000000001</v>
      </c>
      <c r="F50" s="598">
        <v>132661</v>
      </c>
      <c r="G50" s="599">
        <f t="shared" si="9"/>
        <v>1450.859999999986</v>
      </c>
      <c r="H50" s="582">
        <f t="shared" si="10"/>
        <v>1450.859999999986</v>
      </c>
      <c r="I50" s="582"/>
      <c r="J50" s="585">
        <f>H50/DAY(B2)</f>
        <v>1450.859999999986</v>
      </c>
      <c r="K50" s="600"/>
      <c r="L50" s="558"/>
      <c r="N50" s="587"/>
      <c r="O50" s="588"/>
    </row>
    <row r="51" spans="1:15" ht="26.25">
      <c r="A51" s="579" t="s">
        <v>163</v>
      </c>
      <c r="B51" s="659"/>
      <c r="C51" s="659"/>
      <c r="D51" s="597" t="s">
        <v>130</v>
      </c>
      <c r="E51" s="145">
        <v>75.680000000000007</v>
      </c>
      <c r="F51" s="598">
        <v>75.680000000000007</v>
      </c>
      <c r="G51" s="599">
        <f t="shared" si="9"/>
        <v>0</v>
      </c>
      <c r="H51" s="582">
        <f t="shared" si="10"/>
        <v>0</v>
      </c>
      <c r="I51" s="582"/>
      <c r="J51" s="585">
        <f>H51/DAY(B2)</f>
        <v>0</v>
      </c>
      <c r="K51" s="600"/>
      <c r="L51" s="558"/>
      <c r="N51" s="587"/>
      <c r="O51" s="588"/>
    </row>
    <row r="52" spans="1:15" ht="26.25">
      <c r="A52" s="579" t="s">
        <v>176</v>
      </c>
      <c r="B52" s="659"/>
      <c r="C52" s="659"/>
      <c r="D52" s="597" t="s">
        <v>130</v>
      </c>
      <c r="E52" s="145">
        <v>10</v>
      </c>
      <c r="F52" s="598">
        <v>9.76</v>
      </c>
      <c r="G52" s="599">
        <f t="shared" si="9"/>
        <v>-0.24000000000000021</v>
      </c>
      <c r="H52" s="582">
        <f t="shared" si="10"/>
        <v>-0.24000000000000021</v>
      </c>
      <c r="I52" s="582"/>
      <c r="J52" s="585">
        <f>H52/DAY(B2)</f>
        <v>-0.24000000000000021</v>
      </c>
      <c r="K52" s="600"/>
      <c r="L52" s="558"/>
      <c r="N52" s="587"/>
      <c r="O52" s="588"/>
    </row>
    <row r="53" spans="1:15" ht="26.25">
      <c r="A53" s="579" t="s">
        <v>165</v>
      </c>
      <c r="B53" s="659"/>
      <c r="C53" s="659"/>
      <c r="D53" s="597" t="s">
        <v>130</v>
      </c>
      <c r="E53" s="145">
        <v>0</v>
      </c>
      <c r="F53" s="598">
        <v>0</v>
      </c>
      <c r="G53" s="599">
        <f t="shared" si="9"/>
        <v>0</v>
      </c>
      <c r="H53" s="582">
        <f t="shared" si="10"/>
        <v>0</v>
      </c>
      <c r="I53" s="582"/>
      <c r="J53" s="585">
        <f>H53/DAY(B2)</f>
        <v>0</v>
      </c>
      <c r="K53" s="600"/>
      <c r="L53" s="558"/>
      <c r="N53" s="587"/>
      <c r="O53" s="588"/>
    </row>
    <row r="54" spans="1:15" ht="26.25">
      <c r="A54" s="579" t="s">
        <v>177</v>
      </c>
      <c r="B54" s="659"/>
      <c r="C54" s="659"/>
      <c r="D54" s="597" t="s">
        <v>130</v>
      </c>
      <c r="E54" s="145">
        <v>35671.06</v>
      </c>
      <c r="F54" s="598">
        <v>36197</v>
      </c>
      <c r="G54" s="599">
        <f t="shared" si="9"/>
        <v>525.94000000000233</v>
      </c>
      <c r="H54" s="582">
        <f t="shared" si="10"/>
        <v>525.94000000000233</v>
      </c>
      <c r="I54" s="582"/>
      <c r="J54" s="585">
        <f>H54/DAY(B2)</f>
        <v>525.94000000000233</v>
      </c>
      <c r="K54" s="600"/>
      <c r="L54" s="558"/>
      <c r="N54" s="587"/>
      <c r="O54" s="588"/>
    </row>
    <row r="55" spans="1:15" ht="26.25">
      <c r="A55" s="579" t="s">
        <v>178</v>
      </c>
      <c r="B55" s="659"/>
      <c r="C55" s="659"/>
      <c r="D55" s="597" t="s">
        <v>130</v>
      </c>
      <c r="E55" s="145">
        <v>112481.03</v>
      </c>
      <c r="F55" s="598">
        <v>116035</v>
      </c>
      <c r="G55" s="599">
        <f t="shared" si="9"/>
        <v>3553.9700000000012</v>
      </c>
      <c r="H55" s="582">
        <f t="shared" si="10"/>
        <v>3553.9700000000012</v>
      </c>
      <c r="I55" s="582"/>
      <c r="J55" s="585">
        <f>H55/DAY(B2)</f>
        <v>3553.9700000000012</v>
      </c>
      <c r="K55" s="600"/>
      <c r="L55" s="558"/>
      <c r="N55" s="587"/>
      <c r="O55" s="588"/>
    </row>
    <row r="56" spans="1:15" ht="26.25">
      <c r="A56" s="579" t="s">
        <v>179</v>
      </c>
      <c r="B56" s="659"/>
      <c r="C56" s="659"/>
      <c r="D56" s="597" t="s">
        <v>180</v>
      </c>
      <c r="E56" s="145">
        <v>71617.679999999993</v>
      </c>
      <c r="F56" s="598">
        <v>71618</v>
      </c>
      <c r="G56" s="599">
        <f t="shared" si="9"/>
        <v>0.32000000000698492</v>
      </c>
      <c r="H56" s="582">
        <f t="shared" si="10"/>
        <v>0.32000000000698492</v>
      </c>
      <c r="I56" s="582"/>
      <c r="J56" s="585">
        <f>H56/DAY(B2)</f>
        <v>0.32000000000698492</v>
      </c>
      <c r="K56" s="660"/>
      <c r="L56" s="558"/>
      <c r="N56" s="587"/>
      <c r="O56" s="588"/>
    </row>
    <row r="57" spans="1:15" ht="26.25">
      <c r="A57" s="579" t="s">
        <v>169</v>
      </c>
      <c r="B57" s="659"/>
      <c r="C57" s="659"/>
      <c r="D57" s="597" t="s">
        <v>130</v>
      </c>
      <c r="E57" s="145">
        <v>0</v>
      </c>
      <c r="F57" s="598">
        <v>0</v>
      </c>
      <c r="G57" s="599">
        <f t="shared" si="9"/>
        <v>0</v>
      </c>
      <c r="H57" s="582">
        <f t="shared" si="10"/>
        <v>0</v>
      </c>
      <c r="I57" s="582"/>
      <c r="J57" s="585">
        <f>H57/DAY(B2)</f>
        <v>0</v>
      </c>
      <c r="K57" s="600"/>
      <c r="L57" s="558"/>
      <c r="N57" s="587"/>
      <c r="O57" s="588"/>
    </row>
    <row r="58" spans="1:15" ht="26.25">
      <c r="A58" s="579" t="s">
        <v>181</v>
      </c>
      <c r="B58" s="659"/>
      <c r="C58" s="659"/>
      <c r="D58" s="597" t="s">
        <v>130</v>
      </c>
      <c r="E58" s="145">
        <v>18454.2</v>
      </c>
      <c r="F58" s="598">
        <v>18690</v>
      </c>
      <c r="G58" s="599">
        <f t="shared" si="9"/>
        <v>235.79999999999927</v>
      </c>
      <c r="H58" s="582">
        <f t="shared" si="10"/>
        <v>235.79999999999927</v>
      </c>
      <c r="I58" s="582"/>
      <c r="J58" s="585">
        <f>H58/DAY(B2)</f>
        <v>235.79999999999927</v>
      </c>
      <c r="K58" s="600"/>
      <c r="L58" s="558"/>
      <c r="N58" s="587"/>
      <c r="O58" s="588"/>
    </row>
    <row r="59" spans="1:15" ht="26.25">
      <c r="A59" s="601" t="s">
        <v>173</v>
      </c>
      <c r="B59" s="602"/>
      <c r="C59" s="602"/>
      <c r="D59" s="625"/>
      <c r="E59" s="146"/>
      <c r="F59" s="582"/>
      <c r="G59" s="618">
        <f>G49+G50+G51+G52+G53+G54+G55+G56+G57+G58</f>
        <v>7483.4499999999989</v>
      </c>
      <c r="H59" s="582">
        <f t="shared" si="10"/>
        <v>7483.4499999999989</v>
      </c>
      <c r="I59" s="582">
        <f>G7-G60</f>
        <v>2385.0899999999747</v>
      </c>
      <c r="J59" s="585">
        <f>H59/DAY(B2)</f>
        <v>7483.4499999999989</v>
      </c>
      <c r="K59" s="600"/>
      <c r="L59" s="558"/>
      <c r="N59" s="587"/>
      <c r="O59" s="588"/>
    </row>
    <row r="60" spans="1:15" ht="26.25">
      <c r="A60" s="579"/>
      <c r="B60" s="580"/>
      <c r="C60" s="580"/>
      <c r="D60" s="625" t="s">
        <v>182</v>
      </c>
      <c r="E60" s="146"/>
      <c r="F60" s="582"/>
      <c r="G60" s="618">
        <f>G47+G59</f>
        <v>24647.910000000025</v>
      </c>
      <c r="H60" s="582">
        <f t="shared" si="10"/>
        <v>24647.910000000025</v>
      </c>
      <c r="I60" s="582">
        <f>G13-G60</f>
        <v>1461.0899999999747</v>
      </c>
      <c r="J60" s="585">
        <f>H60/DAY(B2)</f>
        <v>24647.910000000025</v>
      </c>
      <c r="K60" s="600"/>
      <c r="L60" s="558"/>
      <c r="N60" s="587"/>
      <c r="O60" s="588"/>
    </row>
    <row r="61" spans="1:15" s="667" customFormat="1" ht="26.25">
      <c r="A61" s="822" t="s">
        <v>332</v>
      </c>
      <c r="B61" s="823"/>
      <c r="C61" s="824"/>
      <c r="D61" s="661"/>
      <c r="E61" s="339"/>
      <c r="F61" s="662"/>
      <c r="G61" s="663"/>
      <c r="H61" s="662"/>
      <c r="I61" s="662"/>
      <c r="J61" s="664"/>
      <c r="K61" s="665"/>
      <c r="L61" s="666"/>
      <c r="N61" s="587"/>
      <c r="O61" s="588"/>
    </row>
    <row r="62" spans="1:15" ht="26.25">
      <c r="A62" s="800" t="s">
        <v>198</v>
      </c>
      <c r="B62" s="801"/>
      <c r="C62" s="802"/>
      <c r="D62" s="597" t="s">
        <v>142</v>
      </c>
      <c r="E62" s="122">
        <v>278626</v>
      </c>
      <c r="F62" s="617">
        <v>278836</v>
      </c>
      <c r="G62" s="599">
        <f t="shared" ref="G62:G63" si="11">F62-E62</f>
        <v>210</v>
      </c>
      <c r="H62" s="582">
        <f t="shared" ref="H62:H71" si="12">G62</f>
        <v>210</v>
      </c>
      <c r="I62" s="582"/>
      <c r="J62" s="585">
        <f>H62/DAY(B2)</f>
        <v>210</v>
      </c>
      <c r="K62" s="607"/>
      <c r="L62" s="558"/>
      <c r="N62" s="587"/>
      <c r="O62" s="588"/>
    </row>
    <row r="63" spans="1:15" ht="26.25">
      <c r="A63" s="800" t="s">
        <v>199</v>
      </c>
      <c r="B63" s="801"/>
      <c r="C63" s="802"/>
      <c r="D63" s="597" t="s">
        <v>142</v>
      </c>
      <c r="E63" s="164">
        <v>223081</v>
      </c>
      <c r="F63" s="617">
        <v>223267</v>
      </c>
      <c r="G63" s="599">
        <f t="shared" si="11"/>
        <v>186</v>
      </c>
      <c r="H63" s="582">
        <f t="shared" si="12"/>
        <v>186</v>
      </c>
      <c r="I63" s="582"/>
      <c r="J63" s="585">
        <f>H63/DAY(B2)</f>
        <v>186</v>
      </c>
      <c r="K63" s="665"/>
      <c r="L63" s="558"/>
      <c r="N63" s="587"/>
      <c r="O63" s="588"/>
    </row>
    <row r="64" spans="1:15" ht="26.25">
      <c r="A64" s="785" t="s">
        <v>200</v>
      </c>
      <c r="B64" s="786"/>
      <c r="C64" s="787"/>
      <c r="D64" s="597"/>
      <c r="E64" s="122"/>
      <c r="F64" s="617"/>
      <c r="G64" s="599">
        <f>G62+G63</f>
        <v>396</v>
      </c>
      <c r="H64" s="582">
        <f t="shared" si="12"/>
        <v>396</v>
      </c>
      <c r="I64" s="582"/>
      <c r="J64" s="585">
        <f>H64/DAY(B2)</f>
        <v>396</v>
      </c>
      <c r="K64" s="665"/>
      <c r="L64" s="558"/>
      <c r="N64" s="587"/>
      <c r="O64" s="588"/>
    </row>
    <row r="65" spans="1:15" ht="26.25">
      <c r="A65" s="812" t="s">
        <v>201</v>
      </c>
      <c r="B65" s="813"/>
      <c r="C65" s="814"/>
      <c r="D65" s="597" t="s">
        <v>142</v>
      </c>
      <c r="E65" s="122">
        <v>441131</v>
      </c>
      <c r="F65" s="617">
        <v>441268</v>
      </c>
      <c r="G65" s="599">
        <f t="shared" ref="G65:G70" si="13">F65-E65</f>
        <v>137</v>
      </c>
      <c r="H65" s="582">
        <f t="shared" si="12"/>
        <v>137</v>
      </c>
      <c r="I65" s="582"/>
      <c r="J65" s="585">
        <f>H65/DAY(B2)</f>
        <v>137</v>
      </c>
      <c r="K65" s="665"/>
      <c r="L65" s="558"/>
      <c r="N65" s="587"/>
      <c r="O65" s="588"/>
    </row>
    <row r="66" spans="1:15" ht="26.25">
      <c r="A66" s="608" t="s">
        <v>202</v>
      </c>
      <c r="B66" s="609"/>
      <c r="C66" s="609"/>
      <c r="D66" s="597" t="s">
        <v>142</v>
      </c>
      <c r="E66" s="122">
        <v>109070</v>
      </c>
      <c r="F66" s="617">
        <v>109088</v>
      </c>
      <c r="G66" s="599">
        <f t="shared" si="13"/>
        <v>18</v>
      </c>
      <c r="H66" s="582">
        <f t="shared" si="12"/>
        <v>18</v>
      </c>
      <c r="I66" s="582"/>
      <c r="J66" s="585">
        <f>H66/DAY(B2)</f>
        <v>18</v>
      </c>
      <c r="K66" s="660"/>
      <c r="L66" s="558"/>
      <c r="N66" s="587"/>
      <c r="O66" s="588"/>
    </row>
    <row r="67" spans="1:15" ht="26.25">
      <c r="A67" s="608" t="s">
        <v>203</v>
      </c>
      <c r="B67" s="609"/>
      <c r="C67" s="609"/>
      <c r="D67" s="597" t="s">
        <v>142</v>
      </c>
      <c r="E67" s="122">
        <v>108593</v>
      </c>
      <c r="F67" s="617">
        <v>108672</v>
      </c>
      <c r="G67" s="599">
        <f t="shared" si="13"/>
        <v>79</v>
      </c>
      <c r="H67" s="582">
        <f t="shared" si="12"/>
        <v>79</v>
      </c>
      <c r="I67" s="582"/>
      <c r="J67" s="585">
        <f>H67/DAY(B2)</f>
        <v>79</v>
      </c>
      <c r="K67" s="668"/>
      <c r="L67" s="558"/>
      <c r="N67" s="587"/>
      <c r="O67" s="588"/>
    </row>
    <row r="68" spans="1:15" ht="26.25">
      <c r="A68" s="608" t="s">
        <v>204</v>
      </c>
      <c r="B68" s="609"/>
      <c r="C68" s="609"/>
      <c r="D68" s="597" t="s">
        <v>142</v>
      </c>
      <c r="E68" s="122">
        <v>160409</v>
      </c>
      <c r="F68" s="617">
        <v>160474</v>
      </c>
      <c r="G68" s="599">
        <f t="shared" si="13"/>
        <v>65</v>
      </c>
      <c r="H68" s="582">
        <f t="shared" si="12"/>
        <v>65</v>
      </c>
      <c r="I68" s="582"/>
      <c r="J68" s="585">
        <f>H68/DAY(B2)</f>
        <v>65</v>
      </c>
      <c r="K68" s="665"/>
      <c r="L68" s="558"/>
      <c r="N68" s="587"/>
      <c r="O68" s="588"/>
    </row>
    <row r="69" spans="1:15" ht="26.25">
      <c r="A69" s="608" t="s">
        <v>205</v>
      </c>
      <c r="B69" s="609"/>
      <c r="C69" s="609"/>
      <c r="D69" s="597" t="s">
        <v>142</v>
      </c>
      <c r="E69" s="122">
        <v>11201</v>
      </c>
      <c r="F69" s="617">
        <v>11209</v>
      </c>
      <c r="G69" s="599">
        <f t="shared" si="13"/>
        <v>8</v>
      </c>
      <c r="H69" s="582">
        <f t="shared" si="12"/>
        <v>8</v>
      </c>
      <c r="I69" s="582"/>
      <c r="J69" s="585">
        <f>H69/DAY(B2)</f>
        <v>8</v>
      </c>
      <c r="K69" s="665"/>
      <c r="L69" s="558"/>
      <c r="N69" s="587"/>
      <c r="O69" s="588"/>
    </row>
    <row r="70" spans="1:15" ht="26.25">
      <c r="A70" s="608" t="s">
        <v>206</v>
      </c>
      <c r="B70" s="609"/>
      <c r="C70" s="609"/>
      <c r="D70" s="597" t="s">
        <v>142</v>
      </c>
      <c r="E70" s="122">
        <v>8728</v>
      </c>
      <c r="F70" s="669">
        <v>8735</v>
      </c>
      <c r="G70" s="670">
        <f t="shared" si="13"/>
        <v>7</v>
      </c>
      <c r="H70" s="582">
        <f t="shared" si="12"/>
        <v>7</v>
      </c>
      <c r="I70" s="594"/>
      <c r="J70" s="585">
        <f>H70/DAY(B2)</f>
        <v>7</v>
      </c>
      <c r="K70" s="665"/>
      <c r="L70" s="558"/>
      <c r="N70" s="587"/>
      <c r="O70" s="588"/>
    </row>
    <row r="71" spans="1:15" ht="26.25">
      <c r="A71" s="785" t="s">
        <v>208</v>
      </c>
      <c r="B71" s="786"/>
      <c r="C71" s="787"/>
      <c r="D71" s="614"/>
      <c r="E71" s="152"/>
      <c r="F71" s="614"/>
      <c r="G71" s="671">
        <f>SUM(G65:G70)</f>
        <v>314</v>
      </c>
      <c r="H71" s="582">
        <f t="shared" si="12"/>
        <v>314</v>
      </c>
      <c r="I71" s="672"/>
      <c r="J71" s="585">
        <f>H71/DAY(B2)</f>
        <v>314</v>
      </c>
      <c r="K71" s="665"/>
      <c r="L71" s="558"/>
      <c r="N71" s="587"/>
      <c r="O71" s="588"/>
    </row>
    <row r="72" spans="1:15" ht="26.25">
      <c r="A72" s="825"/>
      <c r="B72" s="799"/>
      <c r="C72" s="673"/>
      <c r="D72" s="558"/>
      <c r="E72" s="412"/>
      <c r="F72" s="674"/>
      <c r="G72" s="675"/>
      <c r="H72" s="676"/>
      <c r="I72" s="674"/>
      <c r="J72" s="677"/>
      <c r="N72" s="587"/>
      <c r="O72" s="588"/>
    </row>
    <row r="73" spans="1:15" ht="26.25">
      <c r="A73" s="822" t="s">
        <v>333</v>
      </c>
      <c r="B73" s="823"/>
      <c r="C73" s="824"/>
      <c r="D73" s="661"/>
      <c r="E73" s="339"/>
      <c r="F73" s="661"/>
      <c r="G73" s="678"/>
      <c r="H73" s="679"/>
      <c r="I73" s="679"/>
      <c r="J73" s="680"/>
      <c r="K73" s="665"/>
      <c r="L73" s="558"/>
      <c r="N73" s="587"/>
      <c r="O73" s="588"/>
    </row>
    <row r="74" spans="1:15" ht="26.25">
      <c r="A74" s="800" t="s">
        <v>220</v>
      </c>
      <c r="B74" s="801"/>
      <c r="C74" s="802"/>
      <c r="D74" s="597" t="s">
        <v>139</v>
      </c>
      <c r="E74" s="123">
        <v>919324.51</v>
      </c>
      <c r="F74" s="681">
        <v>919626</v>
      </c>
      <c r="G74" s="670">
        <f t="shared" ref="G74:G78" si="14">F74-E74</f>
        <v>301.48999999999069</v>
      </c>
      <c r="H74" s="582">
        <f t="shared" ref="H74:H79" si="15">G74</f>
        <v>301.48999999999069</v>
      </c>
      <c r="I74" s="672"/>
      <c r="J74" s="585">
        <f>H74/DAY(B2)</f>
        <v>301.48999999999069</v>
      </c>
      <c r="K74" s="665"/>
      <c r="L74" s="558"/>
      <c r="N74" s="587"/>
      <c r="O74" s="588"/>
    </row>
    <row r="75" spans="1:15" ht="26.25">
      <c r="A75" s="800" t="s">
        <v>221</v>
      </c>
      <c r="B75" s="801"/>
      <c r="C75" s="802"/>
      <c r="D75" s="597" t="s">
        <v>139</v>
      </c>
      <c r="E75" s="123">
        <v>73586.8</v>
      </c>
      <c r="F75" s="681">
        <v>73586.8</v>
      </c>
      <c r="G75" s="670">
        <f t="shared" si="14"/>
        <v>0</v>
      </c>
      <c r="H75" s="582">
        <f t="shared" si="15"/>
        <v>0</v>
      </c>
      <c r="I75" s="672"/>
      <c r="J75" s="585">
        <f>H75/DAY(B2)</f>
        <v>0</v>
      </c>
      <c r="K75" s="665"/>
      <c r="L75" s="558"/>
      <c r="N75" s="587"/>
      <c r="O75" s="588"/>
    </row>
    <row r="76" spans="1:15" ht="26.25">
      <c r="A76" s="826" t="s">
        <v>222</v>
      </c>
      <c r="B76" s="827"/>
      <c r="C76" s="828"/>
      <c r="D76" s="597" t="s">
        <v>139</v>
      </c>
      <c r="E76" s="123">
        <v>176587</v>
      </c>
      <c r="F76" s="681">
        <v>176706</v>
      </c>
      <c r="G76" s="670">
        <f t="shared" si="14"/>
        <v>119</v>
      </c>
      <c r="H76" s="582">
        <f t="shared" si="15"/>
        <v>119</v>
      </c>
      <c r="I76" s="672"/>
      <c r="J76" s="585">
        <f>H76/DAY(B2)</f>
        <v>119</v>
      </c>
      <c r="K76" s="665"/>
      <c r="L76" s="558"/>
      <c r="N76" s="587"/>
      <c r="O76" s="588"/>
    </row>
    <row r="77" spans="1:15" ht="26.25">
      <c r="A77" s="826" t="s">
        <v>223</v>
      </c>
      <c r="B77" s="827"/>
      <c r="C77" s="828"/>
      <c r="D77" s="597" t="s">
        <v>139</v>
      </c>
      <c r="E77" s="410">
        <v>44163</v>
      </c>
      <c r="F77" s="681">
        <v>44220</v>
      </c>
      <c r="G77" s="670">
        <f t="shared" si="14"/>
        <v>57</v>
      </c>
      <c r="H77" s="582">
        <f t="shared" si="15"/>
        <v>57</v>
      </c>
      <c r="I77" s="672"/>
      <c r="J77" s="585">
        <f>H77/DAY(B2)</f>
        <v>57</v>
      </c>
      <c r="K77" s="665"/>
      <c r="L77" s="558"/>
      <c r="N77" s="587"/>
      <c r="O77" s="588"/>
    </row>
    <row r="78" spans="1:15" ht="26.25">
      <c r="A78" s="826" t="s">
        <v>224</v>
      </c>
      <c r="B78" s="827"/>
      <c r="C78" s="828"/>
      <c r="D78" s="597" t="s">
        <v>139</v>
      </c>
      <c r="E78" s="410">
        <v>9563</v>
      </c>
      <c r="F78" s="681">
        <v>9563</v>
      </c>
      <c r="G78" s="670">
        <f t="shared" si="14"/>
        <v>0</v>
      </c>
      <c r="H78" s="582">
        <f t="shared" si="15"/>
        <v>0</v>
      </c>
      <c r="I78" s="594"/>
      <c r="J78" s="585">
        <f>H78/DAY(B2)</f>
        <v>0</v>
      </c>
      <c r="K78" s="665"/>
      <c r="L78" s="558"/>
      <c r="N78" s="587"/>
      <c r="O78" s="588"/>
    </row>
    <row r="79" spans="1:15" ht="26.25">
      <c r="A79" s="826" t="s">
        <v>225</v>
      </c>
      <c r="B79" s="827"/>
      <c r="C79" s="828"/>
      <c r="D79" s="597"/>
      <c r="E79" s="123"/>
      <c r="F79" s="681"/>
      <c r="G79" s="670">
        <f>G15-SUM(G74:G78)</f>
        <v>608.51000000000931</v>
      </c>
      <c r="H79" s="582">
        <f t="shared" si="15"/>
        <v>608.51000000000931</v>
      </c>
      <c r="I79" s="594"/>
      <c r="J79" s="585"/>
      <c r="K79" s="665"/>
      <c r="L79" s="558"/>
      <c r="N79" s="587"/>
      <c r="O79" s="588"/>
    </row>
    <row r="80" spans="1:15" ht="26.25">
      <c r="A80" s="785" t="s">
        <v>329</v>
      </c>
      <c r="B80" s="786"/>
      <c r="C80" s="787"/>
      <c r="D80" s="597"/>
      <c r="E80" s="117"/>
      <c r="F80" s="682"/>
      <c r="G80" s="670">
        <f>SUM(G74:G79)</f>
        <v>1086</v>
      </c>
      <c r="H80" s="582"/>
      <c r="I80" s="594"/>
      <c r="J80" s="585"/>
      <c r="K80" s="665"/>
      <c r="L80" s="558"/>
      <c r="N80" s="587"/>
      <c r="O80" s="588"/>
    </row>
    <row r="81" spans="1:15" ht="26.25">
      <c r="A81" s="829" t="s">
        <v>226</v>
      </c>
      <c r="B81" s="830"/>
      <c r="C81" s="831"/>
      <c r="D81" s="627"/>
      <c r="E81" s="110"/>
      <c r="F81" s="603"/>
      <c r="G81" s="683"/>
      <c r="H81" s="684"/>
      <c r="I81" s="684"/>
      <c r="J81" s="685"/>
      <c r="O81" s="588"/>
    </row>
    <row r="82" spans="1:15" ht="26.25">
      <c r="A82" s="608" t="s">
        <v>227</v>
      </c>
      <c r="B82" s="609"/>
      <c r="C82" s="609"/>
      <c r="D82" s="597" t="s">
        <v>228</v>
      </c>
      <c r="E82" s="122">
        <v>0</v>
      </c>
      <c r="F82" s="669">
        <v>0</v>
      </c>
      <c r="G82" s="670">
        <f t="shared" ref="G82:G92" si="16">F82-E82</f>
        <v>0</v>
      </c>
      <c r="H82" s="582">
        <f t="shared" ref="H82:H92" si="17">G82</f>
        <v>0</v>
      </c>
      <c r="I82" s="594"/>
      <c r="J82" s="585">
        <f>H82/DAY(B2)</f>
        <v>0</v>
      </c>
      <c r="O82" s="588"/>
    </row>
    <row r="83" spans="1:15" ht="26.25">
      <c r="A83" s="608" t="s">
        <v>229</v>
      </c>
      <c r="B83" s="609"/>
      <c r="C83" s="609"/>
      <c r="D83" s="597" t="s">
        <v>228</v>
      </c>
      <c r="E83" s="122">
        <v>0</v>
      </c>
      <c r="F83" s="669">
        <v>0</v>
      </c>
      <c r="G83" s="670">
        <f t="shared" si="16"/>
        <v>0</v>
      </c>
      <c r="H83" s="582">
        <f t="shared" si="17"/>
        <v>0</v>
      </c>
      <c r="I83" s="594"/>
      <c r="J83" s="585">
        <f>H83/DAY(B2)</f>
        <v>0</v>
      </c>
      <c r="O83" s="588"/>
    </row>
    <row r="84" spans="1:15" ht="26.25">
      <c r="A84" s="608" t="s">
        <v>230</v>
      </c>
      <c r="B84" s="609"/>
      <c r="C84" s="609"/>
      <c r="D84" s="597" t="s">
        <v>228</v>
      </c>
      <c r="E84" s="164">
        <v>41675</v>
      </c>
      <c r="F84" s="686">
        <v>41675.4</v>
      </c>
      <c r="G84" s="670">
        <f t="shared" si="16"/>
        <v>0.40000000000145519</v>
      </c>
      <c r="H84" s="582">
        <f t="shared" si="17"/>
        <v>0.40000000000145519</v>
      </c>
      <c r="I84" s="594"/>
      <c r="J84" s="585">
        <f>H84/DAY(B2)</f>
        <v>0.40000000000145519</v>
      </c>
      <c r="O84" s="588"/>
    </row>
    <row r="85" spans="1:15" ht="26.25">
      <c r="A85" s="608" t="s">
        <v>231</v>
      </c>
      <c r="B85" s="609"/>
      <c r="C85" s="609"/>
      <c r="D85" s="597" t="s">
        <v>228</v>
      </c>
      <c r="E85" s="164">
        <v>3158.5</v>
      </c>
      <c r="F85" s="686">
        <v>3170</v>
      </c>
      <c r="G85" s="670">
        <f t="shared" si="16"/>
        <v>11.5</v>
      </c>
      <c r="H85" s="582">
        <f t="shared" si="17"/>
        <v>11.5</v>
      </c>
      <c r="I85" s="594"/>
      <c r="J85" s="585">
        <f>H85/DAY(B2)</f>
        <v>11.5</v>
      </c>
      <c r="O85" s="588"/>
    </row>
    <row r="86" spans="1:15" ht="26.25">
      <c r="A86" s="608" t="s">
        <v>232</v>
      </c>
      <c r="B86" s="609"/>
      <c r="C86" s="609"/>
      <c r="D86" s="597" t="s">
        <v>228</v>
      </c>
      <c r="E86" s="164">
        <v>43720.4</v>
      </c>
      <c r="F86" s="686">
        <v>43744</v>
      </c>
      <c r="G86" s="687">
        <f t="shared" si="16"/>
        <v>23.599999999998545</v>
      </c>
      <c r="H86" s="582">
        <f t="shared" si="17"/>
        <v>23.599999999998545</v>
      </c>
      <c r="I86" s="594"/>
      <c r="J86" s="585">
        <f>H86/DAY(B2)</f>
        <v>23.599999999998545</v>
      </c>
      <c r="O86" s="588"/>
    </row>
    <row r="87" spans="1:15" ht="26.25">
      <c r="A87" s="608" t="s">
        <v>233</v>
      </c>
      <c r="B87" s="609"/>
      <c r="C87" s="609"/>
      <c r="D87" s="597" t="s">
        <v>228</v>
      </c>
      <c r="E87" s="164">
        <v>35080.35</v>
      </c>
      <c r="F87" s="686">
        <v>35080.35</v>
      </c>
      <c r="G87" s="670">
        <f t="shared" si="16"/>
        <v>0</v>
      </c>
      <c r="H87" s="582">
        <f t="shared" si="17"/>
        <v>0</v>
      </c>
      <c r="I87" s="594">
        <f>G84+G85+G86+G87</f>
        <v>35.5</v>
      </c>
      <c r="J87" s="585">
        <f>H87/DAY(B2)</f>
        <v>0</v>
      </c>
      <c r="O87" s="588"/>
    </row>
    <row r="88" spans="1:15" ht="26.25">
      <c r="A88" s="608" t="s">
        <v>234</v>
      </c>
      <c r="B88" s="609"/>
      <c r="C88" s="609"/>
      <c r="D88" s="597" t="s">
        <v>228</v>
      </c>
      <c r="E88" s="164">
        <v>24109.4</v>
      </c>
      <c r="F88" s="686">
        <v>24109.4</v>
      </c>
      <c r="G88" s="670">
        <f t="shared" si="16"/>
        <v>0</v>
      </c>
      <c r="H88" s="582">
        <f t="shared" si="17"/>
        <v>0</v>
      </c>
      <c r="I88" s="594"/>
      <c r="J88" s="585">
        <f>H88/DAY(B2)</f>
        <v>0</v>
      </c>
      <c r="O88" s="588"/>
    </row>
    <row r="89" spans="1:15" ht="26.25">
      <c r="A89" s="608" t="s">
        <v>235</v>
      </c>
      <c r="B89" s="609"/>
      <c r="C89" s="609"/>
      <c r="D89" s="597" t="s">
        <v>228</v>
      </c>
      <c r="E89" s="164">
        <v>26471.79</v>
      </c>
      <c r="F89" s="686">
        <v>26481.48</v>
      </c>
      <c r="G89" s="670">
        <f t="shared" si="16"/>
        <v>9.6899999999986903</v>
      </c>
      <c r="H89" s="582">
        <f t="shared" si="17"/>
        <v>9.6899999999986903</v>
      </c>
      <c r="I89" s="594">
        <f>G88+G89</f>
        <v>9.6899999999986903</v>
      </c>
      <c r="J89" s="585">
        <f>H89/DAY(B2)</f>
        <v>9.6899999999986903</v>
      </c>
      <c r="O89" s="588"/>
    </row>
    <row r="90" spans="1:15" ht="26.25">
      <c r="A90" s="608" t="s">
        <v>236</v>
      </c>
      <c r="B90" s="609"/>
      <c r="C90" s="609"/>
      <c r="D90" s="597" t="s">
        <v>228</v>
      </c>
      <c r="E90" s="164">
        <v>71573.11</v>
      </c>
      <c r="F90" s="686">
        <v>71583</v>
      </c>
      <c r="G90" s="670">
        <f t="shared" si="16"/>
        <v>9.8899999999994179</v>
      </c>
      <c r="H90" s="582">
        <f t="shared" si="17"/>
        <v>9.8899999999994179</v>
      </c>
      <c r="I90" s="594">
        <f>G90</f>
        <v>9.8899999999994179</v>
      </c>
      <c r="J90" s="585">
        <f>H90/DAY(B2)</f>
        <v>9.8899999999994179</v>
      </c>
      <c r="O90" s="588"/>
    </row>
    <row r="91" spans="1:15" ht="26.25">
      <c r="A91" s="608" t="s">
        <v>237</v>
      </c>
      <c r="B91" s="609"/>
      <c r="C91" s="609"/>
      <c r="D91" s="597" t="s">
        <v>228</v>
      </c>
      <c r="E91" s="122">
        <v>3909.75</v>
      </c>
      <c r="F91" s="669">
        <v>3909.75</v>
      </c>
      <c r="G91" s="670">
        <f t="shared" si="16"/>
        <v>0</v>
      </c>
      <c r="H91" s="582">
        <f t="shared" si="17"/>
        <v>0</v>
      </c>
      <c r="I91" s="688"/>
      <c r="J91" s="585">
        <f>H91/DAY(B2)</f>
        <v>0</v>
      </c>
      <c r="O91" s="588"/>
    </row>
    <row r="92" spans="1:15" ht="26.25">
      <c r="A92" s="608" t="s">
        <v>238</v>
      </c>
      <c r="B92" s="609"/>
      <c r="C92" s="609"/>
      <c r="D92" s="597" t="s">
        <v>228</v>
      </c>
      <c r="E92" s="122">
        <v>5747.3</v>
      </c>
      <c r="F92" s="669">
        <v>5758</v>
      </c>
      <c r="G92" s="670">
        <f t="shared" si="16"/>
        <v>10.699999999999818</v>
      </c>
      <c r="H92" s="582">
        <f t="shared" si="17"/>
        <v>10.699999999999818</v>
      </c>
      <c r="I92" s="705">
        <f>G91+G92</f>
        <v>10.699999999999818</v>
      </c>
      <c r="J92" s="585">
        <f>H92/DAY(B2)</f>
        <v>10.699999999999818</v>
      </c>
      <c r="O92" s="588"/>
    </row>
    <row r="93" spans="1:15" ht="26.25">
      <c r="A93" s="832" t="s">
        <v>239</v>
      </c>
      <c r="B93" s="833"/>
      <c r="C93" s="834"/>
      <c r="D93" s="603"/>
      <c r="E93" s="111"/>
      <c r="F93" s="603"/>
      <c r="G93" s="689"/>
      <c r="H93" s="690"/>
      <c r="I93" s="690"/>
      <c r="J93" s="691"/>
      <c r="K93" s="665"/>
      <c r="L93" s="558"/>
      <c r="O93" s="588"/>
    </row>
    <row r="94" spans="1:15" ht="26.25">
      <c r="A94" s="800" t="s">
        <v>240</v>
      </c>
      <c r="B94" s="801"/>
      <c r="C94" s="802"/>
      <c r="D94" s="597" t="s">
        <v>130</v>
      </c>
      <c r="E94" s="151"/>
      <c r="F94" s="597"/>
      <c r="G94" s="692">
        <f>G35+G43+G49+G57</f>
        <v>7015.1200000000099</v>
      </c>
      <c r="H94" s="582">
        <f t="shared" ref="H94:H105" si="18">G94</f>
        <v>7015.1200000000099</v>
      </c>
      <c r="I94" s="594"/>
      <c r="J94" s="585">
        <f>H94/DAY(B2)</f>
        <v>7015.1200000000099</v>
      </c>
      <c r="K94" s="665"/>
      <c r="L94" s="558"/>
      <c r="O94" s="588"/>
    </row>
    <row r="95" spans="1:15" ht="26.25">
      <c r="A95" s="800" t="s">
        <v>241</v>
      </c>
      <c r="B95" s="801"/>
      <c r="C95" s="802"/>
      <c r="D95" s="597" t="s">
        <v>23</v>
      </c>
      <c r="E95" s="146"/>
      <c r="F95" s="597"/>
      <c r="G95" s="693">
        <f>G94/G7</f>
        <v>0.25950209003810193</v>
      </c>
      <c r="H95" s="582">
        <f t="shared" si="18"/>
        <v>0.25950209003810193</v>
      </c>
      <c r="I95" s="694"/>
      <c r="J95" s="585">
        <f>H95/DAY(B2)</f>
        <v>0.25950209003810193</v>
      </c>
      <c r="K95" s="665"/>
      <c r="L95" s="558"/>
      <c r="O95" s="588"/>
    </row>
    <row r="96" spans="1:15" ht="26.25">
      <c r="A96" s="800" t="s">
        <v>242</v>
      </c>
      <c r="B96" s="801"/>
      <c r="C96" s="802"/>
      <c r="D96" s="597" t="s">
        <v>130</v>
      </c>
      <c r="E96" s="95"/>
      <c r="F96" s="594"/>
      <c r="G96" s="692">
        <f>G41+G42+G55+G56</f>
        <v>5997.7700000000077</v>
      </c>
      <c r="H96" s="582">
        <f t="shared" si="18"/>
        <v>5997.7700000000077</v>
      </c>
      <c r="I96" s="594"/>
      <c r="J96" s="585">
        <f>H96/DAY(B2)</f>
        <v>5997.7700000000077</v>
      </c>
      <c r="K96" s="665"/>
      <c r="L96" s="558"/>
      <c r="O96" s="588"/>
    </row>
    <row r="97" spans="1:15" ht="26.25">
      <c r="A97" s="800" t="s">
        <v>243</v>
      </c>
      <c r="B97" s="801"/>
      <c r="C97" s="802"/>
      <c r="D97" s="597" t="s">
        <v>23</v>
      </c>
      <c r="E97" s="95"/>
      <c r="F97" s="594"/>
      <c r="G97" s="693">
        <f>G96/G7</f>
        <v>0.2218684570709876</v>
      </c>
      <c r="H97" s="582">
        <f t="shared" si="18"/>
        <v>0.2218684570709876</v>
      </c>
      <c r="I97" s="694"/>
      <c r="J97" s="585">
        <f>H97/DAY(B2)</f>
        <v>0.2218684570709876</v>
      </c>
      <c r="K97" s="665"/>
      <c r="L97" s="558"/>
      <c r="O97" s="588"/>
    </row>
    <row r="98" spans="1:15" ht="26.25">
      <c r="A98" s="800" t="s">
        <v>244</v>
      </c>
      <c r="B98" s="801"/>
      <c r="C98" s="802"/>
      <c r="D98" s="597" t="s">
        <v>130</v>
      </c>
      <c r="E98" s="95"/>
      <c r="F98" s="594"/>
      <c r="G98" s="692">
        <f>G39+G53</f>
        <v>3316.570000000007</v>
      </c>
      <c r="H98" s="582">
        <f t="shared" si="18"/>
        <v>3316.570000000007</v>
      </c>
      <c r="I98" s="618"/>
      <c r="J98" s="585">
        <f>H98/DAY(B2)</f>
        <v>3316.570000000007</v>
      </c>
      <c r="K98" s="665"/>
      <c r="L98" s="558"/>
      <c r="O98" s="588"/>
    </row>
    <row r="99" spans="1:15" ht="26.25">
      <c r="A99" s="800" t="s">
        <v>245</v>
      </c>
      <c r="B99" s="801"/>
      <c r="C99" s="802"/>
      <c r="D99" s="597" t="s">
        <v>23</v>
      </c>
      <c r="E99" s="95"/>
      <c r="F99" s="594"/>
      <c r="G99" s="693">
        <f>G98/G7</f>
        <v>0.12268597639921604</v>
      </c>
      <c r="H99" s="582">
        <f t="shared" si="18"/>
        <v>0.12268597639921604</v>
      </c>
      <c r="I99" s="618"/>
      <c r="J99" s="585">
        <f>H99/DAY(B2)</f>
        <v>0.12268597639921604</v>
      </c>
      <c r="O99" s="588"/>
    </row>
    <row r="100" spans="1:15" ht="26.25">
      <c r="A100" s="800" t="s">
        <v>246</v>
      </c>
      <c r="B100" s="801"/>
      <c r="C100" s="802"/>
      <c r="D100" s="597" t="s">
        <v>180</v>
      </c>
      <c r="E100" s="95"/>
      <c r="F100" s="594"/>
      <c r="G100" s="692">
        <f>G38+G52</f>
        <v>2659.3900000000049</v>
      </c>
      <c r="H100" s="582">
        <f t="shared" si="18"/>
        <v>2659.3900000000049</v>
      </c>
      <c r="I100" s="594"/>
      <c r="J100" s="585">
        <f>H100/DAY(B2)</f>
        <v>2659.3900000000049</v>
      </c>
      <c r="K100" s="695"/>
      <c r="O100" s="588"/>
    </row>
    <row r="101" spans="1:15" ht="26.25">
      <c r="A101" s="800" t="s">
        <v>247</v>
      </c>
      <c r="B101" s="801"/>
      <c r="C101" s="802"/>
      <c r="D101" s="597" t="s">
        <v>23</v>
      </c>
      <c r="E101" s="95"/>
      <c r="F101" s="594"/>
      <c r="G101" s="693">
        <f>G100/G7</f>
        <v>9.8375688972737199E-2</v>
      </c>
      <c r="H101" s="582">
        <f t="shared" si="18"/>
        <v>9.8375688972737199E-2</v>
      </c>
      <c r="I101" s="618"/>
      <c r="J101" s="585">
        <f>H101/DAY(B2)</f>
        <v>9.8375688972737199E-2</v>
      </c>
      <c r="O101" s="588"/>
    </row>
    <row r="102" spans="1:15" ht="26.25">
      <c r="A102" s="800" t="s">
        <v>248</v>
      </c>
      <c r="B102" s="801"/>
      <c r="C102" s="802"/>
      <c r="D102" s="597" t="s">
        <v>180</v>
      </c>
      <c r="E102" s="95"/>
      <c r="F102" s="594"/>
      <c r="G102" s="692">
        <f>G36+G50</f>
        <v>2641.1999999999825</v>
      </c>
      <c r="H102" s="582">
        <f t="shared" si="18"/>
        <v>2641.1999999999825</v>
      </c>
      <c r="I102" s="618"/>
      <c r="J102" s="585">
        <f>H102/DAY(B2)</f>
        <v>2641.1999999999825</v>
      </c>
      <c r="O102" s="588"/>
    </row>
    <row r="103" spans="1:15" ht="26.25">
      <c r="A103" s="800" t="s">
        <v>249</v>
      </c>
      <c r="B103" s="801"/>
      <c r="C103" s="802"/>
      <c r="D103" s="597" t="s">
        <v>23</v>
      </c>
      <c r="E103" s="95"/>
      <c r="F103" s="594"/>
      <c r="G103" s="693">
        <f>G102/G7</f>
        <v>9.7702807679502179E-2</v>
      </c>
      <c r="H103" s="582">
        <f t="shared" si="18"/>
        <v>9.7702807679502179E-2</v>
      </c>
      <c r="I103" s="594"/>
      <c r="J103" s="585">
        <f>H103/DAY(B2)</f>
        <v>9.7702807679502179E-2</v>
      </c>
      <c r="O103" s="588"/>
    </row>
    <row r="104" spans="1:15" ht="26.25">
      <c r="A104" s="800" t="s">
        <v>250</v>
      </c>
      <c r="B104" s="801"/>
      <c r="C104" s="802"/>
      <c r="D104" s="597" t="s">
        <v>180</v>
      </c>
      <c r="E104" s="95"/>
      <c r="F104" s="594"/>
      <c r="G104" s="692">
        <f>G37+G51</f>
        <v>1644.9800000000105</v>
      </c>
      <c r="H104" s="582">
        <f t="shared" si="18"/>
        <v>1644.9800000000105</v>
      </c>
      <c r="I104" s="594"/>
      <c r="J104" s="585">
        <f>H104/DAY(B2)</f>
        <v>1644.9800000000105</v>
      </c>
      <c r="O104" s="588"/>
    </row>
    <row r="105" spans="1:15" ht="27" thickBot="1">
      <c r="A105" s="839" t="s">
        <v>251</v>
      </c>
      <c r="B105" s="840"/>
      <c r="C105" s="841"/>
      <c r="D105" s="696" t="s">
        <v>23</v>
      </c>
      <c r="E105" s="185"/>
      <c r="F105" s="697"/>
      <c r="G105" s="698">
        <f>G104/G7</f>
        <v>6.0850811970554898E-2</v>
      </c>
      <c r="H105" s="582">
        <f t="shared" si="18"/>
        <v>6.0850811970554898E-2</v>
      </c>
      <c r="I105" s="697"/>
      <c r="J105" s="699">
        <f>H105/DAY(B2)</f>
        <v>6.0850811970554898E-2</v>
      </c>
      <c r="O105" s="588"/>
    </row>
    <row r="106" spans="1:15" ht="26.25">
      <c r="E106" s="413"/>
      <c r="O106" s="588"/>
    </row>
    <row r="107" spans="1:15" ht="26.25"/>
    <row r="108" spans="1:15" ht="26.25">
      <c r="A108" s="842" t="s">
        <v>324</v>
      </c>
      <c r="B108" s="842"/>
      <c r="C108" s="842"/>
      <c r="D108" s="842"/>
      <c r="E108" s="842"/>
      <c r="F108" s="842"/>
      <c r="G108" s="842"/>
      <c r="H108" s="842"/>
      <c r="I108" s="842"/>
      <c r="J108" s="842"/>
    </row>
    <row r="109" spans="1:15" ht="26.25">
      <c r="A109" s="835"/>
      <c r="B109" s="835"/>
    </row>
    <row r="110" spans="1:15" ht="26.25">
      <c r="A110" s="843" t="s">
        <v>165</v>
      </c>
      <c r="B110" s="844"/>
      <c r="C110" s="844"/>
      <c r="D110" s="844"/>
      <c r="E110" s="844"/>
      <c r="F110" s="844"/>
      <c r="G110" s="844"/>
      <c r="H110" s="844"/>
      <c r="I110" s="844"/>
      <c r="J110" s="845"/>
    </row>
    <row r="111" spans="1:15" ht="26.25">
      <c r="A111" s="846"/>
      <c r="B111" s="847"/>
      <c r="C111" s="848"/>
      <c r="D111" s="703"/>
      <c r="E111" s="155"/>
      <c r="F111" s="688"/>
      <c r="G111" s="705"/>
      <c r="H111" s="706"/>
      <c r="I111" s="688"/>
      <c r="J111" s="706"/>
    </row>
    <row r="112" spans="1:15" ht="26.25">
      <c r="A112" s="797" t="s">
        <v>252</v>
      </c>
      <c r="B112" s="798"/>
      <c r="C112" s="799"/>
      <c r="D112" s="625" t="s">
        <v>183</v>
      </c>
      <c r="E112" s="237">
        <v>62143.53</v>
      </c>
      <c r="F112" s="707">
        <v>62222</v>
      </c>
      <c r="G112" s="670">
        <f t="shared" ref="G112:G123" si="19">F112-E112</f>
        <v>78.470000000001164</v>
      </c>
      <c r="H112" s="582">
        <f t="shared" ref="H112:H123" si="20">G112</f>
        <v>78.470000000001164</v>
      </c>
      <c r="I112" s="688"/>
      <c r="J112" s="708">
        <f>H112/DAY(B2)</f>
        <v>78.470000000001164</v>
      </c>
    </row>
    <row r="113" spans="1:18" ht="29.25" customHeight="1">
      <c r="A113" s="797" t="s">
        <v>253</v>
      </c>
      <c r="B113" s="798"/>
      <c r="C113" s="799"/>
      <c r="D113" s="625" t="s">
        <v>183</v>
      </c>
      <c r="E113" s="237">
        <v>74255.600000000006</v>
      </c>
      <c r="F113" s="709">
        <v>74746</v>
      </c>
      <c r="G113" s="670">
        <f t="shared" si="19"/>
        <v>490.39999999999418</v>
      </c>
      <c r="H113" s="582">
        <f t="shared" si="20"/>
        <v>490.39999999999418</v>
      </c>
      <c r="I113" s="688"/>
      <c r="J113" s="708">
        <f>H113/DAY(B2)</f>
        <v>490.39999999999418</v>
      </c>
    </row>
    <row r="114" spans="1:18" ht="29.25" customHeight="1">
      <c r="A114" s="797" t="s">
        <v>254</v>
      </c>
      <c r="B114" s="798"/>
      <c r="C114" s="799"/>
      <c r="D114" s="625" t="s">
        <v>183</v>
      </c>
      <c r="E114" s="237">
        <v>50263</v>
      </c>
      <c r="F114" s="707">
        <v>50521</v>
      </c>
      <c r="G114" s="670">
        <f t="shared" si="19"/>
        <v>258</v>
      </c>
      <c r="H114" s="582">
        <f t="shared" si="20"/>
        <v>258</v>
      </c>
      <c r="I114" s="688"/>
      <c r="J114" s="708">
        <f>H114/DAY(B2)</f>
        <v>258</v>
      </c>
    </row>
    <row r="115" spans="1:18" ht="29.25" customHeight="1">
      <c r="A115" s="797" t="s">
        <v>255</v>
      </c>
      <c r="B115" s="798"/>
      <c r="C115" s="799"/>
      <c r="D115" s="625" t="s">
        <v>183</v>
      </c>
      <c r="E115" s="237">
        <v>9828.51</v>
      </c>
      <c r="F115" s="707">
        <v>9840</v>
      </c>
      <c r="G115" s="670">
        <f t="shared" si="19"/>
        <v>11.489999999999782</v>
      </c>
      <c r="H115" s="582">
        <f t="shared" si="20"/>
        <v>11.489999999999782</v>
      </c>
      <c r="I115" s="688"/>
      <c r="J115" s="708">
        <f>H115/DAY(B2)</f>
        <v>11.489999999999782</v>
      </c>
    </row>
    <row r="116" spans="1:18" ht="29.25" customHeight="1">
      <c r="A116" s="836" t="s">
        <v>96</v>
      </c>
      <c r="B116" s="837"/>
      <c r="C116" s="838"/>
      <c r="D116" s="625" t="s">
        <v>183</v>
      </c>
      <c r="E116" s="237">
        <v>22784.62</v>
      </c>
      <c r="F116" s="707">
        <v>23219</v>
      </c>
      <c r="G116" s="670">
        <f t="shared" si="19"/>
        <v>434.38000000000102</v>
      </c>
      <c r="H116" s="582">
        <f t="shared" si="20"/>
        <v>434.38000000000102</v>
      </c>
      <c r="I116" s="688"/>
      <c r="J116" s="708">
        <f>H116/DAY(B2)</f>
        <v>434.38000000000102</v>
      </c>
      <c r="Q116" s="797"/>
      <c r="R116" s="799"/>
    </row>
    <row r="117" spans="1:18" ht="29.25" customHeight="1">
      <c r="A117" s="836" t="s">
        <v>184</v>
      </c>
      <c r="B117" s="837"/>
      <c r="C117" s="838"/>
      <c r="D117" s="625" t="s">
        <v>183</v>
      </c>
      <c r="E117" s="237">
        <v>13613.173000000001</v>
      </c>
      <c r="F117" s="707">
        <v>13804</v>
      </c>
      <c r="G117" s="670">
        <f t="shared" si="19"/>
        <v>190.82699999999932</v>
      </c>
      <c r="H117" s="582">
        <f t="shared" si="20"/>
        <v>190.82699999999932</v>
      </c>
      <c r="I117" s="688"/>
      <c r="J117" s="708">
        <f>H117/DAY(B2)</f>
        <v>190.82699999999932</v>
      </c>
      <c r="Q117" s="797"/>
      <c r="R117" s="799"/>
    </row>
    <row r="118" spans="1:18" ht="26.25">
      <c r="A118" s="856" t="s">
        <v>97</v>
      </c>
      <c r="B118" s="856"/>
      <c r="C118" s="856"/>
      <c r="D118" s="597" t="s">
        <v>183</v>
      </c>
      <c r="E118" s="237">
        <v>280220.96999999997</v>
      </c>
      <c r="F118" s="707">
        <v>280770</v>
      </c>
      <c r="G118" s="670">
        <f t="shared" si="19"/>
        <v>549.03000000002794</v>
      </c>
      <c r="H118" s="582">
        <f t="shared" si="20"/>
        <v>549.03000000002794</v>
      </c>
      <c r="I118" s="688"/>
      <c r="J118" s="708">
        <f>H118/DAY(B2)</f>
        <v>549.03000000002794</v>
      </c>
      <c r="Q118" s="797"/>
      <c r="R118" s="799"/>
    </row>
    <row r="119" spans="1:18" ht="26.25">
      <c r="A119" s="856" t="s">
        <v>98</v>
      </c>
      <c r="B119" s="856"/>
      <c r="C119" s="856"/>
      <c r="D119" s="597" t="s">
        <v>183</v>
      </c>
      <c r="E119" s="237">
        <v>283097.39</v>
      </c>
      <c r="F119" s="707">
        <v>283541</v>
      </c>
      <c r="G119" s="670">
        <f t="shared" si="19"/>
        <v>443.60999999998603</v>
      </c>
      <c r="H119" s="582">
        <f t="shared" si="20"/>
        <v>443.60999999998603</v>
      </c>
      <c r="I119" s="688"/>
      <c r="J119" s="708">
        <f>H119/DAY(B2)</f>
        <v>443.60999999998603</v>
      </c>
    </row>
    <row r="120" spans="1:18" ht="26.25">
      <c r="A120" s="856" t="s">
        <v>99</v>
      </c>
      <c r="B120" s="856"/>
      <c r="C120" s="856"/>
      <c r="D120" s="597" t="s">
        <v>183</v>
      </c>
      <c r="E120" s="237">
        <v>67724.759999999995</v>
      </c>
      <c r="F120" s="707">
        <v>68148</v>
      </c>
      <c r="G120" s="670">
        <f t="shared" si="19"/>
        <v>423.24000000000524</v>
      </c>
      <c r="H120" s="582">
        <f t="shared" si="20"/>
        <v>423.24000000000524</v>
      </c>
      <c r="I120" s="688"/>
      <c r="J120" s="708">
        <f>H120/DAY(B2)</f>
        <v>423.24000000000524</v>
      </c>
    </row>
    <row r="121" spans="1:18" ht="26.25">
      <c r="A121" s="856" t="s">
        <v>100</v>
      </c>
      <c r="B121" s="856"/>
      <c r="C121" s="856"/>
      <c r="D121" s="597" t="s">
        <v>183</v>
      </c>
      <c r="E121" s="237">
        <v>442718.27</v>
      </c>
      <c r="F121" s="707">
        <v>443505</v>
      </c>
      <c r="G121" s="670">
        <f t="shared" si="19"/>
        <v>786.72999999998137</v>
      </c>
      <c r="H121" s="582">
        <f t="shared" si="20"/>
        <v>786.72999999998137</v>
      </c>
      <c r="I121" s="688"/>
      <c r="J121" s="708">
        <f>H121/DAY(B2)</f>
        <v>786.72999999998137</v>
      </c>
    </row>
    <row r="122" spans="1:18" ht="26.25">
      <c r="A122" s="856" t="s">
        <v>101</v>
      </c>
      <c r="B122" s="856"/>
      <c r="C122" s="856"/>
      <c r="D122" s="597" t="s">
        <v>183</v>
      </c>
      <c r="E122" s="237">
        <v>139308.14000000001</v>
      </c>
      <c r="F122" s="707">
        <v>139547</v>
      </c>
      <c r="G122" s="670">
        <f t="shared" si="19"/>
        <v>238.85999999998603</v>
      </c>
      <c r="H122" s="582">
        <f t="shared" si="20"/>
        <v>238.85999999998603</v>
      </c>
      <c r="I122" s="688"/>
      <c r="J122" s="708">
        <f>H122/DAY(B2)</f>
        <v>238.85999999998603</v>
      </c>
    </row>
    <row r="123" spans="1:18" ht="26.25">
      <c r="A123" s="856" t="s">
        <v>102</v>
      </c>
      <c r="B123" s="856"/>
      <c r="C123" s="856"/>
      <c r="D123" s="597" t="s">
        <v>183</v>
      </c>
      <c r="E123" s="237">
        <v>169442</v>
      </c>
      <c r="F123" s="707">
        <v>169694</v>
      </c>
      <c r="G123" s="670">
        <f t="shared" si="19"/>
        <v>252</v>
      </c>
      <c r="H123" s="582">
        <f t="shared" si="20"/>
        <v>252</v>
      </c>
      <c r="I123" s="688"/>
      <c r="J123" s="708">
        <f>H123/DAY(B2)</f>
        <v>252</v>
      </c>
    </row>
    <row r="124" spans="1:18" ht="29.25" customHeight="1">
      <c r="A124" s="846"/>
      <c r="B124" s="847"/>
      <c r="C124" s="848"/>
      <c r="D124" s="703"/>
      <c r="E124" s="155"/>
      <c r="F124" s="688"/>
      <c r="G124" s="705"/>
      <c r="H124" s="706"/>
      <c r="I124" s="688"/>
      <c r="J124" s="706"/>
    </row>
    <row r="125" spans="1:18" ht="26.25">
      <c r="A125" s="785" t="s">
        <v>196</v>
      </c>
      <c r="B125" s="786"/>
      <c r="C125" s="787"/>
      <c r="D125" s="597"/>
      <c r="E125" s="308"/>
      <c r="F125" s="688"/>
      <c r="G125" s="670">
        <f>SUM(G112:G124)</f>
        <v>4157.0369999999821</v>
      </c>
      <c r="H125" s="706"/>
      <c r="I125" s="710">
        <f>G125-(G39+G53)</f>
        <v>840.46699999997509</v>
      </c>
      <c r="J125" s="706"/>
    </row>
    <row r="126" spans="1:18" ht="26.25">
      <c r="A126" s="858" t="s">
        <v>317</v>
      </c>
      <c r="B126" s="858"/>
      <c r="C126" s="858"/>
      <c r="D126" s="858"/>
      <c r="E126" s="858"/>
      <c r="F126" s="858"/>
      <c r="G126" s="858"/>
      <c r="H126" s="858"/>
      <c r="I126" s="858"/>
      <c r="J126" s="858"/>
    </row>
    <row r="127" spans="1:18" ht="26.25">
      <c r="A127" s="849"/>
      <c r="B127" s="849"/>
      <c r="C127" s="703"/>
      <c r="D127" s="597"/>
      <c r="E127" s="308"/>
      <c r="F127" s="688"/>
      <c r="G127" s="670"/>
      <c r="H127" s="582">
        <f t="shared" ref="H127:H135" si="21">G127</f>
        <v>0</v>
      </c>
      <c r="I127" s="688"/>
      <c r="J127" s="708">
        <f>H127/DAY(B2)</f>
        <v>0</v>
      </c>
    </row>
    <row r="128" spans="1:18" ht="29.25" customHeight="1">
      <c r="A128" s="797" t="s">
        <v>318</v>
      </c>
      <c r="B128" s="798"/>
      <c r="C128" s="799"/>
      <c r="D128" s="597" t="s">
        <v>183</v>
      </c>
      <c r="E128" s="155">
        <v>68916.240000000005</v>
      </c>
      <c r="F128" s="688">
        <v>69312</v>
      </c>
      <c r="G128" s="670">
        <f t="shared" ref="G128:G133" si="22">F128-E128</f>
        <v>395.75999999999476</v>
      </c>
      <c r="H128" s="582">
        <f t="shared" si="21"/>
        <v>395.75999999999476</v>
      </c>
      <c r="I128" s="688"/>
      <c r="J128" s="708">
        <f>H128/DAY(B2)</f>
        <v>395.75999999999476</v>
      </c>
    </row>
    <row r="129" spans="1:15" ht="26.25">
      <c r="A129" s="711" t="s">
        <v>319</v>
      </c>
      <c r="B129" s="712"/>
      <c r="C129" s="713"/>
      <c r="D129" s="597" t="s">
        <v>183</v>
      </c>
      <c r="E129" s="155">
        <v>42111.05</v>
      </c>
      <c r="F129" s="688">
        <v>42429</v>
      </c>
      <c r="G129" s="670">
        <f t="shared" si="22"/>
        <v>317.94999999999709</v>
      </c>
      <c r="H129" s="582">
        <f t="shared" si="21"/>
        <v>317.94999999999709</v>
      </c>
      <c r="I129" s="688"/>
      <c r="J129" s="708">
        <f>H129/DAY(B2)</f>
        <v>317.94999999999709</v>
      </c>
      <c r="N129" s="714"/>
      <c r="O129" s="700"/>
    </row>
    <row r="130" spans="1:15" ht="26.25">
      <c r="A130" s="711" t="s">
        <v>320</v>
      </c>
      <c r="B130" s="712"/>
      <c r="C130" s="713"/>
      <c r="D130" s="597" t="s">
        <v>183</v>
      </c>
      <c r="E130" s="426">
        <v>75661.95</v>
      </c>
      <c r="F130" s="688">
        <v>76392</v>
      </c>
      <c r="G130" s="670">
        <f t="shared" si="22"/>
        <v>730.05000000000291</v>
      </c>
      <c r="H130" s="582">
        <f t="shared" si="21"/>
        <v>730.05000000000291</v>
      </c>
      <c r="I130" s="688"/>
      <c r="J130" s="708">
        <f>H130/DAY(B2)</f>
        <v>730.05000000000291</v>
      </c>
      <c r="N130" s="714"/>
      <c r="O130" s="700"/>
    </row>
    <row r="131" spans="1:15" ht="26.25">
      <c r="A131" s="797" t="s">
        <v>321</v>
      </c>
      <c r="B131" s="798"/>
      <c r="C131" s="799"/>
      <c r="D131" s="597" t="s">
        <v>183</v>
      </c>
      <c r="E131" s="155">
        <v>24432.5</v>
      </c>
      <c r="F131" s="715">
        <v>24632</v>
      </c>
      <c r="G131" s="687">
        <f t="shared" si="22"/>
        <v>199.5</v>
      </c>
      <c r="H131" s="582">
        <f t="shared" si="21"/>
        <v>199.5</v>
      </c>
      <c r="I131" s="688"/>
      <c r="J131" s="708">
        <f>H131/DAY(B2)</f>
        <v>199.5</v>
      </c>
      <c r="N131" s="714"/>
      <c r="O131" s="700"/>
    </row>
    <row r="132" spans="1:15" ht="26.25">
      <c r="A132" s="797" t="s">
        <v>322</v>
      </c>
      <c r="B132" s="798"/>
      <c r="C132" s="799"/>
      <c r="D132" s="597" t="s">
        <v>183</v>
      </c>
      <c r="E132" s="155">
        <v>75667.5</v>
      </c>
      <c r="F132" s="715">
        <v>76099</v>
      </c>
      <c r="G132" s="687">
        <f t="shared" si="22"/>
        <v>431.5</v>
      </c>
      <c r="H132" s="582">
        <f t="shared" si="21"/>
        <v>431.5</v>
      </c>
      <c r="I132" s="688"/>
      <c r="J132" s="708">
        <f>H132/DAY(B2)</f>
        <v>431.5</v>
      </c>
    </row>
    <row r="133" spans="1:15" ht="26.25">
      <c r="A133" s="797" t="s">
        <v>342</v>
      </c>
      <c r="B133" s="798"/>
      <c r="C133" s="799"/>
      <c r="D133" s="597" t="s">
        <v>183</v>
      </c>
      <c r="E133" s="155">
        <v>145381.99</v>
      </c>
      <c r="F133" s="715">
        <v>146138</v>
      </c>
      <c r="G133" s="687">
        <f t="shared" si="22"/>
        <v>756.01000000000931</v>
      </c>
      <c r="H133" s="582">
        <f t="shared" si="21"/>
        <v>756.01000000000931</v>
      </c>
      <c r="I133" s="688"/>
      <c r="J133" s="708">
        <f>H133/DAY(B2)</f>
        <v>756.01000000000931</v>
      </c>
    </row>
    <row r="134" spans="1:15" ht="26.25">
      <c r="A134" s="857" t="s">
        <v>340</v>
      </c>
      <c r="B134" s="854"/>
      <c r="C134" s="855"/>
      <c r="D134" s="597" t="s">
        <v>183</v>
      </c>
      <c r="E134" s="155">
        <v>20792.68</v>
      </c>
      <c r="F134" s="715">
        <v>21030</v>
      </c>
      <c r="G134" s="687">
        <f>F134-E134</f>
        <v>237.31999999999971</v>
      </c>
      <c r="H134" s="582">
        <f t="shared" ref="H134" si="23">G134</f>
        <v>237.31999999999971</v>
      </c>
      <c r="I134" s="688"/>
      <c r="J134" s="708">
        <f>H134/DAY(B2)</f>
        <v>237.31999999999971</v>
      </c>
    </row>
    <row r="135" spans="1:15" ht="26.25">
      <c r="A135" s="785" t="s">
        <v>196</v>
      </c>
      <c r="B135" s="786"/>
      <c r="C135" s="787"/>
      <c r="D135" s="597"/>
      <c r="E135" s="155"/>
      <c r="F135" s="688"/>
      <c r="G135" s="670">
        <f>SUM(G128:G134)</f>
        <v>3068.0900000000038</v>
      </c>
      <c r="H135" s="582">
        <f t="shared" si="21"/>
        <v>3068.0900000000038</v>
      </c>
      <c r="I135" s="710">
        <f>G135-(G35+G49)</f>
        <v>-853.50000000000728</v>
      </c>
      <c r="J135" s="708">
        <f>H135/DAY(B2)</f>
        <v>3068.0900000000038</v>
      </c>
    </row>
    <row r="136" spans="1:15" ht="26.25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6.25">
      <c r="A137" s="704"/>
      <c r="B137" s="703"/>
      <c r="C137" s="703"/>
      <c r="D137" s="703"/>
      <c r="E137" s="155"/>
      <c r="F137" s="688"/>
      <c r="G137" s="705"/>
      <c r="H137" s="706"/>
      <c r="I137" s="688"/>
      <c r="J137" s="706"/>
    </row>
    <row r="138" spans="1:15" ht="26.25">
      <c r="A138" s="856" t="s">
        <v>185</v>
      </c>
      <c r="B138" s="856"/>
      <c r="C138" s="856"/>
      <c r="D138" s="597" t="s">
        <v>183</v>
      </c>
      <c r="E138" s="147">
        <v>874001</v>
      </c>
      <c r="F138" s="716">
        <v>874192</v>
      </c>
      <c r="G138" s="670">
        <f t="shared" ref="G138:G150" si="24">F138-E138</f>
        <v>191</v>
      </c>
      <c r="H138" s="582">
        <f t="shared" ref="H138:H150" si="25">G138</f>
        <v>191</v>
      </c>
      <c r="I138" s="594"/>
      <c r="J138" s="708">
        <f>H138/DAY(B2)</f>
        <v>191</v>
      </c>
    </row>
    <row r="139" spans="1:15" ht="26.25">
      <c r="A139" s="856" t="s">
        <v>186</v>
      </c>
      <c r="B139" s="856"/>
      <c r="C139" s="856"/>
      <c r="D139" s="597" t="s">
        <v>183</v>
      </c>
      <c r="E139" s="148">
        <v>890318</v>
      </c>
      <c r="F139" s="717">
        <v>890473</v>
      </c>
      <c r="G139" s="670">
        <f t="shared" si="24"/>
        <v>155</v>
      </c>
      <c r="H139" s="582">
        <f t="shared" si="25"/>
        <v>155</v>
      </c>
      <c r="I139" s="594"/>
      <c r="J139" s="708">
        <f>H139/DAY(B2)</f>
        <v>155</v>
      </c>
    </row>
    <row r="140" spans="1:15" ht="26.25">
      <c r="A140" s="856" t="s">
        <v>187</v>
      </c>
      <c r="B140" s="856"/>
      <c r="C140" s="856"/>
      <c r="D140" s="597" t="s">
        <v>183</v>
      </c>
      <c r="E140" s="149">
        <v>88990</v>
      </c>
      <c r="F140" s="718">
        <v>88991</v>
      </c>
      <c r="G140" s="670">
        <f t="shared" si="24"/>
        <v>1</v>
      </c>
      <c r="H140" s="582">
        <f t="shared" si="25"/>
        <v>1</v>
      </c>
      <c r="I140" s="594"/>
      <c r="J140" s="708">
        <f>H140/DAY(B2)</f>
        <v>1</v>
      </c>
    </row>
    <row r="141" spans="1:15" ht="26.25">
      <c r="A141" s="791" t="s">
        <v>188</v>
      </c>
      <c r="B141" s="791"/>
      <c r="C141" s="791"/>
      <c r="D141" s="719" t="s">
        <v>183</v>
      </c>
      <c r="E141" s="149">
        <v>65783.53</v>
      </c>
      <c r="F141" s="717">
        <v>65992</v>
      </c>
      <c r="G141" s="687">
        <f t="shared" si="24"/>
        <v>208.47000000000116</v>
      </c>
      <c r="H141" s="720">
        <f t="shared" si="25"/>
        <v>208.47000000000116</v>
      </c>
      <c r="I141" s="721"/>
      <c r="J141" s="722">
        <f>H141/DAY(B2)</f>
        <v>208.47000000000116</v>
      </c>
    </row>
    <row r="142" spans="1:15" ht="26.25">
      <c r="A142" s="791" t="s">
        <v>189</v>
      </c>
      <c r="B142" s="791"/>
      <c r="C142" s="791"/>
      <c r="D142" s="719" t="s">
        <v>183</v>
      </c>
      <c r="E142" s="148">
        <v>25496.400000000001</v>
      </c>
      <c r="F142" s="717">
        <v>25574</v>
      </c>
      <c r="G142" s="687">
        <f t="shared" si="24"/>
        <v>77.599999999998545</v>
      </c>
      <c r="H142" s="720">
        <f t="shared" si="25"/>
        <v>77.599999999998545</v>
      </c>
      <c r="I142" s="723"/>
      <c r="J142" s="722">
        <f>H142/DAY(B2)</f>
        <v>77.599999999998545</v>
      </c>
    </row>
    <row r="143" spans="1:15" ht="26.25">
      <c r="A143" s="793" t="s">
        <v>91</v>
      </c>
      <c r="B143" s="793"/>
      <c r="C143" s="793"/>
      <c r="D143" s="719" t="s">
        <v>183</v>
      </c>
      <c r="E143" s="149">
        <v>5560.71</v>
      </c>
      <c r="F143" s="717">
        <v>5591</v>
      </c>
      <c r="G143" s="687">
        <f t="shared" si="24"/>
        <v>30.289999999999964</v>
      </c>
      <c r="H143" s="720">
        <f t="shared" si="25"/>
        <v>30.289999999999964</v>
      </c>
      <c r="I143" s="723"/>
      <c r="J143" s="722">
        <f>H143/DAY(B2)</f>
        <v>30.289999999999964</v>
      </c>
    </row>
    <row r="144" spans="1:15" ht="26.25">
      <c r="A144" s="791" t="s">
        <v>90</v>
      </c>
      <c r="B144" s="791"/>
      <c r="C144" s="791"/>
      <c r="D144" s="719" t="s">
        <v>183</v>
      </c>
      <c r="E144" s="149">
        <v>889834</v>
      </c>
      <c r="F144" s="717">
        <v>890085</v>
      </c>
      <c r="G144" s="687">
        <f t="shared" si="24"/>
        <v>251</v>
      </c>
      <c r="H144" s="720">
        <f t="shared" si="25"/>
        <v>251</v>
      </c>
      <c r="I144" s="723"/>
      <c r="J144" s="722">
        <f>H144/DAY(B2)</f>
        <v>251</v>
      </c>
    </row>
    <row r="145" spans="1:10" ht="26.25">
      <c r="A145" s="793" t="s">
        <v>190</v>
      </c>
      <c r="B145" s="793"/>
      <c r="C145" s="793"/>
      <c r="D145" s="719" t="s">
        <v>183</v>
      </c>
      <c r="E145" s="149">
        <v>5556.4</v>
      </c>
      <c r="F145" s="717">
        <v>5558</v>
      </c>
      <c r="G145" s="687">
        <f t="shared" si="24"/>
        <v>1.6000000000003638</v>
      </c>
      <c r="H145" s="720">
        <f t="shared" si="25"/>
        <v>1.6000000000003638</v>
      </c>
      <c r="I145" s="723"/>
      <c r="J145" s="722">
        <f>H145/DAY(B2)</f>
        <v>1.6000000000003638</v>
      </c>
    </row>
    <row r="146" spans="1:10" ht="26.25">
      <c r="A146" s="794" t="s">
        <v>191</v>
      </c>
      <c r="B146" s="795"/>
      <c r="C146" s="796"/>
      <c r="D146" s="719" t="s">
        <v>183</v>
      </c>
      <c r="E146" s="148">
        <v>764326</v>
      </c>
      <c r="F146" s="717">
        <v>764830</v>
      </c>
      <c r="G146" s="687">
        <f t="shared" si="24"/>
        <v>504</v>
      </c>
      <c r="H146" s="720">
        <f t="shared" si="25"/>
        <v>504</v>
      </c>
      <c r="I146" s="723"/>
      <c r="J146" s="722">
        <f>H146/DAY(B2)</f>
        <v>504</v>
      </c>
    </row>
    <row r="147" spans="1:10" ht="26.25">
      <c r="A147" s="791" t="s">
        <v>192</v>
      </c>
      <c r="B147" s="791"/>
      <c r="C147" s="791"/>
      <c r="D147" s="719" t="s">
        <v>183</v>
      </c>
      <c r="E147" s="148">
        <v>650184</v>
      </c>
      <c r="F147" s="717">
        <v>650644</v>
      </c>
      <c r="G147" s="687">
        <f t="shared" si="24"/>
        <v>460</v>
      </c>
      <c r="H147" s="720">
        <f t="shared" si="25"/>
        <v>460</v>
      </c>
      <c r="I147" s="723"/>
      <c r="J147" s="722">
        <f>H147/DAY(B2)</f>
        <v>460</v>
      </c>
    </row>
    <row r="148" spans="1:10" ht="26.25">
      <c r="A148" s="788" t="s">
        <v>193</v>
      </c>
      <c r="B148" s="789"/>
      <c r="C148" s="790"/>
      <c r="D148" s="724" t="s">
        <v>130</v>
      </c>
      <c r="E148" s="150">
        <v>708864.68</v>
      </c>
      <c r="F148" s="686">
        <v>709287</v>
      </c>
      <c r="G148" s="687">
        <f t="shared" si="24"/>
        <v>422.31999999994878</v>
      </c>
      <c r="H148" s="720">
        <f t="shared" si="25"/>
        <v>422.31999999994878</v>
      </c>
      <c r="I148" s="720"/>
      <c r="J148" s="722">
        <f>H148/DAY(B2)</f>
        <v>422.31999999994878</v>
      </c>
    </row>
    <row r="149" spans="1:10" ht="26.25">
      <c r="A149" s="788" t="s">
        <v>336</v>
      </c>
      <c r="B149" s="789"/>
      <c r="C149" s="790"/>
      <c r="D149" s="725" t="s">
        <v>130</v>
      </c>
      <c r="E149" s="146">
        <v>63223.8</v>
      </c>
      <c r="F149" s="719">
        <v>63999</v>
      </c>
      <c r="G149" s="687">
        <f t="shared" si="24"/>
        <v>775.19999999999709</v>
      </c>
      <c r="H149" s="720">
        <f t="shared" si="25"/>
        <v>775.19999999999709</v>
      </c>
      <c r="I149" s="583"/>
      <c r="J149" s="722">
        <f>H149/DAY(B2)</f>
        <v>775.19999999999709</v>
      </c>
    </row>
    <row r="150" spans="1:10" ht="26.25">
      <c r="A150" s="788" t="s">
        <v>337</v>
      </c>
      <c r="B150" s="789"/>
      <c r="C150" s="790"/>
      <c r="D150" s="724" t="s">
        <v>130</v>
      </c>
      <c r="E150" s="233">
        <v>23955.79</v>
      </c>
      <c r="F150" s="719">
        <v>24174</v>
      </c>
      <c r="G150" s="687">
        <f t="shared" si="24"/>
        <v>218.20999999999913</v>
      </c>
      <c r="H150" s="720">
        <f t="shared" si="25"/>
        <v>218.20999999999913</v>
      </c>
      <c r="I150" s="583"/>
      <c r="J150" s="722">
        <f>H150/DAY(B2)</f>
        <v>218.20999999999913</v>
      </c>
    </row>
    <row r="151" spans="1:10" ht="26.25">
      <c r="A151" s="788" t="s">
        <v>338</v>
      </c>
      <c r="B151" s="789"/>
      <c r="C151" s="790"/>
      <c r="D151" s="726"/>
      <c r="E151" s="233">
        <v>100611</v>
      </c>
      <c r="F151" s="719">
        <v>100905</v>
      </c>
      <c r="G151" s="687">
        <f t="shared" ref="G151:G152" si="26">F151-E151</f>
        <v>294</v>
      </c>
      <c r="H151" s="720">
        <f t="shared" ref="H151:H158" si="27">G151</f>
        <v>294</v>
      </c>
      <c r="I151" s="583"/>
      <c r="J151" s="722">
        <f>H151/DAY(B2)</f>
        <v>294</v>
      </c>
    </row>
    <row r="152" spans="1:10" ht="26.25">
      <c r="A152" s="788" t="s">
        <v>339</v>
      </c>
      <c r="B152" s="789"/>
      <c r="C152" s="790"/>
      <c r="D152" s="726"/>
      <c r="E152" s="233">
        <v>8069.06</v>
      </c>
      <c r="F152" s="719">
        <v>8197</v>
      </c>
      <c r="G152" s="687">
        <f t="shared" si="26"/>
        <v>127.9399999999996</v>
      </c>
      <c r="H152" s="720">
        <f t="shared" si="27"/>
        <v>127.9399999999996</v>
      </c>
      <c r="I152" s="583"/>
      <c r="J152" s="722">
        <f>H152/DAY(B2)</f>
        <v>127.9399999999996</v>
      </c>
    </row>
    <row r="153" spans="1:10" ht="26.25">
      <c r="A153" s="785" t="s">
        <v>196</v>
      </c>
      <c r="B153" s="786"/>
      <c r="C153" s="787"/>
      <c r="D153" s="726"/>
      <c r="E153" s="361"/>
      <c r="F153" s="727"/>
      <c r="G153" s="728">
        <f>SUM(G138:G152)</f>
        <v>3717.6299999999446</v>
      </c>
      <c r="H153" s="729">
        <f t="shared" si="27"/>
        <v>3717.6299999999446</v>
      </c>
      <c r="I153" s="730">
        <f>G153-(G38+G52)</f>
        <v>1058.2399999999398</v>
      </c>
      <c r="J153" s="731"/>
    </row>
    <row r="154" spans="1:10" ht="26.25">
      <c r="A154" s="792" t="s">
        <v>344</v>
      </c>
      <c r="B154" s="792"/>
      <c r="C154" s="792"/>
      <c r="D154" s="792"/>
      <c r="E154" s="792"/>
      <c r="F154" s="792"/>
      <c r="G154" s="792"/>
      <c r="H154" s="792"/>
      <c r="I154" s="792"/>
      <c r="J154" s="792"/>
    </row>
    <row r="155" spans="1:10" ht="27.75" customHeight="1">
      <c r="A155" s="791" t="s">
        <v>345</v>
      </c>
      <c r="B155" s="791"/>
      <c r="C155" s="791"/>
      <c r="D155" s="682" t="s">
        <v>130</v>
      </c>
      <c r="E155" s="389">
        <v>72770.5</v>
      </c>
      <c r="F155" s="715">
        <v>73474</v>
      </c>
      <c r="G155" s="687">
        <f t="shared" ref="G155:G158" si="28">F155-E155</f>
        <v>703.5</v>
      </c>
      <c r="H155" s="720">
        <f t="shared" si="27"/>
        <v>703.5</v>
      </c>
      <c r="I155" s="715"/>
      <c r="J155" s="722">
        <f>H155/DAY(B2)</f>
        <v>703.5</v>
      </c>
    </row>
    <row r="156" spans="1:10" ht="25.5" customHeight="1">
      <c r="A156" s="791" t="s">
        <v>371</v>
      </c>
      <c r="B156" s="791"/>
      <c r="C156" s="791"/>
      <c r="D156" s="682" t="s">
        <v>130</v>
      </c>
      <c r="E156" s="155">
        <v>6057.25</v>
      </c>
      <c r="F156" s="715">
        <v>6108</v>
      </c>
      <c r="G156" s="687">
        <f t="shared" si="28"/>
        <v>50.75</v>
      </c>
      <c r="H156" s="720">
        <f t="shared" si="27"/>
        <v>50.75</v>
      </c>
      <c r="I156" s="715"/>
      <c r="J156" s="722">
        <f>H156/DAY(B2)</f>
        <v>50.75</v>
      </c>
    </row>
    <row r="157" spans="1:10" ht="25.5" customHeight="1">
      <c r="A157" s="859" t="s">
        <v>361</v>
      </c>
      <c r="B157" s="860"/>
      <c r="C157" s="861"/>
      <c r="D157" s="682" t="s">
        <v>130</v>
      </c>
      <c r="E157" s="95">
        <v>10238.81</v>
      </c>
      <c r="F157" s="715">
        <v>10338</v>
      </c>
      <c r="G157" s="687">
        <f t="shared" si="28"/>
        <v>99.190000000000509</v>
      </c>
      <c r="H157" s="720">
        <f t="shared" si="27"/>
        <v>99.190000000000509</v>
      </c>
      <c r="I157" s="715"/>
      <c r="J157" s="722"/>
    </row>
    <row r="158" spans="1:10" ht="25.5" customHeight="1">
      <c r="A158" s="859" t="s">
        <v>362</v>
      </c>
      <c r="B158" s="860"/>
      <c r="C158" s="861"/>
      <c r="D158" s="682" t="s">
        <v>130</v>
      </c>
      <c r="E158" s="155">
        <v>94</v>
      </c>
      <c r="F158" s="715">
        <v>94</v>
      </c>
      <c r="G158" s="687">
        <f t="shared" si="28"/>
        <v>0</v>
      </c>
      <c r="H158" s="720">
        <f t="shared" si="27"/>
        <v>0</v>
      </c>
      <c r="I158" s="715"/>
      <c r="J158" s="722"/>
    </row>
    <row r="159" spans="1:10" ht="25.5" customHeight="1">
      <c r="A159" s="862"/>
      <c r="B159" s="863"/>
      <c r="C159" s="864"/>
      <c r="D159" s="732"/>
      <c r="E159" s="155"/>
      <c r="F159" s="715"/>
      <c r="G159" s="687"/>
      <c r="H159" s="733"/>
      <c r="I159" s="715"/>
      <c r="J159" s="722"/>
    </row>
    <row r="160" spans="1:10" ht="26.25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6.25">
      <c r="A161" s="734" t="s">
        <v>92</v>
      </c>
      <c r="B161" s="735"/>
      <c r="C161" s="735"/>
      <c r="D161" s="736" t="s">
        <v>180</v>
      </c>
      <c r="E161" s="235">
        <v>473840.73</v>
      </c>
      <c r="F161" s="737">
        <v>473841</v>
      </c>
      <c r="G161" s="738">
        <f t="shared" ref="G161:G168" si="29">F161-E161</f>
        <v>0.27000000001862645</v>
      </c>
      <c r="H161" s="582">
        <f t="shared" ref="H161:H168" si="30">G161</f>
        <v>0.27000000001862645</v>
      </c>
      <c r="I161" s="583"/>
      <c r="J161" s="739">
        <f>H161/DAY(B2)</f>
        <v>0.27000000001862645</v>
      </c>
    </row>
    <row r="162" spans="1:10" ht="26.25">
      <c r="A162" s="734" t="s">
        <v>93</v>
      </c>
      <c r="B162" s="735"/>
      <c r="C162" s="735"/>
      <c r="D162" s="736" t="s">
        <v>180</v>
      </c>
      <c r="E162" s="235">
        <v>90452.9</v>
      </c>
      <c r="F162" s="737">
        <v>90502</v>
      </c>
      <c r="G162" s="738">
        <f t="shared" si="29"/>
        <v>49.100000000005821</v>
      </c>
      <c r="H162" s="582">
        <f t="shared" si="30"/>
        <v>49.100000000005821</v>
      </c>
      <c r="I162" s="583"/>
      <c r="J162" s="739">
        <f>H162/DAY(B2)</f>
        <v>49.100000000005821</v>
      </c>
    </row>
    <row r="163" spans="1:10" ht="26.25">
      <c r="A163" s="734" t="s">
        <v>369</v>
      </c>
      <c r="B163" s="735"/>
      <c r="C163" s="735"/>
      <c r="D163" s="736" t="s">
        <v>180</v>
      </c>
      <c r="E163" s="235">
        <v>87078.8</v>
      </c>
      <c r="F163" s="737">
        <v>87261</v>
      </c>
      <c r="G163" s="738">
        <f t="shared" si="29"/>
        <v>182.19999999999709</v>
      </c>
      <c r="H163" s="582">
        <f t="shared" si="30"/>
        <v>182.19999999999709</v>
      </c>
      <c r="I163" s="583"/>
      <c r="J163" s="739">
        <f>H163/DAY(B2)</f>
        <v>182.19999999999709</v>
      </c>
    </row>
    <row r="164" spans="1:10" ht="26.25">
      <c r="A164" s="734" t="s">
        <v>369</v>
      </c>
      <c r="B164" s="735"/>
      <c r="C164" s="735"/>
      <c r="D164" s="736" t="s">
        <v>180</v>
      </c>
      <c r="E164" s="235">
        <v>4812.3999999999996</v>
      </c>
      <c r="F164" s="737">
        <v>4826</v>
      </c>
      <c r="G164" s="738">
        <f>F164-E164</f>
        <v>13.600000000000364</v>
      </c>
      <c r="H164" s="582">
        <f t="shared" si="30"/>
        <v>13.600000000000364</v>
      </c>
      <c r="I164" s="583"/>
      <c r="J164" s="739">
        <f>H164/DAY(B2)</f>
        <v>13.600000000000364</v>
      </c>
    </row>
    <row r="165" spans="1:10" ht="26.25">
      <c r="A165" s="734" t="s">
        <v>309</v>
      </c>
      <c r="B165" s="735"/>
      <c r="C165" s="735"/>
      <c r="D165" s="736" t="s">
        <v>180</v>
      </c>
      <c r="E165" s="235">
        <v>30355.51</v>
      </c>
      <c r="F165" s="737">
        <v>30364</v>
      </c>
      <c r="G165" s="738">
        <f t="shared" si="29"/>
        <v>8.4900000000016007</v>
      </c>
      <c r="H165" s="582">
        <f t="shared" si="30"/>
        <v>8.4900000000016007</v>
      </c>
      <c r="I165" s="583"/>
      <c r="J165" s="739">
        <f>H165/DAY(B2)</f>
        <v>8.4900000000016007</v>
      </c>
    </row>
    <row r="166" spans="1:10" ht="26.25">
      <c r="A166" s="849"/>
      <c r="B166" s="849"/>
      <c r="C166" s="703"/>
      <c r="D166" s="736" t="s">
        <v>180</v>
      </c>
      <c r="E166" s="155"/>
      <c r="F166" s="688"/>
      <c r="G166" s="738">
        <f t="shared" si="29"/>
        <v>0</v>
      </c>
      <c r="H166" s="582">
        <f t="shared" si="30"/>
        <v>0</v>
      </c>
      <c r="I166" s="688"/>
      <c r="J166" s="706"/>
    </row>
    <row r="167" spans="1:10" ht="26.25">
      <c r="A167" s="849"/>
      <c r="B167" s="849"/>
      <c r="C167" s="703"/>
      <c r="D167" s="736" t="s">
        <v>180</v>
      </c>
      <c r="E167" s="155"/>
      <c r="F167" s="688"/>
      <c r="G167" s="738">
        <f t="shared" si="29"/>
        <v>0</v>
      </c>
      <c r="H167" s="582">
        <f t="shared" si="30"/>
        <v>0</v>
      </c>
      <c r="I167" s="688"/>
      <c r="J167" s="706"/>
    </row>
    <row r="168" spans="1:10" ht="26.25">
      <c r="A168" s="849"/>
      <c r="B168" s="849"/>
      <c r="C168" s="703"/>
      <c r="D168" s="736" t="s">
        <v>180</v>
      </c>
      <c r="E168" s="155"/>
      <c r="F168" s="688"/>
      <c r="G168" s="738">
        <f t="shared" si="29"/>
        <v>0</v>
      </c>
      <c r="H168" s="582">
        <f t="shared" si="30"/>
        <v>0</v>
      </c>
      <c r="I168" s="688"/>
      <c r="J168" s="706"/>
    </row>
    <row r="169" spans="1:10" ht="26.25"/>
    <row r="170" spans="1:10" ht="26.25"/>
    <row r="171" spans="1:10" ht="26.25">
      <c r="A171" s="850" t="s">
        <v>330</v>
      </c>
      <c r="B171" s="851"/>
      <c r="C171" s="851"/>
      <c r="D171" s="851"/>
      <c r="E171" s="851"/>
      <c r="F171" s="851"/>
      <c r="G171" s="851"/>
      <c r="H171" s="851"/>
      <c r="I171" s="851"/>
      <c r="J171" s="852"/>
    </row>
    <row r="172" spans="1:10" ht="26.25">
      <c r="A172" s="869"/>
      <c r="B172" s="870"/>
      <c r="C172" s="740"/>
      <c r="D172" s="741"/>
      <c r="E172" s="155"/>
      <c r="F172" s="688"/>
      <c r="G172" s="705"/>
      <c r="H172" s="706"/>
      <c r="I172" s="688"/>
      <c r="J172" s="742">
        <f>H172/DAY(B2)</f>
        <v>0</v>
      </c>
    </row>
    <row r="173" spans="1:10" ht="26.25">
      <c r="A173" s="853" t="s">
        <v>209</v>
      </c>
      <c r="B173" s="855"/>
      <c r="C173" s="743"/>
      <c r="D173" s="741" t="s">
        <v>142</v>
      </c>
      <c r="E173" s="426">
        <v>8264</v>
      </c>
      <c r="F173" s="688">
        <v>8265</v>
      </c>
      <c r="G173" s="705">
        <f>F173-E173</f>
        <v>1</v>
      </c>
      <c r="H173" s="582">
        <f t="shared" ref="H173:H189" si="31">G173</f>
        <v>1</v>
      </c>
      <c r="I173" s="688"/>
      <c r="J173" s="742">
        <f>H173/DAY(B2)</f>
        <v>1</v>
      </c>
    </row>
    <row r="174" spans="1:10" ht="26.25">
      <c r="A174" s="853" t="s">
        <v>75</v>
      </c>
      <c r="B174" s="855"/>
      <c r="C174" s="743"/>
      <c r="D174" s="741" t="s">
        <v>142</v>
      </c>
      <c r="E174" s="157">
        <v>39462</v>
      </c>
      <c r="F174" s="715">
        <v>39477</v>
      </c>
      <c r="G174" s="705">
        <f t="shared" ref="G174:G175" si="32">F174-E174</f>
        <v>15</v>
      </c>
      <c r="H174" s="582">
        <f t="shared" si="31"/>
        <v>15</v>
      </c>
      <c r="I174" s="688"/>
      <c r="J174" s="742">
        <f>H174/DAY(B2)</f>
        <v>15</v>
      </c>
    </row>
    <row r="175" spans="1:10" ht="26.25">
      <c r="A175" s="853" t="s">
        <v>76</v>
      </c>
      <c r="B175" s="854"/>
      <c r="C175" s="855"/>
      <c r="D175" s="741" t="s">
        <v>142</v>
      </c>
      <c r="E175" s="155">
        <v>22522</v>
      </c>
      <c r="F175" s="688">
        <v>22533</v>
      </c>
      <c r="G175" s="705">
        <f t="shared" si="32"/>
        <v>11</v>
      </c>
      <c r="H175" s="582">
        <f t="shared" si="31"/>
        <v>11</v>
      </c>
      <c r="I175" s="688"/>
      <c r="J175" s="742"/>
    </row>
    <row r="176" spans="1:10" ht="26.25">
      <c r="A176" s="865" t="s">
        <v>196</v>
      </c>
      <c r="B176" s="866"/>
      <c r="C176" s="743"/>
      <c r="D176" s="741"/>
      <c r="E176" s="155"/>
      <c r="F176" s="688"/>
      <c r="G176" s="705">
        <f>SUM(G173:G175)</f>
        <v>27</v>
      </c>
      <c r="H176" s="582">
        <f t="shared" si="31"/>
        <v>27</v>
      </c>
      <c r="I176" s="688"/>
      <c r="J176" s="742">
        <f>H176/DAY(B2)</f>
        <v>27</v>
      </c>
    </row>
    <row r="177" spans="1:10" ht="26.25">
      <c r="A177" s="853" t="s">
        <v>77</v>
      </c>
      <c r="B177" s="855"/>
      <c r="C177" s="743"/>
      <c r="D177" s="741" t="s">
        <v>142</v>
      </c>
      <c r="E177" s="155"/>
      <c r="F177" s="688"/>
      <c r="G177" s="705"/>
      <c r="H177" s="582">
        <f t="shared" si="31"/>
        <v>0</v>
      </c>
      <c r="I177" s="688"/>
      <c r="J177" s="742">
        <f>H177/DAY(B2)</f>
        <v>0</v>
      </c>
    </row>
    <row r="178" spans="1:10" ht="26.25">
      <c r="A178" s="853" t="s">
        <v>210</v>
      </c>
      <c r="B178" s="855"/>
      <c r="C178" s="743"/>
      <c r="D178" s="741" t="s">
        <v>142</v>
      </c>
      <c r="E178" s="155">
        <v>85616</v>
      </c>
      <c r="F178" s="688">
        <v>85721</v>
      </c>
      <c r="G178" s="705">
        <f>F178-E178</f>
        <v>105</v>
      </c>
      <c r="H178" s="582">
        <f t="shared" si="31"/>
        <v>105</v>
      </c>
      <c r="I178" s="688"/>
      <c r="J178" s="742">
        <f>H178/DAY(B2)</f>
        <v>105</v>
      </c>
    </row>
    <row r="179" spans="1:10" ht="26.25">
      <c r="A179" s="853" t="s">
        <v>211</v>
      </c>
      <c r="B179" s="855"/>
      <c r="C179" s="743"/>
      <c r="D179" s="741" t="s">
        <v>142</v>
      </c>
      <c r="E179" s="157">
        <v>35614</v>
      </c>
      <c r="F179" s="688">
        <v>35614</v>
      </c>
      <c r="G179" s="705">
        <f t="shared" ref="G179:G180" si="33">F179-E179</f>
        <v>0</v>
      </c>
      <c r="H179" s="582">
        <f t="shared" si="31"/>
        <v>0</v>
      </c>
      <c r="I179" s="688"/>
      <c r="J179" s="742">
        <f>H179/DAY(B2)</f>
        <v>0</v>
      </c>
    </row>
    <row r="180" spans="1:10" ht="26.25">
      <c r="A180" s="853" t="s">
        <v>212</v>
      </c>
      <c r="B180" s="855"/>
      <c r="C180" s="743"/>
      <c r="D180" s="741" t="s">
        <v>142</v>
      </c>
      <c r="E180" s="157">
        <v>6133</v>
      </c>
      <c r="F180" s="688">
        <v>6133</v>
      </c>
      <c r="G180" s="705">
        <f t="shared" si="33"/>
        <v>0</v>
      </c>
      <c r="H180" s="582">
        <f t="shared" si="31"/>
        <v>0</v>
      </c>
      <c r="I180" s="688"/>
      <c r="J180" s="742">
        <f>H180/DAY(B2)</f>
        <v>0</v>
      </c>
    </row>
    <row r="181" spans="1:10" ht="26.25">
      <c r="A181" s="865" t="s">
        <v>108</v>
      </c>
      <c r="B181" s="866"/>
      <c r="C181" s="743"/>
      <c r="D181" s="741"/>
      <c r="E181" s="157"/>
      <c r="F181" s="688"/>
      <c r="G181" s="705">
        <f>SUM(G178:G180)</f>
        <v>105</v>
      </c>
      <c r="H181" s="582">
        <f t="shared" si="31"/>
        <v>105</v>
      </c>
      <c r="I181" s="688"/>
      <c r="J181" s="742">
        <f>H181/DAY(B2)</f>
        <v>105</v>
      </c>
    </row>
    <row r="182" spans="1:10" ht="21.95" customHeight="1">
      <c r="A182" s="853" t="s">
        <v>213</v>
      </c>
      <c r="B182" s="855"/>
      <c r="C182" s="743"/>
      <c r="D182" s="741"/>
      <c r="E182" s="155"/>
      <c r="F182" s="688"/>
      <c r="G182" s="705"/>
      <c r="H182" s="582">
        <f t="shared" si="31"/>
        <v>0</v>
      </c>
      <c r="I182" s="688"/>
      <c r="J182" s="742">
        <f>H182/DAY(B2)</f>
        <v>0</v>
      </c>
    </row>
    <row r="183" spans="1:10" ht="21.95" customHeight="1">
      <c r="A183" s="853" t="s">
        <v>214</v>
      </c>
      <c r="B183" s="855"/>
      <c r="C183" s="743"/>
      <c r="D183" s="741" t="s">
        <v>142</v>
      </c>
      <c r="E183" s="157">
        <v>16142</v>
      </c>
      <c r="F183" s="715">
        <v>16154</v>
      </c>
      <c r="G183" s="744">
        <f>F183-E183</f>
        <v>12</v>
      </c>
      <c r="H183" s="582">
        <f t="shared" si="31"/>
        <v>12</v>
      </c>
      <c r="I183" s="688"/>
      <c r="J183" s="742">
        <f>H183/DAY(B2)</f>
        <v>12</v>
      </c>
    </row>
    <row r="184" spans="1:10" ht="21.95" customHeight="1">
      <c r="A184" s="853" t="s">
        <v>215</v>
      </c>
      <c r="B184" s="855"/>
      <c r="C184" s="743"/>
      <c r="D184" s="741" t="s">
        <v>142</v>
      </c>
      <c r="E184" s="157">
        <v>11049</v>
      </c>
      <c r="F184" s="715">
        <v>11056</v>
      </c>
      <c r="G184" s="744">
        <f t="shared" ref="G184:G185" si="34">F184-E184</f>
        <v>7</v>
      </c>
      <c r="H184" s="582">
        <f t="shared" si="31"/>
        <v>7</v>
      </c>
      <c r="I184" s="688"/>
      <c r="J184" s="742">
        <f>H184/DAY(B2)</f>
        <v>7</v>
      </c>
    </row>
    <row r="185" spans="1:10" ht="26.25">
      <c r="A185" s="853" t="s">
        <v>216</v>
      </c>
      <c r="B185" s="855"/>
      <c r="C185" s="743"/>
      <c r="D185" s="741" t="s">
        <v>142</v>
      </c>
      <c r="E185" s="157"/>
      <c r="F185" s="715"/>
      <c r="G185" s="744">
        <f t="shared" si="34"/>
        <v>0</v>
      </c>
      <c r="H185" s="582">
        <f t="shared" si="31"/>
        <v>0</v>
      </c>
      <c r="I185" s="688"/>
      <c r="J185" s="745">
        <f>H185/DAY(B2)</f>
        <v>0</v>
      </c>
    </row>
    <row r="186" spans="1:10" ht="26.25">
      <c r="A186" s="865" t="s">
        <v>196</v>
      </c>
      <c r="B186" s="866"/>
      <c r="C186" s="743"/>
      <c r="D186" s="746"/>
      <c r="E186" s="157"/>
      <c r="F186" s="715"/>
      <c r="G186" s="744">
        <f>SUM(G183:G185)</f>
        <v>19</v>
      </c>
      <c r="H186" s="582">
        <f t="shared" si="31"/>
        <v>19</v>
      </c>
      <c r="I186" s="715"/>
      <c r="J186" s="745">
        <f>H186/DAY(B2)</f>
        <v>19</v>
      </c>
    </row>
    <row r="187" spans="1:10" ht="26.25">
      <c r="A187" s="853" t="s">
        <v>217</v>
      </c>
      <c r="B187" s="855"/>
      <c r="C187" s="743"/>
      <c r="D187" s="747" t="s">
        <v>142</v>
      </c>
      <c r="E187" s="159"/>
      <c r="F187" s="733"/>
      <c r="G187" s="744">
        <f>G62+G19</f>
        <v>261</v>
      </c>
      <c r="H187" s="582">
        <f t="shared" si="31"/>
        <v>261</v>
      </c>
      <c r="I187" s="715"/>
      <c r="J187" s="745">
        <f>H187/DAY(B2)</f>
        <v>261</v>
      </c>
    </row>
    <row r="188" spans="1:10" ht="26.25">
      <c r="A188" s="853" t="s">
        <v>218</v>
      </c>
      <c r="B188" s="855"/>
      <c r="C188" s="743"/>
      <c r="D188" s="747" t="s">
        <v>142</v>
      </c>
      <c r="E188" s="159"/>
      <c r="F188" s="733"/>
      <c r="G188" s="744">
        <f>G65+G66+G67+G69+G70</f>
        <v>249</v>
      </c>
      <c r="H188" s="582">
        <f t="shared" si="31"/>
        <v>249</v>
      </c>
      <c r="I188" s="715"/>
      <c r="J188" s="677"/>
    </row>
    <row r="189" spans="1:10" ht="26.25">
      <c r="A189" s="853" t="s">
        <v>219</v>
      </c>
      <c r="B189" s="855"/>
      <c r="C189" s="743"/>
      <c r="D189" s="747" t="s">
        <v>142</v>
      </c>
      <c r="E189" s="157"/>
      <c r="F189" s="715"/>
      <c r="G189" s="744">
        <f>G181</f>
        <v>105</v>
      </c>
      <c r="H189" s="582">
        <f t="shared" si="31"/>
        <v>105</v>
      </c>
      <c r="I189" s="715"/>
      <c r="J189" s="739">
        <f>H189/DAY(B2)</f>
        <v>105</v>
      </c>
    </row>
    <row r="190" spans="1:10" ht="26.25">
      <c r="A190" s="867" t="s">
        <v>358</v>
      </c>
      <c r="B190" s="868"/>
      <c r="C190" s="748"/>
      <c r="D190" s="749"/>
      <c r="E190" s="415">
        <v>53763</v>
      </c>
      <c r="F190" s="750">
        <v>53763</v>
      </c>
      <c r="G190" s="751">
        <f>F190-E190</f>
        <v>0</v>
      </c>
      <c r="H190" s="752"/>
      <c r="I190" s="750"/>
      <c r="J190" s="752"/>
    </row>
    <row r="191" spans="1:10" ht="26.25">
      <c r="A191" s="853"/>
      <c r="B191" s="855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18" sqref="F18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6" s="57" customFormat="1" ht="23.25">
      <c r="A2" s="191" t="s">
        <v>355</v>
      </c>
      <c r="B2" s="262">
        <v>44653</v>
      </c>
      <c r="C2" s="348" t="s">
        <v>67</v>
      </c>
      <c r="D2" s="218">
        <v>0.86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v>13756</v>
      </c>
      <c r="F7" s="95">
        <v>40704</v>
      </c>
      <c r="G7" s="112">
        <f>F7-E7</f>
        <v>26948</v>
      </c>
      <c r="H7" s="99">
        <f>G7+'1'!H7</f>
        <v>53981</v>
      </c>
      <c r="I7" s="113">
        <f>'[1]1'!I7</f>
        <v>12000</v>
      </c>
      <c r="J7" s="175">
        <f>H7/DAY(B2)</f>
        <v>26990.5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85459</v>
      </c>
      <c r="F8" s="114">
        <v>112791</v>
      </c>
      <c r="G8" s="115">
        <f>F8-E8</f>
        <v>27332</v>
      </c>
      <c r="H8" s="99">
        <f>G8+'1'!H8</f>
        <v>54744.78</v>
      </c>
      <c r="I8" s="116">
        <v>12000</v>
      </c>
      <c r="J8" s="175">
        <f>H8/DAY(B2)</f>
        <v>27372.39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1285562</v>
      </c>
      <c r="F9" s="353">
        <v>1306270</v>
      </c>
      <c r="G9" s="112">
        <f t="shared" ref="G9:G11" si="0">F9-E9</f>
        <v>20708</v>
      </c>
      <c r="H9" s="99">
        <f>G9+'1'!H9</f>
        <v>38595</v>
      </c>
      <c r="I9" s="124">
        <f>I8-J8</f>
        <v>-15372.39</v>
      </c>
      <c r="J9" s="175">
        <f>H9/DAY(B2)</f>
        <v>19297.5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426497</v>
      </c>
      <c r="F10" s="117">
        <v>431986</v>
      </c>
      <c r="G10" s="112">
        <f t="shared" si="0"/>
        <v>5489</v>
      </c>
      <c r="H10" s="99">
        <f>G10+'1'!H10</f>
        <v>13710.530000000028</v>
      </c>
      <c r="I10" s="118"/>
      <c r="J10" s="175">
        <f>H10/DAY(B2)</f>
        <v>6855.265000000014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26197</v>
      </c>
      <c r="H13" s="99">
        <f>G13+'1'!H13</f>
        <v>52306</v>
      </c>
      <c r="I13" s="120">
        <f>G7-G13</f>
        <v>751</v>
      </c>
      <c r="J13" s="175">
        <f>H13/DAY(B2)</f>
        <v>26153</v>
      </c>
      <c r="K13" s="79"/>
      <c r="L13" s="66"/>
      <c r="N13" s="87"/>
      <c r="O13" s="71"/>
    </row>
    <row r="14" spans="1:16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1972023</v>
      </c>
      <c r="F15" s="352">
        <v>1973107</v>
      </c>
      <c r="G15" s="356">
        <f>(F15-E15)</f>
        <v>1084</v>
      </c>
      <c r="H15" s="99">
        <f>G15+'1'!H15</f>
        <v>2170</v>
      </c>
      <c r="I15" s="113">
        <v>800</v>
      </c>
      <c r="J15" s="175">
        <f>H15/DAY(B2)</f>
        <v>1085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-285</v>
      </c>
      <c r="J16" s="176"/>
      <c r="K16" s="79"/>
      <c r="L16" s="66"/>
      <c r="N16" s="87"/>
      <c r="O16" s="71"/>
      <c r="P16" s="71"/>
    </row>
    <row r="17" spans="1:16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4" t="s">
        <v>141</v>
      </c>
      <c r="B18" s="875"/>
      <c r="C18" s="876"/>
      <c r="D18" s="151" t="s">
        <v>142</v>
      </c>
      <c r="E18" s="95">
        <f>'1'!F18</f>
        <v>28</v>
      </c>
      <c r="F18" s="117">
        <v>24</v>
      </c>
      <c r="G18" s="119">
        <f>F18*10</f>
        <v>240</v>
      </c>
      <c r="H18" s="99">
        <f>G18+'1'!H18</f>
        <v>520</v>
      </c>
      <c r="I18" s="113">
        <f>'[1]1'!I18</f>
        <v>65</v>
      </c>
      <c r="J18" s="175">
        <f>H18/DAY(B2)</f>
        <v>260</v>
      </c>
      <c r="K18" s="79"/>
      <c r="L18" s="66"/>
      <c r="N18" s="87"/>
      <c r="O18" s="71"/>
    </row>
    <row r="19" spans="1:16" ht="25.5">
      <c r="A19" s="874" t="s">
        <v>69</v>
      </c>
      <c r="B19" s="875"/>
      <c r="C19" s="876"/>
      <c r="D19" s="151" t="s">
        <v>142</v>
      </c>
      <c r="E19" s="95">
        <f>'1'!F19</f>
        <v>157040</v>
      </c>
      <c r="F19" s="353">
        <v>157085</v>
      </c>
      <c r="G19" s="112">
        <f>F19-E19</f>
        <v>45</v>
      </c>
      <c r="H19" s="99">
        <f>G19+'1'!H19</f>
        <v>96</v>
      </c>
      <c r="I19" s="354"/>
      <c r="J19" s="175">
        <f>H19/DAY(B2)</f>
        <v>48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285</v>
      </c>
      <c r="H20" s="99">
        <f>G20+'1'!H20</f>
        <v>616</v>
      </c>
      <c r="I20" s="336">
        <f>I18-J20</f>
        <v>-243</v>
      </c>
      <c r="J20" s="175">
        <f>H20/DAY(B2)</f>
        <v>308</v>
      </c>
      <c r="K20" s="79"/>
      <c r="L20" s="66"/>
      <c r="N20" s="87"/>
      <c r="O20" s="71"/>
    </row>
    <row r="21" spans="1:16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27332</v>
      </c>
      <c r="F27" s="136">
        <v>9</v>
      </c>
      <c r="G27" s="137">
        <f>E27*F27</f>
        <v>245988</v>
      </c>
      <c r="H27" s="99">
        <f>G27+'1'!H27</f>
        <v>492703.02</v>
      </c>
      <c r="I27" s="138"/>
      <c r="J27" s="175">
        <f>H27/DAY(B2)</f>
        <v>246351.51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1084</v>
      </c>
      <c r="F28" s="136">
        <v>70</v>
      </c>
      <c r="G28" s="137">
        <f t="shared" ref="G28:G31" si="2">E28*F28</f>
        <v>75880</v>
      </c>
      <c r="H28" s="99">
        <f>G28+'1'!H28</f>
        <v>151900</v>
      </c>
      <c r="I28" s="140"/>
      <c r="J28" s="175">
        <f>H28/DAY(B2)</f>
        <v>75950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 t="shared" si="2"/>
        <v>6795</v>
      </c>
      <c r="H30" s="99">
        <f>G30+'1'!H30</f>
        <v>14496</v>
      </c>
      <c r="I30" s="140"/>
      <c r="J30" s="175">
        <f>H30/DAY(B2)</f>
        <v>7248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 t="shared" si="2"/>
        <v>19200</v>
      </c>
      <c r="H31" s="99">
        <f>G31+'1'!H31</f>
        <v>41600</v>
      </c>
      <c r="I31" s="140"/>
      <c r="J31" s="175">
        <f>H31/DAY(B2)</f>
        <v>20800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347863</v>
      </c>
      <c r="H32" s="99">
        <f>G32+'1'!H32</f>
        <v>700699.02</v>
      </c>
      <c r="I32" s="144"/>
      <c r="J32" s="175">
        <f>H32/DAY(B2)</f>
        <v>350349.51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140484</v>
      </c>
      <c r="F35" s="145">
        <v>142564</v>
      </c>
      <c r="G35" s="112">
        <f t="shared" ref="G35:G46" si="3">F35-E35</f>
        <v>2080</v>
      </c>
      <c r="H35" s="99">
        <f>G35+'1'!H35</f>
        <v>4284.7900000000081</v>
      </c>
      <c r="I35" s="95"/>
      <c r="J35" s="175">
        <f>H35/DAY(B2)</f>
        <v>2142.3950000000041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101711</v>
      </c>
      <c r="F36" s="145">
        <v>102525</v>
      </c>
      <c r="G36" s="112">
        <f t="shared" si="3"/>
        <v>814</v>
      </c>
      <c r="H36" s="99">
        <f>G36+'1'!H36</f>
        <v>2004.3399999999965</v>
      </c>
      <c r="I36" s="95"/>
      <c r="J36" s="175">
        <f>H36/DAY(B2)</f>
        <v>1002.1699999999983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134570</v>
      </c>
      <c r="F37" s="145">
        <v>136168</v>
      </c>
      <c r="G37" s="112">
        <f t="shared" si="3"/>
        <v>1598</v>
      </c>
      <c r="H37" s="99">
        <f>G37+'1'!H37</f>
        <v>3242.9800000000105</v>
      </c>
      <c r="I37" s="95"/>
      <c r="J37" s="175">
        <f>H37/DAY(B2)</f>
        <v>1621.4900000000052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172769</v>
      </c>
      <c r="F38" s="108">
        <v>175468</v>
      </c>
      <c r="G38" s="112">
        <f t="shared" si="3"/>
        <v>2699</v>
      </c>
      <c r="H38" s="99">
        <f>G38+'1'!H38</f>
        <v>5358.6300000000047</v>
      </c>
      <c r="I38" s="95"/>
      <c r="J38" s="175">
        <f>H38/DAY(B2)</f>
        <v>2679.3150000000023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247470</v>
      </c>
      <c r="F39" s="145">
        <v>250892</v>
      </c>
      <c r="G39" s="112">
        <f t="shared" si="3"/>
        <v>3422</v>
      </c>
      <c r="H39" s="99">
        <f>G39+'1'!H39</f>
        <v>6738.570000000007</v>
      </c>
      <c r="I39" s="95"/>
      <c r="J39" s="175">
        <f>H39/DAY(B2)</f>
        <v>3369.2850000000035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49763</v>
      </c>
      <c r="F40" s="145">
        <v>50375</v>
      </c>
      <c r="G40" s="112">
        <f t="shared" si="3"/>
        <v>612</v>
      </c>
      <c r="H40" s="99">
        <f>G40+'1'!H40</f>
        <v>1223.1399999999994</v>
      </c>
      <c r="I40" s="95"/>
      <c r="J40" s="175">
        <f>H40/DAY(B2)</f>
        <v>611.56999999999971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-0.27000000000000313</v>
      </c>
      <c r="I41" s="95"/>
      <c r="J41" s="175">
        <f>H41/DAY(B2)</f>
        <v>-0.13500000000000156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283801</v>
      </c>
      <c r="F42" s="145">
        <v>289320</v>
      </c>
      <c r="G42" s="112">
        <f t="shared" si="3"/>
        <v>5519</v>
      </c>
      <c r="H42" s="99">
        <f>G42+'1'!H42</f>
        <v>7962.75</v>
      </c>
      <c r="I42" s="95"/>
      <c r="J42" s="175">
        <f>H42/DAY(B2)</f>
        <v>3981.375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261848</v>
      </c>
      <c r="F43" s="145">
        <v>264966</v>
      </c>
      <c r="G43" s="112">
        <f t="shared" si="3"/>
        <v>3118</v>
      </c>
      <c r="H43" s="99">
        <f>G43+'1'!H43</f>
        <v>6211.5299999999988</v>
      </c>
      <c r="I43" s="95"/>
      <c r="J43" s="175">
        <f>H43/DAY(B2)</f>
        <v>3105.7649999999994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19862</v>
      </c>
      <c r="H47" s="99">
        <f>G47+'1'!H47</f>
        <v>37026.460000000021</v>
      </c>
      <c r="I47" s="95"/>
      <c r="J47" s="175">
        <f>H47/DAY(B2)</f>
        <v>18513.23000000001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112219</v>
      </c>
      <c r="F49" s="145">
        <v>113896</v>
      </c>
      <c r="G49" s="112">
        <f t="shared" ref="G49:G58" si="4">F49-E49</f>
        <v>1677</v>
      </c>
      <c r="H49" s="99">
        <f>G49+'1'!H49</f>
        <v>3393.8000000000029</v>
      </c>
      <c r="I49" s="95"/>
      <c r="J49" s="175">
        <f>H49/DAY(B2)</f>
        <v>1696.9000000000015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132661</v>
      </c>
      <c r="F50" s="145">
        <v>134173</v>
      </c>
      <c r="G50" s="112">
        <f t="shared" si="4"/>
        <v>1512</v>
      </c>
      <c r="H50" s="99">
        <f>G50+'1'!H50</f>
        <v>2962.859999999986</v>
      </c>
      <c r="I50" s="95"/>
      <c r="J50" s="175">
        <f>H50/DAY(B2)</f>
        <v>1481.429999999993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36197</v>
      </c>
      <c r="F54" s="145">
        <v>36726</v>
      </c>
      <c r="G54" s="112">
        <f t="shared" si="4"/>
        <v>529</v>
      </c>
      <c r="H54" s="99">
        <f>G54+'1'!H54</f>
        <v>1054.9400000000023</v>
      </c>
      <c r="I54" s="95"/>
      <c r="J54" s="175">
        <f>H54/DAY(B2)</f>
        <v>527.47000000000116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116035</v>
      </c>
      <c r="F55" s="145">
        <v>117665</v>
      </c>
      <c r="G55" s="112">
        <f t="shared" si="4"/>
        <v>1630</v>
      </c>
      <c r="H55" s="99">
        <f>G55+'1'!H55</f>
        <v>5183.9700000000012</v>
      </c>
      <c r="I55" s="95"/>
      <c r="J55" s="175">
        <f>H55/DAY(B2)</f>
        <v>2591.9850000000006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71618</v>
      </c>
      <c r="F56" s="145">
        <v>71618</v>
      </c>
      <c r="G56" s="112">
        <f t="shared" si="4"/>
        <v>0</v>
      </c>
      <c r="H56" s="99">
        <f>G56+'1'!H56</f>
        <v>0.32000000000698492</v>
      </c>
      <c r="I56" s="95"/>
      <c r="J56" s="175">
        <f>H56/DAY(B2)</f>
        <v>0.16000000000349246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18690</v>
      </c>
      <c r="F58" s="145">
        <v>18925</v>
      </c>
      <c r="G58" s="112">
        <f t="shared" si="4"/>
        <v>235</v>
      </c>
      <c r="H58" s="99">
        <f>G58+'1'!H58</f>
        <v>470.79999999999927</v>
      </c>
      <c r="I58" s="95"/>
      <c r="J58" s="175">
        <f>H58/DAY(B2)</f>
        <v>235.39999999999964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5583</v>
      </c>
      <c r="H59" s="99">
        <f>G59+'1'!H59</f>
        <v>13066.449999999999</v>
      </c>
      <c r="I59" s="95">
        <f>G7-G60</f>
        <v>1503</v>
      </c>
      <c r="J59" s="175">
        <f>H59/DAY(B2)</f>
        <v>6533.2249999999995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25445</v>
      </c>
      <c r="H60" s="99">
        <f>G60+'1'!H60</f>
        <v>50092.910000000025</v>
      </c>
      <c r="I60" s="95">
        <f>G13-G60</f>
        <v>752</v>
      </c>
      <c r="J60" s="175">
        <f>H60/DAY(B2)</f>
        <v>25046.455000000013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'1'!F62</f>
        <v>278836</v>
      </c>
      <c r="F62" s="122">
        <v>279022</v>
      </c>
      <c r="G62" s="112">
        <f t="shared" ref="G62:G63" si="5">F62-E62</f>
        <v>186</v>
      </c>
      <c r="H62" s="99">
        <f>G62+'1'!H62</f>
        <v>396</v>
      </c>
      <c r="I62" s="118"/>
      <c r="J62" s="175">
        <f>H62/DAY(B2)</f>
        <v>198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'1'!F63</f>
        <v>223267</v>
      </c>
      <c r="F63" s="122">
        <v>223400</v>
      </c>
      <c r="G63" s="112">
        <f t="shared" si="5"/>
        <v>133</v>
      </c>
      <c r="H63" s="99">
        <f>G63+'1'!H63</f>
        <v>319</v>
      </c>
      <c r="I63" s="118"/>
      <c r="J63" s="175">
        <f>H63/DAY(B2)</f>
        <v>159.5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'1'!F64</f>
        <v>0</v>
      </c>
      <c r="F64" s="122"/>
      <c r="G64" s="112">
        <f>G62+G63</f>
        <v>319</v>
      </c>
      <c r="H64" s="99">
        <f>G64+'1'!H64</f>
        <v>715</v>
      </c>
      <c r="I64" s="118"/>
      <c r="J64" s="175">
        <f>H64/DAY(B2)</f>
        <v>357.5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'1'!F65</f>
        <v>441268</v>
      </c>
      <c r="F65" s="122">
        <v>441366</v>
      </c>
      <c r="G65" s="112">
        <f t="shared" ref="G65:G70" si="6">F65-E65</f>
        <v>98</v>
      </c>
      <c r="H65" s="99">
        <f>G65+'1'!H65</f>
        <v>235</v>
      </c>
      <c r="I65" s="118"/>
      <c r="J65" s="175">
        <f>H65/DAY(B2)</f>
        <v>117.5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109088</v>
      </c>
      <c r="F66" s="122">
        <v>109104</v>
      </c>
      <c r="G66" s="112">
        <f t="shared" si="6"/>
        <v>16</v>
      </c>
      <c r="H66" s="99">
        <f>G66+'1'!H66</f>
        <v>34</v>
      </c>
      <c r="I66" s="118"/>
      <c r="J66" s="175">
        <f>H66/DAY(B2)</f>
        <v>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108672</v>
      </c>
      <c r="F67" s="122">
        <v>108756</v>
      </c>
      <c r="G67" s="112">
        <f t="shared" si="6"/>
        <v>84</v>
      </c>
      <c r="H67" s="99">
        <f>G67+'1'!H67</f>
        <v>163</v>
      </c>
      <c r="I67" s="118"/>
      <c r="J67" s="175">
        <f>H67/DAY(B2)</f>
        <v>81.5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160474</v>
      </c>
      <c r="F68" s="122">
        <v>160553</v>
      </c>
      <c r="G68" s="112">
        <f t="shared" si="6"/>
        <v>79</v>
      </c>
      <c r="H68" s="99">
        <f>G68+'1'!H68</f>
        <v>144</v>
      </c>
      <c r="I68" s="118"/>
      <c r="J68" s="175">
        <f>H68/DAY(B2)</f>
        <v>72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11209</v>
      </c>
      <c r="F69" s="122">
        <v>11235</v>
      </c>
      <c r="G69" s="236">
        <f t="shared" si="6"/>
        <v>26</v>
      </c>
      <c r="H69" s="99">
        <f>G69+'1'!H69</f>
        <v>34</v>
      </c>
      <c r="I69" s="118"/>
      <c r="J69" s="175">
        <f>H69/DAY(B2)</f>
        <v>17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8735</v>
      </c>
      <c r="F70" s="122">
        <v>8743</v>
      </c>
      <c r="G70" s="112">
        <f t="shared" si="6"/>
        <v>8</v>
      </c>
      <c r="H70" s="99">
        <f>G70+'1'!H70</f>
        <v>15</v>
      </c>
      <c r="I70" s="118"/>
      <c r="J70" s="175">
        <f>H70/DAY(B2)</f>
        <v>7.5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311</v>
      </c>
      <c r="H71" s="99">
        <f>G71+'1'!H71</f>
        <v>625</v>
      </c>
      <c r="I71" s="154"/>
      <c r="J71" s="175">
        <f>H71/DAY(B2)</f>
        <v>312.5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'1'!F74</f>
        <v>919626</v>
      </c>
      <c r="F74" s="123">
        <v>919924</v>
      </c>
      <c r="G74" s="112">
        <f t="shared" ref="G74:G78" si="7">F74-E74</f>
        <v>298</v>
      </c>
      <c r="H74" s="99">
        <f>G74+'1'!H74</f>
        <v>599.48999999999069</v>
      </c>
      <c r="I74" s="154"/>
      <c r="J74" s="175">
        <f>H74/DAY(B2)</f>
        <v>299.74499999999534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'1'!F76</f>
        <v>176706</v>
      </c>
      <c r="F76" s="123">
        <v>176843</v>
      </c>
      <c r="G76" s="112">
        <f t="shared" si="7"/>
        <v>137</v>
      </c>
      <c r="H76" s="99">
        <f>G76+'1'!H76</f>
        <v>256</v>
      </c>
      <c r="I76" s="154"/>
      <c r="J76" s="175">
        <f>H76/DAY(B2)</f>
        <v>128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'1'!F77</f>
        <v>44220</v>
      </c>
      <c r="F77" s="123">
        <v>44267</v>
      </c>
      <c r="G77" s="112">
        <f t="shared" si="7"/>
        <v>47</v>
      </c>
      <c r="H77" s="99">
        <f>G77+'1'!H77</f>
        <v>104</v>
      </c>
      <c r="I77" s="154"/>
      <c r="J77" s="175">
        <f>H77/DAY(B2)</f>
        <v>52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'1'!F79</f>
        <v>0</v>
      </c>
      <c r="F79" s="123"/>
      <c r="G79" s="112">
        <f>G15-SUM(G74:G78)</f>
        <v>602</v>
      </c>
      <c r="H79" s="99">
        <f>G79+'1'!H79</f>
        <v>1210.5100000000093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1084</v>
      </c>
      <c r="H80" s="99">
        <f>G80+'1'!H80</f>
        <v>1084</v>
      </c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41675.4</v>
      </c>
      <c r="F84" s="164">
        <v>41675</v>
      </c>
      <c r="G84" s="112">
        <f t="shared" si="8"/>
        <v>-0.40000000000145519</v>
      </c>
      <c r="H84" s="99">
        <f>G84+'1'!H84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3170</v>
      </c>
      <c r="F85" s="164">
        <v>3194</v>
      </c>
      <c r="G85" s="112">
        <f t="shared" si="8"/>
        <v>24</v>
      </c>
      <c r="H85" s="99">
        <f>G85+'1'!H85</f>
        <v>35.5</v>
      </c>
      <c r="I85" s="594"/>
      <c r="J85" s="175">
        <f>H85/DAY(B2)</f>
        <v>17.75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43744</v>
      </c>
      <c r="F86" s="164">
        <v>43756</v>
      </c>
      <c r="G86" s="112">
        <f t="shared" si="8"/>
        <v>12</v>
      </c>
      <c r="H86" s="99">
        <f>G86+'1'!H86</f>
        <v>35.599999999998545</v>
      </c>
      <c r="I86" s="594"/>
      <c r="J86" s="175">
        <f>H86/DAY(B2)</f>
        <v>17.799999999999272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35080.35</v>
      </c>
      <c r="F87" s="164">
        <v>35080</v>
      </c>
      <c r="G87" s="112">
        <f t="shared" si="8"/>
        <v>-0.34999999999854481</v>
      </c>
      <c r="H87" s="99">
        <f>G87+'1'!H87</f>
        <v>-0.34999999999854481</v>
      </c>
      <c r="I87" s="594">
        <f>G84+G85+G86+G87</f>
        <v>35.25</v>
      </c>
      <c r="J87" s="175">
        <f>H87/DAY(B2)</f>
        <v>-0.1749999999992724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24109.4</v>
      </c>
      <c r="F88" s="164">
        <v>24109</v>
      </c>
      <c r="G88" s="112">
        <f t="shared" si="8"/>
        <v>-0.40000000000145519</v>
      </c>
      <c r="H88" s="99">
        <f>G88+'1'!H88</f>
        <v>-0.40000000000145519</v>
      </c>
      <c r="I88" s="594"/>
      <c r="J88" s="175">
        <f>H88/DAY(B2)</f>
        <v>-0.2000000000007276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26481.48</v>
      </c>
      <c r="F89" s="164">
        <v>26491.46</v>
      </c>
      <c r="G89" s="112">
        <f t="shared" si="8"/>
        <v>9.9799999999995634</v>
      </c>
      <c r="H89" s="99">
        <f>G89+'1'!H89</f>
        <v>19.669999999998254</v>
      </c>
      <c r="I89" s="594">
        <f>G88+G89</f>
        <v>9.5799999999981083</v>
      </c>
      <c r="J89" s="175">
        <f>H89/DAY(B2)</f>
        <v>9.8349999999991269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71583</v>
      </c>
      <c r="F90" s="164">
        <v>71591</v>
      </c>
      <c r="G90" s="112">
        <f t="shared" si="8"/>
        <v>8</v>
      </c>
      <c r="H90" s="99">
        <f>G90+'1'!H90</f>
        <v>17.889999999999418</v>
      </c>
      <c r="I90" s="594">
        <f>G90</f>
        <v>8</v>
      </c>
      <c r="J90" s="175">
        <f>H90/DAY(B2)</f>
        <v>8.944999999999709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3909.75</v>
      </c>
      <c r="F91" s="122">
        <v>3910</v>
      </c>
      <c r="G91" s="112">
        <f t="shared" si="8"/>
        <v>0.25</v>
      </c>
      <c r="H91" s="99">
        <f>G91+'1'!H91</f>
        <v>0.25</v>
      </c>
      <c r="I91" s="688"/>
      <c r="J91" s="175">
        <f>H91/DAY(B2)</f>
        <v>0.125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5758</v>
      </c>
      <c r="F92" s="122">
        <v>5768</v>
      </c>
      <c r="G92" s="112">
        <f t="shared" si="8"/>
        <v>10</v>
      </c>
      <c r="H92" s="99">
        <f>G92+'1'!H92</f>
        <v>20.699999999999818</v>
      </c>
      <c r="I92" s="705">
        <f>G91+G92</f>
        <v>10.25</v>
      </c>
      <c r="J92" s="175">
        <f>H92/DAY(B2)</f>
        <v>10.349999999999909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6875</v>
      </c>
      <c r="H94" s="99">
        <f>G94+'1'!H94</f>
        <v>13890.12000000001</v>
      </c>
      <c r="I94" s="118"/>
      <c r="J94" s="175">
        <f>H94/DAY(B2)</f>
        <v>6945.0600000000049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0.25512097372717829</v>
      </c>
      <c r="H95" s="99">
        <f>G95+'1'!H95</f>
        <v>0.51462306376528022</v>
      </c>
      <c r="I95" s="167"/>
      <c r="J95" s="175">
        <f>H95/DAY(B2)</f>
        <v>0.25731153188264011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7149</v>
      </c>
      <c r="H96" s="99">
        <f>G96+'1'!H96</f>
        <v>13146.770000000008</v>
      </c>
      <c r="I96" s="118"/>
      <c r="J96" s="175">
        <f>H96/DAY(B2)</f>
        <v>6573.3850000000039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0.26528870417099598</v>
      </c>
      <c r="H97" s="99">
        <f>G97+'1'!H97</f>
        <v>0.48715716124198361</v>
      </c>
      <c r="I97" s="167"/>
      <c r="J97" s="175">
        <f>H97/DAY(B2)</f>
        <v>0.2435785806209918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3422</v>
      </c>
      <c r="H98" s="99">
        <f>G98+'1'!H98</f>
        <v>6738.570000000007</v>
      </c>
      <c r="I98" s="168"/>
      <c r="J98" s="175">
        <f>H98/DAY(B2)</f>
        <v>3369.2850000000035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0.12698530503191333</v>
      </c>
      <c r="H99" s="99">
        <f>G99+'1'!H99</f>
        <v>0.24967128143112938</v>
      </c>
      <c r="I99" s="168"/>
      <c r="J99" s="175">
        <f>H99/DAY(B2)</f>
        <v>0.12483564071556469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2699</v>
      </c>
      <c r="H100" s="99">
        <f>G100+'1'!H100</f>
        <v>5358.3900000000049</v>
      </c>
      <c r="I100" s="118"/>
      <c r="J100" s="175">
        <f>H100/DAY(B2)</f>
        <v>2679.1950000000024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0.10015585572213151</v>
      </c>
      <c r="H101" s="99">
        <f>G101+'1'!H101</f>
        <v>0.19853154469486872</v>
      </c>
      <c r="I101" s="168"/>
      <c r="J101" s="175">
        <f>H101/DAY(B2)</f>
        <v>9.9265772347434361E-2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2326</v>
      </c>
      <c r="H102" s="99">
        <f>G102+'1'!H102</f>
        <v>4967.1999999999825</v>
      </c>
      <c r="I102" s="168"/>
      <c r="J102" s="175">
        <f>H102/DAY(B2)</f>
        <v>2483.5999999999913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8.6314383256642424E-2</v>
      </c>
      <c r="H103" s="99">
        <f>G103+'1'!H103</f>
        <v>0.1840171909361446</v>
      </c>
      <c r="I103" s="118"/>
      <c r="J103" s="175">
        <f>H103/DAY(B2)</f>
        <v>9.2008595468072302E-2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1598</v>
      </c>
      <c r="H104" s="99">
        <f>G104+'1'!H104</f>
        <v>3242.9800000000105</v>
      </c>
      <c r="I104" s="118"/>
      <c r="J104" s="175">
        <f>H104/DAY(B2)</f>
        <v>1621.4900000000052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5.9299391420513582E-2</v>
      </c>
      <c r="H105" s="99">
        <f>G105+'1'!H105</f>
        <v>0.12015020339106848</v>
      </c>
      <c r="I105" s="187"/>
      <c r="J105" s="188">
        <f>H105/DAY(B2)</f>
        <v>6.007510169553424E-2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'1'!F112</f>
        <v>62222</v>
      </c>
      <c r="F112" s="237">
        <v>62303</v>
      </c>
      <c r="G112" s="112">
        <f t="shared" ref="G112:G123" si="9">F112-E112</f>
        <v>81</v>
      </c>
      <c r="H112" s="99">
        <f>G112+'1'!H112</f>
        <v>159.47000000000116</v>
      </c>
      <c r="I112" s="165"/>
      <c r="J112" s="328">
        <f>H112/DAY(B2)</f>
        <v>79.735000000000582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'1'!F113</f>
        <v>74746</v>
      </c>
      <c r="F113" s="237">
        <v>75250</v>
      </c>
      <c r="G113" s="112">
        <f t="shared" si="9"/>
        <v>504</v>
      </c>
      <c r="H113" s="99">
        <f>G113+'1'!H113</f>
        <v>994.39999999999418</v>
      </c>
      <c r="I113" s="165"/>
      <c r="J113" s="328">
        <f>H113/DAY(B2)</f>
        <v>497.19999999999709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'1'!F114</f>
        <v>50521</v>
      </c>
      <c r="F114" s="237">
        <v>50950</v>
      </c>
      <c r="G114" s="112">
        <f t="shared" si="9"/>
        <v>429</v>
      </c>
      <c r="H114" s="99">
        <f>G114+'1'!H114</f>
        <v>687</v>
      </c>
      <c r="I114" s="165"/>
      <c r="J114" s="328">
        <f>H114/DAY(B2)</f>
        <v>343.5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'1'!F115</f>
        <v>9840</v>
      </c>
      <c r="F115" s="417">
        <v>9864</v>
      </c>
      <c r="G115" s="112">
        <f t="shared" si="9"/>
        <v>24</v>
      </c>
      <c r="H115" s="99">
        <f>G115+'1'!H115</f>
        <v>35.489999999999782</v>
      </c>
      <c r="I115" s="165"/>
      <c r="J115" s="328">
        <f>H115/DAY(B2)</f>
        <v>17.744999999999891</v>
      </c>
    </row>
    <row r="116" spans="1:18" ht="29.25" customHeight="1">
      <c r="A116" s="925" t="s">
        <v>96</v>
      </c>
      <c r="B116" s="926"/>
      <c r="C116" s="927"/>
      <c r="D116" s="517" t="s">
        <v>183</v>
      </c>
      <c r="E116" s="95">
        <f>'1'!F116</f>
        <v>23219</v>
      </c>
      <c r="F116" s="417">
        <v>23659</v>
      </c>
      <c r="G116" s="112">
        <f t="shared" si="9"/>
        <v>440</v>
      </c>
      <c r="H116" s="99">
        <f>G116+'1'!H116</f>
        <v>874.38000000000102</v>
      </c>
      <c r="I116" s="165"/>
      <c r="J116" s="328">
        <f>H116/DAY(B2)</f>
        <v>437.19000000000051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'1'!F117</f>
        <v>13804</v>
      </c>
      <c r="F117" s="417">
        <v>14020</v>
      </c>
      <c r="G117" s="112">
        <f t="shared" si="9"/>
        <v>216</v>
      </c>
      <c r="H117" s="99">
        <f>G117+'1'!H117</f>
        <v>406.82699999999932</v>
      </c>
      <c r="I117" s="165"/>
      <c r="J117" s="328">
        <f>H117/DAY(B2)</f>
        <v>203.41349999999966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'1'!F118</f>
        <v>280770</v>
      </c>
      <c r="F118" s="417">
        <v>281306</v>
      </c>
      <c r="G118" s="112">
        <f t="shared" si="9"/>
        <v>536</v>
      </c>
      <c r="H118" s="99">
        <f>G118+'1'!H118</f>
        <v>1085.0300000000279</v>
      </c>
      <c r="I118" s="165"/>
      <c r="J118" s="328">
        <f>H118/DAY(B2)</f>
        <v>542.51500000001397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'1'!F119</f>
        <v>283541</v>
      </c>
      <c r="F119" s="417">
        <v>283991</v>
      </c>
      <c r="G119" s="112">
        <f t="shared" si="9"/>
        <v>450</v>
      </c>
      <c r="H119" s="99">
        <f>G119+'1'!H119</f>
        <v>893.60999999998603</v>
      </c>
      <c r="I119" s="165"/>
      <c r="J119" s="328">
        <f>H119/DAY(B2)</f>
        <v>446.80499999999302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'1'!F120</f>
        <v>68148</v>
      </c>
      <c r="F120" s="237">
        <v>68574</v>
      </c>
      <c r="G120" s="112">
        <f t="shared" si="9"/>
        <v>426</v>
      </c>
      <c r="H120" s="99">
        <f>G120+'1'!H120</f>
        <v>849.24000000000524</v>
      </c>
      <c r="I120" s="165"/>
      <c r="J120" s="328">
        <f>H120/DAY(B2)</f>
        <v>424.62000000000262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'1'!F121</f>
        <v>443505</v>
      </c>
      <c r="F121" s="237">
        <v>444323</v>
      </c>
      <c r="G121" s="112">
        <f t="shared" si="9"/>
        <v>818</v>
      </c>
      <c r="H121" s="99">
        <f>G121+'1'!H121</f>
        <v>1604.7299999999814</v>
      </c>
      <c r="I121" s="165"/>
      <c r="J121" s="328">
        <f>H121/DAY(B2)</f>
        <v>802.36499999999069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'1'!F122</f>
        <v>139547</v>
      </c>
      <c r="F122" s="237">
        <v>139773</v>
      </c>
      <c r="G122" s="112">
        <f t="shared" si="9"/>
        <v>226</v>
      </c>
      <c r="H122" s="99">
        <f>G122+'1'!H122</f>
        <v>464.85999999998603</v>
      </c>
      <c r="I122" s="165"/>
      <c r="J122" s="328">
        <f>H122/DAY(B2)</f>
        <v>232.42999999999302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'1'!F123</f>
        <v>169694</v>
      </c>
      <c r="F123" s="237">
        <v>169955</v>
      </c>
      <c r="G123" s="112">
        <f t="shared" si="9"/>
        <v>261</v>
      </c>
      <c r="H123" s="99">
        <f>G123+'1'!H123</f>
        <v>513</v>
      </c>
      <c r="I123" s="165"/>
      <c r="J123" s="328">
        <f>H123/DAY(B2)</f>
        <v>256.5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4411</v>
      </c>
      <c r="H125" s="156"/>
      <c r="I125" s="327">
        <f>G125-(G39+G53)</f>
        <v>989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'1'!F128</f>
        <v>69312</v>
      </c>
      <c r="F128" s="165">
        <v>69705</v>
      </c>
      <c r="G128" s="112">
        <f t="shared" ref="G128:G133" si="10">F128-E128</f>
        <v>393</v>
      </c>
      <c r="H128" s="99">
        <f>G128+'1'!H128</f>
        <v>788.75999999999476</v>
      </c>
      <c r="I128" s="165"/>
      <c r="J128" s="328">
        <f>H128/DAY(B2)</f>
        <v>394.37999999999738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42429</v>
      </c>
      <c r="F129" s="165">
        <v>42728</v>
      </c>
      <c r="G129" s="112">
        <f t="shared" si="10"/>
        <v>299</v>
      </c>
      <c r="H129" s="99">
        <f>G129+'1'!H129</f>
        <v>616.94999999999709</v>
      </c>
      <c r="I129" s="165"/>
      <c r="J129" s="328">
        <f>H129/DAY(B2)</f>
        <v>308.47499999999854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76392</v>
      </c>
      <c r="F130" s="165">
        <v>77089</v>
      </c>
      <c r="G130" s="112">
        <f t="shared" si="10"/>
        <v>697</v>
      </c>
      <c r="H130" s="99">
        <f>G130+'1'!H130</f>
        <v>1427.0500000000029</v>
      </c>
      <c r="I130" s="165"/>
      <c r="J130" s="328">
        <f>H130/DAY(B2)</f>
        <v>713.52500000000146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'1'!F131</f>
        <v>24632</v>
      </c>
      <c r="F131" s="165">
        <v>24790</v>
      </c>
      <c r="G131" s="112">
        <f t="shared" si="10"/>
        <v>158</v>
      </c>
      <c r="H131" s="99">
        <f>G131+'1'!H131</f>
        <v>357.5</v>
      </c>
      <c r="I131" s="165"/>
      <c r="J131" s="328">
        <f>H131/DAY(B2)</f>
        <v>178.75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'1'!F132</f>
        <v>76099</v>
      </c>
      <c r="F132" s="165">
        <v>76537</v>
      </c>
      <c r="G132" s="112">
        <f t="shared" si="10"/>
        <v>438</v>
      </c>
      <c r="H132" s="99">
        <f>G132+'1'!H132</f>
        <v>869.5</v>
      </c>
      <c r="I132" s="165"/>
      <c r="J132" s="328">
        <f>H132/DAY(B2)</f>
        <v>434.75</v>
      </c>
    </row>
    <row r="133" spans="1:15" ht="25.5">
      <c r="A133" s="907" t="s">
        <v>342</v>
      </c>
      <c r="B133" s="908"/>
      <c r="C133" s="909"/>
      <c r="D133" s="151" t="s">
        <v>183</v>
      </c>
      <c r="E133" s="95">
        <f>'1'!F133</f>
        <v>146138</v>
      </c>
      <c r="F133" s="165">
        <v>146914</v>
      </c>
      <c r="G133" s="112">
        <f t="shared" si="10"/>
        <v>776</v>
      </c>
      <c r="H133" s="99">
        <f>G133+'1'!H133</f>
        <v>1532.0100000000093</v>
      </c>
      <c r="I133" s="165"/>
      <c r="J133" s="328">
        <f>H133/DAY(B2)</f>
        <v>766.00500000000466</v>
      </c>
    </row>
    <row r="134" spans="1:15" ht="25.5">
      <c r="A134" s="907" t="s">
        <v>340</v>
      </c>
      <c r="B134" s="908"/>
      <c r="C134" s="909"/>
      <c r="D134" s="515" t="s">
        <v>183</v>
      </c>
      <c r="E134" s="95">
        <f>'1'!F134</f>
        <v>21030</v>
      </c>
      <c r="F134" s="158">
        <v>21275</v>
      </c>
      <c r="G134" s="112">
        <f>F134-E134</f>
        <v>245</v>
      </c>
      <c r="H134" s="99">
        <f>G134+'1'!H134</f>
        <v>482.31999999999971</v>
      </c>
      <c r="I134" s="165"/>
      <c r="J134" s="328">
        <f>H134/DAY(B2)</f>
        <v>241.15999999999985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3006</v>
      </c>
      <c r="H135" s="99">
        <f>G135+'1'!H135</f>
        <v>6074.0900000000038</v>
      </c>
      <c r="I135" s="327">
        <f>G135-(G35+G49)</f>
        <v>-751</v>
      </c>
      <c r="J135" s="328">
        <f>H135/DAY(B2)</f>
        <v>3037.0450000000019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515" t="s">
        <v>183</v>
      </c>
      <c r="E138" s="95">
        <f>'1'!F138</f>
        <v>874192</v>
      </c>
      <c r="F138" s="147">
        <v>874398</v>
      </c>
      <c r="G138" s="112">
        <f t="shared" ref="G138:G152" si="11">F138-E138</f>
        <v>206</v>
      </c>
      <c r="H138" s="99">
        <f>G138+'1'!H138</f>
        <v>397</v>
      </c>
      <c r="I138" s="118"/>
      <c r="J138" s="328">
        <f>H138/DAY(B2)</f>
        <v>198.5</v>
      </c>
    </row>
    <row r="139" spans="1:15" ht="25.5">
      <c r="A139" s="902" t="s">
        <v>186</v>
      </c>
      <c r="B139" s="902"/>
      <c r="C139" s="902"/>
      <c r="D139" s="515" t="s">
        <v>183</v>
      </c>
      <c r="E139" s="95">
        <f>'1'!F139</f>
        <v>890473</v>
      </c>
      <c r="F139" s="148">
        <v>890661</v>
      </c>
      <c r="G139" s="112">
        <f t="shared" si="11"/>
        <v>188</v>
      </c>
      <c r="H139" s="99">
        <f>G139+'1'!H139</f>
        <v>343</v>
      </c>
      <c r="I139" s="118"/>
      <c r="J139" s="328">
        <f>H139/DAY(B2)</f>
        <v>171.5</v>
      </c>
    </row>
    <row r="140" spans="1:15" ht="25.5">
      <c r="A140" s="902" t="s">
        <v>187</v>
      </c>
      <c r="B140" s="902"/>
      <c r="C140" s="902"/>
      <c r="D140" s="515" t="s">
        <v>183</v>
      </c>
      <c r="E140" s="95">
        <f>'1'!F140</f>
        <v>88991</v>
      </c>
      <c r="F140" s="149">
        <v>88992</v>
      </c>
      <c r="G140" s="112">
        <f t="shared" si="11"/>
        <v>1</v>
      </c>
      <c r="H140" s="99">
        <f>G140+'1'!H140</f>
        <v>2</v>
      </c>
      <c r="I140" s="118"/>
      <c r="J140" s="328">
        <f>H140/DAY(B2)</f>
        <v>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'1'!F141</f>
        <v>65992</v>
      </c>
      <c r="F141" s="149">
        <v>66181</v>
      </c>
      <c r="G141" s="112">
        <f t="shared" si="11"/>
        <v>189</v>
      </c>
      <c r="H141" s="99">
        <f>G141+'1'!H141</f>
        <v>397.47000000000116</v>
      </c>
      <c r="I141" s="118"/>
      <c r="J141" s="328">
        <f>H141/DAY(B2)</f>
        <v>198.73500000000058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'1'!F142</f>
        <v>25574</v>
      </c>
      <c r="F142" s="148">
        <v>25653</v>
      </c>
      <c r="G142" s="112">
        <f t="shared" si="11"/>
        <v>79</v>
      </c>
      <c r="H142" s="99">
        <f>G142+'1'!H142</f>
        <v>156.59999999999854</v>
      </c>
      <c r="I142" s="140"/>
      <c r="J142" s="328">
        <f>H142/DAY(B2)</f>
        <v>78.299999999999272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'1'!F143</f>
        <v>5591</v>
      </c>
      <c r="F143" s="149">
        <v>5618</v>
      </c>
      <c r="G143" s="112">
        <f t="shared" si="11"/>
        <v>27</v>
      </c>
      <c r="H143" s="99">
        <f>G143+'1'!H143</f>
        <v>57.289999999999964</v>
      </c>
      <c r="I143" s="140"/>
      <c r="J143" s="328">
        <f>H143/DAY(B2)</f>
        <v>28.644999999999982</v>
      </c>
    </row>
    <row r="144" spans="1:15" ht="25.5">
      <c r="A144" s="906" t="s">
        <v>90</v>
      </c>
      <c r="B144" s="906"/>
      <c r="C144" s="906"/>
      <c r="D144" s="515" t="s">
        <v>183</v>
      </c>
      <c r="E144" s="95">
        <f>'1'!F144</f>
        <v>890085</v>
      </c>
      <c r="F144" s="149">
        <v>890347</v>
      </c>
      <c r="G144" s="112">
        <f t="shared" si="11"/>
        <v>262</v>
      </c>
      <c r="H144" s="99">
        <f>G144+'1'!H144</f>
        <v>513</v>
      </c>
      <c r="I144" s="140"/>
      <c r="J144" s="328">
        <f>H144/DAY(B2)</f>
        <v>256.5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'1'!F145</f>
        <v>5558</v>
      </c>
      <c r="F145" s="149">
        <v>5560</v>
      </c>
      <c r="G145" s="112">
        <f t="shared" si="11"/>
        <v>2</v>
      </c>
      <c r="H145" s="99">
        <f>G145+'1'!H145</f>
        <v>3.6000000000003638</v>
      </c>
      <c r="I145" s="140"/>
      <c r="J145" s="328">
        <f>H145/DAY(B2)</f>
        <v>1.8000000000001819</v>
      </c>
    </row>
    <row r="146" spans="1:10" ht="25.5">
      <c r="A146" s="903" t="s">
        <v>191</v>
      </c>
      <c r="B146" s="904"/>
      <c r="C146" s="905"/>
      <c r="D146" s="515" t="s">
        <v>183</v>
      </c>
      <c r="E146" s="95">
        <f>'1'!F146</f>
        <v>764830</v>
      </c>
      <c r="F146" s="148">
        <v>765378</v>
      </c>
      <c r="G146" s="112">
        <f t="shared" si="11"/>
        <v>548</v>
      </c>
      <c r="H146" s="99">
        <f>G146+'1'!H146</f>
        <v>1052</v>
      </c>
      <c r="I146" s="140"/>
      <c r="J146" s="328">
        <f>H146/DAY(B2)</f>
        <v>526</v>
      </c>
    </row>
    <row r="147" spans="1:10" ht="25.5">
      <c r="A147" s="906" t="s">
        <v>192</v>
      </c>
      <c r="B147" s="906"/>
      <c r="C147" s="906"/>
      <c r="D147" s="515" t="s">
        <v>183</v>
      </c>
      <c r="E147" s="95">
        <f>'1'!F147</f>
        <v>650644</v>
      </c>
      <c r="F147" s="148">
        <v>651103</v>
      </c>
      <c r="G147" s="112">
        <f t="shared" si="11"/>
        <v>459</v>
      </c>
      <c r="H147" s="99">
        <f>G147+'1'!H147</f>
        <v>919</v>
      </c>
      <c r="I147" s="140"/>
      <c r="J147" s="328">
        <f>H147/DAY(B2)</f>
        <v>459.5</v>
      </c>
    </row>
    <row r="148" spans="1:10" ht="25.5">
      <c r="A148" s="898" t="s">
        <v>193</v>
      </c>
      <c r="B148" s="899"/>
      <c r="C148" s="900"/>
      <c r="D148" s="516" t="s">
        <v>130</v>
      </c>
      <c r="E148" s="95">
        <f>'1'!F148</f>
        <v>709287</v>
      </c>
      <c r="F148" s="164">
        <v>709642</v>
      </c>
      <c r="G148" s="112">
        <f t="shared" si="11"/>
        <v>355</v>
      </c>
      <c r="H148" s="99">
        <f>G148+'1'!H148</f>
        <v>777.31999999994878</v>
      </c>
      <c r="I148" s="124"/>
      <c r="J148" s="328">
        <f>H148/DAY(B2)</f>
        <v>388.65999999997439</v>
      </c>
    </row>
    <row r="149" spans="1:10" ht="25.5">
      <c r="A149" s="898" t="s">
        <v>336</v>
      </c>
      <c r="B149" s="899"/>
      <c r="C149" s="900"/>
      <c r="D149" s="517" t="s">
        <v>130</v>
      </c>
      <c r="E149" s="95">
        <f>'1'!F149</f>
        <v>63999</v>
      </c>
      <c r="F149" s="146">
        <v>64767</v>
      </c>
      <c r="G149" s="112">
        <f t="shared" si="11"/>
        <v>768</v>
      </c>
      <c r="H149" s="99">
        <f>G149+'1'!H149</f>
        <v>1543.1999999999971</v>
      </c>
      <c r="I149" s="119"/>
      <c r="J149" s="328">
        <f>H149/DAY(B2)</f>
        <v>771.59999999999854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'1'!F150</f>
        <v>24174</v>
      </c>
      <c r="F150" s="233">
        <v>24403</v>
      </c>
      <c r="G150" s="112">
        <f t="shared" si="11"/>
        <v>229</v>
      </c>
      <c r="H150" s="99">
        <f>G150+'1'!H150</f>
        <v>447.20999999999913</v>
      </c>
      <c r="I150" s="119"/>
      <c r="J150" s="328">
        <f>H150/DAY(B2)</f>
        <v>223.60499999999956</v>
      </c>
    </row>
    <row r="151" spans="1:10" ht="25.5">
      <c r="A151" s="898" t="s">
        <v>338</v>
      </c>
      <c r="B151" s="899"/>
      <c r="C151" s="900"/>
      <c r="D151" s="516" t="s">
        <v>130</v>
      </c>
      <c r="E151" s="95">
        <f>'1'!F151</f>
        <v>100905</v>
      </c>
      <c r="F151" s="233">
        <v>101207</v>
      </c>
      <c r="G151" s="112">
        <f t="shared" si="11"/>
        <v>302</v>
      </c>
      <c r="H151" s="99">
        <f>G151+'1'!H151</f>
        <v>596</v>
      </c>
      <c r="I151" s="119"/>
      <c r="J151" s="328">
        <f>H151/DAY(B2)</f>
        <v>298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'1'!F152</f>
        <v>8197</v>
      </c>
      <c r="F152" s="233">
        <v>8325</v>
      </c>
      <c r="G152" s="112">
        <f t="shared" si="11"/>
        <v>128</v>
      </c>
      <c r="H152" s="99">
        <f>G152+'1'!H152</f>
        <v>255.9399999999996</v>
      </c>
      <c r="I152" s="119"/>
      <c r="J152" s="328">
        <f>H152/DAY(B2)</f>
        <v>127.9699999999998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3743</v>
      </c>
      <c r="H153" s="363"/>
      <c r="I153" s="119">
        <f>G153-(G38+G52)</f>
        <v>1044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518" t="s">
        <v>130</v>
      </c>
      <c r="E155" s="95">
        <f>'1'!F155</f>
        <v>73474</v>
      </c>
      <c r="F155" s="423">
        <v>74125</v>
      </c>
      <c r="G155" s="112">
        <f t="shared" ref="G155:G158" si="12">F155-E155</f>
        <v>651</v>
      </c>
      <c r="H155" s="99">
        <f>G155+'1'!H155</f>
        <v>1354.5</v>
      </c>
      <c r="I155" s="364"/>
      <c r="J155" s="328">
        <f>H155/DAY(B2)</f>
        <v>677.25</v>
      </c>
    </row>
    <row r="156" spans="1:10" ht="25.5">
      <c r="A156" s="906" t="s">
        <v>347</v>
      </c>
      <c r="B156" s="906"/>
      <c r="C156" s="906"/>
      <c r="D156" s="518" t="s">
        <v>130</v>
      </c>
      <c r="E156" s="95">
        <f>'1'!F156</f>
        <v>6108</v>
      </c>
      <c r="F156" s="155">
        <v>6164</v>
      </c>
      <c r="G156" s="112">
        <f t="shared" si="12"/>
        <v>56</v>
      </c>
      <c r="H156" s="99">
        <f>G156+'1'!H156</f>
        <v>106.75</v>
      </c>
      <c r="I156" s="165"/>
      <c r="J156" s="328">
        <f>H156/DAY(B2)</f>
        <v>53.375</v>
      </c>
    </row>
    <row r="157" spans="1:10" ht="25.5">
      <c r="A157" s="898" t="s">
        <v>361</v>
      </c>
      <c r="B157" s="899"/>
      <c r="C157" s="900"/>
      <c r="D157" s="518" t="s">
        <v>130</v>
      </c>
      <c r="E157" s="95">
        <f>'1'!F157</f>
        <v>10338</v>
      </c>
      <c r="F157" s="155">
        <v>10452</v>
      </c>
      <c r="G157" s="112">
        <f t="shared" si="12"/>
        <v>114</v>
      </c>
      <c r="H157" s="99">
        <f>G157+'1'!H157</f>
        <v>213.19000000000051</v>
      </c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v>90.42</v>
      </c>
      <c r="F158" s="155">
        <v>90.52</v>
      </c>
      <c r="G158" s="112">
        <f t="shared" si="12"/>
        <v>9.9999999999994316E-2</v>
      </c>
      <c r="H158" s="99">
        <f>G158+'1'!H158</f>
        <v>9.9999999999994316E-2</v>
      </c>
      <c r="I158" s="165"/>
      <c r="J158" s="328"/>
    </row>
    <row r="159" spans="1:10" ht="25.5">
      <c r="A159" s="898"/>
      <c r="B159" s="899"/>
      <c r="C159" s="900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473841</v>
      </c>
      <c r="F161" s="235">
        <v>473841</v>
      </c>
      <c r="G161" s="238">
        <f t="shared" ref="G161:G165" si="13">F161-E161</f>
        <v>0</v>
      </c>
      <c r="H161" s="99">
        <f>G161+'1'!H161</f>
        <v>0.27000000001862645</v>
      </c>
      <c r="I161" s="236"/>
      <c r="J161" s="239">
        <f>H161/DAY(B2)</f>
        <v>0.13500000000931323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90502</v>
      </c>
      <c r="F162" s="235">
        <v>90525</v>
      </c>
      <c r="G162" s="238">
        <f t="shared" si="13"/>
        <v>23</v>
      </c>
      <c r="H162" s="99">
        <f>G162+'1'!H162</f>
        <v>72.100000000005821</v>
      </c>
      <c r="I162" s="236"/>
      <c r="J162" s="239">
        <f>H162/DAY(B2)</f>
        <v>36.05000000000291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87261</v>
      </c>
      <c r="F163" s="235">
        <v>87458</v>
      </c>
      <c r="G163" s="238">
        <f t="shared" si="13"/>
        <v>197</v>
      </c>
      <c r="H163" s="99">
        <f>G163+'1'!H163</f>
        <v>379.19999999999709</v>
      </c>
      <c r="I163" s="236"/>
      <c r="J163" s="239">
        <f>H163/DAY(B2)</f>
        <v>189.59999999999854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4826</v>
      </c>
      <c r="F164" s="235">
        <v>4841</v>
      </c>
      <c r="G164" s="238">
        <f t="shared" si="13"/>
        <v>15</v>
      </c>
      <c r="H164" s="99">
        <f>G164+'1'!H164</f>
        <v>28.600000000000364</v>
      </c>
      <c r="I164" s="236"/>
      <c r="J164" s="239">
        <f>H164/DAY(B2)</f>
        <v>14.300000000000182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30364</v>
      </c>
      <c r="F165" s="235">
        <v>30368</v>
      </c>
      <c r="G165" s="238">
        <f t="shared" si="13"/>
        <v>4</v>
      </c>
      <c r="H165" s="99">
        <f>G165+'1'!H165</f>
        <v>12.490000000001601</v>
      </c>
      <c r="I165" s="236"/>
      <c r="J165" s="239">
        <f>H165/DAY(B2)</f>
        <v>6.2450000000008004</v>
      </c>
    </row>
    <row r="166" spans="1:14" ht="29.25" customHeight="1">
      <c r="A166" s="938"/>
      <c r="B166" s="938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8"/>
      <c r="B167" s="938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8"/>
      <c r="B168" s="938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4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6" t="s">
        <v>209</v>
      </c>
      <c r="B173" s="897"/>
      <c r="C173" s="333"/>
      <c r="D173" s="228" t="s">
        <v>142</v>
      </c>
      <c r="E173" s="95">
        <f>'1'!F173</f>
        <v>8265</v>
      </c>
      <c r="F173" s="155">
        <v>8265</v>
      </c>
      <c r="G173" s="155">
        <f>F173-E173</f>
        <v>0</v>
      </c>
      <c r="H173" s="99">
        <f>G173+'1'!H173</f>
        <v>1</v>
      </c>
      <c r="I173" s="155"/>
      <c r="J173" s="178">
        <f>H173/DAY(B2)</f>
        <v>0.5</v>
      </c>
    </row>
    <row r="174" spans="1:14" ht="25.5">
      <c r="A174" s="896" t="s">
        <v>75</v>
      </c>
      <c r="B174" s="897"/>
      <c r="C174" s="333"/>
      <c r="D174" s="228" t="s">
        <v>142</v>
      </c>
      <c r="E174" s="95">
        <f>'1'!F174</f>
        <v>39477</v>
      </c>
      <c r="F174" s="157">
        <v>39491</v>
      </c>
      <c r="G174" s="155">
        <f t="shared" ref="G174:G175" si="14">F174-E174</f>
        <v>14</v>
      </c>
      <c r="H174" s="99">
        <f>G174+'1'!H174</f>
        <v>29</v>
      </c>
      <c r="I174" s="155"/>
      <c r="J174" s="178">
        <f>H174/DAY(B2)</f>
        <v>14.5</v>
      </c>
    </row>
    <row r="175" spans="1:14" ht="25.5">
      <c r="A175" s="896" t="s">
        <v>76</v>
      </c>
      <c r="B175" s="901"/>
      <c r="C175" s="897"/>
      <c r="D175" s="228" t="s">
        <v>142</v>
      </c>
      <c r="E175" s="95">
        <f>'1'!F175</f>
        <v>22533</v>
      </c>
      <c r="F175" s="155">
        <v>22545</v>
      </c>
      <c r="G175" s="155">
        <f t="shared" si="14"/>
        <v>12</v>
      </c>
      <c r="H175" s="99">
        <f>G175+'1'!H175</f>
        <v>23</v>
      </c>
      <c r="I175" s="155"/>
      <c r="J175" s="178">
        <f>H175/DAY(B2)</f>
        <v>11.5</v>
      </c>
      <c r="N175" s="471"/>
    </row>
    <row r="176" spans="1:14" ht="25.5">
      <c r="A176" s="935" t="s">
        <v>196</v>
      </c>
      <c r="B176" s="936"/>
      <c r="C176" s="401"/>
      <c r="D176" s="228"/>
      <c r="E176" s="95"/>
      <c r="F176" s="155"/>
      <c r="G176" s="155">
        <f>SUM(G173:G175)</f>
        <v>26</v>
      </c>
      <c r="H176" s="99">
        <f>G176+'1'!H176</f>
        <v>53</v>
      </c>
      <c r="I176" s="155"/>
      <c r="J176" s="178">
        <f>H176/DAY(B2)</f>
        <v>26.5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6" t="s">
        <v>210</v>
      </c>
      <c r="B178" s="897"/>
      <c r="C178" s="333"/>
      <c r="D178" s="228" t="s">
        <v>142</v>
      </c>
      <c r="E178" s="95">
        <f>'1'!F178</f>
        <v>85721</v>
      </c>
      <c r="F178" s="157">
        <v>85806</v>
      </c>
      <c r="G178" s="155">
        <f>F178-E178</f>
        <v>85</v>
      </c>
      <c r="H178" s="99">
        <f>G178+'1'!H178</f>
        <v>190</v>
      </c>
      <c r="I178" s="155"/>
      <c r="J178" s="178">
        <f>H178/DAY(B2)</f>
        <v>95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'1'!F179</f>
        <v>35614</v>
      </c>
      <c r="F179" s="155">
        <v>35646</v>
      </c>
      <c r="G179" s="155">
        <f t="shared" ref="G179:G180" si="15">F179-E179</f>
        <v>32</v>
      </c>
      <c r="H179" s="99">
        <f>G179+'1'!H179</f>
        <v>32</v>
      </c>
      <c r="I179" s="155"/>
      <c r="J179" s="178">
        <f>H179/DAY(B2)</f>
        <v>16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'1'!F180</f>
        <v>6133</v>
      </c>
      <c r="F180" s="155">
        <v>6150</v>
      </c>
      <c r="G180" s="155">
        <f t="shared" si="15"/>
        <v>17</v>
      </c>
      <c r="H180" s="99">
        <f>G180+'1'!H180</f>
        <v>17</v>
      </c>
      <c r="I180" s="155"/>
      <c r="J180" s="178">
        <f>H180/DAY(B2)</f>
        <v>8.5</v>
      </c>
    </row>
    <row r="181" spans="1:10" ht="25.5">
      <c r="A181" s="942" t="s">
        <v>108</v>
      </c>
      <c r="B181" s="943"/>
      <c r="C181" s="401"/>
      <c r="D181" s="228"/>
      <c r="E181" s="95"/>
      <c r="F181" s="155"/>
      <c r="G181" s="155">
        <f>SUM(G178:G180)</f>
        <v>134</v>
      </c>
      <c r="H181" s="99">
        <f>G181+'1'!H181</f>
        <v>239</v>
      </c>
      <c r="I181" s="155"/>
      <c r="J181" s="178">
        <f>H181/DAY(B2)</f>
        <v>119.5</v>
      </c>
    </row>
    <row r="182" spans="1:10" ht="31.5" customHeight="1">
      <c r="A182" s="896" t="s">
        <v>213</v>
      </c>
      <c r="B182" s="89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6" t="s">
        <v>214</v>
      </c>
      <c r="B183" s="897"/>
      <c r="C183" s="334"/>
      <c r="D183" s="228" t="s">
        <v>142</v>
      </c>
      <c r="E183" s="95">
        <f>'1'!F183</f>
        <v>16154</v>
      </c>
      <c r="F183" s="157">
        <v>16183</v>
      </c>
      <c r="G183" s="157">
        <f>F183-E183</f>
        <v>29</v>
      </c>
      <c r="H183" s="99">
        <f>G183+'1'!H183</f>
        <v>41</v>
      </c>
      <c r="I183" s="155"/>
      <c r="J183" s="178">
        <f>H183/DAY(B2)</f>
        <v>20.5</v>
      </c>
    </row>
    <row r="184" spans="1:10" ht="27.75" customHeight="1">
      <c r="A184" s="896" t="s">
        <v>215</v>
      </c>
      <c r="B184" s="897"/>
      <c r="C184" s="334"/>
      <c r="D184" s="228" t="s">
        <v>142</v>
      </c>
      <c r="E184" s="95">
        <f>'1'!F184</f>
        <v>11056</v>
      </c>
      <c r="F184" s="157">
        <v>11063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96" t="s">
        <v>216</v>
      </c>
      <c r="B185" s="89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5" t="s">
        <v>196</v>
      </c>
      <c r="B186" s="936"/>
      <c r="C186" s="400"/>
      <c r="D186" s="229"/>
      <c r="E186" s="95"/>
      <c r="F186" s="157"/>
      <c r="G186" s="157">
        <f>SUM(G183:G185)</f>
        <v>36</v>
      </c>
      <c r="H186" s="99">
        <f>G186+'1'!H186</f>
        <v>55</v>
      </c>
      <c r="I186" s="157"/>
      <c r="J186" s="178">
        <f>H186/DAY(B2)</f>
        <v>27.5</v>
      </c>
    </row>
    <row r="187" spans="1:10" ht="28.5" customHeight="1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231</v>
      </c>
      <c r="H187" s="99">
        <f>G187+'1'!H187</f>
        <v>492</v>
      </c>
      <c r="I187" s="158"/>
      <c r="J187" s="179">
        <f>H187/DAY(B2)</f>
        <v>246</v>
      </c>
    </row>
    <row r="188" spans="1:10" ht="24" customHeight="1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232</v>
      </c>
      <c r="H188" s="99">
        <f>G188+'1'!H188</f>
        <v>481</v>
      </c>
      <c r="I188" s="158"/>
      <c r="J188" s="179">
        <f>H188/DAY(B2)</f>
        <v>240.5</v>
      </c>
    </row>
    <row r="189" spans="1:10" ht="24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134</v>
      </c>
      <c r="H189" s="99">
        <f>G189+'1'!H189</f>
        <v>239</v>
      </c>
      <c r="I189" s="158"/>
      <c r="J189" s="179">
        <f>H189/DAY(B2)</f>
        <v>119.5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81" zoomScale="55" zoomScaleSheetLayoutView="55" workbookViewId="0">
      <selection activeCell="H157" sqref="H157:H15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6" s="57" customFormat="1" ht="23.25">
      <c r="A2" s="191" t="s">
        <v>355</v>
      </c>
      <c r="B2" s="375">
        <v>44654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 t="s">
        <v>370</v>
      </c>
      <c r="E3" s="886" t="s">
        <v>119</v>
      </c>
      <c r="F3" s="887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40704</v>
      </c>
      <c r="F7" s="95">
        <v>67306</v>
      </c>
      <c r="G7" s="112">
        <f>F7-E7</f>
        <v>26602</v>
      </c>
      <c r="H7" s="99">
        <f>G7+'2'!H7</f>
        <v>80583</v>
      </c>
      <c r="I7" s="113">
        <f>'1'!I7</f>
        <v>12000</v>
      </c>
      <c r="J7" s="175">
        <f>H7/DAY(B2)</f>
        <v>26861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112791</v>
      </c>
      <c r="F8" s="114">
        <v>139759</v>
      </c>
      <c r="G8" s="115">
        <f>F8-E8</f>
        <v>26968</v>
      </c>
      <c r="H8" s="99">
        <f>G8+'2'!H8</f>
        <v>81712.78</v>
      </c>
      <c r="I8" s="116"/>
      <c r="J8" s="175">
        <f>H8/DAY(B2)</f>
        <v>27237.593333333334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1306270</v>
      </c>
      <c r="F9" s="117">
        <v>1326379</v>
      </c>
      <c r="G9" s="112">
        <f>F9-E9</f>
        <v>20109</v>
      </c>
      <c r="H9" s="99">
        <f>G9+'2'!H9</f>
        <v>58704</v>
      </c>
      <c r="I9" s="124">
        <f>I7-J7</f>
        <v>-14861</v>
      </c>
      <c r="J9" s="175">
        <f>H9/DAY(B2)</f>
        <v>19568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431986</v>
      </c>
      <c r="F10" s="117">
        <v>437736</v>
      </c>
      <c r="G10" s="112">
        <f t="shared" ref="G10:G12" si="0">F10-E10</f>
        <v>5750</v>
      </c>
      <c r="H10" s="99">
        <f>G10+'2'!H10</f>
        <v>19460.530000000028</v>
      </c>
      <c r="I10" s="282"/>
      <c r="J10" s="175">
        <f>H10/DAY(B2)</f>
        <v>6486.8433333333423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25859</v>
      </c>
      <c r="H13" s="99">
        <f>G13+'2'!H13</f>
        <v>78165</v>
      </c>
      <c r="I13" s="120">
        <f>G7-G13</f>
        <v>743</v>
      </c>
      <c r="J13" s="175">
        <f>H13/DAY(B2)</f>
        <v>26055</v>
      </c>
      <c r="K13" s="79"/>
      <c r="L13" s="66"/>
      <c r="N13" s="87"/>
      <c r="O13" s="71"/>
    </row>
    <row r="14" spans="1:16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1973107</v>
      </c>
      <c r="F15" s="410">
        <v>1974217</v>
      </c>
      <c r="G15" s="112">
        <f>(F15-E15)</f>
        <v>1110</v>
      </c>
      <c r="H15" s="99">
        <f>G15+'2'!H15</f>
        <v>3280</v>
      </c>
      <c r="I15" s="113">
        <f>'1'!I15</f>
        <v>800</v>
      </c>
      <c r="J15" s="175">
        <f>H15/DAY(B2)</f>
        <v>1093.3333333333333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-293.33333333333326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>
        <v>0</v>
      </c>
      <c r="B18" s="875"/>
      <c r="C18" s="876"/>
      <c r="D18" s="151" t="s">
        <v>142</v>
      </c>
      <c r="E18" s="95">
        <f>'2'!F18</f>
        <v>24</v>
      </c>
      <c r="F18" s="122">
        <v>28</v>
      </c>
      <c r="G18" s="119">
        <f>F18*10</f>
        <v>280</v>
      </c>
      <c r="H18" s="99">
        <f>G18+'2'!H18</f>
        <v>800</v>
      </c>
      <c r="I18" s="113">
        <f>'1'!I18</f>
        <v>65</v>
      </c>
      <c r="J18" s="175">
        <f>H18/DAY(B2)</f>
        <v>266.66666666666669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'2'!F19</f>
        <v>157085</v>
      </c>
      <c r="F19" s="122">
        <v>157134</v>
      </c>
      <c r="G19" s="112">
        <f t="shared" ref="G19" si="1">F19-E19</f>
        <v>49</v>
      </c>
      <c r="H19" s="99">
        <f>G19+'2'!H19</f>
        <v>145</v>
      </c>
      <c r="I19" s="335"/>
      <c r="J19" s="175">
        <f>H19/DAY(B2)</f>
        <v>48.333333333333336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329</v>
      </c>
      <c r="H20" s="99">
        <f>G20+'2'!H20</f>
        <v>945</v>
      </c>
      <c r="I20" s="336">
        <f>I18-J20</f>
        <v>-250</v>
      </c>
      <c r="J20" s="175">
        <f>H20/DAY(B2)</f>
        <v>315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26968</v>
      </c>
      <c r="F27" s="136">
        <v>9</v>
      </c>
      <c r="G27" s="137">
        <f>E27*F27</f>
        <v>242712</v>
      </c>
      <c r="H27" s="99">
        <f>G27+'2'!H27</f>
        <v>735415.02</v>
      </c>
      <c r="I27" s="138"/>
      <c r="J27" s="175">
        <f>H27/DAY(B2)</f>
        <v>245138.34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1110</v>
      </c>
      <c r="F28" s="136">
        <v>70</v>
      </c>
      <c r="G28" s="137">
        <f>E28*F28</f>
        <v>77700</v>
      </c>
      <c r="H28" s="99">
        <f>G28+'2'!H28</f>
        <v>229600</v>
      </c>
      <c r="I28" s="140"/>
      <c r="J28" s="175">
        <f>H28/DAY(B2)</f>
        <v>76533.333333333328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G30+'2'!H30</f>
        <v>21895</v>
      </c>
      <c r="I30" s="140"/>
      <c r="J30" s="175">
        <f>H30/DAY(B2)</f>
        <v>7298.333333333333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G31+'2'!H31</f>
        <v>64000</v>
      </c>
      <c r="I31" s="140"/>
      <c r="J31" s="175">
        <f>H31/DAY(B2)</f>
        <v>21333.333333333332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350211</v>
      </c>
      <c r="H32" s="99">
        <f>G32+'2'!H32</f>
        <v>1050910.02</v>
      </c>
      <c r="I32" s="144"/>
      <c r="J32" s="175">
        <f>H32/DAY(B2)</f>
        <v>350303.34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142564</v>
      </c>
      <c r="F35" s="145">
        <v>144600</v>
      </c>
      <c r="G35" s="112">
        <f t="shared" ref="G35:G46" si="3">F35-E35</f>
        <v>2036</v>
      </c>
      <c r="H35" s="99">
        <f>G35+'2'!H35</f>
        <v>6320.7900000000081</v>
      </c>
      <c r="I35" s="95"/>
      <c r="J35" s="175">
        <f>H35/DAY(B2)</f>
        <v>2106.9300000000026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102525</v>
      </c>
      <c r="F36" s="145">
        <v>103367</v>
      </c>
      <c r="G36" s="112">
        <f t="shared" si="3"/>
        <v>842</v>
      </c>
      <c r="H36" s="99">
        <f>G36+'2'!H36</f>
        <v>2846.3399999999965</v>
      </c>
      <c r="I36" s="95"/>
      <c r="J36" s="175">
        <f>H36/DAY(B2)</f>
        <v>948.77999999999884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136168</v>
      </c>
      <c r="F37" s="145">
        <v>137729</v>
      </c>
      <c r="G37" s="112">
        <f t="shared" si="3"/>
        <v>1561</v>
      </c>
      <c r="H37" s="99">
        <f>G37+'2'!H37</f>
        <v>4803.9800000000105</v>
      </c>
      <c r="I37" s="95"/>
      <c r="J37" s="175">
        <f>H37/DAY(B2)</f>
        <v>1601.3266666666702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175468</v>
      </c>
      <c r="F38" s="108">
        <v>178063</v>
      </c>
      <c r="G38" s="112">
        <f t="shared" si="3"/>
        <v>2595</v>
      </c>
      <c r="H38" s="99">
        <f>G38+'2'!H38</f>
        <v>7953.6300000000047</v>
      </c>
      <c r="I38" s="95"/>
      <c r="J38" s="175">
        <f>H38/DAY(B2)</f>
        <v>2651.2100000000014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250892</v>
      </c>
      <c r="F39" s="145">
        <v>254182</v>
      </c>
      <c r="G39" s="112">
        <f t="shared" si="3"/>
        <v>3290</v>
      </c>
      <c r="H39" s="99">
        <f>G39+'2'!H39</f>
        <v>10028.570000000007</v>
      </c>
      <c r="I39" s="95"/>
      <c r="J39" s="175">
        <f>H39/DAY(B2)</f>
        <v>3342.8566666666688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50375</v>
      </c>
      <c r="F40" s="145">
        <v>50994</v>
      </c>
      <c r="G40" s="112">
        <f t="shared" si="3"/>
        <v>619</v>
      </c>
      <c r="H40" s="99">
        <f>G40+'2'!H40</f>
        <v>1842.1399999999994</v>
      </c>
      <c r="I40" s="95"/>
      <c r="J40" s="175">
        <f>H40/DAY(B2)</f>
        <v>614.04666666666651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-0.27000000000000313</v>
      </c>
      <c r="I41" s="95"/>
      <c r="J41" s="175">
        <f>H41/DAY(B2)</f>
        <v>-9.0000000000001038E-2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289320</v>
      </c>
      <c r="F42" s="145">
        <v>294730</v>
      </c>
      <c r="G42" s="112">
        <f t="shared" si="3"/>
        <v>5410</v>
      </c>
      <c r="H42" s="99">
        <f>G42+'2'!H42</f>
        <v>13372.75</v>
      </c>
      <c r="I42" s="95"/>
      <c r="J42" s="175">
        <f>H42/DAY(B2)</f>
        <v>4457.583333333333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264966</v>
      </c>
      <c r="F43" s="145">
        <v>268010</v>
      </c>
      <c r="G43" s="112">
        <f t="shared" si="3"/>
        <v>3044</v>
      </c>
      <c r="H43" s="99">
        <f>G43+'2'!H43</f>
        <v>9255.5299999999988</v>
      </c>
      <c r="I43" s="95"/>
      <c r="J43" s="175">
        <f>H43/DAY(B2)</f>
        <v>3085.1766666666663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19397</v>
      </c>
      <c r="H47" s="99">
        <f>G47+'2'!H47</f>
        <v>56423.460000000021</v>
      </c>
      <c r="I47" s="95"/>
      <c r="J47" s="175">
        <f>H47/DAY(B2)</f>
        <v>18807.820000000007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113896</v>
      </c>
      <c r="F49" s="145">
        <v>115667</v>
      </c>
      <c r="G49" s="112">
        <f t="shared" ref="G49:G58" si="4">F49-E49</f>
        <v>1771</v>
      </c>
      <c r="H49" s="99">
        <f>G49+'2'!H49</f>
        <v>5164.8000000000029</v>
      </c>
      <c r="I49" s="95"/>
      <c r="J49" s="175">
        <f>H49/DAY(B2)</f>
        <v>1721.600000000001</v>
      </c>
      <c r="K49" s="79"/>
      <c r="L49" s="66"/>
      <c r="N49" s="87">
        <f>G35+G49</f>
        <v>3807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134173</v>
      </c>
      <c r="F50" s="145">
        <v>135853</v>
      </c>
      <c r="G50" s="112">
        <f t="shared" si="4"/>
        <v>1680</v>
      </c>
      <c r="H50" s="99">
        <f>G50+'2'!H50</f>
        <v>4642.859999999986</v>
      </c>
      <c r="I50" s="95"/>
      <c r="J50" s="175">
        <f>H50/DAY(B2)</f>
        <v>1547.6199999999953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36726</v>
      </c>
      <c r="F54" s="145">
        <v>37257</v>
      </c>
      <c r="G54" s="112">
        <f t="shared" si="4"/>
        <v>531</v>
      </c>
      <c r="H54" s="99">
        <f>G54+'2'!H54</f>
        <v>1585.9400000000023</v>
      </c>
      <c r="I54" s="95"/>
      <c r="J54" s="175">
        <f>H54/DAY(B2)</f>
        <v>528.64666666666744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117665</v>
      </c>
      <c r="F55" s="145">
        <v>119326</v>
      </c>
      <c r="G55" s="112">
        <f t="shared" si="4"/>
        <v>1661</v>
      </c>
      <c r="H55" s="99">
        <f>G55+'2'!H55</f>
        <v>6844.9700000000012</v>
      </c>
      <c r="I55" s="95"/>
      <c r="J55" s="175">
        <f>H55/DAY(B2)</f>
        <v>2281.6566666666672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71618</v>
      </c>
      <c r="F56" s="145">
        <v>71618</v>
      </c>
      <c r="G56" s="112">
        <f t="shared" si="4"/>
        <v>0</v>
      </c>
      <c r="H56" s="99">
        <f>G56+'2'!H56</f>
        <v>0.32000000000698492</v>
      </c>
      <c r="I56" s="95"/>
      <c r="J56" s="175">
        <f>H56/DAY(B2)</f>
        <v>0.10666666666899498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18925</v>
      </c>
      <c r="F58" s="145">
        <v>19162</v>
      </c>
      <c r="G58" s="112">
        <f t="shared" si="4"/>
        <v>237</v>
      </c>
      <c r="H58" s="99">
        <f>G58+'2'!H58</f>
        <v>707.79999999999927</v>
      </c>
      <c r="I58" s="95"/>
      <c r="J58" s="175">
        <f>H58/DAY(B2)</f>
        <v>235.93333333333308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5879.99</v>
      </c>
      <c r="H59" s="99">
        <f>G59+'2'!H59</f>
        <v>18946.439999999999</v>
      </c>
      <c r="I59" s="95">
        <f>G7-G60</f>
        <v>1325.010000000002</v>
      </c>
      <c r="J59" s="175">
        <f>H59/DAY(B2)</f>
        <v>6315.48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25276.989999999998</v>
      </c>
      <c r="H60" s="99">
        <f>G60+'2'!H60</f>
        <v>75369.900000000023</v>
      </c>
      <c r="I60" s="95">
        <f>G13-G60</f>
        <v>582.01000000000204</v>
      </c>
      <c r="J60" s="175">
        <f>H60/DAY(B2)</f>
        <v>25123.300000000007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'2'!F62</f>
        <v>279022</v>
      </c>
      <c r="F62" s="164">
        <v>279222</v>
      </c>
      <c r="G62" s="112">
        <f t="shared" ref="G62:G63" si="5">F62-E62</f>
        <v>200</v>
      </c>
      <c r="H62" s="99">
        <f>G62+'2'!H62</f>
        <v>596</v>
      </c>
      <c r="I62" s="118"/>
      <c r="J62" s="175">
        <f>H62/DAY(B2)</f>
        <v>198.66666666666666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'2'!F63</f>
        <v>223400</v>
      </c>
      <c r="F63" s="122">
        <v>223562</v>
      </c>
      <c r="G63" s="112">
        <f t="shared" si="5"/>
        <v>162</v>
      </c>
      <c r="H63" s="99">
        <f>G63+'2'!H63</f>
        <v>481</v>
      </c>
      <c r="I63" s="118"/>
      <c r="J63" s="175">
        <f>H63/DAY(B2)</f>
        <v>160.33333333333334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'2'!F64</f>
        <v>0</v>
      </c>
      <c r="F64" s="122"/>
      <c r="G64" s="112">
        <f>G62+G63</f>
        <v>362</v>
      </c>
      <c r="H64" s="99">
        <f>G64+'2'!H64</f>
        <v>1077</v>
      </c>
      <c r="I64" s="118"/>
      <c r="J64" s="175">
        <f>H64/DAY(B2)</f>
        <v>359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'2'!F65</f>
        <v>441366</v>
      </c>
      <c r="F65" s="122">
        <v>441480</v>
      </c>
      <c r="G65" s="112">
        <f t="shared" ref="G65:G70" si="6">F65-E65</f>
        <v>114</v>
      </c>
      <c r="H65" s="99">
        <f>G65+'2'!H65</f>
        <v>349</v>
      </c>
      <c r="I65" s="118"/>
      <c r="J65" s="175">
        <f>H65/DAY(B2)</f>
        <v>116.33333333333333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109104</v>
      </c>
      <c r="F66" s="122">
        <v>109118</v>
      </c>
      <c r="G66" s="112">
        <f t="shared" si="6"/>
        <v>14</v>
      </c>
      <c r="H66" s="99">
        <f>G66+'2'!H66</f>
        <v>48</v>
      </c>
      <c r="I66" s="118"/>
      <c r="J66" s="175">
        <f>H66/DAY(B2)</f>
        <v>16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108756</v>
      </c>
      <c r="F67" s="404">
        <v>108830</v>
      </c>
      <c r="G67" s="112">
        <f t="shared" si="6"/>
        <v>74</v>
      </c>
      <c r="H67" s="99">
        <f>G67+'2'!H67</f>
        <v>237</v>
      </c>
      <c r="I67" s="118"/>
      <c r="J67" s="175">
        <f>H67/DAY(B2)</f>
        <v>79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160553</v>
      </c>
      <c r="F68" s="122">
        <v>160637</v>
      </c>
      <c r="G68" s="112">
        <f t="shared" si="6"/>
        <v>84</v>
      </c>
      <c r="H68" s="99">
        <f>G68+'2'!H68</f>
        <v>228</v>
      </c>
      <c r="I68" s="118"/>
      <c r="J68" s="175">
        <f>H68/DAY(B2)</f>
        <v>76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11235</v>
      </c>
      <c r="F69" s="122">
        <v>11262</v>
      </c>
      <c r="G69" s="112">
        <f t="shared" si="6"/>
        <v>27</v>
      </c>
      <c r="H69" s="99">
        <f>G69+'2'!H69</f>
        <v>61</v>
      </c>
      <c r="I69" s="118"/>
      <c r="J69" s="175">
        <f>H69/DAY(B2)</f>
        <v>20.333333333333332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8743</v>
      </c>
      <c r="F70" s="404">
        <v>8751</v>
      </c>
      <c r="G70" s="112">
        <f t="shared" si="6"/>
        <v>8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321</v>
      </c>
      <c r="H71" s="99">
        <f>G71+'2'!H71</f>
        <v>946</v>
      </c>
      <c r="I71" s="154"/>
      <c r="J71" s="175">
        <f>H71/DAY(B2)</f>
        <v>315.33333333333331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'2'!F74</f>
        <v>919924</v>
      </c>
      <c r="F74" s="117">
        <v>920259</v>
      </c>
      <c r="G74" s="112">
        <f t="shared" ref="G74:G78" si="7">F74-E74</f>
        <v>335</v>
      </c>
      <c r="H74" s="99">
        <f>G74+'2'!H74</f>
        <v>934.48999999999069</v>
      </c>
      <c r="I74" s="154"/>
      <c r="J74" s="175">
        <f>H74/DAY(B2)</f>
        <v>311.49666666666354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'2'!F76</f>
        <v>176843</v>
      </c>
      <c r="F76" s="123">
        <v>176939</v>
      </c>
      <c r="G76" s="112">
        <f t="shared" si="7"/>
        <v>96</v>
      </c>
      <c r="H76" s="99">
        <f>G76+'2'!H76</f>
        <v>352</v>
      </c>
      <c r="I76" s="154"/>
      <c r="J76" s="175">
        <f>H76/DAY(B2)</f>
        <v>117.33333333333333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'2'!F77</f>
        <v>44267</v>
      </c>
      <c r="F77" s="123">
        <v>44311</v>
      </c>
      <c r="G77" s="112">
        <f t="shared" si="7"/>
        <v>44</v>
      </c>
      <c r="H77" s="99">
        <f>G77+'2'!H77</f>
        <v>148</v>
      </c>
      <c r="I77" s="154"/>
      <c r="J77" s="175">
        <f>H77/DAY(B2)</f>
        <v>49.333333333333336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'2'!F79</f>
        <v>0</v>
      </c>
      <c r="F79" s="117"/>
      <c r="G79" s="112">
        <f>G15-SUM(G74:G78)</f>
        <v>635</v>
      </c>
      <c r="H79" s="99">
        <f>G79+'2'!H79</f>
        <v>1845.5100000000093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1110</v>
      </c>
      <c r="H80" s="99">
        <f>G80+'2'!H80</f>
        <v>2194</v>
      </c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3194</v>
      </c>
      <c r="F85" s="164">
        <v>3218</v>
      </c>
      <c r="G85" s="112">
        <f t="shared" si="8"/>
        <v>24</v>
      </c>
      <c r="H85" s="99">
        <f>G85+'2'!H85</f>
        <v>59.5</v>
      </c>
      <c r="I85" s="594"/>
      <c r="J85" s="175">
        <f>H85/DAY(B2)</f>
        <v>19.833333333333332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43756</v>
      </c>
      <c r="F86" s="164">
        <v>43768</v>
      </c>
      <c r="G86" s="112">
        <f t="shared" si="8"/>
        <v>12</v>
      </c>
      <c r="H86" s="99">
        <f>G86+'2'!H86</f>
        <v>47.599999999998545</v>
      </c>
      <c r="I86" s="594"/>
      <c r="J86" s="175">
        <f>H86/DAY(B2)</f>
        <v>15.866666666666182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35080</v>
      </c>
      <c r="F87" s="164">
        <v>35080</v>
      </c>
      <c r="G87" s="112">
        <f t="shared" si="8"/>
        <v>0</v>
      </c>
      <c r="H87" s="99">
        <f>G87+'2'!H87</f>
        <v>-0.34999999999854481</v>
      </c>
      <c r="I87" s="594">
        <f>G84+G85+G86+G87</f>
        <v>36</v>
      </c>
      <c r="J87" s="175">
        <f>H87/DAY(B2)</f>
        <v>-0.1166666666661816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24109</v>
      </c>
      <c r="F88" s="164">
        <v>24109</v>
      </c>
      <c r="G88" s="112">
        <f t="shared" si="8"/>
        <v>0</v>
      </c>
      <c r="H88" s="99">
        <f>G88+'2'!H88</f>
        <v>-0.40000000000145519</v>
      </c>
      <c r="I88" s="594"/>
      <c r="J88" s="175">
        <f>H88/DAY(B2)</f>
        <v>-0.13333333333381839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26491.46</v>
      </c>
      <c r="F89" s="164">
        <v>26503</v>
      </c>
      <c r="G89" s="112">
        <f t="shared" si="8"/>
        <v>11.540000000000873</v>
      </c>
      <c r="H89" s="99">
        <f>G89+'2'!H89</f>
        <v>31.209999999999127</v>
      </c>
      <c r="I89" s="594">
        <f>G88+G89</f>
        <v>11.540000000000873</v>
      </c>
      <c r="J89" s="175">
        <f>H89/DAY(B2)</f>
        <v>10.403333333333043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71591</v>
      </c>
      <c r="F90" s="164">
        <v>71600</v>
      </c>
      <c r="G90" s="112">
        <f t="shared" si="8"/>
        <v>9</v>
      </c>
      <c r="H90" s="99">
        <f>G90+'2'!H90</f>
        <v>26.889999999999418</v>
      </c>
      <c r="I90" s="594">
        <f>G90</f>
        <v>9</v>
      </c>
      <c r="J90" s="175">
        <f>H90/DAY(B2)</f>
        <v>8.9633333333331393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3910</v>
      </c>
      <c r="F91" s="164">
        <v>3910</v>
      </c>
      <c r="G91" s="112">
        <f t="shared" si="8"/>
        <v>0</v>
      </c>
      <c r="H91" s="99">
        <f>G91+'2'!H91</f>
        <v>0.25</v>
      </c>
      <c r="I91" s="688"/>
      <c r="J91" s="175">
        <f>H91/DAY(B2)</f>
        <v>8.3333333333333329E-2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5768</v>
      </c>
      <c r="F92" s="122">
        <v>5780</v>
      </c>
      <c r="G92" s="112">
        <f t="shared" si="8"/>
        <v>12</v>
      </c>
      <c r="H92" s="99">
        <f>G92+'2'!H92</f>
        <v>32.699999999999818</v>
      </c>
      <c r="I92" s="705">
        <f>G91+G92</f>
        <v>12</v>
      </c>
      <c r="J92" s="175">
        <f>H92/DAY(B2)</f>
        <v>10.89999999999994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6851</v>
      </c>
      <c r="H94" s="99">
        <f>G94+'2'!H94</f>
        <v>20741.12000000001</v>
      </c>
      <c r="I94" s="118"/>
      <c r="J94" s="175">
        <f>H94/DAY(B2)</f>
        <v>6913.7066666666697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0.25753702729118111</v>
      </c>
      <c r="H95" s="99">
        <f>G95+'2'!H95</f>
        <v>0.77216009105646133</v>
      </c>
      <c r="I95" s="167"/>
      <c r="J95" s="175">
        <f>H95/DAY(B2)</f>
        <v>0.25738669701882044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7071</v>
      </c>
      <c r="H96" s="99">
        <f>G96+'2'!H96</f>
        <v>20217.770000000008</v>
      </c>
      <c r="I96" s="118"/>
      <c r="J96" s="175">
        <f>H96/DAY(B2)</f>
        <v>6739.2566666666689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0.26580708217427262</v>
      </c>
      <c r="H97" s="99">
        <f>G97+'2'!H97</f>
        <v>0.75296424341625623</v>
      </c>
      <c r="I97" s="167"/>
      <c r="J97" s="175">
        <f>H97/DAY(B2)</f>
        <v>0.25098808113875209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3290</v>
      </c>
      <c r="H98" s="99">
        <f>G98+'2'!H98</f>
        <v>10028.570000000007</v>
      </c>
      <c r="I98" s="168"/>
      <c r="J98" s="175">
        <f>H98/DAY(B2)</f>
        <v>3342.8566666666688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0.12367491166077739</v>
      </c>
      <c r="H99" s="99">
        <f>G99+'2'!H99</f>
        <v>0.37334619309190675</v>
      </c>
      <c r="I99" s="168"/>
      <c r="J99" s="175">
        <f>H99/DAY(B2)</f>
        <v>0.12444873103063558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2594.9899999999998</v>
      </c>
      <c r="H100" s="99">
        <f>G100+'2'!H100</f>
        <v>7953.3800000000047</v>
      </c>
      <c r="I100" s="118"/>
      <c r="J100" s="175">
        <f>H100/DAY(B2)</f>
        <v>2651.1266666666684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9.7548680550334554E-2</v>
      </c>
      <c r="H101" s="99">
        <f>G101+'2'!H101</f>
        <v>0.29608022524520328</v>
      </c>
      <c r="I101" s="168"/>
      <c r="J101" s="175">
        <f>H101/DAY(B2)</f>
        <v>9.8693408415067754E-2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2522</v>
      </c>
      <c r="H102" s="99">
        <f>G102+'2'!H102</f>
        <v>7489.1999999999825</v>
      </c>
      <c r="I102" s="168"/>
      <c r="J102" s="175">
        <f>H102/DAY(B2)</f>
        <v>2496.3999999999942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9.480490188707616E-2</v>
      </c>
      <c r="H103" s="99">
        <f>G103+'2'!H103</f>
        <v>0.27882209282322079</v>
      </c>
      <c r="I103" s="118"/>
      <c r="J103" s="175">
        <f>H103/DAY(B2)</f>
        <v>9.2940697607740264E-2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1561</v>
      </c>
      <c r="H104" s="99">
        <f>G104+'2'!H104</f>
        <v>4803.9800000000105</v>
      </c>
      <c r="I104" s="118"/>
      <c r="J104" s="175">
        <f>H104/DAY(B2)</f>
        <v>1601.3266666666702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5.8679798511390123E-2</v>
      </c>
      <c r="H105" s="99">
        <f>G105+'2'!H105</f>
        <v>0.1788300019024586</v>
      </c>
      <c r="I105" s="187"/>
      <c r="J105" s="188">
        <f>H105/DAY(B2)</f>
        <v>5.9610000634152865E-2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'2'!F112</f>
        <v>62303</v>
      </c>
      <c r="F112" s="237">
        <v>62382</v>
      </c>
      <c r="G112" s="112">
        <f t="shared" ref="G112:G123" si="9">F112-E112</f>
        <v>79</v>
      </c>
      <c r="H112" s="99">
        <f>G112+'2'!H112</f>
        <v>238.47000000000116</v>
      </c>
      <c r="I112" s="165"/>
      <c r="J112" s="328">
        <f>H112/DAY(B2)</f>
        <v>79.490000000000393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'2'!F113</f>
        <v>75250</v>
      </c>
      <c r="F113" s="237">
        <v>75742</v>
      </c>
      <c r="G113" s="112">
        <f t="shared" si="9"/>
        <v>492</v>
      </c>
      <c r="H113" s="99">
        <f>G113+'2'!H113</f>
        <v>1486.3999999999942</v>
      </c>
      <c r="I113" s="165"/>
      <c r="J113" s="328">
        <f>H113/DAY(B2)</f>
        <v>495.46666666666471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'2'!F114</f>
        <v>50950</v>
      </c>
      <c r="F114" s="237">
        <v>51515</v>
      </c>
      <c r="G114" s="112">
        <f t="shared" si="9"/>
        <v>565</v>
      </c>
      <c r="H114" s="99">
        <f>G114+'2'!H114</f>
        <v>1252</v>
      </c>
      <c r="I114" s="165"/>
      <c r="J114" s="328">
        <f>H114/DAY(B2)</f>
        <v>417.33333333333331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'2'!F115</f>
        <v>9864</v>
      </c>
      <c r="F115" s="237">
        <v>9896</v>
      </c>
      <c r="G115" s="112">
        <f t="shared" si="9"/>
        <v>32</v>
      </c>
      <c r="H115" s="99">
        <f>G115+'2'!H115</f>
        <v>67.489999999999782</v>
      </c>
      <c r="I115" s="165"/>
      <c r="J115" s="328">
        <f>H115/DAY(B2)</f>
        <v>22.496666666666595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'2'!F116</f>
        <v>23659</v>
      </c>
      <c r="F116" s="237">
        <v>24094</v>
      </c>
      <c r="G116" s="112">
        <f t="shared" si="9"/>
        <v>435</v>
      </c>
      <c r="H116" s="99">
        <f>G116+'2'!H116</f>
        <v>1309.380000000001</v>
      </c>
      <c r="I116" s="165"/>
      <c r="J116" s="328">
        <f>H116/DAY(B2)</f>
        <v>436.46000000000032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'2'!F117</f>
        <v>14020</v>
      </c>
      <c r="F117" s="237">
        <v>14225</v>
      </c>
      <c r="G117" s="112">
        <f t="shared" si="9"/>
        <v>205</v>
      </c>
      <c r="H117" s="99">
        <f>G117+'2'!H117</f>
        <v>611.82699999999932</v>
      </c>
      <c r="I117" s="165"/>
      <c r="J117" s="328">
        <f>H117/DAY(B2)</f>
        <v>203.9423333333331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'2'!F118</f>
        <v>281306</v>
      </c>
      <c r="F118" s="237">
        <v>281842</v>
      </c>
      <c r="G118" s="112">
        <f t="shared" si="9"/>
        <v>536</v>
      </c>
      <c r="H118" s="99">
        <f>G118+'2'!H118</f>
        <v>1621.0300000000279</v>
      </c>
      <c r="I118" s="165"/>
      <c r="J118" s="328">
        <f>H118/DAY(B2)</f>
        <v>540.34333333334268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'2'!F119</f>
        <v>283991</v>
      </c>
      <c r="F119" s="237">
        <v>284430</v>
      </c>
      <c r="G119" s="112">
        <f t="shared" si="9"/>
        <v>439</v>
      </c>
      <c r="H119" s="99">
        <f>G119+'2'!H119</f>
        <v>1332.609999999986</v>
      </c>
      <c r="I119" s="165"/>
      <c r="J119" s="328">
        <f>H119/DAY(B2)</f>
        <v>444.20333333332866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'2'!F120</f>
        <v>68574</v>
      </c>
      <c r="F120" s="237">
        <v>68988</v>
      </c>
      <c r="G120" s="112">
        <f t="shared" si="9"/>
        <v>414</v>
      </c>
      <c r="H120" s="99">
        <f>G120+'2'!H120</f>
        <v>1263.2400000000052</v>
      </c>
      <c r="I120" s="165"/>
      <c r="J120" s="328">
        <f>H120/DAY(B2)</f>
        <v>421.08000000000175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'2'!F121</f>
        <v>444323</v>
      </c>
      <c r="F121" s="237">
        <v>445116</v>
      </c>
      <c r="G121" s="112">
        <f t="shared" si="9"/>
        <v>793</v>
      </c>
      <c r="H121" s="99">
        <f>G121+'2'!H121</f>
        <v>2397.7299999999814</v>
      </c>
      <c r="I121" s="165"/>
      <c r="J121" s="328">
        <f>H121/DAY(B2)</f>
        <v>799.24333333332709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'2'!F122</f>
        <v>139773</v>
      </c>
      <c r="F122" s="237">
        <v>139984</v>
      </c>
      <c r="G122" s="112">
        <f t="shared" si="9"/>
        <v>211</v>
      </c>
      <c r="H122" s="99">
        <f>G122+'2'!H122</f>
        <v>675.85999999998603</v>
      </c>
      <c r="I122" s="165"/>
      <c r="J122" s="328">
        <f>H122/DAY(B2)</f>
        <v>225.286666666662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'2'!F123</f>
        <v>169955</v>
      </c>
      <c r="F123" s="237">
        <v>170214</v>
      </c>
      <c r="G123" s="112">
        <f t="shared" si="9"/>
        <v>259</v>
      </c>
      <c r="H123" s="99">
        <f>G123+'2'!H123</f>
        <v>772</v>
      </c>
      <c r="I123" s="165"/>
      <c r="J123" s="328">
        <f>H123/DAY(B2)</f>
        <v>257.33333333333331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6.25">
      <c r="A125" s="871" t="s">
        <v>196</v>
      </c>
      <c r="B125" s="872"/>
      <c r="C125" s="873"/>
      <c r="D125" s="307"/>
      <c r="E125" s="308"/>
      <c r="F125" s="308"/>
      <c r="G125" s="309">
        <f>SUM(G112:G124)</f>
        <v>4460</v>
      </c>
      <c r="H125" s="156"/>
      <c r="I125" s="327">
        <f>G125-(G39+G53)</f>
        <v>1170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'2'!F128</f>
        <v>69705</v>
      </c>
      <c r="F128" s="165">
        <v>70083</v>
      </c>
      <c r="G128" s="112">
        <f t="shared" ref="G128:G134" si="10">F128-E128</f>
        <v>378</v>
      </c>
      <c r="H128" s="99">
        <f>G128+'2'!H128</f>
        <v>1166.7599999999948</v>
      </c>
      <c r="I128" s="165"/>
      <c r="J128" s="328">
        <f>H128/DAY(B2)</f>
        <v>388.91999999999825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42728</v>
      </c>
      <c r="F129" s="165">
        <v>43046</v>
      </c>
      <c r="G129" s="112">
        <f t="shared" si="10"/>
        <v>318</v>
      </c>
      <c r="H129" s="99">
        <f>G129+'2'!H129</f>
        <v>934.94999999999709</v>
      </c>
      <c r="I129" s="165"/>
      <c r="J129" s="328">
        <f>H129/DAY(B2)</f>
        <v>311.64999999999901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77089</v>
      </c>
      <c r="F130" s="165">
        <v>77791</v>
      </c>
      <c r="G130" s="112">
        <f t="shared" si="10"/>
        <v>702</v>
      </c>
      <c r="H130" s="99">
        <f>G130+'2'!H130</f>
        <v>2129.0500000000029</v>
      </c>
      <c r="I130" s="165"/>
      <c r="J130" s="328">
        <f>H130/DAY(B2)</f>
        <v>709.6833333333343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'2'!F131</f>
        <v>24790</v>
      </c>
      <c r="F131" s="165">
        <v>24969</v>
      </c>
      <c r="G131" s="112">
        <f t="shared" si="10"/>
        <v>179</v>
      </c>
      <c r="H131" s="99">
        <f>G131+'2'!H131</f>
        <v>536.5</v>
      </c>
      <c r="I131" s="165"/>
      <c r="J131" s="328">
        <f>H131/DAY(B2)</f>
        <v>178.83333333333334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'2'!F132</f>
        <v>76537</v>
      </c>
      <c r="F132" s="158">
        <v>76973</v>
      </c>
      <c r="G132" s="112">
        <f t="shared" si="10"/>
        <v>436</v>
      </c>
      <c r="H132" s="99">
        <f>G132+'2'!H132</f>
        <v>1305.5</v>
      </c>
      <c r="I132" s="165"/>
      <c r="J132" s="328">
        <f>H132/DAY(B2)</f>
        <v>435.16666666666669</v>
      </c>
    </row>
    <row r="133" spans="1:15" ht="25.5">
      <c r="A133" s="907" t="s">
        <v>342</v>
      </c>
      <c r="B133" s="908"/>
      <c r="C133" s="909"/>
      <c r="D133" s="151" t="s">
        <v>183</v>
      </c>
      <c r="E133" s="95">
        <f>'2'!F133</f>
        <v>146914</v>
      </c>
      <c r="F133" s="165">
        <v>147772</v>
      </c>
      <c r="G133" s="112">
        <f t="shared" si="10"/>
        <v>858</v>
      </c>
      <c r="H133" s="99">
        <f>G133+'2'!H133</f>
        <v>2390.0100000000093</v>
      </c>
      <c r="I133" s="165"/>
      <c r="J133" s="328">
        <f>H133/DAY(B2)</f>
        <v>796.67000000000314</v>
      </c>
    </row>
    <row r="134" spans="1:15" ht="25.5">
      <c r="A134" s="951" t="s">
        <v>340</v>
      </c>
      <c r="B134" s="952"/>
      <c r="C134" s="947"/>
      <c r="D134" s="151" t="s">
        <v>183</v>
      </c>
      <c r="E134" s="95">
        <f>'2'!F134</f>
        <v>21275</v>
      </c>
      <c r="F134" s="165">
        <v>21519</v>
      </c>
      <c r="G134" s="112">
        <f t="shared" si="10"/>
        <v>244</v>
      </c>
      <c r="H134" s="99">
        <f>G134+'2'!H134</f>
        <v>726.31999999999971</v>
      </c>
      <c r="I134" s="165"/>
      <c r="J134" s="328">
        <f>H134/DAY(B2)</f>
        <v>242.10666666666657</v>
      </c>
    </row>
    <row r="135" spans="1:15" ht="26.25">
      <c r="A135" s="871" t="s">
        <v>196</v>
      </c>
      <c r="B135" s="872"/>
      <c r="C135" s="873"/>
      <c r="D135" s="151"/>
      <c r="E135" s="95"/>
      <c r="F135" s="165"/>
      <c r="G135" s="112">
        <f>SUM(G128:G134)</f>
        <v>3115</v>
      </c>
      <c r="H135" s="99">
        <f>G135+'2'!H135</f>
        <v>9189.0900000000038</v>
      </c>
      <c r="I135" s="327">
        <f>G135-(G35+G49)</f>
        <v>-692</v>
      </c>
      <c r="J135" s="328">
        <f>H135/DAY(B2)</f>
        <v>3063.0300000000011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'2'!F138</f>
        <v>874398</v>
      </c>
      <c r="F138" s="147">
        <v>874561</v>
      </c>
      <c r="G138" s="112">
        <f t="shared" ref="G138:G152" si="11">F138-E138</f>
        <v>163</v>
      </c>
      <c r="H138" s="99">
        <f>G138+'2'!H138</f>
        <v>560</v>
      </c>
      <c r="I138" s="118"/>
      <c r="J138" s="328">
        <f>H138/DAY(B2)</f>
        <v>186.66666666666666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'2'!F139</f>
        <v>890661</v>
      </c>
      <c r="F139" s="148">
        <v>890777</v>
      </c>
      <c r="G139" s="112">
        <f t="shared" si="11"/>
        <v>116</v>
      </c>
      <c r="H139" s="99">
        <f>G139+'2'!H139</f>
        <v>459</v>
      </c>
      <c r="I139" s="118"/>
      <c r="J139" s="328">
        <f>H139/DAY(B2)</f>
        <v>153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'2'!F140</f>
        <v>88992</v>
      </c>
      <c r="F140" s="149">
        <v>88993</v>
      </c>
      <c r="G140" s="112">
        <f t="shared" si="11"/>
        <v>1</v>
      </c>
      <c r="H140" s="99">
        <f>G140+'2'!H140</f>
        <v>3</v>
      </c>
      <c r="I140" s="118"/>
      <c r="J140" s="328">
        <f>H140/DAY(B2)</f>
        <v>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'2'!F141</f>
        <v>66181</v>
      </c>
      <c r="F141" s="149">
        <v>66371</v>
      </c>
      <c r="G141" s="112">
        <f t="shared" si="11"/>
        <v>190</v>
      </c>
      <c r="H141" s="99">
        <f>G141+'2'!H141</f>
        <v>587.47000000000116</v>
      </c>
      <c r="I141" s="118"/>
      <c r="J141" s="328">
        <f>H141/DAY(B2)</f>
        <v>195.82333333333372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'2'!F142</f>
        <v>25653</v>
      </c>
      <c r="F142" s="148">
        <v>25731</v>
      </c>
      <c r="G142" s="112">
        <f t="shared" si="11"/>
        <v>78</v>
      </c>
      <c r="H142" s="99">
        <f>G142+'2'!H142</f>
        <v>234.59999999999854</v>
      </c>
      <c r="I142" s="140"/>
      <c r="J142" s="328">
        <f>H142/DAY(B2)</f>
        <v>78.19999999999952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'2'!F143</f>
        <v>5618</v>
      </c>
      <c r="F143" s="149">
        <v>5644</v>
      </c>
      <c r="G143" s="112">
        <f t="shared" si="11"/>
        <v>26</v>
      </c>
      <c r="H143" s="99">
        <f>G143+'2'!H143</f>
        <v>83.289999999999964</v>
      </c>
      <c r="I143" s="140"/>
      <c r="J143" s="328">
        <f>H143/DAY(B2)</f>
        <v>27.763333333333321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'2'!F144</f>
        <v>890347</v>
      </c>
      <c r="F144" s="149">
        <v>890615</v>
      </c>
      <c r="G144" s="112">
        <f t="shared" si="11"/>
        <v>268</v>
      </c>
      <c r="H144" s="99">
        <f>G144+'2'!H144</f>
        <v>781</v>
      </c>
      <c r="I144" s="140"/>
      <c r="J144" s="328">
        <f>H144/DAY(B2)</f>
        <v>260.33333333333331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'2'!F145</f>
        <v>5560</v>
      </c>
      <c r="F145" s="149">
        <v>5560</v>
      </c>
      <c r="G145" s="112">
        <f t="shared" si="11"/>
        <v>0</v>
      </c>
      <c r="H145" s="99">
        <f>G145+'2'!H145</f>
        <v>3.6000000000003638</v>
      </c>
      <c r="I145" s="140"/>
      <c r="J145" s="328">
        <f>H145/DAY(B2)</f>
        <v>1.2000000000001212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'2'!F146</f>
        <v>765378</v>
      </c>
      <c r="F146" s="519">
        <v>765927</v>
      </c>
      <c r="G146" s="112">
        <f t="shared" si="11"/>
        <v>549</v>
      </c>
      <c r="H146" s="99">
        <f>G146+'2'!H146</f>
        <v>1601</v>
      </c>
      <c r="I146" s="140"/>
      <c r="J146" s="328">
        <f>H146/DAY(B2)</f>
        <v>533.66666666666663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'2'!F147</f>
        <v>651103</v>
      </c>
      <c r="F147" s="148">
        <v>651597</v>
      </c>
      <c r="G147" s="112">
        <f t="shared" si="11"/>
        <v>494</v>
      </c>
      <c r="H147" s="99">
        <f>G147+'2'!H147</f>
        <v>1413</v>
      </c>
      <c r="I147" s="140"/>
      <c r="J147" s="328">
        <f>H147/DAY(B2)</f>
        <v>471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'2'!F148</f>
        <v>709642</v>
      </c>
      <c r="F148" s="150">
        <v>710030</v>
      </c>
      <c r="G148" s="112">
        <f t="shared" si="11"/>
        <v>388</v>
      </c>
      <c r="H148" s="99">
        <f>G148+'2'!H148</f>
        <v>1165.3199999999488</v>
      </c>
      <c r="I148" s="124"/>
      <c r="J148" s="328">
        <f>H148/DAY(B2)</f>
        <v>388.43999999998294</v>
      </c>
    </row>
    <row r="149" spans="1:10" ht="25.5">
      <c r="A149" s="953" t="s">
        <v>336</v>
      </c>
      <c r="B149" s="954"/>
      <c r="C149" s="955"/>
      <c r="D149" s="227" t="s">
        <v>130</v>
      </c>
      <c r="E149" s="95">
        <f>'2'!F149</f>
        <v>64767</v>
      </c>
      <c r="F149" s="146">
        <v>65559</v>
      </c>
      <c r="G149" s="112">
        <f t="shared" si="11"/>
        <v>792</v>
      </c>
      <c r="H149" s="99">
        <f>G149+'2'!H149</f>
        <v>2335.1999999999971</v>
      </c>
      <c r="I149" s="119"/>
      <c r="J149" s="328">
        <f>H149/DAY(B2)</f>
        <v>778.39999999999907</v>
      </c>
    </row>
    <row r="150" spans="1:10" ht="25.5">
      <c r="A150" s="953" t="s">
        <v>337</v>
      </c>
      <c r="B150" s="954"/>
      <c r="C150" s="955"/>
      <c r="D150" s="117" t="s">
        <v>130</v>
      </c>
      <c r="E150" s="95">
        <f>'2'!F150</f>
        <v>24403</v>
      </c>
      <c r="F150" s="233">
        <v>24629</v>
      </c>
      <c r="G150" s="112">
        <f t="shared" si="11"/>
        <v>226</v>
      </c>
      <c r="H150" s="99">
        <f>G150+'2'!H150</f>
        <v>673.20999999999913</v>
      </c>
      <c r="I150" s="119"/>
      <c r="J150" s="328">
        <f>H150/DAY(B2)</f>
        <v>224.40333333333305</v>
      </c>
    </row>
    <row r="151" spans="1:10" ht="29.25" customHeight="1">
      <c r="A151" s="953" t="s">
        <v>338</v>
      </c>
      <c r="B151" s="954"/>
      <c r="C151" s="955"/>
      <c r="D151" s="117" t="s">
        <v>130</v>
      </c>
      <c r="E151" s="95">
        <f>'2'!F151</f>
        <v>101207</v>
      </c>
      <c r="F151" s="233">
        <v>101489</v>
      </c>
      <c r="G151" s="112">
        <f t="shared" si="11"/>
        <v>282</v>
      </c>
      <c r="H151" s="99">
        <f>G151+'2'!H151</f>
        <v>878</v>
      </c>
      <c r="I151" s="119"/>
      <c r="J151" s="328">
        <f>H151/DAY(B2)</f>
        <v>292.66666666666669</v>
      </c>
    </row>
    <row r="152" spans="1:10" ht="29.25" customHeight="1">
      <c r="A152" s="953" t="s">
        <v>339</v>
      </c>
      <c r="B152" s="954"/>
      <c r="C152" s="955"/>
      <c r="D152" s="117" t="s">
        <v>130</v>
      </c>
      <c r="E152" s="95">
        <f>'2'!F152</f>
        <v>8325</v>
      </c>
      <c r="F152" s="233">
        <v>8454</v>
      </c>
      <c r="G152" s="112">
        <f t="shared" si="11"/>
        <v>129</v>
      </c>
      <c r="H152" s="99">
        <f>G152+'2'!H152</f>
        <v>384.9399999999996</v>
      </c>
      <c r="I152" s="119"/>
      <c r="J152" s="328">
        <f>H152/DAY(B2)</f>
        <v>128.31333333333319</v>
      </c>
    </row>
    <row r="153" spans="1:10" ht="29.25" customHeight="1">
      <c r="A153" s="871" t="s">
        <v>196</v>
      </c>
      <c r="B153" s="872"/>
      <c r="C153" s="873"/>
      <c r="D153" s="367"/>
      <c r="E153" s="368"/>
      <c r="F153" s="369"/>
      <c r="G153" s="370">
        <f>SUM(G138:G152)</f>
        <v>3702</v>
      </c>
      <c r="H153" s="371"/>
      <c r="I153" s="119">
        <f>G153-(G38+G52)</f>
        <v>1107.0100000000002</v>
      </c>
      <c r="J153" s="372"/>
    </row>
    <row r="154" spans="1:10" ht="29.2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9.25" customHeight="1">
      <c r="A155" s="906" t="s">
        <v>345</v>
      </c>
      <c r="B155" s="906"/>
      <c r="C155" s="906"/>
      <c r="D155" s="117" t="s">
        <v>130</v>
      </c>
      <c r="E155" s="95">
        <f>'2'!F155</f>
        <v>74125</v>
      </c>
      <c r="F155" s="389">
        <v>74724</v>
      </c>
      <c r="G155" s="112">
        <f t="shared" ref="G155:G158" si="12">F155-E155</f>
        <v>599</v>
      </c>
      <c r="H155" s="99">
        <f>G155+'2'!H155</f>
        <v>1953.5</v>
      </c>
      <c r="I155" s="364"/>
      <c r="J155" s="328">
        <f>H155/DAY(B2)</f>
        <v>651.16666666666663</v>
      </c>
    </row>
    <row r="156" spans="1:10" ht="29.25" customHeight="1">
      <c r="A156" s="956" t="s">
        <v>346</v>
      </c>
      <c r="B156" s="956"/>
      <c r="C156" s="956"/>
      <c r="D156" s="117" t="s">
        <v>130</v>
      </c>
      <c r="E156" s="95">
        <f>'2'!F156</f>
        <v>6164</v>
      </c>
      <c r="F156" s="389">
        <v>6214</v>
      </c>
      <c r="G156" s="112">
        <f t="shared" si="12"/>
        <v>50</v>
      </c>
      <c r="H156" s="99">
        <f>G156+'2'!H156</f>
        <v>156.75</v>
      </c>
      <c r="I156" s="165"/>
      <c r="J156" s="328">
        <f>H156/DAY(B2)</f>
        <v>52.25</v>
      </c>
    </row>
    <row r="157" spans="1:10" ht="29.25" customHeight="1">
      <c r="A157" s="898" t="s">
        <v>361</v>
      </c>
      <c r="B157" s="899"/>
      <c r="C157" s="900"/>
      <c r="D157" s="117" t="s">
        <v>130</v>
      </c>
      <c r="E157" s="95">
        <f>'2'!F157</f>
        <v>10452</v>
      </c>
      <c r="F157" s="389">
        <v>10569</v>
      </c>
      <c r="G157" s="112">
        <f t="shared" si="12"/>
        <v>117</v>
      </c>
      <c r="H157" s="99">
        <f>G157+'2'!H157</f>
        <v>330.19000000000051</v>
      </c>
      <c r="I157" s="165"/>
      <c r="J157" s="328"/>
    </row>
    <row r="158" spans="1:10" ht="29.25" customHeight="1">
      <c r="A158" s="898" t="s">
        <v>362</v>
      </c>
      <c r="B158" s="899"/>
      <c r="C158" s="900"/>
      <c r="D158" s="117" t="s">
        <v>130</v>
      </c>
      <c r="E158" s="95">
        <f>'2'!F158</f>
        <v>90.52</v>
      </c>
      <c r="F158" s="389">
        <v>91</v>
      </c>
      <c r="G158" s="112">
        <f t="shared" si="12"/>
        <v>0.48000000000000398</v>
      </c>
      <c r="H158" s="99">
        <f>G158+'2'!H158</f>
        <v>0.57999999999999829</v>
      </c>
      <c r="I158" s="165"/>
      <c r="J158" s="328"/>
    </row>
    <row r="159" spans="1:10" ht="29.25" customHeight="1">
      <c r="A159" s="953"/>
      <c r="B159" s="954"/>
      <c r="C159" s="955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473841</v>
      </c>
      <c r="F161" s="235">
        <v>473841</v>
      </c>
      <c r="G161" s="238">
        <f t="shared" ref="G161:G165" si="13">F161-E161</f>
        <v>0</v>
      </c>
      <c r="H161" s="99">
        <f>G161+'2'!H161</f>
        <v>0.27000000001862645</v>
      </c>
      <c r="I161" s="236"/>
      <c r="J161" s="239">
        <f>H161/DAY(B2)</f>
        <v>9.0000000006208822E-2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90525</v>
      </c>
      <c r="F162" s="418">
        <v>90532</v>
      </c>
      <c r="G162" s="238">
        <f t="shared" si="13"/>
        <v>7</v>
      </c>
      <c r="H162" s="99">
        <f>G162+'2'!H162</f>
        <v>79.100000000005821</v>
      </c>
      <c r="I162" s="236"/>
      <c r="J162" s="239">
        <f>H162/DAY(B2)</f>
        <v>26.366666666668607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87458</v>
      </c>
      <c r="F163" s="418">
        <v>87645</v>
      </c>
      <c r="G163" s="238">
        <f t="shared" si="13"/>
        <v>187</v>
      </c>
      <c r="H163" s="99">
        <f>G163+'2'!H163</f>
        <v>566.19999999999709</v>
      </c>
      <c r="I163" s="236"/>
      <c r="J163" s="239">
        <f>H163/DAY(B2)</f>
        <v>188.73333333333235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4841</v>
      </c>
      <c r="F164" s="418">
        <v>4859</v>
      </c>
      <c r="G164" s="238">
        <f t="shared" si="13"/>
        <v>18</v>
      </c>
      <c r="H164" s="99">
        <f>G164+'2'!H164</f>
        <v>46.600000000000364</v>
      </c>
      <c r="I164" s="236"/>
      <c r="J164" s="239">
        <f>H164/DAY(B2)</f>
        <v>15.533333333333454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30368</v>
      </c>
      <c r="F165" s="418">
        <v>30371</v>
      </c>
      <c r="G165" s="238">
        <f t="shared" si="13"/>
        <v>3</v>
      </c>
      <c r="H165" s="99">
        <f>G165+'2'!H165</f>
        <v>15.490000000001601</v>
      </c>
      <c r="I165" s="236"/>
      <c r="J165" s="239">
        <f>H165/DAY(B2)</f>
        <v>5.1633333333338669</v>
      </c>
    </row>
    <row r="166" spans="1:10" ht="26.25">
      <c r="A166" s="938"/>
      <c r="B166" s="938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6.25">
      <c r="A167" s="938"/>
      <c r="B167" s="938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8"/>
      <c r="B168" s="938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'2'!F173</f>
        <v>8265</v>
      </c>
      <c r="F173" s="157">
        <v>8265</v>
      </c>
      <c r="G173" s="155">
        <f>F173-E173</f>
        <v>0</v>
      </c>
      <c r="H173" s="99">
        <f>G173+'2'!H173</f>
        <v>1</v>
      </c>
      <c r="I173" s="155"/>
      <c r="J173" s="178">
        <f>H173/DAY(B2)</f>
        <v>0.33333333333333331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'2'!F174</f>
        <v>39491</v>
      </c>
      <c r="F174" s="157">
        <v>39505</v>
      </c>
      <c r="G174" s="155">
        <f t="shared" ref="G174:G175" si="14">F174-E174</f>
        <v>14</v>
      </c>
      <c r="H174" s="99">
        <f>G174+'2'!H174</f>
        <v>43</v>
      </c>
      <c r="I174" s="155"/>
      <c r="J174" s="178">
        <f>H174/DAY(B2)</f>
        <v>14.333333333333334</v>
      </c>
    </row>
    <row r="175" spans="1:10" ht="21.75" customHeight="1">
      <c r="A175" s="896" t="s">
        <v>76</v>
      </c>
      <c r="B175" s="901"/>
      <c r="C175" s="897"/>
      <c r="D175" s="228" t="s">
        <v>142</v>
      </c>
      <c r="E175" s="95">
        <f>'2'!F175</f>
        <v>22545</v>
      </c>
      <c r="F175" s="155">
        <v>22559</v>
      </c>
      <c r="G175" s="155">
        <f t="shared" si="14"/>
        <v>14</v>
      </c>
      <c r="H175" s="99">
        <f>G175+'2'!H175</f>
        <v>37</v>
      </c>
      <c r="I175" s="155"/>
      <c r="J175" s="178">
        <f>H175/DAY(B2)</f>
        <v>12.333333333333334</v>
      </c>
    </row>
    <row r="176" spans="1:10" ht="21.75" customHeight="1">
      <c r="A176" s="871" t="s">
        <v>196</v>
      </c>
      <c r="B176" s="872"/>
      <c r="C176" s="873"/>
      <c r="D176" s="228"/>
      <c r="E176" s="95"/>
      <c r="F176" s="155"/>
      <c r="G176" s="155">
        <f>SUM(G173:G175)</f>
        <v>28</v>
      </c>
      <c r="H176" s="99">
        <f>G176+'2'!H176</f>
        <v>81</v>
      </c>
      <c r="I176" s="155"/>
      <c r="J176" s="178">
        <f>H176/DAY(B2)</f>
        <v>27</v>
      </c>
    </row>
    <row r="177" spans="1:10" ht="21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6" t="s">
        <v>210</v>
      </c>
      <c r="B178" s="897"/>
      <c r="C178" s="333"/>
      <c r="D178" s="228" t="s">
        <v>142</v>
      </c>
      <c r="E178" s="95">
        <f>'2'!F178</f>
        <v>85806</v>
      </c>
      <c r="F178" s="157">
        <v>85890</v>
      </c>
      <c r="G178" s="155">
        <f>F178-E178</f>
        <v>84</v>
      </c>
      <c r="H178" s="99">
        <f>G178+'2'!H178</f>
        <v>274</v>
      </c>
      <c r="I178" s="155"/>
      <c r="J178" s="178">
        <f>H178/DAY(B2)</f>
        <v>91.333333333333329</v>
      </c>
    </row>
    <row r="179" spans="1:10" ht="24" customHeight="1">
      <c r="A179" s="896" t="s">
        <v>211</v>
      </c>
      <c r="B179" s="897"/>
      <c r="C179" s="333"/>
      <c r="D179" s="228" t="s">
        <v>142</v>
      </c>
      <c r="E179" s="95">
        <f>'2'!F179</f>
        <v>35646</v>
      </c>
      <c r="F179" s="155">
        <v>35684</v>
      </c>
      <c r="G179" s="155">
        <f t="shared" ref="G179:G180" si="15">F179-E179</f>
        <v>38</v>
      </c>
      <c r="H179" s="99">
        <f>G179+'2'!H179</f>
        <v>70</v>
      </c>
      <c r="I179" s="155"/>
      <c r="J179" s="178">
        <f>H179/DAY(B2)</f>
        <v>23.333333333333332</v>
      </c>
    </row>
    <row r="180" spans="1:10" ht="22.5" customHeight="1">
      <c r="A180" s="896" t="s">
        <v>212</v>
      </c>
      <c r="B180" s="897"/>
      <c r="C180" s="333"/>
      <c r="D180" s="228" t="s">
        <v>142</v>
      </c>
      <c r="E180" s="95">
        <f>'2'!F180</f>
        <v>6150</v>
      </c>
      <c r="F180" s="155">
        <v>6150</v>
      </c>
      <c r="G180" s="155">
        <f t="shared" si="15"/>
        <v>0</v>
      </c>
      <c r="H180" s="99">
        <f>G180+'2'!H180</f>
        <v>17</v>
      </c>
      <c r="I180" s="155"/>
      <c r="J180" s="178">
        <f>H180/DAY(B2)</f>
        <v>5.666666666666667</v>
      </c>
    </row>
    <row r="181" spans="1:10" ht="26.25">
      <c r="A181" s="871" t="s">
        <v>196</v>
      </c>
      <c r="B181" s="872"/>
      <c r="C181" s="873"/>
      <c r="D181" s="228"/>
      <c r="E181" s="95"/>
      <c r="F181" s="155"/>
      <c r="G181" s="155">
        <f>SUM(G178:G180)</f>
        <v>122</v>
      </c>
      <c r="H181" s="99">
        <f>G181+'2'!H181</f>
        <v>361</v>
      </c>
      <c r="I181" s="155"/>
      <c r="J181" s="178">
        <f>H181/DAY(B2)</f>
        <v>120.33333333333333</v>
      </c>
    </row>
    <row r="182" spans="1:10" ht="27" customHeight="1">
      <c r="A182" s="896" t="s">
        <v>213</v>
      </c>
      <c r="B182" s="89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6" t="s">
        <v>214</v>
      </c>
      <c r="B183" s="897"/>
      <c r="C183" s="334"/>
      <c r="D183" s="228" t="s">
        <v>142</v>
      </c>
      <c r="E183" s="95">
        <f>'2'!F183</f>
        <v>16183</v>
      </c>
      <c r="F183" s="157">
        <v>16215</v>
      </c>
      <c r="G183" s="157">
        <f>F183-E183</f>
        <v>32</v>
      </c>
      <c r="H183" s="99">
        <f>G183+'2'!H183</f>
        <v>73</v>
      </c>
      <c r="I183" s="155"/>
      <c r="J183" s="178">
        <f>H183/DAY(B2)</f>
        <v>24.333333333333332</v>
      </c>
    </row>
    <row r="184" spans="1:10" ht="25.5" customHeight="1">
      <c r="A184" s="896" t="s">
        <v>215</v>
      </c>
      <c r="B184" s="897"/>
      <c r="C184" s="334"/>
      <c r="D184" s="228" t="s">
        <v>142</v>
      </c>
      <c r="E184" s="95">
        <f>'2'!F184</f>
        <v>11063</v>
      </c>
      <c r="F184" s="157">
        <v>11069</v>
      </c>
      <c r="G184" s="157">
        <f t="shared" ref="G184:G185" si="16">F184-E184</f>
        <v>6</v>
      </c>
      <c r="H184" s="99">
        <f>G184+'2'!H184</f>
        <v>20</v>
      </c>
      <c r="I184" s="155"/>
      <c r="J184" s="178">
        <f>H184/DAY(B2)</f>
        <v>6.666666666666667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71" t="s">
        <v>196</v>
      </c>
      <c r="B186" s="872"/>
      <c r="C186" s="873"/>
      <c r="D186" s="229"/>
      <c r="E186" s="95"/>
      <c r="F186" s="157"/>
      <c r="G186" s="157">
        <f>SUM(G183:G185)</f>
        <v>38</v>
      </c>
      <c r="H186" s="99">
        <f>G186+'2'!H186</f>
        <v>93</v>
      </c>
      <c r="I186" s="157"/>
      <c r="J186" s="178">
        <f>H186/DAY(B2)</f>
        <v>31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249</v>
      </c>
      <c r="H187" s="99">
        <f>G187+'2'!H187</f>
        <v>741</v>
      </c>
      <c r="I187" s="158"/>
      <c r="J187" s="179">
        <f>H187/DAY(B2)</f>
        <v>247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237</v>
      </c>
      <c r="H188" s="99">
        <f>G188+'2'!H188</f>
        <v>718</v>
      </c>
      <c r="I188" s="158"/>
      <c r="J188" s="179">
        <f>H188/DAY(B2)</f>
        <v>239.33333333333334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122</v>
      </c>
      <c r="H189" s="99">
        <f>G189+'2'!H189</f>
        <v>361</v>
      </c>
      <c r="I189" s="158"/>
      <c r="J189" s="179">
        <f>H189/DAY(B2)</f>
        <v>120.33333333333333</v>
      </c>
    </row>
    <row r="190" spans="1:10" ht="25.5">
      <c r="A190" s="946"/>
      <c r="B190" s="94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13" sqref="F1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355</v>
      </c>
      <c r="B2" s="262">
        <v>44655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6" t="s">
        <v>119</v>
      </c>
      <c r="F3" s="887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67306</v>
      </c>
      <c r="F7" s="95">
        <v>93859</v>
      </c>
      <c r="G7" s="112">
        <f>F7-E7</f>
        <v>26553</v>
      </c>
      <c r="H7" s="99">
        <f>G7+'3'!H7</f>
        <v>107136</v>
      </c>
      <c r="I7" s="113">
        <f>'1'!I7</f>
        <v>12000</v>
      </c>
      <c r="J7" s="175">
        <f>H7/DAY(B2)</f>
        <v>26784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139759</v>
      </c>
      <c r="F8" s="114">
        <v>166689</v>
      </c>
      <c r="G8" s="115">
        <f>F8-E8</f>
        <v>26930</v>
      </c>
      <c r="H8" s="99">
        <f>G8+'3'!H8</f>
        <v>108642.78</v>
      </c>
      <c r="I8" s="116"/>
      <c r="J8" s="175">
        <f>H8/DAY(B2)</f>
        <v>27160.695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1326379</v>
      </c>
      <c r="F9" s="117">
        <v>1346073</v>
      </c>
      <c r="G9" s="112">
        <f>F9-E9</f>
        <v>19694</v>
      </c>
      <c r="H9" s="99">
        <f>G9+'3'!H9</f>
        <v>78398</v>
      </c>
      <c r="I9" s="124">
        <f>I7-J7</f>
        <v>-14784</v>
      </c>
      <c r="J9" s="175">
        <f>H9/DAY(B2)</f>
        <v>19599.5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437736</v>
      </c>
      <c r="F10" s="117">
        <v>443859</v>
      </c>
      <c r="G10" s="112">
        <f t="shared" ref="G10:G12" si="0">F10-E10</f>
        <v>6123</v>
      </c>
      <c r="H10" s="99">
        <f>G10+'3'!H10</f>
        <v>25583.530000000028</v>
      </c>
      <c r="I10" s="282"/>
      <c r="J10" s="175">
        <f>H10/DAY(B2)</f>
        <v>6395.882500000007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25817</v>
      </c>
      <c r="H13" s="99">
        <f>G13+'3'!H13</f>
        <v>103982</v>
      </c>
      <c r="I13" s="120">
        <f>G7-G13</f>
        <v>736</v>
      </c>
      <c r="J13" s="175">
        <f>H13/DAY(B2)</f>
        <v>25995.5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1974217</v>
      </c>
      <c r="F15" s="470">
        <v>1975276</v>
      </c>
      <c r="G15" s="112">
        <f>(F15-E15)</f>
        <v>1059</v>
      </c>
      <c r="H15" s="99">
        <f>G15+'3'!H15</f>
        <v>4339</v>
      </c>
      <c r="I15" s="113">
        <f>'1'!I15</f>
        <v>800</v>
      </c>
      <c r="J15" s="175">
        <f>H15/DAY(B2)</f>
        <v>1084.75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-284.75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'3'!F18</f>
        <v>28</v>
      </c>
      <c r="F18" s="122">
        <v>28</v>
      </c>
      <c r="G18" s="119">
        <f>F18*10</f>
        <v>280</v>
      </c>
      <c r="H18" s="99">
        <f>G18+'3'!H18</f>
        <v>1080</v>
      </c>
      <c r="I18" s="113">
        <f>'1'!I18</f>
        <v>65</v>
      </c>
      <c r="J18" s="175">
        <f>H18/DAY(B2)</f>
        <v>270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'3'!F19</f>
        <v>157134</v>
      </c>
      <c r="F19" s="122">
        <v>157180</v>
      </c>
      <c r="G19" s="112">
        <f t="shared" ref="G19" si="1">F19-E19</f>
        <v>46</v>
      </c>
      <c r="H19" s="99">
        <f>G19+'3'!H19</f>
        <v>191</v>
      </c>
      <c r="I19" s="335"/>
      <c r="J19" s="175">
        <f>H19/DAY(B2)</f>
        <v>47.75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G20+'3'!H20</f>
        <v>1271</v>
      </c>
      <c r="I20" s="336">
        <f>I18-J20</f>
        <v>-252.75</v>
      </c>
      <c r="J20" s="175">
        <f>H20/DAY(B2)</f>
        <v>317.75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26930</v>
      </c>
      <c r="F27" s="136">
        <v>9</v>
      </c>
      <c r="G27" s="137">
        <f>E27*F27</f>
        <v>242370</v>
      </c>
      <c r="H27" s="99">
        <f>G27+'3'!H27</f>
        <v>977785.02</v>
      </c>
      <c r="I27" s="138"/>
      <c r="J27" s="175">
        <f>H27/DAY(B2)</f>
        <v>244446.255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1059</v>
      </c>
      <c r="F28" s="136">
        <v>70</v>
      </c>
      <c r="G28" s="137">
        <f>E28*F28</f>
        <v>74130</v>
      </c>
      <c r="H28" s="99">
        <f>G28+'3'!H28</f>
        <v>303730</v>
      </c>
      <c r="I28" s="140"/>
      <c r="J28" s="175">
        <f>H28/DAY(B2)</f>
        <v>75932.5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G30+'3'!H30</f>
        <v>28841</v>
      </c>
      <c r="I30" s="140"/>
      <c r="J30" s="175">
        <f>H30/DAY(B2)</f>
        <v>7210.25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G31+'3'!H31</f>
        <v>86400</v>
      </c>
      <c r="I31" s="140"/>
      <c r="J31" s="175">
        <f>H31/DAY(B2)</f>
        <v>21600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345846</v>
      </c>
      <c r="H32" s="99">
        <f>G32+'3'!H32</f>
        <v>1396756.02</v>
      </c>
      <c r="I32" s="144"/>
      <c r="J32" s="175">
        <f>H32/DAY(B2)</f>
        <v>349189.005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144600</v>
      </c>
      <c r="F35" s="145">
        <v>146639</v>
      </c>
      <c r="G35" s="112">
        <f t="shared" ref="G35:G46" si="3">F35-E35</f>
        <v>2039</v>
      </c>
      <c r="H35" s="99">
        <f>G35+'3'!H35</f>
        <v>8359.7900000000081</v>
      </c>
      <c r="I35" s="95"/>
      <c r="J35" s="175">
        <f>H35/DAY(B2)</f>
        <v>2089.947500000002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103367</v>
      </c>
      <c r="F36" s="145">
        <v>104097</v>
      </c>
      <c r="G36" s="112">
        <f t="shared" si="3"/>
        <v>730</v>
      </c>
      <c r="H36" s="99">
        <f>G36+'3'!H36</f>
        <v>3576.3399999999965</v>
      </c>
      <c r="I36" s="95"/>
      <c r="J36" s="175">
        <f>H36/DAY(B2)</f>
        <v>894.08499999999913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137729</v>
      </c>
      <c r="F37" s="145">
        <v>139326</v>
      </c>
      <c r="G37" s="112">
        <f t="shared" si="3"/>
        <v>1597</v>
      </c>
      <c r="H37" s="99">
        <f>G37+'3'!H37</f>
        <v>6400.9800000000105</v>
      </c>
      <c r="I37" s="95"/>
      <c r="J37" s="175">
        <f>H37/DAY(B2)</f>
        <v>1600.2450000000026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178063</v>
      </c>
      <c r="F38" s="108">
        <v>180552</v>
      </c>
      <c r="G38" s="112">
        <f t="shared" si="3"/>
        <v>2489</v>
      </c>
      <c r="H38" s="99">
        <f>G38+'3'!H38</f>
        <v>10442.630000000005</v>
      </c>
      <c r="I38" s="95"/>
      <c r="J38" s="175">
        <f>H38/DAY(B2)</f>
        <v>2610.6575000000012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254182</v>
      </c>
      <c r="F39" s="145">
        <v>257433</v>
      </c>
      <c r="G39" s="112">
        <f t="shared" si="3"/>
        <v>3251</v>
      </c>
      <c r="H39" s="99">
        <f>G39+'3'!H39</f>
        <v>13279.570000000007</v>
      </c>
      <c r="I39" s="95"/>
      <c r="J39" s="175">
        <f>H39/DAY(B2)</f>
        <v>3319.8925000000017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50994</v>
      </c>
      <c r="F40" s="145">
        <v>51616</v>
      </c>
      <c r="G40" s="112">
        <f t="shared" si="3"/>
        <v>622</v>
      </c>
      <c r="H40" s="99">
        <f>G40+'3'!H40</f>
        <v>2464.1399999999994</v>
      </c>
      <c r="I40" s="95"/>
      <c r="J40" s="175">
        <f>H40/DAY(B2)</f>
        <v>616.03499999999985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-0.27000000000000313</v>
      </c>
      <c r="I41" s="95"/>
      <c r="J41" s="175">
        <f>H41/DAY(B2)</f>
        <v>-6.7500000000000782E-2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294730</v>
      </c>
      <c r="F42" s="145">
        <v>300075</v>
      </c>
      <c r="G42" s="112">
        <f t="shared" si="3"/>
        <v>5345</v>
      </c>
      <c r="H42" s="99">
        <f>G42+'3'!H42</f>
        <v>18717.75</v>
      </c>
      <c r="I42" s="95"/>
      <c r="J42" s="175">
        <f>H42/DAY(B2)</f>
        <v>4679.4375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268010</v>
      </c>
      <c r="F43" s="145">
        <v>270927</v>
      </c>
      <c r="G43" s="112">
        <f t="shared" si="3"/>
        <v>2917</v>
      </c>
      <c r="H43" s="99">
        <f>G43+'3'!H43</f>
        <v>12172.529999999999</v>
      </c>
      <c r="I43" s="95"/>
      <c r="J43" s="175">
        <f>H43/DAY(B2)</f>
        <v>3043.1324999999997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18990</v>
      </c>
      <c r="H47" s="99">
        <f>G47+'3'!H47</f>
        <v>75413.460000000021</v>
      </c>
      <c r="I47" s="95"/>
      <c r="J47" s="175">
        <f>H47/DAY(B2)</f>
        <v>18853.365000000005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115667</v>
      </c>
      <c r="F49" s="424">
        <v>117338</v>
      </c>
      <c r="G49" s="112">
        <f t="shared" ref="G49:G58" si="4">F49-E49</f>
        <v>1671</v>
      </c>
      <c r="H49" s="99">
        <f>G49+'3'!H49</f>
        <v>6835.8000000000029</v>
      </c>
      <c r="I49" s="95"/>
      <c r="J49" s="175">
        <f>H49/DAY(B2)</f>
        <v>1708.9500000000007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135853</v>
      </c>
      <c r="F50" s="145">
        <v>137524</v>
      </c>
      <c r="G50" s="112">
        <f t="shared" si="4"/>
        <v>1671</v>
      </c>
      <c r="H50" s="99">
        <f>G50+'3'!H50</f>
        <v>6313.859999999986</v>
      </c>
      <c r="I50" s="95"/>
      <c r="J50" s="175">
        <f>H50/DAY(B2)</f>
        <v>1578.4649999999965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37257</v>
      </c>
      <c r="F54" s="145">
        <v>37788</v>
      </c>
      <c r="G54" s="112">
        <f t="shared" si="4"/>
        <v>531</v>
      </c>
      <c r="H54" s="99">
        <f>G54+'3'!H54</f>
        <v>2116.9400000000023</v>
      </c>
      <c r="I54" s="95"/>
      <c r="J54" s="175">
        <f>H54/DAY(B2)</f>
        <v>529.23500000000058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119326</v>
      </c>
      <c r="F55" s="145">
        <v>119326</v>
      </c>
      <c r="G55" s="112">
        <f t="shared" si="4"/>
        <v>0</v>
      </c>
      <c r="H55" s="99">
        <f>G55+'3'!H55</f>
        <v>6844.9700000000012</v>
      </c>
      <c r="I55" s="95"/>
      <c r="J55" s="175">
        <f>H55/DAY(B2)</f>
        <v>1711.2425000000003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71618</v>
      </c>
      <c r="F56" s="145">
        <v>73426</v>
      </c>
      <c r="G56" s="112">
        <f t="shared" si="4"/>
        <v>1808</v>
      </c>
      <c r="H56" s="99">
        <f>G56+'3'!H56</f>
        <v>1808.320000000007</v>
      </c>
      <c r="I56" s="95"/>
      <c r="J56" s="175">
        <f>H56/DAY(B2)</f>
        <v>452.08000000000175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19162</v>
      </c>
      <c r="F58" s="145">
        <v>19387</v>
      </c>
      <c r="G58" s="112">
        <f t="shared" si="4"/>
        <v>225</v>
      </c>
      <c r="H58" s="99">
        <f>G58+'3'!H58</f>
        <v>932.79999999999927</v>
      </c>
      <c r="I58" s="95"/>
      <c r="J58" s="175">
        <f>H58/DAY(B2)</f>
        <v>233.19999999999982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5906</v>
      </c>
      <c r="H59" s="99">
        <f>G59+'3'!H59</f>
        <v>24852.44</v>
      </c>
      <c r="I59" s="95">
        <f>G7-G60</f>
        <v>1657</v>
      </c>
      <c r="J59" s="175">
        <f>H59/DAY(B2)</f>
        <v>6213.11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24896</v>
      </c>
      <c r="H60" s="99">
        <f>G60+'3'!H60</f>
        <v>100265.90000000002</v>
      </c>
      <c r="I60" s="95">
        <f>G13-G60</f>
        <v>921</v>
      </c>
      <c r="J60" s="175">
        <f>H60/DAY(B2)</f>
        <v>25066.475000000006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'3'!F62</f>
        <v>279222</v>
      </c>
      <c r="F62" s="122">
        <v>279392</v>
      </c>
      <c r="G62" s="112">
        <f t="shared" ref="G62:G63" si="5">F62-E62</f>
        <v>170</v>
      </c>
      <c r="H62" s="99">
        <f>G62+'3'!H62</f>
        <v>766</v>
      </c>
      <c r="I62" s="118"/>
      <c r="J62" s="175">
        <f>H62/DAY(B2)</f>
        <v>191.5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'3'!F63</f>
        <v>223562</v>
      </c>
      <c r="F63" s="122">
        <v>223691</v>
      </c>
      <c r="G63" s="112">
        <f t="shared" si="5"/>
        <v>129</v>
      </c>
      <c r="H63" s="99">
        <f>G63+'3'!H63</f>
        <v>610</v>
      </c>
      <c r="I63" s="118"/>
      <c r="J63" s="175">
        <f>H63/DAY(B2)</f>
        <v>152.5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122"/>
      <c r="F64" s="122"/>
      <c r="G64" s="112">
        <f>G62+G63</f>
        <v>299</v>
      </c>
      <c r="H64" s="99">
        <f>G64+'3'!H64</f>
        <v>1376</v>
      </c>
      <c r="I64" s="118"/>
      <c r="J64" s="175">
        <f>H64/DAY(B2)</f>
        <v>344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'3'!F65</f>
        <v>441480</v>
      </c>
      <c r="F65" s="122">
        <v>441581</v>
      </c>
      <c r="G65" s="112">
        <f t="shared" ref="G65:G70" si="6">F65-E65</f>
        <v>101</v>
      </c>
      <c r="H65" s="99">
        <f>G65+'3'!H65</f>
        <v>450</v>
      </c>
      <c r="I65" s="118"/>
      <c r="J65" s="175">
        <f>H65/DAY(B2)</f>
        <v>112.5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109118</v>
      </c>
      <c r="F66" s="122">
        <v>109132</v>
      </c>
      <c r="G66" s="112">
        <f t="shared" si="6"/>
        <v>14</v>
      </c>
      <c r="H66" s="99">
        <f>G66+'3'!H66</f>
        <v>62</v>
      </c>
      <c r="I66" s="118"/>
      <c r="J66" s="175">
        <f>H66/DAY(B2)</f>
        <v>15.5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108830</v>
      </c>
      <c r="F67" s="122">
        <v>108898</v>
      </c>
      <c r="G67" s="112">
        <f t="shared" si="6"/>
        <v>68</v>
      </c>
      <c r="H67" s="99">
        <f>G67+'3'!H67</f>
        <v>305</v>
      </c>
      <c r="I67" s="118"/>
      <c r="J67" s="175">
        <f>H67/DAY(B2)</f>
        <v>76.25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160637</v>
      </c>
      <c r="F68" s="122">
        <v>160683</v>
      </c>
      <c r="G68" s="112">
        <f t="shared" si="6"/>
        <v>46</v>
      </c>
      <c r="H68" s="99">
        <f>G68+'3'!H68</f>
        <v>274</v>
      </c>
      <c r="I68" s="118"/>
      <c r="J68" s="175">
        <f>H68/DAY(B2)</f>
        <v>68.5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11262</v>
      </c>
      <c r="F69" s="164">
        <v>11268</v>
      </c>
      <c r="G69" s="112">
        <f t="shared" si="6"/>
        <v>6</v>
      </c>
      <c r="H69" s="99">
        <f>G69+'3'!H69</f>
        <v>67</v>
      </c>
      <c r="I69" s="118"/>
      <c r="J69" s="175">
        <f>H69/DAY(B2)</f>
        <v>16.75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8751</v>
      </c>
      <c r="F70" s="122">
        <v>8757</v>
      </c>
      <c r="G70" s="112">
        <f t="shared" si="6"/>
        <v>6</v>
      </c>
      <c r="H70" s="99">
        <f>G70+'3'!H70</f>
        <v>29</v>
      </c>
      <c r="I70" s="118"/>
      <c r="J70" s="175">
        <f>H70/DAY(B2)</f>
        <v>7.25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241</v>
      </c>
      <c r="H71" s="99">
        <f>G71+'3'!H71</f>
        <v>1187</v>
      </c>
      <c r="I71" s="154"/>
      <c r="J71" s="175">
        <f>H71/DAY(B2)</f>
        <v>296.75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'3'!F74</f>
        <v>920259</v>
      </c>
      <c r="F74" s="117">
        <v>920577</v>
      </c>
      <c r="G74" s="112">
        <f t="shared" ref="G74:G78" si="7">F74-E74</f>
        <v>318</v>
      </c>
      <c r="H74" s="99">
        <f>G74+'3'!H74</f>
        <v>1252.4899999999907</v>
      </c>
      <c r="I74" s="154"/>
      <c r="J74" s="175">
        <f>H74/DAY(B2)</f>
        <v>313.12249999999767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'3'!F76</f>
        <v>176939</v>
      </c>
      <c r="F76" s="123">
        <v>177034</v>
      </c>
      <c r="G76" s="112">
        <f t="shared" si="7"/>
        <v>95</v>
      </c>
      <c r="H76" s="99">
        <f>G76+'3'!H76</f>
        <v>447</v>
      </c>
      <c r="I76" s="154"/>
      <c r="J76" s="175">
        <f>H76/DAY(B2)</f>
        <v>111.75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'3'!F77</f>
        <v>44311</v>
      </c>
      <c r="F77" s="123">
        <v>44354</v>
      </c>
      <c r="G77" s="112">
        <f t="shared" si="7"/>
        <v>43</v>
      </c>
      <c r="H77" s="99">
        <f>G77+'3'!H77</f>
        <v>191</v>
      </c>
      <c r="I77" s="154"/>
      <c r="J77" s="175">
        <f>H77/DAY(B2)</f>
        <v>47.75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'3'!F79</f>
        <v>0</v>
      </c>
      <c r="F79" s="117"/>
      <c r="G79" s="112">
        <f>G15-SUM(G74:G78)</f>
        <v>603</v>
      </c>
      <c r="H79" s="99">
        <f>G79+'3'!H79</f>
        <v>2448.5100000000093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1059</v>
      </c>
      <c r="H80" s="99">
        <f>G80+'3'!H80</f>
        <v>3253</v>
      </c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594"/>
      <c r="J84" s="175">
        <f>H84/DAY(B2)</f>
        <v>6.5000000000509317E-2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3218</v>
      </c>
      <c r="F85" s="164">
        <v>3241</v>
      </c>
      <c r="G85" s="236">
        <f t="shared" si="8"/>
        <v>23</v>
      </c>
      <c r="H85" s="99">
        <f>G85+'3'!H85</f>
        <v>82.5</v>
      </c>
      <c r="I85" s="594"/>
      <c r="J85" s="175">
        <f>H85/DAY(B2)</f>
        <v>20.625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43768</v>
      </c>
      <c r="F86" s="164">
        <v>43768</v>
      </c>
      <c r="G86" s="112">
        <f t="shared" si="8"/>
        <v>0</v>
      </c>
      <c r="H86" s="99">
        <f>G86+'3'!H86</f>
        <v>47.599999999998545</v>
      </c>
      <c r="I86" s="594"/>
      <c r="J86" s="175">
        <f>H86/DAY(B2)</f>
        <v>11.899999999999636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35080</v>
      </c>
      <c r="F87" s="164">
        <v>35094</v>
      </c>
      <c r="G87" s="112">
        <f t="shared" si="8"/>
        <v>14</v>
      </c>
      <c r="H87" s="99">
        <f>G87+'3'!H87</f>
        <v>13.650000000001455</v>
      </c>
      <c r="I87" s="594">
        <f>G84+G85+G86+G87</f>
        <v>37.260000000002037</v>
      </c>
      <c r="J87" s="175">
        <f>H87/DAY(B2)</f>
        <v>3.4125000000003638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24109</v>
      </c>
      <c r="F88" s="164">
        <v>24109</v>
      </c>
      <c r="G88" s="112">
        <f t="shared" si="8"/>
        <v>0</v>
      </c>
      <c r="H88" s="99">
        <f>G88+'3'!H88</f>
        <v>-0.40000000000145519</v>
      </c>
      <c r="I88" s="594"/>
      <c r="J88" s="175">
        <f>H88/DAY(B2)</f>
        <v>-0.1000000000003638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26503</v>
      </c>
      <c r="F89" s="164">
        <v>26513</v>
      </c>
      <c r="G89" s="112">
        <f t="shared" si="8"/>
        <v>10</v>
      </c>
      <c r="H89" s="99">
        <f>G89+'3'!H89</f>
        <v>41.209999999999127</v>
      </c>
      <c r="I89" s="594">
        <f>G88+G89</f>
        <v>10</v>
      </c>
      <c r="J89" s="175">
        <f>H89/DAY(B2)</f>
        <v>10.302499999999782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71600</v>
      </c>
      <c r="F90" s="164">
        <v>71608</v>
      </c>
      <c r="G90" s="112">
        <f t="shared" si="8"/>
        <v>8</v>
      </c>
      <c r="H90" s="99">
        <f>G90+'3'!H90</f>
        <v>34.889999999999418</v>
      </c>
      <c r="I90" s="594">
        <f>G90</f>
        <v>8</v>
      </c>
      <c r="J90" s="175">
        <f>H90/DAY(B2)</f>
        <v>8.7224999999998545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3910</v>
      </c>
      <c r="F91" s="122">
        <v>3910</v>
      </c>
      <c r="G91" s="112">
        <f t="shared" si="8"/>
        <v>0</v>
      </c>
      <c r="H91" s="99">
        <f>G91+'3'!H91</f>
        <v>0.25</v>
      </c>
      <c r="I91" s="688"/>
      <c r="J91" s="175">
        <f>H91/DAY(B2)</f>
        <v>6.25E-2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5780</v>
      </c>
      <c r="F92" s="122">
        <v>5791</v>
      </c>
      <c r="G92" s="112">
        <f t="shared" si="8"/>
        <v>11</v>
      </c>
      <c r="H92" s="99">
        <f>G92+'3'!H92</f>
        <v>43.699999999999818</v>
      </c>
      <c r="I92" s="705">
        <f>G91+G92</f>
        <v>11</v>
      </c>
      <c r="J92" s="175">
        <f>H92/DAY(B2)</f>
        <v>10.924999999999955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6627</v>
      </c>
      <c r="H94" s="99">
        <f>G94+'3'!H94</f>
        <v>27368.12000000001</v>
      </c>
      <c r="I94" s="118"/>
      <c r="J94" s="175">
        <f>H94/DAY(B2)</f>
        <v>6842.0300000000025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0.24957631905999322</v>
      </c>
      <c r="H95" s="99">
        <f>G95+'3'!H95</f>
        <v>1.0217364101164546</v>
      </c>
      <c r="I95" s="167"/>
      <c r="J95" s="175">
        <f>H95/DAY(B2)</f>
        <v>0.25543410252911364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7153</v>
      </c>
      <c r="H96" s="99">
        <f>G96+'3'!H96</f>
        <v>27370.770000000008</v>
      </c>
      <c r="I96" s="118"/>
      <c r="J96" s="175">
        <f>H96/DAY(B2)</f>
        <v>6842.6925000000019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0.26938575678831017</v>
      </c>
      <c r="H97" s="99">
        <f>G97+'3'!H97</f>
        <v>1.0223500002045665</v>
      </c>
      <c r="I97" s="167"/>
      <c r="J97" s="175">
        <f>H97/DAY(B2)</f>
        <v>0.25558750005114161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3251</v>
      </c>
      <c r="H98" s="99">
        <f>G98+'3'!H98</f>
        <v>13279.570000000007</v>
      </c>
      <c r="I98" s="168"/>
      <c r="J98" s="175">
        <f>H98/DAY(B2)</f>
        <v>3319.8925000000017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0.12243437652995895</v>
      </c>
      <c r="H99" s="99">
        <f>G99+'3'!H99</f>
        <v>0.49578056962186567</v>
      </c>
      <c r="I99" s="168"/>
      <c r="J99" s="175">
        <f>H99/DAY(B2)</f>
        <v>0.12394514240546642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2489</v>
      </c>
      <c r="H100" s="99">
        <f>G100+'3'!H100</f>
        <v>10442.380000000005</v>
      </c>
      <c r="I100" s="118"/>
      <c r="J100" s="175">
        <f>H100/DAY(B2)</f>
        <v>2610.5950000000012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9.37370541934998E-2</v>
      </c>
      <c r="H101" s="99">
        <f>G101+'3'!H101</f>
        <v>0.38981727943870309</v>
      </c>
      <c r="I101" s="168"/>
      <c r="J101" s="175">
        <f>H101/DAY(B2)</f>
        <v>9.7454319859675773E-2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2401</v>
      </c>
      <c r="H102" s="99">
        <f>G102+'3'!H102</f>
        <v>9890.1999999999825</v>
      </c>
      <c r="I102" s="168"/>
      <c r="J102" s="175">
        <f>H102/DAY(B2)</f>
        <v>2472.5499999999956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9.0422927729446767E-2</v>
      </c>
      <c r="H103" s="99">
        <f>G103+'3'!H103</f>
        <v>0.36924502055266756</v>
      </c>
      <c r="I103" s="118"/>
      <c r="J103" s="175">
        <f>H103/DAY(B2)</f>
        <v>9.2311255138166889E-2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1597</v>
      </c>
      <c r="H104" s="99">
        <f>G104+'3'!H104</f>
        <v>6400.9800000000105</v>
      </c>
      <c r="I104" s="118"/>
      <c r="J104" s="175">
        <f>H104/DAY(B2)</f>
        <v>1600.2450000000026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6.0143863216962301E-2</v>
      </c>
      <c r="H105" s="99">
        <f>G105+'3'!H105</f>
        <v>0.2389738651194209</v>
      </c>
      <c r="I105" s="187"/>
      <c r="J105" s="188">
        <f>H105/DAY(B2)</f>
        <v>5.9743466279855224E-2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'3'!F112</f>
        <v>62382</v>
      </c>
      <c r="F112" s="237">
        <v>62463</v>
      </c>
      <c r="G112" s="112">
        <f t="shared" ref="G112:G123" si="9">F112-E112</f>
        <v>81</v>
      </c>
      <c r="H112" s="99">
        <f>G112+'3'!H112</f>
        <v>319.47000000000116</v>
      </c>
      <c r="I112" s="165"/>
      <c r="J112" s="328">
        <f>H112/DAY(B2)</f>
        <v>79.867500000000291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'3'!F113</f>
        <v>75742</v>
      </c>
      <c r="F113" s="237">
        <v>76232</v>
      </c>
      <c r="G113" s="112">
        <f t="shared" si="9"/>
        <v>490</v>
      </c>
      <c r="H113" s="99">
        <f>G113+'3'!H113</f>
        <v>1976.3999999999942</v>
      </c>
      <c r="I113" s="165"/>
      <c r="J113" s="328">
        <f>H113/DAY(B2)</f>
        <v>494.09999999999854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'3'!F114</f>
        <v>51515</v>
      </c>
      <c r="F114" s="237">
        <v>51574</v>
      </c>
      <c r="G114" s="112">
        <f t="shared" si="9"/>
        <v>59</v>
      </c>
      <c r="H114" s="99">
        <f>G114+'3'!H114</f>
        <v>1311</v>
      </c>
      <c r="I114" s="165"/>
      <c r="J114" s="328">
        <f>H114/DAY(B2)</f>
        <v>327.75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'3'!F115</f>
        <v>9896</v>
      </c>
      <c r="F115" s="237">
        <v>9926</v>
      </c>
      <c r="G115" s="112">
        <f t="shared" si="9"/>
        <v>30</v>
      </c>
      <c r="H115" s="99">
        <f>G115+'3'!H115</f>
        <v>97.489999999999782</v>
      </c>
      <c r="I115" s="165"/>
      <c r="J115" s="328">
        <f>H115/DAY(B2)</f>
        <v>24.372499999999945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'3'!F116</f>
        <v>24094</v>
      </c>
      <c r="F116" s="237">
        <v>24551</v>
      </c>
      <c r="G116" s="112">
        <f t="shared" si="9"/>
        <v>457</v>
      </c>
      <c r="H116" s="99">
        <f>G116+'3'!H116</f>
        <v>1766.380000000001</v>
      </c>
      <c r="I116" s="165"/>
      <c r="J116" s="328">
        <f>H116/DAY(B2)</f>
        <v>441.59500000000025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'3'!F117</f>
        <v>14225</v>
      </c>
      <c r="F117" s="237">
        <v>14407</v>
      </c>
      <c r="G117" s="112">
        <f t="shared" si="9"/>
        <v>182</v>
      </c>
      <c r="H117" s="99">
        <f>G117+'3'!H117</f>
        <v>793.82699999999932</v>
      </c>
      <c r="I117" s="165"/>
      <c r="J117" s="328">
        <f>H117/DAY(B2)</f>
        <v>198.45674999999983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'3'!F118</f>
        <v>281842</v>
      </c>
      <c r="F118" s="237">
        <v>282387</v>
      </c>
      <c r="G118" s="112">
        <f t="shared" si="9"/>
        <v>545</v>
      </c>
      <c r="H118" s="99">
        <f>G118+'3'!H118</f>
        <v>2166.0300000000279</v>
      </c>
      <c r="I118" s="165"/>
      <c r="J118" s="328">
        <f>H118/DAY(B2)</f>
        <v>541.50750000000698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'3'!F119</f>
        <v>284430</v>
      </c>
      <c r="F119" s="237">
        <v>284866</v>
      </c>
      <c r="G119" s="112">
        <f t="shared" si="9"/>
        <v>436</v>
      </c>
      <c r="H119" s="99">
        <f>G119+'3'!H119</f>
        <v>1768.609999999986</v>
      </c>
      <c r="I119" s="165"/>
      <c r="J119" s="328">
        <f>H119/DAY(B2)</f>
        <v>442.15249999999651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'3'!F120</f>
        <v>68988</v>
      </c>
      <c r="F120" s="237">
        <v>69403</v>
      </c>
      <c r="G120" s="112">
        <f t="shared" si="9"/>
        <v>415</v>
      </c>
      <c r="H120" s="99">
        <f>G120+'3'!H120</f>
        <v>1678.2400000000052</v>
      </c>
      <c r="I120" s="165"/>
      <c r="J120" s="328">
        <f>H120/DAY(B2)</f>
        <v>419.56000000000131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'3'!F121</f>
        <v>445116</v>
      </c>
      <c r="F121" s="237">
        <v>445861</v>
      </c>
      <c r="G121" s="112">
        <f t="shared" si="9"/>
        <v>745</v>
      </c>
      <c r="H121" s="99">
        <f>G121+'3'!H121</f>
        <v>3142.7299999999814</v>
      </c>
      <c r="I121" s="165"/>
      <c r="J121" s="328">
        <f>H121/DAY(B2)</f>
        <v>785.68249999999534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'3'!F122</f>
        <v>139984</v>
      </c>
      <c r="F122" s="237">
        <v>140223</v>
      </c>
      <c r="G122" s="112">
        <f t="shared" si="9"/>
        <v>239</v>
      </c>
      <c r="H122" s="99">
        <f>G122+'3'!H122</f>
        <v>914.85999999998603</v>
      </c>
      <c r="I122" s="165"/>
      <c r="J122" s="328">
        <f>H122/DAY(B2)</f>
        <v>228.71499999999651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'3'!F123</f>
        <v>170214</v>
      </c>
      <c r="F123" s="237">
        <v>170470</v>
      </c>
      <c r="G123" s="112">
        <f t="shared" si="9"/>
        <v>256</v>
      </c>
      <c r="H123" s="99">
        <f>G123+'3'!H123</f>
        <v>1028</v>
      </c>
      <c r="I123" s="165"/>
      <c r="J123" s="328">
        <f>H123/DAY(B2)</f>
        <v>257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1" t="s">
        <v>196</v>
      </c>
      <c r="B125" s="462"/>
      <c r="C125" s="463"/>
      <c r="D125" s="307"/>
      <c r="E125" s="308"/>
      <c r="F125" s="308"/>
      <c r="G125" s="309">
        <f>SUM(G112:G124)</f>
        <v>3935</v>
      </c>
      <c r="H125" s="156"/>
      <c r="I125" s="327">
        <f>G125-(G39+G53)</f>
        <v>684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'3'!F128</f>
        <v>70083</v>
      </c>
      <c r="F128" s="165">
        <v>70480</v>
      </c>
      <c r="G128" s="112">
        <f t="shared" ref="G128:G134" si="10">F128-E128</f>
        <v>397</v>
      </c>
      <c r="H128" s="99">
        <f>G128+'3'!H128</f>
        <v>1563.7599999999948</v>
      </c>
      <c r="I128" s="165"/>
      <c r="J128" s="328">
        <f>H128/DAY(B2)</f>
        <v>390.93999999999869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43046</v>
      </c>
      <c r="F129" s="165">
        <v>43334</v>
      </c>
      <c r="G129" s="112">
        <f t="shared" si="10"/>
        <v>288</v>
      </c>
      <c r="H129" s="99">
        <f>G129+'3'!H129</f>
        <v>1222.9499999999971</v>
      </c>
      <c r="I129" s="165"/>
      <c r="J129" s="328">
        <f>H129/DAY(B2)</f>
        <v>305.73749999999927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77791</v>
      </c>
      <c r="F130" s="165">
        <v>78390</v>
      </c>
      <c r="G130" s="112">
        <f t="shared" si="10"/>
        <v>599</v>
      </c>
      <c r="H130" s="99">
        <f>G130+'3'!H130</f>
        <v>2728.0500000000029</v>
      </c>
      <c r="I130" s="165"/>
      <c r="J130" s="328">
        <f>H130/DAY(B2)</f>
        <v>682.01250000000073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'3'!F131</f>
        <v>24969</v>
      </c>
      <c r="F131" s="165">
        <v>25176</v>
      </c>
      <c r="G131" s="112">
        <f t="shared" si="10"/>
        <v>207</v>
      </c>
      <c r="H131" s="99">
        <f>G131+'3'!H131</f>
        <v>743.5</v>
      </c>
      <c r="I131" s="165"/>
      <c r="J131" s="328">
        <f>H131/DAY(B2)</f>
        <v>185.875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'3'!F132</f>
        <v>76973</v>
      </c>
      <c r="F132" s="165">
        <v>77391</v>
      </c>
      <c r="G132" s="112">
        <f t="shared" si="10"/>
        <v>418</v>
      </c>
      <c r="H132" s="99">
        <f>G132+'3'!H132</f>
        <v>1723.5</v>
      </c>
      <c r="I132" s="165"/>
      <c r="J132" s="328">
        <f>H132/DAY(B2)</f>
        <v>430.875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'3'!F133</f>
        <v>147772</v>
      </c>
      <c r="F133" s="165">
        <v>148555</v>
      </c>
      <c r="G133" s="112">
        <f t="shared" si="10"/>
        <v>783</v>
      </c>
      <c r="H133" s="99">
        <f>G133+'3'!H133</f>
        <v>3173.0100000000093</v>
      </c>
      <c r="I133" s="165"/>
      <c r="J133" s="328">
        <f>H133/DAY(B2)</f>
        <v>793.25250000000233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'3'!F134</f>
        <v>21519</v>
      </c>
      <c r="F134" s="165">
        <v>21760</v>
      </c>
      <c r="G134" s="112">
        <f t="shared" si="10"/>
        <v>241</v>
      </c>
      <c r="H134" s="99">
        <f>G134+'3'!H134</f>
        <v>967.31999999999971</v>
      </c>
      <c r="I134" s="165"/>
      <c r="J134" s="328">
        <f>H134/DAY(B2)</f>
        <v>241.82999999999993</v>
      </c>
    </row>
    <row r="135" spans="1:15" ht="26.25">
      <c r="A135" s="871" t="s">
        <v>196</v>
      </c>
      <c r="B135" s="872"/>
      <c r="C135" s="873"/>
      <c r="D135" s="151"/>
      <c r="E135" s="95"/>
      <c r="F135" s="165"/>
      <c r="G135" s="112">
        <f>SUM(G128:G134)</f>
        <v>2933</v>
      </c>
      <c r="H135" s="99">
        <f>G135+'3'!H135</f>
        <v>12122.090000000004</v>
      </c>
      <c r="I135" s="327">
        <f>G135-(G35+G49)</f>
        <v>-777</v>
      </c>
      <c r="J135" s="328">
        <f>H135/DAY(B2)</f>
        <v>3030.5225000000009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'3'!F138</f>
        <v>874561</v>
      </c>
      <c r="F138" s="147">
        <v>874728</v>
      </c>
      <c r="G138" s="112">
        <f t="shared" ref="G138:G152" si="11">F138-E138</f>
        <v>167</v>
      </c>
      <c r="H138" s="99">
        <f>G138+'3'!H138</f>
        <v>727</v>
      </c>
      <c r="I138" s="118"/>
      <c r="J138" s="328">
        <f>H138/DAY(B2)</f>
        <v>181.75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'3'!F139</f>
        <v>890777</v>
      </c>
      <c r="F139" s="148">
        <v>890915</v>
      </c>
      <c r="G139" s="112">
        <f t="shared" si="11"/>
        <v>138</v>
      </c>
      <c r="H139" s="99">
        <f>G139+'3'!H139</f>
        <v>597</v>
      </c>
      <c r="I139" s="118"/>
      <c r="J139" s="328">
        <f>H139/DAY(B2)</f>
        <v>149.25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'3'!F140</f>
        <v>88993</v>
      </c>
      <c r="F140" s="149">
        <v>88994</v>
      </c>
      <c r="G140" s="112">
        <f t="shared" si="11"/>
        <v>1</v>
      </c>
      <c r="H140" s="99">
        <f>G140+'3'!H140</f>
        <v>4</v>
      </c>
      <c r="I140" s="118"/>
      <c r="J140" s="328">
        <f>H140/DAY(B2)</f>
        <v>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'3'!F141</f>
        <v>66371</v>
      </c>
      <c r="F141" s="149">
        <v>66558</v>
      </c>
      <c r="G141" s="112">
        <f t="shared" si="11"/>
        <v>187</v>
      </c>
      <c r="H141" s="99">
        <f>G141+'3'!H141</f>
        <v>774.47000000000116</v>
      </c>
      <c r="I141" s="118"/>
      <c r="J141" s="328">
        <f>H141/DAY(B2)</f>
        <v>193.61750000000029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'3'!F142</f>
        <v>25731</v>
      </c>
      <c r="F142" s="148">
        <v>25814</v>
      </c>
      <c r="G142" s="112">
        <f t="shared" si="11"/>
        <v>83</v>
      </c>
      <c r="H142" s="99">
        <f>G142+'3'!H142</f>
        <v>317.59999999999854</v>
      </c>
      <c r="I142" s="140"/>
      <c r="J142" s="328">
        <f>H142/DAY(B2)</f>
        <v>79.399999999999636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'3'!F143</f>
        <v>5644</v>
      </c>
      <c r="F143" s="149">
        <v>5671</v>
      </c>
      <c r="G143" s="112">
        <f t="shared" si="11"/>
        <v>27</v>
      </c>
      <c r="H143" s="99">
        <f>G143+'3'!H143</f>
        <v>110.28999999999996</v>
      </c>
      <c r="I143" s="140"/>
      <c r="J143" s="328">
        <f>H143/DAY(B2)</f>
        <v>27.572499999999991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'3'!F144</f>
        <v>890615</v>
      </c>
      <c r="F144" s="149">
        <v>890861</v>
      </c>
      <c r="G144" s="112">
        <f t="shared" si="11"/>
        <v>246</v>
      </c>
      <c r="H144" s="99">
        <f>G144+'3'!H144</f>
        <v>1027</v>
      </c>
      <c r="I144" s="140"/>
      <c r="J144" s="328">
        <f>H144/DAY(B2)</f>
        <v>256.75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'3'!F145</f>
        <v>5560</v>
      </c>
      <c r="F145" s="149">
        <v>5561</v>
      </c>
      <c r="G145" s="112">
        <f t="shared" si="11"/>
        <v>1</v>
      </c>
      <c r="H145" s="99">
        <f>G145+'3'!H145</f>
        <v>4.6000000000003638</v>
      </c>
      <c r="I145" s="140"/>
      <c r="J145" s="328">
        <f>H145/DAY(B2)</f>
        <v>1.1500000000000909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'3'!F146</f>
        <v>765927</v>
      </c>
      <c r="F146" s="148">
        <v>766384</v>
      </c>
      <c r="G146" s="112">
        <f t="shared" si="11"/>
        <v>457</v>
      </c>
      <c r="H146" s="99">
        <f>G146+'3'!H146</f>
        <v>2058</v>
      </c>
      <c r="I146" s="140"/>
      <c r="J146" s="328">
        <f>H146/DAY(B2)</f>
        <v>514.5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'3'!F147</f>
        <v>651597</v>
      </c>
      <c r="F147" s="148">
        <v>652076</v>
      </c>
      <c r="G147" s="112">
        <f t="shared" si="11"/>
        <v>479</v>
      </c>
      <c r="H147" s="99">
        <f>G147+'3'!H147</f>
        <v>1892</v>
      </c>
      <c r="I147" s="140"/>
      <c r="J147" s="328">
        <f>H147/DAY(B2)</f>
        <v>473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'3'!F148</f>
        <v>710030</v>
      </c>
      <c r="F148" s="150">
        <v>710331</v>
      </c>
      <c r="G148" s="112">
        <f t="shared" si="11"/>
        <v>301</v>
      </c>
      <c r="H148" s="99">
        <f>G148+'3'!H148</f>
        <v>1466.3199999999488</v>
      </c>
      <c r="I148" s="124"/>
      <c r="J148" s="328">
        <f>H148/DAY(B2)</f>
        <v>366.57999999998719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'3'!F149</f>
        <v>65559</v>
      </c>
      <c r="F149" s="146">
        <v>66262</v>
      </c>
      <c r="G149" s="112">
        <f t="shared" si="11"/>
        <v>703</v>
      </c>
      <c r="H149" s="99">
        <f>G149+'3'!H149</f>
        <v>3038.1999999999971</v>
      </c>
      <c r="I149" s="119"/>
      <c r="J149" s="328">
        <f>H149/DAY(B2)</f>
        <v>759.54999999999927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'3'!F150</f>
        <v>24629</v>
      </c>
      <c r="F150" s="233">
        <v>24847</v>
      </c>
      <c r="G150" s="112">
        <f t="shared" si="11"/>
        <v>218</v>
      </c>
      <c r="H150" s="99">
        <f>G150+'3'!H150</f>
        <v>891.20999999999913</v>
      </c>
      <c r="I150" s="119"/>
      <c r="J150" s="328">
        <f>H150/DAY(B2)</f>
        <v>222.80249999999978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'3'!F151</f>
        <v>101489</v>
      </c>
      <c r="F151" s="233">
        <v>101761</v>
      </c>
      <c r="G151" s="112">
        <f t="shared" si="11"/>
        <v>272</v>
      </c>
      <c r="H151" s="99">
        <f>G151+'3'!H151</f>
        <v>1150</v>
      </c>
      <c r="I151" s="119"/>
      <c r="J151" s="328">
        <f>H151/DAY(B2)</f>
        <v>287.5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'3'!F152</f>
        <v>8454</v>
      </c>
      <c r="F152" s="233">
        <v>8582</v>
      </c>
      <c r="G152" s="112">
        <f t="shared" si="11"/>
        <v>128</v>
      </c>
      <c r="H152" s="99">
        <f>G152+'3'!H152</f>
        <v>512.9399999999996</v>
      </c>
      <c r="I152" s="119"/>
      <c r="J152" s="328">
        <f>H152/DAY(B2)</f>
        <v>128.2349999999999</v>
      </c>
    </row>
    <row r="153" spans="1:10" ht="26.25">
      <c r="A153" s="871" t="s">
        <v>196</v>
      </c>
      <c r="B153" s="872"/>
      <c r="C153" s="873"/>
      <c r="D153" s="358"/>
      <c r="E153" s="360"/>
      <c r="F153" s="361"/>
      <c r="G153" s="362">
        <f>SUM(G138:G152)</f>
        <v>3408</v>
      </c>
      <c r="H153" s="363"/>
      <c r="I153" s="119">
        <f>G153-(G38+G52)</f>
        <v>919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'3'!F155</f>
        <v>74724</v>
      </c>
      <c r="F155" s="374">
        <v>75330</v>
      </c>
      <c r="G155" s="112">
        <f t="shared" ref="G155:G158" si="12">F155-E155</f>
        <v>606</v>
      </c>
      <c r="H155" s="99">
        <f>G155+'3'!H155</f>
        <v>2559.5</v>
      </c>
      <c r="I155" s="364"/>
      <c r="J155" s="328">
        <f>H155/DAY(B2)</f>
        <v>639.875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'3'!F156</f>
        <v>6214</v>
      </c>
      <c r="F156" s="155">
        <v>6265</v>
      </c>
      <c r="G156" s="112">
        <f t="shared" si="12"/>
        <v>51</v>
      </c>
      <c r="H156" s="99">
        <f>G156+'3'!H156</f>
        <v>207.75</v>
      </c>
      <c r="I156" s="165"/>
      <c r="J156" s="328">
        <f>H156/DAY(B2)</f>
        <v>51.9375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'3'!F157</f>
        <v>10569</v>
      </c>
      <c r="F157" s="155">
        <v>10692</v>
      </c>
      <c r="G157" s="112">
        <f t="shared" si="12"/>
        <v>123</v>
      </c>
      <c r="H157" s="99">
        <f>G157+'3'!H157</f>
        <v>453.19000000000051</v>
      </c>
      <c r="I157" s="165"/>
      <c r="J157" s="328">
        <f>H157/DAY(B2)</f>
        <v>113.29750000000013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'3'!F158</f>
        <v>91</v>
      </c>
      <c r="F158" s="155">
        <v>92</v>
      </c>
      <c r="G158" s="112">
        <f t="shared" si="12"/>
        <v>1</v>
      </c>
      <c r="H158" s="99">
        <f>G158+'3'!H158</f>
        <v>1.5799999999999983</v>
      </c>
      <c r="I158" s="165"/>
      <c r="J158" s="328">
        <f>H158/DAY(B2)</f>
        <v>0.39499999999999957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473841</v>
      </c>
      <c r="F161" s="235">
        <v>473841</v>
      </c>
      <c r="G161" s="238">
        <f t="shared" ref="G161:G168" si="13">F161-E161</f>
        <v>0</v>
      </c>
      <c r="H161" s="99">
        <f>G161+'3'!H161</f>
        <v>0.27000000001862645</v>
      </c>
      <c r="I161" s="236"/>
      <c r="J161" s="239">
        <f>H161/DAY(B2)</f>
        <v>6.7500000004656613E-2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90532</v>
      </c>
      <c r="F162" s="235">
        <v>90571</v>
      </c>
      <c r="G162" s="238">
        <f t="shared" si="13"/>
        <v>39</v>
      </c>
      <c r="H162" s="99">
        <f>G162+'3'!H162</f>
        <v>118.10000000000582</v>
      </c>
      <c r="I162" s="236"/>
      <c r="J162" s="239">
        <f>H162/DAY(B2)</f>
        <v>29.525000000001455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87645</v>
      </c>
      <c r="F163" s="235">
        <v>87830</v>
      </c>
      <c r="G163" s="238">
        <f t="shared" si="13"/>
        <v>185</v>
      </c>
      <c r="H163" s="99">
        <f>G163+'3'!H163</f>
        <v>751.19999999999709</v>
      </c>
      <c r="I163" s="236"/>
      <c r="J163" s="239">
        <f>H163/DAY(B2)</f>
        <v>187.79999999999927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4859</v>
      </c>
      <c r="F164" s="235">
        <v>4874</v>
      </c>
      <c r="G164" s="238">
        <f t="shared" si="13"/>
        <v>15</v>
      </c>
      <c r="H164" s="99">
        <f>G164+'3'!H164</f>
        <v>61.600000000000364</v>
      </c>
      <c r="I164" s="236"/>
      <c r="J164" s="239">
        <f>H164/DAY(B2)</f>
        <v>15.400000000000091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30371</v>
      </c>
      <c r="F165" s="235">
        <v>30380</v>
      </c>
      <c r="G165" s="238">
        <f t="shared" si="13"/>
        <v>9</v>
      </c>
      <c r="H165" s="99">
        <f>G165+'3'!H165</f>
        <v>24.490000000001601</v>
      </c>
      <c r="I165" s="236"/>
      <c r="J165" s="239">
        <f>H165/DAY(B2)</f>
        <v>6.1225000000004002</v>
      </c>
    </row>
    <row r="166" spans="1:10" ht="26.25">
      <c r="A166" s="938"/>
      <c r="B166" s="938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8"/>
      <c r="B167" s="938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8"/>
      <c r="B168" s="938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'3'!F173</f>
        <v>8265</v>
      </c>
      <c r="F173" s="155">
        <v>8265</v>
      </c>
      <c r="G173" s="155">
        <f>F173-E173</f>
        <v>0</v>
      </c>
      <c r="H173" s="99">
        <f>G173+'3'!H173</f>
        <v>1</v>
      </c>
      <c r="I173" s="155"/>
      <c r="J173" s="178">
        <f>H173/DAY(B2)</f>
        <v>0.25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'3'!F174</f>
        <v>39505</v>
      </c>
      <c r="F174" s="157">
        <v>39519</v>
      </c>
      <c r="G174" s="155">
        <f t="shared" ref="G174:G175" si="14">F174-E174</f>
        <v>14</v>
      </c>
      <c r="H174" s="99">
        <f>G174+'3'!H174</f>
        <v>57</v>
      </c>
      <c r="I174" s="155"/>
      <c r="J174" s="178">
        <f>H174/DAY(B2)</f>
        <v>14.25</v>
      </c>
    </row>
    <row r="175" spans="1:10" ht="25.5" customHeight="1">
      <c r="A175" s="896" t="s">
        <v>76</v>
      </c>
      <c r="B175" s="901"/>
      <c r="C175" s="897"/>
      <c r="D175" s="228" t="s">
        <v>142</v>
      </c>
      <c r="E175" s="95">
        <f>'3'!F175</f>
        <v>22559</v>
      </c>
      <c r="F175" s="155">
        <v>22569</v>
      </c>
      <c r="G175" s="155">
        <f t="shared" si="14"/>
        <v>10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871" t="s">
        <v>196</v>
      </c>
      <c r="B176" s="872"/>
      <c r="C176" s="873"/>
      <c r="D176" s="228"/>
      <c r="E176" s="95"/>
      <c r="F176" s="155"/>
      <c r="G176" s="155">
        <f>SUM(G173:G175)</f>
        <v>24</v>
      </c>
      <c r="H176" s="99">
        <f>G176+'3'!H176</f>
        <v>105</v>
      </c>
      <c r="I176" s="155"/>
      <c r="J176" s="178">
        <f>H176/DAY(B2)</f>
        <v>26.25</v>
      </c>
    </row>
    <row r="177" spans="1:10" ht="28.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6" t="s">
        <v>210</v>
      </c>
      <c r="B178" s="897"/>
      <c r="C178" s="333"/>
      <c r="D178" s="228" t="s">
        <v>142</v>
      </c>
      <c r="E178" s="95">
        <f>'3'!F178</f>
        <v>85890</v>
      </c>
      <c r="F178" s="157">
        <v>85973</v>
      </c>
      <c r="G178" s="155">
        <f>F178-E178</f>
        <v>83</v>
      </c>
      <c r="H178" s="99">
        <f>G178+'3'!H178</f>
        <v>357</v>
      </c>
      <c r="I178" s="155"/>
      <c r="J178" s="178">
        <f>H178/DAY(B2)</f>
        <v>89.25</v>
      </c>
    </row>
    <row r="179" spans="1:10" ht="24" customHeight="1">
      <c r="A179" s="896" t="s">
        <v>211</v>
      </c>
      <c r="B179" s="897"/>
      <c r="C179" s="333"/>
      <c r="D179" s="228" t="s">
        <v>142</v>
      </c>
      <c r="E179" s="95">
        <f>'3'!F179</f>
        <v>35684</v>
      </c>
      <c r="F179" s="155">
        <v>35684</v>
      </c>
      <c r="G179" s="155">
        <f t="shared" ref="G179:G180" si="15">F179-E179</f>
        <v>0</v>
      </c>
      <c r="H179" s="99">
        <f>G179+'3'!H179</f>
        <v>70</v>
      </c>
      <c r="I179" s="155"/>
      <c r="J179" s="178">
        <f>H179/DAY(B2)</f>
        <v>17.5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'3'!F180</f>
        <v>6150</v>
      </c>
      <c r="F180" s="155">
        <v>6150</v>
      </c>
      <c r="G180" s="155">
        <f t="shared" si="15"/>
        <v>0</v>
      </c>
      <c r="H180" s="99">
        <f>G180+'3'!H180</f>
        <v>17</v>
      </c>
      <c r="I180" s="155"/>
      <c r="J180" s="178">
        <f>H180/DAY(B2)</f>
        <v>4.25</v>
      </c>
    </row>
    <row r="181" spans="1:10" ht="21.95" customHeight="1">
      <c r="A181" s="871" t="s">
        <v>196</v>
      </c>
      <c r="B181" s="872"/>
      <c r="C181" s="873"/>
      <c r="D181" s="228"/>
      <c r="E181" s="95"/>
      <c r="F181" s="155"/>
      <c r="G181" s="155">
        <f>SUM(G178:G180)</f>
        <v>83</v>
      </c>
      <c r="H181" s="99">
        <f>G181+'3'!H181</f>
        <v>444</v>
      </c>
      <c r="I181" s="155"/>
      <c r="J181" s="178">
        <f>H181/DAY(B2)</f>
        <v>111</v>
      </c>
    </row>
    <row r="182" spans="1:10" ht="21.95" customHeight="1">
      <c r="A182" s="896" t="s">
        <v>213</v>
      </c>
      <c r="B182" s="89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'3'!F183</f>
        <v>16215</v>
      </c>
      <c r="F183" s="157">
        <v>16222</v>
      </c>
      <c r="G183" s="157">
        <f>F183-E183</f>
        <v>7</v>
      </c>
      <c r="H183" s="99">
        <f>G183+'3'!H183</f>
        <v>80</v>
      </c>
      <c r="I183" s="155"/>
      <c r="J183" s="178">
        <f>H183/DAY(B2)</f>
        <v>20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'3'!F184</f>
        <v>11069</v>
      </c>
      <c r="F184" s="157">
        <v>11074</v>
      </c>
      <c r="G184" s="157">
        <f t="shared" ref="G184:G185" si="16">F184-E184</f>
        <v>5</v>
      </c>
      <c r="H184" s="99">
        <f>G184+'3'!H184</f>
        <v>25</v>
      </c>
      <c r="I184" s="155"/>
      <c r="J184" s="178">
        <f>H184/DAY(B2)</f>
        <v>6.25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71" t="s">
        <v>196</v>
      </c>
      <c r="B186" s="872"/>
      <c r="C186" s="873"/>
      <c r="D186" s="229"/>
      <c r="E186" s="95"/>
      <c r="F186" s="157"/>
      <c r="G186" s="157">
        <f>SUM(G183:G185)</f>
        <v>12</v>
      </c>
      <c r="H186" s="99">
        <f>G186+'3'!H186</f>
        <v>105</v>
      </c>
      <c r="I186" s="157"/>
      <c r="J186" s="178">
        <f>H186/DAY(B2)</f>
        <v>26.25</v>
      </c>
    </row>
    <row r="187" spans="1:10" ht="25.5" customHeight="1">
      <c r="A187" s="946" t="s">
        <v>217</v>
      </c>
      <c r="B187" s="947"/>
      <c r="C187" s="333"/>
      <c r="D187" s="230" t="s">
        <v>142</v>
      </c>
      <c r="E187" s="95"/>
      <c r="F187" s="99"/>
      <c r="G187" s="378">
        <f>G62+G19</f>
        <v>216</v>
      </c>
      <c r="H187" s="99">
        <f>G187+'3'!H187</f>
        <v>957</v>
      </c>
      <c r="I187" s="158"/>
      <c r="J187" s="179">
        <f>H187/DAY(B2)</f>
        <v>239.25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195</v>
      </c>
      <c r="H188" s="99">
        <f>G188+'3'!H188</f>
        <v>913</v>
      </c>
      <c r="I188" s="158"/>
      <c r="J188" s="179">
        <f>H188/DAY(B2)</f>
        <v>228.25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83</v>
      </c>
      <c r="H189" s="99">
        <f>G189+'3'!H189</f>
        <v>444</v>
      </c>
      <c r="I189" s="158"/>
      <c r="J189" s="179">
        <f>H189/DAY(B2)</f>
        <v>111</v>
      </c>
    </row>
    <row r="190" spans="1:10" ht="25.5">
      <c r="A190" s="946"/>
      <c r="B190" s="94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1" zoomScaleNormal="48" zoomScaleSheetLayoutView="51" workbookViewId="0">
      <selection activeCell="F13" sqref="F1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44656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93859</v>
      </c>
      <c r="F7" s="95">
        <v>120761.71</v>
      </c>
      <c r="G7" s="112">
        <f>F7-E7</f>
        <v>26902.710000000006</v>
      </c>
      <c r="H7" s="99">
        <f>G7+'4'!H7</f>
        <v>134038.71000000002</v>
      </c>
      <c r="I7" s="113">
        <f>'1'!I7</f>
        <v>12000</v>
      </c>
      <c r="J7" s="175">
        <f>H7/DAY(B2)</f>
        <v>26807.742000000006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166689</v>
      </c>
      <c r="F8" s="114">
        <v>194160.01</v>
      </c>
      <c r="G8" s="115">
        <f>F8-E8</f>
        <v>27471.010000000009</v>
      </c>
      <c r="H8" s="99">
        <f>G8+'4'!H8</f>
        <v>136113.79</v>
      </c>
      <c r="I8" s="116"/>
      <c r="J8" s="175">
        <f>H8/DAY(B2)</f>
        <v>27222.758000000002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1346073</v>
      </c>
      <c r="F9" s="117">
        <v>1363905.01</v>
      </c>
      <c r="G9" s="112">
        <f>F9-E9</f>
        <v>17832.010000000009</v>
      </c>
      <c r="H9" s="99">
        <f>G9+'4'!H9</f>
        <v>96230.010000000009</v>
      </c>
      <c r="I9" s="124">
        <f>I7-J7</f>
        <v>-14807.742000000006</v>
      </c>
      <c r="J9" s="175">
        <f>H9/DAY(B2)</f>
        <v>19246.002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443859</v>
      </c>
      <c r="F10" s="117">
        <v>452210.67</v>
      </c>
      <c r="G10" s="112">
        <f t="shared" ref="G10:G12" si="0">F10-E10</f>
        <v>8351.6699999999837</v>
      </c>
      <c r="H10" s="99">
        <f>G10+'4'!H10</f>
        <v>33935.200000000012</v>
      </c>
      <c r="I10" s="282"/>
      <c r="J10" s="175">
        <f>H10/DAY(B2)</f>
        <v>6787.0400000000027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26183.679999999993</v>
      </c>
      <c r="H13" s="99">
        <f>G13+'4'!H13</f>
        <v>130165.68</v>
      </c>
      <c r="I13" s="120">
        <f>G7-G13</f>
        <v>719.03000000001339</v>
      </c>
      <c r="J13" s="175">
        <f>H13/DAY(B2)</f>
        <v>26033.135999999999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1975276</v>
      </c>
      <c r="F15" s="470">
        <v>1976393.89</v>
      </c>
      <c r="G15" s="112">
        <f>(F15-E15)</f>
        <v>1117.8899999998976</v>
      </c>
      <c r="H15" s="99">
        <f>G15+'4'!H15</f>
        <v>5456.8899999998976</v>
      </c>
      <c r="I15" s="113">
        <f>'1'!I15</f>
        <v>800</v>
      </c>
      <c r="J15" s="175">
        <f>H15/DAY(B2)</f>
        <v>1091.3779999999795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-291.37799999997947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'4'!F18</f>
        <v>28</v>
      </c>
      <c r="F18" s="122">
        <v>24</v>
      </c>
      <c r="G18" s="119">
        <f>F18*10</f>
        <v>240</v>
      </c>
      <c r="H18" s="99">
        <f>G18+'4'!H18</f>
        <v>1320</v>
      </c>
      <c r="I18" s="113">
        <f>'1'!I18</f>
        <v>65</v>
      </c>
      <c r="J18" s="175">
        <f>H18/DAY(B2)</f>
        <v>264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'4'!F19</f>
        <v>157180</v>
      </c>
      <c r="F19" s="122">
        <v>157226</v>
      </c>
      <c r="G19" s="112">
        <f t="shared" ref="G19" si="1">F19-E19</f>
        <v>46</v>
      </c>
      <c r="H19" s="99">
        <f>G19+'4'!H19</f>
        <v>237</v>
      </c>
      <c r="I19" s="335"/>
      <c r="J19" s="175">
        <f>H19/DAY(B2)</f>
        <v>47.4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286</v>
      </c>
      <c r="H20" s="99">
        <f>G20+'4'!H20</f>
        <v>1557</v>
      </c>
      <c r="I20" s="336">
        <f>I18-J20</f>
        <v>-246.39999999999998</v>
      </c>
      <c r="J20" s="175">
        <f>H20/DAY(B2)</f>
        <v>311.39999999999998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27471.010000000009</v>
      </c>
      <c r="F27" s="136">
        <v>9</v>
      </c>
      <c r="G27" s="137">
        <f>E27*F27</f>
        <v>247239.09000000008</v>
      </c>
      <c r="H27" s="99">
        <f>G27+'4'!H27</f>
        <v>1225024.1100000001</v>
      </c>
      <c r="I27" s="138"/>
      <c r="J27" s="175">
        <f>H27/DAY(B2)</f>
        <v>245004.82200000001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1117.8899999998976</v>
      </c>
      <c r="F28" s="136">
        <v>70</v>
      </c>
      <c r="G28" s="137">
        <f>E28*F28</f>
        <v>78252.299999992829</v>
      </c>
      <c r="H28" s="99">
        <f>G28+'4'!H28</f>
        <v>381982.29999999283</v>
      </c>
      <c r="I28" s="140"/>
      <c r="J28" s="175">
        <f>H28/DAY(B2)</f>
        <v>76396.459999998566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G30+'4'!H30</f>
        <v>35787</v>
      </c>
      <c r="I30" s="140"/>
      <c r="J30" s="175">
        <f>H30/DAY(B2)</f>
        <v>7157.4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105600</v>
      </c>
      <c r="I31" s="140"/>
      <c r="J31" s="175">
        <f>H31/DAY(B2)</f>
        <v>21120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351637.38999999291</v>
      </c>
      <c r="H32" s="99">
        <f>G32+'4'!H32</f>
        <v>1748393.4099999929</v>
      </c>
      <c r="I32" s="144"/>
      <c r="J32" s="175">
        <f>H32/DAY(B2)</f>
        <v>349678.68199999857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146639</v>
      </c>
      <c r="F35" s="145">
        <v>148795.15</v>
      </c>
      <c r="G35" s="112">
        <f t="shared" ref="G35:G46" si="3">F35-E35</f>
        <v>2156.1499999999942</v>
      </c>
      <c r="H35" s="99">
        <f>G35+'4'!H35</f>
        <v>10515.940000000002</v>
      </c>
      <c r="I35" s="95"/>
      <c r="J35" s="175">
        <f>H35/DAY(B2)</f>
        <v>2103.1880000000006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104097</v>
      </c>
      <c r="F36" s="145">
        <v>104874.13</v>
      </c>
      <c r="G36" s="112">
        <f t="shared" si="3"/>
        <v>777.13000000000466</v>
      </c>
      <c r="H36" s="99">
        <f>G36+'4'!H36</f>
        <v>4353.4700000000012</v>
      </c>
      <c r="I36" s="95"/>
      <c r="J36" s="175">
        <f>H36/DAY(B2)</f>
        <v>870.69400000000019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139326</v>
      </c>
      <c r="F37" s="145">
        <v>140968.89000000001</v>
      </c>
      <c r="G37" s="112">
        <f t="shared" si="3"/>
        <v>1642.890000000014</v>
      </c>
      <c r="H37" s="99">
        <f>G37+'4'!H37</f>
        <v>8043.8700000000244</v>
      </c>
      <c r="I37" s="95"/>
      <c r="J37" s="175">
        <f>H37/DAY(B2)</f>
        <v>1608.7740000000049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180552</v>
      </c>
      <c r="F38" s="108">
        <v>183047.93</v>
      </c>
      <c r="G38" s="112">
        <f t="shared" si="3"/>
        <v>2495.929999999993</v>
      </c>
      <c r="H38" s="99">
        <f>G38+'4'!H38</f>
        <v>12938.559999999998</v>
      </c>
      <c r="I38" s="95"/>
      <c r="J38" s="175">
        <f>H38/DAY(B2)</f>
        <v>2587.7119999999995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257433</v>
      </c>
      <c r="F39" s="145">
        <v>260698.27</v>
      </c>
      <c r="G39" s="112">
        <f t="shared" si="3"/>
        <v>3265.2699999999895</v>
      </c>
      <c r="H39" s="99">
        <f>G39+'4'!H39</f>
        <v>16544.839999999997</v>
      </c>
      <c r="I39" s="95"/>
      <c r="J39" s="175">
        <f>H39/DAY(B2)</f>
        <v>3308.9679999999994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51616</v>
      </c>
      <c r="F40" s="145">
        <v>52036.18</v>
      </c>
      <c r="G40" s="112">
        <f t="shared" si="3"/>
        <v>420.18000000000029</v>
      </c>
      <c r="H40" s="99">
        <f>G40+'4'!H40</f>
        <v>2884.3199999999997</v>
      </c>
      <c r="I40" s="95"/>
      <c r="J40" s="175">
        <f>H40/DAY(B2)</f>
        <v>576.86399999999992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-0.27000000000000313</v>
      </c>
      <c r="I41" s="95"/>
      <c r="J41" s="175">
        <f>H41/DAY(B2)</f>
        <v>-5.4000000000000624E-2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300075</v>
      </c>
      <c r="F42" s="145">
        <v>303257.69</v>
      </c>
      <c r="G42" s="112">
        <f t="shared" si="3"/>
        <v>3182.6900000000023</v>
      </c>
      <c r="H42" s="99">
        <f>G42+'4'!H42</f>
        <v>21900.440000000002</v>
      </c>
      <c r="I42" s="95"/>
      <c r="J42" s="175">
        <f>H42/DAY(B2)</f>
        <v>4380.0880000000006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270927</v>
      </c>
      <c r="F43" s="145">
        <v>273806.49</v>
      </c>
      <c r="G43" s="112">
        <f t="shared" si="3"/>
        <v>2879.4899999999907</v>
      </c>
      <c r="H43" s="99">
        <f>G43+'4'!H43</f>
        <v>15052.01999999999</v>
      </c>
      <c r="I43" s="95"/>
      <c r="J43" s="175">
        <f>H43/DAY(B2)</f>
        <v>3010.4039999999977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16819.729999999989</v>
      </c>
      <c r="H47" s="99">
        <f>G47+'4'!H47</f>
        <v>92233.19</v>
      </c>
      <c r="I47" s="95"/>
      <c r="J47" s="175">
        <f>H47/DAY(B2)</f>
        <v>18446.637999999999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117338</v>
      </c>
      <c r="F49" s="145">
        <v>119212.99</v>
      </c>
      <c r="G49" s="112">
        <f t="shared" ref="G49:G58" si="4">F49-E49</f>
        <v>1874.9900000000052</v>
      </c>
      <c r="H49" s="99">
        <f>G49+'4'!H49</f>
        <v>8710.7900000000081</v>
      </c>
      <c r="I49" s="95"/>
      <c r="J49" s="175">
        <f>H49/DAY(B2)</f>
        <v>1742.1580000000017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137524</v>
      </c>
      <c r="F50" s="145">
        <v>138636.56</v>
      </c>
      <c r="G50" s="112">
        <f t="shared" si="4"/>
        <v>1112.5599999999977</v>
      </c>
      <c r="H50" s="99">
        <f>G50+'4'!H50</f>
        <v>7426.4199999999837</v>
      </c>
      <c r="I50" s="95"/>
      <c r="J50" s="175">
        <f>H50/DAY(B2)</f>
        <v>1485.2839999999967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37788</v>
      </c>
      <c r="F54" s="145">
        <v>38315.629999999997</v>
      </c>
      <c r="G54" s="112">
        <f t="shared" si="4"/>
        <v>527.62999999999738</v>
      </c>
      <c r="H54" s="99">
        <f>G54+'4'!H54</f>
        <v>2644.5699999999997</v>
      </c>
      <c r="I54" s="95"/>
      <c r="J54" s="175">
        <f>H54/DAY(B2)</f>
        <v>528.91399999999999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119326</v>
      </c>
      <c r="F55" s="145">
        <v>119326.45</v>
      </c>
      <c r="G55" s="112">
        <f t="shared" si="4"/>
        <v>0.44999999999708962</v>
      </c>
      <c r="H55" s="99">
        <f>G55+'4'!H55</f>
        <v>6845.4199999999983</v>
      </c>
      <c r="I55" s="95"/>
      <c r="J55" s="175">
        <f>H55/DAY(B2)</f>
        <v>1369.0839999999996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73426</v>
      </c>
      <c r="F56" s="145">
        <v>76965.66</v>
      </c>
      <c r="G56" s="112">
        <f t="shared" si="4"/>
        <v>3539.6600000000035</v>
      </c>
      <c r="H56" s="99">
        <f>G56+'4'!H56</f>
        <v>5347.9800000000105</v>
      </c>
      <c r="I56" s="95"/>
      <c r="J56" s="175">
        <f>H56/DAY(B2)</f>
        <v>1069.5960000000021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19387</v>
      </c>
      <c r="F58" s="145">
        <v>19631.68</v>
      </c>
      <c r="G58" s="112">
        <f t="shared" si="4"/>
        <v>244.68000000000029</v>
      </c>
      <c r="H58" s="99">
        <f>G58+'4'!H58</f>
        <v>1177.4799999999996</v>
      </c>
      <c r="I58" s="95"/>
      <c r="J58" s="175">
        <f>H58/DAY(B2)</f>
        <v>235.49599999999992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7299.9800000000014</v>
      </c>
      <c r="H59" s="99">
        <f>G59+'4'!H59</f>
        <v>32152.42</v>
      </c>
      <c r="I59" s="95">
        <f>G7-G60</f>
        <v>2783.0000000000146</v>
      </c>
      <c r="J59" s="175">
        <f>H59/DAY(B2)</f>
        <v>6430.4839999999995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24119.709999999992</v>
      </c>
      <c r="H60" s="99">
        <f>G60+'4'!H60</f>
        <v>124385.61000000002</v>
      </c>
      <c r="I60" s="95">
        <f>G13-G60</f>
        <v>2063.9700000000012</v>
      </c>
      <c r="J60" s="175">
        <f>H60/DAY(B2)</f>
        <v>24877.122000000003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'4'!F62</f>
        <v>279392</v>
      </c>
      <c r="F62" s="122">
        <v>279565</v>
      </c>
      <c r="G62" s="112">
        <f t="shared" ref="G62:G63" si="5">F62-E62</f>
        <v>173</v>
      </c>
      <c r="H62" s="99">
        <f>G62+'4'!H62</f>
        <v>939</v>
      </c>
      <c r="I62" s="118"/>
      <c r="J62" s="175">
        <f>H62/DAY(B2)</f>
        <v>187.8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'4'!F63</f>
        <v>223691</v>
      </c>
      <c r="F63" s="122">
        <v>223857</v>
      </c>
      <c r="G63" s="112">
        <f t="shared" si="5"/>
        <v>166</v>
      </c>
      <c r="H63" s="99">
        <f>G63+'4'!H63</f>
        <v>776</v>
      </c>
      <c r="I63" s="118"/>
      <c r="J63" s="175">
        <f>H63/DAY(B2)</f>
        <v>155.19999999999999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'4'!F64</f>
        <v>0</v>
      </c>
      <c r="F64" s="122"/>
      <c r="G64" s="112">
        <f>G62+G63</f>
        <v>339</v>
      </c>
      <c r="H64" s="99">
        <f>G64+'4'!H64</f>
        <v>1715</v>
      </c>
      <c r="I64" s="118"/>
      <c r="J64" s="175">
        <f>H64/DAY(B2)</f>
        <v>343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'4'!F65</f>
        <v>441581</v>
      </c>
      <c r="F65" s="122">
        <v>441690</v>
      </c>
      <c r="G65" s="112">
        <f t="shared" ref="G65:G70" si="6">F65-E65</f>
        <v>109</v>
      </c>
      <c r="H65" s="99">
        <f>G65+'4'!H65</f>
        <v>559</v>
      </c>
      <c r="I65" s="118"/>
      <c r="J65" s="175">
        <f>H65/DAY(B2)</f>
        <v>111.8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109132</v>
      </c>
      <c r="F66" s="122">
        <v>109150</v>
      </c>
      <c r="G66" s="112">
        <f t="shared" si="6"/>
        <v>18</v>
      </c>
      <c r="H66" s="99">
        <f>G66+'4'!H66</f>
        <v>80</v>
      </c>
      <c r="I66" s="118"/>
      <c r="J66" s="175">
        <f>H66/DAY(B2)</f>
        <v>16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108898</v>
      </c>
      <c r="F67" s="122">
        <v>108969</v>
      </c>
      <c r="G67" s="112">
        <f t="shared" si="6"/>
        <v>71</v>
      </c>
      <c r="H67" s="99">
        <f>G67+'4'!H67</f>
        <v>376</v>
      </c>
      <c r="I67" s="118"/>
      <c r="J67" s="175">
        <f>H67/DAY(B2)</f>
        <v>75.2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160683</v>
      </c>
      <c r="F68" s="122">
        <v>160737</v>
      </c>
      <c r="G68" s="112">
        <f t="shared" si="6"/>
        <v>54</v>
      </c>
      <c r="H68" s="99">
        <f>G68+'4'!H68</f>
        <v>328</v>
      </c>
      <c r="I68" s="118"/>
      <c r="J68" s="175">
        <f>H68/DAY(B2)</f>
        <v>65.599999999999994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11268</v>
      </c>
      <c r="F69" s="122">
        <v>11285</v>
      </c>
      <c r="G69" s="112">
        <f t="shared" si="6"/>
        <v>17</v>
      </c>
      <c r="H69" s="99">
        <f>G69+'4'!H69</f>
        <v>84</v>
      </c>
      <c r="I69" s="118"/>
      <c r="J69" s="175">
        <f>H69/DAY(B2)</f>
        <v>16.8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8757</v>
      </c>
      <c r="F70" s="122">
        <v>8763</v>
      </c>
      <c r="G70" s="112">
        <f t="shared" si="6"/>
        <v>6</v>
      </c>
      <c r="H70" s="99">
        <f>G70+'4'!H70</f>
        <v>35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275</v>
      </c>
      <c r="H71" s="99">
        <f>G71+'4'!H71</f>
        <v>1462</v>
      </c>
      <c r="I71" s="154"/>
      <c r="J71" s="175">
        <f>H71/DAY(B2)</f>
        <v>292.39999999999998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'4'!F74</f>
        <v>920577</v>
      </c>
      <c r="F74" s="123">
        <v>920893.86</v>
      </c>
      <c r="G74" s="112">
        <f t="shared" ref="G74:G78" si="7">F74-E74</f>
        <v>316.85999999998603</v>
      </c>
      <c r="H74" s="99">
        <f>G74+'4'!H74</f>
        <v>1569.3499999999767</v>
      </c>
      <c r="I74" s="154"/>
      <c r="J74" s="175">
        <f>H74/DAY(B2)</f>
        <v>313.86999999999534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'4'!F76</f>
        <v>177034</v>
      </c>
      <c r="F76" s="123">
        <v>177136.2</v>
      </c>
      <c r="G76" s="112">
        <f t="shared" si="7"/>
        <v>102.20000000001164</v>
      </c>
      <c r="H76" s="99">
        <f>G76+'4'!H76</f>
        <v>549.20000000001164</v>
      </c>
      <c r="I76" s="154"/>
      <c r="J76" s="175">
        <f>H76/DAY(B2)</f>
        <v>109.84000000000233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'4'!F77</f>
        <v>44354</v>
      </c>
      <c r="F77" s="123">
        <v>44408.3</v>
      </c>
      <c r="G77" s="112">
        <f t="shared" si="7"/>
        <v>54.30000000000291</v>
      </c>
      <c r="H77" s="99">
        <f>G77+'4'!H77</f>
        <v>245.30000000000291</v>
      </c>
      <c r="I77" s="154"/>
      <c r="J77" s="175">
        <f>H77/DAY(B2)</f>
        <v>49.060000000000585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0.3999999999996362</v>
      </c>
      <c r="I78" s="118"/>
      <c r="J78" s="175">
        <f>H78/DAY(B2)</f>
        <v>7.999999999992724E-2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117"/>
      <c r="F79" s="117"/>
      <c r="G79" s="112">
        <f>G15-SUM(G74:G78)</f>
        <v>644.12999999989734</v>
      </c>
      <c r="H79" s="99">
        <f>G79+'4'!H79</f>
        <v>3092.6399999999066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1117.8899999998976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41675.26</v>
      </c>
      <c r="G84" s="112">
        <f t="shared" si="8"/>
        <v>0</v>
      </c>
      <c r="H84" s="99">
        <f>G84+'4'!H84</f>
        <v>0.26000000000203727</v>
      </c>
      <c r="I84" s="594"/>
      <c r="J84" s="175">
        <f>H84/DAY(B2)</f>
        <v>5.2000000000407456E-2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3241</v>
      </c>
      <c r="F85" s="164">
        <v>3255.52</v>
      </c>
      <c r="G85" s="112">
        <f t="shared" si="8"/>
        <v>14.519999999999982</v>
      </c>
      <c r="H85" s="99">
        <f>G85+'4'!H85</f>
        <v>97.019999999999982</v>
      </c>
      <c r="I85" s="594"/>
      <c r="J85" s="175">
        <f>H85/DAY(B2)</f>
        <v>19.403999999999996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43768</v>
      </c>
      <c r="F86" s="164">
        <v>43768</v>
      </c>
      <c r="G86" s="112">
        <f t="shared" si="8"/>
        <v>0</v>
      </c>
      <c r="H86" s="99">
        <f>G86+'4'!H86</f>
        <v>47.599999999998545</v>
      </c>
      <c r="I86" s="594"/>
      <c r="J86" s="175">
        <f>H86/DAY(B2)</f>
        <v>9.5199999999997083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35094</v>
      </c>
      <c r="F87" s="164">
        <v>35118.19</v>
      </c>
      <c r="G87" s="112">
        <f t="shared" si="8"/>
        <v>24.190000000002328</v>
      </c>
      <c r="H87" s="99">
        <f>G87+'4'!H87</f>
        <v>37.840000000003783</v>
      </c>
      <c r="I87" s="594">
        <f>G84+G85+G86+G87</f>
        <v>38.71000000000231</v>
      </c>
      <c r="J87" s="175">
        <f>H87/DAY(B2)</f>
        <v>7.5680000000007563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24109</v>
      </c>
      <c r="F88" s="164">
        <v>24111.89</v>
      </c>
      <c r="G88" s="112">
        <f t="shared" si="8"/>
        <v>2.8899999999994179</v>
      </c>
      <c r="H88" s="99">
        <f>G88+'4'!H88</f>
        <v>2.4899999999979627</v>
      </c>
      <c r="I88" s="594"/>
      <c r="J88" s="175">
        <f>H88/DAY(B2)</f>
        <v>0.49799999999959255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26513</v>
      </c>
      <c r="F89" s="164">
        <v>26523.32</v>
      </c>
      <c r="G89" s="112">
        <f t="shared" si="8"/>
        <v>10.319999999999709</v>
      </c>
      <c r="H89" s="99">
        <f>G89+'4'!H89</f>
        <v>51.529999999998836</v>
      </c>
      <c r="I89" s="594">
        <f>G88+G89</f>
        <v>13.209999999999127</v>
      </c>
      <c r="J89" s="175">
        <f>H89/DAY(B2)</f>
        <v>10.305999999999766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71608</v>
      </c>
      <c r="F90" s="164">
        <v>71614.89</v>
      </c>
      <c r="G90" s="112">
        <f t="shared" si="8"/>
        <v>6.8899999999994179</v>
      </c>
      <c r="H90" s="99">
        <f>G90+'4'!H90</f>
        <v>41.779999999998836</v>
      </c>
      <c r="I90" s="594">
        <f>G90</f>
        <v>6.8899999999994179</v>
      </c>
      <c r="J90" s="175">
        <f>H90/DAY(B2)</f>
        <v>8.3559999999997672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3910</v>
      </c>
      <c r="F91" s="122">
        <v>3910</v>
      </c>
      <c r="G91" s="112">
        <f t="shared" si="8"/>
        <v>0</v>
      </c>
      <c r="H91" s="99">
        <f>G91+'4'!H91</f>
        <v>0.25</v>
      </c>
      <c r="I91" s="688"/>
      <c r="J91" s="175">
        <f>H91/DAY(B2)</f>
        <v>0.05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5791</v>
      </c>
      <c r="F92" s="122">
        <v>5801.89</v>
      </c>
      <c r="G92" s="112">
        <f t="shared" si="8"/>
        <v>10.890000000000327</v>
      </c>
      <c r="H92" s="99">
        <f>G92+'4'!H92</f>
        <v>54.590000000000146</v>
      </c>
      <c r="I92" s="705">
        <f>G91+G92</f>
        <v>10.890000000000327</v>
      </c>
      <c r="J92" s="175">
        <f>H92/DAY(B2)</f>
        <v>10.918000000000029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6910.6299999999901</v>
      </c>
      <c r="H94" s="99">
        <f>G94+'4'!H94</f>
        <v>34278.75</v>
      </c>
      <c r="I94" s="118"/>
      <c r="J94" s="175">
        <f>H94/DAY(B2)</f>
        <v>6855.75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0.25687486502289131</v>
      </c>
      <c r="H95" s="99">
        <f>G95+'4'!H95</f>
        <v>1.2786112751393459</v>
      </c>
      <c r="I95" s="167"/>
      <c r="J95" s="175">
        <f>H95/DAY(B2)</f>
        <v>0.25572225502786916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6722.8000000000029</v>
      </c>
      <c r="H96" s="99">
        <f>G96+'4'!H96</f>
        <v>34093.570000000007</v>
      </c>
      <c r="I96" s="118"/>
      <c r="J96" s="175">
        <f>H96/DAY(B2)</f>
        <v>6818.7140000000018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0.24989304051524924</v>
      </c>
      <c r="H97" s="99">
        <f>G97+'4'!H97</f>
        <v>1.2722430407198158</v>
      </c>
      <c r="I97" s="167"/>
      <c r="J97" s="175">
        <f>H97/DAY(B2)</f>
        <v>0.25444860814396314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3265.2699999999895</v>
      </c>
      <c r="H98" s="99">
        <f>G98+'4'!H98</f>
        <v>16544.839999999997</v>
      </c>
      <c r="I98" s="168"/>
      <c r="J98" s="175">
        <f>H98/DAY(B2)</f>
        <v>3308.9679999999994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0.12137327429095392</v>
      </c>
      <c r="H99" s="99">
        <f>G99+'4'!H99</f>
        <v>0.61715384391281958</v>
      </c>
      <c r="I99" s="168"/>
      <c r="J99" s="175">
        <f>H99/DAY(B2)</f>
        <v>0.12343076878256391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2495.9399999999932</v>
      </c>
      <c r="H100" s="99">
        <f>G100+'4'!H100</f>
        <v>12938.319999999998</v>
      </c>
      <c r="I100" s="118"/>
      <c r="J100" s="175">
        <f>H100/DAY(B2)</f>
        <v>2587.6639999999998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9.2776526974419779E-2</v>
      </c>
      <c r="H101" s="99">
        <f>G101+'4'!H101</f>
        <v>0.48259380641312288</v>
      </c>
      <c r="I101" s="168"/>
      <c r="J101" s="175">
        <f>H101/DAY(B2)</f>
        <v>9.6518761282624571E-2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1889.6900000000023</v>
      </c>
      <c r="H102" s="99">
        <f>G102+'4'!H102</f>
        <v>11779.889999999985</v>
      </c>
      <c r="I102" s="168"/>
      <c r="J102" s="175">
        <f>H102/DAY(B2)</f>
        <v>2355.9779999999969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7.0241622498253969E-2</v>
      </c>
      <c r="H103" s="99">
        <f>G103+'4'!H103</f>
        <v>0.43948664305092155</v>
      </c>
      <c r="I103" s="118"/>
      <c r="J103" s="175">
        <f>H103/DAY(B2)</f>
        <v>8.7897328610184317E-2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1642.890000000014</v>
      </c>
      <c r="H104" s="99">
        <f>G104+'4'!H104</f>
        <v>8043.8700000000244</v>
      </c>
      <c r="I104" s="118"/>
      <c r="J104" s="175">
        <f>H104/DAY(B2)</f>
        <v>1608.7740000000049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6.1067825509029151E-2</v>
      </c>
      <c r="H105" s="99">
        <f>G105+'4'!H105</f>
        <v>0.30004169062845004</v>
      </c>
      <c r="I105" s="187"/>
      <c r="J105" s="188">
        <f>H105/DAY(B2)</f>
        <v>6.0008338125690008E-2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'4'!F112</f>
        <v>62463</v>
      </c>
      <c r="F112" s="237">
        <v>62545.41</v>
      </c>
      <c r="G112" s="112">
        <f t="shared" ref="G112:G123" si="9">F112-E112</f>
        <v>82.410000000003492</v>
      </c>
      <c r="H112" s="99">
        <f>G112+'4'!H112</f>
        <v>401.88000000000466</v>
      </c>
      <c r="I112" s="165"/>
      <c r="J112" s="328">
        <f>H112/DAY(B2)</f>
        <v>80.376000000000928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'4'!F113</f>
        <v>76232</v>
      </c>
      <c r="F113" s="237">
        <v>76731.27</v>
      </c>
      <c r="G113" s="112">
        <f t="shared" si="9"/>
        <v>499.27000000000407</v>
      </c>
      <c r="H113" s="99">
        <f>G113+'4'!H113</f>
        <v>2475.6699999999983</v>
      </c>
      <c r="I113" s="165"/>
      <c r="J113" s="328">
        <f>H113/DAY(B2)</f>
        <v>495.13399999999967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'4'!F114</f>
        <v>51574</v>
      </c>
      <c r="F114" s="237">
        <v>51739.3</v>
      </c>
      <c r="G114" s="112">
        <f t="shared" si="9"/>
        <v>165.30000000000291</v>
      </c>
      <c r="H114" s="99">
        <f>G114+'4'!H114</f>
        <v>1476.3000000000029</v>
      </c>
      <c r="I114" s="165"/>
      <c r="J114" s="328">
        <f>H114/DAY(B2)</f>
        <v>295.26000000000056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'4'!F115</f>
        <v>9926</v>
      </c>
      <c r="F115" s="237">
        <v>9943.1299999999992</v>
      </c>
      <c r="G115" s="112">
        <f t="shared" si="9"/>
        <v>17.1299999999992</v>
      </c>
      <c r="H115" s="99">
        <f>G115+'4'!H115</f>
        <v>114.61999999999898</v>
      </c>
      <c r="I115" s="165"/>
      <c r="J115" s="328">
        <f>H115/DAY(B2)</f>
        <v>22.923999999999797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'4'!F116</f>
        <v>24551</v>
      </c>
      <c r="F116" s="237">
        <v>24961.63</v>
      </c>
      <c r="G116" s="112">
        <f t="shared" si="9"/>
        <v>410.63000000000102</v>
      </c>
      <c r="H116" s="99">
        <f>G116+'4'!H116</f>
        <v>2177.010000000002</v>
      </c>
      <c r="I116" s="165"/>
      <c r="J116" s="328">
        <f>H116/DAY(B2)</f>
        <v>435.40200000000038</v>
      </c>
      <c r="Q116" s="962"/>
      <c r="R116" s="962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'4'!F117</f>
        <v>14407</v>
      </c>
      <c r="F117" s="237">
        <v>14611.28</v>
      </c>
      <c r="G117" s="112">
        <f t="shared" si="9"/>
        <v>204.28000000000065</v>
      </c>
      <c r="H117" s="99">
        <f>G117+'4'!H117</f>
        <v>998.10699999999997</v>
      </c>
      <c r="I117" s="165"/>
      <c r="J117" s="328">
        <f>H117/DAY(B2)</f>
        <v>199.62139999999999</v>
      </c>
      <c r="Q117" s="962"/>
      <c r="R117" s="962"/>
    </row>
    <row r="118" spans="1:18" ht="25.5">
      <c r="A118" s="902" t="s">
        <v>97</v>
      </c>
      <c r="B118" s="902"/>
      <c r="C118" s="902"/>
      <c r="D118" s="151" t="s">
        <v>183</v>
      </c>
      <c r="E118" s="95">
        <f>'4'!F118</f>
        <v>282387</v>
      </c>
      <c r="F118" s="237">
        <v>282897.05</v>
      </c>
      <c r="G118" s="112">
        <f t="shared" si="9"/>
        <v>510.04999999998836</v>
      </c>
      <c r="H118" s="99">
        <f>G118+'4'!H118</f>
        <v>2676.0800000000163</v>
      </c>
      <c r="I118" s="165"/>
      <c r="J118" s="328">
        <f>H118/DAY(B2)</f>
        <v>535.21600000000331</v>
      </c>
      <c r="Q118" s="962"/>
      <c r="R118" s="962"/>
    </row>
    <row r="119" spans="1:18" ht="25.5">
      <c r="A119" s="902" t="s">
        <v>98</v>
      </c>
      <c r="B119" s="902"/>
      <c r="C119" s="902"/>
      <c r="D119" s="151" t="s">
        <v>183</v>
      </c>
      <c r="E119" s="95">
        <f>'4'!F119</f>
        <v>284866</v>
      </c>
      <c r="F119" s="237">
        <v>285313.99</v>
      </c>
      <c r="G119" s="112">
        <f t="shared" si="9"/>
        <v>447.98999999999069</v>
      </c>
      <c r="H119" s="99">
        <f>G119+'4'!H119</f>
        <v>2216.5999999999767</v>
      </c>
      <c r="I119" s="165"/>
      <c r="J119" s="328">
        <f>H119/DAY(B2)</f>
        <v>443.31999999999533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'4'!F120</f>
        <v>69403</v>
      </c>
      <c r="F120" s="469">
        <v>69824.45</v>
      </c>
      <c r="G120" s="112">
        <f t="shared" si="9"/>
        <v>421.44999999999709</v>
      </c>
      <c r="H120" s="99">
        <f>G120+'4'!H120</f>
        <v>2099.6900000000023</v>
      </c>
      <c r="I120" s="165"/>
      <c r="J120" s="328">
        <f>H120/DAY(B2)</f>
        <v>419.93800000000044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'4'!F121</f>
        <v>445861</v>
      </c>
      <c r="F121" s="237">
        <v>446673.51</v>
      </c>
      <c r="G121" s="112">
        <f t="shared" si="9"/>
        <v>812.51000000000931</v>
      </c>
      <c r="H121" s="99">
        <f>G121+'4'!H121</f>
        <v>3955.2399999999907</v>
      </c>
      <c r="I121" s="165"/>
      <c r="J121" s="328">
        <f>H121/DAY(B2)</f>
        <v>791.04799999999818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'4'!F122</f>
        <v>140223</v>
      </c>
      <c r="F122" s="237">
        <v>140454.85</v>
      </c>
      <c r="G122" s="112">
        <f t="shared" si="9"/>
        <v>231.85000000000582</v>
      </c>
      <c r="H122" s="99">
        <f>G122+'4'!H122</f>
        <v>1146.7099999999919</v>
      </c>
      <c r="I122" s="165"/>
      <c r="J122" s="328">
        <f>H122/DAY(B2)</f>
        <v>229.34199999999836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'4'!F123</f>
        <v>170470</v>
      </c>
      <c r="F123" s="237">
        <v>170740.43</v>
      </c>
      <c r="G123" s="112">
        <f t="shared" si="9"/>
        <v>270.42999999999302</v>
      </c>
      <c r="H123" s="99">
        <f>G123+'4'!H123</f>
        <v>1298.429999999993</v>
      </c>
      <c r="I123" s="165"/>
      <c r="J123" s="328">
        <f>H123/DAY(B2)</f>
        <v>259.68599999999861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60" t="s">
        <v>196</v>
      </c>
      <c r="B125" s="960"/>
      <c r="C125" s="245"/>
      <c r="D125" s="307"/>
      <c r="E125" s="308"/>
      <c r="F125" s="308"/>
      <c r="G125" s="309">
        <f>SUM(G112:G124)</f>
        <v>4073.2999999999956</v>
      </c>
      <c r="H125" s="156"/>
      <c r="I125" s="327">
        <f>G125-(G39+G53)</f>
        <v>808.03000000000611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'4'!F128</f>
        <v>70480</v>
      </c>
      <c r="F128" s="388">
        <v>70902</v>
      </c>
      <c r="G128" s="112">
        <f t="shared" ref="G128:G134" si="10">F128-E128</f>
        <v>422</v>
      </c>
      <c r="H128" s="99">
        <f>G128+'4'!H128</f>
        <v>1985.7599999999948</v>
      </c>
      <c r="I128" s="165"/>
      <c r="J128" s="328">
        <f>H128/DAY(B2)</f>
        <v>397.15199999999896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43334</v>
      </c>
      <c r="F129" s="388">
        <v>43667.93</v>
      </c>
      <c r="G129" s="112">
        <f t="shared" si="10"/>
        <v>333.93000000000029</v>
      </c>
      <c r="H129" s="99">
        <f>G129+'4'!H129</f>
        <v>1556.8799999999974</v>
      </c>
      <c r="I129" s="165"/>
      <c r="J129" s="328">
        <f>H129/DAY(B2)</f>
        <v>311.37599999999946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78390</v>
      </c>
      <c r="F130" s="388">
        <v>79116.399999999994</v>
      </c>
      <c r="G130" s="112">
        <f t="shared" si="10"/>
        <v>726.39999999999418</v>
      </c>
      <c r="H130" s="99">
        <f>G130+'4'!H130</f>
        <v>3454.4499999999971</v>
      </c>
      <c r="I130" s="165"/>
      <c r="J130" s="328">
        <f>H130/DAY(B2)</f>
        <v>690.88999999999942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'4'!F131</f>
        <v>25176</v>
      </c>
      <c r="F131" s="388">
        <v>25360.13</v>
      </c>
      <c r="G131" s="112">
        <f t="shared" si="10"/>
        <v>184.13000000000102</v>
      </c>
      <c r="H131" s="99">
        <f>G131+'4'!H131</f>
        <v>927.63000000000102</v>
      </c>
      <c r="I131" s="165"/>
      <c r="J131" s="328">
        <f>H131/DAY(B2)</f>
        <v>185.52600000000021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'4'!F132</f>
        <v>77391</v>
      </c>
      <c r="F132" s="388">
        <v>77816.820000000007</v>
      </c>
      <c r="G132" s="112">
        <f t="shared" si="10"/>
        <v>425.82000000000698</v>
      </c>
      <c r="H132" s="99">
        <f>G132+'4'!H132</f>
        <v>2149.320000000007</v>
      </c>
      <c r="I132" s="165"/>
      <c r="J132" s="328">
        <f>H132/DAY(B2)</f>
        <v>429.8640000000014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'4'!F133</f>
        <v>148555</v>
      </c>
      <c r="F133" s="388">
        <v>149499.84</v>
      </c>
      <c r="G133" s="112">
        <f t="shared" si="10"/>
        <v>944.83999999999651</v>
      </c>
      <c r="H133" s="99">
        <f>G133+'4'!H133</f>
        <v>4117.8500000000058</v>
      </c>
      <c r="I133" s="165"/>
      <c r="J133" s="328">
        <f>H133/DAY(B2)</f>
        <v>823.57000000000119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'4'!F134</f>
        <v>21760</v>
      </c>
      <c r="F134" s="388">
        <v>22003.13</v>
      </c>
      <c r="G134" s="112">
        <f t="shared" si="10"/>
        <v>243.13000000000102</v>
      </c>
      <c r="H134" s="99">
        <f>G134+'4'!H134</f>
        <v>1210.4500000000007</v>
      </c>
      <c r="I134" s="165"/>
      <c r="J134" s="328">
        <f>H134/DAY(B2)</f>
        <v>242.09000000000015</v>
      </c>
    </row>
    <row r="135" spans="1:15" ht="25.5">
      <c r="A135" s="960" t="s">
        <v>196</v>
      </c>
      <c r="B135" s="960"/>
      <c r="C135" s="331"/>
      <c r="D135" s="151"/>
      <c r="E135" s="95"/>
      <c r="F135" s="165"/>
      <c r="G135" s="112">
        <f>SUM(G128:G134)</f>
        <v>3280.25</v>
      </c>
      <c r="H135" s="99">
        <f>G135+'4'!H135</f>
        <v>15402.340000000004</v>
      </c>
      <c r="I135" s="327">
        <f>G135-(G35+G49)</f>
        <v>-750.88999999999942</v>
      </c>
      <c r="J135" s="328">
        <f>H135/DAY(B2)</f>
        <v>3080.4680000000008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'4'!F138</f>
        <v>874728</v>
      </c>
      <c r="F138" s="147">
        <v>874907</v>
      </c>
      <c r="G138" s="112">
        <f t="shared" ref="G138:G152" si="11">F138-E138</f>
        <v>179</v>
      </c>
      <c r="H138" s="99">
        <f>G138+'4'!H138</f>
        <v>906</v>
      </c>
      <c r="I138" s="118"/>
      <c r="J138" s="328">
        <f>H138/DAY(B2)</f>
        <v>181.2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'4'!F139</f>
        <v>890915</v>
      </c>
      <c r="F139" s="148">
        <v>891045</v>
      </c>
      <c r="G139" s="112">
        <f t="shared" si="11"/>
        <v>130</v>
      </c>
      <c r="H139" s="99">
        <f>G139+'4'!H139</f>
        <v>727</v>
      </c>
      <c r="I139" s="118"/>
      <c r="J139" s="328">
        <f>H139/DAY(B2)</f>
        <v>145.4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'4'!F140</f>
        <v>88994</v>
      </c>
      <c r="F140" s="149">
        <v>88995</v>
      </c>
      <c r="G140" s="112">
        <f t="shared" si="11"/>
        <v>1</v>
      </c>
      <c r="H140" s="99">
        <f>G140+'4'!H140</f>
        <v>5</v>
      </c>
      <c r="I140" s="118"/>
      <c r="J140" s="328">
        <f>H140/DAY(B2)</f>
        <v>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'4'!F141</f>
        <v>66558</v>
      </c>
      <c r="F141" s="149">
        <v>66759.990000000005</v>
      </c>
      <c r="G141" s="112">
        <f t="shared" si="11"/>
        <v>201.99000000000524</v>
      </c>
      <c r="H141" s="99">
        <f>G141+'4'!H141</f>
        <v>976.4600000000064</v>
      </c>
      <c r="I141" s="118"/>
      <c r="J141" s="328">
        <f>H141/DAY(B2)</f>
        <v>195.29200000000128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'4'!F142</f>
        <v>25814</v>
      </c>
      <c r="F142" s="148">
        <v>25898.6</v>
      </c>
      <c r="G142" s="112">
        <f t="shared" si="11"/>
        <v>84.599999999998545</v>
      </c>
      <c r="H142" s="99">
        <f>G142+'4'!H142</f>
        <v>402.19999999999709</v>
      </c>
      <c r="I142" s="140"/>
      <c r="J142" s="328">
        <f>H142/DAY(B2)</f>
        <v>80.439999999999415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'4'!F143</f>
        <v>5671</v>
      </c>
      <c r="F143" s="149">
        <v>5696.46</v>
      </c>
      <c r="G143" s="112">
        <f t="shared" si="11"/>
        <v>25.460000000000036</v>
      </c>
      <c r="H143" s="99">
        <f>G143+'4'!H143</f>
        <v>135.75</v>
      </c>
      <c r="I143" s="140"/>
      <c r="J143" s="328">
        <f>H143/DAY(B2)</f>
        <v>27.15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'4'!F144</f>
        <v>890861</v>
      </c>
      <c r="F144" s="149">
        <v>891083</v>
      </c>
      <c r="G144" s="112">
        <f t="shared" si="11"/>
        <v>222</v>
      </c>
      <c r="H144" s="99">
        <f>G144+'4'!H144</f>
        <v>1249</v>
      </c>
      <c r="I144" s="140"/>
      <c r="J144" s="328">
        <f>H144/DAY(B2)</f>
        <v>249.8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'4'!F145</f>
        <v>5561</v>
      </c>
      <c r="F145" s="149">
        <v>5562.37</v>
      </c>
      <c r="G145" s="112">
        <f t="shared" si="11"/>
        <v>1.3699999999998909</v>
      </c>
      <c r="H145" s="99">
        <f>G145+'4'!H145</f>
        <v>5.9700000000002547</v>
      </c>
      <c r="I145" s="140"/>
      <c r="J145" s="328">
        <f>H145/DAY(B2)</f>
        <v>1.194000000000051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'4'!F146</f>
        <v>766384</v>
      </c>
      <c r="F146" s="148">
        <v>766909</v>
      </c>
      <c r="G146" s="112">
        <f t="shared" si="11"/>
        <v>525</v>
      </c>
      <c r="H146" s="99">
        <f>G146+'4'!H146</f>
        <v>2583</v>
      </c>
      <c r="I146" s="140"/>
      <c r="J146" s="328">
        <f>H146/DAY(B2)</f>
        <v>516.6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'4'!F147</f>
        <v>652076</v>
      </c>
      <c r="F147" s="148">
        <v>652500.24</v>
      </c>
      <c r="G147" s="112">
        <f t="shared" si="11"/>
        <v>424.23999999999069</v>
      </c>
      <c r="H147" s="99">
        <f>G147+'4'!H147</f>
        <v>2316.2399999999907</v>
      </c>
      <c r="I147" s="140"/>
      <c r="J147" s="328">
        <f>H147/DAY(B2)</f>
        <v>463.24799999999811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'4'!F148</f>
        <v>710331</v>
      </c>
      <c r="F148" s="150">
        <v>710659.44</v>
      </c>
      <c r="G148" s="112">
        <f t="shared" si="11"/>
        <v>328.43999999994412</v>
      </c>
      <c r="H148" s="99">
        <f>G148+'4'!H148</f>
        <v>1794.7599999998929</v>
      </c>
      <c r="I148" s="124"/>
      <c r="J148" s="328">
        <f>H148/DAY(B2)</f>
        <v>358.95199999997857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'4'!F149</f>
        <v>66262</v>
      </c>
      <c r="F149" s="146">
        <v>66980.210000000006</v>
      </c>
      <c r="G149" s="112">
        <f t="shared" si="11"/>
        <v>718.2100000000064</v>
      </c>
      <c r="H149" s="99">
        <f>G149+'4'!H149</f>
        <v>3756.4100000000035</v>
      </c>
      <c r="I149" s="119"/>
      <c r="J149" s="328">
        <f>H149/DAY(B2)</f>
        <v>751.28200000000072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'4'!F150</f>
        <v>24847</v>
      </c>
      <c r="F150" s="233">
        <v>25074.5</v>
      </c>
      <c r="G150" s="112">
        <f t="shared" si="11"/>
        <v>227.5</v>
      </c>
      <c r="H150" s="99">
        <f>G150+'4'!H150</f>
        <v>1118.7099999999991</v>
      </c>
      <c r="I150" s="119"/>
      <c r="J150" s="328">
        <f>H150/DAY(B2)</f>
        <v>223.74199999999982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'4'!F151</f>
        <v>101761</v>
      </c>
      <c r="F151" s="233">
        <v>102014</v>
      </c>
      <c r="G151" s="112">
        <f t="shared" si="11"/>
        <v>253</v>
      </c>
      <c r="H151" s="99">
        <f>G151+'4'!H151</f>
        <v>1403</v>
      </c>
      <c r="I151" s="119"/>
      <c r="J151" s="328">
        <f>H151/DAY(B2)</f>
        <v>280.60000000000002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'4'!F152</f>
        <v>8582</v>
      </c>
      <c r="F152" s="233">
        <v>8701.4699999999993</v>
      </c>
      <c r="G152" s="112">
        <f t="shared" si="11"/>
        <v>119.46999999999935</v>
      </c>
      <c r="H152" s="99">
        <f>G152+'4'!H152</f>
        <v>632.40999999999894</v>
      </c>
      <c r="I152" s="119"/>
      <c r="J152" s="328">
        <f>H152/DAY(B2)</f>
        <v>126.48199999999979</v>
      </c>
    </row>
    <row r="153" spans="1:10" ht="25.5">
      <c r="A153" s="960" t="s">
        <v>196</v>
      </c>
      <c r="B153" s="960"/>
      <c r="C153" s="365"/>
      <c r="D153" s="358"/>
      <c r="E153" s="360"/>
      <c r="F153" s="361"/>
      <c r="G153" s="362">
        <f>SUM(G138:G152)</f>
        <v>3441.2799999999443</v>
      </c>
      <c r="H153" s="363"/>
      <c r="I153" s="119">
        <f>G153-(G38+G52)</f>
        <v>945.33999999995103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'4'!F155</f>
        <v>75330</v>
      </c>
      <c r="F155" s="374">
        <v>76009.350000000006</v>
      </c>
      <c r="G155" s="112">
        <f t="shared" ref="G155:G158" si="12">F155-E155</f>
        <v>679.35000000000582</v>
      </c>
      <c r="H155" s="99">
        <f>G155+'4'!H155</f>
        <v>3238.8500000000058</v>
      </c>
      <c r="I155" s="364"/>
      <c r="J155" s="328">
        <f>H155/DAY(B2)</f>
        <v>647.77000000000112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'4'!F156</f>
        <v>6265</v>
      </c>
      <c r="F156" s="155">
        <v>6320.21</v>
      </c>
      <c r="G156" s="112">
        <f t="shared" si="12"/>
        <v>55.210000000000036</v>
      </c>
      <c r="H156" s="99">
        <f>G156+'4'!H156</f>
        <v>262.96000000000004</v>
      </c>
      <c r="I156" s="165"/>
      <c r="J156" s="328">
        <f>H156/DAY(B2)</f>
        <v>52.592000000000006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'4'!F157</f>
        <v>10692</v>
      </c>
      <c r="F157" s="155">
        <v>10808.81</v>
      </c>
      <c r="G157" s="112">
        <f t="shared" si="12"/>
        <v>116.80999999999949</v>
      </c>
      <c r="H157" s="99">
        <f>G157+'4'!H157</f>
        <v>570</v>
      </c>
      <c r="I157" s="165"/>
      <c r="J157" s="328">
        <f>H157/DAY(B2)</f>
        <v>114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'4'!F158</f>
        <v>92</v>
      </c>
      <c r="F158" s="155">
        <v>92</v>
      </c>
      <c r="G158" s="112">
        <f t="shared" si="12"/>
        <v>0</v>
      </c>
      <c r="H158" s="99">
        <f>G158+'4'!H158</f>
        <v>1.5799999999999983</v>
      </c>
      <c r="I158" s="165"/>
      <c r="J158" s="328">
        <f>H158/DAY(B2)</f>
        <v>0.31599999999999967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473841</v>
      </c>
      <c r="F161" s="235">
        <v>473841.44</v>
      </c>
      <c r="G161" s="238">
        <f t="shared" ref="G161:G165" si="13">F161-E161</f>
        <v>0.44000000000232831</v>
      </c>
      <c r="H161" s="99">
        <f>G161+'4'!H161</f>
        <v>0.71000000002095476</v>
      </c>
      <c r="I161" s="236"/>
      <c r="J161" s="239">
        <f>H161/DAY(B2)</f>
        <v>0.14200000000419094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90571</v>
      </c>
      <c r="F162" s="235">
        <v>90611.13</v>
      </c>
      <c r="G162" s="238">
        <f t="shared" si="13"/>
        <v>40.130000000004657</v>
      </c>
      <c r="H162" s="99">
        <f>G162+'4'!H162</f>
        <v>158.23000000001048</v>
      </c>
      <c r="I162" s="236"/>
      <c r="J162" s="239">
        <f>H162/DAY(B2)</f>
        <v>31.646000000002097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87830</v>
      </c>
      <c r="F163" s="235">
        <v>87990.1</v>
      </c>
      <c r="G163" s="238">
        <f t="shared" si="13"/>
        <v>160.10000000000582</v>
      </c>
      <c r="H163" s="99">
        <f>G163+'4'!H163</f>
        <v>911.30000000000291</v>
      </c>
      <c r="I163" s="236"/>
      <c r="J163" s="239">
        <f>H163/DAY(B2)</f>
        <v>182.26000000000059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4874</v>
      </c>
      <c r="F164" s="235">
        <v>4888.8999999999996</v>
      </c>
      <c r="G164" s="238">
        <f t="shared" si="13"/>
        <v>14.899999999999636</v>
      </c>
      <c r="H164" s="99">
        <f>G164+'4'!H164</f>
        <v>76.5</v>
      </c>
      <c r="I164" s="236"/>
      <c r="J164" s="239">
        <f>H164/DAY(B2)</f>
        <v>15.3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30380</v>
      </c>
      <c r="F165" s="235">
        <v>30389.14</v>
      </c>
      <c r="G165" s="238">
        <f t="shared" si="13"/>
        <v>9.1399999999994179</v>
      </c>
      <c r="H165" s="99">
        <f>G165+'4'!H165</f>
        <v>33.630000000001019</v>
      </c>
      <c r="I165" s="236"/>
      <c r="J165" s="239">
        <f>H165/DAY(B2)</f>
        <v>6.7260000000002034</v>
      </c>
    </row>
    <row r="166" spans="1:10" ht="26.25">
      <c r="A166" s="938"/>
      <c r="B166" s="938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8"/>
      <c r="B167" s="938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8"/>
      <c r="B168" s="938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66"/>
      <c r="B172" s="966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61" t="s">
        <v>209</v>
      </c>
      <c r="B173" s="961"/>
      <c r="C173" s="333"/>
      <c r="D173" s="155" t="s">
        <v>142</v>
      </c>
      <c r="E173" s="95">
        <f>'4'!F173</f>
        <v>8265</v>
      </c>
      <c r="F173" s="155">
        <v>8265</v>
      </c>
      <c r="G173" s="155">
        <f>F173-E173</f>
        <v>0</v>
      </c>
      <c r="H173" s="99">
        <f>G173+'4'!H173</f>
        <v>1</v>
      </c>
      <c r="I173" s="155"/>
      <c r="J173" s="156">
        <f>H173/DAY(B2)</f>
        <v>0.2</v>
      </c>
    </row>
    <row r="174" spans="1:10" ht="25.5">
      <c r="A174" s="961" t="s">
        <v>75</v>
      </c>
      <c r="B174" s="961"/>
      <c r="C174" s="333"/>
      <c r="D174" s="155" t="s">
        <v>142</v>
      </c>
      <c r="E174" s="95">
        <f>'4'!F174</f>
        <v>39519</v>
      </c>
      <c r="F174" s="157">
        <v>39533</v>
      </c>
      <c r="G174" s="155">
        <f t="shared" ref="G174:G175" si="14">F174-E174</f>
        <v>14</v>
      </c>
      <c r="H174" s="99">
        <f>G174+'4'!H174</f>
        <v>71</v>
      </c>
      <c r="I174" s="155"/>
      <c r="J174" s="156">
        <f>H174/DAY(B2)</f>
        <v>14.2</v>
      </c>
    </row>
    <row r="175" spans="1:10" ht="25.5">
      <c r="A175" s="961" t="s">
        <v>76</v>
      </c>
      <c r="B175" s="961"/>
      <c r="C175" s="961"/>
      <c r="D175" s="155" t="s">
        <v>142</v>
      </c>
      <c r="E175" s="95">
        <f>'4'!F175</f>
        <v>22569</v>
      </c>
      <c r="F175" s="157">
        <v>22583</v>
      </c>
      <c r="G175" s="155">
        <f t="shared" si="14"/>
        <v>14</v>
      </c>
      <c r="H175" s="99">
        <f>G175+'4'!H175</f>
        <v>61</v>
      </c>
      <c r="I175" s="155"/>
      <c r="J175" s="156">
        <f>H175/DAY(B2)</f>
        <v>12.2</v>
      </c>
    </row>
    <row r="176" spans="1:10" ht="25.5">
      <c r="A176" s="960" t="s">
        <v>196</v>
      </c>
      <c r="B176" s="960"/>
      <c r="C176" s="333"/>
      <c r="D176" s="155"/>
      <c r="E176" s="95">
        <f>'4'!F176</f>
        <v>0</v>
      </c>
      <c r="F176" s="155"/>
      <c r="G176" s="155">
        <f>SUM(G173:G175)</f>
        <v>28</v>
      </c>
      <c r="H176" s="99">
        <f>G176+'4'!H176</f>
        <v>133</v>
      </c>
      <c r="I176" s="155"/>
      <c r="J176" s="156">
        <f>H176/DAY(B2)</f>
        <v>26.6</v>
      </c>
    </row>
    <row r="177" spans="1:10" ht="25.5">
      <c r="A177" s="961" t="s">
        <v>77</v>
      </c>
      <c r="B177" s="961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1" t="s">
        <v>210</v>
      </c>
      <c r="B178" s="961"/>
      <c r="C178" s="333"/>
      <c r="D178" s="155" t="s">
        <v>142</v>
      </c>
      <c r="E178" s="95">
        <f>'4'!F178</f>
        <v>85973</v>
      </c>
      <c r="F178" s="155">
        <v>86059</v>
      </c>
      <c r="G178" s="155">
        <f>F178-E178</f>
        <v>86</v>
      </c>
      <c r="H178" s="99">
        <f>G178+'4'!H178</f>
        <v>443</v>
      </c>
      <c r="I178" s="155"/>
      <c r="J178" s="156">
        <f>H178/DAY(B2)</f>
        <v>88.6</v>
      </c>
    </row>
    <row r="179" spans="1:10" ht="25.5">
      <c r="A179" s="961" t="s">
        <v>211</v>
      </c>
      <c r="B179" s="961"/>
      <c r="C179" s="333"/>
      <c r="D179" s="155" t="s">
        <v>142</v>
      </c>
      <c r="E179" s="95">
        <f>'4'!F179</f>
        <v>35684</v>
      </c>
      <c r="F179" s="155">
        <v>35688</v>
      </c>
      <c r="G179" s="155">
        <f t="shared" ref="G179:G180" si="15">F179-E179</f>
        <v>4</v>
      </c>
      <c r="H179" s="99">
        <f>G179+'4'!H179</f>
        <v>74</v>
      </c>
      <c r="I179" s="155"/>
      <c r="J179" s="156">
        <f>H179/DAY(B2)</f>
        <v>14.8</v>
      </c>
    </row>
    <row r="180" spans="1:10" ht="25.5">
      <c r="A180" s="961" t="s">
        <v>212</v>
      </c>
      <c r="B180" s="961"/>
      <c r="C180" s="333"/>
      <c r="D180" s="155" t="s">
        <v>142</v>
      </c>
      <c r="E180" s="95">
        <f>'4'!F180</f>
        <v>6150</v>
      </c>
      <c r="F180" s="155">
        <v>6166</v>
      </c>
      <c r="G180" s="155">
        <f t="shared" si="15"/>
        <v>16</v>
      </c>
      <c r="H180" s="99">
        <f>G180+'4'!H180</f>
        <v>33</v>
      </c>
      <c r="I180" s="155"/>
      <c r="J180" s="156">
        <f>H180/DAY(B2)</f>
        <v>6.6</v>
      </c>
    </row>
    <row r="181" spans="1:10" ht="25.5">
      <c r="A181" s="965" t="s">
        <v>108</v>
      </c>
      <c r="B181" s="965"/>
      <c r="C181" s="333"/>
      <c r="D181" s="155"/>
      <c r="E181" s="95">
        <f>'4'!F181</f>
        <v>0</v>
      </c>
      <c r="F181" s="155"/>
      <c r="G181" s="155">
        <f>SUM(G178:G180)</f>
        <v>106</v>
      </c>
      <c r="H181" s="99">
        <f>G181+'4'!H181</f>
        <v>550</v>
      </c>
      <c r="I181" s="155"/>
      <c r="J181" s="156">
        <f>H181/DAY(B2)</f>
        <v>110</v>
      </c>
    </row>
    <row r="182" spans="1:10" ht="25.5">
      <c r="A182" s="961" t="s">
        <v>213</v>
      </c>
      <c r="B182" s="961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1" t="s">
        <v>214</v>
      </c>
      <c r="B183" s="961"/>
      <c r="C183" s="334"/>
      <c r="D183" s="155" t="s">
        <v>142</v>
      </c>
      <c r="E183" s="95">
        <f>'4'!F183</f>
        <v>16222</v>
      </c>
      <c r="F183" s="157">
        <v>16242</v>
      </c>
      <c r="G183" s="157">
        <f>F183-E183</f>
        <v>20</v>
      </c>
      <c r="H183" s="99">
        <f>G183+'4'!H183</f>
        <v>100</v>
      </c>
      <c r="I183" s="155"/>
      <c r="J183" s="156">
        <f>H183/DAY(B2)</f>
        <v>20</v>
      </c>
    </row>
    <row r="184" spans="1:10" ht="25.5">
      <c r="A184" s="961" t="s">
        <v>215</v>
      </c>
      <c r="B184" s="961"/>
      <c r="C184" s="334"/>
      <c r="D184" s="155" t="s">
        <v>142</v>
      </c>
      <c r="E184" s="95">
        <f>'4'!F184</f>
        <v>11074</v>
      </c>
      <c r="F184" s="157">
        <v>11078</v>
      </c>
      <c r="G184" s="157">
        <f t="shared" ref="G184:G185" si="16">F184-E184</f>
        <v>4</v>
      </c>
      <c r="H184" s="99">
        <f>G184+'4'!H184</f>
        <v>29</v>
      </c>
      <c r="I184" s="155"/>
      <c r="J184" s="156">
        <f>H184/DAY(B2)</f>
        <v>5.8</v>
      </c>
    </row>
    <row r="185" spans="1:10" ht="29.25" customHeight="1">
      <c r="A185" s="961" t="s">
        <v>216</v>
      </c>
      <c r="B185" s="961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60" t="s">
        <v>196</v>
      </c>
      <c r="B186" s="960"/>
      <c r="C186" s="334"/>
      <c r="D186" s="379"/>
      <c r="E186" s="95"/>
      <c r="F186" s="157"/>
      <c r="G186" s="157">
        <f>SUM(G183:G185)</f>
        <v>24</v>
      </c>
      <c r="H186" s="99">
        <f>G186+'4'!H186</f>
        <v>129</v>
      </c>
      <c r="I186" s="157"/>
      <c r="J186" s="156">
        <f>H186/DAY(B2)</f>
        <v>25.8</v>
      </c>
    </row>
    <row r="187" spans="1:10" ht="25.5">
      <c r="A187" s="964" t="s">
        <v>217</v>
      </c>
      <c r="B187" s="964"/>
      <c r="C187" s="333"/>
      <c r="D187" s="157" t="s">
        <v>142</v>
      </c>
      <c r="E187" s="95"/>
      <c r="F187" s="159"/>
      <c r="G187" s="378">
        <f>G62+G19</f>
        <v>219</v>
      </c>
      <c r="H187" s="99">
        <f>G187+'4'!H187</f>
        <v>1176</v>
      </c>
      <c r="I187" s="158"/>
      <c r="J187" s="159">
        <f>H187/DAY(B2)</f>
        <v>235.2</v>
      </c>
    </row>
    <row r="188" spans="1:10" ht="25.5">
      <c r="A188" s="964" t="s">
        <v>218</v>
      </c>
      <c r="B188" s="964"/>
      <c r="C188" s="333"/>
      <c r="D188" s="157" t="s">
        <v>142</v>
      </c>
      <c r="E188" s="95"/>
      <c r="F188" s="159"/>
      <c r="G188" s="378">
        <f>G65+G66+G67+G69+G70</f>
        <v>221</v>
      </c>
      <c r="H188" s="99">
        <f>G188+'4'!H188</f>
        <v>1134</v>
      </c>
      <c r="I188" s="158"/>
      <c r="J188" s="159">
        <f>H188/DAY(B2)</f>
        <v>226.8</v>
      </c>
    </row>
    <row r="189" spans="1:10" ht="25.5">
      <c r="A189" s="964" t="s">
        <v>219</v>
      </c>
      <c r="B189" s="964"/>
      <c r="C189" s="333"/>
      <c r="D189" s="157" t="s">
        <v>142</v>
      </c>
      <c r="E189" s="95"/>
      <c r="F189" s="157"/>
      <c r="G189" s="377">
        <f>G181</f>
        <v>106</v>
      </c>
      <c r="H189" s="99">
        <f>G189+'4'!H189</f>
        <v>550</v>
      </c>
      <c r="I189" s="158"/>
      <c r="J189" s="159">
        <f>H189/DAY(B2)</f>
        <v>110</v>
      </c>
    </row>
    <row r="190" spans="1:10" ht="25.5">
      <c r="A190" s="963"/>
      <c r="B190" s="963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66" zoomScale="55" zoomScaleSheetLayoutView="55" workbookViewId="0">
      <selection activeCell="G140" sqref="G14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44657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120761.71</v>
      </c>
      <c r="F7" s="95">
        <v>148353.74</v>
      </c>
      <c r="G7" s="112">
        <f>F7-E7</f>
        <v>27592.029999999984</v>
      </c>
      <c r="H7" s="99">
        <f>G7+'5'!H7</f>
        <v>161630.74</v>
      </c>
      <c r="I7" s="113">
        <f>'1'!I7</f>
        <v>12000</v>
      </c>
      <c r="J7" s="175">
        <f>H7/DAY(B2)</f>
        <v>26938.456666666665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194160.01</v>
      </c>
      <c r="F8" s="114">
        <v>222311.07</v>
      </c>
      <c r="G8" s="115">
        <f>F8-E8</f>
        <v>28151.059999999998</v>
      </c>
      <c r="H8" s="99">
        <f>G8+'5'!H8</f>
        <v>164264.85</v>
      </c>
      <c r="I8" s="116"/>
      <c r="J8" s="175">
        <f>H8/DAY(B2)</f>
        <v>27377.475000000002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1363905.01</v>
      </c>
      <c r="F9" s="117">
        <v>1384252.6</v>
      </c>
      <c r="G9" s="112">
        <f>F9-E9</f>
        <v>20347.590000000084</v>
      </c>
      <c r="H9" s="99">
        <f>G9+'5'!H9</f>
        <v>116577.60000000009</v>
      </c>
      <c r="I9" s="124">
        <f>I7-J7</f>
        <v>-14938.456666666665</v>
      </c>
      <c r="J9" s="175">
        <f>H9/DAY(B2)</f>
        <v>19429.600000000017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452210.67</v>
      </c>
      <c r="F10" s="117">
        <v>458699.23</v>
      </c>
      <c r="G10" s="112">
        <f t="shared" ref="G10:G12" si="0">F10-E10</f>
        <v>6488.5599999999977</v>
      </c>
      <c r="H10" s="99">
        <f>G10+'5'!H10</f>
        <v>40423.760000000009</v>
      </c>
      <c r="I10" s="282"/>
      <c r="J10" s="175">
        <f>H10/DAY(B2)</f>
        <v>6737.2933333333349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26836.150000000081</v>
      </c>
      <c r="H13" s="99">
        <f>G13+'5'!H13</f>
        <v>157001.83000000007</v>
      </c>
      <c r="I13" s="120">
        <f>G7-G13</f>
        <v>755.87999999990279</v>
      </c>
      <c r="J13" s="175">
        <f>H13/DAY(B2)</f>
        <v>26166.971666666679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1976393.89</v>
      </c>
      <c r="F15" s="470">
        <v>1977519.72</v>
      </c>
      <c r="G15" s="112">
        <f>(F15-E15)</f>
        <v>1125.8300000000745</v>
      </c>
      <c r="H15" s="99">
        <f>G15+'5'!H15</f>
        <v>6582.7199999999721</v>
      </c>
      <c r="I15" s="113">
        <f>'1'!I15</f>
        <v>800</v>
      </c>
      <c r="J15" s="175">
        <f>H15/DAY(B2)</f>
        <v>1097.1199999999953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-297.11999999999534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'5'!F18</f>
        <v>24</v>
      </c>
      <c r="F18" s="122">
        <v>26</v>
      </c>
      <c r="G18" s="119">
        <f>F18*10</f>
        <v>260</v>
      </c>
      <c r="H18" s="99">
        <f>G18+'5'!H18</f>
        <v>1580</v>
      </c>
      <c r="I18" s="113">
        <f>'1'!I18</f>
        <v>65</v>
      </c>
      <c r="J18" s="175">
        <f>H18/DAY(B2)</f>
        <v>263.33333333333331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'5'!F19</f>
        <v>157226</v>
      </c>
      <c r="F19" s="122">
        <v>157276</v>
      </c>
      <c r="G19" s="112">
        <f t="shared" ref="G19" si="1">F19-E19</f>
        <v>50</v>
      </c>
      <c r="H19" s="99">
        <f>G19+'5'!H19</f>
        <v>287</v>
      </c>
      <c r="I19" s="335"/>
      <c r="J19" s="175">
        <f>H19/DAY(B2)</f>
        <v>47.833333333333336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G20+'5'!H20</f>
        <v>1867</v>
      </c>
      <c r="I20" s="336">
        <f>I18-J20</f>
        <v>-246.16666666666669</v>
      </c>
      <c r="J20" s="175">
        <f>H20/DAY(B2)</f>
        <v>311.16666666666669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28151.059999999998</v>
      </c>
      <c r="F27" s="136">
        <v>9</v>
      </c>
      <c r="G27" s="137">
        <f>E27*F27</f>
        <v>253359.53999999998</v>
      </c>
      <c r="H27" s="99">
        <f>G27+'5'!H27</f>
        <v>1478383.6500000001</v>
      </c>
      <c r="I27" s="138"/>
      <c r="J27" s="175">
        <f>H27/DAY(B2)</f>
        <v>246397.27500000002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1125.8300000000745</v>
      </c>
      <c r="F28" s="136">
        <v>70</v>
      </c>
      <c r="G28" s="137">
        <f>E28*F28</f>
        <v>78808.100000005215</v>
      </c>
      <c r="H28" s="99">
        <f>G28+'5'!H28</f>
        <v>460790.39999999804</v>
      </c>
      <c r="I28" s="140"/>
      <c r="J28" s="175">
        <f>H28/DAY(B2)</f>
        <v>76798.399999999674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43337</v>
      </c>
      <c r="I30" s="140"/>
      <c r="J30" s="175">
        <f>H30/DAY(B2)</f>
        <v>7222.833333333333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G31+'5'!H31</f>
        <v>126400</v>
      </c>
      <c r="I31" s="140"/>
      <c r="J31" s="175">
        <f>H31/DAY(B2)</f>
        <v>21066.666666666668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360517.64000000519</v>
      </c>
      <c r="H32" s="99">
        <f>G32+'5'!H32</f>
        <v>2108911.049999998</v>
      </c>
      <c r="I32" s="144"/>
      <c r="J32" s="175">
        <f>H32/DAY(B2)</f>
        <v>351485.17499999964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148795.15</v>
      </c>
      <c r="F35" s="145">
        <v>150946.16</v>
      </c>
      <c r="G35" s="112">
        <f t="shared" ref="G35:G46" si="3">F35-E35</f>
        <v>2151.0100000000093</v>
      </c>
      <c r="H35" s="99">
        <f>G35+'5'!H35</f>
        <v>12666.950000000012</v>
      </c>
      <c r="I35" s="95"/>
      <c r="J35" s="175">
        <f>H35/DAY(B2)</f>
        <v>2111.1583333333351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104874.13</v>
      </c>
      <c r="F36" s="145">
        <v>105821.66</v>
      </c>
      <c r="G36" s="112">
        <f t="shared" si="3"/>
        <v>947.52999999999884</v>
      </c>
      <c r="H36" s="99">
        <f>G36+'5'!H36</f>
        <v>5301</v>
      </c>
      <c r="I36" s="95"/>
      <c r="J36" s="175">
        <f>H36/DAY(B2)</f>
        <v>883.5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140968.89000000001</v>
      </c>
      <c r="F37" s="145">
        <v>142604.60999999999</v>
      </c>
      <c r="G37" s="112">
        <f t="shared" si="3"/>
        <v>1635.7199999999721</v>
      </c>
      <c r="H37" s="99">
        <f>G37+'5'!H37</f>
        <v>9679.5899999999965</v>
      </c>
      <c r="I37" s="95"/>
      <c r="J37" s="175">
        <f>H37/DAY(B2)</f>
        <v>1613.2649999999994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183047.93</v>
      </c>
      <c r="F38" s="108">
        <v>185508.11</v>
      </c>
      <c r="G38" s="112">
        <f t="shared" si="3"/>
        <v>2460.179999999993</v>
      </c>
      <c r="H38" s="99">
        <f>G38+'5'!H38</f>
        <v>15398.739999999991</v>
      </c>
      <c r="I38" s="95"/>
      <c r="J38" s="175">
        <f>H38/DAY(B2)</f>
        <v>2566.4566666666651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260698.27</v>
      </c>
      <c r="F39" s="145">
        <v>263990.61</v>
      </c>
      <c r="G39" s="112">
        <f t="shared" si="3"/>
        <v>3292.3399999999965</v>
      </c>
      <c r="H39" s="99">
        <f>G39+'5'!H39</f>
        <v>19837.179999999993</v>
      </c>
      <c r="I39" s="95"/>
      <c r="J39" s="175">
        <f>H39/DAY(B2)</f>
        <v>3306.1966666666654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52036.18</v>
      </c>
      <c r="F40" s="145">
        <v>52505.02</v>
      </c>
      <c r="G40" s="112">
        <f t="shared" si="3"/>
        <v>468.83999999999651</v>
      </c>
      <c r="H40" s="99">
        <f>G40+'5'!H40</f>
        <v>3353.1599999999962</v>
      </c>
      <c r="I40" s="95"/>
      <c r="J40" s="175">
        <f>H40/DAY(B2)</f>
        <v>558.85999999999933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-0.27000000000000313</v>
      </c>
      <c r="I41" s="95"/>
      <c r="J41" s="175">
        <f>H41/DAY(B2)</f>
        <v>-4.5000000000000519E-2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303257.69</v>
      </c>
      <c r="F42" s="145">
        <v>308755.03000000003</v>
      </c>
      <c r="G42" s="112">
        <f t="shared" si="3"/>
        <v>5497.3400000000256</v>
      </c>
      <c r="H42" s="99">
        <f>G42+'5'!H42</f>
        <v>27397.780000000028</v>
      </c>
      <c r="I42" s="95"/>
      <c r="J42" s="175">
        <f>H42/DAY(B2)</f>
        <v>4566.2966666666716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273806.49</v>
      </c>
      <c r="F43" s="145">
        <v>276803.27</v>
      </c>
      <c r="G43" s="112">
        <f t="shared" si="3"/>
        <v>2996.7800000000279</v>
      </c>
      <c r="H43" s="99">
        <f>G43+'5'!H43</f>
        <v>18048.800000000017</v>
      </c>
      <c r="I43" s="95"/>
      <c r="J43" s="175">
        <f>H43/DAY(B2)</f>
        <v>3008.1333333333364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19449.74000000002</v>
      </c>
      <c r="H47" s="99">
        <f>G47+'5'!H47</f>
        <v>111682.93000000002</v>
      </c>
      <c r="I47" s="95"/>
      <c r="J47" s="175">
        <f>H47/DAY(B2)</f>
        <v>18613.82166666667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119212.99</v>
      </c>
      <c r="F49" s="145">
        <v>120976.33</v>
      </c>
      <c r="G49" s="112">
        <f t="shared" ref="G49:G58" si="4">F49-E49</f>
        <v>1763.3399999999965</v>
      </c>
      <c r="H49" s="99">
        <f>G49+'5'!H49</f>
        <v>10474.130000000005</v>
      </c>
      <c r="I49" s="95"/>
      <c r="J49" s="175">
        <f>H49/DAY(B2)</f>
        <v>1745.6883333333342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138636.56</v>
      </c>
      <c r="F50" s="145">
        <v>139755.6</v>
      </c>
      <c r="G50" s="112">
        <f t="shared" si="4"/>
        <v>1119.0400000000081</v>
      </c>
      <c r="H50" s="99">
        <f>G50+'5'!H50</f>
        <v>8545.4599999999919</v>
      </c>
      <c r="I50" s="95"/>
      <c r="J50" s="175">
        <f>H50/DAY(B2)</f>
        <v>1424.243333333332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38315.629999999997</v>
      </c>
      <c r="F54" s="145">
        <v>38792.54</v>
      </c>
      <c r="G54" s="112">
        <f t="shared" si="4"/>
        <v>476.91000000000349</v>
      </c>
      <c r="H54" s="99">
        <f>G54+'5'!H54</f>
        <v>3121.4800000000032</v>
      </c>
      <c r="I54" s="95"/>
      <c r="J54" s="175">
        <f>H54/DAY(B2)</f>
        <v>520.24666666666724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119326.45</v>
      </c>
      <c r="F55" s="145">
        <v>119326.43</v>
      </c>
      <c r="G55" s="112">
        <f t="shared" si="4"/>
        <v>-2.0000000004074536E-2</v>
      </c>
      <c r="H55" s="99">
        <f>G55+'5'!H55</f>
        <v>6845.3999999999942</v>
      </c>
      <c r="I55" s="95"/>
      <c r="J55" s="175">
        <f>H55/DAY(B2)</f>
        <v>1140.899999999999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76965.66</v>
      </c>
      <c r="F56" s="145">
        <v>79318.23</v>
      </c>
      <c r="G56" s="112">
        <f t="shared" si="4"/>
        <v>2352.5699999999924</v>
      </c>
      <c r="H56" s="99">
        <f>G56+'5'!H56</f>
        <v>7700.5500000000029</v>
      </c>
      <c r="I56" s="95"/>
      <c r="J56" s="175">
        <f>H56/DAY(B2)</f>
        <v>1283.4250000000004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19631.68</v>
      </c>
      <c r="F58" s="145">
        <v>19876.68</v>
      </c>
      <c r="G58" s="112">
        <f t="shared" si="4"/>
        <v>245</v>
      </c>
      <c r="H58" s="99">
        <f>G58+'5'!H58</f>
        <v>1422.4799999999996</v>
      </c>
      <c r="I58" s="95"/>
      <c r="J58" s="175">
        <f>H58/DAY(B2)</f>
        <v>237.07999999999993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5956.8399999999965</v>
      </c>
      <c r="H59" s="99">
        <f>G59+'5'!H59</f>
        <v>38109.259999999995</v>
      </c>
      <c r="I59" s="95">
        <f>G7-G60</f>
        <v>2185.449999999968</v>
      </c>
      <c r="J59" s="175">
        <f>H59/DAY(B2)</f>
        <v>6351.5433333333322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25406.580000000016</v>
      </c>
      <c r="H60" s="99">
        <f>G60+'5'!H60</f>
        <v>149792.19000000003</v>
      </c>
      <c r="I60" s="95">
        <f>G13-G60</f>
        <v>1429.5700000000652</v>
      </c>
      <c r="J60" s="175">
        <f>H60/DAY(B2)</f>
        <v>24965.365000000005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'5'!F62</f>
        <v>279565</v>
      </c>
      <c r="F62" s="122">
        <v>279736</v>
      </c>
      <c r="G62" s="112">
        <f t="shared" ref="G62:G63" si="5">F62-E62</f>
        <v>171</v>
      </c>
      <c r="H62" s="99">
        <f>G62+'5'!H62</f>
        <v>1110</v>
      </c>
      <c r="I62" s="118"/>
      <c r="J62" s="175">
        <f>H62/DAY(B2)</f>
        <v>185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'5'!F63</f>
        <v>223857</v>
      </c>
      <c r="F63" s="122">
        <v>224022</v>
      </c>
      <c r="G63" s="112">
        <f t="shared" si="5"/>
        <v>165</v>
      </c>
      <c r="H63" s="99">
        <f>G63+'5'!H63</f>
        <v>941</v>
      </c>
      <c r="I63" s="118"/>
      <c r="J63" s="175">
        <f>H63/DAY(B2)</f>
        <v>156.83333333333334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'5'!F64</f>
        <v>0</v>
      </c>
      <c r="F64" s="122"/>
      <c r="G64" s="112">
        <f>G62+G63</f>
        <v>336</v>
      </c>
      <c r="H64" s="99">
        <f>G64+'5'!H64</f>
        <v>2051</v>
      </c>
      <c r="I64" s="118"/>
      <c r="J64" s="175">
        <f>H64/DAY(B2)</f>
        <v>341.83333333333331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'5'!F65</f>
        <v>441690</v>
      </c>
      <c r="F65" s="122">
        <v>441805</v>
      </c>
      <c r="G65" s="112">
        <f t="shared" ref="G65:G70" si="6">F65-E65</f>
        <v>115</v>
      </c>
      <c r="H65" s="99">
        <f>G65+'5'!H65</f>
        <v>674</v>
      </c>
      <c r="I65" s="118"/>
      <c r="J65" s="175">
        <f>H65/DAY(B2)</f>
        <v>112.33333333333333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109150</v>
      </c>
      <c r="F66" s="122">
        <v>109166</v>
      </c>
      <c r="G66" s="112">
        <f t="shared" si="6"/>
        <v>16</v>
      </c>
      <c r="H66" s="99">
        <f>G66+'5'!H66</f>
        <v>96</v>
      </c>
      <c r="I66" s="118"/>
      <c r="J66" s="175">
        <f>H66/DAY(B2)</f>
        <v>16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108969</v>
      </c>
      <c r="F67" s="122">
        <v>109041</v>
      </c>
      <c r="G67" s="112">
        <f t="shared" si="6"/>
        <v>72</v>
      </c>
      <c r="H67" s="99">
        <f>G67+'5'!H67</f>
        <v>448</v>
      </c>
      <c r="I67" s="118"/>
      <c r="J67" s="175">
        <f>H67/DAY(B2)</f>
        <v>74.666666666666671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160737</v>
      </c>
      <c r="F68" s="122">
        <v>160786</v>
      </c>
      <c r="G68" s="112">
        <f t="shared" si="6"/>
        <v>49</v>
      </c>
      <c r="H68" s="99">
        <f>G68+'5'!H68</f>
        <v>377</v>
      </c>
      <c r="I68" s="118"/>
      <c r="J68" s="175">
        <f>H68/DAY(B2)</f>
        <v>62.833333333333336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11285</v>
      </c>
      <c r="F69" s="122">
        <v>11296</v>
      </c>
      <c r="G69" s="112">
        <f t="shared" si="6"/>
        <v>11</v>
      </c>
      <c r="H69" s="99">
        <f>G69+'5'!H69</f>
        <v>95</v>
      </c>
      <c r="I69" s="118"/>
      <c r="J69" s="175">
        <f>H69/DAY(B2)</f>
        <v>15.833333333333334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8763</v>
      </c>
      <c r="F70" s="122">
        <v>8770</v>
      </c>
      <c r="G70" s="112">
        <f t="shared" si="6"/>
        <v>7</v>
      </c>
      <c r="H70" s="99">
        <f>G70+'5'!H70</f>
        <v>42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270</v>
      </c>
      <c r="H71" s="99">
        <f>G71+'5'!H71</f>
        <v>1732</v>
      </c>
      <c r="I71" s="154"/>
      <c r="J71" s="175">
        <f>H71/DAY(B2)</f>
        <v>288.66666666666669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'5'!F74</f>
        <v>920893.86</v>
      </c>
      <c r="F74" s="123">
        <v>921204.33</v>
      </c>
      <c r="G74" s="112">
        <f t="shared" ref="G74:G78" si="7">F74-E74</f>
        <v>310.46999999997206</v>
      </c>
      <c r="H74" s="99">
        <f>G74+'5'!H74</f>
        <v>1879.8199999999488</v>
      </c>
      <c r="I74" s="154"/>
      <c r="J74" s="175">
        <f>H74/DAY(B2)</f>
        <v>313.30333333332482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'5'!F76</f>
        <v>177136.2</v>
      </c>
      <c r="F76" s="123">
        <v>177245.22</v>
      </c>
      <c r="G76" s="112">
        <f t="shared" si="7"/>
        <v>109.01999999998952</v>
      </c>
      <c r="H76" s="99">
        <f>G76+'5'!H76</f>
        <v>658.22000000000116</v>
      </c>
      <c r="I76" s="154"/>
      <c r="J76" s="175">
        <f>H76/DAY(B2)</f>
        <v>109.70333333333353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'5'!F77</f>
        <v>44408.3</v>
      </c>
      <c r="F77" s="123">
        <v>44456</v>
      </c>
      <c r="G77" s="112">
        <f t="shared" si="7"/>
        <v>47.69999999999709</v>
      </c>
      <c r="H77" s="99">
        <f>G77+'5'!H77</f>
        <v>293</v>
      </c>
      <c r="I77" s="154"/>
      <c r="J77" s="175">
        <f>H77/DAY(B2)</f>
        <v>48.833333333333336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117"/>
      <c r="F79" s="117"/>
      <c r="G79" s="112">
        <f>G15-SUM(G74:G78)</f>
        <v>658.64000000011583</v>
      </c>
      <c r="H79" s="99">
        <f>G79+'5'!H79</f>
        <v>3751.2800000000225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1125.8300000000745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41675.26</v>
      </c>
      <c r="F84" s="164">
        <v>41675</v>
      </c>
      <c r="G84" s="112">
        <f t="shared" si="8"/>
        <v>-0.26000000000203727</v>
      </c>
      <c r="H84" s="99">
        <f>G84+'5'!H84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3255.52</v>
      </c>
      <c r="F85" s="164">
        <v>3278.38</v>
      </c>
      <c r="G85" s="112">
        <f t="shared" si="8"/>
        <v>22.860000000000127</v>
      </c>
      <c r="H85" s="99">
        <f>G85+'5'!H85</f>
        <v>119.88000000000011</v>
      </c>
      <c r="I85" s="594"/>
      <c r="J85" s="175">
        <f>H85/DAY(B2)</f>
        <v>19.980000000000018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43768</v>
      </c>
      <c r="F86" s="164">
        <v>43768</v>
      </c>
      <c r="G86" s="112">
        <f t="shared" si="8"/>
        <v>0</v>
      </c>
      <c r="H86" s="99">
        <f>G86+'5'!H86</f>
        <v>47.599999999998545</v>
      </c>
      <c r="I86" s="594"/>
      <c r="J86" s="175">
        <f>H86/DAY(B2)</f>
        <v>7.9333333333330911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35118.19</v>
      </c>
      <c r="F87" s="164">
        <v>35135.21</v>
      </c>
      <c r="G87" s="112">
        <f t="shared" si="8"/>
        <v>17.019999999996799</v>
      </c>
      <c r="H87" s="99">
        <f>G87+'5'!H87</f>
        <v>54.860000000000582</v>
      </c>
      <c r="I87" s="594">
        <f>G84+G85+G86+G87</f>
        <v>39.619999999994889</v>
      </c>
      <c r="J87" s="175">
        <f>H87/DAY(B2)</f>
        <v>9.1433333333334303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24111.89</v>
      </c>
      <c r="F88" s="164">
        <v>24114.9</v>
      </c>
      <c r="G88" s="112">
        <f t="shared" si="8"/>
        <v>3.0100000000020373</v>
      </c>
      <c r="H88" s="99">
        <f>G88+'5'!H88</f>
        <v>5.5</v>
      </c>
      <c r="I88" s="594"/>
      <c r="J88" s="175">
        <f>H88/DAY(B2)</f>
        <v>0.91666666666666663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26523.32</v>
      </c>
      <c r="F89" s="164">
        <v>26533.65</v>
      </c>
      <c r="G89" s="112">
        <f t="shared" si="8"/>
        <v>10.330000000001746</v>
      </c>
      <c r="H89" s="99">
        <f>G89+'5'!H89</f>
        <v>61.860000000000582</v>
      </c>
      <c r="I89" s="594">
        <f>G88+G89</f>
        <v>13.340000000003783</v>
      </c>
      <c r="J89" s="175">
        <f>H89/DAY(B2)</f>
        <v>10.310000000000096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71614.89</v>
      </c>
      <c r="F90" s="164">
        <v>71621.899999999994</v>
      </c>
      <c r="G90" s="112">
        <f t="shared" si="8"/>
        <v>7.0099999999947613</v>
      </c>
      <c r="H90" s="99">
        <f>G90+'5'!H90</f>
        <v>48.789999999993597</v>
      </c>
      <c r="I90" s="594">
        <f>G90</f>
        <v>7.0099999999947613</v>
      </c>
      <c r="J90" s="175">
        <f>H90/DAY(B2)</f>
        <v>8.1316666666656001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3910</v>
      </c>
      <c r="F91" s="122">
        <v>3910</v>
      </c>
      <c r="G91" s="112">
        <f t="shared" si="8"/>
        <v>0</v>
      </c>
      <c r="H91" s="99">
        <f>G91+'5'!H91</f>
        <v>0.25</v>
      </c>
      <c r="I91" s="688"/>
      <c r="J91" s="175">
        <f>H91/DAY(B2)</f>
        <v>4.1666666666666664E-2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5801.89</v>
      </c>
      <c r="F92" s="122">
        <v>5812.66</v>
      </c>
      <c r="G92" s="112">
        <f t="shared" si="8"/>
        <v>10.769999999999527</v>
      </c>
      <c r="H92" s="99">
        <f>G92+'5'!H92</f>
        <v>65.359999999999673</v>
      </c>
      <c r="I92" s="705">
        <f>G91+G92</f>
        <v>10.769999999999527</v>
      </c>
      <c r="J92" s="175">
        <f>H92/DAY(B2)</f>
        <v>10.893333333333279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6911.1300000000338</v>
      </c>
      <c r="H94" s="99">
        <f>G94+'5'!H94</f>
        <v>41189.880000000034</v>
      </c>
      <c r="I94" s="118"/>
      <c r="J94" s="175">
        <f>H94/DAY(B2)</f>
        <v>6864.9800000000059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0.25047559023384786</v>
      </c>
      <c r="H95" s="99">
        <f>G95+'5'!H95</f>
        <v>1.5290868653731937</v>
      </c>
      <c r="I95" s="167"/>
      <c r="J95" s="175">
        <f>H95/DAY(B2)</f>
        <v>0.25484781089553227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7849.890000000014</v>
      </c>
      <c r="H96" s="99">
        <f>G96+'5'!H96</f>
        <v>41943.460000000021</v>
      </c>
      <c r="I96" s="118"/>
      <c r="J96" s="175">
        <f>H96/DAY(B2)</f>
        <v>6990.5766666666705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0.2844984584316565</v>
      </c>
      <c r="H97" s="99">
        <f>G97+'5'!H97</f>
        <v>1.5567414991514723</v>
      </c>
      <c r="I97" s="167"/>
      <c r="J97" s="175">
        <f>H97/DAY(B2)</f>
        <v>0.25945691652524538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3292.3399999999965</v>
      </c>
      <c r="H98" s="99">
        <f>G98+'5'!H98</f>
        <v>19837.179999999993</v>
      </c>
      <c r="I98" s="168"/>
      <c r="J98" s="175">
        <f>H98/DAY(B2)</f>
        <v>3306.1966666666654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0.11932213758828178</v>
      </c>
      <c r="H99" s="99">
        <f>G99+'5'!H99</f>
        <v>0.73647598150110138</v>
      </c>
      <c r="I99" s="168"/>
      <c r="J99" s="175">
        <f>H99/DAY(B2)</f>
        <v>0.12274599691685023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2460.179999999993</v>
      </c>
      <c r="H100" s="99">
        <f>G100+'5'!H100</f>
        <v>15398.499999999991</v>
      </c>
      <c r="I100" s="118"/>
      <c r="J100" s="175">
        <f>H100/DAY(B2)</f>
        <v>2566.4166666666652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8.916270386774712E-2</v>
      </c>
      <c r="H101" s="99">
        <f>G101+'5'!H101</f>
        <v>0.57175651028087005</v>
      </c>
      <c r="I101" s="168"/>
      <c r="J101" s="175">
        <f>H101/DAY(B2)</f>
        <v>9.5292751713478341E-2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2066.570000000007</v>
      </c>
      <c r="H102" s="99">
        <f>G102+'5'!H102</f>
        <v>13846.459999999992</v>
      </c>
      <c r="I102" s="168"/>
      <c r="J102" s="175">
        <f>H102/DAY(B2)</f>
        <v>2307.743333333332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7.4897352605082276E-2</v>
      </c>
      <c r="H103" s="99">
        <f>G103+'5'!H103</f>
        <v>0.51438399565600379</v>
      </c>
      <c r="I103" s="118"/>
      <c r="J103" s="175">
        <f>H103/DAY(B2)</f>
        <v>8.5730665942667303E-2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1635.7199999999721</v>
      </c>
      <c r="H104" s="99">
        <f>G104+'5'!H104</f>
        <v>9679.5899999999965</v>
      </c>
      <c r="I104" s="118"/>
      <c r="J104" s="175">
        <f>H104/DAY(B2)</f>
        <v>1613.2649999999994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5.9282336239847994E-2</v>
      </c>
      <c r="H105" s="99">
        <f>G105+'5'!H105</f>
        <v>0.35932402686829801</v>
      </c>
      <c r="I105" s="187"/>
      <c r="J105" s="188">
        <f>H105/DAY(B2)</f>
        <v>5.9887337811383001E-2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'5'!F112</f>
        <v>62545.41</v>
      </c>
      <c r="F112" s="237">
        <v>62626.89</v>
      </c>
      <c r="G112" s="112">
        <f t="shared" ref="G112:G123" si="9">F112-E112</f>
        <v>81.479999999995925</v>
      </c>
      <c r="H112" s="99">
        <f>G112+'5'!H112</f>
        <v>483.36000000000058</v>
      </c>
      <c r="I112" s="165"/>
      <c r="J112" s="328">
        <f>H112/DAY(B2)</f>
        <v>80.560000000000102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'5'!F113</f>
        <v>76731.27</v>
      </c>
      <c r="F113" s="237">
        <v>77202.94</v>
      </c>
      <c r="G113" s="112">
        <f t="shared" si="9"/>
        <v>471.66999999999825</v>
      </c>
      <c r="H113" s="99">
        <f>G113+'5'!H113</f>
        <v>2947.3399999999965</v>
      </c>
      <c r="I113" s="165"/>
      <c r="J113" s="328">
        <f>H113/DAY(B2)</f>
        <v>491.22333333333273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'5'!F114</f>
        <v>51739.3</v>
      </c>
      <c r="F114" s="237">
        <v>52001.18</v>
      </c>
      <c r="G114" s="112">
        <f t="shared" si="9"/>
        <v>261.87999999999738</v>
      </c>
      <c r="H114" s="99">
        <f>G114+'5'!H114</f>
        <v>1738.1800000000003</v>
      </c>
      <c r="I114" s="165"/>
      <c r="J114" s="328">
        <f>H114/DAY(B2)</f>
        <v>289.69666666666672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'5'!F115</f>
        <v>9943.1299999999992</v>
      </c>
      <c r="F115" s="237">
        <v>9963.48</v>
      </c>
      <c r="G115" s="112">
        <f t="shared" si="9"/>
        <v>20.350000000000364</v>
      </c>
      <c r="H115" s="99">
        <f>G115+'5'!H115</f>
        <v>134.96999999999935</v>
      </c>
      <c r="I115" s="165"/>
      <c r="J115" s="328">
        <f>H115/DAY(B2)</f>
        <v>22.494999999999891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'5'!F116</f>
        <v>24961.63</v>
      </c>
      <c r="F116" s="237">
        <v>25375.45</v>
      </c>
      <c r="G116" s="112">
        <f t="shared" si="9"/>
        <v>413.81999999999971</v>
      </c>
      <c r="H116" s="99">
        <f>G116+'5'!H116</f>
        <v>2590.8300000000017</v>
      </c>
      <c r="I116" s="165"/>
      <c r="J116" s="328">
        <f>H116/DAY(B2)</f>
        <v>431.80500000000029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'5'!F117</f>
        <v>14611.28</v>
      </c>
      <c r="F117" s="237">
        <v>14801.06</v>
      </c>
      <c r="G117" s="112">
        <f t="shared" si="9"/>
        <v>189.77999999999884</v>
      </c>
      <c r="H117" s="99">
        <f>G117+'5'!H117</f>
        <v>1187.8869999999988</v>
      </c>
      <c r="I117" s="165"/>
      <c r="J117" s="328">
        <f>H117/DAY(B2)</f>
        <v>197.98116666666647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'5'!F118</f>
        <v>282897.05</v>
      </c>
      <c r="F118" s="237">
        <v>283408.45</v>
      </c>
      <c r="G118" s="112">
        <f t="shared" si="9"/>
        <v>511.40000000002328</v>
      </c>
      <c r="H118" s="99">
        <f>G118+'5'!H118</f>
        <v>3187.4800000000396</v>
      </c>
      <c r="I118" s="165"/>
      <c r="J118" s="328">
        <f>H118/DAY(B2)</f>
        <v>531.24666666667326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'5'!F119</f>
        <v>285313.99</v>
      </c>
      <c r="F119" s="237">
        <v>285764.27</v>
      </c>
      <c r="G119" s="112">
        <f t="shared" si="9"/>
        <v>450.28000000002794</v>
      </c>
      <c r="H119" s="99">
        <f>G119+'5'!H119</f>
        <v>2666.8800000000047</v>
      </c>
      <c r="I119" s="165"/>
      <c r="J119" s="328">
        <f>H119/DAY(B2)</f>
        <v>444.48000000000076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'5'!F120</f>
        <v>69824.45</v>
      </c>
      <c r="F120" s="237">
        <v>70228.55</v>
      </c>
      <c r="G120" s="112">
        <f t="shared" si="9"/>
        <v>404.10000000000582</v>
      </c>
      <c r="H120" s="99">
        <f>G120+'5'!H120</f>
        <v>2503.7900000000081</v>
      </c>
      <c r="I120" s="165"/>
      <c r="J120" s="328">
        <f>H120/DAY(B2)</f>
        <v>417.29833333333471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'5'!F121</f>
        <v>446673.51</v>
      </c>
      <c r="F121" s="237">
        <v>447534.71</v>
      </c>
      <c r="G121" s="112">
        <f t="shared" si="9"/>
        <v>861.20000000001164</v>
      </c>
      <c r="H121" s="99">
        <f>G121+'5'!H121</f>
        <v>4816.4400000000023</v>
      </c>
      <c r="I121" s="165"/>
      <c r="J121" s="328">
        <f>H121/DAY(B2)</f>
        <v>802.74000000000035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'5'!F122</f>
        <v>140454.85</v>
      </c>
      <c r="F122" s="237">
        <v>140673.74</v>
      </c>
      <c r="G122" s="112">
        <f t="shared" si="9"/>
        <v>218.88999999998487</v>
      </c>
      <c r="H122" s="99">
        <f>G122+'5'!H122</f>
        <v>1365.5999999999767</v>
      </c>
      <c r="I122" s="165"/>
      <c r="J122" s="328">
        <f>H122/DAY(B2)</f>
        <v>227.59999999999613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'5'!F123</f>
        <v>170740.43</v>
      </c>
      <c r="F123" s="237">
        <v>170998.99</v>
      </c>
      <c r="G123" s="112">
        <f t="shared" si="9"/>
        <v>258.55999999999767</v>
      </c>
      <c r="H123" s="99">
        <f>G123+'5'!H123</f>
        <v>1556.9899999999907</v>
      </c>
      <c r="I123" s="165"/>
      <c r="J123" s="328">
        <f>H123/DAY(B2)</f>
        <v>259.4983333333318</v>
      </c>
    </row>
    <row r="124" spans="1:18" ht="29.25" customHeight="1">
      <c r="A124" s="932"/>
      <c r="B124" s="933"/>
      <c r="C124" s="934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4143.4100000000417</v>
      </c>
      <c r="H125" s="156"/>
      <c r="I125" s="327">
        <f>G125-(G39+G53)</f>
        <v>851.07000000004518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'5'!F128</f>
        <v>70902</v>
      </c>
      <c r="F128" s="165">
        <v>71319.94</v>
      </c>
      <c r="G128" s="112">
        <f t="shared" ref="G128:G134" si="10">F128-E128</f>
        <v>417.94000000000233</v>
      </c>
      <c r="H128" s="99">
        <f>G128+'5'!H128</f>
        <v>2403.6999999999971</v>
      </c>
      <c r="I128" s="165"/>
      <c r="J128" s="328">
        <f>H128/DAY(B2)</f>
        <v>400.61666666666616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43667.93</v>
      </c>
      <c r="F129" s="165">
        <v>43898.87</v>
      </c>
      <c r="G129" s="112">
        <f t="shared" si="10"/>
        <v>230.94000000000233</v>
      </c>
      <c r="H129" s="99">
        <f>G129+'5'!H129</f>
        <v>1787.8199999999997</v>
      </c>
      <c r="I129" s="165"/>
      <c r="J129" s="328">
        <f>H129/DAY(B2)</f>
        <v>297.96999999999997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79116.399999999994</v>
      </c>
      <c r="F130" s="165">
        <v>79830.89</v>
      </c>
      <c r="G130" s="112">
        <f t="shared" si="10"/>
        <v>714.49000000000524</v>
      </c>
      <c r="H130" s="99">
        <f>G130+'5'!H130</f>
        <v>4168.9400000000023</v>
      </c>
      <c r="I130" s="165"/>
      <c r="J130" s="328">
        <f>H130/DAY(B2)</f>
        <v>694.82333333333372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'5'!F131</f>
        <v>25360.13</v>
      </c>
      <c r="F131" s="165">
        <v>25534.78</v>
      </c>
      <c r="G131" s="112">
        <f t="shared" si="10"/>
        <v>174.64999999999782</v>
      </c>
      <c r="H131" s="99">
        <f>G131+'5'!H131</f>
        <v>1102.2799999999988</v>
      </c>
      <c r="I131" s="165"/>
      <c r="J131" s="328">
        <f>H131/DAY(B2)</f>
        <v>183.71333333333314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'5'!F132</f>
        <v>77816.820000000007</v>
      </c>
      <c r="F132" s="165">
        <v>78233.070000000007</v>
      </c>
      <c r="G132" s="112">
        <f t="shared" si="10"/>
        <v>416.25</v>
      </c>
      <c r="H132" s="99">
        <f>G132+'5'!H132</f>
        <v>2565.570000000007</v>
      </c>
      <c r="I132" s="165"/>
      <c r="J132" s="328">
        <f>H132/DAY(B2)</f>
        <v>427.59500000000116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'5'!F133</f>
        <v>149499.84</v>
      </c>
      <c r="F133" s="165">
        <v>150433.07999999999</v>
      </c>
      <c r="G133" s="112">
        <f t="shared" si="10"/>
        <v>933.23999999999069</v>
      </c>
      <c r="H133" s="99">
        <f>G133+'5'!H133</f>
        <v>5051.0899999999965</v>
      </c>
      <c r="I133" s="165"/>
      <c r="J133" s="328">
        <f>H133/DAY(B2)</f>
        <v>841.84833333333279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'5'!F134</f>
        <v>22003.13</v>
      </c>
      <c r="F134" s="165">
        <v>22243.68</v>
      </c>
      <c r="G134" s="112">
        <f t="shared" si="10"/>
        <v>240.54999999999927</v>
      </c>
      <c r="H134" s="99">
        <f>G134+'5'!H134</f>
        <v>1451</v>
      </c>
      <c r="I134" s="165"/>
      <c r="J134" s="328">
        <f>H134/DAY(B2)</f>
        <v>241.83333333333334</v>
      </c>
    </row>
    <row r="135" spans="1:15" ht="25.5">
      <c r="A135" s="935" t="s">
        <v>196</v>
      </c>
      <c r="B135" s="936"/>
      <c r="C135" s="331"/>
      <c r="D135" s="151"/>
      <c r="E135" s="95"/>
      <c r="F135" s="112"/>
      <c r="G135" s="112">
        <f>SUM(G128:G134)</f>
        <v>3128.0599999999977</v>
      </c>
      <c r="H135" s="99">
        <f>G135+'5'!H135</f>
        <v>18530.400000000001</v>
      </c>
      <c r="I135" s="327">
        <f>G135-(G35+G49)</f>
        <v>-786.29000000000815</v>
      </c>
      <c r="J135" s="328">
        <f>H135/DAY(B2)</f>
        <v>3088.4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'5'!F138</f>
        <v>874907</v>
      </c>
      <c r="F138" s="147">
        <v>875061</v>
      </c>
      <c r="G138" s="112">
        <f t="shared" ref="G138:G152" si="11">F138-E138</f>
        <v>154</v>
      </c>
      <c r="H138" s="99">
        <f>G138+'5'!H138</f>
        <v>1060</v>
      </c>
      <c r="I138" s="118"/>
      <c r="J138" s="328">
        <f>H138/DAY(B2)</f>
        <v>176.66666666666666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'5'!F139</f>
        <v>891045</v>
      </c>
      <c r="F139" s="148">
        <v>891173</v>
      </c>
      <c r="G139" s="112">
        <f t="shared" si="11"/>
        <v>128</v>
      </c>
      <c r="H139" s="99">
        <f>G139+'5'!H139</f>
        <v>855</v>
      </c>
      <c r="I139" s="118"/>
      <c r="J139" s="328">
        <f>H139/DAY(B2)</f>
        <v>142.5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'5'!F140</f>
        <v>88995</v>
      </c>
      <c r="F140" s="149">
        <v>89003.5</v>
      </c>
      <c r="G140" s="112">
        <f t="shared" si="11"/>
        <v>8.5</v>
      </c>
      <c r="H140" s="99">
        <f>G140+'5'!H140</f>
        <v>13.5</v>
      </c>
      <c r="I140" s="118"/>
      <c r="J140" s="328">
        <f>H140/DAY(B2)</f>
        <v>2.25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'5'!F141</f>
        <v>66759.990000000005</v>
      </c>
      <c r="F141" s="149">
        <v>66957.490000000005</v>
      </c>
      <c r="G141" s="112">
        <f t="shared" si="11"/>
        <v>197.5</v>
      </c>
      <c r="H141" s="99">
        <f>G141+'5'!H141</f>
        <v>1173.9600000000064</v>
      </c>
      <c r="I141" s="118"/>
      <c r="J141" s="328">
        <f>H141/DAY(B2)</f>
        <v>195.66000000000108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'5'!F142</f>
        <v>25898.6</v>
      </c>
      <c r="F142" s="148">
        <v>25969.279999999999</v>
      </c>
      <c r="G142" s="112">
        <f t="shared" si="11"/>
        <v>70.680000000000291</v>
      </c>
      <c r="H142" s="99">
        <f>G142+'5'!H142</f>
        <v>472.87999999999738</v>
      </c>
      <c r="I142" s="140"/>
      <c r="J142" s="328">
        <f>H142/DAY(B2)</f>
        <v>78.813333333332892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'5'!F143</f>
        <v>5696.46</v>
      </c>
      <c r="F143" s="149">
        <v>5725.09</v>
      </c>
      <c r="G143" s="112">
        <f t="shared" si="11"/>
        <v>28.630000000000109</v>
      </c>
      <c r="H143" s="99">
        <f>G143+'5'!H143</f>
        <v>164.38000000000011</v>
      </c>
      <c r="I143" s="140"/>
      <c r="J143" s="328">
        <f>H143/DAY(B2)</f>
        <v>27.396666666666686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'5'!F144</f>
        <v>891083</v>
      </c>
      <c r="F144" s="149">
        <v>891326</v>
      </c>
      <c r="G144" s="112">
        <f t="shared" si="11"/>
        <v>243</v>
      </c>
      <c r="H144" s="99">
        <f>G144+'5'!H144</f>
        <v>1492</v>
      </c>
      <c r="I144" s="140"/>
      <c r="J144" s="328">
        <f>H144/DAY(B2)</f>
        <v>248.66666666666666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'5'!F145</f>
        <v>5562.37</v>
      </c>
      <c r="F145" s="149">
        <v>5562.8</v>
      </c>
      <c r="G145" s="112">
        <f t="shared" si="11"/>
        <v>0.43000000000029104</v>
      </c>
      <c r="H145" s="99">
        <f>G145+'5'!H145</f>
        <v>6.4000000000005457</v>
      </c>
      <c r="I145" s="140"/>
      <c r="J145" s="328">
        <f>H145/DAY(B2)</f>
        <v>1.0666666666667577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'5'!F146</f>
        <v>766909</v>
      </c>
      <c r="F146" s="148">
        <v>767484</v>
      </c>
      <c r="G146" s="112">
        <f t="shared" si="11"/>
        <v>575</v>
      </c>
      <c r="H146" s="99">
        <f>G146+'5'!H146</f>
        <v>3158</v>
      </c>
      <c r="I146" s="140"/>
      <c r="J146" s="328">
        <f>H146/DAY(B2)</f>
        <v>526.33333333333337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'5'!F147</f>
        <v>652500.24</v>
      </c>
      <c r="F147" s="148">
        <v>652897.80000000005</v>
      </c>
      <c r="G147" s="112">
        <f t="shared" si="11"/>
        <v>397.56000000005588</v>
      </c>
      <c r="H147" s="99">
        <f>G147+'5'!H147</f>
        <v>2713.8000000000466</v>
      </c>
      <c r="I147" s="140"/>
      <c r="J147" s="328">
        <f>H147/DAY(B2)</f>
        <v>452.30000000000774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'5'!F148</f>
        <v>710659.44</v>
      </c>
      <c r="F148" s="150">
        <v>710991.76</v>
      </c>
      <c r="G148" s="112">
        <f t="shared" si="11"/>
        <v>332.32000000006519</v>
      </c>
      <c r="H148" s="99">
        <f>G148+'5'!H148</f>
        <v>2127.0799999999581</v>
      </c>
      <c r="I148" s="124"/>
      <c r="J148" s="328">
        <f>H148/DAY(B2)</f>
        <v>354.51333333332633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'5'!F149</f>
        <v>66980.210000000006</v>
      </c>
      <c r="F149" s="146">
        <v>67673.98</v>
      </c>
      <c r="G149" s="112">
        <f t="shared" si="11"/>
        <v>693.76999999998952</v>
      </c>
      <c r="H149" s="99">
        <f>G149+'5'!H149</f>
        <v>4450.179999999993</v>
      </c>
      <c r="I149" s="119"/>
      <c r="J149" s="328">
        <f>H149/DAY(B2)</f>
        <v>741.69666666666546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'5'!F150</f>
        <v>25074.5</v>
      </c>
      <c r="F150" s="233">
        <v>25298.26</v>
      </c>
      <c r="G150" s="112">
        <f t="shared" si="11"/>
        <v>223.7599999999984</v>
      </c>
      <c r="H150" s="99">
        <f>G150+'5'!H150</f>
        <v>1342.4699999999975</v>
      </c>
      <c r="I150" s="119"/>
      <c r="J150" s="328">
        <f>H150/DAY(B2)</f>
        <v>223.74499999999958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'5'!F151</f>
        <v>102014</v>
      </c>
      <c r="F151" s="233">
        <v>102298</v>
      </c>
      <c r="G151" s="112">
        <f t="shared" si="11"/>
        <v>284</v>
      </c>
      <c r="H151" s="99">
        <f>G151+'5'!H151</f>
        <v>1687</v>
      </c>
      <c r="I151" s="119"/>
      <c r="J151" s="328">
        <f>H151/DAY(B2)</f>
        <v>281.16666666666669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'5'!F152</f>
        <v>8701.4699999999993</v>
      </c>
      <c r="F152" s="233">
        <v>8827.17</v>
      </c>
      <c r="G152" s="112">
        <f t="shared" si="11"/>
        <v>125.70000000000073</v>
      </c>
      <c r="H152" s="99">
        <f>G152+'5'!H152</f>
        <v>758.10999999999967</v>
      </c>
      <c r="I152" s="119"/>
      <c r="J152" s="328">
        <f>H152/DAY(B2)</f>
        <v>126.35166666666662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3462.8500000001104</v>
      </c>
      <c r="H153" s="363"/>
      <c r="I153" s="119">
        <f>G153-(G38+G52)</f>
        <v>1002.6700000001174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'5'!F155</f>
        <v>76009.350000000006</v>
      </c>
      <c r="F155" s="374">
        <v>76685.820000000007</v>
      </c>
      <c r="G155" s="112">
        <f t="shared" ref="G155:G158" si="12">F155-E155</f>
        <v>676.47000000000116</v>
      </c>
      <c r="H155" s="99">
        <f>G155+'5'!H155</f>
        <v>3915.320000000007</v>
      </c>
      <c r="I155" s="364"/>
      <c r="J155" s="328">
        <f>H155/DAY(B2)</f>
        <v>652.55333333333454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'5'!F156</f>
        <v>6320.21</v>
      </c>
      <c r="F156" s="155">
        <v>6377.09</v>
      </c>
      <c r="G156" s="112">
        <f t="shared" si="12"/>
        <v>56.880000000000109</v>
      </c>
      <c r="H156" s="99">
        <f>G156+'5'!H156</f>
        <v>319.84000000000015</v>
      </c>
      <c r="I156" s="165"/>
      <c r="J156" s="328">
        <f>H156/DAY(B2)</f>
        <v>53.306666666666693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'5'!F157</f>
        <v>10808.81</v>
      </c>
      <c r="F157" s="155">
        <v>10919.51</v>
      </c>
      <c r="G157" s="112">
        <f t="shared" si="12"/>
        <v>110.70000000000073</v>
      </c>
      <c r="H157" s="99">
        <f>G157+'5'!H157</f>
        <v>680.70000000000073</v>
      </c>
      <c r="I157" s="165"/>
      <c r="J157" s="328">
        <f>H157/DAY(B2)</f>
        <v>113.45000000000012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'5'!F158</f>
        <v>92</v>
      </c>
      <c r="F158" s="155">
        <v>92</v>
      </c>
      <c r="G158" s="112">
        <f t="shared" si="12"/>
        <v>0</v>
      </c>
      <c r="H158" s="99">
        <f>G158+'5'!H158</f>
        <v>1.5799999999999983</v>
      </c>
      <c r="I158" s="165"/>
      <c r="J158" s="328">
        <f>H158/DAY(B2)</f>
        <v>0.26333333333333303</v>
      </c>
    </row>
    <row r="159" spans="1:10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473841.44</v>
      </c>
      <c r="F161" s="235">
        <v>473841.44</v>
      </c>
      <c r="G161" s="238">
        <f t="shared" ref="G161:G165" si="13">F161-E161</f>
        <v>0</v>
      </c>
      <c r="H161" s="99">
        <f>G161+'5'!H161</f>
        <v>0.71000000002095476</v>
      </c>
      <c r="I161" s="236"/>
      <c r="J161" s="239">
        <f>H161/DAY(B2)</f>
        <v>0.11833333333682579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90611.13</v>
      </c>
      <c r="F162" s="235">
        <v>90648.2</v>
      </c>
      <c r="G162" s="238">
        <f t="shared" si="13"/>
        <v>37.069999999992433</v>
      </c>
      <c r="H162" s="99">
        <f>G162+'5'!H162</f>
        <v>195.30000000000291</v>
      </c>
      <c r="I162" s="236"/>
      <c r="J162" s="239">
        <f>H162/DAY(B2)</f>
        <v>32.550000000000487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87990.1</v>
      </c>
      <c r="F163" s="235">
        <v>88154.5</v>
      </c>
      <c r="G163" s="238">
        <f t="shared" si="13"/>
        <v>164.39999999999418</v>
      </c>
      <c r="H163" s="99">
        <f>G163+'5'!H163</f>
        <v>1075.6999999999971</v>
      </c>
      <c r="I163" s="236"/>
      <c r="J163" s="239">
        <f>H163/DAY(B2)</f>
        <v>179.28333333333285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4888.8999999999996</v>
      </c>
      <c r="F164" s="235">
        <v>4901.1000000000004</v>
      </c>
      <c r="G164" s="238">
        <f t="shared" si="13"/>
        <v>12.200000000000728</v>
      </c>
      <c r="H164" s="99">
        <f>G164+'5'!H164</f>
        <v>88.700000000000728</v>
      </c>
      <c r="I164" s="236"/>
      <c r="J164" s="239">
        <f>H164/DAY(B2)</f>
        <v>14.783333333333454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30389.14</v>
      </c>
      <c r="F165" s="235">
        <v>30397.11</v>
      </c>
      <c r="G165" s="238">
        <f t="shared" si="13"/>
        <v>7.9700000000011642</v>
      </c>
      <c r="H165" s="99">
        <f>G165+'5'!H165</f>
        <v>41.600000000002183</v>
      </c>
      <c r="I165" s="236"/>
      <c r="J165" s="239">
        <f>H165/DAY(B2)</f>
        <v>6.9333333333336968</v>
      </c>
    </row>
    <row r="166" spans="1:10" ht="26.25">
      <c r="A166" s="938"/>
      <c r="B166" s="938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'5'!F173</f>
        <v>8265</v>
      </c>
      <c r="F173" s="155">
        <v>8265</v>
      </c>
      <c r="G173" s="155">
        <f>F173-E173</f>
        <v>0</v>
      </c>
      <c r="H173" s="99">
        <f>G173+'5'!H173</f>
        <v>1</v>
      </c>
      <c r="I173" s="155"/>
      <c r="J173" s="178">
        <f>H173/DAY(B2)</f>
        <v>0.16666666666666666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'5'!F174</f>
        <v>39533</v>
      </c>
      <c r="F174" s="157">
        <v>39548</v>
      </c>
      <c r="G174" s="155">
        <f t="shared" ref="G174:G175" si="14">F174-E174</f>
        <v>15</v>
      </c>
      <c r="H174" s="99">
        <f>G174+'5'!H174</f>
        <v>86</v>
      </c>
      <c r="I174" s="155"/>
      <c r="J174" s="178">
        <f>H174/DAY(B2)</f>
        <v>14.333333333333334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'5'!F175</f>
        <v>22583</v>
      </c>
      <c r="F175" s="155">
        <v>22596</v>
      </c>
      <c r="G175" s="155">
        <f t="shared" si="14"/>
        <v>13</v>
      </c>
      <c r="H175" s="99">
        <f>G175+'5'!H175</f>
        <v>74</v>
      </c>
      <c r="I175" s="155"/>
      <c r="J175" s="178">
        <f>H175/DAY(B2)</f>
        <v>12.333333333333334</v>
      </c>
    </row>
    <row r="176" spans="1:10" ht="25.5">
      <c r="A176" s="464" t="s">
        <v>196</v>
      </c>
      <c r="B176" s="465"/>
      <c r="C176" s="333"/>
      <c r="D176" s="228"/>
      <c r="E176" s="95">
        <f>'5'!F176</f>
        <v>0</v>
      </c>
      <c r="F176" s="155"/>
      <c r="G176" s="155">
        <f>SUM(G173:G175)</f>
        <v>28</v>
      </c>
      <c r="H176" s="99">
        <f>G176+'5'!H176</f>
        <v>161</v>
      </c>
      <c r="I176" s="155"/>
      <c r="J176" s="178">
        <f>H176/DAY(B2)</f>
        <v>26.833333333333332</v>
      </c>
    </row>
    <row r="177" spans="1:10" ht="25.5">
      <c r="A177" s="896" t="s">
        <v>77</v>
      </c>
      <c r="B177" s="89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'5'!F178</f>
        <v>86059</v>
      </c>
      <c r="F178" s="155">
        <v>86165</v>
      </c>
      <c r="G178" s="155">
        <f>F178-E178</f>
        <v>106</v>
      </c>
      <c r="H178" s="99">
        <f>G178+'5'!H178</f>
        <v>549</v>
      </c>
      <c r="I178" s="155"/>
      <c r="J178" s="178">
        <f>H178/DAY(B2)</f>
        <v>91.5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'5'!F179</f>
        <v>35688</v>
      </c>
      <c r="F179" s="155">
        <v>35697</v>
      </c>
      <c r="G179" s="155">
        <f t="shared" ref="G179:G180" si="15">F179-E179</f>
        <v>9</v>
      </c>
      <c r="H179" s="99">
        <f>G179+'5'!H179</f>
        <v>83</v>
      </c>
      <c r="I179" s="155"/>
      <c r="J179" s="178">
        <f>H179/DAY(B2)</f>
        <v>13.833333333333334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'5'!F180</f>
        <v>6166</v>
      </c>
      <c r="F180" s="155">
        <v>6181</v>
      </c>
      <c r="G180" s="155">
        <f t="shared" si="15"/>
        <v>15</v>
      </c>
      <c r="H180" s="99">
        <f>G180+'5'!H180</f>
        <v>48</v>
      </c>
      <c r="I180" s="155"/>
      <c r="J180" s="178">
        <f>H180/DAY(B2)</f>
        <v>8</v>
      </c>
    </row>
    <row r="181" spans="1:10" ht="25.5">
      <c r="A181" s="942" t="s">
        <v>108</v>
      </c>
      <c r="B181" s="943"/>
      <c r="C181" s="333"/>
      <c r="D181" s="228"/>
      <c r="E181" s="95">
        <f>'5'!F181</f>
        <v>0</v>
      </c>
      <c r="F181" s="155"/>
      <c r="G181" s="155">
        <f>SUM(G178:G180)</f>
        <v>130</v>
      </c>
      <c r="H181" s="99">
        <f>G181+'5'!H181</f>
        <v>680</v>
      </c>
      <c r="I181" s="155"/>
      <c r="J181" s="178">
        <f>H181/DAY(B2)</f>
        <v>113.33333333333333</v>
      </c>
    </row>
    <row r="182" spans="1:10" ht="25.5">
      <c r="A182" s="896" t="s">
        <v>213</v>
      </c>
      <c r="B182" s="89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'5'!F183</f>
        <v>16242</v>
      </c>
      <c r="F183" s="157">
        <v>16255</v>
      </c>
      <c r="G183" s="157">
        <f>F183-E183</f>
        <v>13</v>
      </c>
      <c r="H183" s="99">
        <f>G183+'5'!H183</f>
        <v>113</v>
      </c>
      <c r="I183" s="155"/>
      <c r="J183" s="178">
        <f>H183/DAY(B2)</f>
        <v>18.833333333333332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'5'!F184</f>
        <v>11078</v>
      </c>
      <c r="F184" s="157">
        <v>11084</v>
      </c>
      <c r="G184" s="157">
        <f t="shared" ref="G184:G185" si="16">F184-E184</f>
        <v>6</v>
      </c>
      <c r="H184" s="99">
        <f>G184+'5'!H184</f>
        <v>35</v>
      </c>
      <c r="I184" s="155"/>
      <c r="J184" s="178">
        <f>H184/DAY(B2)</f>
        <v>5.833333333333333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334"/>
      <c r="D186" s="229"/>
      <c r="E186" s="95"/>
      <c r="F186" s="157"/>
      <c r="G186" s="157">
        <f>SUM(G183:G185)</f>
        <v>19</v>
      </c>
      <c r="H186" s="99">
        <f>G186+'5'!H186</f>
        <v>148</v>
      </c>
      <c r="I186" s="157"/>
      <c r="J186" s="178">
        <f>H186/DAY(B2)</f>
        <v>24.666666666666668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221</v>
      </c>
      <c r="H187" s="99">
        <f>G187+'5'!H187</f>
        <v>1397</v>
      </c>
      <c r="I187" s="158"/>
      <c r="J187" s="179">
        <f>H187/DAY(B2)</f>
        <v>232.83333333333334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221</v>
      </c>
      <c r="H188" s="99">
        <f>G188+'5'!H188</f>
        <v>1355</v>
      </c>
      <c r="I188" s="158"/>
      <c r="J188" s="179">
        <f>H188/DAY(B2)</f>
        <v>225.83333333333334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130</v>
      </c>
      <c r="H189" s="99">
        <f>G189+'5'!H189</f>
        <v>680</v>
      </c>
      <c r="I189" s="158"/>
      <c r="J189" s="179">
        <f>H189/DAY(B2)</f>
        <v>113.33333333333333</v>
      </c>
    </row>
    <row r="190" spans="1:10" ht="25.5">
      <c r="A190" s="940"/>
      <c r="B190" s="94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7" sqref="F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44627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148353.74</v>
      </c>
      <c r="F7" s="95">
        <v>176280.03</v>
      </c>
      <c r="G7" s="112">
        <f>F7-E7</f>
        <v>27926.290000000008</v>
      </c>
      <c r="H7" s="99">
        <f>G7+'6'!H7</f>
        <v>189557.03</v>
      </c>
      <c r="I7" s="113">
        <f>'1'!I7</f>
        <v>12000</v>
      </c>
      <c r="J7" s="175">
        <f>H7/DAY(B2)</f>
        <v>27079.575714285715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222311.07</v>
      </c>
      <c r="F8" s="114">
        <v>250780.75</v>
      </c>
      <c r="G8" s="115">
        <f>F8-E8</f>
        <v>28469.679999999993</v>
      </c>
      <c r="H8" s="99">
        <f>G8+'6'!H8</f>
        <v>192734.53</v>
      </c>
      <c r="I8" s="116"/>
      <c r="J8" s="175">
        <f>H8/DAY(B2)</f>
        <v>27533.504285714287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1384252.6</v>
      </c>
      <c r="F9" s="117">
        <v>1404833.4</v>
      </c>
      <c r="G9" s="112">
        <f>F9-E9</f>
        <v>20580.799999999814</v>
      </c>
      <c r="H9" s="99">
        <f>G9+'6'!H9</f>
        <v>137158.39999999991</v>
      </c>
      <c r="I9" s="124">
        <f>I7-J7</f>
        <v>-15079.575714285715</v>
      </c>
      <c r="J9" s="175">
        <f>H9/DAY(B2)</f>
        <v>19594.057142857131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458699.23</v>
      </c>
      <c r="F10" s="117">
        <v>465266.47</v>
      </c>
      <c r="G10" s="112">
        <f t="shared" ref="G10:G12" si="0">F10-E10</f>
        <v>6567.2399999999907</v>
      </c>
      <c r="H10" s="99">
        <f>G10+'6'!H10</f>
        <v>46991</v>
      </c>
      <c r="I10" s="282"/>
      <c r="J10" s="175">
        <f>H10/DAY(B2)</f>
        <v>6713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27148.039999999804</v>
      </c>
      <c r="H13" s="99">
        <f>G13+'6'!H13</f>
        <v>184149.86999999988</v>
      </c>
      <c r="I13" s="120">
        <f>G7-G13</f>
        <v>778.25000000020373</v>
      </c>
      <c r="J13" s="175">
        <f>H13/DAY(B2)</f>
        <v>26307.124285714268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1977519.72</v>
      </c>
      <c r="F15" s="470">
        <v>1978579.29</v>
      </c>
      <c r="G15" s="112">
        <f>(F15-E15)</f>
        <v>1059.5700000000652</v>
      </c>
      <c r="H15" s="99">
        <f>G15+'6'!H15</f>
        <v>7642.2900000000373</v>
      </c>
      <c r="I15" s="113">
        <f>'1'!I15</f>
        <v>800</v>
      </c>
      <c r="J15" s="175">
        <f>H15/DAY(B2)</f>
        <v>1091.7557142857197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-291.75571428571971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'6'!F18</f>
        <v>26</v>
      </c>
      <c r="F18" s="122">
        <v>16</v>
      </c>
      <c r="G18" s="119">
        <f>F18*10</f>
        <v>160</v>
      </c>
      <c r="H18" s="99">
        <f>G18+'6'!H18</f>
        <v>1740</v>
      </c>
      <c r="I18" s="113">
        <f>'1'!I18</f>
        <v>65</v>
      </c>
      <c r="J18" s="175">
        <f>H18/DAY(B2)</f>
        <v>248.57142857142858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'6'!F19</f>
        <v>157276</v>
      </c>
      <c r="F19" s="122">
        <v>157322</v>
      </c>
      <c r="G19" s="112">
        <f t="shared" ref="G19" si="1">F19-E19</f>
        <v>46</v>
      </c>
      <c r="H19" s="99">
        <f>G19+'6'!H19</f>
        <v>333</v>
      </c>
      <c r="I19" s="335"/>
      <c r="J19" s="175">
        <f>H19/DAY(B2)</f>
        <v>47.571428571428569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206</v>
      </c>
      <c r="H20" s="99">
        <f>G20+'6'!H20</f>
        <v>2073</v>
      </c>
      <c r="I20" s="336">
        <f>I18-J20</f>
        <v>-231.14285714285717</v>
      </c>
      <c r="J20" s="175">
        <f>H20/DAY(B2)</f>
        <v>296.14285714285717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28469.679999999993</v>
      </c>
      <c r="F27" s="136">
        <v>9</v>
      </c>
      <c r="G27" s="137">
        <f>E27*F27</f>
        <v>256227.11999999994</v>
      </c>
      <c r="H27" s="99">
        <f>G27+'6'!H27</f>
        <v>1734610.77</v>
      </c>
      <c r="I27" s="138"/>
      <c r="J27" s="175">
        <f>H27/DAY(B2)</f>
        <v>247801.53857142857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1059.5700000000652</v>
      </c>
      <c r="F28" s="136">
        <v>70</v>
      </c>
      <c r="G28" s="137">
        <f>E28*F28</f>
        <v>74169.900000004563</v>
      </c>
      <c r="H28" s="99">
        <f>G28+'6'!H28</f>
        <v>534960.30000000261</v>
      </c>
      <c r="I28" s="140"/>
      <c r="J28" s="175">
        <f>H28/DAY(B2)</f>
        <v>76422.900000000373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G30+'6'!H30</f>
        <v>50283</v>
      </c>
      <c r="I30" s="140"/>
      <c r="J30" s="175">
        <f>H30/DAY(B2)</f>
        <v>7183.2857142857147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139200</v>
      </c>
      <c r="I31" s="140"/>
      <c r="J31" s="175">
        <f>H31/DAY(B2)</f>
        <v>19885.714285714286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350143.0200000045</v>
      </c>
      <c r="H32" s="99">
        <f>G32+'6'!H32</f>
        <v>2459054.0700000026</v>
      </c>
      <c r="I32" s="144"/>
      <c r="J32" s="175">
        <f>H32/DAY(B2)</f>
        <v>351293.43857142894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150946.16</v>
      </c>
      <c r="F35" s="145">
        <v>153119.32</v>
      </c>
      <c r="G35" s="112">
        <f t="shared" ref="G35:G46" si="3">F35-E35</f>
        <v>2173.1600000000035</v>
      </c>
      <c r="H35" s="99">
        <f>G35+'6'!H35</f>
        <v>14840.110000000015</v>
      </c>
      <c r="I35" s="95"/>
      <c r="J35" s="175">
        <f>H35/DAY(B2)</f>
        <v>2120.0157142857165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105821.66</v>
      </c>
      <c r="F36" s="145">
        <v>106881.05</v>
      </c>
      <c r="G36" s="112">
        <f t="shared" si="3"/>
        <v>1059.3899999999994</v>
      </c>
      <c r="H36" s="99">
        <f>G36+'6'!H36</f>
        <v>6360.3899999999994</v>
      </c>
      <c r="I36" s="95"/>
      <c r="J36" s="175">
        <f>H36/DAY(B2)</f>
        <v>908.62714285714276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142604.60999999999</v>
      </c>
      <c r="F37" s="145">
        <v>144241.51</v>
      </c>
      <c r="G37" s="112">
        <f t="shared" si="3"/>
        <v>1636.9000000000233</v>
      </c>
      <c r="H37" s="99">
        <f>G37+'6'!H37</f>
        <v>11316.49000000002</v>
      </c>
      <c r="I37" s="95"/>
      <c r="J37" s="175">
        <f>H37/DAY(B2)</f>
        <v>1616.6414285714313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185508.11</v>
      </c>
      <c r="F38" s="108">
        <v>187944.09</v>
      </c>
      <c r="G38" s="112">
        <f t="shared" si="3"/>
        <v>2435.9800000000105</v>
      </c>
      <c r="H38" s="99">
        <f>G38+'6'!H38</f>
        <v>17834.72</v>
      </c>
      <c r="I38" s="95"/>
      <c r="J38" s="175">
        <f>H38/DAY(B2)</f>
        <v>2547.8171428571432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263990.61</v>
      </c>
      <c r="F39" s="145">
        <v>267325.27</v>
      </c>
      <c r="G39" s="112">
        <f t="shared" si="3"/>
        <v>3334.6600000000326</v>
      </c>
      <c r="H39" s="99">
        <f>G39+'6'!H39</f>
        <v>23171.840000000026</v>
      </c>
      <c r="I39" s="95"/>
      <c r="J39" s="175">
        <f>H39/DAY(B2)</f>
        <v>3310.2628571428609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52505.02</v>
      </c>
      <c r="F40" s="145">
        <v>52997.02</v>
      </c>
      <c r="G40" s="112">
        <f t="shared" si="3"/>
        <v>492</v>
      </c>
      <c r="H40" s="99">
        <f>G40+'6'!H40</f>
        <v>3845.1599999999962</v>
      </c>
      <c r="I40" s="95"/>
      <c r="J40" s="175">
        <f>H40/DAY(B2)</f>
        <v>549.30857142857087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-0.27000000000000313</v>
      </c>
      <c r="I41" s="95"/>
      <c r="J41" s="175">
        <f>H41/DAY(B2)</f>
        <v>-3.857142857142902E-2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308755.03000000003</v>
      </c>
      <c r="F42" s="145">
        <v>314381.39</v>
      </c>
      <c r="G42" s="112">
        <f t="shared" si="3"/>
        <v>5626.359999999986</v>
      </c>
      <c r="H42" s="99">
        <f>G42+'6'!H42</f>
        <v>33024.140000000014</v>
      </c>
      <c r="I42" s="95"/>
      <c r="J42" s="175">
        <f>H42/DAY(B2)</f>
        <v>4717.7342857142876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276803.27</v>
      </c>
      <c r="F43" s="145">
        <v>279824.46999999997</v>
      </c>
      <c r="G43" s="112">
        <f t="shared" si="3"/>
        <v>3021.1999999999534</v>
      </c>
      <c r="H43" s="99">
        <f>G43+'6'!H43</f>
        <v>21069.999999999971</v>
      </c>
      <c r="I43" s="95"/>
      <c r="J43" s="175">
        <f>H43/DAY(B2)</f>
        <v>3009.9999999999959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19779.650000000009</v>
      </c>
      <c r="H47" s="99">
        <f>G47+'6'!H47</f>
        <v>131462.58000000002</v>
      </c>
      <c r="I47" s="95"/>
      <c r="J47" s="175">
        <f>H47/DAY(B2)</f>
        <v>18780.368571428575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120976.33</v>
      </c>
      <c r="F49" s="145">
        <v>122788.04</v>
      </c>
      <c r="G49" s="112">
        <f t="shared" ref="G49:G58" si="4">F49-E49</f>
        <v>1811.7099999999919</v>
      </c>
      <c r="H49" s="99">
        <f>G49+'6'!H49</f>
        <v>12285.839999999997</v>
      </c>
      <c r="I49" s="95"/>
      <c r="J49" s="175">
        <f>H49/DAY(B2)</f>
        <v>1755.1199999999994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139755.6</v>
      </c>
      <c r="F50" s="145">
        <v>140899.98000000001</v>
      </c>
      <c r="G50" s="112">
        <f t="shared" si="4"/>
        <v>1144.3800000000047</v>
      </c>
      <c r="H50" s="99">
        <f>G50+'6'!H50</f>
        <v>9689.8399999999965</v>
      </c>
      <c r="I50" s="95"/>
      <c r="J50" s="175">
        <f>H50/DAY(B2)</f>
        <v>1384.2628571428565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38792.54</v>
      </c>
      <c r="F54" s="145">
        <v>39262.5</v>
      </c>
      <c r="G54" s="112">
        <f t="shared" si="4"/>
        <v>469.95999999999913</v>
      </c>
      <c r="H54" s="99">
        <f>G54+'6'!H54</f>
        <v>3591.4400000000023</v>
      </c>
      <c r="I54" s="95"/>
      <c r="J54" s="175">
        <f>H54/DAY(B2)</f>
        <v>513.06285714285752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119326.43</v>
      </c>
      <c r="F55" s="145">
        <v>119326.43</v>
      </c>
      <c r="G55" s="112">
        <f t="shared" si="4"/>
        <v>0</v>
      </c>
      <c r="H55" s="99">
        <f>G55+'6'!H55</f>
        <v>6845.3999999999942</v>
      </c>
      <c r="I55" s="95"/>
      <c r="J55" s="175">
        <f>H55/DAY(B2)</f>
        <v>977.91428571428492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79318.23</v>
      </c>
      <c r="F56" s="145">
        <v>81699.19</v>
      </c>
      <c r="G56" s="112">
        <f t="shared" si="4"/>
        <v>2380.9600000000064</v>
      </c>
      <c r="H56" s="99">
        <f>G56+'6'!H56</f>
        <v>10081.510000000009</v>
      </c>
      <c r="I56" s="95"/>
      <c r="J56" s="175">
        <f>H56/DAY(B2)</f>
        <v>1440.2157142857156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19876.68</v>
      </c>
      <c r="F58" s="145">
        <v>20103.47</v>
      </c>
      <c r="G58" s="112">
        <f t="shared" si="4"/>
        <v>226.79000000000087</v>
      </c>
      <c r="H58" s="99">
        <f>G58+'6'!H58</f>
        <v>1649.2700000000004</v>
      </c>
      <c r="I58" s="95"/>
      <c r="J58" s="175">
        <f>H58/DAY(B2)</f>
        <v>235.61000000000007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6033.8000000000029</v>
      </c>
      <c r="H59" s="99">
        <f>G59+'6'!H59</f>
        <v>44143.06</v>
      </c>
      <c r="I59" s="95">
        <f>G7-G60</f>
        <v>2112.8399999999965</v>
      </c>
      <c r="J59" s="175">
        <f>H59/DAY(B2)</f>
        <v>6306.1514285714284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25813.450000000012</v>
      </c>
      <c r="H60" s="99">
        <f>G60+'6'!H60</f>
        <v>175605.64000000004</v>
      </c>
      <c r="I60" s="95">
        <f>G13-G60</f>
        <v>1334.5899999997928</v>
      </c>
      <c r="J60" s="175">
        <f>H60/DAY(B2)</f>
        <v>25086.520000000008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'6'!F62</f>
        <v>279736</v>
      </c>
      <c r="F62" s="122">
        <v>279887</v>
      </c>
      <c r="G62" s="112">
        <f t="shared" ref="G62:G63" si="5">F62-E62</f>
        <v>151</v>
      </c>
      <c r="H62" s="99">
        <f>G62+'6'!H62</f>
        <v>1261</v>
      </c>
      <c r="I62" s="118"/>
      <c r="J62" s="175">
        <f>H62/DAY(B2)</f>
        <v>180.14285714285714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'6'!F63</f>
        <v>224022</v>
      </c>
      <c r="F63" s="122">
        <v>224145</v>
      </c>
      <c r="G63" s="112">
        <f t="shared" si="5"/>
        <v>123</v>
      </c>
      <c r="H63" s="99">
        <f>G63+'6'!H63</f>
        <v>1064</v>
      </c>
      <c r="I63" s="118"/>
      <c r="J63" s="175">
        <f>H63/DAY(B2)</f>
        <v>152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'6'!F64</f>
        <v>0</v>
      </c>
      <c r="F64" s="122"/>
      <c r="G64" s="112">
        <f>G62+G63</f>
        <v>274</v>
      </c>
      <c r="H64" s="99">
        <f>G64+'6'!H64</f>
        <v>2325</v>
      </c>
      <c r="I64" s="118"/>
      <c r="J64" s="175">
        <f>H64/DAY(B2)</f>
        <v>332.14285714285717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'6'!F65</f>
        <v>441805</v>
      </c>
      <c r="F65" s="122">
        <v>441906</v>
      </c>
      <c r="G65" s="112">
        <f t="shared" ref="G65:G70" si="6">F65-E65</f>
        <v>101</v>
      </c>
      <c r="H65" s="99">
        <f>G65+'6'!H65</f>
        <v>775</v>
      </c>
      <c r="I65" s="118"/>
      <c r="J65" s="175">
        <f>H65/DAY(B2)</f>
        <v>110.71428571428571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109166</v>
      </c>
      <c r="F66" s="122">
        <v>109179</v>
      </c>
      <c r="G66" s="112">
        <f t="shared" si="6"/>
        <v>13</v>
      </c>
      <c r="H66" s="99">
        <f>G66+'6'!H66</f>
        <v>109</v>
      </c>
      <c r="I66" s="118"/>
      <c r="J66" s="175">
        <f>H66/DAY(B2)</f>
        <v>15.571428571428571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109041</v>
      </c>
      <c r="F67" s="150">
        <v>109112</v>
      </c>
      <c r="G67" s="112">
        <f t="shared" si="6"/>
        <v>71</v>
      </c>
      <c r="H67" s="99">
        <f>G67+'6'!H67</f>
        <v>519</v>
      </c>
      <c r="I67" s="118"/>
      <c r="J67" s="175">
        <f>H67/DAY(B2)</f>
        <v>74.142857142857139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160786</v>
      </c>
      <c r="F68" s="122">
        <v>160839</v>
      </c>
      <c r="G68" s="112">
        <f t="shared" si="6"/>
        <v>53</v>
      </c>
      <c r="H68" s="99">
        <f>G68+'6'!H68</f>
        <v>430</v>
      </c>
      <c r="I68" s="118"/>
      <c r="J68" s="175">
        <f>H68/DAY(B2)</f>
        <v>61.428571428571431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11296</v>
      </c>
      <c r="F69" s="122">
        <v>11310</v>
      </c>
      <c r="G69" s="112">
        <f t="shared" si="6"/>
        <v>14</v>
      </c>
      <c r="H69" s="99">
        <f>G69+'6'!H69</f>
        <v>109</v>
      </c>
      <c r="I69" s="118"/>
      <c r="J69" s="175">
        <f>H69/DAY(B2)</f>
        <v>15.571428571428571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8770</v>
      </c>
      <c r="F70" s="150">
        <v>8778</v>
      </c>
      <c r="G70" s="112">
        <f t="shared" si="6"/>
        <v>8</v>
      </c>
      <c r="H70" s="99">
        <f>G70+'6'!H70</f>
        <v>50</v>
      </c>
      <c r="I70" s="118"/>
      <c r="J70" s="175">
        <f>H70/DAY(B2)</f>
        <v>7.1428571428571432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260</v>
      </c>
      <c r="H71" s="99">
        <f>G71+'6'!H71</f>
        <v>1992</v>
      </c>
      <c r="I71" s="154"/>
      <c r="J71" s="175">
        <f>H71/DAY(B2)</f>
        <v>284.57142857142856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'6'!F74</f>
        <v>921204.33</v>
      </c>
      <c r="F74" s="123">
        <v>921497.28</v>
      </c>
      <c r="G74" s="112">
        <f t="shared" ref="G74:G78" si="7">F74-E74</f>
        <v>292.95000000006985</v>
      </c>
      <c r="H74" s="99">
        <f>G74+'6'!H74</f>
        <v>2172.7700000000186</v>
      </c>
      <c r="I74" s="154"/>
      <c r="J74" s="175">
        <f>H74/DAY(B2)</f>
        <v>310.39571428571696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'6'!F76</f>
        <v>177245.22</v>
      </c>
      <c r="F76" s="123">
        <v>177351.9</v>
      </c>
      <c r="G76" s="112">
        <f t="shared" si="7"/>
        <v>106.67999999999302</v>
      </c>
      <c r="H76" s="99">
        <f>G76+'6'!H76</f>
        <v>764.89999999999418</v>
      </c>
      <c r="I76" s="154"/>
      <c r="J76" s="175">
        <f>H76/DAY(B2)</f>
        <v>109.27142857142773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'6'!F77</f>
        <v>44456</v>
      </c>
      <c r="F77" s="123">
        <v>44506.3</v>
      </c>
      <c r="G77" s="112">
        <f t="shared" si="7"/>
        <v>50.30000000000291</v>
      </c>
      <c r="H77" s="99">
        <f>G77+'6'!H77</f>
        <v>343.30000000000291</v>
      </c>
      <c r="I77" s="154"/>
      <c r="J77" s="175">
        <f>H77/DAY(B2)</f>
        <v>49.042857142857557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'6'!F79</f>
        <v>0</v>
      </c>
      <c r="F79" s="123"/>
      <c r="G79" s="112">
        <f>G15-SUM(G74:G78)</f>
        <v>609.63999999999942</v>
      </c>
      <c r="H79" s="99">
        <f>G79+'6'!H79</f>
        <v>4360.9200000000219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1059.5700000000652</v>
      </c>
      <c r="H80" s="99">
        <f>G80+'6'!H80</f>
        <v>1059.5700000000652</v>
      </c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3278.38</v>
      </c>
      <c r="F85" s="164">
        <v>3302.42</v>
      </c>
      <c r="G85" s="112">
        <f t="shared" si="8"/>
        <v>24.039999999999964</v>
      </c>
      <c r="H85" s="99">
        <f>G85+'6'!H85</f>
        <v>143.92000000000007</v>
      </c>
      <c r="I85" s="594"/>
      <c r="J85" s="175">
        <f>H85/DAY(B2)</f>
        <v>20.560000000000009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43768</v>
      </c>
      <c r="F86" s="164">
        <v>43768</v>
      </c>
      <c r="G86" s="112">
        <f t="shared" si="8"/>
        <v>0</v>
      </c>
      <c r="H86" s="99">
        <f>G86+'6'!H86</f>
        <v>47.599999999998545</v>
      </c>
      <c r="I86" s="594"/>
      <c r="J86" s="175">
        <f>H86/DAY(B2)</f>
        <v>6.799999999999792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35135.21</v>
      </c>
      <c r="F87" s="164">
        <v>35151.339999999997</v>
      </c>
      <c r="G87" s="112">
        <f t="shared" si="8"/>
        <v>16.129999999997381</v>
      </c>
      <c r="H87" s="99">
        <f>G87+'6'!H87</f>
        <v>70.989999999997963</v>
      </c>
      <c r="I87" s="594">
        <f>G84+G85+G86+G87</f>
        <v>40.169999999997344</v>
      </c>
      <c r="J87" s="175">
        <f>H87/DAY(B2)</f>
        <v>10.14142857142828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24114.9</v>
      </c>
      <c r="F88" s="164">
        <v>24114.9</v>
      </c>
      <c r="G88" s="112">
        <f t="shared" si="8"/>
        <v>0</v>
      </c>
      <c r="H88" s="99">
        <f>G88+'6'!H88</f>
        <v>5.5</v>
      </c>
      <c r="I88" s="594"/>
      <c r="J88" s="175">
        <f>H88/DAY(B2)</f>
        <v>0.7857142857142857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26533.65</v>
      </c>
      <c r="F89" s="164">
        <v>26543.09</v>
      </c>
      <c r="G89" s="112">
        <f t="shared" si="8"/>
        <v>9.4399999999986903</v>
      </c>
      <c r="H89" s="99">
        <f>G89+'6'!H89</f>
        <v>71.299999999999272</v>
      </c>
      <c r="I89" s="594">
        <f>G88+G89</f>
        <v>9.4399999999986903</v>
      </c>
      <c r="J89" s="175">
        <f>H89/DAY(B2)</f>
        <v>10.185714285714182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71621.899999999994</v>
      </c>
      <c r="F90" s="164">
        <v>71632.69</v>
      </c>
      <c r="G90" s="112">
        <f t="shared" si="8"/>
        <v>10.790000000008149</v>
      </c>
      <c r="H90" s="99">
        <f>G90+'6'!H90</f>
        <v>59.580000000001746</v>
      </c>
      <c r="I90" s="594">
        <f>G90</f>
        <v>10.790000000008149</v>
      </c>
      <c r="J90" s="175">
        <f>H90/DAY(B2)</f>
        <v>8.5114285714288211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3910</v>
      </c>
      <c r="F91" s="122">
        <v>3910</v>
      </c>
      <c r="G91" s="112">
        <f t="shared" si="8"/>
        <v>0</v>
      </c>
      <c r="H91" s="99">
        <f>G91+'6'!H91</f>
        <v>0.25</v>
      </c>
      <c r="I91" s="688"/>
      <c r="J91" s="175">
        <f>H91/DAY(B2)</f>
        <v>3.5714285714285712E-2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5812.66</v>
      </c>
      <c r="F92" s="122">
        <v>5822.91</v>
      </c>
      <c r="G92" s="112">
        <f t="shared" si="8"/>
        <v>10.25</v>
      </c>
      <c r="H92" s="99">
        <f>G92+'6'!H92</f>
        <v>75.609999999999673</v>
      </c>
      <c r="I92" s="705">
        <f>G91+G92</f>
        <v>10.25</v>
      </c>
      <c r="J92" s="175">
        <f>H92/DAY(B2)</f>
        <v>10.801428571428525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7006.0699999999488</v>
      </c>
      <c r="H94" s="99">
        <f>G94+'6'!H94</f>
        <v>48195.949999999983</v>
      </c>
      <c r="I94" s="118"/>
      <c r="J94" s="175">
        <f>H94/DAY(B2)</f>
        <v>6885.1357142857114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0.25087721999592311</v>
      </c>
      <c r="H95" s="99">
        <f>G95+'6'!H95</f>
        <v>1.7799640853691168</v>
      </c>
      <c r="I95" s="167"/>
      <c r="J95" s="175">
        <f>H95/DAY(B2)</f>
        <v>0.25428058362415956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8007.3199999999924</v>
      </c>
      <c r="H96" s="99">
        <f>G96+'6'!H96</f>
        <v>49950.780000000013</v>
      </c>
      <c r="I96" s="118"/>
      <c r="J96" s="175">
        <f>H96/DAY(B2)</f>
        <v>7135.8257142857165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0.2867305324122893</v>
      </c>
      <c r="H97" s="99">
        <f>G97+'6'!H97</f>
        <v>1.8434720315637616</v>
      </c>
      <c r="I97" s="167"/>
      <c r="J97" s="175">
        <f>H97/DAY(B2)</f>
        <v>0.26335314736625165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3334.6600000000326</v>
      </c>
      <c r="H98" s="99">
        <f>G98+'6'!H98</f>
        <v>23171.840000000026</v>
      </c>
      <c r="I98" s="168"/>
      <c r="J98" s="175">
        <f>H98/DAY(B2)</f>
        <v>3310.2628571428609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0.11940934510097946</v>
      </c>
      <c r="H99" s="99">
        <f>G99+'6'!H99</f>
        <v>0.85588532660208083</v>
      </c>
      <c r="I99" s="168"/>
      <c r="J99" s="175">
        <f>H99/DAY(B2)</f>
        <v>0.12226933237172584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2435.9800000000105</v>
      </c>
      <c r="H100" s="99">
        <f>G100+'6'!H100</f>
        <v>17834.480000000003</v>
      </c>
      <c r="I100" s="118"/>
      <c r="J100" s="175">
        <f>H100/DAY(B2)</f>
        <v>2547.7828571428577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8.7228915835222284E-2</v>
      </c>
      <c r="H101" s="99">
        <f>G101+'6'!H101</f>
        <v>0.65898542611609234</v>
      </c>
      <c r="I101" s="168"/>
      <c r="J101" s="175">
        <f>H101/DAY(B2)</f>
        <v>9.4140775159441761E-2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2203.7700000000041</v>
      </c>
      <c r="H102" s="99">
        <f>G102+'6'!H102</f>
        <v>16050.229999999996</v>
      </c>
      <c r="I102" s="168"/>
      <c r="J102" s="175">
        <f>H102/DAY(B2)</f>
        <v>2292.8899999999994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7.8913812038763589E-2</v>
      </c>
      <c r="H103" s="99">
        <f>G103+'6'!H103</f>
        <v>0.59329780769476737</v>
      </c>
      <c r="I103" s="118"/>
      <c r="J103" s="175">
        <f>H103/DAY(B2)</f>
        <v>8.4756829670681058E-2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1636.9000000000233</v>
      </c>
      <c r="H104" s="99">
        <f>G104+'6'!H104</f>
        <v>11316.49000000002</v>
      </c>
      <c r="I104" s="118"/>
      <c r="J104" s="175">
        <f>H104/DAY(B2)</f>
        <v>1616.6414285714313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5.8615018321446305E-2</v>
      </c>
      <c r="H105" s="99">
        <f>G105+'6'!H105</f>
        <v>0.41793904518974434</v>
      </c>
      <c r="I105" s="187"/>
      <c r="J105" s="188">
        <f>H105/DAY(B2)</f>
        <v>5.970557788424919E-2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'6'!F112</f>
        <v>62626.89</v>
      </c>
      <c r="F112" s="237">
        <v>62708.09</v>
      </c>
      <c r="G112" s="112">
        <f t="shared" ref="G112:G123" si="9">F112-E112</f>
        <v>81.19999999999709</v>
      </c>
      <c r="H112" s="99">
        <f>G112+'6'!H112</f>
        <v>564.55999999999767</v>
      </c>
      <c r="I112" s="165"/>
      <c r="J112" s="328">
        <f>H112/DAY(B2)</f>
        <v>80.651428571428241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'6'!F113</f>
        <v>77202.94</v>
      </c>
      <c r="F113" s="237">
        <v>77697.31</v>
      </c>
      <c r="G113" s="112">
        <f t="shared" si="9"/>
        <v>494.36999999999534</v>
      </c>
      <c r="H113" s="99">
        <f>G113+'6'!H113</f>
        <v>3441.7099999999919</v>
      </c>
      <c r="I113" s="165"/>
      <c r="J113" s="328">
        <f>H113/DAY(B2)</f>
        <v>491.672857142856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'6'!F114</f>
        <v>52001.18</v>
      </c>
      <c r="F114" s="237">
        <v>52265.7</v>
      </c>
      <c r="G114" s="112">
        <f t="shared" si="9"/>
        <v>264.5199999999968</v>
      </c>
      <c r="H114" s="99">
        <f>G114+'6'!H114</f>
        <v>2002.6999999999971</v>
      </c>
      <c r="I114" s="165"/>
      <c r="J114" s="328">
        <f>H114/DAY(B2)</f>
        <v>286.09999999999957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'6'!F115</f>
        <v>9963.48</v>
      </c>
      <c r="F115" s="237">
        <v>9985.5300000000007</v>
      </c>
      <c r="G115" s="112">
        <f t="shared" si="9"/>
        <v>22.050000000001091</v>
      </c>
      <c r="H115" s="99">
        <f>G115+'6'!H115</f>
        <v>157.02000000000044</v>
      </c>
      <c r="I115" s="165"/>
      <c r="J115" s="328">
        <f>H115/DAY(B2)</f>
        <v>22.431428571428633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'6'!F116</f>
        <v>25375.45</v>
      </c>
      <c r="F116" s="237">
        <v>25805.52</v>
      </c>
      <c r="G116" s="112">
        <f t="shared" si="9"/>
        <v>430.06999999999971</v>
      </c>
      <c r="H116" s="99">
        <f>G116+'6'!H116</f>
        <v>3020.9000000000015</v>
      </c>
      <c r="I116" s="165"/>
      <c r="J116" s="328">
        <f>H116/DAY(B2)</f>
        <v>431.55714285714305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'6'!F117</f>
        <v>14801.06</v>
      </c>
      <c r="F117" s="237">
        <v>15099.42</v>
      </c>
      <c r="G117" s="112">
        <f t="shared" si="9"/>
        <v>298.36000000000058</v>
      </c>
      <c r="H117" s="99">
        <f>G117+'6'!H117</f>
        <v>1486.2469999999994</v>
      </c>
      <c r="I117" s="165"/>
      <c r="J117" s="328">
        <f>H117/DAY(B2)</f>
        <v>212.32099999999991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'6'!F118</f>
        <v>283408.45</v>
      </c>
      <c r="F118" s="237">
        <v>283972.27</v>
      </c>
      <c r="G118" s="112">
        <f t="shared" si="9"/>
        <v>563.82000000000698</v>
      </c>
      <c r="H118" s="99">
        <f>G118+'6'!H118</f>
        <v>3751.3000000000466</v>
      </c>
      <c r="I118" s="165"/>
      <c r="J118" s="328">
        <f>H118/DAY(B2)</f>
        <v>535.90000000000668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'6'!F119</f>
        <v>285764.27</v>
      </c>
      <c r="F119" s="237">
        <v>286200</v>
      </c>
      <c r="G119" s="112">
        <f t="shared" si="9"/>
        <v>435.72999999998137</v>
      </c>
      <c r="H119" s="99">
        <f>G119+'6'!H119</f>
        <v>3102.609999999986</v>
      </c>
      <c r="I119" s="165"/>
      <c r="J119" s="328">
        <f>H119/DAY(B2)</f>
        <v>443.22999999999803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'6'!F120</f>
        <v>70228.55</v>
      </c>
      <c r="F120" s="237">
        <v>70636</v>
      </c>
      <c r="G120" s="112">
        <f t="shared" si="9"/>
        <v>407.44999999999709</v>
      </c>
      <c r="H120" s="99">
        <f>G120+'6'!H120</f>
        <v>2911.2400000000052</v>
      </c>
      <c r="I120" s="165"/>
      <c r="J120" s="328">
        <f>H120/DAY(B2)</f>
        <v>415.89142857142934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'6'!F121</f>
        <v>447534.71</v>
      </c>
      <c r="F121" s="237">
        <v>448309.87</v>
      </c>
      <c r="G121" s="112">
        <f t="shared" si="9"/>
        <v>775.15999999997439</v>
      </c>
      <c r="H121" s="99">
        <f>G121+'6'!H121</f>
        <v>5591.5999999999767</v>
      </c>
      <c r="I121" s="165"/>
      <c r="J121" s="328">
        <f>H121/DAY(B2)</f>
        <v>798.79999999999666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'6'!F122</f>
        <v>140673.74</v>
      </c>
      <c r="F122" s="237">
        <v>140866.51</v>
      </c>
      <c r="G122" s="112">
        <f t="shared" si="9"/>
        <v>192.77000000001863</v>
      </c>
      <c r="H122" s="99">
        <f>G122+'6'!H122</f>
        <v>1558.3699999999953</v>
      </c>
      <c r="I122" s="165"/>
      <c r="J122" s="328">
        <f>H122/DAY(B2)</f>
        <v>222.62428571428504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'6'!F123</f>
        <v>170998.99</v>
      </c>
      <c r="F123" s="237">
        <v>171242.47</v>
      </c>
      <c r="G123" s="112">
        <f t="shared" si="9"/>
        <v>243.48000000001048</v>
      </c>
      <c r="H123" s="99">
        <f>G123+'6'!H123</f>
        <v>1800.4700000000012</v>
      </c>
      <c r="I123" s="165"/>
      <c r="J123" s="328">
        <f>H123/DAY(B2)</f>
        <v>257.21000000000015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8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4208.9799999999796</v>
      </c>
      <c r="H125" s="156"/>
      <c r="I125" s="327">
        <f>G125-(G39+G53)</f>
        <v>874.31999999994696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'6'!F128</f>
        <v>71319.94</v>
      </c>
      <c r="F128" s="165">
        <v>71731.520000000004</v>
      </c>
      <c r="G128" s="112">
        <f t="shared" ref="G128:G134" si="10">F128-E128</f>
        <v>411.58000000000175</v>
      </c>
      <c r="H128" s="99">
        <f>G128+'6'!H128</f>
        <v>2815.2799999999988</v>
      </c>
      <c r="I128" s="165"/>
      <c r="J128" s="328">
        <f>H128/DAY(B2)</f>
        <v>402.18285714285696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43898.87</v>
      </c>
      <c r="F129" s="165">
        <v>44177.66</v>
      </c>
      <c r="G129" s="112">
        <f t="shared" si="10"/>
        <v>278.79000000000087</v>
      </c>
      <c r="H129" s="99">
        <f>G129+'6'!H129</f>
        <v>2066.6100000000006</v>
      </c>
      <c r="I129" s="165"/>
      <c r="J129" s="328">
        <f>H129/DAY(B2)</f>
        <v>295.23000000000008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79830.89</v>
      </c>
      <c r="F130" s="165">
        <v>80547.679999999993</v>
      </c>
      <c r="G130" s="112">
        <f t="shared" si="10"/>
        <v>716.7899999999936</v>
      </c>
      <c r="H130" s="99">
        <f>G130+'6'!H130</f>
        <v>4885.7299999999959</v>
      </c>
      <c r="I130" s="165"/>
      <c r="J130" s="328">
        <f>H130/DAY(B2)</f>
        <v>697.96142857142797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'6'!F131</f>
        <v>25534.78</v>
      </c>
      <c r="F131" s="165">
        <v>25740.61</v>
      </c>
      <c r="G131" s="112">
        <f t="shared" si="10"/>
        <v>205.83000000000175</v>
      </c>
      <c r="H131" s="99">
        <f>G131+'6'!H131</f>
        <v>1308.1100000000006</v>
      </c>
      <c r="I131" s="165"/>
      <c r="J131" s="328">
        <f>H131/DAY(B2)</f>
        <v>186.87285714285721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'6'!F132</f>
        <v>78233.070000000007</v>
      </c>
      <c r="F132" s="165">
        <v>78658.47</v>
      </c>
      <c r="G132" s="112">
        <f t="shared" si="10"/>
        <v>425.39999999999418</v>
      </c>
      <c r="H132" s="99">
        <f>G132+'6'!H132</f>
        <v>2990.9700000000012</v>
      </c>
      <c r="I132" s="165"/>
      <c r="J132" s="328">
        <f>H132/DAY(B2)</f>
        <v>427.28142857142876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'6'!F133</f>
        <v>150433.07999999999</v>
      </c>
      <c r="F133" s="165">
        <v>151353.95000000001</v>
      </c>
      <c r="G133" s="112">
        <f t="shared" si="10"/>
        <v>920.87000000002445</v>
      </c>
      <c r="H133" s="99">
        <f>G133+'6'!H133</f>
        <v>5971.960000000021</v>
      </c>
      <c r="I133" s="165"/>
      <c r="J133" s="328">
        <f>H133/DAY(B2)</f>
        <v>853.13714285714582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'6'!F134</f>
        <v>22243.68</v>
      </c>
      <c r="F134" s="165">
        <v>22487.41</v>
      </c>
      <c r="G134" s="112">
        <f t="shared" si="10"/>
        <v>243.72999999999956</v>
      </c>
      <c r="H134" s="99">
        <f>G134+'6'!H134</f>
        <v>1694.7299999999996</v>
      </c>
      <c r="I134" s="165"/>
      <c r="J134" s="328">
        <f>H134/DAY(B2)</f>
        <v>242.10428571428565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3202.9900000000162</v>
      </c>
      <c r="H135" s="99">
        <f>G135+'6'!H135</f>
        <v>21733.390000000018</v>
      </c>
      <c r="I135" s="327">
        <f>G135-(G35+G49)</f>
        <v>-781.87999999997919</v>
      </c>
      <c r="J135" s="328" t="e">
        <f t="shared" ref="J135" si="11">H135/DAY(B54)</f>
        <v>#DIV/0!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'6'!F138</f>
        <v>875061</v>
      </c>
      <c r="F138" s="147">
        <v>875228</v>
      </c>
      <c r="G138" s="112">
        <f t="shared" ref="G138:G152" si="12">F138-E138</f>
        <v>167</v>
      </c>
      <c r="H138" s="99">
        <f>G138+'6'!H138</f>
        <v>1227</v>
      </c>
      <c r="I138" s="118"/>
      <c r="J138" s="328">
        <f>H138/DAY(B2)</f>
        <v>175.28571428571428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'6'!F139</f>
        <v>891173</v>
      </c>
      <c r="F139" s="148">
        <v>891330</v>
      </c>
      <c r="G139" s="112">
        <f t="shared" si="12"/>
        <v>157</v>
      </c>
      <c r="H139" s="99">
        <f>G139+'6'!H139</f>
        <v>1012</v>
      </c>
      <c r="I139" s="118"/>
      <c r="J139" s="328">
        <f>H139/DAY(B2)</f>
        <v>144.57142857142858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'6'!F140</f>
        <v>89003.5</v>
      </c>
      <c r="F140" s="149">
        <v>89005.1</v>
      </c>
      <c r="G140" s="112">
        <f t="shared" si="12"/>
        <v>1.6000000000058208</v>
      </c>
      <c r="H140" s="99">
        <f>G140+'6'!H140</f>
        <v>15.100000000005821</v>
      </c>
      <c r="I140" s="118"/>
      <c r="J140" s="328">
        <f>H140/DAY(B2)</f>
        <v>2.1571428571436888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'6'!F141</f>
        <v>66957.490000000005</v>
      </c>
      <c r="F141" s="149">
        <v>67158.55</v>
      </c>
      <c r="G141" s="112">
        <f t="shared" si="12"/>
        <v>201.05999999999767</v>
      </c>
      <c r="H141" s="99">
        <f>G141+'6'!H141</f>
        <v>1375.0200000000041</v>
      </c>
      <c r="I141" s="118"/>
      <c r="J141" s="328">
        <f>H141/DAY(B2)</f>
        <v>196.43142857142917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'6'!F142</f>
        <v>25969.279999999999</v>
      </c>
      <c r="F142" s="148">
        <v>26030.65</v>
      </c>
      <c r="G142" s="112">
        <f t="shared" si="12"/>
        <v>61.370000000002619</v>
      </c>
      <c r="H142" s="99">
        <f>G142+'6'!H142</f>
        <v>534.25</v>
      </c>
      <c r="I142" s="140"/>
      <c r="J142" s="328">
        <f>H142/DAY(B2)</f>
        <v>76.321428571428569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'6'!F143</f>
        <v>5725.09</v>
      </c>
      <c r="F143" s="149">
        <v>5752.41</v>
      </c>
      <c r="G143" s="112">
        <f t="shared" si="12"/>
        <v>27.319999999999709</v>
      </c>
      <c r="H143" s="99">
        <f>G143+'6'!H143</f>
        <v>191.69999999999982</v>
      </c>
      <c r="I143" s="140"/>
      <c r="J143" s="328">
        <f>H143/DAY(B2)</f>
        <v>27.385714285714261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'6'!F144</f>
        <v>891326</v>
      </c>
      <c r="F144" s="149">
        <v>891601</v>
      </c>
      <c r="G144" s="112">
        <f t="shared" si="12"/>
        <v>275</v>
      </c>
      <c r="H144" s="99">
        <f>G144+'6'!H144</f>
        <v>1767</v>
      </c>
      <c r="I144" s="140"/>
      <c r="J144" s="328">
        <f>H144/DAY(B2)</f>
        <v>252.42857142857142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'6'!F145</f>
        <v>5562.8</v>
      </c>
      <c r="F145" s="149">
        <v>5563.49</v>
      </c>
      <c r="G145" s="112">
        <f t="shared" si="12"/>
        <v>0.68999999999959982</v>
      </c>
      <c r="H145" s="99">
        <f>G145+'6'!H145</f>
        <v>7.0900000000001455</v>
      </c>
      <c r="I145" s="140"/>
      <c r="J145" s="328">
        <f>H145/DAY(B2)</f>
        <v>1.0128571428571636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'6'!F146</f>
        <v>767484</v>
      </c>
      <c r="F146" s="148">
        <v>767937</v>
      </c>
      <c r="G146" s="112">
        <f t="shared" si="12"/>
        <v>453</v>
      </c>
      <c r="H146" s="99">
        <f>G146+'6'!H146</f>
        <v>3611</v>
      </c>
      <c r="I146" s="140"/>
      <c r="J146" s="328">
        <f>H146/DAY(B2)</f>
        <v>515.85714285714289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'6'!F147</f>
        <v>652897.80000000005</v>
      </c>
      <c r="F147" s="148">
        <v>653302.92000000004</v>
      </c>
      <c r="G147" s="112">
        <f t="shared" si="12"/>
        <v>405.11999999999534</v>
      </c>
      <c r="H147" s="99">
        <f>G147+'6'!H147</f>
        <v>3118.9200000000419</v>
      </c>
      <c r="I147" s="140"/>
      <c r="J147" s="328">
        <f>H147/DAY(B2)</f>
        <v>445.56000000000597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'6'!F148</f>
        <v>710991.76</v>
      </c>
      <c r="F148" s="150">
        <v>711304.64</v>
      </c>
      <c r="G148" s="112">
        <f t="shared" si="12"/>
        <v>312.88000000000466</v>
      </c>
      <c r="H148" s="99">
        <f>G148+'6'!H148</f>
        <v>2439.9599999999627</v>
      </c>
      <c r="I148" s="124"/>
      <c r="J148" s="328">
        <f>H148/DAY(B2)</f>
        <v>348.56571428570896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'6'!F149</f>
        <v>67673.98</v>
      </c>
      <c r="F149" s="146">
        <v>68317.990000000005</v>
      </c>
      <c r="G149" s="112">
        <f t="shared" si="12"/>
        <v>644.01000000000931</v>
      </c>
      <c r="H149" s="99">
        <f>G149+'6'!H149</f>
        <v>5094.1900000000023</v>
      </c>
      <c r="I149" s="119"/>
      <c r="J149" s="328">
        <f>H149/DAY(B2)</f>
        <v>727.74142857142886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'6'!F150</f>
        <v>25298.26</v>
      </c>
      <c r="F150" s="233">
        <v>25518.11</v>
      </c>
      <c r="G150" s="112">
        <f t="shared" si="12"/>
        <v>219.85000000000218</v>
      </c>
      <c r="H150" s="99">
        <f>G150+'6'!H150</f>
        <v>1562.3199999999997</v>
      </c>
      <c r="I150" s="119"/>
      <c r="J150" s="328">
        <f>H150/DAY(B2)</f>
        <v>223.18857142857138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'6'!F151</f>
        <v>102298</v>
      </c>
      <c r="F151" s="233">
        <v>102560</v>
      </c>
      <c r="G151" s="112">
        <f t="shared" si="12"/>
        <v>262</v>
      </c>
      <c r="H151" s="99">
        <f>G151+'6'!H151</f>
        <v>1949</v>
      </c>
      <c r="I151" s="119"/>
      <c r="J151" s="328">
        <f>H151/DAY(B2)</f>
        <v>278.42857142857144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'6'!F152</f>
        <v>8827.17</v>
      </c>
      <c r="F152" s="233">
        <v>8953.19</v>
      </c>
      <c r="G152" s="112">
        <f t="shared" si="12"/>
        <v>126.02000000000044</v>
      </c>
      <c r="H152" s="99">
        <f>G152+'6'!H152</f>
        <v>884.13000000000011</v>
      </c>
      <c r="I152" s="119"/>
      <c r="J152" s="328">
        <f>H152/DAY(B2)</f>
        <v>126.30428571428573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3313.9200000000174</v>
      </c>
      <c r="H153" s="363"/>
      <c r="I153" s="119" t="s">
        <v>207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'6'!F155</f>
        <v>76685.820000000007</v>
      </c>
      <c r="F155" s="374">
        <v>77363</v>
      </c>
      <c r="G155" s="112">
        <f t="shared" ref="G155:G158" si="13">F155-E155</f>
        <v>677.17999999999302</v>
      </c>
      <c r="H155" s="99">
        <f>G155+'6'!H155</f>
        <v>4592.5</v>
      </c>
      <c r="I155" s="364"/>
      <c r="J155" s="328">
        <f>H155/DAY(B2)</f>
        <v>656.07142857142856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'6'!F156</f>
        <v>6377.09</v>
      </c>
      <c r="F156" s="155">
        <v>6433.41</v>
      </c>
      <c r="G156" s="112">
        <f t="shared" si="13"/>
        <v>56.319999999999709</v>
      </c>
      <c r="H156" s="99">
        <f>G156+'6'!H156</f>
        <v>376.15999999999985</v>
      </c>
      <c r="I156" s="165"/>
      <c r="J156" s="328">
        <f>H156/DAY(B2)</f>
        <v>53.737142857142835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'6'!F157</f>
        <v>10919.51</v>
      </c>
      <c r="F157" s="165">
        <v>11012.67</v>
      </c>
      <c r="G157" s="112">
        <f t="shared" si="13"/>
        <v>93.159999999999854</v>
      </c>
      <c r="H157" s="99">
        <f>G157+'6'!H157</f>
        <v>773.86000000000058</v>
      </c>
      <c r="I157" s="165"/>
      <c r="J157" s="328">
        <f>H157/DAY(B2)</f>
        <v>110.55142857142866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'6'!F158</f>
        <v>92</v>
      </c>
      <c r="F158" s="165">
        <v>91.66</v>
      </c>
      <c r="G158" s="112">
        <f t="shared" si="13"/>
        <v>-0.34000000000000341</v>
      </c>
      <c r="H158" s="99">
        <f>G158+'6'!H158</f>
        <v>1.2399999999999949</v>
      </c>
      <c r="I158" s="165"/>
      <c r="J158" s="328">
        <f>H158/DAY(B2)</f>
        <v>0.17714285714285641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473841.44</v>
      </c>
      <c r="F161" s="235">
        <v>473841.44</v>
      </c>
      <c r="G161" s="238">
        <f t="shared" ref="G161:G165" si="14">F161-E161</f>
        <v>0</v>
      </c>
      <c r="H161" s="99">
        <f>G161+'6'!H161</f>
        <v>0.71000000002095476</v>
      </c>
      <c r="I161" s="236"/>
      <c r="J161" s="239">
        <f>H161/DAY(B2)</f>
        <v>0.10142857143156496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90648.2</v>
      </c>
      <c r="F162" s="235">
        <v>90688.4</v>
      </c>
      <c r="G162" s="238">
        <f t="shared" si="14"/>
        <v>40.19999999999709</v>
      </c>
      <c r="H162" s="99">
        <f>G162+'6'!H162</f>
        <v>235.5</v>
      </c>
      <c r="I162" s="236"/>
      <c r="J162" s="239">
        <f>H162/DAY(B2)</f>
        <v>33.642857142857146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88154.5</v>
      </c>
      <c r="F163" s="235">
        <v>88340.4</v>
      </c>
      <c r="G163" s="238">
        <f t="shared" si="14"/>
        <v>185.89999999999418</v>
      </c>
      <c r="H163" s="99">
        <f>G163+'6'!H163</f>
        <v>1261.5999999999913</v>
      </c>
      <c r="I163" s="236"/>
      <c r="J163" s="239">
        <f>H163/DAY(B2)</f>
        <v>180.22857142857018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4901.1000000000004</v>
      </c>
      <c r="F164" s="235">
        <v>4914.5</v>
      </c>
      <c r="G164" s="238">
        <f t="shared" si="14"/>
        <v>13.399999999999636</v>
      </c>
      <c r="H164" s="99">
        <f>G164+'6'!H164</f>
        <v>102.10000000000036</v>
      </c>
      <c r="I164" s="236"/>
      <c r="J164" s="239">
        <f>H164/DAY(B2)</f>
        <v>14.585714285714337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30397.11</v>
      </c>
      <c r="F165" s="235">
        <v>30405.79</v>
      </c>
      <c r="G165" s="238">
        <f t="shared" si="14"/>
        <v>8.680000000000291</v>
      </c>
      <c r="H165" s="99">
        <f>G165+'6'!H165</f>
        <v>50.280000000002474</v>
      </c>
      <c r="I165" s="236"/>
      <c r="J165" s="239">
        <f>H165/DAY(B2)</f>
        <v>7.1828571428574959</v>
      </c>
    </row>
    <row r="166" spans="1:10" ht="25.5" customHeight="1">
      <c r="A166" s="938"/>
      <c r="B166" s="938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'6'!F173</f>
        <v>8265</v>
      </c>
      <c r="F173" s="155">
        <v>8265</v>
      </c>
      <c r="G173" s="155">
        <f>F173-E173</f>
        <v>0</v>
      </c>
      <c r="H173" s="99">
        <f>G173+'6'!H173</f>
        <v>1</v>
      </c>
      <c r="I173" s="155"/>
      <c r="J173" s="178">
        <f>H173/DAY(B2)</f>
        <v>0.14285714285714285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'6'!F174</f>
        <v>39548</v>
      </c>
      <c r="F174" s="157">
        <v>39564</v>
      </c>
      <c r="G174" s="155">
        <f t="shared" ref="G174:G175" si="15">F174-E174</f>
        <v>16</v>
      </c>
      <c r="H174" s="99">
        <f>G174+'6'!H174</f>
        <v>102</v>
      </c>
      <c r="I174" s="155"/>
      <c r="J174" s="178">
        <f>H174/DAY(B2)</f>
        <v>14.571428571428571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'6'!F175</f>
        <v>22596</v>
      </c>
      <c r="F175" s="155">
        <v>22609</v>
      </c>
      <c r="G175" s="155">
        <f t="shared" si="15"/>
        <v>13</v>
      </c>
      <c r="H175" s="99">
        <f>G175+'6'!H175</f>
        <v>87</v>
      </c>
      <c r="I175" s="155"/>
      <c r="J175" s="178">
        <f>H175/DAY(B2)</f>
        <v>12.428571428571429</v>
      </c>
    </row>
    <row r="176" spans="1:10" ht="25.5">
      <c r="A176" s="464" t="s">
        <v>196</v>
      </c>
      <c r="B176" s="465"/>
      <c r="C176" s="333"/>
      <c r="D176" s="228" t="s">
        <v>142</v>
      </c>
      <c r="E176" s="95"/>
      <c r="F176" s="155"/>
      <c r="G176" s="155">
        <f>SUM(G173:G175)</f>
        <v>29</v>
      </c>
      <c r="H176" s="99">
        <f>G176+'6'!H176</f>
        <v>190</v>
      </c>
      <c r="I176" s="155"/>
      <c r="J176" s="178">
        <f>H176/DAY(B2)</f>
        <v>27.142857142857142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'6'!F178</f>
        <v>86165</v>
      </c>
      <c r="F178" s="155">
        <v>86249</v>
      </c>
      <c r="G178" s="155">
        <f>F178-E178</f>
        <v>84</v>
      </c>
      <c r="H178" s="99">
        <f>G178+'6'!H178</f>
        <v>633</v>
      </c>
      <c r="I178" s="155"/>
      <c r="J178" s="178">
        <f>H178/DAY(B2)</f>
        <v>90.428571428571431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'6'!F179</f>
        <v>35697</v>
      </c>
      <c r="F179" s="155">
        <v>35710</v>
      </c>
      <c r="G179" s="155">
        <f t="shared" ref="G179:G180" si="16">F179-E179</f>
        <v>13</v>
      </c>
      <c r="H179" s="99">
        <f>G179+'6'!H179</f>
        <v>96</v>
      </c>
      <c r="I179" s="155"/>
      <c r="J179" s="178">
        <f>H179/DAY(B2)</f>
        <v>13.714285714285714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'6'!F180</f>
        <v>6181</v>
      </c>
      <c r="F180" s="155">
        <v>6184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5.5">
      <c r="A181" s="942" t="s">
        <v>108</v>
      </c>
      <c r="B181" s="943"/>
      <c r="C181" s="333"/>
      <c r="D181" s="228" t="s">
        <v>142</v>
      </c>
      <c r="E181" s="95"/>
      <c r="F181" s="155"/>
      <c r="G181" s="155">
        <f>SUM(G178:G180)</f>
        <v>100</v>
      </c>
      <c r="H181" s="99">
        <f>G181+'6'!H181</f>
        <v>780</v>
      </c>
      <c r="I181" s="155"/>
      <c r="J181" s="178">
        <f>H181/DAY(B2)</f>
        <v>111.42857142857143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'6'!F183</f>
        <v>16255</v>
      </c>
      <c r="F183" s="157">
        <v>16272</v>
      </c>
      <c r="G183" s="157">
        <f>F183-E183</f>
        <v>17</v>
      </c>
      <c r="H183" s="99">
        <f>G183+'6'!H183</f>
        <v>130</v>
      </c>
      <c r="I183" s="155"/>
      <c r="J183" s="178">
        <f>H183/DAY(B2)</f>
        <v>18.571428571428573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'6'!F184</f>
        <v>11084</v>
      </c>
      <c r="F184" s="157">
        <v>11092</v>
      </c>
      <c r="G184" s="157">
        <f t="shared" ref="G184:G185" si="17">F184-E184</f>
        <v>8</v>
      </c>
      <c r="H184" s="99">
        <f>G184+'6'!H184</f>
        <v>43</v>
      </c>
      <c r="I184" s="155"/>
      <c r="J184" s="178">
        <f>H184/DAY(B2)</f>
        <v>6.1428571428571432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334"/>
      <c r="D186" s="228" t="s">
        <v>142</v>
      </c>
      <c r="E186" s="95"/>
      <c r="F186" s="157"/>
      <c r="G186" s="157">
        <f>SUM(G183:G185)</f>
        <v>25</v>
      </c>
      <c r="H186" s="99">
        <f>G186+'6'!H186</f>
        <v>173</v>
      </c>
      <c r="I186" s="157"/>
      <c r="J186" s="178">
        <f>H186/DAY(B2)</f>
        <v>24.714285714285715</v>
      </c>
    </row>
    <row r="187" spans="1:10" ht="25.5">
      <c r="A187" s="946" t="s">
        <v>217</v>
      </c>
      <c r="B187" s="947"/>
      <c r="C187" s="333"/>
      <c r="D187" s="228" t="s">
        <v>142</v>
      </c>
      <c r="E187" s="95"/>
      <c r="F187" s="159"/>
      <c r="G187" s="378">
        <f>G62+G19</f>
        <v>197</v>
      </c>
      <c r="H187" s="99">
        <f>G187+'6'!H187</f>
        <v>1594</v>
      </c>
      <c r="I187" s="158"/>
      <c r="J187" s="179">
        <f>H187/DAY(B2)</f>
        <v>227.71428571428572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G188+'6'!H188</f>
        <v>1562</v>
      </c>
      <c r="I188" s="158"/>
      <c r="J188" s="179">
        <f>H188/DAY(B2)</f>
        <v>223.14285714285714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100</v>
      </c>
      <c r="H189" s="99">
        <f>G189+'6'!H189</f>
        <v>780</v>
      </c>
      <c r="I189" s="158"/>
      <c r="J189" s="179">
        <f>H189/DAY(B2)</f>
        <v>111.42857142857143</v>
      </c>
    </row>
    <row r="190" spans="1:10" ht="25.5">
      <c r="A190" s="940"/>
      <c r="B190" s="94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156" sqref="F1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44659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'7'!F7</f>
        <v>176280.03</v>
      </c>
      <c r="F7" s="95">
        <v>204823.17</v>
      </c>
      <c r="G7" s="112">
        <f>F7-E7</f>
        <v>28543.140000000014</v>
      </c>
      <c r="H7" s="99">
        <f>G7+'7'!H7</f>
        <v>218100.17</v>
      </c>
      <c r="I7" s="113">
        <f>'1'!I7</f>
        <v>12000</v>
      </c>
      <c r="J7" s="175">
        <f>H7/DAY(B2)</f>
        <v>27262.521250000002</v>
      </c>
      <c r="K7" s="172">
        <v>1375467</v>
      </c>
      <c r="L7" s="66"/>
      <c r="N7" s="87"/>
      <c r="O7" s="71">
        <f>G7-G8</f>
        <v>-599.76000000000931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250780.75</v>
      </c>
      <c r="F8" s="114">
        <v>279923.65000000002</v>
      </c>
      <c r="G8" s="115">
        <f>F8-E8</f>
        <v>29142.900000000023</v>
      </c>
      <c r="H8" s="99">
        <f>G8+'7'!H8</f>
        <v>221877.43000000002</v>
      </c>
      <c r="I8" s="116"/>
      <c r="J8" s="175">
        <f>H8/DAY(B2)</f>
        <v>27734.678750000003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1404833.4</v>
      </c>
      <c r="F9" s="117">
        <v>1425642.8</v>
      </c>
      <c r="G9" s="112">
        <f>F9-E9</f>
        <v>20809.40000000014</v>
      </c>
      <c r="H9" s="99">
        <f>G9+'7'!H9</f>
        <v>157967.80000000005</v>
      </c>
      <c r="I9" s="124">
        <f>I7-J7</f>
        <v>-15262.521250000002</v>
      </c>
      <c r="J9" s="175">
        <f>H9/DAY(B2)</f>
        <v>19745.975000000006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465266.47</v>
      </c>
      <c r="F10" s="117">
        <v>472237.83</v>
      </c>
      <c r="G10" s="112">
        <f t="shared" ref="G10:G12" si="0">F10-E10</f>
        <v>6971.3600000000442</v>
      </c>
      <c r="H10" s="99">
        <f>G10+'7'!H10</f>
        <v>53962.360000000044</v>
      </c>
      <c r="I10" s="282"/>
      <c r="J10" s="175">
        <f>H10/DAY(B2)</f>
        <v>6745.2950000000055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27780.760000000184</v>
      </c>
      <c r="H13" s="99">
        <f>G13+'7'!H13</f>
        <v>211930.63000000006</v>
      </c>
      <c r="I13" s="120">
        <f>G7-G13</f>
        <v>762.37999999983003</v>
      </c>
      <c r="J13" s="175">
        <f>H13/DAY(B2)</f>
        <v>26491.328750000008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1978579.29</v>
      </c>
      <c r="F15" s="470">
        <v>1979671.23</v>
      </c>
      <c r="G15" s="112">
        <f>(F15-E15)</f>
        <v>1091.9399999999441</v>
      </c>
      <c r="H15" s="99">
        <f>G15+'7'!H15</f>
        <v>8734.2299999999814</v>
      </c>
      <c r="I15" s="113">
        <f>'1'!I15</f>
        <v>800</v>
      </c>
      <c r="J15" s="175">
        <f>H15/DAY(B2)</f>
        <v>1091.7787499999977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-291.77874999999767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'7'!F18</f>
        <v>16</v>
      </c>
      <c r="F18" s="122">
        <v>23</v>
      </c>
      <c r="G18" s="119">
        <f>F18*10</f>
        <v>230</v>
      </c>
      <c r="H18" s="99">
        <f>G18+'7'!H18</f>
        <v>1970</v>
      </c>
      <c r="I18" s="113">
        <f>'1'!I18</f>
        <v>65</v>
      </c>
      <c r="J18" s="175">
        <f>H18/DAY(B2)</f>
        <v>246.25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'7'!F19</f>
        <v>157322</v>
      </c>
      <c r="F19" s="122">
        <v>157370</v>
      </c>
      <c r="G19" s="112">
        <f t="shared" ref="G19" si="1">F19-E19</f>
        <v>48</v>
      </c>
      <c r="H19" s="99">
        <f>G19+'7'!H19</f>
        <v>381</v>
      </c>
      <c r="I19" s="335"/>
      <c r="J19" s="175">
        <f>H19/DAY(B2)</f>
        <v>47.625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278</v>
      </c>
      <c r="H20" s="99">
        <f>G20+'7'!H20</f>
        <v>2351</v>
      </c>
      <c r="I20" s="336">
        <f>I18-J20</f>
        <v>-228.875</v>
      </c>
      <c r="J20" s="175">
        <f>H20/DAY(B2)</f>
        <v>293.875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29142.900000000023</v>
      </c>
      <c r="F27" s="136">
        <v>9</v>
      </c>
      <c r="G27" s="137">
        <f>E27*F27</f>
        <v>262286.10000000021</v>
      </c>
      <c r="H27" s="99">
        <f>G27+'7'!H27</f>
        <v>1996896.87</v>
      </c>
      <c r="I27" s="138"/>
      <c r="J27" s="175">
        <f>H27/DAY(B2)</f>
        <v>249612.10875000001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1091.9399999999441</v>
      </c>
      <c r="F28" s="136">
        <v>70</v>
      </c>
      <c r="G28" s="137">
        <f>E28*F28</f>
        <v>76435.799999996088</v>
      </c>
      <c r="H28" s="99">
        <f>G28+'7'!H28</f>
        <v>611396.0999999987</v>
      </c>
      <c r="I28" s="140"/>
      <c r="J28" s="175">
        <f>H28/DAY(B2)</f>
        <v>76424.512499999837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G30+'7'!H30</f>
        <v>57531</v>
      </c>
      <c r="I30" s="140"/>
      <c r="J30" s="175">
        <f>H30/DAY(B2)</f>
        <v>7191.375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G31+'7'!H31</f>
        <v>157600</v>
      </c>
      <c r="I31" s="140"/>
      <c r="J31" s="175">
        <f>H31/DAY(B2)</f>
        <v>19700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364369.8999999963</v>
      </c>
      <c r="H32" s="99">
        <f>G32+'7'!H32</f>
        <v>2823423.9699999988</v>
      </c>
      <c r="I32" s="144"/>
      <c r="J32" s="175">
        <f>H32/DAY(B2)</f>
        <v>352927.99624999985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153119.32</v>
      </c>
      <c r="F35" s="145">
        <v>155332.73000000001</v>
      </c>
      <c r="G35" s="112">
        <f t="shared" ref="G35:G46" si="3">F35-E35</f>
        <v>2213.4100000000035</v>
      </c>
      <c r="H35" s="99">
        <f>G35+'7'!H35</f>
        <v>17053.520000000019</v>
      </c>
      <c r="I35" s="95"/>
      <c r="J35" s="175">
        <f>H35/DAY(B2)</f>
        <v>2131.6900000000023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106881.05</v>
      </c>
      <c r="F36" s="145">
        <v>108012.29</v>
      </c>
      <c r="G36" s="112">
        <f t="shared" si="3"/>
        <v>1131.2399999999907</v>
      </c>
      <c r="H36" s="99">
        <f>G36+'7'!H36</f>
        <v>7491.6299999999901</v>
      </c>
      <c r="I36" s="95"/>
      <c r="J36" s="175">
        <f>H36/DAY(B2)</f>
        <v>936.45374999999876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144241.51</v>
      </c>
      <c r="F37" s="145">
        <v>145850.26999999999</v>
      </c>
      <c r="G37" s="112">
        <f t="shared" si="3"/>
        <v>1608.7599999999802</v>
      </c>
      <c r="H37" s="99">
        <f>G37+'7'!H37</f>
        <v>12925.25</v>
      </c>
      <c r="I37" s="95"/>
      <c r="J37" s="175">
        <f>H37/DAY(B2)</f>
        <v>1615.65625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187944.09</v>
      </c>
      <c r="F38" s="108">
        <v>190507.33</v>
      </c>
      <c r="G38" s="112">
        <f t="shared" si="3"/>
        <v>2563.2399999999907</v>
      </c>
      <c r="H38" s="99">
        <f>G38+'7'!H38</f>
        <v>20397.959999999992</v>
      </c>
      <c r="I38" s="95"/>
      <c r="J38" s="175">
        <f>H38/DAY(B2)</f>
        <v>2549.744999999999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267325.27</v>
      </c>
      <c r="F39" s="145">
        <v>270584.71000000002</v>
      </c>
      <c r="G39" s="112">
        <f t="shared" si="3"/>
        <v>3259.4400000000023</v>
      </c>
      <c r="H39" s="99">
        <f>G39+'7'!H39</f>
        <v>26431.280000000028</v>
      </c>
      <c r="I39" s="95"/>
      <c r="J39" s="175">
        <f>H39/DAY(B2)</f>
        <v>3303.9100000000035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52997.02</v>
      </c>
      <c r="F40" s="145">
        <v>53499.72</v>
      </c>
      <c r="G40" s="112">
        <f t="shared" si="3"/>
        <v>502.70000000000437</v>
      </c>
      <c r="H40" s="99">
        <f>G40+'7'!H40</f>
        <v>4347.8600000000006</v>
      </c>
      <c r="I40" s="95"/>
      <c r="J40" s="175">
        <f>H40/DAY(B2)</f>
        <v>543.48250000000007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62.73</v>
      </c>
      <c r="G41" s="112">
        <f t="shared" si="3"/>
        <v>0</v>
      </c>
      <c r="H41" s="99">
        <f>G41+'7'!H41</f>
        <v>-0.27000000000000313</v>
      </c>
      <c r="I41" s="95"/>
      <c r="J41" s="175">
        <f>H41/DAY(B2)</f>
        <v>-3.3750000000000391E-2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314381.39</v>
      </c>
      <c r="F42" s="145">
        <v>319842.96999999997</v>
      </c>
      <c r="G42" s="112">
        <f t="shared" si="3"/>
        <v>5461.5799999999581</v>
      </c>
      <c r="H42" s="99">
        <f>G42+'7'!H42</f>
        <v>38485.719999999972</v>
      </c>
      <c r="I42" s="95"/>
      <c r="J42" s="175">
        <f>H42/DAY(B2)</f>
        <v>4810.7149999999965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279824.46999999997</v>
      </c>
      <c r="F43" s="145">
        <v>283115.34999999998</v>
      </c>
      <c r="G43" s="112">
        <f t="shared" si="3"/>
        <v>3290.8800000000047</v>
      </c>
      <c r="H43" s="99">
        <f>G43+'7'!H43</f>
        <v>24360.879999999976</v>
      </c>
      <c r="I43" s="95"/>
      <c r="J43" s="175">
        <f>H43/DAY(B2)</f>
        <v>3045.1099999999969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20031.249999999935</v>
      </c>
      <c r="H47" s="99">
        <f>G47+'7'!H47</f>
        <v>151493.82999999996</v>
      </c>
      <c r="I47" s="95"/>
      <c r="J47" s="175">
        <f>H47/DAY(B2)</f>
        <v>18936.728749999995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122788.04</v>
      </c>
      <c r="F49" s="145">
        <v>124738.93</v>
      </c>
      <c r="G49" s="112">
        <f t="shared" ref="G49:G58" si="4">F49-E49</f>
        <v>1950.8899999999994</v>
      </c>
      <c r="H49" s="99">
        <f>G49+'7'!H49</f>
        <v>14236.729999999996</v>
      </c>
      <c r="I49" s="95"/>
      <c r="J49" s="175">
        <f>H49/DAY(B2)</f>
        <v>1779.5912499999995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140899.98000000001</v>
      </c>
      <c r="F50" s="145">
        <v>142316.79</v>
      </c>
      <c r="G50" s="112">
        <f t="shared" si="4"/>
        <v>1416.8099999999977</v>
      </c>
      <c r="H50" s="99">
        <f>G50+'7'!H50</f>
        <v>11106.649999999994</v>
      </c>
      <c r="I50" s="95"/>
      <c r="J50" s="175">
        <f>H50/DAY(B2)</f>
        <v>1388.3312499999993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39262.5</v>
      </c>
      <c r="F54" s="145">
        <v>39735.35</v>
      </c>
      <c r="G54" s="112">
        <f t="shared" si="4"/>
        <v>472.84999999999854</v>
      </c>
      <c r="H54" s="99">
        <f>G54+'7'!H54</f>
        <v>4064.2900000000009</v>
      </c>
      <c r="I54" s="95"/>
      <c r="J54" s="175">
        <f>H54/DAY(B2)</f>
        <v>508.03625000000011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119326.43</v>
      </c>
      <c r="F55" s="145">
        <v>119326.43</v>
      </c>
      <c r="G55" s="112">
        <f t="shared" si="4"/>
        <v>0</v>
      </c>
      <c r="H55" s="99">
        <f>G55+'7'!H55</f>
        <v>6845.3999999999942</v>
      </c>
      <c r="I55" s="95"/>
      <c r="J55" s="175">
        <f>H55/DAY(B2)</f>
        <v>855.67499999999927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81699.19</v>
      </c>
      <c r="F56" s="145">
        <v>84089.71</v>
      </c>
      <c r="G56" s="112">
        <f t="shared" si="4"/>
        <v>2390.5200000000041</v>
      </c>
      <c r="H56" s="99">
        <f>G56+'7'!H56</f>
        <v>12472.030000000013</v>
      </c>
      <c r="I56" s="95"/>
      <c r="J56" s="175">
        <f>H56/DAY(B2)</f>
        <v>1559.0037500000017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20103.47</v>
      </c>
      <c r="F58" s="145">
        <v>20313.05</v>
      </c>
      <c r="G58" s="112">
        <f t="shared" si="4"/>
        <v>209.57999999999811</v>
      </c>
      <c r="H58" s="99">
        <f>G58+'7'!H58</f>
        <v>1858.8499999999985</v>
      </c>
      <c r="I58" s="95"/>
      <c r="J58" s="175">
        <f>H58/DAY(B2)</f>
        <v>232.35624999999982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6440.6499999999978</v>
      </c>
      <c r="H59" s="99">
        <f>G59+'7'!H59</f>
        <v>50583.709999999992</v>
      </c>
      <c r="I59" s="95">
        <f>G7-G60</f>
        <v>2071.2400000000816</v>
      </c>
      <c r="J59" s="175">
        <f>H59/DAY(B2)</f>
        <v>6322.963749999999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26471.899999999932</v>
      </c>
      <c r="H60" s="99">
        <f>G60+'7'!H60</f>
        <v>202077.53999999998</v>
      </c>
      <c r="I60" s="95">
        <f>G13-G60</f>
        <v>1308.8600000002516</v>
      </c>
      <c r="J60" s="175">
        <f>H60/DAY(B2)</f>
        <v>25259.692499999997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'7'!F62</f>
        <v>279887</v>
      </c>
      <c r="F62" s="122">
        <v>280053</v>
      </c>
      <c r="G62" s="112">
        <f t="shared" ref="G62:G63" si="5">F62-E62</f>
        <v>166</v>
      </c>
      <c r="H62" s="99">
        <f>G62+'7'!H62</f>
        <v>1427</v>
      </c>
      <c r="I62" s="118"/>
      <c r="J62" s="175">
        <f>H62/DAY(B2)</f>
        <v>178.375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'7'!F63</f>
        <v>224145</v>
      </c>
      <c r="F63" s="122">
        <v>224311</v>
      </c>
      <c r="G63" s="112">
        <f t="shared" si="5"/>
        <v>166</v>
      </c>
      <c r="H63" s="99">
        <f>G63+'7'!H63</f>
        <v>1230</v>
      </c>
      <c r="I63" s="118"/>
      <c r="J63" s="175">
        <f>H63/DAY(B2)</f>
        <v>153.75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'7'!F64</f>
        <v>0</v>
      </c>
      <c r="F64" s="122"/>
      <c r="G64" s="112">
        <f>G62+G63</f>
        <v>332</v>
      </c>
      <c r="H64" s="99">
        <f>G64+'7'!H64</f>
        <v>2657</v>
      </c>
      <c r="I64" s="118"/>
      <c r="J64" s="175">
        <f>H64/DAY(B2)</f>
        <v>332.125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'7'!F65</f>
        <v>441906</v>
      </c>
      <c r="F65" s="122">
        <v>442022</v>
      </c>
      <c r="G65" s="112">
        <f t="shared" ref="G65:G70" si="6">F65-E65</f>
        <v>116</v>
      </c>
      <c r="H65" s="99">
        <f>G65+'7'!H65</f>
        <v>891</v>
      </c>
      <c r="I65" s="118"/>
      <c r="J65" s="175">
        <f>H65/DAY(B2)</f>
        <v>111.375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109179</v>
      </c>
      <c r="F66" s="122">
        <v>109199</v>
      </c>
      <c r="G66" s="112">
        <f t="shared" si="6"/>
        <v>20</v>
      </c>
      <c r="H66" s="99">
        <f>G66+'7'!H66</f>
        <v>129</v>
      </c>
      <c r="I66" s="118"/>
      <c r="J66" s="175">
        <f>H66/DAY(B2)</f>
        <v>16.125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109112</v>
      </c>
      <c r="F67" s="122">
        <v>109188</v>
      </c>
      <c r="G67" s="112">
        <f t="shared" si="6"/>
        <v>76</v>
      </c>
      <c r="H67" s="99">
        <f>G67+'7'!H67</f>
        <v>595</v>
      </c>
      <c r="I67" s="118"/>
      <c r="J67" s="175">
        <f>H67/DAY(B2)</f>
        <v>74.375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160839</v>
      </c>
      <c r="F68" s="122">
        <v>160886</v>
      </c>
      <c r="G68" s="112">
        <f t="shared" si="6"/>
        <v>47</v>
      </c>
      <c r="H68" s="99">
        <f>G68+'7'!H68</f>
        <v>477</v>
      </c>
      <c r="I68" s="118"/>
      <c r="J68" s="175">
        <f>H68/DAY(B2)</f>
        <v>59.625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11310</v>
      </c>
      <c r="F69" s="122">
        <v>11321</v>
      </c>
      <c r="G69" s="112">
        <f t="shared" si="6"/>
        <v>11</v>
      </c>
      <c r="H69" s="99">
        <f>G69+'7'!H69</f>
        <v>120</v>
      </c>
      <c r="I69" s="118"/>
      <c r="J69" s="175">
        <f>H69/DAY(B2)</f>
        <v>15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8778</v>
      </c>
      <c r="F70" s="122">
        <v>8796</v>
      </c>
      <c r="G70" s="112">
        <f t="shared" si="6"/>
        <v>18</v>
      </c>
      <c r="H70" s="99">
        <f>G70+'7'!H70</f>
        <v>68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288</v>
      </c>
      <c r="H71" s="99">
        <f>G71+'7'!H71</f>
        <v>2280</v>
      </c>
      <c r="I71" s="154"/>
      <c r="J71" s="175">
        <f>H71/DAY(B2)</f>
        <v>285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'7'!F74</f>
        <v>921497.28</v>
      </c>
      <c r="F74" s="123">
        <v>921799.36</v>
      </c>
      <c r="G74" s="112">
        <f t="shared" ref="G74:G78" si="7">F74-E74</f>
        <v>302.07999999995809</v>
      </c>
      <c r="H74" s="99">
        <f>G74+'7'!H74</f>
        <v>2474.8499999999767</v>
      </c>
      <c r="I74" s="154"/>
      <c r="J74" s="175">
        <f>H74/DAY(B2)</f>
        <v>309.35624999999709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'7'!F76</f>
        <v>177351.9</v>
      </c>
      <c r="F76" s="123">
        <v>177479.93</v>
      </c>
      <c r="G76" s="112">
        <f t="shared" si="7"/>
        <v>128.02999999999884</v>
      </c>
      <c r="H76" s="99">
        <f>G76+'7'!H76</f>
        <v>892.92999999999302</v>
      </c>
      <c r="I76" s="154"/>
      <c r="J76" s="175">
        <f>H76/DAY(B2)</f>
        <v>111.61624999999913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'7'!F77</f>
        <v>44506.3</v>
      </c>
      <c r="F77" s="123">
        <v>44547.6</v>
      </c>
      <c r="G77" s="112">
        <f t="shared" si="7"/>
        <v>41.299999999995634</v>
      </c>
      <c r="H77" s="99">
        <f>G77+'7'!H77</f>
        <v>384.59999999999854</v>
      </c>
      <c r="I77" s="154"/>
      <c r="J77" s="175">
        <f>H77/DAY(B2)</f>
        <v>48.074999999999818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0.3999999999996362</v>
      </c>
      <c r="I78" s="118"/>
      <c r="J78" s="175">
        <f>H78/DAY(B2)</f>
        <v>4.9999999999954525E-2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'7'!F79</f>
        <v>0</v>
      </c>
      <c r="F79" s="117"/>
      <c r="G79" s="112">
        <f>G15-SUM(G74:G78)</f>
        <v>620.52999999999156</v>
      </c>
      <c r="H79" s="99">
        <f>G79+'7'!H79</f>
        <v>4981.4500000000135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1091.9399999999441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3302.42</v>
      </c>
      <c r="F85" s="164">
        <v>3326.47</v>
      </c>
      <c r="G85" s="112">
        <f t="shared" si="8"/>
        <v>24.049999999999727</v>
      </c>
      <c r="H85" s="99">
        <f>G85+'7'!H85</f>
        <v>167.9699999999998</v>
      </c>
      <c r="I85" s="594"/>
      <c r="J85" s="175">
        <f>H85/DAY(B2)</f>
        <v>20.996249999999975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43768</v>
      </c>
      <c r="F86" s="164">
        <v>43768</v>
      </c>
      <c r="G86" s="112">
        <f t="shared" si="8"/>
        <v>0</v>
      </c>
      <c r="H86" s="99">
        <f>G86+'7'!H86</f>
        <v>47.599999999998545</v>
      </c>
      <c r="I86" s="594"/>
      <c r="J86" s="175">
        <f>H86/DAY(B2)</f>
        <v>5.9499999999998181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35151.339999999997</v>
      </c>
      <c r="F87" s="164">
        <v>35167.53</v>
      </c>
      <c r="G87" s="112">
        <f t="shared" si="8"/>
        <v>16.190000000002328</v>
      </c>
      <c r="H87" s="99">
        <f>G87+'7'!H87</f>
        <v>87.180000000000291</v>
      </c>
      <c r="I87" s="594">
        <f>G84+G85+G86+G87</f>
        <v>40.240000000002055</v>
      </c>
      <c r="J87" s="175">
        <f>H87/DAY(B2)</f>
        <v>10.897500000000036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24114.9</v>
      </c>
      <c r="F88" s="164">
        <v>24114.9</v>
      </c>
      <c r="G88" s="112">
        <f t="shared" si="8"/>
        <v>0</v>
      </c>
      <c r="H88" s="99">
        <f>G88+'7'!H88</f>
        <v>5.5</v>
      </c>
      <c r="I88" s="594"/>
      <c r="J88" s="175">
        <f>H88/DAY(B2)</f>
        <v>0.6875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26543.09</v>
      </c>
      <c r="F89" s="164">
        <v>26552.34</v>
      </c>
      <c r="G89" s="112">
        <f t="shared" si="8"/>
        <v>9.25</v>
      </c>
      <c r="H89" s="99">
        <f>G89+'7'!H89</f>
        <v>80.549999999999272</v>
      </c>
      <c r="I89" s="594">
        <f>G88+G89</f>
        <v>9.25</v>
      </c>
      <c r="J89" s="175">
        <f>H89/DAY(B2)</f>
        <v>10.068749999999909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71632.69</v>
      </c>
      <c r="F90" s="164">
        <v>71643.27</v>
      </c>
      <c r="G90" s="112">
        <f t="shared" si="8"/>
        <v>10.580000000001746</v>
      </c>
      <c r="H90" s="99">
        <f>G90+'7'!H90</f>
        <v>70.160000000003492</v>
      </c>
      <c r="I90" s="594">
        <f>G90</f>
        <v>10.580000000001746</v>
      </c>
      <c r="J90" s="175">
        <f>H90/DAY(B2)</f>
        <v>8.7700000000004366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3910</v>
      </c>
      <c r="F91" s="122">
        <v>3910</v>
      </c>
      <c r="G91" s="112">
        <f t="shared" si="8"/>
        <v>0</v>
      </c>
      <c r="H91" s="99">
        <f>G91+'7'!H91</f>
        <v>0.25</v>
      </c>
      <c r="I91" s="688"/>
      <c r="J91" s="175">
        <f>H91/DAY(B2)</f>
        <v>3.125E-2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5822.91</v>
      </c>
      <c r="F92" s="122">
        <v>5833.39</v>
      </c>
      <c r="G92" s="112">
        <f t="shared" si="8"/>
        <v>10.480000000000473</v>
      </c>
      <c r="H92" s="99">
        <f>G92+'7'!H92</f>
        <v>86.090000000000146</v>
      </c>
      <c r="I92" s="705">
        <f>G91+G92</f>
        <v>10.480000000000473</v>
      </c>
      <c r="J92" s="175">
        <f>H92/DAY(B2)</f>
        <v>10.761250000000018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7455.1800000000076</v>
      </c>
      <c r="H94" s="99">
        <f>G94+'7'!H94</f>
        <v>55651.12999999999</v>
      </c>
      <c r="I94" s="118"/>
      <c r="J94" s="175">
        <f>H94/DAY(B2)</f>
        <v>6956.3912499999988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0.26118990412407339</v>
      </c>
      <c r="H95" s="99">
        <f>G95+'7'!H95</f>
        <v>2.04115398949319</v>
      </c>
      <c r="I95" s="167"/>
      <c r="J95" s="175">
        <f>H95/DAY(B2)</f>
        <v>0.25514424868664876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7852.0999999999622</v>
      </c>
      <c r="H96" s="99">
        <f>G96+'7'!H96</f>
        <v>57802.879999999976</v>
      </c>
      <c r="I96" s="118"/>
      <c r="J96" s="175">
        <f>H96/DAY(B2)</f>
        <v>7225.3599999999969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0.27509587242328482</v>
      </c>
      <c r="H97" s="99">
        <f>G97+'7'!H97</f>
        <v>2.1185679039870466</v>
      </c>
      <c r="I97" s="167"/>
      <c r="J97" s="175">
        <f>H97/DAY(B2)</f>
        <v>0.26482098799838083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3259.4400000000023</v>
      </c>
      <c r="H98" s="99">
        <f>G98+'7'!H98</f>
        <v>26431.280000000028</v>
      </c>
      <c r="I98" s="168"/>
      <c r="J98" s="175">
        <f>H98/DAY(B2)</f>
        <v>3303.9100000000035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0.11419346294766451</v>
      </c>
      <c r="H99" s="99">
        <f>G99+'7'!H99</f>
        <v>0.97007878954974536</v>
      </c>
      <c r="I99" s="168"/>
      <c r="J99" s="175">
        <f>H99/DAY(B2)</f>
        <v>0.12125984869371817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2563.2399999999907</v>
      </c>
      <c r="H100" s="99">
        <f>G100+'7'!H100</f>
        <v>20397.719999999994</v>
      </c>
      <c r="I100" s="118"/>
      <c r="J100" s="175">
        <f>H100/DAY(B2)</f>
        <v>2549.7149999999992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8.9802313270368625E-2</v>
      </c>
      <c r="H101" s="99">
        <f>G101+'7'!H101</f>
        <v>0.74878773938646093</v>
      </c>
      <c r="I101" s="168"/>
      <c r="J101" s="175">
        <f>H101/DAY(B2)</f>
        <v>9.3598467423307616E-2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2548.0499999999884</v>
      </c>
      <c r="H102" s="99">
        <f>G102+'7'!H102</f>
        <v>18598.279999999984</v>
      </c>
      <c r="I102" s="168"/>
      <c r="J102" s="175">
        <f>H102/DAY(B2)</f>
        <v>2324.784999999998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8.9270136362011573E-2</v>
      </c>
      <c r="H103" s="99">
        <f>G103+'7'!H103</f>
        <v>0.6825679440567789</v>
      </c>
      <c r="I103" s="118"/>
      <c r="J103" s="175">
        <f>H103/DAY(B2)</f>
        <v>8.5320993007097362E-2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1608.7599999999802</v>
      </c>
      <c r="H104" s="99">
        <f>G104+'7'!H104</f>
        <v>12925.25</v>
      </c>
      <c r="I104" s="118"/>
      <c r="J104" s="175">
        <f>H104/DAY(B2)</f>
        <v>1615.65625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5.6362404416612166E-2</v>
      </c>
      <c r="H105" s="99">
        <f>G105+'7'!H105</f>
        <v>0.47430144960635651</v>
      </c>
      <c r="I105" s="187"/>
      <c r="J105" s="188">
        <f>H105/DAY(B2)</f>
        <v>5.9287681200794563E-2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'7'!F112</f>
        <v>62708.09</v>
      </c>
      <c r="F112" s="237">
        <v>62790.1</v>
      </c>
      <c r="G112" s="112">
        <f t="shared" ref="G112:G123" si="9">F112-E112</f>
        <v>82.010000000002037</v>
      </c>
      <c r="H112" s="99">
        <f>G112+'7'!H112</f>
        <v>646.56999999999971</v>
      </c>
      <c r="I112" s="165"/>
      <c r="J112" s="328">
        <f>H112/DAY(B2)</f>
        <v>80.821249999999964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'7'!F113</f>
        <v>77697.31</v>
      </c>
      <c r="F113" s="237">
        <v>78192.23</v>
      </c>
      <c r="G113" s="112">
        <f t="shared" si="9"/>
        <v>494.91999999999825</v>
      </c>
      <c r="H113" s="99">
        <f>G113+'7'!H113</f>
        <v>3936.6299999999901</v>
      </c>
      <c r="I113" s="165"/>
      <c r="J113" s="328">
        <f>H113/DAY(B2)</f>
        <v>492.07874999999876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'7'!F114</f>
        <v>52265.7</v>
      </c>
      <c r="F114" s="237">
        <v>52527.14</v>
      </c>
      <c r="G114" s="112">
        <f t="shared" si="9"/>
        <v>261.44000000000233</v>
      </c>
      <c r="H114" s="99">
        <f>G114+'7'!H114</f>
        <v>2264.1399999999994</v>
      </c>
      <c r="I114" s="165"/>
      <c r="J114" s="328">
        <f>H114/DAY(B2)</f>
        <v>283.01749999999993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'7'!F115</f>
        <v>9985.5300000000007</v>
      </c>
      <c r="F115" s="237">
        <v>10003.74</v>
      </c>
      <c r="G115" s="112">
        <f t="shared" si="9"/>
        <v>18.209999999999127</v>
      </c>
      <c r="H115" s="99">
        <f>G115+'7'!H115</f>
        <v>175.22999999999956</v>
      </c>
      <c r="I115" s="165"/>
      <c r="J115" s="328">
        <f>H115/DAY(B2)</f>
        <v>21.903749999999945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'7'!F116</f>
        <v>25805.52</v>
      </c>
      <c r="F116" s="237">
        <v>26203.65</v>
      </c>
      <c r="G116" s="112">
        <f t="shared" si="9"/>
        <v>398.13000000000102</v>
      </c>
      <c r="H116" s="99">
        <f>G116+'7'!H116</f>
        <v>3419.0300000000025</v>
      </c>
      <c r="I116" s="165"/>
      <c r="J116" s="328">
        <f>H116/DAY(B2)</f>
        <v>427.37875000000031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'7'!F117</f>
        <v>15099.42</v>
      </c>
      <c r="F117" s="237">
        <v>15320.8</v>
      </c>
      <c r="G117" s="112">
        <f t="shared" si="9"/>
        <v>221.3799999999992</v>
      </c>
      <c r="H117" s="99">
        <f>G117+'7'!H117</f>
        <v>1707.6269999999986</v>
      </c>
      <c r="I117" s="165"/>
      <c r="J117" s="328">
        <f>H117/DAY(B2)</f>
        <v>213.45337499999982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'7'!F118</f>
        <v>283972.27</v>
      </c>
      <c r="F118" s="237">
        <v>284509.23</v>
      </c>
      <c r="G118" s="112">
        <f t="shared" si="9"/>
        <v>536.95999999996275</v>
      </c>
      <c r="H118" s="99">
        <f>G118+'7'!H118</f>
        <v>4288.2600000000093</v>
      </c>
      <c r="I118" s="165"/>
      <c r="J118" s="328">
        <f>H118/DAY(B2)</f>
        <v>536.03250000000116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'7'!F119</f>
        <v>286200</v>
      </c>
      <c r="F119" s="237">
        <v>286637</v>
      </c>
      <c r="G119" s="112">
        <f t="shared" si="9"/>
        <v>437</v>
      </c>
      <c r="H119" s="99">
        <f>G119+'7'!H119</f>
        <v>3539.609999999986</v>
      </c>
      <c r="I119" s="165"/>
      <c r="J119" s="328">
        <f>H119/DAY(B2)</f>
        <v>442.45124999999825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'7'!F120</f>
        <v>70636</v>
      </c>
      <c r="F120" s="237">
        <v>71041.64</v>
      </c>
      <c r="G120" s="112">
        <f t="shared" si="9"/>
        <v>405.63999999999942</v>
      </c>
      <c r="H120" s="99">
        <f>G120+'7'!H120</f>
        <v>3316.8800000000047</v>
      </c>
      <c r="I120" s="165"/>
      <c r="J120" s="328">
        <f>H120/DAY(B2)</f>
        <v>414.61000000000058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'7'!F121</f>
        <v>448309.87</v>
      </c>
      <c r="F121" s="237">
        <v>449107.23</v>
      </c>
      <c r="G121" s="112">
        <f t="shared" si="9"/>
        <v>797.35999999998603</v>
      </c>
      <c r="H121" s="99">
        <f>G121+'7'!H121</f>
        <v>6388.9599999999627</v>
      </c>
      <c r="I121" s="165"/>
      <c r="J121" s="328">
        <f>H121/DAY(B2)</f>
        <v>798.61999999999534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'7'!F122</f>
        <v>140866.51</v>
      </c>
      <c r="F122" s="237">
        <v>141066.32999999999</v>
      </c>
      <c r="G122" s="112">
        <f t="shared" si="9"/>
        <v>199.81999999997788</v>
      </c>
      <c r="H122" s="99">
        <f>G122+'7'!H122</f>
        <v>1758.1899999999732</v>
      </c>
      <c r="I122" s="165"/>
      <c r="J122" s="328">
        <f>H122/DAY(B2)</f>
        <v>219.77374999999665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'7'!F123</f>
        <v>171242.47</v>
      </c>
      <c r="F123" s="237">
        <v>171502.39</v>
      </c>
      <c r="G123" s="112">
        <f t="shared" si="9"/>
        <v>259.92000000001281</v>
      </c>
      <c r="H123" s="99">
        <f>G123+'7'!H123</f>
        <v>2060.390000000014</v>
      </c>
      <c r="I123" s="165"/>
      <c r="J123" s="328">
        <f>H123/DAY(B2)</f>
        <v>257.54875000000175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4112.7899999999408</v>
      </c>
      <c r="H125" s="156"/>
      <c r="I125" s="327">
        <f>G125-(G39+G53)</f>
        <v>853.34999999993852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'7'!F128</f>
        <v>71731.520000000004</v>
      </c>
      <c r="F128" s="165">
        <v>72155.19</v>
      </c>
      <c r="G128" s="112">
        <f t="shared" ref="G128:G134" si="10">F128-E128</f>
        <v>423.66999999999825</v>
      </c>
      <c r="H128" s="99">
        <f>G128+'7'!H128</f>
        <v>3238.9499999999971</v>
      </c>
      <c r="I128" s="165"/>
      <c r="J128" s="328">
        <f>H128/DAY(B2)</f>
        <v>404.86874999999964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44177.66</v>
      </c>
      <c r="F129" s="165">
        <v>44475.82</v>
      </c>
      <c r="G129" s="112">
        <f t="shared" si="10"/>
        <v>298.15999999999622</v>
      </c>
      <c r="H129" s="99">
        <f>G129+'7'!H129</f>
        <v>2364.7699999999968</v>
      </c>
      <c r="I129" s="165"/>
      <c r="J129" s="328">
        <f>H129/DAY(B2)</f>
        <v>295.5962499999996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80547.679999999993</v>
      </c>
      <c r="F130" s="165">
        <v>81262.070000000007</v>
      </c>
      <c r="G130" s="112">
        <f t="shared" si="10"/>
        <v>714.39000000001397</v>
      </c>
      <c r="H130" s="99">
        <f>G130+'7'!H130</f>
        <v>5600.1200000000099</v>
      </c>
      <c r="I130" s="165"/>
      <c r="J130" s="328">
        <f>H130/DAY(B2)</f>
        <v>700.01500000000124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'7'!F131</f>
        <v>25740.61</v>
      </c>
      <c r="F131" s="165">
        <v>25977.33</v>
      </c>
      <c r="G131" s="112">
        <f t="shared" si="10"/>
        <v>236.72000000000116</v>
      </c>
      <c r="H131" s="99">
        <f>G131+'7'!H131</f>
        <v>1544.8300000000017</v>
      </c>
      <c r="I131" s="165"/>
      <c r="J131" s="328">
        <f>H131/DAY(B2)</f>
        <v>193.10375000000022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'7'!F132</f>
        <v>78658.47</v>
      </c>
      <c r="F132" s="165">
        <v>79101.61</v>
      </c>
      <c r="G132" s="112">
        <f t="shared" si="10"/>
        <v>443.13999999999942</v>
      </c>
      <c r="H132" s="99">
        <f>G132+'7'!H132</f>
        <v>3434.1100000000006</v>
      </c>
      <c r="I132" s="165"/>
      <c r="J132" s="328">
        <f>H132/DAY(B2)</f>
        <v>429.26375000000007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'7'!F133</f>
        <v>151353.95000000001</v>
      </c>
      <c r="F133" s="165">
        <v>152351.82</v>
      </c>
      <c r="G133" s="112">
        <f t="shared" si="10"/>
        <v>997.86999999999534</v>
      </c>
      <c r="H133" s="99">
        <f>G133+'7'!H133</f>
        <v>6969.8300000000163</v>
      </c>
      <c r="I133" s="165"/>
      <c r="J133" s="328">
        <f>H133/DAY(B2)</f>
        <v>871.22875000000204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'7'!F134</f>
        <v>22487.41</v>
      </c>
      <c r="F134" s="165">
        <v>22730.959999999999</v>
      </c>
      <c r="G134" s="112">
        <f t="shared" si="10"/>
        <v>243.54999999999927</v>
      </c>
      <c r="H134" s="99">
        <f>G134+'7'!H134</f>
        <v>1938.2799999999988</v>
      </c>
      <c r="I134" s="165"/>
      <c r="J134" s="328">
        <f>H134/DAY(B2)</f>
        <v>242.28499999999985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3357.5000000000036</v>
      </c>
      <c r="H135" s="99">
        <f>G135+'7'!H135</f>
        <v>25090.890000000021</v>
      </c>
      <c r="I135" s="327">
        <f>G135-(G35+G49)</f>
        <v>-806.79999999999927</v>
      </c>
      <c r="J135" s="328" t="e">
        <f t="shared" ref="J135" si="11">H135/DAY(B54)</f>
        <v>#DIV/0!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'7'!F138</f>
        <v>875228</v>
      </c>
      <c r="F138" s="147">
        <v>875424</v>
      </c>
      <c r="G138" s="112">
        <f t="shared" ref="G138:G152" si="12">F138-E138</f>
        <v>196</v>
      </c>
      <c r="H138" s="99">
        <f>G138+'7'!H138</f>
        <v>1423</v>
      </c>
      <c r="I138" s="118"/>
      <c r="J138" s="328">
        <f>H138/DAY(B2)</f>
        <v>177.875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'7'!F139</f>
        <v>891330</v>
      </c>
      <c r="F139" s="148">
        <v>891495</v>
      </c>
      <c r="G139" s="112">
        <f t="shared" si="12"/>
        <v>165</v>
      </c>
      <c r="H139" s="99">
        <f>G139+'7'!H139</f>
        <v>1177</v>
      </c>
      <c r="I139" s="118"/>
      <c r="J139" s="328">
        <f>H139/DAY(B2)</f>
        <v>147.125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'7'!F140</f>
        <v>89005.1</v>
      </c>
      <c r="F140" s="149">
        <v>89006.8</v>
      </c>
      <c r="G140" s="112">
        <f t="shared" si="12"/>
        <v>1.6999999999970896</v>
      </c>
      <c r="H140" s="99">
        <f>G140+'7'!H140</f>
        <v>16.80000000000291</v>
      </c>
      <c r="I140" s="118"/>
      <c r="J140" s="328">
        <f>H140/DAY(B2)</f>
        <v>2.1000000000003638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'7'!F141</f>
        <v>67158.55</v>
      </c>
      <c r="F141" s="149">
        <v>67351.91</v>
      </c>
      <c r="G141" s="112">
        <f t="shared" si="12"/>
        <v>193.36000000000058</v>
      </c>
      <c r="H141" s="99">
        <f>G141+'7'!H141</f>
        <v>1568.3800000000047</v>
      </c>
      <c r="I141" s="118"/>
      <c r="J141" s="328">
        <f>H141/DAY(B2)</f>
        <v>196.04750000000058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'7'!F142</f>
        <v>26030.65</v>
      </c>
      <c r="F142" s="519">
        <v>26098.3</v>
      </c>
      <c r="G142" s="112">
        <f t="shared" si="12"/>
        <v>67.649999999997817</v>
      </c>
      <c r="H142" s="99">
        <f>G142+'7'!H142</f>
        <v>601.89999999999782</v>
      </c>
      <c r="I142" s="140"/>
      <c r="J142" s="328">
        <f>H142/DAY(B2)</f>
        <v>75.237499999999727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'7'!F143</f>
        <v>5752.41</v>
      </c>
      <c r="F143" s="149">
        <v>5777.57</v>
      </c>
      <c r="G143" s="112">
        <f t="shared" si="12"/>
        <v>25.159999999999854</v>
      </c>
      <c r="H143" s="99">
        <f>G143+'7'!H143</f>
        <v>216.85999999999967</v>
      </c>
      <c r="I143" s="140"/>
      <c r="J143" s="328">
        <f>H143/DAY(B2)</f>
        <v>27.107499999999959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'7'!F144</f>
        <v>891601</v>
      </c>
      <c r="F144" s="149">
        <v>891874</v>
      </c>
      <c r="G144" s="112">
        <f t="shared" si="12"/>
        <v>273</v>
      </c>
      <c r="H144" s="99">
        <f>G144+'7'!H144</f>
        <v>2040</v>
      </c>
      <c r="I144" s="140"/>
      <c r="J144" s="328">
        <f>H144/DAY(B2)</f>
        <v>255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'7'!F145</f>
        <v>5563.49</v>
      </c>
      <c r="F145" s="149">
        <v>5566.77</v>
      </c>
      <c r="G145" s="112">
        <f t="shared" si="12"/>
        <v>3.2800000000006548</v>
      </c>
      <c r="H145" s="99">
        <f>G145+'7'!H145</f>
        <v>10.3700000000008</v>
      </c>
      <c r="I145" s="140"/>
      <c r="J145" s="328">
        <f>H145/DAY(B2)</f>
        <v>1.2962500000001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'7'!F146</f>
        <v>767937</v>
      </c>
      <c r="F146" s="148">
        <v>768422</v>
      </c>
      <c r="G146" s="112">
        <f t="shared" si="12"/>
        <v>485</v>
      </c>
      <c r="H146" s="99">
        <f>G146+'7'!H146</f>
        <v>4096</v>
      </c>
      <c r="I146" s="140"/>
      <c r="J146" s="328">
        <f>H146/DAY(B2)</f>
        <v>512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'7'!F147</f>
        <v>653302.92000000004</v>
      </c>
      <c r="F147" s="148">
        <v>653765.24</v>
      </c>
      <c r="G147" s="112">
        <f t="shared" si="12"/>
        <v>462.31999999994878</v>
      </c>
      <c r="H147" s="99">
        <f>G147+'7'!H147</f>
        <v>3581.2399999999907</v>
      </c>
      <c r="I147" s="140"/>
      <c r="J147" s="328">
        <f>H147/DAY(B2)</f>
        <v>447.65499999999884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'7'!F148</f>
        <v>711304.64</v>
      </c>
      <c r="F148" s="150">
        <v>711705.84</v>
      </c>
      <c r="G148" s="112">
        <f t="shared" si="12"/>
        <v>401.19999999995343</v>
      </c>
      <c r="H148" s="99">
        <f>G148+'7'!H148</f>
        <v>2841.1599999999162</v>
      </c>
      <c r="I148" s="124"/>
      <c r="J148" s="328">
        <f>H148/DAY(B2)</f>
        <v>355.14499999998952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'7'!F149</f>
        <v>68317.990000000005</v>
      </c>
      <c r="F149" s="146">
        <v>69026.039999999994</v>
      </c>
      <c r="G149" s="112">
        <f t="shared" si="12"/>
        <v>708.04999999998836</v>
      </c>
      <c r="H149" s="99">
        <f>G149+'7'!H149</f>
        <v>5802.2399999999907</v>
      </c>
      <c r="I149" s="119"/>
      <c r="J149" s="328">
        <f>H149/DAY(B2)</f>
        <v>725.27999999999884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'7'!F150</f>
        <v>25518.11</v>
      </c>
      <c r="F150" s="233">
        <v>25737.33</v>
      </c>
      <c r="G150" s="112">
        <f t="shared" si="12"/>
        <v>219.22000000000116</v>
      </c>
      <c r="H150" s="99">
        <f>G150+'7'!H150</f>
        <v>1781.5400000000009</v>
      </c>
      <c r="I150" s="119"/>
      <c r="J150" s="328">
        <f>H150/DAY(B2)</f>
        <v>222.69250000000011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'7'!F151</f>
        <v>102560</v>
      </c>
      <c r="F151" s="233">
        <v>102869</v>
      </c>
      <c r="G151" s="112">
        <f t="shared" si="12"/>
        <v>309</v>
      </c>
      <c r="H151" s="99">
        <f>G151+'7'!H151</f>
        <v>2258</v>
      </c>
      <c r="I151" s="119"/>
      <c r="J151" s="328">
        <f>H151/DAY(B2)</f>
        <v>282.25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'7'!F152</f>
        <v>8953.19</v>
      </c>
      <c r="F152" s="233">
        <v>9076.56</v>
      </c>
      <c r="G152" s="112">
        <f t="shared" si="12"/>
        <v>123.36999999999898</v>
      </c>
      <c r="H152" s="99">
        <f>G152+'7'!H152</f>
        <v>1007.4999999999991</v>
      </c>
      <c r="I152" s="119"/>
      <c r="J152" s="328">
        <f>H152/DAY(B2)</f>
        <v>125.93749999999989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3633.3099999998867</v>
      </c>
      <c r="H153" s="363"/>
      <c r="I153" s="119">
        <f>G153-(G38+G52)</f>
        <v>1070.069999999896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'7'!F155</f>
        <v>77363</v>
      </c>
      <c r="F155" s="374">
        <v>78037.429999999993</v>
      </c>
      <c r="G155" s="112">
        <f t="shared" ref="G155:G158" si="13">F155-E155</f>
        <v>674.42999999999302</v>
      </c>
      <c r="H155" s="99">
        <f>G155+'7'!H155</f>
        <v>5266.929999999993</v>
      </c>
      <c r="I155" s="364"/>
      <c r="J155" s="328">
        <f>H155/DAY(B2)</f>
        <v>658.36624999999913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'7'!F156</f>
        <v>6433.41</v>
      </c>
      <c r="F156" s="155">
        <v>6486.65</v>
      </c>
      <c r="G156" s="112">
        <f t="shared" si="13"/>
        <v>53.239999999999782</v>
      </c>
      <c r="H156" s="99">
        <f>G156+'7'!H156</f>
        <v>429.39999999999964</v>
      </c>
      <c r="I156" s="165"/>
      <c r="J156" s="328">
        <f>H156/DAY(B2)</f>
        <v>53.674999999999955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'7'!F157</f>
        <v>11012.67</v>
      </c>
      <c r="F157" s="155">
        <v>11111.11</v>
      </c>
      <c r="G157" s="112">
        <f t="shared" si="13"/>
        <v>98.440000000000509</v>
      </c>
      <c r="H157" s="99">
        <f>G157+'7'!H157</f>
        <v>872.30000000000109</v>
      </c>
      <c r="I157" s="165"/>
      <c r="J157" s="328">
        <f>H157/DAY(B2)</f>
        <v>109.03750000000014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'7'!F158</f>
        <v>91.66</v>
      </c>
      <c r="F158" s="155">
        <v>91.71</v>
      </c>
      <c r="G158" s="112">
        <f t="shared" si="13"/>
        <v>4.9999999999997158E-2</v>
      </c>
      <c r="H158" s="99">
        <f>G158+'7'!H158</f>
        <v>1.289999999999992</v>
      </c>
      <c r="I158" s="165"/>
      <c r="J158" s="328">
        <f>H158/DAY(B2)</f>
        <v>0.16124999999999901</v>
      </c>
    </row>
    <row r="159" spans="1:10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473841.44</v>
      </c>
      <c r="F161" s="235">
        <v>473841.44</v>
      </c>
      <c r="G161" s="238">
        <f t="shared" ref="G161:G165" si="14">F161-E161</f>
        <v>0</v>
      </c>
      <c r="H161" s="99">
        <f>G161+'7'!H161</f>
        <v>0.71000000002095476</v>
      </c>
      <c r="I161" s="236"/>
      <c r="J161" s="239">
        <f>H161/DAY(B2)</f>
        <v>8.8750000002619345E-2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90688.4</v>
      </c>
      <c r="F162" s="235">
        <v>90733.8</v>
      </c>
      <c r="G162" s="238">
        <f t="shared" si="14"/>
        <v>45.400000000008731</v>
      </c>
      <c r="H162" s="99">
        <f>G162+'7'!H162</f>
        <v>280.90000000000873</v>
      </c>
      <c r="I162" s="236"/>
      <c r="J162" s="239">
        <f>H162/DAY(B2)</f>
        <v>35.112500000001091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88340.4</v>
      </c>
      <c r="F163" s="235">
        <v>88517.1</v>
      </c>
      <c r="G163" s="238">
        <f t="shared" si="14"/>
        <v>176.70000000001164</v>
      </c>
      <c r="H163" s="99">
        <f>G163+'7'!H163</f>
        <v>1438.3000000000029</v>
      </c>
      <c r="I163" s="236"/>
      <c r="J163" s="239">
        <f>H163/DAY(B2)</f>
        <v>179.78750000000036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4914.5</v>
      </c>
      <c r="F164" s="235">
        <v>4927.5</v>
      </c>
      <c r="G164" s="238">
        <f t="shared" si="14"/>
        <v>13</v>
      </c>
      <c r="H164" s="99">
        <f>G164+'7'!H164</f>
        <v>115.10000000000036</v>
      </c>
      <c r="I164" s="236"/>
      <c r="J164" s="239">
        <f>H164/DAY(B2)</f>
        <v>14.387500000000045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30405.79</v>
      </c>
      <c r="F165" s="418">
        <v>30413.5</v>
      </c>
      <c r="G165" s="238">
        <f t="shared" si="14"/>
        <v>7.7099999999991269</v>
      </c>
      <c r="H165" s="99">
        <f>G165+'7'!H165</f>
        <v>57.990000000001601</v>
      </c>
      <c r="I165" s="236"/>
      <c r="J165" s="239">
        <f>H165/DAY(B2)</f>
        <v>7.2487500000002001</v>
      </c>
    </row>
    <row r="166" spans="1:10" ht="26.25">
      <c r="A166" s="938"/>
      <c r="B166" s="938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'7'!F173</f>
        <v>8265</v>
      </c>
      <c r="F173" s="155">
        <v>8265</v>
      </c>
      <c r="G173" s="155">
        <f>F173-E173</f>
        <v>0</v>
      </c>
      <c r="H173" s="99">
        <f>G173+'7'!H173</f>
        <v>1</v>
      </c>
      <c r="I173" s="155"/>
      <c r="J173" s="178">
        <f>H173/DAY(B2)</f>
        <v>0.125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'7'!F174</f>
        <v>39564</v>
      </c>
      <c r="F174" s="157">
        <v>39579</v>
      </c>
      <c r="G174" s="155">
        <f t="shared" ref="G174:G175" si="15">F174-E174</f>
        <v>15</v>
      </c>
      <c r="H174" s="99">
        <f>G174+'7'!H174</f>
        <v>117</v>
      </c>
      <c r="I174" s="155"/>
      <c r="J174" s="178">
        <f>H174/DAY(B2)</f>
        <v>14.625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'7'!F175</f>
        <v>22609</v>
      </c>
      <c r="F175" s="155">
        <v>22621</v>
      </c>
      <c r="G175" s="155">
        <f t="shared" si="15"/>
        <v>12</v>
      </c>
      <c r="H175" s="99">
        <f>G175+'7'!H175</f>
        <v>99</v>
      </c>
      <c r="I175" s="155"/>
      <c r="J175" s="178">
        <f>H175/DAY(B2)</f>
        <v>12.375</v>
      </c>
    </row>
    <row r="176" spans="1:10" ht="25.5">
      <c r="A176" s="935" t="s">
        <v>196</v>
      </c>
      <c r="B176" s="93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G176+'7'!H176</f>
        <v>217</v>
      </c>
      <c r="I176" s="155"/>
      <c r="J176" s="178">
        <f>H176/DAY(B2)</f>
        <v>27.125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'7'!F178</f>
        <v>86249</v>
      </c>
      <c r="F178" s="155">
        <v>86358</v>
      </c>
      <c r="G178" s="155">
        <f>F178-E178</f>
        <v>109</v>
      </c>
      <c r="H178" s="99">
        <f>G178+'7'!H178</f>
        <v>742</v>
      </c>
      <c r="I178" s="155"/>
      <c r="J178" s="178">
        <f>H178/DAY(B2)</f>
        <v>92.75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'7'!F179</f>
        <v>35710</v>
      </c>
      <c r="F179" s="155">
        <v>35710</v>
      </c>
      <c r="G179" s="155">
        <f t="shared" ref="G179:G180" si="16">F179-E179</f>
        <v>0</v>
      </c>
      <c r="H179" s="99">
        <f>G179+'7'!H179</f>
        <v>96</v>
      </c>
      <c r="I179" s="155"/>
      <c r="J179" s="178">
        <f>H179/DAY(B2)</f>
        <v>12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'7'!F180</f>
        <v>6184</v>
      </c>
      <c r="F180" s="155">
        <v>6197</v>
      </c>
      <c r="G180" s="155">
        <f t="shared" si="16"/>
        <v>13</v>
      </c>
      <c r="H180" s="99">
        <f>G180+'7'!H180</f>
        <v>64</v>
      </c>
      <c r="I180" s="155"/>
      <c r="J180" s="178">
        <f>H180/DAY(B2)</f>
        <v>8</v>
      </c>
    </row>
    <row r="181" spans="1:10" ht="25.5">
      <c r="A181" s="942" t="s">
        <v>108</v>
      </c>
      <c r="B181" s="943"/>
      <c r="C181" s="333"/>
      <c r="D181" s="228" t="s">
        <v>142</v>
      </c>
      <c r="E181" s="95"/>
      <c r="F181" s="155"/>
      <c r="G181" s="155">
        <f>SUM(G178:G180)</f>
        <v>122</v>
      </c>
      <c r="H181" s="99">
        <f>G181+'7'!H181</f>
        <v>902</v>
      </c>
      <c r="I181" s="155"/>
      <c r="J181" s="178">
        <f>H181/DAY(B2)</f>
        <v>112.75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'7'!F183</f>
        <v>16272</v>
      </c>
      <c r="F183" s="157">
        <v>16285</v>
      </c>
      <c r="G183" s="157">
        <f>F183-E183</f>
        <v>13</v>
      </c>
      <c r="H183" s="99">
        <f>G183+'7'!H183</f>
        <v>143</v>
      </c>
      <c r="I183" s="155"/>
      <c r="J183" s="178">
        <f>H183/DAY(B2)</f>
        <v>17.875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'7'!F184</f>
        <v>11092</v>
      </c>
      <c r="F184" s="157">
        <v>11102</v>
      </c>
      <c r="G184" s="157">
        <f t="shared" ref="G184:G185" si="17">F184-E184</f>
        <v>10</v>
      </c>
      <c r="H184" s="99">
        <f>G184+'7'!H184</f>
        <v>53</v>
      </c>
      <c r="I184" s="155"/>
      <c r="J184" s="178">
        <f>H184/DAY(B2)</f>
        <v>6.625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5" t="s">
        <v>196</v>
      </c>
      <c r="B186" s="936"/>
      <c r="C186" s="334"/>
      <c r="D186" s="228" t="s">
        <v>142</v>
      </c>
      <c r="E186" s="95"/>
      <c r="F186" s="157"/>
      <c r="G186" s="157">
        <f>SUM(G183:G185)</f>
        <v>23</v>
      </c>
      <c r="H186" s="99">
        <f>G186+'7'!H186</f>
        <v>196</v>
      </c>
      <c r="I186" s="157"/>
      <c r="J186" s="178">
        <f>H186/DAY(B2)</f>
        <v>24.5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214</v>
      </c>
      <c r="H187" s="99">
        <f>G187+'7'!H187</f>
        <v>1808</v>
      </c>
      <c r="I187" s="158"/>
      <c r="J187" s="179">
        <f>H187/DAY(B2)</f>
        <v>226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241</v>
      </c>
      <c r="H188" s="99">
        <f>G188+'7'!H188</f>
        <v>1803</v>
      </c>
      <c r="I188" s="158"/>
      <c r="J188" s="179">
        <f>H188/DAY(B2)</f>
        <v>225.375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122</v>
      </c>
      <c r="H189" s="99">
        <f>G189+'7'!H189</f>
        <v>902</v>
      </c>
      <c r="I189" s="158"/>
      <c r="J189" s="179">
        <f>H189/DAY(B2)</f>
        <v>112.75</v>
      </c>
    </row>
    <row r="190" spans="1:10" ht="25.5">
      <c r="A190" s="940"/>
      <c r="B190" s="94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45" zoomScale="55" zoomScaleNormal="80" zoomScaleSheetLayoutView="55" workbookViewId="0">
      <selection activeCell="G155" sqref="G155:G15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372</v>
      </c>
      <c r="B2" s="262">
        <v>44660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204823.17</v>
      </c>
      <c r="F7" s="95">
        <v>234223</v>
      </c>
      <c r="G7" s="112">
        <f>F7-E7</f>
        <v>29399.829999999987</v>
      </c>
      <c r="H7" s="99">
        <f>G7+'8'!H7</f>
        <v>247500</v>
      </c>
      <c r="I7" s="113">
        <f>'1'!I7</f>
        <v>12000</v>
      </c>
      <c r="J7" s="175">
        <f>H7/DAY(B2)</f>
        <v>27500</v>
      </c>
      <c r="K7" s="172">
        <v>1375467</v>
      </c>
      <c r="L7" s="66"/>
      <c r="N7" s="87">
        <f>G7+600</f>
        <v>29999.829999999987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279923.65000000002</v>
      </c>
      <c r="F8" s="114">
        <v>309923.65000000002</v>
      </c>
      <c r="G8" s="115">
        <f>F8-E8</f>
        <v>30000</v>
      </c>
      <c r="H8" s="99">
        <f>G8+'8'!H8</f>
        <v>251877.43000000002</v>
      </c>
      <c r="I8" s="116"/>
      <c r="J8" s="175">
        <f>H8/DAY(B2)</f>
        <v>27986.381111111114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1425642.8</v>
      </c>
      <c r="F9" s="353">
        <v>1446644.1</v>
      </c>
      <c r="G9" s="112">
        <f>F9-E9</f>
        <v>21001.300000000047</v>
      </c>
      <c r="H9" s="99">
        <f>G9+'8'!H9</f>
        <v>178969.10000000009</v>
      </c>
      <c r="I9" s="124">
        <f>I7-J7</f>
        <v>-15500</v>
      </c>
      <c r="J9" s="175">
        <f>H9/DAY(B2)</f>
        <v>19885.455555555567</v>
      </c>
      <c r="K9" s="79">
        <f>K8-100</f>
        <v>1715817</v>
      </c>
      <c r="L9" s="66"/>
      <c r="N9" s="87">
        <f>E8+234223+600</f>
        <v>514746.65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472237.83</v>
      </c>
      <c r="F10" s="117">
        <v>479837.27</v>
      </c>
      <c r="G10" s="112">
        <f t="shared" ref="G10:G12" si="0">F10-E10</f>
        <v>7599.4400000000023</v>
      </c>
      <c r="H10" s="99">
        <f>G10+'8'!H10</f>
        <v>61561.800000000047</v>
      </c>
      <c r="I10" s="282"/>
      <c r="J10" s="175">
        <f>H10/DAY(B2)</f>
        <v>6840.2000000000053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28600.740000000049</v>
      </c>
      <c r="H13" s="99">
        <f>G13+'8'!H13</f>
        <v>240531.37000000011</v>
      </c>
      <c r="I13" s="120">
        <f>G7-G13</f>
        <v>799.0899999999383</v>
      </c>
      <c r="J13" s="175">
        <f>H13/DAY(B2)</f>
        <v>26725.707777777789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1979671.23</v>
      </c>
      <c r="F15" s="470">
        <v>1980761.6129999999</v>
      </c>
      <c r="G15" s="112">
        <f>(F15-E15)</f>
        <v>1090.3829999999143</v>
      </c>
      <c r="H15" s="99">
        <f>G15+'8'!H15</f>
        <v>9824.6129999998957</v>
      </c>
      <c r="I15" s="113">
        <f>'1'!I15</f>
        <v>800</v>
      </c>
      <c r="J15" s="175">
        <f>H15/DAY(B2)</f>
        <v>1091.623666666655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-291.62366666665503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'8'!F18</f>
        <v>23</v>
      </c>
      <c r="F18" s="164">
        <v>29</v>
      </c>
      <c r="G18" s="119">
        <f>F18*10</f>
        <v>290</v>
      </c>
      <c r="H18" s="99">
        <f>G18+'8'!H18</f>
        <v>2260</v>
      </c>
      <c r="I18" s="113">
        <f>'1'!I18</f>
        <v>65</v>
      </c>
      <c r="J18" s="175">
        <f>H18/DAY(B2)</f>
        <v>251.11111111111111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'8'!F19</f>
        <v>157370</v>
      </c>
      <c r="F19" s="122">
        <v>157407</v>
      </c>
      <c r="G19" s="112">
        <f t="shared" ref="G19" si="1">F19-E19</f>
        <v>37</v>
      </c>
      <c r="H19" s="99">
        <f>G19+'8'!H19</f>
        <v>418</v>
      </c>
      <c r="I19" s="335"/>
      <c r="J19" s="175">
        <f>H19/DAY(B2)</f>
        <v>46.444444444444443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327</v>
      </c>
      <c r="H20" s="99">
        <f>G20+'8'!H20</f>
        <v>2678</v>
      </c>
      <c r="I20" s="336">
        <f>I18-J20</f>
        <v>-232.55555555555554</v>
      </c>
      <c r="J20" s="175">
        <f>H20/DAY(B2)</f>
        <v>297.55555555555554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30000</v>
      </c>
      <c r="F27" s="136">
        <v>9</v>
      </c>
      <c r="G27" s="137">
        <f>E27*F27</f>
        <v>270000</v>
      </c>
      <c r="H27" s="99">
        <f>G27+'8'!H27</f>
        <v>2266896.87</v>
      </c>
      <c r="I27" s="138"/>
      <c r="J27" s="175">
        <f>H27/DAY(B2)</f>
        <v>251877.43000000002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1090.3829999999143</v>
      </c>
      <c r="F28" s="136">
        <v>52</v>
      </c>
      <c r="G28" s="137">
        <f>E28*F28</f>
        <v>56699.915999995545</v>
      </c>
      <c r="H28" s="99">
        <f>G28+'8'!H28</f>
        <v>668096.01599999424</v>
      </c>
      <c r="I28" s="140"/>
      <c r="J28" s="175">
        <f>H28/DAY(B2)</f>
        <v>74232.890666666033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37</v>
      </c>
      <c r="F30" s="136">
        <v>146</v>
      </c>
      <c r="G30" s="137">
        <f>E30*F30</f>
        <v>5402</v>
      </c>
      <c r="H30" s="99">
        <f>G30+'8'!H30</f>
        <v>62933</v>
      </c>
      <c r="I30" s="140"/>
      <c r="J30" s="175">
        <f>H30/DAY(B2)</f>
        <v>6992.5555555555557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G31+'8'!H31</f>
        <v>180800</v>
      </c>
      <c r="I31" s="140"/>
      <c r="J31" s="175">
        <f>H31/DAY(B2)</f>
        <v>20088.888888888891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355301.91599999554</v>
      </c>
      <c r="H32" s="99">
        <f>G32+'8'!H32</f>
        <v>3178725.8859999944</v>
      </c>
      <c r="I32" s="144"/>
      <c r="J32" s="175">
        <f>H32/DAY(B2)</f>
        <v>353191.76511111046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155332.73000000001</v>
      </c>
      <c r="F35" s="145">
        <v>157510.82999999999</v>
      </c>
      <c r="G35" s="112">
        <f t="shared" ref="G35:G46" si="3">F35-E35</f>
        <v>2178.0999999999767</v>
      </c>
      <c r="H35" s="99">
        <f>G35+'8'!H35</f>
        <v>19231.619999999995</v>
      </c>
      <c r="I35" s="95"/>
      <c r="J35" s="175">
        <f>H35/DAY(B2)</f>
        <v>2136.8466666666664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108012.29</v>
      </c>
      <c r="F36" s="145">
        <v>108931.2</v>
      </c>
      <c r="G36" s="112">
        <f t="shared" si="3"/>
        <v>918.91000000000349</v>
      </c>
      <c r="H36" s="99">
        <f>G36+'8'!H36</f>
        <v>8410.5399999999936</v>
      </c>
      <c r="I36" s="95"/>
      <c r="J36" s="175">
        <f>H36/DAY(B2)</f>
        <v>934.50444444444372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145850.26999999999</v>
      </c>
      <c r="F37" s="145">
        <v>147445.78</v>
      </c>
      <c r="G37" s="112">
        <f t="shared" si="3"/>
        <v>1595.5100000000093</v>
      </c>
      <c r="H37" s="99">
        <f>G37+'8'!H37</f>
        <v>14520.760000000009</v>
      </c>
      <c r="I37" s="95"/>
      <c r="J37" s="175">
        <f>H37/DAY(B2)</f>
        <v>1613.4177777777788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190507.33</v>
      </c>
      <c r="F38" s="108">
        <v>193021.49</v>
      </c>
      <c r="G38" s="112">
        <f t="shared" si="3"/>
        <v>2514.1600000000035</v>
      </c>
      <c r="H38" s="99">
        <f>G38+'8'!H38</f>
        <v>22912.119999999995</v>
      </c>
      <c r="I38" s="95"/>
      <c r="J38" s="175">
        <f>H38/DAY(B2)</f>
        <v>2545.7911111111107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270584.71000000002</v>
      </c>
      <c r="F39" s="145">
        <v>273778.48</v>
      </c>
      <c r="G39" s="112">
        <f t="shared" si="3"/>
        <v>3193.7699999999604</v>
      </c>
      <c r="H39" s="99">
        <f>G39+'8'!H39</f>
        <v>29625.049999999988</v>
      </c>
      <c r="I39" s="95"/>
      <c r="J39" s="175">
        <f>H39/DAY(B2)</f>
        <v>3291.6722222222211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53499.72</v>
      </c>
      <c r="F40" s="145">
        <v>54005.08</v>
      </c>
      <c r="G40" s="112">
        <f t="shared" si="3"/>
        <v>505.36000000000058</v>
      </c>
      <c r="H40" s="99">
        <f>G40+'8'!H40</f>
        <v>4853.2200000000012</v>
      </c>
      <c r="I40" s="95"/>
      <c r="J40" s="175">
        <f>H40/DAY(B2)</f>
        <v>539.24666666666678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62.73</v>
      </c>
      <c r="F41" s="145">
        <v>62.73</v>
      </c>
      <c r="G41" s="112">
        <f t="shared" si="3"/>
        <v>0</v>
      </c>
      <c r="H41" s="99">
        <f>G41+'8'!H41</f>
        <v>-0.27000000000000313</v>
      </c>
      <c r="I41" s="95"/>
      <c r="J41" s="175">
        <f>H41/DAY(B2)</f>
        <v>-3.0000000000000346E-2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319842.96999999997</v>
      </c>
      <c r="F42" s="145">
        <v>325961.77</v>
      </c>
      <c r="G42" s="112">
        <f t="shared" si="3"/>
        <v>6118.8000000000466</v>
      </c>
      <c r="H42" s="99">
        <f>G42+'8'!H42</f>
        <v>44604.520000000019</v>
      </c>
      <c r="I42" s="95"/>
      <c r="J42" s="175">
        <f>H42/DAY(B2)</f>
        <v>4956.0577777777798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283115.34999999998</v>
      </c>
      <c r="F43" s="145">
        <v>286383.09000000003</v>
      </c>
      <c r="G43" s="112">
        <f t="shared" si="3"/>
        <v>3267.7400000000489</v>
      </c>
      <c r="H43" s="99">
        <f>G43+'8'!H43</f>
        <v>27628.620000000024</v>
      </c>
      <c r="I43" s="95"/>
      <c r="J43" s="175">
        <f>H43/DAY(B2)</f>
        <v>3069.8466666666695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20292.350000000049</v>
      </c>
      <c r="H47" s="99">
        <f>G47+'8'!H47</f>
        <v>171786.18</v>
      </c>
      <c r="I47" s="95"/>
      <c r="J47" s="175">
        <f>H47/DAY(B2)</f>
        <v>19087.353333333333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124738.93</v>
      </c>
      <c r="F49" s="145">
        <v>126672.94</v>
      </c>
      <c r="G49" s="112">
        <f t="shared" ref="G49:G58" si="4">F49-E49</f>
        <v>1934.0100000000093</v>
      </c>
      <c r="H49" s="99">
        <f>G49+'8'!H49</f>
        <v>16170.740000000005</v>
      </c>
      <c r="I49" s="95"/>
      <c r="J49" s="175">
        <f>H49/DAY(B2)</f>
        <v>1796.7488888888895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142316.79</v>
      </c>
      <c r="F50" s="145">
        <v>143815.4</v>
      </c>
      <c r="G50" s="112">
        <f t="shared" si="4"/>
        <v>1498.609999999986</v>
      </c>
      <c r="H50" s="99">
        <f>G50+'8'!H50</f>
        <v>12605.25999999998</v>
      </c>
      <c r="I50" s="95"/>
      <c r="J50" s="175">
        <f>H50/DAY(B2)</f>
        <v>1400.5844444444422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76</v>
      </c>
      <c r="G51" s="112">
        <f t="shared" si="4"/>
        <v>0.31999999999999318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10</v>
      </c>
      <c r="G52" s="112">
        <f t="shared" si="4"/>
        <v>0.24000000000000021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39735.35</v>
      </c>
      <c r="F54" s="145">
        <v>40200.5</v>
      </c>
      <c r="G54" s="112">
        <f t="shared" si="4"/>
        <v>465.15000000000146</v>
      </c>
      <c r="H54" s="99">
        <f>G54+'8'!H54</f>
        <v>4529.4400000000023</v>
      </c>
      <c r="I54" s="95"/>
      <c r="J54" s="175">
        <f>H54/DAY(B2)</f>
        <v>503.2711111111114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119326.43</v>
      </c>
      <c r="F55" s="145">
        <v>119326.43</v>
      </c>
      <c r="G55" s="112">
        <f t="shared" si="4"/>
        <v>0</v>
      </c>
      <c r="H55" s="99">
        <f>G55+'8'!H55</f>
        <v>6845.3999999999942</v>
      </c>
      <c r="I55" s="95"/>
      <c r="J55" s="175">
        <f>H55/DAY(B2)</f>
        <v>760.59999999999934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84089.71</v>
      </c>
      <c r="F56" s="145">
        <v>86822.87</v>
      </c>
      <c r="G56" s="112">
        <f t="shared" si="4"/>
        <v>2733.1599999999889</v>
      </c>
      <c r="H56" s="99">
        <f>G56+'8'!H56</f>
        <v>15205.190000000002</v>
      </c>
      <c r="I56" s="95"/>
      <c r="J56" s="175">
        <f>H56/DAY(B2)</f>
        <v>1689.4655555555557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20313.05</v>
      </c>
      <c r="F58" s="145">
        <v>20571.689999999999</v>
      </c>
      <c r="G58" s="112">
        <f t="shared" si="4"/>
        <v>258.63999999999942</v>
      </c>
      <c r="H58" s="99">
        <f>G58+'8'!H58</f>
        <v>2117.489999999998</v>
      </c>
      <c r="I58" s="95"/>
      <c r="J58" s="175">
        <f>H58/DAY(B2)</f>
        <v>235.27666666666644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6890.1299999999846</v>
      </c>
      <c r="H59" s="99">
        <f>G59+'8'!H59</f>
        <v>57473.839999999975</v>
      </c>
      <c r="I59" s="95">
        <f>G7-G60</f>
        <v>2217.3499999999549</v>
      </c>
      <c r="J59" s="175">
        <f>H59/DAY(B2)</f>
        <v>6385.9822222222192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27182.480000000032</v>
      </c>
      <c r="H60" s="99">
        <f>G60+'8'!H60</f>
        <v>229260.02000000002</v>
      </c>
      <c r="I60" s="95">
        <f>G13-G60</f>
        <v>1418.2600000000166</v>
      </c>
      <c r="J60" s="175">
        <f>H60/DAY(B2)</f>
        <v>25473.335555555557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'8'!F62</f>
        <v>280053</v>
      </c>
      <c r="F62" s="122">
        <v>280238</v>
      </c>
      <c r="G62" s="112">
        <f t="shared" ref="G62:G63" si="5">F62-E62</f>
        <v>185</v>
      </c>
      <c r="H62" s="99">
        <f>G62+'8'!H62</f>
        <v>1612</v>
      </c>
      <c r="I62" s="118"/>
      <c r="J62" s="175">
        <f>H62/DAY(B2)</f>
        <v>179.11111111111111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'8'!F63</f>
        <v>224311</v>
      </c>
      <c r="F63" s="122">
        <v>224454</v>
      </c>
      <c r="G63" s="112">
        <f t="shared" si="5"/>
        <v>143</v>
      </c>
      <c r="H63" s="99">
        <f>G63+'8'!H63</f>
        <v>1373</v>
      </c>
      <c r="I63" s="118"/>
      <c r="J63" s="175">
        <f>H63/DAY(B2)</f>
        <v>152.55555555555554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'8'!F64</f>
        <v>0</v>
      </c>
      <c r="F64" s="122">
        <v>0</v>
      </c>
      <c r="G64" s="112">
        <f>G62+G63</f>
        <v>328</v>
      </c>
      <c r="H64" s="99">
        <f>G64+'8'!H64</f>
        <v>2985</v>
      </c>
      <c r="I64" s="118"/>
      <c r="J64" s="175">
        <f>H64/DAY(B2)</f>
        <v>331.66666666666669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'8'!F65</f>
        <v>442022</v>
      </c>
      <c r="F65" s="122">
        <v>442124</v>
      </c>
      <c r="G65" s="112">
        <f t="shared" ref="G65:G70" si="6">F65-E65</f>
        <v>102</v>
      </c>
      <c r="H65" s="99">
        <f>G65+'8'!H65</f>
        <v>993</v>
      </c>
      <c r="I65" s="118"/>
      <c r="J65" s="175">
        <f>H65/DAY(B2)</f>
        <v>110.33333333333333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109199</v>
      </c>
      <c r="F66" s="122">
        <v>109216</v>
      </c>
      <c r="G66" s="112">
        <f t="shared" si="6"/>
        <v>17</v>
      </c>
      <c r="H66" s="99">
        <f>G66+'8'!H66</f>
        <v>146</v>
      </c>
      <c r="I66" s="118"/>
      <c r="J66" s="175">
        <f>H66/DAY(B2)</f>
        <v>16.222222222222221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109188</v>
      </c>
      <c r="F67" s="122">
        <v>109260</v>
      </c>
      <c r="G67" s="112">
        <f t="shared" si="6"/>
        <v>72</v>
      </c>
      <c r="H67" s="99">
        <f>G67+'8'!H67</f>
        <v>667</v>
      </c>
      <c r="I67" s="118"/>
      <c r="J67" s="175">
        <f>H67/DAY(B2)</f>
        <v>74.111111111111114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160886</v>
      </c>
      <c r="F68" s="122">
        <v>160916</v>
      </c>
      <c r="G68" s="112">
        <f t="shared" si="6"/>
        <v>30</v>
      </c>
      <c r="H68" s="99">
        <f>G68+'8'!H68</f>
        <v>507</v>
      </c>
      <c r="I68" s="118"/>
      <c r="J68" s="175">
        <f>H68/DAY(B2)</f>
        <v>56.333333333333336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11321</v>
      </c>
      <c r="F69" s="122">
        <v>11341</v>
      </c>
      <c r="G69" s="112">
        <f t="shared" si="6"/>
        <v>20</v>
      </c>
      <c r="H69" s="99">
        <f>G69+'8'!H69</f>
        <v>140</v>
      </c>
      <c r="I69" s="118"/>
      <c r="J69" s="175">
        <f>H69/DAY(B2)</f>
        <v>15.555555555555555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8796</v>
      </c>
      <c r="F70" s="122">
        <v>8806</v>
      </c>
      <c r="G70" s="112">
        <f t="shared" si="6"/>
        <v>10</v>
      </c>
      <c r="H70" s="99">
        <f>G70+'8'!H70</f>
        <v>78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251</v>
      </c>
      <c r="H71" s="99">
        <f>G71+'8'!H71</f>
        <v>2531</v>
      </c>
      <c r="I71" s="154"/>
      <c r="J71" s="175">
        <f>H71/DAY(B2)</f>
        <v>281.22222222222223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'8'!F74</f>
        <v>921799.36</v>
      </c>
      <c r="F74" s="117">
        <v>922087.56</v>
      </c>
      <c r="G74" s="112">
        <f t="shared" ref="G74:G78" si="7">F74-E74</f>
        <v>288.20000000006985</v>
      </c>
      <c r="H74" s="99">
        <f>G74+'8'!H74</f>
        <v>2763.0500000000466</v>
      </c>
      <c r="I74" s="154"/>
      <c r="J74" s="175">
        <f>H74/DAY(B2)</f>
        <v>307.0055555555607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'8'!F76</f>
        <v>177479.93</v>
      </c>
      <c r="F76" s="123">
        <v>177607</v>
      </c>
      <c r="G76" s="112">
        <f t="shared" si="7"/>
        <v>127.07000000000698</v>
      </c>
      <c r="H76" s="99">
        <f>G76+'8'!H76</f>
        <v>1020</v>
      </c>
      <c r="I76" s="154"/>
      <c r="J76" s="175">
        <f>H76/DAY(B2)</f>
        <v>113.33333333333333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'8'!F77</f>
        <v>44547.6</v>
      </c>
      <c r="F77" s="123">
        <v>44602</v>
      </c>
      <c r="G77" s="112">
        <f t="shared" si="7"/>
        <v>54.400000000001455</v>
      </c>
      <c r="H77" s="99">
        <f>G77+'8'!H77</f>
        <v>439</v>
      </c>
      <c r="I77" s="154"/>
      <c r="J77" s="175">
        <f>H77/DAY(B2)</f>
        <v>48.777777777777779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0.3999999999996362</v>
      </c>
      <c r="I78" s="118"/>
      <c r="J78" s="175">
        <f>H78/DAY(B2)</f>
        <v>4.444444444440402E-2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'8'!F79</f>
        <v>0</v>
      </c>
      <c r="F79" s="117"/>
      <c r="G79" s="112">
        <f>G15-SUM(G74:G78)</f>
        <v>620.71299999983603</v>
      </c>
      <c r="H79" s="99">
        <f>G79+'8'!H79</f>
        <v>5602.1629999998495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1090.3829999999143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3326.47</v>
      </c>
      <c r="F85" s="164">
        <v>3350.08</v>
      </c>
      <c r="G85" s="112">
        <f t="shared" si="8"/>
        <v>23.610000000000127</v>
      </c>
      <c r="H85" s="99">
        <f>G85+'8'!H85</f>
        <v>191.57999999999993</v>
      </c>
      <c r="I85" s="594"/>
      <c r="J85" s="175">
        <f>H85/DAY(B2)</f>
        <v>21.286666666666658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43768</v>
      </c>
      <c r="F86" s="164">
        <v>43768</v>
      </c>
      <c r="G86" s="112">
        <f t="shared" si="8"/>
        <v>0</v>
      </c>
      <c r="H86" s="99">
        <f>G86+'8'!H86</f>
        <v>47.599999999998545</v>
      </c>
      <c r="I86" s="594"/>
      <c r="J86" s="175">
        <f>H86/DAY(B2)</f>
        <v>5.2888888888887271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35167.53</v>
      </c>
      <c r="F87" s="164">
        <v>35185</v>
      </c>
      <c r="G87" s="112">
        <f t="shared" si="8"/>
        <v>17.470000000001164</v>
      </c>
      <c r="H87" s="99">
        <f>G87+'8'!H87</f>
        <v>104.65000000000146</v>
      </c>
      <c r="I87" s="594">
        <f>G84+G85+G86+G87</f>
        <v>41.080000000001291</v>
      </c>
      <c r="J87" s="175">
        <f>H87/DAY(B2)</f>
        <v>11.62777777777794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24114.9</v>
      </c>
      <c r="F88" s="164">
        <v>24114.9</v>
      </c>
      <c r="G88" s="112">
        <f t="shared" si="8"/>
        <v>0</v>
      </c>
      <c r="H88" s="99">
        <f>G88+'8'!H88</f>
        <v>5.5</v>
      </c>
      <c r="I88" s="594"/>
      <c r="J88" s="175">
        <f>H88/DAY(B2)</f>
        <v>0.61111111111111116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26552.34</v>
      </c>
      <c r="F89" s="164">
        <v>26562.48</v>
      </c>
      <c r="G89" s="112">
        <f t="shared" si="8"/>
        <v>10.139999999999418</v>
      </c>
      <c r="H89" s="99">
        <f>G89+'8'!H89</f>
        <v>90.68999999999869</v>
      </c>
      <c r="I89" s="594">
        <f>G88+G89</f>
        <v>10.139999999999418</v>
      </c>
      <c r="J89" s="175">
        <f>H89/DAY(B2)</f>
        <v>10.076666666666521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71643.27</v>
      </c>
      <c r="F90" s="164">
        <v>71654.399999999994</v>
      </c>
      <c r="G90" s="112">
        <f t="shared" si="8"/>
        <v>11.129999999990105</v>
      </c>
      <c r="H90" s="99">
        <f>G90+'8'!H90</f>
        <v>81.289999999993597</v>
      </c>
      <c r="I90" s="594">
        <f>G90</f>
        <v>11.129999999990105</v>
      </c>
      <c r="J90" s="175">
        <f>H90/DAY(B2)</f>
        <v>9.0322222222215114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3910</v>
      </c>
      <c r="F91" s="122">
        <v>3910</v>
      </c>
      <c r="G91" s="112">
        <f t="shared" si="8"/>
        <v>0</v>
      </c>
      <c r="H91" s="99">
        <f>G91+'8'!H91</f>
        <v>0.25</v>
      </c>
      <c r="I91" s="688"/>
      <c r="J91" s="175">
        <f>H91/DAY(B2)</f>
        <v>2.7777777777777776E-2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5833.39</v>
      </c>
      <c r="F92" s="122">
        <v>5843.4</v>
      </c>
      <c r="G92" s="112">
        <f t="shared" si="8"/>
        <v>10.009999999999309</v>
      </c>
      <c r="H92" s="99">
        <f>G92+'8'!H92</f>
        <v>96.099999999999454</v>
      </c>
      <c r="I92" s="705">
        <f>G91+G92</f>
        <v>10.009999999999309</v>
      </c>
      <c r="J92" s="175">
        <f>H92/DAY(B2)</f>
        <v>10.677777777777717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7379.8500000000349</v>
      </c>
      <c r="H94" s="99">
        <f>G94+'8'!H94</f>
        <v>63030.980000000025</v>
      </c>
      <c r="I94" s="118"/>
      <c r="J94" s="175">
        <f>H94/DAY(B2)</f>
        <v>7003.4422222222247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0.25101675757989206</v>
      </c>
      <c r="H95" s="99">
        <f>G95+'8'!H95</f>
        <v>2.2921707470730821</v>
      </c>
      <c r="I95" s="167"/>
      <c r="J95" s="175">
        <f>H95/DAY(B2)</f>
        <v>0.25468563856367576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8851.9600000000355</v>
      </c>
      <c r="H96" s="99">
        <f>G96+'8'!H96</f>
        <v>66654.840000000011</v>
      </c>
      <c r="I96" s="118"/>
      <c r="J96" s="175">
        <f>H96/DAY(B2)</f>
        <v>7406.0933333333342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0.30108881581968466</v>
      </c>
      <c r="H97" s="99">
        <f>G97+'8'!H97</f>
        <v>2.4196567198067314</v>
      </c>
      <c r="I97" s="167"/>
      <c r="J97" s="175">
        <f>H97/DAY(B2)</f>
        <v>0.26885074664519237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3193.7699999999604</v>
      </c>
      <c r="H98" s="99">
        <f>G98+'8'!H98</f>
        <v>29625.049999999988</v>
      </c>
      <c r="I98" s="168"/>
      <c r="J98" s="175">
        <f>H98/DAY(B2)</f>
        <v>3291.6722222222211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0.10863226079878563</v>
      </c>
      <c r="H99" s="99">
        <f>G99+'8'!H99</f>
        <v>1.0787110503485309</v>
      </c>
      <c r="I99" s="168"/>
      <c r="J99" s="175">
        <f>H99/DAY(B2)</f>
        <v>0.11985678337205899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2514.4000000000033</v>
      </c>
      <c r="H100" s="99">
        <f>G100+'8'!H100</f>
        <v>22912.119999999995</v>
      </c>
      <c r="I100" s="118"/>
      <c r="J100" s="175">
        <f>H100/DAY(B2)</f>
        <v>2545.7911111111107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8.5524304052098404E-2</v>
      </c>
      <c r="H101" s="99">
        <f>G101+'8'!H101</f>
        <v>0.83431204343855936</v>
      </c>
      <c r="I101" s="168"/>
      <c r="J101" s="175">
        <f>H101/DAY(B2)</f>
        <v>9.2701338159839927E-2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2417.5199999999895</v>
      </c>
      <c r="H102" s="99">
        <f>G102+'8'!H102</f>
        <v>21015.799999999974</v>
      </c>
      <c r="I102" s="168"/>
      <c r="J102" s="175">
        <f>H102/DAY(B2)</f>
        <v>2335.0888888888858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8.2229046902651842E-2</v>
      </c>
      <c r="H103" s="99">
        <f>G103+'8'!H103</f>
        <v>0.76479699095943077</v>
      </c>
      <c r="I103" s="118"/>
      <c r="J103" s="175">
        <f>H103/DAY(B2)</f>
        <v>8.4977443439936753E-2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1595.8300000000092</v>
      </c>
      <c r="H104" s="99">
        <f>G104+'8'!H104</f>
        <v>14521.080000000009</v>
      </c>
      <c r="I104" s="118"/>
      <c r="J104" s="175">
        <f>H104/DAY(B2)</f>
        <v>1613.4533333333343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5.4280245838156542E-2</v>
      </c>
      <c r="H105" s="99">
        <f>G105+'8'!H105</f>
        <v>0.52858169544451306</v>
      </c>
      <c r="I105" s="187"/>
      <c r="J105" s="188">
        <f>H105/DAY(B2)</f>
        <v>5.8731299493834786E-2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'8'!F112</f>
        <v>62790.1</v>
      </c>
      <c r="F112" s="237">
        <v>62826.9</v>
      </c>
      <c r="G112" s="112">
        <f t="shared" ref="G112:G123" si="9">F112-E112</f>
        <v>36.80000000000291</v>
      </c>
      <c r="H112" s="99">
        <f>G112+'8'!H112</f>
        <v>683.37000000000262</v>
      </c>
      <c r="I112" s="165"/>
      <c r="J112" s="328">
        <f>H112/DAY(B2)</f>
        <v>75.930000000000291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'8'!F113</f>
        <v>78192.23</v>
      </c>
      <c r="F113" s="237">
        <v>78681.5</v>
      </c>
      <c r="G113" s="112">
        <f t="shared" si="9"/>
        <v>489.27000000000407</v>
      </c>
      <c r="H113" s="99">
        <f>G113+'8'!H113</f>
        <v>4425.8999999999942</v>
      </c>
      <c r="I113" s="165"/>
      <c r="J113" s="328">
        <f>H113/DAY(B2)</f>
        <v>491.76666666666603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'8'!F114</f>
        <v>52527.14</v>
      </c>
      <c r="F114" s="237">
        <v>52782.6</v>
      </c>
      <c r="G114" s="112">
        <f t="shared" si="9"/>
        <v>255.45999999999913</v>
      </c>
      <c r="H114" s="99">
        <f>G114+'8'!H114</f>
        <v>2519.5999999999985</v>
      </c>
      <c r="I114" s="165"/>
      <c r="J114" s="328">
        <f>H114/DAY(B2)</f>
        <v>279.95555555555541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'8'!F115</f>
        <v>10003.74</v>
      </c>
      <c r="F115" s="237">
        <v>10029.59</v>
      </c>
      <c r="G115" s="112">
        <f t="shared" si="9"/>
        <v>25.850000000000364</v>
      </c>
      <c r="H115" s="99">
        <f>G115+'8'!H115</f>
        <v>201.07999999999993</v>
      </c>
      <c r="I115" s="165"/>
      <c r="J115" s="328">
        <f>H115/DAY(B2)</f>
        <v>22.342222222222215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'8'!F116</f>
        <v>26203.65</v>
      </c>
      <c r="F116" s="237">
        <v>26589.91</v>
      </c>
      <c r="G116" s="112">
        <f t="shared" si="9"/>
        <v>386.2599999999984</v>
      </c>
      <c r="H116" s="99">
        <f>G116+'8'!H116</f>
        <v>3805.2900000000009</v>
      </c>
      <c r="I116" s="165"/>
      <c r="J116" s="328">
        <f>H116/DAY(B2)</f>
        <v>422.81000000000012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406">
        <f>'8'!F117</f>
        <v>15320.8</v>
      </c>
      <c r="F117" s="417">
        <v>15485.79</v>
      </c>
      <c r="G117" s="236">
        <f t="shared" si="9"/>
        <v>164.9900000000016</v>
      </c>
      <c r="H117" s="99">
        <f>G117+'8'!H117</f>
        <v>1872.6170000000002</v>
      </c>
      <c r="I117" s="165"/>
      <c r="J117" s="328">
        <f>H117/DAY(B2)</f>
        <v>208.06855555555558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406">
        <f>'8'!F118</f>
        <v>284509.23</v>
      </c>
      <c r="F118" s="417">
        <v>285050</v>
      </c>
      <c r="G118" s="236">
        <f t="shared" si="9"/>
        <v>540.77000000001863</v>
      </c>
      <c r="H118" s="99">
        <f>G118+'8'!H118</f>
        <v>4829.0300000000279</v>
      </c>
      <c r="I118" s="165"/>
      <c r="J118" s="328">
        <f>H118/DAY(B2)</f>
        <v>536.55888888889194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406">
        <f>'8'!F119</f>
        <v>286637</v>
      </c>
      <c r="F119" s="417">
        <v>287065.46999999997</v>
      </c>
      <c r="G119" s="236">
        <f t="shared" si="9"/>
        <v>428.46999999997206</v>
      </c>
      <c r="H119" s="99">
        <f>G119+'8'!H119</f>
        <v>3968.0799999999581</v>
      </c>
      <c r="I119" s="165"/>
      <c r="J119" s="328">
        <f>H119/DAY(B2)</f>
        <v>440.89777777777311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'8'!F120</f>
        <v>71041.64</v>
      </c>
      <c r="F120" s="237">
        <v>71440.38</v>
      </c>
      <c r="G120" s="112">
        <f t="shared" si="9"/>
        <v>398.74000000000524</v>
      </c>
      <c r="H120" s="99">
        <f>G120+'8'!H120</f>
        <v>3715.6200000000099</v>
      </c>
      <c r="I120" s="165"/>
      <c r="J120" s="328">
        <f>H120/DAY(B2)</f>
        <v>412.84666666666777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'8'!F121</f>
        <v>449107.23</v>
      </c>
      <c r="F121" s="237">
        <v>449935.11</v>
      </c>
      <c r="G121" s="112">
        <f t="shared" si="9"/>
        <v>827.88000000000466</v>
      </c>
      <c r="H121" s="99">
        <f>G121+'8'!H121</f>
        <v>7216.8399999999674</v>
      </c>
      <c r="I121" s="165"/>
      <c r="J121" s="328">
        <f>H121/DAY(B2)</f>
        <v>801.87111111110744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'8'!F122</f>
        <v>141066.32999999999</v>
      </c>
      <c r="F122" s="237">
        <v>141276.63</v>
      </c>
      <c r="G122" s="112">
        <f t="shared" si="9"/>
        <v>210.30000000001746</v>
      </c>
      <c r="H122" s="99">
        <f>G122+'8'!H122</f>
        <v>1968.4899999999907</v>
      </c>
      <c r="I122" s="165"/>
      <c r="J122" s="328">
        <f>H122/DAY(B2)</f>
        <v>218.72111111111008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'8'!F123</f>
        <v>171502.39</v>
      </c>
      <c r="F123" s="237">
        <v>171770.71</v>
      </c>
      <c r="G123" s="112">
        <f t="shared" si="9"/>
        <v>268.31999999997788</v>
      </c>
      <c r="H123" s="99">
        <f>G123+'8'!H123</f>
        <v>2328.7099999999919</v>
      </c>
      <c r="I123" s="165"/>
      <c r="J123" s="328">
        <f>H123/DAY(B2)</f>
        <v>258.74555555555463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4033.1100000000024</v>
      </c>
      <c r="H125" s="156"/>
      <c r="I125" s="327">
        <f>G125-(G39+G53)</f>
        <v>839.34000000004198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'8'!F128</f>
        <v>72155.19</v>
      </c>
      <c r="F128" s="155">
        <v>72614.789999999994</v>
      </c>
      <c r="G128" s="112">
        <f t="shared" ref="G128:G134" si="10">F128-E128</f>
        <v>459.59999999999127</v>
      </c>
      <c r="H128" s="99">
        <f>G128+'8'!H128</f>
        <v>3698.5499999999884</v>
      </c>
      <c r="I128" s="165"/>
      <c r="J128" s="328">
        <f>H128/DAY(B2)</f>
        <v>410.94999999999868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44475.82</v>
      </c>
      <c r="F129" s="155">
        <v>44759.3</v>
      </c>
      <c r="G129" s="112">
        <f t="shared" si="10"/>
        <v>283.4800000000032</v>
      </c>
      <c r="H129" s="99">
        <f>G129+'8'!H129</f>
        <v>2648.25</v>
      </c>
      <c r="I129" s="165"/>
      <c r="J129" s="328">
        <f>H129/DAY(B2)</f>
        <v>294.25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81262.070000000007</v>
      </c>
      <c r="F130" s="155">
        <v>81940.91</v>
      </c>
      <c r="G130" s="112">
        <f t="shared" si="10"/>
        <v>678.83999999999651</v>
      </c>
      <c r="H130" s="99">
        <f>G130+'8'!H130</f>
        <v>6278.9600000000064</v>
      </c>
      <c r="I130" s="165"/>
      <c r="J130" s="328">
        <f>H130/DAY(B2)</f>
        <v>697.66222222222291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'8'!F131</f>
        <v>25977.33</v>
      </c>
      <c r="F131" s="155">
        <v>26164.37</v>
      </c>
      <c r="G131" s="112">
        <f t="shared" si="10"/>
        <v>187.03999999999724</v>
      </c>
      <c r="H131" s="99">
        <f>G131+'8'!H131</f>
        <v>1731.869999999999</v>
      </c>
      <c r="I131" s="165"/>
      <c r="J131" s="328">
        <f>H131/DAY(B2)</f>
        <v>192.42999999999989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'8'!F132</f>
        <v>79101.61</v>
      </c>
      <c r="F132" s="155">
        <v>79532.990000000005</v>
      </c>
      <c r="G132" s="112">
        <f t="shared" si="10"/>
        <v>431.38000000000466</v>
      </c>
      <c r="H132" s="99">
        <f>G132+'8'!H132</f>
        <v>3865.4900000000052</v>
      </c>
      <c r="I132" s="165"/>
      <c r="J132" s="328">
        <f>H132/DAY(B2)</f>
        <v>429.4988888888895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'8'!F133</f>
        <v>152351.82</v>
      </c>
      <c r="F133" s="155">
        <v>153360.76</v>
      </c>
      <c r="G133" s="112">
        <f t="shared" si="10"/>
        <v>1008.9400000000023</v>
      </c>
      <c r="H133" s="99">
        <f>G133+'8'!H133</f>
        <v>7978.7700000000186</v>
      </c>
      <c r="I133" s="165"/>
      <c r="J133" s="328">
        <f>H133/DAY(B2)</f>
        <v>886.53000000000202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'8'!F134</f>
        <v>22730.959999999999</v>
      </c>
      <c r="F134" s="155">
        <v>22968.6</v>
      </c>
      <c r="G134" s="112">
        <f t="shared" si="10"/>
        <v>237.63999999999942</v>
      </c>
      <c r="H134" s="99">
        <f>G134+'8'!H134</f>
        <v>2175.9199999999983</v>
      </c>
      <c r="I134" s="165"/>
      <c r="J134" s="328">
        <f>H134/DAY(B2)</f>
        <v>241.76888888888868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3286.9199999999946</v>
      </c>
      <c r="H135" s="99">
        <f>G135+'8'!H135</f>
        <v>28377.810000000016</v>
      </c>
      <c r="I135" s="327">
        <f>G135-(G35+G49)</f>
        <v>-825.18999999999141</v>
      </c>
      <c r="J135" s="328">
        <f>H135/DAY(B2)</f>
        <v>3153.090000000002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'8'!F138</f>
        <v>875424</v>
      </c>
      <c r="F138" s="147">
        <v>875588</v>
      </c>
      <c r="G138" s="112">
        <f t="shared" ref="G138:G152" si="11">F138-E138</f>
        <v>164</v>
      </c>
      <c r="H138" s="99">
        <f>G138+'8'!H138</f>
        <v>1587</v>
      </c>
      <c r="I138" s="118"/>
      <c r="J138" s="328">
        <f>H138/DAY(B2)</f>
        <v>176.33333333333334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'8'!F139</f>
        <v>891495</v>
      </c>
      <c r="F139" s="148">
        <v>891662</v>
      </c>
      <c r="G139" s="112">
        <f t="shared" si="11"/>
        <v>167</v>
      </c>
      <c r="H139" s="99">
        <f>G139+'8'!H139</f>
        <v>1344</v>
      </c>
      <c r="I139" s="118"/>
      <c r="J139" s="328">
        <f>H139/DAY(B2)</f>
        <v>149.33333333333334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'8'!F140</f>
        <v>89006.8</v>
      </c>
      <c r="F140" s="149">
        <v>89008.6</v>
      </c>
      <c r="G140" s="112">
        <f t="shared" si="11"/>
        <v>1.8000000000029104</v>
      </c>
      <c r="H140" s="99">
        <f>G140+'8'!H140</f>
        <v>18.600000000005821</v>
      </c>
      <c r="I140" s="118"/>
      <c r="J140" s="328">
        <f>H140/DAY(B2)</f>
        <v>2.0666666666673135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'8'!F141</f>
        <v>67351.91</v>
      </c>
      <c r="F141" s="149">
        <v>67556.399999999994</v>
      </c>
      <c r="G141" s="112">
        <f t="shared" si="11"/>
        <v>204.48999999999069</v>
      </c>
      <c r="H141" s="99">
        <f>G141+'8'!H141</f>
        <v>1772.8699999999953</v>
      </c>
      <c r="I141" s="118"/>
      <c r="J141" s="328">
        <f>H141/DAY(B2)</f>
        <v>196.98555555555504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'8'!F142</f>
        <v>26098.3</v>
      </c>
      <c r="F142" s="148">
        <v>26159.7</v>
      </c>
      <c r="G142" s="112">
        <f t="shared" si="11"/>
        <v>61.400000000001455</v>
      </c>
      <c r="H142" s="99">
        <f>G142+'8'!H142</f>
        <v>663.29999999999927</v>
      </c>
      <c r="I142" s="140"/>
      <c r="J142" s="328">
        <f>H142/DAY(B2)</f>
        <v>73.699999999999918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'8'!F143</f>
        <v>5777.57</v>
      </c>
      <c r="F143" s="149">
        <v>5807.2</v>
      </c>
      <c r="G143" s="112">
        <f t="shared" si="11"/>
        <v>29.630000000000109</v>
      </c>
      <c r="H143" s="99">
        <f>G143+'8'!H143</f>
        <v>246.48999999999978</v>
      </c>
      <c r="I143" s="140"/>
      <c r="J143" s="328">
        <f>H143/DAY(B2)</f>
        <v>27.387777777777753</v>
      </c>
    </row>
    <row r="144" spans="1:15" ht="25.5">
      <c r="A144" s="906" t="s">
        <v>90</v>
      </c>
      <c r="B144" s="906"/>
      <c r="C144" s="906"/>
      <c r="D144" s="151" t="s">
        <v>183</v>
      </c>
      <c r="E144" s="406">
        <f>'8'!F144</f>
        <v>891874</v>
      </c>
      <c r="F144" s="148">
        <v>892114</v>
      </c>
      <c r="G144" s="112">
        <f t="shared" si="11"/>
        <v>240</v>
      </c>
      <c r="H144" s="99">
        <f>G144+'8'!H144</f>
        <v>2280</v>
      </c>
      <c r="I144" s="140"/>
      <c r="J144" s="328">
        <f>H144/DAY(B2)</f>
        <v>253.33333333333334</v>
      </c>
    </row>
    <row r="145" spans="1:10" ht="25.5">
      <c r="A145" s="902" t="s">
        <v>190</v>
      </c>
      <c r="B145" s="902"/>
      <c r="C145" s="902"/>
      <c r="D145" s="152" t="s">
        <v>183</v>
      </c>
      <c r="E145" s="406">
        <f>'8'!F145</f>
        <v>5566.77</v>
      </c>
      <c r="F145" s="148">
        <v>5570.35</v>
      </c>
      <c r="G145" s="112">
        <f t="shared" si="11"/>
        <v>3.5799999999999272</v>
      </c>
      <c r="H145" s="99">
        <f>G145+'8'!H145</f>
        <v>13.950000000000728</v>
      </c>
      <c r="I145" s="140"/>
      <c r="J145" s="328">
        <f>H145/DAY(B2)</f>
        <v>1.5500000000000809</v>
      </c>
    </row>
    <row r="146" spans="1:10" ht="25.5">
      <c r="A146" s="903" t="s">
        <v>191</v>
      </c>
      <c r="B146" s="904"/>
      <c r="C146" s="905"/>
      <c r="D146" s="152" t="s">
        <v>183</v>
      </c>
      <c r="E146" s="406">
        <f>'8'!F146</f>
        <v>768422</v>
      </c>
      <c r="F146" s="148">
        <v>768929</v>
      </c>
      <c r="G146" s="112">
        <f t="shared" si="11"/>
        <v>507</v>
      </c>
      <c r="H146" s="99">
        <f>G146+'8'!H146</f>
        <v>4603</v>
      </c>
      <c r="I146" s="140"/>
      <c r="J146" s="328">
        <f>H146/DAY(B2)</f>
        <v>511.44444444444446</v>
      </c>
    </row>
    <row r="147" spans="1:10" ht="25.5">
      <c r="A147" s="906" t="s">
        <v>192</v>
      </c>
      <c r="B147" s="906"/>
      <c r="C147" s="906"/>
      <c r="D147" s="152" t="s">
        <v>183</v>
      </c>
      <c r="E147" s="406">
        <f>'8'!F147</f>
        <v>653765.24</v>
      </c>
      <c r="F147" s="148">
        <v>654200.52</v>
      </c>
      <c r="G147" s="112">
        <f t="shared" si="11"/>
        <v>435.28000000002794</v>
      </c>
      <c r="H147" s="99">
        <f>G147+'8'!H147</f>
        <v>4016.5200000000186</v>
      </c>
      <c r="I147" s="140"/>
      <c r="J147" s="328">
        <f>H147/DAY(B2)</f>
        <v>446.28000000000208</v>
      </c>
    </row>
    <row r="148" spans="1:10" ht="25.5">
      <c r="A148" s="898" t="s">
        <v>193</v>
      </c>
      <c r="B148" s="899"/>
      <c r="C148" s="900"/>
      <c r="D148" s="123" t="s">
        <v>130</v>
      </c>
      <c r="E148" s="406">
        <f>'8'!F148</f>
        <v>711705.84</v>
      </c>
      <c r="F148" s="164">
        <v>712019.12</v>
      </c>
      <c r="G148" s="112">
        <f t="shared" si="11"/>
        <v>313.28000000002794</v>
      </c>
      <c r="H148" s="99">
        <f>G148+'8'!H148</f>
        <v>3154.4399999999441</v>
      </c>
      <c r="I148" s="124"/>
      <c r="J148" s="328">
        <f>H148/DAY(B2)</f>
        <v>350.49333333332714</v>
      </c>
    </row>
    <row r="149" spans="1:10" ht="25.5">
      <c r="A149" s="898" t="s">
        <v>336</v>
      </c>
      <c r="B149" s="899"/>
      <c r="C149" s="900"/>
      <c r="D149" s="227" t="s">
        <v>130</v>
      </c>
      <c r="E149" s="406">
        <f>'8'!F149</f>
        <v>69026.039999999994</v>
      </c>
      <c r="F149" s="416">
        <v>69685.94</v>
      </c>
      <c r="G149" s="112">
        <f t="shared" si="11"/>
        <v>659.90000000000873</v>
      </c>
      <c r="H149" s="99">
        <f>G149+'8'!H149</f>
        <v>6462.1399999999994</v>
      </c>
      <c r="I149" s="119"/>
      <c r="J149" s="328">
        <f>H149/DAY(B2)</f>
        <v>718.01555555555547</v>
      </c>
    </row>
    <row r="150" spans="1:10" ht="25.5">
      <c r="A150" s="898" t="s">
        <v>337</v>
      </c>
      <c r="B150" s="899"/>
      <c r="C150" s="900"/>
      <c r="D150" s="117" t="s">
        <v>130</v>
      </c>
      <c r="E150" s="406">
        <f>'8'!F150</f>
        <v>25737.33</v>
      </c>
      <c r="F150" s="233">
        <v>25959.47</v>
      </c>
      <c r="G150" s="112">
        <f t="shared" si="11"/>
        <v>222.13999999999942</v>
      </c>
      <c r="H150" s="99">
        <f>G150+'8'!H150</f>
        <v>2003.6800000000003</v>
      </c>
      <c r="I150" s="119"/>
      <c r="J150" s="328">
        <f>H150/DAY(B2)</f>
        <v>222.63111111111115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'8'!F151</f>
        <v>102869</v>
      </c>
      <c r="F151" s="233">
        <v>103153</v>
      </c>
      <c r="G151" s="112">
        <f t="shared" si="11"/>
        <v>284</v>
      </c>
      <c r="H151" s="99">
        <f>G151+'8'!H151</f>
        <v>2542</v>
      </c>
      <c r="I151" s="119"/>
      <c r="J151" s="328">
        <f>H151/DAY(B2)</f>
        <v>282.44444444444446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'8'!F152</f>
        <v>9076.56</v>
      </c>
      <c r="F152" s="233">
        <v>9176.34</v>
      </c>
      <c r="G152" s="112">
        <f t="shared" si="11"/>
        <v>99.780000000000655</v>
      </c>
      <c r="H152" s="99">
        <f>G152+'8'!H152</f>
        <v>1107.2799999999997</v>
      </c>
      <c r="I152" s="119"/>
      <c r="J152" s="328">
        <f>H152/DAY(B2)</f>
        <v>123.03111111111109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3393.2800000000598</v>
      </c>
      <c r="H153" s="363"/>
      <c r="I153" s="119">
        <f>G153-(G38+G52)</f>
        <v>878.8800000000565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'8'!F155</f>
        <v>78037.429999999993</v>
      </c>
      <c r="F155" s="374">
        <v>78716.42</v>
      </c>
      <c r="G155" s="112">
        <f t="shared" ref="G155:G158" si="12">F155-E155</f>
        <v>678.99000000000524</v>
      </c>
      <c r="H155" s="99">
        <f>G155+'8'!H155</f>
        <v>5945.9199999999983</v>
      </c>
      <c r="I155" s="364"/>
      <c r="J155" s="328">
        <f>H155/DAY(B2)</f>
        <v>660.6577777777776</v>
      </c>
    </row>
    <row r="156" spans="1:10" ht="25.5">
      <c r="A156" s="906" t="s">
        <v>346</v>
      </c>
      <c r="B156" s="906"/>
      <c r="C156" s="906"/>
      <c r="D156" s="117" t="s">
        <v>130</v>
      </c>
      <c r="E156" s="95">
        <f>'8'!F156</f>
        <v>6486.65</v>
      </c>
      <c r="F156" s="155">
        <v>6537</v>
      </c>
      <c r="G156" s="112">
        <f t="shared" si="12"/>
        <v>50.350000000000364</v>
      </c>
      <c r="H156" s="99">
        <f>G156+'8'!H156</f>
        <v>479.75</v>
      </c>
      <c r="I156" s="165"/>
      <c r="J156" s="328">
        <f>H156/DAY(B2)</f>
        <v>53.305555555555557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'8'!F157</f>
        <v>11111.11</v>
      </c>
      <c r="F157" s="155">
        <v>11212.94</v>
      </c>
      <c r="G157" s="112">
        <f t="shared" si="12"/>
        <v>101.82999999999993</v>
      </c>
      <c r="H157" s="99"/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f>'8'!F158</f>
        <v>91.71</v>
      </c>
      <c r="F158" s="155">
        <v>92</v>
      </c>
      <c r="G158" s="112">
        <f t="shared" si="12"/>
        <v>0.29000000000000625</v>
      </c>
      <c r="H158" s="99"/>
      <c r="I158" s="165"/>
      <c r="J158" s="328"/>
    </row>
    <row r="159" spans="1:10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473841.44</v>
      </c>
      <c r="F161" s="235">
        <v>473841.44</v>
      </c>
      <c r="G161" s="238">
        <f t="shared" ref="G161:G166" si="13">F161-E161</f>
        <v>0</v>
      </c>
      <c r="H161" s="99">
        <f>G161+'8'!H161</f>
        <v>0.71000000002095476</v>
      </c>
      <c r="I161" s="236"/>
      <c r="J161" s="239">
        <f>H161/DAY(B2)</f>
        <v>7.8888888891217201E-2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90733.8</v>
      </c>
      <c r="F162" s="235">
        <v>90760.6</v>
      </c>
      <c r="G162" s="238">
        <f t="shared" si="13"/>
        <v>26.80000000000291</v>
      </c>
      <c r="H162" s="99">
        <f>G162+'8'!H162</f>
        <v>307.70000000001164</v>
      </c>
      <c r="I162" s="236"/>
      <c r="J162" s="239">
        <f>H162/DAY(B2)</f>
        <v>34.188888888890183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88517.1</v>
      </c>
      <c r="F163" s="235">
        <v>88678.2</v>
      </c>
      <c r="G163" s="238">
        <f t="shared" si="13"/>
        <v>161.09999999999127</v>
      </c>
      <c r="H163" s="99">
        <f>G163+'8'!H163</f>
        <v>1599.3999999999942</v>
      </c>
      <c r="I163" s="236"/>
      <c r="J163" s="239">
        <f>H163/DAY(B2)</f>
        <v>177.71111111111045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4927.5</v>
      </c>
      <c r="F164" s="235">
        <v>4940.5</v>
      </c>
      <c r="G164" s="238">
        <f t="shared" si="13"/>
        <v>13</v>
      </c>
      <c r="H164" s="99">
        <f>G164+'8'!H164</f>
        <v>128.10000000000036</v>
      </c>
      <c r="I164" s="236"/>
      <c r="J164" s="239">
        <f>H164/DAY(B2)</f>
        <v>14.233333333333373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30413.5</v>
      </c>
      <c r="F165" s="235">
        <v>30415.87</v>
      </c>
      <c r="G165" s="238">
        <f t="shared" si="13"/>
        <v>2.3699999999989814</v>
      </c>
      <c r="H165" s="99">
        <f>G165+'8'!H165</f>
        <v>60.360000000000582</v>
      </c>
      <c r="I165" s="236"/>
      <c r="J165" s="239">
        <f>H165/DAY(B2)</f>
        <v>6.7066666666667309</v>
      </c>
    </row>
    <row r="166" spans="1:10" ht="26.25">
      <c r="A166" s="938"/>
      <c r="B166" s="938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'8'!F173</f>
        <v>8265</v>
      </c>
      <c r="F173" s="155">
        <v>8265</v>
      </c>
      <c r="G173" s="155">
        <f>F173-E173</f>
        <v>0</v>
      </c>
      <c r="H173" s="99">
        <f>G173+'8'!H173</f>
        <v>1</v>
      </c>
      <c r="I173" s="155"/>
      <c r="J173" s="178">
        <f>H173/DAY(B2)</f>
        <v>0.1111111111111111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'8'!F174</f>
        <v>39579</v>
      </c>
      <c r="F174" s="157">
        <v>39593</v>
      </c>
      <c r="G174" s="155">
        <f t="shared" ref="G174:G175" si="14">F174-E174</f>
        <v>14</v>
      </c>
      <c r="H174" s="99">
        <f>G174+'8'!H174</f>
        <v>131</v>
      </c>
      <c r="I174" s="155"/>
      <c r="J174" s="178">
        <f>H174/DAY(B2)</f>
        <v>14.555555555555555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'8'!F175</f>
        <v>22621</v>
      </c>
      <c r="F175" s="155">
        <v>22634</v>
      </c>
      <c r="G175" s="155">
        <f t="shared" si="14"/>
        <v>13</v>
      </c>
      <c r="H175" s="99">
        <f>G175+'8'!H175</f>
        <v>112</v>
      </c>
      <c r="I175" s="155"/>
      <c r="J175" s="178">
        <f>H175/DAY(B2)</f>
        <v>12.444444444444445</v>
      </c>
    </row>
    <row r="176" spans="1:10" ht="25.5">
      <c r="A176" s="935" t="s">
        <v>196</v>
      </c>
      <c r="B176" s="93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244</v>
      </c>
      <c r="I176" s="155"/>
      <c r="J176" s="178">
        <f>H176/DAY(B2)</f>
        <v>27.111111111111111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'8'!F178</f>
        <v>86358</v>
      </c>
      <c r="F178" s="155">
        <v>86468</v>
      </c>
      <c r="G178" s="155">
        <f>F178-E178</f>
        <v>110</v>
      </c>
      <c r="H178" s="99">
        <f>G178+'8'!H178</f>
        <v>852</v>
      </c>
      <c r="I178" s="155"/>
      <c r="J178" s="178">
        <f>H178/DAY(B2)</f>
        <v>94.666666666666671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'8'!F179</f>
        <v>35710</v>
      </c>
      <c r="F179" s="155">
        <v>35710</v>
      </c>
      <c r="G179" s="155">
        <f t="shared" ref="G179:G180" si="15">F179-E179</f>
        <v>0</v>
      </c>
      <c r="H179" s="99">
        <f>G179+'8'!H179</f>
        <v>96</v>
      </c>
      <c r="I179" s="155"/>
      <c r="J179" s="178">
        <f>H179/DAY(B2)</f>
        <v>10.666666666666666</v>
      </c>
    </row>
    <row r="180" spans="1:10" ht="31.5" customHeight="1">
      <c r="A180" s="896" t="s">
        <v>212</v>
      </c>
      <c r="B180" s="897"/>
      <c r="C180" s="333"/>
      <c r="D180" s="228" t="s">
        <v>142</v>
      </c>
      <c r="E180" s="95">
        <f>'8'!F180</f>
        <v>6197</v>
      </c>
      <c r="F180" s="155">
        <v>6215</v>
      </c>
      <c r="G180" s="155">
        <f t="shared" si="15"/>
        <v>18</v>
      </c>
      <c r="H180" s="99">
        <f>G180+'8'!H180</f>
        <v>82</v>
      </c>
      <c r="I180" s="155"/>
      <c r="J180" s="178">
        <f>H180/DAY(B2)</f>
        <v>9.1111111111111107</v>
      </c>
    </row>
    <row r="181" spans="1:10" ht="25.5">
      <c r="A181" s="942" t="s">
        <v>108</v>
      </c>
      <c r="B181" s="943"/>
      <c r="C181" s="333"/>
      <c r="D181" s="228" t="s">
        <v>142</v>
      </c>
      <c r="E181" s="95"/>
      <c r="F181" s="155"/>
      <c r="G181" s="155">
        <f>SUM(G178:G180)</f>
        <v>128</v>
      </c>
      <c r="H181" s="99">
        <f>G181+'8'!H181</f>
        <v>1030</v>
      </c>
      <c r="I181" s="155"/>
      <c r="J181" s="178">
        <f>H181/DAY(B2)</f>
        <v>114.44444444444444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'8'!F183</f>
        <v>16285</v>
      </c>
      <c r="F183" s="157">
        <v>16309</v>
      </c>
      <c r="G183" s="157">
        <f>F183-E183</f>
        <v>24</v>
      </c>
      <c r="H183" s="99">
        <f>G183+'8'!H183</f>
        <v>167</v>
      </c>
      <c r="I183" s="155"/>
      <c r="J183" s="178">
        <f>H183/DAY(B2)</f>
        <v>18.555555555555557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'8'!F184</f>
        <v>11102</v>
      </c>
      <c r="F184" s="157">
        <v>11114</v>
      </c>
      <c r="G184" s="157">
        <f t="shared" ref="G184:G185" si="16">F184-E184</f>
        <v>12</v>
      </c>
      <c r="H184" s="99">
        <f>G184+'8'!H184</f>
        <v>65</v>
      </c>
      <c r="I184" s="155"/>
      <c r="J184" s="178">
        <f>H184/DAY(B2)</f>
        <v>7.2222222222222223</v>
      </c>
    </row>
    <row r="185" spans="1:10" ht="35.25" customHeight="1">
      <c r="A185" s="896" t="s">
        <v>216</v>
      </c>
      <c r="B185" s="89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5" t="s">
        <v>196</v>
      </c>
      <c r="B186" s="936"/>
      <c r="C186" s="334"/>
      <c r="D186" s="228" t="s">
        <v>142</v>
      </c>
      <c r="E186" s="95"/>
      <c r="F186" s="157"/>
      <c r="G186" s="157">
        <f>SUM(G183:G185)</f>
        <v>36</v>
      </c>
      <c r="H186" s="99">
        <f>G186+'8'!H186</f>
        <v>232</v>
      </c>
      <c r="I186" s="157"/>
      <c r="J186" s="178">
        <f>H186/DAY(B2)</f>
        <v>25.777777777777779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222</v>
      </c>
      <c r="H187" s="99">
        <f>G187+'8'!H187</f>
        <v>2030</v>
      </c>
      <c r="I187" s="158"/>
      <c r="J187" s="179">
        <f>H187/DAY(B2)</f>
        <v>225.55555555555554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221</v>
      </c>
      <c r="H188" s="99">
        <f>G188+'8'!H188</f>
        <v>2024</v>
      </c>
      <c r="I188" s="158"/>
      <c r="J188" s="179">
        <f>H188/DAY(B2)</f>
        <v>224.88888888888889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128</v>
      </c>
      <c r="H189" s="99">
        <f>G189+'8'!H189</f>
        <v>1030</v>
      </c>
      <c r="I189" s="158"/>
      <c r="J189" s="179">
        <f>H189/DAY(B2)</f>
        <v>114.44444444444444</v>
      </c>
    </row>
    <row r="190" spans="1:10" ht="29.25" customHeight="1">
      <c r="A190" s="940"/>
      <c r="B190" s="94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69" zoomScale="55" zoomScaleNormal="55" zoomScaleSheetLayoutView="55" workbookViewId="0">
      <selection activeCell="G187" sqref="G187:G18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349</v>
      </c>
      <c r="B2" s="262">
        <v>44661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234223</v>
      </c>
      <c r="F7" s="95">
        <v>264604</v>
      </c>
      <c r="G7" s="112">
        <f>F7-E7</f>
        <v>30381</v>
      </c>
      <c r="H7" s="99">
        <f>G7+'9'!H7</f>
        <v>277881</v>
      </c>
      <c r="I7" s="113">
        <f>'1'!I7</f>
        <v>12000</v>
      </c>
      <c r="J7" s="175">
        <f>H7/DAY(B2)</f>
        <v>27788.1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309923.65000000002</v>
      </c>
      <c r="F8" s="114">
        <v>341095.5</v>
      </c>
      <c r="G8" s="115">
        <f>F8-E8</f>
        <v>31171.849999999977</v>
      </c>
      <c r="H8" s="99">
        <f>G8+'9'!H8</f>
        <v>283049.28000000003</v>
      </c>
      <c r="I8" s="116"/>
      <c r="J8" s="175">
        <f>H8/DAY(B2)</f>
        <v>28304.928000000004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1446644.1</v>
      </c>
      <c r="F9" s="470">
        <v>1467244.1</v>
      </c>
      <c r="G9" s="112">
        <f>F9-E9</f>
        <v>20600</v>
      </c>
      <c r="H9" s="99">
        <f>G9+'9'!H9</f>
        <v>199569.10000000009</v>
      </c>
      <c r="I9" s="124">
        <f>I7-J7</f>
        <v>-15788.099999999999</v>
      </c>
      <c r="J9" s="175">
        <f>H9/DAY(B2)</f>
        <v>19956.910000000011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479837.27</v>
      </c>
      <c r="F10" s="117">
        <v>488777.07</v>
      </c>
      <c r="G10" s="112">
        <f t="shared" ref="G10:G12" si="0">F10-E10</f>
        <v>8939.7999999999884</v>
      </c>
      <c r="H10" s="99">
        <f>G10+'9'!H10</f>
        <v>70501.600000000035</v>
      </c>
      <c r="I10" s="282"/>
      <c r="J10" s="175">
        <f>H10/DAY(B2)</f>
        <v>7050.1600000000035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29539.799999999988</v>
      </c>
      <c r="H13" s="99">
        <f>G13+'9'!H13</f>
        <v>270071.1700000001</v>
      </c>
      <c r="I13" s="120">
        <f>G7-G13</f>
        <v>841.20000000001164</v>
      </c>
      <c r="J13" s="175">
        <f>H13/DAY(B2)</f>
        <v>27007.117000000009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1980761.6129999999</v>
      </c>
      <c r="F15" s="470">
        <v>1981849</v>
      </c>
      <c r="G15" s="112">
        <f>(F15-E15)</f>
        <v>1087.3870000001043</v>
      </c>
      <c r="H15" s="99">
        <f>G15+'9'!H15</f>
        <v>10912</v>
      </c>
      <c r="I15" s="113">
        <f>'1'!I15</f>
        <v>800</v>
      </c>
      <c r="J15" s="175">
        <f>H15/DAY(B2)</f>
        <v>1091.2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-291.20000000000005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'9'!F18</f>
        <v>29</v>
      </c>
      <c r="F18" s="404">
        <v>31</v>
      </c>
      <c r="G18" s="119">
        <f>F18*10</f>
        <v>310</v>
      </c>
      <c r="H18" s="99">
        <f>G18+'9'!H18</f>
        <v>2570</v>
      </c>
      <c r="I18" s="113">
        <f>'1'!I18</f>
        <v>65</v>
      </c>
      <c r="J18" s="175">
        <f>H18/DAY(B2)</f>
        <v>257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'9'!F19</f>
        <v>157407</v>
      </c>
      <c r="F19" s="122">
        <v>157453</v>
      </c>
      <c r="G19" s="112">
        <f t="shared" ref="G19" si="1">F19-E19</f>
        <v>46</v>
      </c>
      <c r="H19" s="99">
        <f>G19+'9'!H19</f>
        <v>464</v>
      </c>
      <c r="I19" s="335"/>
      <c r="J19" s="175">
        <f>H19/DAY(B2)</f>
        <v>46.4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G20+'9'!H20</f>
        <v>3034</v>
      </c>
      <c r="I20" s="336">
        <f>I18-J20</f>
        <v>-238.39999999999998</v>
      </c>
      <c r="J20" s="175">
        <f>H20/DAY(B2)</f>
        <v>303.39999999999998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31171.849999999977</v>
      </c>
      <c r="F27" s="136">
        <v>9</v>
      </c>
      <c r="G27" s="137">
        <f>E27*F27</f>
        <v>280546.64999999979</v>
      </c>
      <c r="H27" s="99">
        <f>G27+'9'!H27</f>
        <v>2547443.52</v>
      </c>
      <c r="I27" s="138"/>
      <c r="J27" s="175">
        <f>H27/DAY(B2)</f>
        <v>254744.35200000001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1087.3870000001043</v>
      </c>
      <c r="F28" s="136">
        <v>52</v>
      </c>
      <c r="G28" s="137">
        <f>E28*F28</f>
        <v>56544.124000005424</v>
      </c>
      <c r="H28" s="99">
        <f>G28+'9'!H28</f>
        <v>724640.13999999966</v>
      </c>
      <c r="I28" s="140"/>
      <c r="J28" s="175">
        <f>H28/DAY(B2)</f>
        <v>72464.013999999966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146</v>
      </c>
      <c r="G30" s="137">
        <f>E30*F30</f>
        <v>6716</v>
      </c>
      <c r="H30" s="99">
        <f>G30+'9'!H30</f>
        <v>69649</v>
      </c>
      <c r="I30" s="140"/>
      <c r="J30" s="175">
        <f>H30/DAY(B2)</f>
        <v>6964.9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G31+'9'!H31</f>
        <v>205600</v>
      </c>
      <c r="I31" s="140"/>
      <c r="J31" s="175">
        <f>H31/DAY(B2)</f>
        <v>20560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368606.77400000521</v>
      </c>
      <c r="H32" s="99">
        <f>G32+'9'!H32</f>
        <v>3547332.6599999997</v>
      </c>
      <c r="I32" s="144"/>
      <c r="J32" s="175">
        <f>H32/DAY(B2)</f>
        <v>354733.26599999995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157510.82999999999</v>
      </c>
      <c r="F35" s="145">
        <v>159832.34</v>
      </c>
      <c r="G35" s="112">
        <f t="shared" ref="G35:G46" si="3">F35-E35</f>
        <v>2321.5100000000093</v>
      </c>
      <c r="H35" s="99">
        <f>G35+'9'!H35</f>
        <v>21553.130000000005</v>
      </c>
      <c r="I35" s="95"/>
      <c r="J35" s="175">
        <f>H35/DAY(B2)</f>
        <v>2155.3130000000006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108931.2</v>
      </c>
      <c r="F36" s="145">
        <v>110072.95</v>
      </c>
      <c r="G36" s="112">
        <f t="shared" si="3"/>
        <v>1141.75</v>
      </c>
      <c r="H36" s="99">
        <f>G36+'9'!H36</f>
        <v>9552.2899999999936</v>
      </c>
      <c r="I36" s="95"/>
      <c r="J36" s="175">
        <f>H36/DAY(B2)</f>
        <v>955.22899999999936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147445.78</v>
      </c>
      <c r="F37" s="145">
        <v>149085.45000000001</v>
      </c>
      <c r="G37" s="112">
        <f t="shared" si="3"/>
        <v>1639.6700000000128</v>
      </c>
      <c r="H37" s="99">
        <f>G37+'9'!H37</f>
        <v>16160.430000000022</v>
      </c>
      <c r="I37" s="95"/>
      <c r="J37" s="175">
        <f>H37/DAY(B2)</f>
        <v>1616.0430000000022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193021.49</v>
      </c>
      <c r="F38" s="108">
        <v>195620.31</v>
      </c>
      <c r="G38" s="112">
        <f t="shared" si="3"/>
        <v>2598.820000000007</v>
      </c>
      <c r="H38" s="99">
        <f>G38+'9'!H38</f>
        <v>25510.940000000002</v>
      </c>
      <c r="I38" s="95"/>
      <c r="J38" s="175">
        <f>H38/DAY(B2)</f>
        <v>2551.0940000000001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273778.48</v>
      </c>
      <c r="F39" s="145">
        <v>277140.90000000002</v>
      </c>
      <c r="G39" s="112">
        <f t="shared" si="3"/>
        <v>3362.4200000000419</v>
      </c>
      <c r="H39" s="99">
        <f>G39+'9'!H39</f>
        <v>32987.47000000003</v>
      </c>
      <c r="I39" s="95"/>
      <c r="J39" s="175">
        <f>H39/DAY(B2)</f>
        <v>3298.747000000003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54005.08</v>
      </c>
      <c r="F40" s="145">
        <v>54080.42</v>
      </c>
      <c r="G40" s="112">
        <f t="shared" si="3"/>
        <v>75.339999999996508</v>
      </c>
      <c r="H40" s="99">
        <f>G40+'9'!H40</f>
        <v>4928.5599999999977</v>
      </c>
      <c r="I40" s="95"/>
      <c r="J40" s="175">
        <f>H40/DAY(B2)</f>
        <v>492.85599999999977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62.73</v>
      </c>
      <c r="F41" s="145">
        <v>63</v>
      </c>
      <c r="G41" s="112">
        <f t="shared" si="3"/>
        <v>0.27000000000000313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325961.77</v>
      </c>
      <c r="F42" s="145">
        <v>330522.84999999998</v>
      </c>
      <c r="G42" s="112">
        <f t="shared" si="3"/>
        <v>4561.0799999999581</v>
      </c>
      <c r="H42" s="99">
        <f>G42+'9'!H42</f>
        <v>49165.599999999977</v>
      </c>
      <c r="I42" s="95"/>
      <c r="J42" s="175">
        <f>H42/DAY(B2)</f>
        <v>4916.5599999999977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286383.09000000003</v>
      </c>
      <c r="F43" s="145">
        <v>289995.33</v>
      </c>
      <c r="G43" s="112">
        <f t="shared" si="3"/>
        <v>3612.2399999999907</v>
      </c>
      <c r="H43" s="99">
        <f>G43+'9'!H43</f>
        <v>31240.860000000015</v>
      </c>
      <c r="I43" s="95"/>
      <c r="J43" s="175">
        <f>H43/DAY(B2)</f>
        <v>3124.0860000000016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19313.100000000017</v>
      </c>
      <c r="H47" s="99">
        <f>G47+'9'!H47</f>
        <v>191099.28</v>
      </c>
      <c r="I47" s="95"/>
      <c r="J47" s="175">
        <f>H47/DAY(B2)</f>
        <v>19109.928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126672.94</v>
      </c>
      <c r="F49" s="145">
        <v>128520.91</v>
      </c>
      <c r="G49" s="112">
        <f t="shared" ref="G49:G58" si="4">F49-E49</f>
        <v>1847.9700000000012</v>
      </c>
      <c r="H49" s="99">
        <f>G49+'9'!H49</f>
        <v>18018.710000000006</v>
      </c>
      <c r="I49" s="95"/>
      <c r="J49" s="175">
        <f>H49/DAY(B2)</f>
        <v>1801.8710000000005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143815.4</v>
      </c>
      <c r="F50" s="145">
        <v>145310.85</v>
      </c>
      <c r="G50" s="112">
        <f t="shared" si="4"/>
        <v>1495.4500000000116</v>
      </c>
      <c r="H50" s="99">
        <f>G50+'9'!H50</f>
        <v>14100.709999999992</v>
      </c>
      <c r="I50" s="95"/>
      <c r="J50" s="175">
        <f>H50/DAY(B2)</f>
        <v>1410.0709999999992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40200.5</v>
      </c>
      <c r="F54" s="145">
        <v>40678.26</v>
      </c>
      <c r="G54" s="112">
        <f t="shared" si="4"/>
        <v>477.76000000000204</v>
      </c>
      <c r="H54" s="99">
        <f>G54+'9'!H54</f>
        <v>5007.2000000000044</v>
      </c>
      <c r="I54" s="95"/>
      <c r="J54" s="175">
        <f>H54/DAY(B2)</f>
        <v>500.72000000000043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119326.43</v>
      </c>
      <c r="F55" s="424">
        <v>119326.43</v>
      </c>
      <c r="G55" s="112">
        <f t="shared" si="4"/>
        <v>0</v>
      </c>
      <c r="H55" s="99">
        <f>G55+'9'!H55</f>
        <v>6845.3999999999942</v>
      </c>
      <c r="I55" s="95"/>
      <c r="J55" s="175">
        <f>H55/DAY(B2)</f>
        <v>684.5399999999994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86822.87</v>
      </c>
      <c r="F56" s="424">
        <v>90474.01</v>
      </c>
      <c r="G56" s="112">
        <f t="shared" si="4"/>
        <v>3651.1399999999994</v>
      </c>
      <c r="H56" s="99">
        <f>G56+'9'!H56</f>
        <v>18856.330000000002</v>
      </c>
      <c r="I56" s="95"/>
      <c r="J56" s="175">
        <f>H56/DAY(B2)</f>
        <v>1885.6330000000003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424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20571.689999999999</v>
      </c>
      <c r="F58" s="424">
        <v>20841.45</v>
      </c>
      <c r="G58" s="112">
        <f t="shared" si="4"/>
        <v>269.76000000000204</v>
      </c>
      <c r="H58" s="99">
        <f>G58+'9'!H58</f>
        <v>2387.25</v>
      </c>
      <c r="I58" s="95"/>
      <c r="J58" s="175">
        <f>H58/DAY(B2)</f>
        <v>238.72499999999999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7742.0800000000163</v>
      </c>
      <c r="H59" s="99">
        <f>G59+'9'!H59</f>
        <v>65215.919999999991</v>
      </c>
      <c r="I59" s="95">
        <f>G7-G60</f>
        <v>3325.819999999967</v>
      </c>
      <c r="J59" s="175">
        <f>H59/DAY(B2)</f>
        <v>6521.5919999999987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27055.180000000033</v>
      </c>
      <c r="H60" s="99">
        <f>G60+'9'!H60</f>
        <v>256315.20000000004</v>
      </c>
      <c r="I60" s="95">
        <f>G13-G60</f>
        <v>2484.6199999999553</v>
      </c>
      <c r="J60" s="175">
        <f>H60/DAY(B2)</f>
        <v>25631.520000000004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'9'!F62</f>
        <v>280238</v>
      </c>
      <c r="F62" s="122">
        <v>280470</v>
      </c>
      <c r="G62" s="112">
        <f t="shared" ref="G62:G63" si="5">F62-E62</f>
        <v>232</v>
      </c>
      <c r="H62" s="99">
        <f>G62+'9'!H62</f>
        <v>1844</v>
      </c>
      <c r="I62" s="118"/>
      <c r="J62" s="175">
        <f>H62/DAY(B2)</f>
        <v>184.4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'9'!F63</f>
        <v>224454</v>
      </c>
      <c r="F63" s="164">
        <v>224630</v>
      </c>
      <c r="G63" s="112">
        <f t="shared" si="5"/>
        <v>176</v>
      </c>
      <c r="H63" s="99">
        <f>G63+'9'!H63</f>
        <v>1549</v>
      </c>
      <c r="I63" s="118"/>
      <c r="J63" s="175">
        <f>H63/DAY(B2)</f>
        <v>154.9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'9'!F64</f>
        <v>0</v>
      </c>
      <c r="F64" s="122"/>
      <c r="G64" s="112">
        <f>G62+G63</f>
        <v>408</v>
      </c>
      <c r="H64" s="99">
        <f>G64+'9'!H64</f>
        <v>3393</v>
      </c>
      <c r="I64" s="118"/>
      <c r="J64" s="175">
        <f>H64/DAY(B2)</f>
        <v>339.3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'9'!F65</f>
        <v>442124</v>
      </c>
      <c r="F65" s="122">
        <v>442247</v>
      </c>
      <c r="G65" s="112">
        <f t="shared" ref="G65:G70" si="6">F65-E65</f>
        <v>123</v>
      </c>
      <c r="H65" s="99">
        <f>G65+'9'!H65</f>
        <v>1116</v>
      </c>
      <c r="I65" s="118"/>
      <c r="J65" s="175">
        <f>H65/DAY(B2)</f>
        <v>111.6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109216</v>
      </c>
      <c r="F66" s="122">
        <v>109238</v>
      </c>
      <c r="G66" s="112">
        <f t="shared" si="6"/>
        <v>22</v>
      </c>
      <c r="H66" s="99">
        <f>G66+'9'!H66</f>
        <v>168</v>
      </c>
      <c r="I66" s="118"/>
      <c r="J66" s="175">
        <f>H66/DAY(B2)</f>
        <v>16.8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109260</v>
      </c>
      <c r="F67" s="122">
        <v>109347</v>
      </c>
      <c r="G67" s="112">
        <f t="shared" si="6"/>
        <v>87</v>
      </c>
      <c r="H67" s="99">
        <f>G67+'9'!H67</f>
        <v>754</v>
      </c>
      <c r="I67" s="118"/>
      <c r="J67" s="175">
        <f>H67/DAY(B2)</f>
        <v>75.400000000000006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160916</v>
      </c>
      <c r="F68" s="122">
        <v>160960</v>
      </c>
      <c r="G68" s="112">
        <f t="shared" si="6"/>
        <v>44</v>
      </c>
      <c r="H68" s="99">
        <f>G68+'9'!H68</f>
        <v>551</v>
      </c>
      <c r="I68" s="118"/>
      <c r="J68" s="175">
        <f>H68/DAY(B2)</f>
        <v>55.1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11341</v>
      </c>
      <c r="F69" s="122">
        <v>11357</v>
      </c>
      <c r="G69" s="112">
        <f t="shared" si="6"/>
        <v>16</v>
      </c>
      <c r="H69" s="99">
        <f>G69+'9'!H69</f>
        <v>156</v>
      </c>
      <c r="I69" s="118"/>
      <c r="J69" s="175">
        <f>H69/DAY(B2)</f>
        <v>15.6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8806</v>
      </c>
      <c r="F70" s="122">
        <v>8813</v>
      </c>
      <c r="G70" s="112">
        <f t="shared" si="6"/>
        <v>7</v>
      </c>
      <c r="H70" s="99">
        <f>G70+'9'!H70</f>
        <v>85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299</v>
      </c>
      <c r="H71" s="99">
        <f>G71+'9'!H71</f>
        <v>2830</v>
      </c>
      <c r="I71" s="154"/>
      <c r="J71" s="175">
        <f>H71/DAY(B2)</f>
        <v>283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'9'!F74</f>
        <v>922087.56</v>
      </c>
      <c r="F74" s="117">
        <v>922395.04</v>
      </c>
      <c r="G74" s="112">
        <f t="shared" ref="G74:G78" si="7">F74-E74</f>
        <v>307.47999999998137</v>
      </c>
      <c r="H74" s="99">
        <f>G74+'9'!H74</f>
        <v>3070.5300000000279</v>
      </c>
      <c r="I74" s="154"/>
      <c r="J74" s="175">
        <f>H74/DAY(B2)</f>
        <v>307.05300000000278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'9'!F76</f>
        <v>177607</v>
      </c>
      <c r="F76" s="123">
        <v>177713.63</v>
      </c>
      <c r="G76" s="112">
        <f t="shared" si="7"/>
        <v>106.63000000000466</v>
      </c>
      <c r="H76" s="99">
        <f>G76+'9'!H76</f>
        <v>1126.6300000000047</v>
      </c>
      <c r="I76" s="154"/>
      <c r="J76" s="175">
        <f>H76/DAY(B2)</f>
        <v>112.66300000000047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'9'!F77</f>
        <v>44602</v>
      </c>
      <c r="F77" s="123">
        <v>44661</v>
      </c>
      <c r="G77" s="112">
        <f t="shared" si="7"/>
        <v>59</v>
      </c>
      <c r="H77" s="99">
        <f>G77+'9'!H77</f>
        <v>498</v>
      </c>
      <c r="I77" s="154"/>
      <c r="J77" s="175">
        <f>H77/DAY(B2)</f>
        <v>49.8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'9'!F79</f>
        <v>0</v>
      </c>
      <c r="F79" s="117"/>
      <c r="G79" s="112">
        <f>G15-SUM(G74:G78)</f>
        <v>614.67700000011791</v>
      </c>
      <c r="H79" s="99">
        <f>G79+'9'!H79</f>
        <v>6216.8399999999674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1087.3870000001043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3350.08</v>
      </c>
      <c r="F85" s="404">
        <v>3369</v>
      </c>
      <c r="G85" s="112">
        <f t="shared" si="8"/>
        <v>18.920000000000073</v>
      </c>
      <c r="H85" s="99">
        <f>G85+'9'!H85</f>
        <v>210.5</v>
      </c>
      <c r="I85" s="594"/>
      <c r="J85" s="175">
        <f>H85/DAY(B2)</f>
        <v>21.05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43768</v>
      </c>
      <c r="F86" s="164">
        <v>43768</v>
      </c>
      <c r="G86" s="112">
        <f t="shared" si="8"/>
        <v>0</v>
      </c>
      <c r="H86" s="99">
        <f>G86+'9'!H86</f>
        <v>47.599999999998545</v>
      </c>
      <c r="I86" s="594"/>
      <c r="J86" s="175">
        <f>H86/DAY(B2)</f>
        <v>4.7599999999998541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35185</v>
      </c>
      <c r="F87" s="164">
        <v>35209</v>
      </c>
      <c r="G87" s="112">
        <f t="shared" si="8"/>
        <v>24</v>
      </c>
      <c r="H87" s="99">
        <f>G87+'9'!H87</f>
        <v>128.65000000000146</v>
      </c>
      <c r="I87" s="594">
        <f>G84+G85+G86+G87</f>
        <v>42.920000000000073</v>
      </c>
      <c r="J87" s="175">
        <f>H87/DAY(B2)</f>
        <v>12.865000000000146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24114.9</v>
      </c>
      <c r="F88" s="164">
        <v>24114.9</v>
      </c>
      <c r="G88" s="112">
        <f t="shared" si="8"/>
        <v>0</v>
      </c>
      <c r="H88" s="99">
        <f>G88+'9'!H88</f>
        <v>5.5</v>
      </c>
      <c r="I88" s="594"/>
      <c r="J88" s="175">
        <f>H88/DAY(B2)</f>
        <v>0.55000000000000004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26562.48</v>
      </c>
      <c r="F89" s="164">
        <v>26572.42</v>
      </c>
      <c r="G89" s="112">
        <f t="shared" si="8"/>
        <v>9.9399999999986903</v>
      </c>
      <c r="H89" s="99">
        <f>G89+'9'!H89</f>
        <v>100.62999999999738</v>
      </c>
      <c r="I89" s="594">
        <f>G88+G89</f>
        <v>9.9399999999986903</v>
      </c>
      <c r="J89" s="175">
        <f>H89/DAY(B2)</f>
        <v>10.062999999999738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71654.399999999994</v>
      </c>
      <c r="F90" s="164">
        <v>71664.13</v>
      </c>
      <c r="G90" s="112">
        <f t="shared" si="8"/>
        <v>9.7300000000104774</v>
      </c>
      <c r="H90" s="99">
        <f>G90+'9'!H90</f>
        <v>91.020000000004075</v>
      </c>
      <c r="I90" s="594">
        <f>G90</f>
        <v>9.7300000000104774</v>
      </c>
      <c r="J90" s="175">
        <f>H90/DAY(B2)</f>
        <v>9.1020000000004071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3910</v>
      </c>
      <c r="F91" s="122">
        <v>3910</v>
      </c>
      <c r="G91" s="112">
        <f t="shared" si="8"/>
        <v>0</v>
      </c>
      <c r="H91" s="99">
        <f>G91+'9'!H91</f>
        <v>0.25</v>
      </c>
      <c r="I91" s="688"/>
      <c r="J91" s="175">
        <f>H91/DAY(B2)</f>
        <v>2.5000000000000001E-2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5843.4</v>
      </c>
      <c r="F92" s="122">
        <v>5854.06</v>
      </c>
      <c r="G92" s="112">
        <f t="shared" si="8"/>
        <v>10.660000000000764</v>
      </c>
      <c r="H92" s="99">
        <f>G92+'9'!H92</f>
        <v>106.76000000000022</v>
      </c>
      <c r="I92" s="705">
        <f>G91+G92</f>
        <v>10.660000000000764</v>
      </c>
      <c r="J92" s="175">
        <f>H92/DAY(B2)</f>
        <v>10.676000000000021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7781.7200000000012</v>
      </c>
      <c r="H94" s="99">
        <f>G94+'9'!H94</f>
        <v>70812.700000000026</v>
      </c>
      <c r="I94" s="118"/>
      <c r="J94" s="175">
        <f>H94/DAY(B2)</f>
        <v>7081.2700000000023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0.25613771765248022</v>
      </c>
      <c r="H95" s="99">
        <f>G95+'9'!H95</f>
        <v>2.5483084647255625</v>
      </c>
      <c r="I95" s="167"/>
      <c r="J95" s="175">
        <f>H95/DAY(B2)</f>
        <v>0.25483084647255627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8212.4899999999579</v>
      </c>
      <c r="H96" s="99">
        <f>G96+'9'!H96</f>
        <v>74867.329999999973</v>
      </c>
      <c r="I96" s="118"/>
      <c r="J96" s="175">
        <f>H96/DAY(B2)</f>
        <v>7486.7329999999974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0.27031664527171451</v>
      </c>
      <c r="H97" s="99">
        <f>G97+'9'!H97</f>
        <v>2.6899733650784459</v>
      </c>
      <c r="I97" s="167"/>
      <c r="J97" s="175">
        <f>H97/DAY(B2)</f>
        <v>0.26899733650784458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3362.4200000000419</v>
      </c>
      <c r="H98" s="99">
        <f>G98+'9'!H98</f>
        <v>32987.47000000003</v>
      </c>
      <c r="I98" s="168"/>
      <c r="J98" s="175">
        <f>H98/DAY(B2)</f>
        <v>3298.747000000003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0.11067509298574905</v>
      </c>
      <c r="H99" s="99">
        <f>G99+'9'!H99</f>
        <v>1.1893861433342798</v>
      </c>
      <c r="I99" s="168"/>
      <c r="J99" s="175">
        <f>H99/DAY(B2)</f>
        <v>0.11893861433342798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2598.820000000007</v>
      </c>
      <c r="H100" s="99">
        <f>G100+'9'!H100</f>
        <v>25510.940000000002</v>
      </c>
      <c r="I100" s="118"/>
      <c r="J100" s="175">
        <f>H100/DAY(B2)</f>
        <v>2551.0940000000001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8.5540963101938941E-2</v>
      </c>
      <c r="H101" s="99">
        <f>G101+'9'!H101</f>
        <v>0.91985300654049829</v>
      </c>
      <c r="I101" s="168"/>
      <c r="J101" s="175">
        <f>H101/DAY(B2)</f>
        <v>9.1985300654049834E-2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2637.2000000000116</v>
      </c>
      <c r="H102" s="99">
        <f>G102+'9'!H102</f>
        <v>23652.999999999985</v>
      </c>
      <c r="I102" s="168"/>
      <c r="J102" s="175">
        <f>H102/DAY(B2)</f>
        <v>2365.2999999999984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8.6804252657911571E-2</v>
      </c>
      <c r="H103" s="99">
        <f>G103+'9'!H103</f>
        <v>0.85160124361734235</v>
      </c>
      <c r="I103" s="118"/>
      <c r="J103" s="175">
        <f>H103/DAY(B2)</f>
        <v>8.516012436173423E-2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1639.6700000000128</v>
      </c>
      <c r="H104" s="99">
        <f>G104+'9'!H104</f>
        <v>16160.750000000022</v>
      </c>
      <c r="I104" s="118"/>
      <c r="J104" s="175">
        <f>H104/DAY(B2)</f>
        <v>1616.0750000000021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5.3970244560745624E-2</v>
      </c>
      <c r="H105" s="99">
        <f>G105+'9'!H105</f>
        <v>0.58255194000525867</v>
      </c>
      <c r="I105" s="187"/>
      <c r="J105" s="188">
        <f>H105/DAY(B2)</f>
        <v>5.8255194000525867E-2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'9'!F112</f>
        <v>62826.9</v>
      </c>
      <c r="F112" s="237">
        <v>62950.6</v>
      </c>
      <c r="G112" s="112">
        <f t="shared" ref="G112:G123" si="9">F112-E112</f>
        <v>123.69999999999709</v>
      </c>
      <c r="H112" s="99">
        <f>G112+'9'!H112</f>
        <v>807.06999999999971</v>
      </c>
      <c r="I112" s="165"/>
      <c r="J112" s="328">
        <f>H112/DAY(B2)</f>
        <v>80.706999999999965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'9'!F113</f>
        <v>78681.5</v>
      </c>
      <c r="F113" s="237">
        <v>79160.28</v>
      </c>
      <c r="G113" s="112">
        <f t="shared" si="9"/>
        <v>478.77999999999884</v>
      </c>
      <c r="H113" s="99">
        <f>G113+'9'!H113</f>
        <v>4904.679999999993</v>
      </c>
      <c r="I113" s="165"/>
      <c r="J113" s="328">
        <f>H113/DAY(B2)</f>
        <v>490.46799999999928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'9'!F114</f>
        <v>52782.6</v>
      </c>
      <c r="F114" s="237">
        <v>53037</v>
      </c>
      <c r="G114" s="112">
        <f t="shared" si="9"/>
        <v>254.40000000000146</v>
      </c>
      <c r="H114" s="99">
        <f>G114+'9'!H114</f>
        <v>2774</v>
      </c>
      <c r="I114" s="165"/>
      <c r="J114" s="328">
        <f>H114/DAY(B2)</f>
        <v>277.39999999999998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'9'!F115</f>
        <v>10029.59</v>
      </c>
      <c r="F115" s="237">
        <v>10043.18</v>
      </c>
      <c r="G115" s="112">
        <f t="shared" si="9"/>
        <v>13.590000000000146</v>
      </c>
      <c r="H115" s="99">
        <f>G115+'9'!H115</f>
        <v>214.67000000000007</v>
      </c>
      <c r="I115" s="165"/>
      <c r="J115" s="328">
        <f>H115/DAY(B2)</f>
        <v>21.467000000000006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'9'!F116</f>
        <v>26589.91</v>
      </c>
      <c r="F116" s="237">
        <v>27017.52</v>
      </c>
      <c r="G116" s="112">
        <f t="shared" si="9"/>
        <v>427.61000000000058</v>
      </c>
      <c r="H116" s="99">
        <f>G116+'9'!H116</f>
        <v>4232.9000000000015</v>
      </c>
      <c r="I116" s="165"/>
      <c r="J116" s="328">
        <f>H116/DAY(B2)</f>
        <v>423.29000000000013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'9'!F117</f>
        <v>15485.79</v>
      </c>
      <c r="F117" s="237">
        <v>15676.2</v>
      </c>
      <c r="G117" s="112">
        <f t="shared" si="9"/>
        <v>190.40999999999985</v>
      </c>
      <c r="H117" s="99">
        <f>G117+'9'!H117</f>
        <v>2063.027</v>
      </c>
      <c r="I117" s="165"/>
      <c r="J117" s="328">
        <f>H117/DAY(B2)</f>
        <v>206.30270000000002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'9'!F118</f>
        <v>285050</v>
      </c>
      <c r="F118" s="237">
        <v>285547.45</v>
      </c>
      <c r="G118" s="112">
        <f t="shared" si="9"/>
        <v>497.45000000001164</v>
      </c>
      <c r="H118" s="99">
        <f>G118+'9'!H118</f>
        <v>5326.4800000000396</v>
      </c>
      <c r="I118" s="165"/>
      <c r="J118" s="328">
        <f>H118/DAY(B2)</f>
        <v>532.648000000004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'9'!F119</f>
        <v>287065.46999999997</v>
      </c>
      <c r="F119" s="237">
        <v>287676.15000000002</v>
      </c>
      <c r="G119" s="112">
        <f t="shared" si="9"/>
        <v>610.68000000005122</v>
      </c>
      <c r="H119" s="99">
        <f>G119+'9'!H119</f>
        <v>4578.7600000000093</v>
      </c>
      <c r="I119" s="165"/>
      <c r="J119" s="328">
        <f>H119/DAY(B2)</f>
        <v>457.87600000000094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'9'!F120</f>
        <v>71440.38</v>
      </c>
      <c r="F120" s="237">
        <v>71859.199999999997</v>
      </c>
      <c r="G120" s="112">
        <f t="shared" si="9"/>
        <v>418.81999999999243</v>
      </c>
      <c r="H120" s="99">
        <f>G120+'9'!H120</f>
        <v>4134.4400000000023</v>
      </c>
      <c r="I120" s="165"/>
      <c r="J120" s="328">
        <f>H120/DAY(B2)</f>
        <v>413.44400000000024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'9'!F121</f>
        <v>449935.11</v>
      </c>
      <c r="F121" s="237">
        <v>450787.43</v>
      </c>
      <c r="G121" s="112">
        <f t="shared" si="9"/>
        <v>852.32000000000698</v>
      </c>
      <c r="H121" s="99">
        <f>G121+'9'!H121</f>
        <v>8069.1599999999744</v>
      </c>
      <c r="I121" s="165"/>
      <c r="J121" s="328">
        <f>H121/DAY(B2)</f>
        <v>806.91599999999744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'9'!F122</f>
        <v>141276.63</v>
      </c>
      <c r="F122" s="237">
        <v>141512.82999999999</v>
      </c>
      <c r="G122" s="112">
        <f t="shared" si="9"/>
        <v>236.19999999998254</v>
      </c>
      <c r="H122" s="99">
        <f>G122+'9'!H122</f>
        <v>2204.6899999999732</v>
      </c>
      <c r="I122" s="165"/>
      <c r="J122" s="328">
        <f>H122/DAY(B2)</f>
        <v>220.46899999999732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'9'!F123</f>
        <v>171770.71</v>
      </c>
      <c r="F123" s="237">
        <v>172040.79</v>
      </c>
      <c r="G123" s="112">
        <f t="shared" si="9"/>
        <v>270.0800000000163</v>
      </c>
      <c r="H123" s="99">
        <f>G123+'9'!H123</f>
        <v>2598.7900000000081</v>
      </c>
      <c r="I123" s="165"/>
      <c r="J123" s="328">
        <f>H123/DAY(B2)</f>
        <v>259.87900000000081</v>
      </c>
    </row>
    <row r="124" spans="1:18" ht="29.25" customHeight="1">
      <c r="A124" s="932"/>
      <c r="B124" s="933"/>
      <c r="C124" s="934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4374.0400000000591</v>
      </c>
      <c r="H125" s="156"/>
      <c r="I125" s="327">
        <f>G125-(G39+G53)</f>
        <v>1011.6200000000172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'9'!F128</f>
        <v>72614.789999999994</v>
      </c>
      <c r="F128" s="155">
        <v>73097</v>
      </c>
      <c r="G128" s="112">
        <f t="shared" ref="G128:G134" si="10">F128-E128</f>
        <v>482.2100000000064</v>
      </c>
      <c r="H128" s="99">
        <f>G128+'9'!H128</f>
        <v>4180.7599999999948</v>
      </c>
      <c r="I128" s="165"/>
      <c r="J128" s="328">
        <f>H128/DAY(B2)</f>
        <v>418.07599999999945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44759.3</v>
      </c>
      <c r="F129" s="155">
        <v>45076.15</v>
      </c>
      <c r="G129" s="112">
        <f t="shared" si="10"/>
        <v>316.84999999999854</v>
      </c>
      <c r="H129" s="99">
        <f>G129+'9'!H129</f>
        <v>2965.0999999999985</v>
      </c>
      <c r="I129" s="165"/>
      <c r="J129" s="328">
        <f>H129/DAY(B2)</f>
        <v>296.50999999999988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81940.91</v>
      </c>
      <c r="F130" s="155">
        <v>82694.149999999994</v>
      </c>
      <c r="G130" s="112">
        <f t="shared" si="10"/>
        <v>753.23999999999069</v>
      </c>
      <c r="H130" s="99">
        <f>G130+'9'!H130</f>
        <v>7032.1999999999971</v>
      </c>
      <c r="I130" s="165"/>
      <c r="J130" s="328">
        <f>H130/DAY(B2)</f>
        <v>703.21999999999969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'9'!F131</f>
        <v>26164.37</v>
      </c>
      <c r="F131" s="155">
        <v>26371.05</v>
      </c>
      <c r="G131" s="112">
        <f t="shared" si="10"/>
        <v>206.68000000000029</v>
      </c>
      <c r="H131" s="99">
        <f>G131+'9'!H131</f>
        <v>1938.5499999999993</v>
      </c>
      <c r="I131" s="165"/>
      <c r="J131" s="328">
        <f>H131/DAY(B2)</f>
        <v>193.85499999999993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'9'!F132</f>
        <v>79532.990000000005</v>
      </c>
      <c r="F132" s="155">
        <v>79880.899999999994</v>
      </c>
      <c r="G132" s="112">
        <f t="shared" si="10"/>
        <v>347.90999999998894</v>
      </c>
      <c r="H132" s="99">
        <f>G132+'9'!H132</f>
        <v>4213.3999999999942</v>
      </c>
      <c r="I132" s="165"/>
      <c r="J132" s="328">
        <f>H132/DAY(B2)</f>
        <v>421.33999999999941</v>
      </c>
    </row>
    <row r="133" spans="1:15" ht="25.5">
      <c r="A133" s="907" t="s">
        <v>323</v>
      </c>
      <c r="B133" s="908"/>
      <c r="C133" s="909"/>
      <c r="D133" s="151" t="s">
        <v>183</v>
      </c>
      <c r="E133" s="95">
        <f>'9'!F133</f>
        <v>153360.76</v>
      </c>
      <c r="F133" s="155">
        <v>154345.21</v>
      </c>
      <c r="G133" s="112">
        <f t="shared" si="10"/>
        <v>984.44999999998254</v>
      </c>
      <c r="H133" s="99">
        <f>G133+'9'!H133</f>
        <v>8963.2200000000012</v>
      </c>
      <c r="I133" s="165"/>
      <c r="J133" s="328">
        <f>H133/DAY(B2)</f>
        <v>896.32200000000012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'9'!F134</f>
        <v>22968.6</v>
      </c>
      <c r="F134" s="157">
        <v>23208.3</v>
      </c>
      <c r="G134" s="112">
        <f t="shared" si="10"/>
        <v>239.70000000000073</v>
      </c>
      <c r="H134" s="99">
        <f>G134+'9'!H134</f>
        <v>2415.619999999999</v>
      </c>
      <c r="I134" s="165"/>
      <c r="J134" s="328">
        <f>H134/DAY(B2)</f>
        <v>241.5619999999999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3331.0399999999681</v>
      </c>
      <c r="H135" s="99">
        <f>G135+'9'!H135</f>
        <v>31708.849999999984</v>
      </c>
      <c r="I135" s="327">
        <f>G135-(G35+G49)</f>
        <v>-838.44000000004235</v>
      </c>
      <c r="J135" s="328">
        <f>H135/DAY(B2)</f>
        <v>3170.8849999999984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'9'!F138</f>
        <v>875588</v>
      </c>
      <c r="F138" s="147">
        <v>875780</v>
      </c>
      <c r="G138" s="112">
        <f t="shared" ref="G138:G152" si="11">F138-E138</f>
        <v>192</v>
      </c>
      <c r="H138" s="99">
        <f>G138+'9'!H138</f>
        <v>1779</v>
      </c>
      <c r="I138" s="118"/>
      <c r="J138" s="328">
        <f>H138/DAY(B2)</f>
        <v>177.9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'9'!F139</f>
        <v>891662</v>
      </c>
      <c r="F139" s="148">
        <v>891829</v>
      </c>
      <c r="G139" s="112">
        <f t="shared" si="11"/>
        <v>167</v>
      </c>
      <c r="H139" s="99">
        <f>G139+'9'!H139</f>
        <v>1511</v>
      </c>
      <c r="I139" s="118"/>
      <c r="J139" s="328">
        <f>H139/DAY(B2)</f>
        <v>151.1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'9'!F140</f>
        <v>89008.6</v>
      </c>
      <c r="F140" s="149">
        <v>89008.6</v>
      </c>
      <c r="G140" s="112">
        <f t="shared" si="11"/>
        <v>0</v>
      </c>
      <c r="H140" s="99">
        <f>G140+'9'!H140</f>
        <v>18.600000000005821</v>
      </c>
      <c r="I140" s="118"/>
      <c r="J140" s="328">
        <f>H140/DAY(B2)</f>
        <v>1.8600000000005821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'9'!F141</f>
        <v>67556.399999999994</v>
      </c>
      <c r="F141" s="149">
        <v>67751.600000000006</v>
      </c>
      <c r="G141" s="112">
        <f t="shared" si="11"/>
        <v>195.20000000001164</v>
      </c>
      <c r="H141" s="99">
        <f>G141+'9'!H141</f>
        <v>1968.070000000007</v>
      </c>
      <c r="I141" s="118"/>
      <c r="J141" s="328">
        <f>H141/DAY(B2)</f>
        <v>196.8070000000007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'9'!F142</f>
        <v>26159.7</v>
      </c>
      <c r="F142" s="148">
        <v>26218.720000000001</v>
      </c>
      <c r="G142" s="112">
        <f t="shared" si="11"/>
        <v>59.020000000000437</v>
      </c>
      <c r="H142" s="99">
        <f>G142+'9'!H142</f>
        <v>722.31999999999971</v>
      </c>
      <c r="I142" s="140"/>
      <c r="J142" s="328">
        <f>H142/DAY(B2)</f>
        <v>72.231999999999971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'9'!F143</f>
        <v>5807.2</v>
      </c>
      <c r="F143" s="149">
        <v>5840.83</v>
      </c>
      <c r="G143" s="112">
        <f t="shared" si="11"/>
        <v>33.630000000000109</v>
      </c>
      <c r="H143" s="99">
        <f>G143+'9'!H143</f>
        <v>280.11999999999989</v>
      </c>
      <c r="I143" s="140"/>
      <c r="J143" s="328">
        <f>H143/DAY(B2)</f>
        <v>28.01199999999999</v>
      </c>
      <c r="O143" s="148">
        <v>582206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'9'!F144</f>
        <v>892114</v>
      </c>
      <c r="F144" s="149">
        <v>892377</v>
      </c>
      <c r="G144" s="112">
        <f t="shared" si="11"/>
        <v>263</v>
      </c>
      <c r="H144" s="99">
        <f>G144+'9'!H144</f>
        <v>2543</v>
      </c>
      <c r="I144" s="140"/>
      <c r="J144" s="328">
        <f>H144/DAY(B2)</f>
        <v>254.3</v>
      </c>
    </row>
    <row r="145" spans="1:15" ht="25.5">
      <c r="A145" s="902" t="s">
        <v>190</v>
      </c>
      <c r="B145" s="902"/>
      <c r="C145" s="902"/>
      <c r="D145" s="152" t="s">
        <v>183</v>
      </c>
      <c r="E145" s="95">
        <f>'9'!F145</f>
        <v>5570.35</v>
      </c>
      <c r="F145" s="149">
        <v>5574.13</v>
      </c>
      <c r="G145" s="112">
        <f t="shared" si="11"/>
        <v>3.7799999999997453</v>
      </c>
      <c r="H145" s="99">
        <f>G145+'9'!H145</f>
        <v>17.730000000000473</v>
      </c>
      <c r="I145" s="140"/>
      <c r="J145" s="328">
        <f>H145/DAY(B2)</f>
        <v>1.7730000000000472</v>
      </c>
    </row>
    <row r="146" spans="1:15" ht="25.5">
      <c r="A146" s="903" t="s">
        <v>191</v>
      </c>
      <c r="B146" s="904"/>
      <c r="C146" s="905"/>
      <c r="D146" s="152" t="s">
        <v>183</v>
      </c>
      <c r="E146" s="95">
        <f>'9'!F146</f>
        <v>768929</v>
      </c>
      <c r="F146" s="148">
        <v>769513</v>
      </c>
      <c r="G146" s="112">
        <f t="shared" si="11"/>
        <v>584</v>
      </c>
      <c r="H146" s="99">
        <f>G146+'9'!H146</f>
        <v>5187</v>
      </c>
      <c r="I146" s="140"/>
      <c r="J146" s="328">
        <f>H146/DAY(B2)</f>
        <v>518.70000000000005</v>
      </c>
    </row>
    <row r="147" spans="1:15" ht="25.5">
      <c r="A147" s="906" t="s">
        <v>192</v>
      </c>
      <c r="B147" s="906"/>
      <c r="C147" s="906"/>
      <c r="D147" s="152" t="s">
        <v>183</v>
      </c>
      <c r="E147" s="95">
        <f>'9'!F147</f>
        <v>654200.52</v>
      </c>
      <c r="F147" s="148">
        <v>654659.24</v>
      </c>
      <c r="G147" s="112">
        <f t="shared" si="11"/>
        <v>458.71999999997206</v>
      </c>
      <c r="H147" s="99">
        <f>G147+'9'!H147</f>
        <v>4475.2399999999907</v>
      </c>
      <c r="I147" s="140"/>
      <c r="J147" s="328">
        <f>H147/DAY(B2)</f>
        <v>447.52399999999909</v>
      </c>
    </row>
    <row r="148" spans="1:15" ht="25.5">
      <c r="A148" s="898" t="s">
        <v>193</v>
      </c>
      <c r="B148" s="899"/>
      <c r="C148" s="900"/>
      <c r="D148" s="123" t="s">
        <v>130</v>
      </c>
      <c r="E148" s="95">
        <f>'9'!F148</f>
        <v>712019.12</v>
      </c>
      <c r="F148" s="150">
        <v>712472.64</v>
      </c>
      <c r="G148" s="112">
        <f t="shared" si="11"/>
        <v>453.52000000001863</v>
      </c>
      <c r="H148" s="99">
        <f>G148+'9'!H148</f>
        <v>3607.9599999999627</v>
      </c>
      <c r="I148" s="124"/>
      <c r="J148" s="328">
        <f>H148/DAY(B2)</f>
        <v>360.7959999999963</v>
      </c>
    </row>
    <row r="149" spans="1:15" ht="25.5">
      <c r="A149" s="898" t="s">
        <v>336</v>
      </c>
      <c r="B149" s="899"/>
      <c r="C149" s="900"/>
      <c r="D149" s="227" t="s">
        <v>130</v>
      </c>
      <c r="E149" s="95">
        <f>'9'!F149</f>
        <v>69685.94</v>
      </c>
      <c r="F149" s="146">
        <v>70437.100000000006</v>
      </c>
      <c r="G149" s="112">
        <f t="shared" si="11"/>
        <v>751.16000000000349</v>
      </c>
      <c r="H149" s="99">
        <f>G149+'9'!H149</f>
        <v>7213.3000000000029</v>
      </c>
      <c r="I149" s="119"/>
      <c r="J149" s="328">
        <f>H149/DAY(B2)</f>
        <v>721.33000000000027</v>
      </c>
    </row>
    <row r="150" spans="1:15" ht="25.5">
      <c r="A150" s="898" t="s">
        <v>337</v>
      </c>
      <c r="B150" s="899"/>
      <c r="C150" s="900"/>
      <c r="D150" s="117" t="s">
        <v>130</v>
      </c>
      <c r="E150" s="95">
        <f>'9'!F150</f>
        <v>25959.47</v>
      </c>
      <c r="F150" s="233">
        <v>26180.86</v>
      </c>
      <c r="G150" s="112">
        <f t="shared" si="11"/>
        <v>221.38999999999942</v>
      </c>
      <c r="H150" s="99">
        <f>G150+'9'!H150</f>
        <v>2225.0699999999997</v>
      </c>
      <c r="I150" s="119"/>
      <c r="J150" s="328">
        <f>H150/DAY(B2)</f>
        <v>222.50699999999998</v>
      </c>
    </row>
    <row r="151" spans="1:15" ht="25.5">
      <c r="A151" s="898" t="s">
        <v>338</v>
      </c>
      <c r="B151" s="899"/>
      <c r="C151" s="900"/>
      <c r="D151" s="117" t="s">
        <v>130</v>
      </c>
      <c r="E151" s="95">
        <f>'9'!F151</f>
        <v>103153</v>
      </c>
      <c r="F151" s="233">
        <v>103435</v>
      </c>
      <c r="G151" s="112">
        <f t="shared" si="11"/>
        <v>282</v>
      </c>
      <c r="H151" s="99">
        <f>G151+'9'!H151</f>
        <v>2824</v>
      </c>
      <c r="I151" s="119"/>
      <c r="J151" s="328">
        <f>H151/DAY(B2)</f>
        <v>282.39999999999998</v>
      </c>
    </row>
    <row r="152" spans="1:15" ht="25.5">
      <c r="A152" s="898" t="s">
        <v>339</v>
      </c>
      <c r="B152" s="899"/>
      <c r="C152" s="900"/>
      <c r="D152" s="117" t="s">
        <v>130</v>
      </c>
      <c r="E152" s="95">
        <f>'9'!F152</f>
        <v>9176.34</v>
      </c>
      <c r="F152" s="233">
        <v>9304.76</v>
      </c>
      <c r="G152" s="112">
        <f t="shared" si="11"/>
        <v>128.42000000000007</v>
      </c>
      <c r="H152" s="99">
        <f>G152+'9'!H152</f>
        <v>1235.6999999999998</v>
      </c>
      <c r="I152" s="119"/>
      <c r="J152" s="328">
        <f>H152/DAY(B2)</f>
        <v>123.56999999999998</v>
      </c>
    </row>
    <row r="153" spans="1:15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3792.8400000000056</v>
      </c>
      <c r="H153" s="363"/>
      <c r="I153" s="119">
        <f>G153-(G38+G52)</f>
        <v>1194.0199999999986</v>
      </c>
      <c r="J153" s="366"/>
    </row>
    <row r="154" spans="1:15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5" ht="27.75">
      <c r="A155" s="906" t="s">
        <v>345</v>
      </c>
      <c r="B155" s="906"/>
      <c r="C155" s="906"/>
      <c r="D155" s="117" t="s">
        <v>130</v>
      </c>
      <c r="E155" s="95">
        <f>'9'!F155</f>
        <v>78716.42</v>
      </c>
      <c r="F155" s="374">
        <f>78715+670</f>
        <v>79385</v>
      </c>
      <c r="G155" s="112">
        <f t="shared" ref="G155:G158" si="12">F155-E155</f>
        <v>668.58000000000175</v>
      </c>
      <c r="H155" s="99">
        <f>G155+'9'!H155</f>
        <v>6614.5</v>
      </c>
      <c r="I155" s="364"/>
      <c r="J155" s="328">
        <f>H155/DAY(B2)</f>
        <v>661.45</v>
      </c>
      <c r="O155" s="65">
        <v>678.99000000000524</v>
      </c>
    </row>
    <row r="156" spans="1:15" ht="25.5">
      <c r="A156" s="906" t="s">
        <v>346</v>
      </c>
      <c r="B156" s="906"/>
      <c r="C156" s="906"/>
      <c r="D156" s="117" t="s">
        <v>130</v>
      </c>
      <c r="E156" s="95">
        <f>'9'!F156</f>
        <v>6537</v>
      </c>
      <c r="F156" s="155">
        <f>6537+50</f>
        <v>6587</v>
      </c>
      <c r="G156" s="112">
        <f t="shared" si="12"/>
        <v>50</v>
      </c>
      <c r="H156" s="99">
        <f>G156+'9'!H156</f>
        <v>529.75</v>
      </c>
      <c r="I156" s="165"/>
      <c r="J156" s="328">
        <f>H156/DAY(B2)</f>
        <v>52.975000000000001</v>
      </c>
      <c r="O156" s="65">
        <v>50.350000000000364</v>
      </c>
    </row>
    <row r="157" spans="1:15" ht="25.5">
      <c r="A157" s="898" t="s">
        <v>361</v>
      </c>
      <c r="B157" s="899"/>
      <c r="C157" s="900"/>
      <c r="D157" s="117" t="s">
        <v>130</v>
      </c>
      <c r="E157" s="95">
        <f>'9'!F157</f>
        <v>11212.94</v>
      </c>
      <c r="F157" s="155">
        <v>11314.4</v>
      </c>
      <c r="G157" s="112">
        <f t="shared" si="12"/>
        <v>101.45999999999913</v>
      </c>
      <c r="H157" s="99">
        <f>G157+'9'!H157</f>
        <v>101.45999999999913</v>
      </c>
      <c r="I157" s="165"/>
      <c r="J157" s="328">
        <f>H157/DAY(B2)</f>
        <v>10.145999999999912</v>
      </c>
      <c r="O157" s="65">
        <v>101.82999999999993</v>
      </c>
    </row>
    <row r="158" spans="1:15" ht="25.5">
      <c r="A158" s="898" t="s">
        <v>362</v>
      </c>
      <c r="B158" s="899"/>
      <c r="C158" s="900"/>
      <c r="D158" s="117" t="s">
        <v>130</v>
      </c>
      <c r="E158" s="95">
        <f>'9'!F158</f>
        <v>92</v>
      </c>
      <c r="F158" s="155">
        <v>92.5</v>
      </c>
      <c r="G158" s="112">
        <f t="shared" si="12"/>
        <v>0.5</v>
      </c>
      <c r="H158" s="99">
        <f>G158+'9'!H158</f>
        <v>0.5</v>
      </c>
      <c r="I158" s="165"/>
      <c r="J158" s="328">
        <f>H158/DAY(B2)</f>
        <v>0.05</v>
      </c>
    </row>
    <row r="159" spans="1:15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5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473841.44</v>
      </c>
      <c r="F161" s="235">
        <v>473855</v>
      </c>
      <c r="G161" s="238">
        <f t="shared" ref="G161:G165" si="13">F161-E161</f>
        <v>13.559999999997672</v>
      </c>
      <c r="H161" s="99">
        <f>G161+'9'!H161</f>
        <v>14.270000000018626</v>
      </c>
      <c r="I161" s="236"/>
      <c r="J161" s="239">
        <f>H161/DAY(B2)</f>
        <v>1.4270000000018626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90760.6</v>
      </c>
      <c r="F162" s="235">
        <v>90781.9</v>
      </c>
      <c r="G162" s="238">
        <f t="shared" si="13"/>
        <v>21.299999999988358</v>
      </c>
      <c r="H162" s="99">
        <f>G162+'9'!H162</f>
        <v>329</v>
      </c>
      <c r="I162" s="236"/>
      <c r="J162" s="239">
        <f>H162/DAY(B2)</f>
        <v>32.9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88678.2</v>
      </c>
      <c r="F163" s="235">
        <v>88822.6</v>
      </c>
      <c r="G163" s="238">
        <f t="shared" si="13"/>
        <v>144.40000000000873</v>
      </c>
      <c r="H163" s="99">
        <f>G163+'9'!H163</f>
        <v>1743.8000000000029</v>
      </c>
      <c r="I163" s="236"/>
      <c r="J163" s="239">
        <f>H163/DAY(B2)</f>
        <v>174.38000000000028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4940.5</v>
      </c>
      <c r="F164" s="235">
        <v>4956.3999999999996</v>
      </c>
      <c r="G164" s="238">
        <f t="shared" si="13"/>
        <v>15.899999999999636</v>
      </c>
      <c r="H164" s="99">
        <f>G164+'9'!H164</f>
        <v>144</v>
      </c>
      <c r="I164" s="236"/>
      <c r="J164" s="239">
        <f>H164/DAY(B2)</f>
        <v>14.4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30415.87</v>
      </c>
      <c r="F165" s="235">
        <v>30420.0736</v>
      </c>
      <c r="G165" s="238">
        <f t="shared" si="13"/>
        <v>4.2036000000007334</v>
      </c>
      <c r="H165" s="99">
        <f>G165+'9'!H165</f>
        <v>64.563600000001315</v>
      </c>
      <c r="I165" s="236"/>
      <c r="J165" s="239">
        <f>H165/DAY(B2)</f>
        <v>6.4563600000001315</v>
      </c>
    </row>
    <row r="166" spans="1:10" ht="26.25">
      <c r="A166" s="938"/>
      <c r="B166" s="938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'9'!F173</f>
        <v>8265</v>
      </c>
      <c r="F173" s="155">
        <v>8265</v>
      </c>
      <c r="G173" s="155">
        <f>F173-E173</f>
        <v>0</v>
      </c>
      <c r="H173" s="99">
        <f>G173+'9'!H173</f>
        <v>1</v>
      </c>
      <c r="I173" s="155"/>
      <c r="J173" s="178">
        <f>H173/DAY(B2)</f>
        <v>0.1</v>
      </c>
    </row>
    <row r="174" spans="1:10" ht="34.5" customHeight="1">
      <c r="A174" s="896" t="s">
        <v>75</v>
      </c>
      <c r="B174" s="897"/>
      <c r="C174" s="333"/>
      <c r="D174" s="228" t="s">
        <v>142</v>
      </c>
      <c r="E174" s="95">
        <f>'9'!F174</f>
        <v>39593</v>
      </c>
      <c r="F174" s="157">
        <v>39609</v>
      </c>
      <c r="G174" s="155">
        <f t="shared" ref="G174:G175" si="14">F174-E174</f>
        <v>16</v>
      </c>
      <c r="H174" s="99">
        <f>G174+'9'!H174</f>
        <v>147</v>
      </c>
      <c r="I174" s="155"/>
      <c r="J174" s="178">
        <f>H174/DAY(B2)</f>
        <v>14.7</v>
      </c>
    </row>
    <row r="175" spans="1:10" ht="31.5" customHeight="1">
      <c r="A175" s="896" t="s">
        <v>76</v>
      </c>
      <c r="B175" s="901"/>
      <c r="C175" s="897"/>
      <c r="D175" s="228" t="s">
        <v>142</v>
      </c>
      <c r="E175" s="95">
        <f>'9'!F175</f>
        <v>22634</v>
      </c>
      <c r="F175" s="155">
        <v>22644</v>
      </c>
      <c r="G175" s="155">
        <f t="shared" si="14"/>
        <v>10</v>
      </c>
      <c r="H175" s="99">
        <f>G175+'9'!H175</f>
        <v>122</v>
      </c>
      <c r="I175" s="155"/>
      <c r="J175" s="178">
        <f>H175/DAY(B2)</f>
        <v>12.2</v>
      </c>
    </row>
    <row r="176" spans="1:10" ht="21.75" customHeight="1">
      <c r="A176" s="935" t="s">
        <v>196</v>
      </c>
      <c r="B176" s="936"/>
      <c r="C176" s="333"/>
      <c r="D176" s="228"/>
      <c r="E176" s="95"/>
      <c r="F176" s="155"/>
      <c r="G176" s="155">
        <f>SUM(G173:G175)</f>
        <v>26</v>
      </c>
      <c r="H176" s="99">
        <f>G176+'9'!H176</f>
        <v>270</v>
      </c>
      <c r="I176" s="155"/>
      <c r="J176" s="178">
        <f>H176/DAY(B2)</f>
        <v>27</v>
      </c>
    </row>
    <row r="177" spans="1:10" ht="27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6" t="s">
        <v>210</v>
      </c>
      <c r="B178" s="897"/>
      <c r="C178" s="333"/>
      <c r="D178" s="228" t="s">
        <v>142</v>
      </c>
      <c r="E178" s="95">
        <f>'9'!F178</f>
        <v>86468</v>
      </c>
      <c r="F178" s="155">
        <v>86575</v>
      </c>
      <c r="G178" s="155">
        <f>F178-E178</f>
        <v>107</v>
      </c>
      <c r="H178" s="99">
        <f>G178+'9'!H178</f>
        <v>959</v>
      </c>
      <c r="I178" s="155"/>
      <c r="J178" s="178">
        <f>H178/DAY(B2)</f>
        <v>95.9</v>
      </c>
    </row>
    <row r="179" spans="1:10" ht="27.75" customHeight="1">
      <c r="A179" s="896" t="s">
        <v>211</v>
      </c>
      <c r="B179" s="897"/>
      <c r="C179" s="333"/>
      <c r="D179" s="228" t="s">
        <v>142</v>
      </c>
      <c r="E179" s="95">
        <f>'9'!F179</f>
        <v>35710</v>
      </c>
      <c r="F179" s="155">
        <v>35710</v>
      </c>
      <c r="G179" s="155">
        <f t="shared" ref="G179:G180" si="15">F179-E179</f>
        <v>0</v>
      </c>
      <c r="H179" s="99">
        <f>G179+'9'!H179</f>
        <v>96</v>
      </c>
      <c r="I179" s="155"/>
      <c r="J179" s="178">
        <f>H179/DAY(B2)</f>
        <v>9.6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'9'!F180</f>
        <v>6215</v>
      </c>
      <c r="F180" s="155">
        <v>6217</v>
      </c>
      <c r="G180" s="155">
        <f t="shared" si="15"/>
        <v>2</v>
      </c>
      <c r="H180" s="99">
        <f>G180+'9'!H180</f>
        <v>84</v>
      </c>
      <c r="I180" s="155"/>
      <c r="J180" s="178">
        <f>H180/DAY(B2)</f>
        <v>8.4</v>
      </c>
    </row>
    <row r="181" spans="1:10" ht="25.5">
      <c r="A181" s="942" t="s">
        <v>108</v>
      </c>
      <c r="B181" s="943"/>
      <c r="C181" s="333"/>
      <c r="D181" s="228"/>
      <c r="E181" s="95"/>
      <c r="F181" s="155"/>
      <c r="G181" s="155">
        <f>SUM(G178:G180)</f>
        <v>109</v>
      </c>
      <c r="H181" s="99">
        <f>G181+'9'!H181</f>
        <v>1139</v>
      </c>
      <c r="I181" s="155"/>
      <c r="J181" s="178">
        <f>H181/DAY(B2)</f>
        <v>113.9</v>
      </c>
    </row>
    <row r="182" spans="1:10" ht="25.5">
      <c r="A182" s="896" t="s">
        <v>213</v>
      </c>
      <c r="B182" s="89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'9'!F183</f>
        <v>16309</v>
      </c>
      <c r="F183" s="157">
        <v>16328</v>
      </c>
      <c r="G183" s="157">
        <f>F183-E183</f>
        <v>19</v>
      </c>
      <c r="H183" s="99">
        <f>G183+'9'!H183</f>
        <v>186</v>
      </c>
      <c r="I183" s="155"/>
      <c r="J183" s="178">
        <f>H183/DAY(B2)</f>
        <v>18.600000000000001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'9'!F184</f>
        <v>11114</v>
      </c>
      <c r="F184" s="157">
        <v>11116</v>
      </c>
      <c r="G184" s="157">
        <f t="shared" ref="G184:G185" si="16">F184-E184</f>
        <v>2</v>
      </c>
      <c r="H184" s="99">
        <f>G184+'9'!H184</f>
        <v>67</v>
      </c>
      <c r="I184" s="155"/>
      <c r="J184" s="178">
        <f>H184/DAY(B2)</f>
        <v>6.7</v>
      </c>
    </row>
    <row r="185" spans="1:10" ht="37.5" customHeight="1">
      <c r="A185" s="896" t="s">
        <v>216</v>
      </c>
      <c r="B185" s="89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35" t="s">
        <v>196</v>
      </c>
      <c r="B186" s="936"/>
      <c r="C186" s="334"/>
      <c r="D186" s="229"/>
      <c r="E186" s="95"/>
      <c r="F186" s="157"/>
      <c r="G186" s="157">
        <f>SUM(G183:G185)</f>
        <v>21</v>
      </c>
      <c r="H186" s="99">
        <f>G186+'9'!H186</f>
        <v>253</v>
      </c>
      <c r="I186" s="157"/>
      <c r="J186" s="178">
        <f>H186/DAY(B2)</f>
        <v>25.3</v>
      </c>
    </row>
    <row r="187" spans="1:10" ht="21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425">
        <f>G62+G19</f>
        <v>278</v>
      </c>
      <c r="H187" s="99">
        <f>G187+'9'!H187</f>
        <v>2308</v>
      </c>
      <c r="I187" s="158"/>
      <c r="J187" s="179">
        <f>H187/DAY(B2)</f>
        <v>230.8</v>
      </c>
    </row>
    <row r="188" spans="1:10" ht="21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425">
        <f>G65+G66+G67+G69+G70</f>
        <v>255</v>
      </c>
      <c r="H188" s="99">
        <f>G188+'9'!H188</f>
        <v>2279</v>
      </c>
      <c r="I188" s="158"/>
      <c r="J188" s="179">
        <f>H188/DAY(B2)</f>
        <v>227.9</v>
      </c>
    </row>
    <row r="189" spans="1:10" ht="21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422">
        <f>G181</f>
        <v>109</v>
      </c>
      <c r="H189" s="99">
        <f>G189+'9'!H189</f>
        <v>1139</v>
      </c>
      <c r="I189" s="158"/>
      <c r="J189" s="179">
        <f>H189/DAY(B2)</f>
        <v>113.9</v>
      </c>
    </row>
    <row r="190" spans="1:10" ht="27" customHeight="1">
      <c r="A190" s="940"/>
      <c r="B190" s="941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zoomScale="55" zoomScaleNormal="55" workbookViewId="0">
      <selection activeCell="G186" sqref="G186:G189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30.75" customHeight="1">
      <c r="A2" s="191" t="s">
        <v>349</v>
      </c>
      <c r="B2" s="262">
        <v>44662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'10'!F7</f>
        <v>264604</v>
      </c>
      <c r="F7" s="95">
        <v>291026.25</v>
      </c>
      <c r="G7" s="112">
        <f>F7-E7</f>
        <v>26422.25</v>
      </c>
      <c r="H7" s="99">
        <f>G7+'10'!H7</f>
        <v>304303.25</v>
      </c>
      <c r="I7" s="113">
        <f>'1'!I7</f>
        <v>12000</v>
      </c>
      <c r="J7" s="175">
        <f>H7/DAY(B2)</f>
        <v>27663.93181818182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'10'!F8</f>
        <v>341095.5</v>
      </c>
      <c r="F8" s="114">
        <v>368046</v>
      </c>
      <c r="G8" s="115">
        <f>F8-E8</f>
        <v>26950.5</v>
      </c>
      <c r="H8" s="99">
        <f>G8+'10'!H8</f>
        <v>309999.78000000003</v>
      </c>
      <c r="I8" s="116"/>
      <c r="J8" s="175">
        <f>H8/DAY(B2)</f>
        <v>28181.798181818183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'10'!F9</f>
        <v>1467244.1</v>
      </c>
      <c r="F9" s="470">
        <v>1484842.4</v>
      </c>
      <c r="G9" s="112">
        <f>F9-E9</f>
        <v>17598.299999999814</v>
      </c>
      <c r="H9" s="99">
        <f>G9+'10'!H9</f>
        <v>217167.39999999991</v>
      </c>
      <c r="I9" s="124">
        <f>I7-J7</f>
        <v>-15663.93181818182</v>
      </c>
      <c r="J9" s="175">
        <f>H9/DAY(B2)</f>
        <v>19742.490909090902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'10'!F10</f>
        <v>488777.07</v>
      </c>
      <c r="F10" s="353">
        <v>496866.87</v>
      </c>
      <c r="G10" s="112">
        <f t="shared" ref="G10:G12" si="0">F10-E10</f>
        <v>8089.7999999999884</v>
      </c>
      <c r="H10" s="99">
        <f>G10+'10'!H10</f>
        <v>78591.400000000023</v>
      </c>
      <c r="I10" s="282"/>
      <c r="J10" s="175">
        <f>H10/DAY(B2)</f>
        <v>7144.6727272727294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25688.099999999802</v>
      </c>
      <c r="H13" s="99">
        <f>G13+'10'!H13</f>
        <v>295759.2699999999</v>
      </c>
      <c r="I13" s="120">
        <f>G7-G13</f>
        <v>734.15000000019791</v>
      </c>
      <c r="J13" s="175">
        <f>H13/DAY(B2)</f>
        <v>26887.206363636356</v>
      </c>
      <c r="K13" s="79"/>
      <c r="L13" s="66"/>
      <c r="N13" s="87"/>
      <c r="O13" s="71"/>
    </row>
    <row r="14" spans="1:15" ht="30.7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'10'!F15</f>
        <v>1981849</v>
      </c>
      <c r="F15" s="470">
        <v>1982964.26</v>
      </c>
      <c r="G15" s="112">
        <f>(F15-E15)</f>
        <v>1115.2600000000093</v>
      </c>
      <c r="H15" s="99">
        <f>G15+'10'!H15</f>
        <v>12027.260000000009</v>
      </c>
      <c r="I15" s="113">
        <f>'1'!I15</f>
        <v>800</v>
      </c>
      <c r="J15" s="175">
        <f>H15/DAY(B2)</f>
        <v>1093.3872727272735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-293.38727272727351</v>
      </c>
      <c r="J16" s="176"/>
      <c r="K16" s="79"/>
      <c r="L16" s="66"/>
      <c r="N16" s="87"/>
      <c r="O16" s="71"/>
    </row>
    <row r="17" spans="1:15" ht="30.7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4" t="s">
        <v>141</v>
      </c>
      <c r="B18" s="875"/>
      <c r="C18" s="876"/>
      <c r="D18" s="151" t="s">
        <v>142</v>
      </c>
      <c r="E18" s="95">
        <f>'10'!F18</f>
        <v>31</v>
      </c>
      <c r="F18" s="122">
        <v>21</v>
      </c>
      <c r="G18" s="119">
        <f>F18*10</f>
        <v>210</v>
      </c>
      <c r="H18" s="99">
        <f>G18+'10'!H18</f>
        <v>2780</v>
      </c>
      <c r="I18" s="113">
        <f>'1'!I18</f>
        <v>65</v>
      </c>
      <c r="J18" s="175">
        <f>H18/DAY(B2)</f>
        <v>252.72727272727272</v>
      </c>
      <c r="K18" s="79"/>
      <c r="L18" s="66"/>
      <c r="N18" s="87"/>
      <c r="O18" s="71"/>
    </row>
    <row r="19" spans="1:15" ht="30.75" customHeight="1">
      <c r="A19" s="874" t="s">
        <v>69</v>
      </c>
      <c r="B19" s="875"/>
      <c r="C19" s="876"/>
      <c r="D19" s="151" t="s">
        <v>142</v>
      </c>
      <c r="E19" s="95">
        <f>'10'!F19</f>
        <v>157453</v>
      </c>
      <c r="F19" s="122">
        <v>157504</v>
      </c>
      <c r="G19" s="112">
        <f t="shared" ref="G19" si="1">F19-E19</f>
        <v>51</v>
      </c>
      <c r="H19" s="99">
        <f>G19+'10'!H19</f>
        <v>515</v>
      </c>
      <c r="I19" s="335"/>
      <c r="J19" s="175">
        <f>H19/DAY(B2)</f>
        <v>46.81818181818182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G20+'10'!H20</f>
        <v>3295</v>
      </c>
      <c r="I20" s="336">
        <f>I18-J20</f>
        <v>-234.54545454545456</v>
      </c>
      <c r="J20" s="175">
        <f>H20/DAY(B2)</f>
        <v>299.54545454545456</v>
      </c>
      <c r="K20" s="79"/>
      <c r="L20" s="66"/>
      <c r="N20" s="87"/>
      <c r="O20" s="71"/>
    </row>
    <row r="21" spans="1:15" ht="30.7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26950.5</v>
      </c>
      <c r="F27" s="136">
        <v>9</v>
      </c>
      <c r="G27" s="137">
        <f>E27*F27</f>
        <v>242554.5</v>
      </c>
      <c r="H27" s="99">
        <f>G27+'10'!H27</f>
        <v>2789998.02</v>
      </c>
      <c r="I27" s="138"/>
      <c r="J27" s="175">
        <f>H27/DAY(B2)</f>
        <v>253636.18363636362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1115.2600000000093</v>
      </c>
      <c r="F28" s="136">
        <v>52</v>
      </c>
      <c r="G28" s="137">
        <f>E28*F28</f>
        <v>57993.520000000484</v>
      </c>
      <c r="H28" s="99">
        <f>G28+'10'!H28</f>
        <v>782633.66000000015</v>
      </c>
      <c r="I28" s="140"/>
      <c r="J28" s="175">
        <f>H28/DAY(B2)</f>
        <v>71148.514545454556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G30+'10'!H30</f>
        <v>77095</v>
      </c>
      <c r="I30" s="140"/>
      <c r="J30" s="175">
        <f>H30/DAY(B2)</f>
        <v>7008.636363636364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G31+'10'!H31</f>
        <v>222400</v>
      </c>
      <c r="I31" s="140"/>
      <c r="J31" s="175">
        <f>H31/DAY(B2)</f>
        <v>20218.18181818182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324794.02000000048</v>
      </c>
      <c r="H32" s="99">
        <f>G32+'10'!H32</f>
        <v>3872126.68</v>
      </c>
      <c r="I32" s="144"/>
      <c r="J32" s="175">
        <f>H32/DAY(B2)</f>
        <v>352011.51636363636</v>
      </c>
      <c r="K32" s="63"/>
      <c r="L32" s="89"/>
      <c r="N32" s="87"/>
      <c r="O32" s="71"/>
    </row>
    <row r="33" spans="1:15" ht="30.7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159832.34</v>
      </c>
      <c r="F35" s="145">
        <v>161989.14000000001</v>
      </c>
      <c r="G35" s="112">
        <f t="shared" ref="G35:G46" si="3">F35-E35</f>
        <v>2156.8000000000175</v>
      </c>
      <c r="H35" s="99">
        <f>G35+'10'!H35</f>
        <v>23709.930000000022</v>
      </c>
      <c r="I35" s="95"/>
      <c r="J35" s="175">
        <f>H35/DAY(B2)</f>
        <v>2155.4481818181839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110072.95</v>
      </c>
      <c r="F36" s="145">
        <v>111077.03</v>
      </c>
      <c r="G36" s="112">
        <f t="shared" si="3"/>
        <v>1004.0800000000017</v>
      </c>
      <c r="H36" s="99">
        <f>G36+'10'!H36</f>
        <v>10556.369999999995</v>
      </c>
      <c r="I36" s="95"/>
      <c r="J36" s="175">
        <f>H36/DAY(B2)</f>
        <v>959.66999999999962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149085.45000000001</v>
      </c>
      <c r="F37" s="145">
        <v>150666.10999999999</v>
      </c>
      <c r="G37" s="112">
        <f t="shared" si="3"/>
        <v>1580.6599999999744</v>
      </c>
      <c r="H37" s="99">
        <f>G37+'10'!H37</f>
        <v>17741.089999999997</v>
      </c>
      <c r="I37" s="95"/>
      <c r="J37" s="175">
        <f>H37/DAY(B2)</f>
        <v>1612.8263636363633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195620.31</v>
      </c>
      <c r="F38" s="108">
        <v>198013.33</v>
      </c>
      <c r="G38" s="112">
        <f t="shared" si="3"/>
        <v>2393.0199999999895</v>
      </c>
      <c r="H38" s="99">
        <f>G38+'10'!H38</f>
        <v>27903.959999999992</v>
      </c>
      <c r="I38" s="95"/>
      <c r="J38" s="175">
        <f>H38/DAY(B2)</f>
        <v>2536.7236363636357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277140.90000000002</v>
      </c>
      <c r="F39" s="145">
        <v>280350.87</v>
      </c>
      <c r="G39" s="112">
        <f t="shared" si="3"/>
        <v>3209.9699999999721</v>
      </c>
      <c r="H39" s="99">
        <f>G39+'10'!H39</f>
        <v>36197.440000000002</v>
      </c>
      <c r="I39" s="95"/>
      <c r="J39" s="175">
        <f>H39/DAY(B2)</f>
        <v>3290.6763636363639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54080.42</v>
      </c>
      <c r="F40" s="145">
        <v>54436.97</v>
      </c>
      <c r="G40" s="112">
        <f t="shared" si="3"/>
        <v>356.55000000000291</v>
      </c>
      <c r="H40" s="99">
        <f>G40+'10'!H40</f>
        <v>5285.1100000000006</v>
      </c>
      <c r="I40" s="95"/>
      <c r="J40" s="175">
        <f>H40/DAY(B2)</f>
        <v>480.46454545454549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330522.84999999998</v>
      </c>
      <c r="F42" s="145">
        <v>333369.17</v>
      </c>
      <c r="G42" s="112">
        <f t="shared" si="3"/>
        <v>2846.320000000007</v>
      </c>
      <c r="H42" s="99">
        <f>G42+'10'!H42</f>
        <v>52011.919999999984</v>
      </c>
      <c r="I42" s="95"/>
      <c r="J42" s="175">
        <f>H42/DAY(B2)</f>
        <v>4728.3563636363624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289995.33</v>
      </c>
      <c r="F43" s="424">
        <v>293051.96999999997</v>
      </c>
      <c r="G43" s="112">
        <f t="shared" si="3"/>
        <v>3056.6399999999558</v>
      </c>
      <c r="H43" s="99">
        <f>G43+'10'!H43</f>
        <v>34297.499999999971</v>
      </c>
      <c r="I43" s="95"/>
      <c r="J43" s="175">
        <f>H43/DAY(B2)</f>
        <v>3117.9545454545428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16604.039999999921</v>
      </c>
      <c r="H47" s="99">
        <f>G47+'10'!H47</f>
        <v>207703.31999999992</v>
      </c>
      <c r="I47" s="95"/>
      <c r="J47" s="175">
        <f>H47/DAY(B2)</f>
        <v>18882.119999999992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128520.91</v>
      </c>
      <c r="F49" s="145">
        <v>130328.87</v>
      </c>
      <c r="G49" s="112">
        <f t="shared" ref="G49:G58" si="4">F49-E49</f>
        <v>1807.9599999999919</v>
      </c>
      <c r="H49" s="99">
        <f>G49+'10'!H49</f>
        <v>19826.669999999998</v>
      </c>
      <c r="I49" s="95"/>
      <c r="J49" s="175">
        <f>H49/DAY(B2)</f>
        <v>1802.4245454545453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145310.85</v>
      </c>
      <c r="F50" s="145">
        <v>146443.09</v>
      </c>
      <c r="G50" s="112">
        <f t="shared" si="4"/>
        <v>1132.2399999999907</v>
      </c>
      <c r="H50" s="99">
        <f>G50+'10'!H50</f>
        <v>15232.949999999983</v>
      </c>
      <c r="I50" s="95"/>
      <c r="J50" s="175">
        <f>H50/DAY(B2)</f>
        <v>1384.8136363636347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40678.26</v>
      </c>
      <c r="F54" s="145">
        <v>41132.370000000003</v>
      </c>
      <c r="G54" s="112">
        <f t="shared" si="4"/>
        <v>454.11000000000058</v>
      </c>
      <c r="H54" s="99">
        <f>G54+'10'!H54</f>
        <v>5461.3100000000049</v>
      </c>
      <c r="I54" s="95"/>
      <c r="J54" s="175">
        <f>H54/DAY(B2)</f>
        <v>496.48272727272774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119326.43</v>
      </c>
      <c r="F55" s="145">
        <v>119326.43</v>
      </c>
      <c r="G55" s="112">
        <f t="shared" si="4"/>
        <v>0</v>
      </c>
      <c r="H55" s="99">
        <f>G55+'10'!H55</f>
        <v>6845.3999999999942</v>
      </c>
      <c r="I55" s="95"/>
      <c r="J55" s="175">
        <f>H55/DAY(B2)</f>
        <v>622.3090909090904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90474.01</v>
      </c>
      <c r="F56" s="424">
        <v>93817.65</v>
      </c>
      <c r="G56" s="112">
        <f t="shared" si="4"/>
        <v>3343.6399999999994</v>
      </c>
      <c r="H56" s="99">
        <f>G56+'10'!H56</f>
        <v>22199.97</v>
      </c>
      <c r="I56" s="95"/>
      <c r="J56" s="175">
        <f>H56/DAY(B2)</f>
        <v>2018.179090909091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20841.45</v>
      </c>
      <c r="F58" s="145">
        <v>21108.82</v>
      </c>
      <c r="G58" s="112">
        <f t="shared" si="4"/>
        <v>267.36999999999898</v>
      </c>
      <c r="H58" s="99">
        <f>G58+'10'!H58</f>
        <v>2654.619999999999</v>
      </c>
      <c r="I58" s="95"/>
      <c r="J58" s="175">
        <f>H58/DAY(B2)</f>
        <v>241.32909090909081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7005.3199999999815</v>
      </c>
      <c r="H59" s="99">
        <f>G59+'10'!H59</f>
        <v>72221.239999999976</v>
      </c>
      <c r="I59" s="95">
        <f>G7-G60</f>
        <v>2812.8900000000976</v>
      </c>
      <c r="J59" s="175">
        <f>H59/DAY(B2)</f>
        <v>6565.5672727272704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23609.359999999902</v>
      </c>
      <c r="H60" s="99">
        <f>G60+'10'!H60</f>
        <v>279924.55999999994</v>
      </c>
      <c r="I60" s="95">
        <f>G13-G60</f>
        <v>2078.7399999998997</v>
      </c>
      <c r="J60" s="175">
        <f>H60/DAY(B2)</f>
        <v>25447.687272727268</v>
      </c>
      <c r="K60" s="79"/>
      <c r="L60" s="66"/>
      <c r="N60" s="87"/>
      <c r="O60" s="71"/>
    </row>
    <row r="61" spans="1:15" s="68" customFormat="1" ht="30.75" customHeight="1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4" t="s">
        <v>198</v>
      </c>
      <c r="B62" s="875"/>
      <c r="C62" s="876"/>
      <c r="D62" s="151" t="s">
        <v>142</v>
      </c>
      <c r="E62" s="95">
        <f>'10'!F62</f>
        <v>280470</v>
      </c>
      <c r="F62" s="122">
        <v>280634</v>
      </c>
      <c r="G62" s="112">
        <f t="shared" ref="G62:G63" si="5">F62-E62</f>
        <v>164</v>
      </c>
      <c r="H62" s="99">
        <f>G62+'10'!H62</f>
        <v>2008</v>
      </c>
      <c r="I62" s="118"/>
      <c r="J62" s="175">
        <f>H62/DAY(B2)</f>
        <v>182.54545454545453</v>
      </c>
      <c r="K62" s="80"/>
      <c r="L62" s="66"/>
      <c r="N62" s="87"/>
      <c r="O62" s="71"/>
    </row>
    <row r="63" spans="1:15" ht="30.75" customHeight="1">
      <c r="A63" s="874" t="s">
        <v>199</v>
      </c>
      <c r="B63" s="875"/>
      <c r="C63" s="876"/>
      <c r="D63" s="151" t="s">
        <v>142</v>
      </c>
      <c r="E63" s="95">
        <f>'10'!F63</f>
        <v>224630</v>
      </c>
      <c r="F63" s="150">
        <v>224763</v>
      </c>
      <c r="G63" s="112">
        <f t="shared" si="5"/>
        <v>133</v>
      </c>
      <c r="H63" s="99">
        <f>G63+'10'!H63</f>
        <v>1682</v>
      </c>
      <c r="I63" s="118"/>
      <c r="J63" s="175">
        <f>H63/DAY(B2)</f>
        <v>152.90909090909091</v>
      </c>
      <c r="K63" s="69"/>
      <c r="L63" s="66"/>
      <c r="N63" s="87"/>
      <c r="O63" s="71"/>
    </row>
    <row r="64" spans="1:15" ht="30.75" customHeight="1">
      <c r="A64" s="871" t="s">
        <v>200</v>
      </c>
      <c r="B64" s="872"/>
      <c r="C64" s="873"/>
      <c r="D64" s="151"/>
      <c r="E64" s="95">
        <f>'10'!F64</f>
        <v>0</v>
      </c>
      <c r="F64" s="122"/>
      <c r="G64" s="112">
        <f>G62+G63</f>
        <v>297</v>
      </c>
      <c r="H64" s="99">
        <f>G64+'10'!H64</f>
        <v>3690</v>
      </c>
      <c r="I64" s="118"/>
      <c r="J64" s="175">
        <f>H64/DAY(B2)</f>
        <v>335.45454545454544</v>
      </c>
      <c r="K64" s="69"/>
      <c r="L64" s="66"/>
      <c r="N64" s="87"/>
      <c r="O64" s="71"/>
    </row>
    <row r="65" spans="1:15" ht="30.75" customHeight="1">
      <c r="A65" s="874" t="s">
        <v>201</v>
      </c>
      <c r="B65" s="875"/>
      <c r="C65" s="876"/>
      <c r="D65" s="151" t="s">
        <v>142</v>
      </c>
      <c r="E65" s="95">
        <f>'10'!F65</f>
        <v>442247</v>
      </c>
      <c r="F65" s="122">
        <v>442374</v>
      </c>
      <c r="G65" s="112">
        <f t="shared" ref="G65:G70" si="6">F65-E65</f>
        <v>127</v>
      </c>
      <c r="H65" s="99">
        <f>G65+'10'!H65</f>
        <v>1243</v>
      </c>
      <c r="I65" s="118"/>
      <c r="J65" s="175">
        <f>H65/DAY(B2)</f>
        <v>113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109238</v>
      </c>
      <c r="F66" s="122">
        <v>109253</v>
      </c>
      <c r="G66" s="112">
        <f t="shared" si="6"/>
        <v>15</v>
      </c>
      <c r="H66" s="99">
        <f>G66+'10'!H66</f>
        <v>183</v>
      </c>
      <c r="I66" s="118"/>
      <c r="J66" s="175">
        <f>H66/DAY(B2)</f>
        <v>16.636363636363637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109347</v>
      </c>
      <c r="F67" s="122">
        <v>109418</v>
      </c>
      <c r="G67" s="112">
        <f t="shared" si="6"/>
        <v>71</v>
      </c>
      <c r="H67" s="99">
        <f>G67+'10'!H67</f>
        <v>825</v>
      </c>
      <c r="I67" s="118"/>
      <c r="J67" s="175">
        <f>H67/DAY(B2)</f>
        <v>75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160960</v>
      </c>
      <c r="F68" s="122">
        <v>160979</v>
      </c>
      <c r="G68" s="112">
        <f t="shared" si="6"/>
        <v>19</v>
      </c>
      <c r="H68" s="99">
        <f>G68+'10'!H68</f>
        <v>570</v>
      </c>
      <c r="I68" s="118"/>
      <c r="J68" s="175">
        <f>H68/DAY(B2)</f>
        <v>51.81818181818182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11357</v>
      </c>
      <c r="F69" s="122">
        <v>11374</v>
      </c>
      <c r="G69" s="112">
        <f t="shared" si="6"/>
        <v>17</v>
      </c>
      <c r="H69" s="99">
        <f>G69+'10'!H69</f>
        <v>173</v>
      </c>
      <c r="I69" s="118"/>
      <c r="J69" s="175">
        <f>H69/DAY(B2)</f>
        <v>15.727272727272727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8813</v>
      </c>
      <c r="F70" s="122">
        <v>8820</v>
      </c>
      <c r="G70" s="112">
        <f t="shared" si="6"/>
        <v>7</v>
      </c>
      <c r="H70" s="99">
        <f>G70+'10'!H70</f>
        <v>92</v>
      </c>
      <c r="I70" s="118"/>
      <c r="J70" s="175">
        <f>H70/DAY(B2)</f>
        <v>8.3636363636363633</v>
      </c>
      <c r="K70" s="69"/>
      <c r="L70" s="66"/>
      <c r="N70" s="87"/>
      <c r="O70" s="71"/>
    </row>
    <row r="71" spans="1:15" ht="30.75" customHeight="1">
      <c r="A71" s="871" t="s">
        <v>208</v>
      </c>
      <c r="B71" s="872"/>
      <c r="C71" s="873"/>
      <c r="D71" s="152"/>
      <c r="E71" s="152"/>
      <c r="F71" s="152"/>
      <c r="G71" s="153">
        <f>SUM(G65:G70)</f>
        <v>256</v>
      </c>
      <c r="H71" s="99">
        <f>G71+'10'!H71</f>
        <v>3086</v>
      </c>
      <c r="I71" s="154"/>
      <c r="J71" s="175">
        <f>H71/DAY(B2)</f>
        <v>280.54545454545456</v>
      </c>
      <c r="K71" s="69"/>
      <c r="L71" s="66"/>
      <c r="N71" s="87"/>
      <c r="O71" s="71"/>
    </row>
    <row r="72" spans="1:15" s="88" customFormat="1" ht="30.7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4" t="s">
        <v>220</v>
      </c>
      <c r="B74" s="875"/>
      <c r="C74" s="876"/>
      <c r="D74" s="151" t="s">
        <v>139</v>
      </c>
      <c r="E74" s="95">
        <f>'10'!F74</f>
        <v>922395.04</v>
      </c>
      <c r="F74" s="117">
        <v>922685.46900000004</v>
      </c>
      <c r="G74" s="112">
        <f t="shared" ref="G74:G78" si="7">F74-E74</f>
        <v>290.42900000000373</v>
      </c>
      <c r="H74" s="99">
        <f>G74+'10'!H74</f>
        <v>3360.9590000000317</v>
      </c>
      <c r="I74" s="154"/>
      <c r="J74" s="175">
        <f>H74/DAY(B2)</f>
        <v>305.54172727273016</v>
      </c>
      <c r="K74" s="69"/>
      <c r="L74" s="66"/>
      <c r="N74" s="87"/>
      <c r="O74" s="71"/>
    </row>
    <row r="75" spans="1:15" ht="30.75" customHeight="1">
      <c r="A75" s="874" t="s">
        <v>221</v>
      </c>
      <c r="B75" s="875"/>
      <c r="C75" s="876"/>
      <c r="D75" s="151" t="s">
        <v>139</v>
      </c>
      <c r="E75" s="95">
        <f>'10'!F75</f>
        <v>73586.8</v>
      </c>
      <c r="F75" s="123">
        <v>73586.8</v>
      </c>
      <c r="G75" s="112">
        <f t="shared" si="7"/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8" t="s">
        <v>222</v>
      </c>
      <c r="B76" s="904"/>
      <c r="C76" s="905"/>
      <c r="D76" s="151" t="s">
        <v>139</v>
      </c>
      <c r="E76" s="95">
        <f>'10'!F76</f>
        <v>177713.63</v>
      </c>
      <c r="F76" s="123">
        <v>177849</v>
      </c>
      <c r="G76" s="112">
        <f t="shared" si="7"/>
        <v>135.36999999999534</v>
      </c>
      <c r="H76" s="99">
        <f>G76+'10'!H76</f>
        <v>1262</v>
      </c>
      <c r="I76" s="154"/>
      <c r="J76" s="175">
        <f>H76/DAY(B2)</f>
        <v>114.72727272727273</v>
      </c>
      <c r="K76" s="69"/>
      <c r="L76" s="66"/>
      <c r="N76" s="87"/>
      <c r="O76" s="71"/>
    </row>
    <row r="77" spans="1:15" ht="30.75" customHeight="1">
      <c r="A77" s="918" t="s">
        <v>223</v>
      </c>
      <c r="B77" s="904"/>
      <c r="C77" s="905"/>
      <c r="D77" s="151" t="s">
        <v>139</v>
      </c>
      <c r="E77" s="95">
        <f>'10'!F77</f>
        <v>44661</v>
      </c>
      <c r="F77" s="123">
        <v>44704</v>
      </c>
      <c r="G77" s="112">
        <f t="shared" si="7"/>
        <v>43</v>
      </c>
      <c r="H77" s="99">
        <f>G77+'10'!H77</f>
        <v>541</v>
      </c>
      <c r="I77" s="154"/>
      <c r="J77" s="175">
        <f>H77/DAY(B2)</f>
        <v>49.18181818181818</v>
      </c>
      <c r="K77" s="69"/>
      <c r="L77" s="66"/>
      <c r="N77" s="87"/>
      <c r="O77" s="71"/>
    </row>
    <row r="78" spans="1:15" ht="30.75" customHeight="1">
      <c r="A78" s="918" t="s">
        <v>224</v>
      </c>
      <c r="B78" s="904"/>
      <c r="C78" s="905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8" t="s">
        <v>225</v>
      </c>
      <c r="B79" s="904"/>
      <c r="C79" s="905"/>
      <c r="D79" s="151"/>
      <c r="E79" s="95">
        <f>'10'!F79</f>
        <v>0</v>
      </c>
      <c r="F79" s="117"/>
      <c r="G79" s="112">
        <f>G15-SUM(G74:G78)</f>
        <v>646.46100000001024</v>
      </c>
      <c r="H79" s="99">
        <f>G79+'10'!H79</f>
        <v>6863.3009999999776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1115.2600000000093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94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94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594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3369</v>
      </c>
      <c r="F85" s="164">
        <v>3381.21</v>
      </c>
      <c r="G85" s="112">
        <f t="shared" si="8"/>
        <v>12.210000000000036</v>
      </c>
      <c r="H85" s="99">
        <f>G85+'10'!H85</f>
        <v>222.71000000000004</v>
      </c>
      <c r="I85" s="594"/>
      <c r="J85" s="175">
        <f>H85/DAY(B2)</f>
        <v>20.24636363636364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43768</v>
      </c>
      <c r="F86" s="164">
        <v>43768</v>
      </c>
      <c r="G86" s="112">
        <f t="shared" si="8"/>
        <v>0</v>
      </c>
      <c r="H86" s="99">
        <f>G86+'10'!H86</f>
        <v>47.599999999998545</v>
      </c>
      <c r="I86" s="594"/>
      <c r="J86" s="175">
        <f>H86/DAY(B2)</f>
        <v>4.3272727272725948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35209</v>
      </c>
      <c r="F87" s="164">
        <v>35229.040000000001</v>
      </c>
      <c r="G87" s="112">
        <f t="shared" si="8"/>
        <v>20.040000000000873</v>
      </c>
      <c r="H87" s="99">
        <f>G87+'10'!H87</f>
        <v>148.69000000000233</v>
      </c>
      <c r="I87" s="594">
        <f>G84+G85+G86+G87</f>
        <v>32.250000000000909</v>
      </c>
      <c r="J87" s="175">
        <f>H87/DAY(B2)</f>
        <v>13.517272727272939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24114.9</v>
      </c>
      <c r="F88" s="164">
        <v>24114.9</v>
      </c>
      <c r="G88" s="112">
        <f t="shared" si="8"/>
        <v>0</v>
      </c>
      <c r="H88" s="99">
        <f>G88+'10'!H88</f>
        <v>5.5</v>
      </c>
      <c r="I88" s="594"/>
      <c r="J88" s="175">
        <f>H88/DAY(B2)</f>
        <v>0.5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26572.42</v>
      </c>
      <c r="F89" s="164">
        <v>26583.32</v>
      </c>
      <c r="G89" s="112">
        <f t="shared" si="8"/>
        <v>10.900000000001455</v>
      </c>
      <c r="H89" s="99">
        <f>G89+'10'!H89</f>
        <v>111.52999999999884</v>
      </c>
      <c r="I89" s="594">
        <f>G88+G89</f>
        <v>10.900000000001455</v>
      </c>
      <c r="J89" s="175">
        <f>H89/DAY(B2)</f>
        <v>10.139090909090804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71664.13</v>
      </c>
      <c r="F90" s="164">
        <v>71673.13</v>
      </c>
      <c r="G90" s="112">
        <f t="shared" si="8"/>
        <v>9</v>
      </c>
      <c r="H90" s="99">
        <f>G90+'10'!H90</f>
        <v>100.02000000000407</v>
      </c>
      <c r="I90" s="594">
        <f>G90</f>
        <v>9</v>
      </c>
      <c r="J90" s="175">
        <f>H90/DAY(B2)</f>
        <v>9.0927272727276431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3910</v>
      </c>
      <c r="F91" s="122">
        <v>3910</v>
      </c>
      <c r="G91" s="112">
        <f t="shared" si="8"/>
        <v>0</v>
      </c>
      <c r="H91" s="99">
        <f>G91+'10'!H91</f>
        <v>0.25</v>
      </c>
      <c r="I91" s="688"/>
      <c r="J91" s="175">
        <f>H91/DAY(B2)</f>
        <v>2.2727272727272728E-2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5854.06</v>
      </c>
      <c r="F92" s="122">
        <v>5864.15</v>
      </c>
      <c r="G92" s="112">
        <f t="shared" si="8"/>
        <v>10.089999999999236</v>
      </c>
      <c r="H92" s="99">
        <f>G92+'10'!H92</f>
        <v>116.84999999999945</v>
      </c>
      <c r="I92" s="705">
        <f>G91+G92</f>
        <v>10.089999999999236</v>
      </c>
      <c r="J92" s="175">
        <f>H92/DAY(B2)</f>
        <v>10.622727272727223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7021.3999999999651</v>
      </c>
      <c r="H94" s="99">
        <f>G94+'10'!H94</f>
        <v>77834.099999999991</v>
      </c>
      <c r="I94" s="118"/>
      <c r="J94" s="175">
        <f>H94/DAY(B2)</f>
        <v>7075.8272727272715</v>
      </c>
      <c r="K94" s="69"/>
      <c r="L94" s="66"/>
      <c r="O94" s="71"/>
    </row>
    <row r="95" spans="1:15" ht="30.7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0.2657381562887326</v>
      </c>
      <c r="H95" s="99">
        <f>G95+'10'!H95</f>
        <v>2.8140466210142949</v>
      </c>
      <c r="I95" s="167"/>
      <c r="J95" s="175">
        <f>H95/DAY(B2)</f>
        <v>0.25582242009220862</v>
      </c>
      <c r="K95" s="69"/>
      <c r="L95" s="66"/>
      <c r="O95" s="71"/>
    </row>
    <row r="96" spans="1:15" ht="30.7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6189.9600000000064</v>
      </c>
      <c r="H96" s="99">
        <f>G96+'10'!H96</f>
        <v>81057.289999999979</v>
      </c>
      <c r="I96" s="118"/>
      <c r="J96" s="175">
        <f>H96/DAY(B2)</f>
        <v>7368.8445454545435</v>
      </c>
      <c r="K96" s="69"/>
      <c r="L96" s="66"/>
      <c r="O96" s="71"/>
    </row>
    <row r="97" spans="1:15" ht="30.7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0.23427073773051146</v>
      </c>
      <c r="H97" s="99">
        <f>G97+'10'!H97</f>
        <v>2.9242441028089572</v>
      </c>
      <c r="I97" s="167"/>
      <c r="J97" s="175">
        <f>H97/DAY(B2)</f>
        <v>0.26584037298263247</v>
      </c>
      <c r="K97" s="69"/>
      <c r="L97" s="66"/>
      <c r="O97" s="71"/>
    </row>
    <row r="98" spans="1:15" ht="30.7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3209.9699999999721</v>
      </c>
      <c r="H98" s="99">
        <f>G98+'10'!H98</f>
        <v>36197.440000000002</v>
      </c>
      <c r="I98" s="168"/>
      <c r="J98" s="175">
        <f>H98/DAY(B2)</f>
        <v>3290.6763636363639</v>
      </c>
      <c r="K98" s="69"/>
      <c r="L98" s="66"/>
      <c r="O98" s="71"/>
    </row>
    <row r="99" spans="1:15" ht="30.7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0.12148738279291021</v>
      </c>
      <c r="H99" s="99">
        <f>G99+'10'!H99</f>
        <v>1.31087352612719</v>
      </c>
      <c r="I99" s="168"/>
      <c r="J99" s="175">
        <f>H99/DAY(B2)</f>
        <v>0.11917032055701728</v>
      </c>
      <c r="O99" s="71"/>
    </row>
    <row r="100" spans="1:15" ht="30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2393.0199999999895</v>
      </c>
      <c r="H100" s="99">
        <f>G100+'10'!H100</f>
        <v>27903.959999999992</v>
      </c>
      <c r="I100" s="118"/>
      <c r="J100" s="175">
        <f>H100/DAY(B2)</f>
        <v>2536.7236363636357</v>
      </c>
      <c r="K100" s="70"/>
      <c r="O100" s="71"/>
    </row>
    <row r="101" spans="1:15" ht="30.7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9.0568365676654689E-2</v>
      </c>
      <c r="H101" s="99">
        <f>G101+'10'!H101</f>
        <v>1.0104213722171529</v>
      </c>
      <c r="I101" s="168"/>
      <c r="J101" s="175">
        <f>H101/DAY(B2)</f>
        <v>9.1856488383377538E-2</v>
      </c>
      <c r="O101" s="71"/>
    </row>
    <row r="102" spans="1:15" ht="30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2136.3199999999924</v>
      </c>
      <c r="H102" s="99">
        <f>G102+'10'!H102</f>
        <v>25789.319999999978</v>
      </c>
      <c r="I102" s="168"/>
      <c r="J102" s="175">
        <f>H102/DAY(B2)</f>
        <v>2344.4836363636346</v>
      </c>
      <c r="O102" s="71"/>
    </row>
    <row r="103" spans="1:15" ht="30.7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8.085306890972542E-2</v>
      </c>
      <c r="H103" s="99">
        <f>G103+'10'!H103</f>
        <v>0.93245431252706779</v>
      </c>
      <c r="I103" s="118"/>
      <c r="J103" s="175">
        <f>H103/DAY(B2)</f>
        <v>8.4768573866097069E-2</v>
      </c>
      <c r="O103" s="71"/>
    </row>
    <row r="104" spans="1:15" ht="30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1580.6599999999744</v>
      </c>
      <c r="H104" s="99">
        <f>G104+'10'!H104</f>
        <v>17741.409999999996</v>
      </c>
      <c r="I104" s="118"/>
      <c r="J104" s="175">
        <f>H104/DAY(B2)</f>
        <v>1612.8554545454542</v>
      </c>
      <c r="O104" s="71"/>
    </row>
    <row r="105" spans="1:15" ht="30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5.9823065787356279E-2</v>
      </c>
      <c r="H105" s="99">
        <f>G105+'10'!H105</f>
        <v>0.64237500579261497</v>
      </c>
      <c r="I105" s="187"/>
      <c r="J105" s="188">
        <f>H105/DAY(B2)</f>
        <v>5.8397727799328635E-2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30.75" customHeight="1">
      <c r="A109" s="913"/>
      <c r="B109" s="913"/>
    </row>
    <row r="110" spans="1:15" ht="30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30.7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7" t="s">
        <v>252</v>
      </c>
      <c r="B112" s="908"/>
      <c r="C112" s="909"/>
      <c r="D112" s="146" t="s">
        <v>183</v>
      </c>
      <c r="E112" s="95">
        <f>'10'!F112</f>
        <v>62950.6</v>
      </c>
      <c r="F112" s="237">
        <v>63030</v>
      </c>
      <c r="G112" s="112">
        <f t="shared" ref="G112:G123" si="9">F112-E112</f>
        <v>79.400000000001455</v>
      </c>
      <c r="H112" s="99">
        <f>G112+'10'!H112</f>
        <v>886.47000000000116</v>
      </c>
      <c r="I112" s="165"/>
      <c r="J112" s="328">
        <f>H112/DAY(B2)</f>
        <v>80.588181818181923</v>
      </c>
    </row>
    <row r="113" spans="1:18" ht="30.75" customHeight="1">
      <c r="A113" s="907" t="s">
        <v>253</v>
      </c>
      <c r="B113" s="908"/>
      <c r="C113" s="909"/>
      <c r="D113" s="146" t="s">
        <v>183</v>
      </c>
      <c r="E113" s="95">
        <f>'10'!F113</f>
        <v>79160.28</v>
      </c>
      <c r="F113" s="237">
        <v>79658.3</v>
      </c>
      <c r="G113" s="112">
        <f t="shared" si="9"/>
        <v>498.02000000000407</v>
      </c>
      <c r="H113" s="99">
        <f>G113+'10'!H113</f>
        <v>5402.6999999999971</v>
      </c>
      <c r="I113" s="165"/>
      <c r="J113" s="328">
        <f>H113/DAY(B2)</f>
        <v>491.1545454545452</v>
      </c>
    </row>
    <row r="114" spans="1:18" ht="30.75" customHeight="1">
      <c r="A114" s="907" t="s">
        <v>254</v>
      </c>
      <c r="B114" s="908"/>
      <c r="C114" s="909"/>
      <c r="D114" s="146" t="s">
        <v>183</v>
      </c>
      <c r="E114" s="95">
        <f>'10'!F114</f>
        <v>53037</v>
      </c>
      <c r="F114" s="237">
        <v>53295</v>
      </c>
      <c r="G114" s="112">
        <f t="shared" si="9"/>
        <v>258</v>
      </c>
      <c r="H114" s="99">
        <f>G114+'10'!H114</f>
        <v>3032</v>
      </c>
      <c r="I114" s="165"/>
      <c r="J114" s="328">
        <f>H114/DAY(B2)</f>
        <v>275.63636363636363</v>
      </c>
    </row>
    <row r="115" spans="1:18" ht="30.75" customHeight="1">
      <c r="A115" s="907" t="s">
        <v>255</v>
      </c>
      <c r="B115" s="908"/>
      <c r="C115" s="909"/>
      <c r="D115" s="146" t="s">
        <v>183</v>
      </c>
      <c r="E115" s="95">
        <f>'10'!F115</f>
        <v>10043.18</v>
      </c>
      <c r="F115" s="237">
        <v>10059.1</v>
      </c>
      <c r="G115" s="112">
        <f t="shared" si="9"/>
        <v>15.920000000000073</v>
      </c>
      <c r="H115" s="99">
        <f>G115+'10'!H115</f>
        <v>230.59000000000015</v>
      </c>
      <c r="I115" s="165"/>
      <c r="J115" s="328">
        <f>H115/DAY(B2)</f>
        <v>20.962727272727285</v>
      </c>
    </row>
    <row r="116" spans="1:18" ht="30.75" customHeight="1">
      <c r="A116" s="925" t="s">
        <v>96</v>
      </c>
      <c r="B116" s="926"/>
      <c r="C116" s="927"/>
      <c r="D116" s="146" t="s">
        <v>183</v>
      </c>
      <c r="E116" s="95">
        <f>'10'!F116</f>
        <v>27017.52</v>
      </c>
      <c r="F116" s="237">
        <v>27485.74</v>
      </c>
      <c r="G116" s="112">
        <f t="shared" si="9"/>
        <v>468.22000000000116</v>
      </c>
      <c r="H116" s="99">
        <f>G116+'10'!H116</f>
        <v>4701.1200000000026</v>
      </c>
      <c r="I116" s="165"/>
      <c r="J116" s="328">
        <f>H116/DAY(B2)</f>
        <v>427.37454545454568</v>
      </c>
      <c r="Q116" s="907" t="s">
        <v>311</v>
      </c>
      <c r="R116" s="909"/>
    </row>
    <row r="117" spans="1:18" ht="30.75" customHeight="1">
      <c r="A117" s="925" t="s">
        <v>184</v>
      </c>
      <c r="B117" s="926"/>
      <c r="C117" s="927"/>
      <c r="D117" s="146" t="s">
        <v>183</v>
      </c>
      <c r="E117" s="95">
        <f>'10'!F117</f>
        <v>15676.2</v>
      </c>
      <c r="F117" s="237">
        <v>15858.23</v>
      </c>
      <c r="G117" s="112">
        <f t="shared" si="9"/>
        <v>182.02999999999884</v>
      </c>
      <c r="H117" s="99">
        <f>G117+'10'!H117</f>
        <v>2245.0569999999989</v>
      </c>
      <c r="I117" s="165"/>
      <c r="J117" s="328">
        <f>H117/DAY(B2)</f>
        <v>204.0960909090908</v>
      </c>
      <c r="Q117" s="907" t="s">
        <v>312</v>
      </c>
      <c r="R117" s="909"/>
    </row>
    <row r="118" spans="1:18" ht="30.75" customHeight="1">
      <c r="A118" s="902" t="s">
        <v>97</v>
      </c>
      <c r="B118" s="902"/>
      <c r="C118" s="902"/>
      <c r="D118" s="151" t="s">
        <v>183</v>
      </c>
      <c r="E118" s="95">
        <f>'10'!F118</f>
        <v>285547.45</v>
      </c>
      <c r="F118" s="237">
        <v>286052.43</v>
      </c>
      <c r="G118" s="112">
        <f t="shared" si="9"/>
        <v>504.97999999998137</v>
      </c>
      <c r="H118" s="99">
        <f>G118+'10'!H118</f>
        <v>5831.460000000021</v>
      </c>
      <c r="I118" s="165"/>
      <c r="J118" s="328">
        <f>H118/DAY(B2)</f>
        <v>530.1327272727292</v>
      </c>
      <c r="Q118" s="907" t="s">
        <v>311</v>
      </c>
      <c r="R118" s="909"/>
    </row>
    <row r="119" spans="1:18" ht="30.75" customHeight="1">
      <c r="A119" s="902" t="s">
        <v>98</v>
      </c>
      <c r="B119" s="902"/>
      <c r="C119" s="902"/>
      <c r="D119" s="151" t="s">
        <v>183</v>
      </c>
      <c r="E119" s="95">
        <f>'10'!F119</f>
        <v>287676.15000000002</v>
      </c>
      <c r="F119" s="237">
        <v>287878.49</v>
      </c>
      <c r="G119" s="112">
        <f t="shared" si="9"/>
        <v>202.3399999999674</v>
      </c>
      <c r="H119" s="99">
        <f>G119+'10'!H119</f>
        <v>4781.0999999999767</v>
      </c>
      <c r="I119" s="165"/>
      <c r="J119" s="328">
        <f>H119/DAY(B2)</f>
        <v>434.64545454545242</v>
      </c>
    </row>
    <row r="120" spans="1:18" ht="30.75" customHeight="1">
      <c r="A120" s="902" t="s">
        <v>99</v>
      </c>
      <c r="B120" s="902"/>
      <c r="C120" s="902"/>
      <c r="D120" s="151" t="s">
        <v>183</v>
      </c>
      <c r="E120" s="95">
        <f>'10'!F120</f>
        <v>71859.199999999997</v>
      </c>
      <c r="F120" s="237">
        <v>72267.67</v>
      </c>
      <c r="G120" s="112">
        <f t="shared" si="9"/>
        <v>408.47000000000116</v>
      </c>
      <c r="H120" s="99">
        <f>G120+'10'!H120</f>
        <v>4542.9100000000035</v>
      </c>
      <c r="I120" s="165"/>
      <c r="J120" s="328">
        <f>H120/DAY(B2)</f>
        <v>412.99181818181847</v>
      </c>
    </row>
    <row r="121" spans="1:18" ht="30.75" customHeight="1">
      <c r="A121" s="902" t="s">
        <v>100</v>
      </c>
      <c r="B121" s="902"/>
      <c r="C121" s="902"/>
      <c r="D121" s="151" t="s">
        <v>183</v>
      </c>
      <c r="E121" s="95">
        <f>'10'!F121</f>
        <v>450787.43</v>
      </c>
      <c r="F121" s="237">
        <v>451528.17</v>
      </c>
      <c r="G121" s="112">
        <f t="shared" si="9"/>
        <v>740.73999999999069</v>
      </c>
      <c r="H121" s="99">
        <f>G121+'10'!H121</f>
        <v>8809.8999999999651</v>
      </c>
      <c r="I121" s="165"/>
      <c r="J121" s="328">
        <f>H121/DAY(B2)</f>
        <v>800.89999999999679</v>
      </c>
    </row>
    <row r="122" spans="1:18" ht="30.75" customHeight="1">
      <c r="A122" s="902" t="s">
        <v>101</v>
      </c>
      <c r="B122" s="902"/>
      <c r="C122" s="902"/>
      <c r="D122" s="151" t="s">
        <v>183</v>
      </c>
      <c r="E122" s="95">
        <f>'10'!F122</f>
        <v>141512.82999999999</v>
      </c>
      <c r="F122" s="237">
        <v>141724.76</v>
      </c>
      <c r="G122" s="112">
        <f t="shared" si="9"/>
        <v>211.93000000002212</v>
      </c>
      <c r="H122" s="99">
        <f>G122+'10'!H122</f>
        <v>2416.6199999999953</v>
      </c>
      <c r="I122" s="165"/>
      <c r="J122" s="328">
        <f>H122/DAY(B2)</f>
        <v>219.69272727272684</v>
      </c>
    </row>
    <row r="123" spans="1:18" ht="30.75" customHeight="1">
      <c r="A123" s="902" t="s">
        <v>102</v>
      </c>
      <c r="B123" s="902"/>
      <c r="C123" s="902"/>
      <c r="D123" s="151" t="s">
        <v>183</v>
      </c>
      <c r="E123" s="95">
        <f>'10'!F123</f>
        <v>172040.79</v>
      </c>
      <c r="F123" s="237">
        <v>172287</v>
      </c>
      <c r="G123" s="112">
        <f t="shared" si="9"/>
        <v>246.20999999999185</v>
      </c>
      <c r="H123" s="99">
        <f>G123+'10'!H123</f>
        <v>2845</v>
      </c>
      <c r="I123" s="165"/>
      <c r="J123" s="328">
        <f>H123/DAY(B2)</f>
        <v>258.63636363636363</v>
      </c>
    </row>
    <row r="124" spans="1:18" ht="30.7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3816.2599999999602</v>
      </c>
      <c r="H125" s="156"/>
      <c r="I125" s="327">
        <f>G125-(G39+G53)</f>
        <v>606.28999999998814</v>
      </c>
      <c r="J125" s="327"/>
    </row>
    <row r="126" spans="1:18" ht="30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30.75" customHeight="1">
      <c r="A127" s="938"/>
      <c r="B127" s="938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7" t="s">
        <v>318</v>
      </c>
      <c r="B128" s="908"/>
      <c r="C128" s="909"/>
      <c r="D128" s="151" t="s">
        <v>183</v>
      </c>
      <c r="E128" s="95">
        <f>'10'!F128</f>
        <v>73097</v>
      </c>
      <c r="F128" s="157">
        <v>73567.38</v>
      </c>
      <c r="G128" s="112">
        <f t="shared" ref="G128:G134" si="10">F128-E128</f>
        <v>470.38000000000466</v>
      </c>
      <c r="H128" s="99">
        <f>G128+'10'!H128</f>
        <v>4651.1399999999994</v>
      </c>
      <c r="I128" s="165"/>
      <c r="J128" s="328">
        <f>H128/DAY(B2)</f>
        <v>422.83090909090902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45076.15</v>
      </c>
      <c r="F129" s="157">
        <v>45401.120000000003</v>
      </c>
      <c r="G129" s="112">
        <f t="shared" si="10"/>
        <v>324.97000000000116</v>
      </c>
      <c r="H129" s="99">
        <f>G129+'10'!H129</f>
        <v>3290.0699999999997</v>
      </c>
      <c r="I129" s="165"/>
      <c r="J129" s="328">
        <f>H129/DAY(B2)</f>
        <v>299.0972727272727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82694.149999999994</v>
      </c>
      <c r="F130" s="157">
        <v>83361.350000000006</v>
      </c>
      <c r="G130" s="112">
        <f t="shared" si="10"/>
        <v>667.20000000001164</v>
      </c>
      <c r="H130" s="99">
        <f>G130+'10'!H130</f>
        <v>7699.4000000000087</v>
      </c>
      <c r="I130" s="165"/>
      <c r="J130" s="328">
        <f>H130/DAY(B2)</f>
        <v>699.94545454545539</v>
      </c>
      <c r="N130" s="240"/>
      <c r="O130" s="241"/>
    </row>
    <row r="131" spans="1:15" ht="30.75" customHeight="1">
      <c r="A131" s="907" t="s">
        <v>321</v>
      </c>
      <c r="B131" s="908"/>
      <c r="C131" s="909"/>
      <c r="D131" s="151" t="s">
        <v>183</v>
      </c>
      <c r="E131" s="95">
        <f>'10'!F131</f>
        <v>26371.05</v>
      </c>
      <c r="F131" s="157">
        <v>26570.84</v>
      </c>
      <c r="G131" s="112">
        <f t="shared" si="10"/>
        <v>199.79000000000087</v>
      </c>
      <c r="H131" s="99">
        <f>G131+'10'!H131</f>
        <v>2138.34</v>
      </c>
      <c r="I131" s="165"/>
      <c r="J131" s="328">
        <f>H131/DAY(B2)</f>
        <v>194.39454545454547</v>
      </c>
      <c r="N131" s="240"/>
      <c r="O131" s="241"/>
    </row>
    <row r="132" spans="1:15" ht="30.75" customHeight="1">
      <c r="A132" s="907" t="s">
        <v>322</v>
      </c>
      <c r="B132" s="908"/>
      <c r="C132" s="909"/>
      <c r="D132" s="151" t="s">
        <v>183</v>
      </c>
      <c r="E132" s="95">
        <f>'10'!F132</f>
        <v>79880.899999999994</v>
      </c>
      <c r="F132" s="157">
        <v>80230</v>
      </c>
      <c r="G132" s="112">
        <f t="shared" si="10"/>
        <v>349.10000000000582</v>
      </c>
      <c r="H132" s="99">
        <f>G132+'10'!H132</f>
        <v>4562.5</v>
      </c>
      <c r="I132" s="165"/>
      <c r="J132" s="328">
        <f>H132/DAY(B2)</f>
        <v>414.77272727272725</v>
      </c>
    </row>
    <row r="133" spans="1:15" ht="30.75" customHeight="1">
      <c r="A133" s="907" t="s">
        <v>360</v>
      </c>
      <c r="B133" s="908"/>
      <c r="C133" s="909"/>
      <c r="D133" s="151" t="s">
        <v>183</v>
      </c>
      <c r="E133" s="95">
        <f>'10'!F133</f>
        <v>154345.21</v>
      </c>
      <c r="F133" s="157">
        <v>155233.91</v>
      </c>
      <c r="G133" s="112">
        <f t="shared" si="10"/>
        <v>888.70000000001164</v>
      </c>
      <c r="H133" s="99">
        <f>G133+'10'!H133</f>
        <v>9851.9200000000128</v>
      </c>
      <c r="I133" s="165"/>
      <c r="J133" s="328">
        <f>H133/DAY(B2)</f>
        <v>895.62909090909204</v>
      </c>
    </row>
    <row r="134" spans="1:15" ht="30.75" customHeight="1">
      <c r="A134" s="907" t="s">
        <v>340</v>
      </c>
      <c r="B134" s="908"/>
      <c r="C134" s="909"/>
      <c r="D134" s="151" t="s">
        <v>183</v>
      </c>
      <c r="E134" s="95">
        <f>'10'!F134</f>
        <v>23208.3</v>
      </c>
      <c r="F134" s="157">
        <v>23443.71</v>
      </c>
      <c r="G134" s="112">
        <f t="shared" si="10"/>
        <v>235.40999999999985</v>
      </c>
      <c r="H134" s="99">
        <f>G134+'10'!H134</f>
        <v>2651.0299999999988</v>
      </c>
      <c r="I134" s="165"/>
      <c r="J134" s="328">
        <f>H134/DAY(B2)</f>
        <v>241.00272727272716</v>
      </c>
    </row>
    <row r="135" spans="1:15" ht="30.75" customHeight="1">
      <c r="A135" s="935" t="s">
        <v>196</v>
      </c>
      <c r="B135" s="936"/>
      <c r="C135" s="331"/>
      <c r="D135" s="151"/>
      <c r="E135" s="95"/>
      <c r="F135" s="165"/>
      <c r="G135" s="112">
        <f>SUM(G128:G134)</f>
        <v>3135.5500000000357</v>
      </c>
      <c r="H135" s="99">
        <f>G135+'10'!H135</f>
        <v>34844.400000000023</v>
      </c>
      <c r="I135" s="327">
        <f>G135-(G35+G49)</f>
        <v>-829.20999999997366</v>
      </c>
      <c r="J135" s="328">
        <f>H135/DAY(B2)</f>
        <v>3167.6727272727294</v>
      </c>
    </row>
    <row r="136" spans="1:15" ht="30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902" t="s">
        <v>185</v>
      </c>
      <c r="B138" s="902"/>
      <c r="C138" s="902"/>
      <c r="D138" s="151" t="s">
        <v>183</v>
      </c>
      <c r="E138" s="95">
        <f>'10'!F138</f>
        <v>875780</v>
      </c>
      <c r="F138" s="147">
        <v>875931</v>
      </c>
      <c r="G138" s="112">
        <f t="shared" ref="G138:G152" si="11">F138-E138</f>
        <v>151</v>
      </c>
      <c r="H138" s="99">
        <f>G138+'10'!H138</f>
        <v>1930</v>
      </c>
      <c r="I138" s="118"/>
      <c r="J138" s="328">
        <f>H138/DAY(B2)</f>
        <v>175.45454545454547</v>
      </c>
    </row>
    <row r="139" spans="1:15" ht="30.75" customHeight="1">
      <c r="A139" s="902" t="s">
        <v>186</v>
      </c>
      <c r="B139" s="902"/>
      <c r="C139" s="902"/>
      <c r="D139" s="151" t="s">
        <v>183</v>
      </c>
      <c r="E139" s="95">
        <f>'10'!F139</f>
        <v>891829</v>
      </c>
      <c r="F139" s="148">
        <v>891977</v>
      </c>
      <c r="G139" s="112">
        <f t="shared" si="11"/>
        <v>148</v>
      </c>
      <c r="H139" s="99">
        <f>G139+'10'!H139</f>
        <v>1659</v>
      </c>
      <c r="I139" s="118"/>
      <c r="J139" s="328">
        <f>H139/DAY(B2)</f>
        <v>150.81818181818181</v>
      </c>
    </row>
    <row r="140" spans="1:15" ht="30.75" customHeight="1">
      <c r="A140" s="902" t="s">
        <v>187</v>
      </c>
      <c r="B140" s="902"/>
      <c r="C140" s="902"/>
      <c r="D140" s="151" t="s">
        <v>183</v>
      </c>
      <c r="E140" s="95">
        <f>'10'!F140</f>
        <v>89008.6</v>
      </c>
      <c r="F140" s="149">
        <v>89008.6</v>
      </c>
      <c r="G140" s="112">
        <f t="shared" si="11"/>
        <v>0</v>
      </c>
      <c r="H140" s="99">
        <f>G140+'10'!H140</f>
        <v>18.600000000005821</v>
      </c>
      <c r="I140" s="118"/>
      <c r="J140" s="328">
        <f>H140/DAY(B2)</f>
        <v>1.69090909090962</v>
      </c>
    </row>
    <row r="141" spans="1:15" ht="30.75" customHeight="1">
      <c r="A141" s="906" t="s">
        <v>188</v>
      </c>
      <c r="B141" s="906"/>
      <c r="C141" s="906"/>
      <c r="D141" s="151" t="s">
        <v>183</v>
      </c>
      <c r="E141" s="95">
        <f>'10'!F141</f>
        <v>67751.600000000006</v>
      </c>
      <c r="F141" s="149">
        <v>67940.539999999994</v>
      </c>
      <c r="G141" s="112">
        <f t="shared" si="11"/>
        <v>188.93999999998778</v>
      </c>
      <c r="H141" s="99">
        <f>G141+'10'!H141</f>
        <v>2157.0099999999948</v>
      </c>
      <c r="I141" s="118"/>
      <c r="J141" s="328">
        <f>H141/DAY(B2)</f>
        <v>196.0918181818177</v>
      </c>
    </row>
    <row r="142" spans="1:15" ht="30.75" customHeight="1">
      <c r="A142" s="906" t="s">
        <v>189</v>
      </c>
      <c r="B142" s="906"/>
      <c r="C142" s="906"/>
      <c r="D142" s="151" t="s">
        <v>183</v>
      </c>
      <c r="E142" s="95">
        <f>'10'!F142</f>
        <v>26218.720000000001</v>
      </c>
      <c r="F142" s="148">
        <v>26276.06</v>
      </c>
      <c r="G142" s="112">
        <f t="shared" si="11"/>
        <v>57.340000000000146</v>
      </c>
      <c r="H142" s="99">
        <f>G142+'10'!H142</f>
        <v>779.65999999999985</v>
      </c>
      <c r="I142" s="140"/>
      <c r="J142" s="328">
        <f>H142/DAY(B2)</f>
        <v>70.878181818181801</v>
      </c>
    </row>
    <row r="143" spans="1:15" ht="30.75" customHeight="1">
      <c r="A143" s="902" t="s">
        <v>91</v>
      </c>
      <c r="B143" s="902"/>
      <c r="C143" s="902"/>
      <c r="D143" s="151" t="s">
        <v>183</v>
      </c>
      <c r="E143" s="95">
        <f>'10'!F143</f>
        <v>5840.83</v>
      </c>
      <c r="F143" s="149">
        <v>5867.18</v>
      </c>
      <c r="G143" s="112">
        <f t="shared" si="11"/>
        <v>26.350000000000364</v>
      </c>
      <c r="H143" s="99">
        <f>G143+'10'!H143</f>
        <v>306.47000000000025</v>
      </c>
      <c r="I143" s="140"/>
      <c r="J143" s="328">
        <f>H143/DAY(B2)</f>
        <v>27.860909090909114</v>
      </c>
    </row>
    <row r="144" spans="1:15" ht="30.75" customHeight="1">
      <c r="A144" s="906" t="s">
        <v>90</v>
      </c>
      <c r="B144" s="906"/>
      <c r="C144" s="906"/>
      <c r="D144" s="151" t="s">
        <v>183</v>
      </c>
      <c r="E144" s="95">
        <f>'10'!F144</f>
        <v>892377</v>
      </c>
      <c r="F144" s="149">
        <v>892627</v>
      </c>
      <c r="G144" s="112">
        <f t="shared" si="11"/>
        <v>250</v>
      </c>
      <c r="H144" s="99">
        <f>G144+'10'!H144</f>
        <v>2793</v>
      </c>
      <c r="I144" s="140"/>
      <c r="J144" s="328">
        <f>H144/DAY(B2)</f>
        <v>253.90909090909091</v>
      </c>
    </row>
    <row r="145" spans="1:10" ht="30.75" customHeight="1">
      <c r="A145" s="902" t="s">
        <v>190</v>
      </c>
      <c r="B145" s="902"/>
      <c r="C145" s="902"/>
      <c r="D145" s="152" t="s">
        <v>183</v>
      </c>
      <c r="E145" s="95">
        <f>'10'!F145</f>
        <v>5574.13</v>
      </c>
      <c r="F145" s="149">
        <v>5577.62</v>
      </c>
      <c r="G145" s="112">
        <f t="shared" si="11"/>
        <v>3.4899999999997817</v>
      </c>
      <c r="H145" s="99">
        <f>G145+'10'!H145</f>
        <v>21.220000000000255</v>
      </c>
      <c r="I145" s="140"/>
      <c r="J145" s="328">
        <f>H145/DAY(B2)</f>
        <v>1.9290909090909323</v>
      </c>
    </row>
    <row r="146" spans="1:10" ht="30.75" customHeight="1">
      <c r="A146" s="903" t="s">
        <v>191</v>
      </c>
      <c r="B146" s="904"/>
      <c r="C146" s="905"/>
      <c r="D146" s="152" t="s">
        <v>183</v>
      </c>
      <c r="E146" s="95">
        <f>'10'!F146</f>
        <v>769513</v>
      </c>
      <c r="F146" s="148">
        <v>769900</v>
      </c>
      <c r="G146" s="112">
        <f t="shared" si="11"/>
        <v>387</v>
      </c>
      <c r="H146" s="99">
        <f>G146+'10'!H146</f>
        <v>5574</v>
      </c>
      <c r="I146" s="140"/>
      <c r="J146" s="328">
        <f>H146/DAY(B2)</f>
        <v>506.72727272727275</v>
      </c>
    </row>
    <row r="147" spans="1:10" ht="30.75" customHeight="1">
      <c r="A147" s="906" t="s">
        <v>192</v>
      </c>
      <c r="B147" s="906"/>
      <c r="C147" s="906"/>
      <c r="D147" s="152" t="s">
        <v>183</v>
      </c>
      <c r="E147" s="95">
        <f>'10'!F147</f>
        <v>654659.24</v>
      </c>
      <c r="F147" s="148">
        <v>655076.12</v>
      </c>
      <c r="G147" s="112">
        <f t="shared" si="11"/>
        <v>416.88000000000466</v>
      </c>
      <c r="H147" s="99">
        <f>G147+'10'!H147</f>
        <v>4892.1199999999953</v>
      </c>
      <c r="I147" s="140"/>
      <c r="J147" s="328">
        <f>H147/DAY(B2)</f>
        <v>444.73818181818137</v>
      </c>
    </row>
    <row r="148" spans="1:10" ht="30.75" customHeight="1">
      <c r="A148" s="898" t="s">
        <v>193</v>
      </c>
      <c r="B148" s="899"/>
      <c r="C148" s="900"/>
      <c r="D148" s="123" t="s">
        <v>130</v>
      </c>
      <c r="E148" s="95">
        <f>'10'!F148</f>
        <v>712472.64</v>
      </c>
      <c r="F148" s="150">
        <v>712830.72</v>
      </c>
      <c r="G148" s="112">
        <f t="shared" si="11"/>
        <v>358.07999999995809</v>
      </c>
      <c r="H148" s="99">
        <f>G148+'10'!H148</f>
        <v>3966.0399999999208</v>
      </c>
      <c r="I148" s="124"/>
      <c r="J148" s="328">
        <f>H148/DAY(B2)</f>
        <v>360.5490909090837</v>
      </c>
    </row>
    <row r="149" spans="1:10" ht="30.75" customHeight="1">
      <c r="A149" s="898" t="s">
        <v>336</v>
      </c>
      <c r="B149" s="899"/>
      <c r="C149" s="900"/>
      <c r="D149" s="227" t="s">
        <v>130</v>
      </c>
      <c r="E149" s="95">
        <f>'10'!F149</f>
        <v>70437.100000000006</v>
      </c>
      <c r="F149" s="146">
        <v>71048.14</v>
      </c>
      <c r="G149" s="112">
        <f t="shared" si="11"/>
        <v>611.0399999999936</v>
      </c>
      <c r="H149" s="99">
        <f>G149+'10'!H149</f>
        <v>7824.3399999999965</v>
      </c>
      <c r="I149" s="119"/>
      <c r="J149" s="328">
        <f>H149/DAY(B2)</f>
        <v>711.30363636363609</v>
      </c>
    </row>
    <row r="150" spans="1:10" ht="30.75" customHeight="1">
      <c r="A150" s="898" t="s">
        <v>337</v>
      </c>
      <c r="B150" s="899"/>
      <c r="C150" s="900"/>
      <c r="D150" s="117" t="s">
        <v>130</v>
      </c>
      <c r="E150" s="95">
        <f>'10'!F150</f>
        <v>26180.86</v>
      </c>
      <c r="F150" s="233">
        <v>26407.19</v>
      </c>
      <c r="G150" s="112">
        <f t="shared" si="11"/>
        <v>226.32999999999811</v>
      </c>
      <c r="H150" s="99">
        <f>G150+'10'!H150</f>
        <v>2451.3999999999978</v>
      </c>
      <c r="I150" s="119"/>
      <c r="J150" s="328">
        <f>H150/DAY(B2)</f>
        <v>222.85454545454525</v>
      </c>
    </row>
    <row r="151" spans="1:10" ht="30.75" customHeight="1">
      <c r="A151" s="898" t="s">
        <v>338</v>
      </c>
      <c r="B151" s="899"/>
      <c r="C151" s="900"/>
      <c r="D151" s="117" t="s">
        <v>130</v>
      </c>
      <c r="E151" s="95">
        <f>'10'!F151</f>
        <v>103435</v>
      </c>
      <c r="F151" s="233">
        <v>103731</v>
      </c>
      <c r="G151" s="112">
        <f t="shared" si="11"/>
        <v>296</v>
      </c>
      <c r="H151" s="99">
        <f>G151+'10'!H151</f>
        <v>3120</v>
      </c>
      <c r="I151" s="119"/>
      <c r="J151" s="328">
        <f>H151/DAY(B2)</f>
        <v>283.63636363636363</v>
      </c>
    </row>
    <row r="152" spans="1:10" ht="30.75" customHeight="1">
      <c r="A152" s="898" t="s">
        <v>339</v>
      </c>
      <c r="B152" s="899"/>
      <c r="C152" s="900"/>
      <c r="D152" s="117" t="s">
        <v>130</v>
      </c>
      <c r="E152" s="95">
        <f>'10'!F152</f>
        <v>9304.76</v>
      </c>
      <c r="F152" s="233">
        <v>9436.5499999999993</v>
      </c>
      <c r="G152" s="112">
        <f t="shared" si="11"/>
        <v>131.78999999999905</v>
      </c>
      <c r="H152" s="99">
        <f>G152+'10'!H152</f>
        <v>1367.4899999999989</v>
      </c>
      <c r="I152" s="119"/>
      <c r="J152" s="328">
        <f>H152/DAY(B2)</f>
        <v>124.31727272727262</v>
      </c>
    </row>
    <row r="153" spans="1:10" ht="30.7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3252.2399999999416</v>
      </c>
      <c r="H153" s="363"/>
      <c r="I153" s="119">
        <f>G153-(G38+G52)</f>
        <v>859.21999999995205</v>
      </c>
      <c r="J153" s="366"/>
    </row>
    <row r="154" spans="1:10" ht="30.7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30.75" customHeight="1">
      <c r="A155" s="906" t="s">
        <v>345</v>
      </c>
      <c r="B155" s="906"/>
      <c r="C155" s="906"/>
      <c r="D155" s="117" t="s">
        <v>130</v>
      </c>
      <c r="E155" s="95">
        <f>'10'!F155</f>
        <v>79385</v>
      </c>
      <c r="F155" s="157">
        <v>80035</v>
      </c>
      <c r="G155" s="112">
        <f t="shared" ref="G155:G159" si="12">F155-E155</f>
        <v>650</v>
      </c>
      <c r="H155" s="99">
        <f>G155+'10'!H155</f>
        <v>7264.5</v>
      </c>
      <c r="I155" s="364"/>
      <c r="J155" s="328">
        <f>H155/DAY(B2)</f>
        <v>660.40909090909088</v>
      </c>
    </row>
    <row r="156" spans="1:10" ht="30.75" customHeight="1">
      <c r="A156" s="906" t="s">
        <v>347</v>
      </c>
      <c r="B156" s="906"/>
      <c r="C156" s="906"/>
      <c r="D156" s="117" t="s">
        <v>130</v>
      </c>
      <c r="E156" s="95">
        <f>'10'!F156</f>
        <v>6587</v>
      </c>
      <c r="F156" s="155">
        <v>6637</v>
      </c>
      <c r="G156" s="112">
        <f t="shared" si="12"/>
        <v>50</v>
      </c>
      <c r="H156" s="99">
        <f>G156+'10'!H156</f>
        <v>579.75</v>
      </c>
      <c r="I156" s="165"/>
      <c r="J156" s="328">
        <f>H156/DAY(B2)</f>
        <v>52.704545454545453</v>
      </c>
    </row>
    <row r="157" spans="1:10" ht="30.75" customHeight="1">
      <c r="A157" s="898" t="s">
        <v>361</v>
      </c>
      <c r="B157" s="899"/>
      <c r="C157" s="900"/>
      <c r="D157" s="117" t="s">
        <v>130</v>
      </c>
      <c r="E157" s="95">
        <f>'10'!F157</f>
        <v>11314.4</v>
      </c>
      <c r="F157" s="155">
        <v>11425.17</v>
      </c>
      <c r="G157" s="112">
        <f t="shared" si="12"/>
        <v>110.77000000000044</v>
      </c>
      <c r="H157" s="99">
        <f>G157+'10'!H157</f>
        <v>212.22999999999956</v>
      </c>
      <c r="I157" s="165"/>
      <c r="J157" s="328">
        <f>H157/DAY(B2)</f>
        <v>19.293636363636324</v>
      </c>
    </row>
    <row r="158" spans="1:10" ht="30.75" customHeight="1">
      <c r="A158" s="898" t="s">
        <v>362</v>
      </c>
      <c r="B158" s="899"/>
      <c r="C158" s="900"/>
      <c r="D158" s="117" t="s">
        <v>130</v>
      </c>
      <c r="E158" s="95">
        <f>'10'!F158</f>
        <v>92.5</v>
      </c>
      <c r="F158" s="155">
        <v>92.25</v>
      </c>
      <c r="G158" s="112">
        <f t="shared" si="12"/>
        <v>-0.25</v>
      </c>
      <c r="H158" s="99">
        <f>G158+'10'!H158</f>
        <v>0.25</v>
      </c>
      <c r="I158" s="165"/>
      <c r="J158" s="328">
        <f>H158/DAY(B2)</f>
        <v>2.2727272727272728E-2</v>
      </c>
    </row>
    <row r="159" spans="1:10" ht="30.75" customHeight="1">
      <c r="A159" s="957"/>
      <c r="B159" s="958"/>
      <c r="C159" s="959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473855</v>
      </c>
      <c r="F161" s="235">
        <v>473895.4</v>
      </c>
      <c r="G161" s="238">
        <f>F161-E161</f>
        <v>40.400000000023283</v>
      </c>
      <c r="H161" s="99">
        <f>G161+'10'!H161</f>
        <v>54.67000000004191</v>
      </c>
      <c r="I161" s="236"/>
      <c r="J161" s="239">
        <f>H161/DAY(B2)</f>
        <v>4.97000000000381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90781.9</v>
      </c>
      <c r="F162" s="235">
        <v>90822.1</v>
      </c>
      <c r="G162" s="238">
        <f t="shared" ref="G162:G165" si="13">F162-E162</f>
        <v>40.200000000011642</v>
      </c>
      <c r="H162" s="99">
        <f>G162+'10'!H162</f>
        <v>369.20000000001164</v>
      </c>
      <c r="I162" s="236"/>
      <c r="J162" s="239">
        <f>H162/DAY(B2)</f>
        <v>33.563636363637421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88822.6</v>
      </c>
      <c r="F163" s="235">
        <v>88960.6</v>
      </c>
      <c r="G163" s="238">
        <f t="shared" si="13"/>
        <v>138</v>
      </c>
      <c r="H163" s="99">
        <f>G163+'10'!H163</f>
        <v>1881.8000000000029</v>
      </c>
      <c r="I163" s="236"/>
      <c r="J163" s="239">
        <f>H163/DAY(B2)</f>
        <v>171.07272727272755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4956.3999999999996</v>
      </c>
      <c r="F164" s="235">
        <v>4968.8999999999996</v>
      </c>
      <c r="G164" s="238">
        <f t="shared" si="13"/>
        <v>12.5</v>
      </c>
      <c r="H164" s="99">
        <f>G164+'10'!H164</f>
        <v>156.5</v>
      </c>
      <c r="I164" s="236"/>
      <c r="J164" s="239">
        <f>H164/DAY(B2)</f>
        <v>14.227272727272727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30420.0736</v>
      </c>
      <c r="F165" s="235">
        <v>30429.59</v>
      </c>
      <c r="G165" s="238">
        <f t="shared" si="13"/>
        <v>9.5164000000004307</v>
      </c>
      <c r="H165" s="99">
        <f>G165+'10'!H165</f>
        <v>74.080000000001746</v>
      </c>
      <c r="I165" s="236"/>
      <c r="J165" s="239">
        <f>H165/DAY(B2)</f>
        <v>6.7345454545456134</v>
      </c>
    </row>
    <row r="166" spans="1:10" ht="30.75" customHeight="1">
      <c r="A166" s="938"/>
      <c r="B166" s="938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8"/>
      <c r="B167" s="938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8"/>
      <c r="B168" s="938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30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6" t="s">
        <v>209</v>
      </c>
      <c r="B173" s="897"/>
      <c r="C173" s="333"/>
      <c r="D173" s="228" t="s">
        <v>142</v>
      </c>
      <c r="E173" s="95">
        <f>'10'!F173</f>
        <v>8265</v>
      </c>
      <c r="F173" s="157">
        <v>8265</v>
      </c>
      <c r="G173" s="155">
        <f>F173-E173</f>
        <v>0</v>
      </c>
      <c r="H173" s="99">
        <f>G173+'10'!H173</f>
        <v>1</v>
      </c>
      <c r="I173" s="155"/>
      <c r="J173" s="178">
        <f>H173/DAY(B2)</f>
        <v>9.0909090909090912E-2</v>
      </c>
    </row>
    <row r="174" spans="1:10" ht="30.75" customHeight="1">
      <c r="A174" s="896" t="s">
        <v>75</v>
      </c>
      <c r="B174" s="897"/>
      <c r="C174" s="333"/>
      <c r="D174" s="228" t="s">
        <v>142</v>
      </c>
      <c r="E174" s="95">
        <f>'10'!F174</f>
        <v>39609</v>
      </c>
      <c r="F174" s="157">
        <v>39626</v>
      </c>
      <c r="G174" s="155">
        <f t="shared" ref="G174:G175" si="14">F174-E174</f>
        <v>17</v>
      </c>
      <c r="H174" s="99">
        <f>G174+'10'!H174</f>
        <v>164</v>
      </c>
      <c r="I174" s="155"/>
      <c r="J174" s="178">
        <f>H174/DAY(B2)</f>
        <v>14.909090909090908</v>
      </c>
    </row>
    <row r="175" spans="1:10" ht="30.75" customHeight="1">
      <c r="A175" s="896" t="s">
        <v>76</v>
      </c>
      <c r="B175" s="901"/>
      <c r="C175" s="897"/>
      <c r="D175" s="228" t="s">
        <v>142</v>
      </c>
      <c r="E175" s="95">
        <f>'10'!F175</f>
        <v>22644</v>
      </c>
      <c r="F175" s="155">
        <v>22657</v>
      </c>
      <c r="G175" s="155">
        <f t="shared" si="14"/>
        <v>13</v>
      </c>
      <c r="H175" s="99">
        <f>G175+'10'!H175</f>
        <v>135</v>
      </c>
      <c r="I175" s="155"/>
      <c r="J175" s="178">
        <f>H175/DAY(B2)</f>
        <v>12.272727272727273</v>
      </c>
    </row>
    <row r="176" spans="1:10" ht="30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G176+'10'!H176</f>
        <v>300</v>
      </c>
      <c r="I176" s="155"/>
      <c r="J176" s="178">
        <f>H176/DAY(B2)</f>
        <v>27.272727272727273</v>
      </c>
    </row>
    <row r="177" spans="1:10" ht="30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6" t="s">
        <v>210</v>
      </c>
      <c r="B178" s="897"/>
      <c r="C178" s="333"/>
      <c r="D178" s="228" t="s">
        <v>142</v>
      </c>
      <c r="E178" s="95">
        <f>'10'!F178</f>
        <v>86575</v>
      </c>
      <c r="F178" s="155">
        <v>86660</v>
      </c>
      <c r="G178" s="155">
        <f>F178-E178</f>
        <v>85</v>
      </c>
      <c r="H178" s="99">
        <f>G178+'10'!H178</f>
        <v>1044</v>
      </c>
      <c r="I178" s="155"/>
      <c r="J178" s="178">
        <f>H178/DAY(B2)</f>
        <v>94.909090909090907</v>
      </c>
    </row>
    <row r="179" spans="1:10" ht="30.75" customHeight="1">
      <c r="A179" s="896" t="s">
        <v>211</v>
      </c>
      <c r="B179" s="897"/>
      <c r="C179" s="333"/>
      <c r="D179" s="228" t="s">
        <v>142</v>
      </c>
      <c r="E179" s="95">
        <f>'10'!F179</f>
        <v>35710</v>
      </c>
      <c r="F179" s="155">
        <v>35710</v>
      </c>
      <c r="G179" s="155">
        <f t="shared" ref="G179:G180" si="15">F179-E179</f>
        <v>0</v>
      </c>
      <c r="H179" s="99">
        <f>G179+'10'!H179</f>
        <v>96</v>
      </c>
      <c r="I179" s="155"/>
      <c r="J179" s="178">
        <f>H179/DAY(B2)</f>
        <v>8.7272727272727266</v>
      </c>
    </row>
    <row r="180" spans="1:10" ht="30.75" customHeight="1">
      <c r="A180" s="896" t="s">
        <v>212</v>
      </c>
      <c r="B180" s="897"/>
      <c r="C180" s="333"/>
      <c r="D180" s="228" t="s">
        <v>142</v>
      </c>
      <c r="E180" s="95">
        <f>'10'!F180</f>
        <v>6217</v>
      </c>
      <c r="F180" s="155">
        <v>6234</v>
      </c>
      <c r="G180" s="155">
        <f t="shared" si="15"/>
        <v>17</v>
      </c>
      <c r="H180" s="99">
        <f>G180+'10'!H180</f>
        <v>101</v>
      </c>
      <c r="I180" s="155"/>
      <c r="J180" s="178">
        <f>H180/DAY(B2)</f>
        <v>9.1818181818181817</v>
      </c>
    </row>
    <row r="181" spans="1:10" ht="30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102</v>
      </c>
      <c r="H181" s="99">
        <f>G181+'10'!H181</f>
        <v>1241</v>
      </c>
      <c r="I181" s="155"/>
      <c r="J181" s="178">
        <f>H181/DAY(B2)</f>
        <v>112.81818181818181</v>
      </c>
    </row>
    <row r="182" spans="1:10" ht="30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6" t="s">
        <v>214</v>
      </c>
      <c r="B183" s="897"/>
      <c r="C183" s="334"/>
      <c r="D183" s="228" t="s">
        <v>142</v>
      </c>
      <c r="E183" s="95">
        <f>'10'!F183</f>
        <v>16328</v>
      </c>
      <c r="F183" s="157">
        <v>16344</v>
      </c>
      <c r="G183" s="157">
        <f>F183-E183</f>
        <v>16</v>
      </c>
      <c r="H183" s="99">
        <f>G183+'10'!H183</f>
        <v>202</v>
      </c>
      <c r="I183" s="155"/>
      <c r="J183" s="178">
        <f>H183/DAY(B2)</f>
        <v>18.363636363636363</v>
      </c>
    </row>
    <row r="184" spans="1:10" ht="30.75" customHeight="1">
      <c r="A184" s="896" t="s">
        <v>215</v>
      </c>
      <c r="B184" s="897"/>
      <c r="C184" s="334"/>
      <c r="D184" s="228" t="s">
        <v>142</v>
      </c>
      <c r="E184" s="95">
        <f>'10'!F184</f>
        <v>11116</v>
      </c>
      <c r="F184" s="157">
        <v>11122</v>
      </c>
      <c r="G184" s="157">
        <f t="shared" ref="G184:G185" si="16">F184-E184</f>
        <v>6</v>
      </c>
      <c r="H184" s="99">
        <f>G184+'10'!H184</f>
        <v>73</v>
      </c>
      <c r="I184" s="155"/>
      <c r="J184" s="178">
        <f>H184/DAY(B2)</f>
        <v>6.6363636363636367</v>
      </c>
    </row>
    <row r="185" spans="1:10" ht="30.75" customHeight="1">
      <c r="A185" s="896" t="s">
        <v>216</v>
      </c>
      <c r="B185" s="89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22</v>
      </c>
      <c r="H186" s="99">
        <f>G186+'10'!H186</f>
        <v>275</v>
      </c>
      <c r="I186" s="157"/>
      <c r="J186" s="178">
        <f>H186/DAY(B2)</f>
        <v>25</v>
      </c>
    </row>
    <row r="187" spans="1:10" ht="30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215</v>
      </c>
      <c r="H187" s="99">
        <f>G187+'10'!H187</f>
        <v>2523</v>
      </c>
      <c r="I187" s="158"/>
      <c r="J187" s="179">
        <f>H187/DAY(B2)</f>
        <v>229.36363636363637</v>
      </c>
    </row>
    <row r="188" spans="1:10" ht="30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237</v>
      </c>
      <c r="H188" s="99">
        <f>G188+'10'!H188</f>
        <v>2516</v>
      </c>
      <c r="I188" s="158"/>
      <c r="J188" s="179">
        <f>H188/DAY(B2)</f>
        <v>228.72727272727272</v>
      </c>
    </row>
    <row r="189" spans="1:10" ht="30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102</v>
      </c>
      <c r="H189" s="99">
        <f>G189+'10'!H189</f>
        <v>1241</v>
      </c>
      <c r="I189" s="158"/>
      <c r="J189" s="179">
        <f>H189/DAY(B2)</f>
        <v>112.81818181818181</v>
      </c>
    </row>
    <row r="190" spans="1:10" ht="30.75" customHeight="1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6" zoomScale="55" zoomScaleNormal="75" zoomScaleSheetLayoutView="55" workbookViewId="0">
      <selection activeCell="F146" sqref="F146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32.25" customHeight="1">
      <c r="A2" s="191" t="s">
        <v>303</v>
      </c>
      <c r="B2" s="262">
        <v>44663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291026.25</v>
      </c>
      <c r="F7" s="95">
        <v>319120</v>
      </c>
      <c r="G7" s="112">
        <f>F7-E7</f>
        <v>28093.75</v>
      </c>
      <c r="H7" s="99">
        <f>G7+'11'!H7</f>
        <v>332397</v>
      </c>
      <c r="I7" s="113">
        <f>'1'!I7</f>
        <v>12000</v>
      </c>
      <c r="J7" s="175">
        <f>H7/DAY(B2)</f>
        <v>27699.75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368046</v>
      </c>
      <c r="F8" s="114">
        <v>396634</v>
      </c>
      <c r="G8" s="115">
        <f>F8-E8</f>
        <v>28588</v>
      </c>
      <c r="H8" s="99">
        <f>G8+'11'!H8</f>
        <v>338587.78</v>
      </c>
      <c r="I8" s="116"/>
      <c r="J8" s="175">
        <f>H8/DAY(B2)</f>
        <v>28215.648333333334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1484842.4</v>
      </c>
      <c r="F9" s="470">
        <v>1505808</v>
      </c>
      <c r="G9" s="112">
        <f>F9-E9</f>
        <v>20965.600000000093</v>
      </c>
      <c r="H9" s="99">
        <f>G9+'11'!H9</f>
        <v>238133</v>
      </c>
      <c r="I9" s="124">
        <f>I7-J7</f>
        <v>-15699.75</v>
      </c>
      <c r="J9" s="175">
        <f>H9/DAY(B2)</f>
        <v>19844.416666666668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496866.87</v>
      </c>
      <c r="F10" s="353">
        <v>503214</v>
      </c>
      <c r="G10" s="112">
        <f t="shared" ref="G10:G12" si="0">F10-E10</f>
        <v>6347.1300000000047</v>
      </c>
      <c r="H10" s="99">
        <f>G10+'11'!H10</f>
        <v>84938.530000000028</v>
      </c>
      <c r="I10" s="282"/>
      <c r="J10" s="175">
        <f>H10/DAY(B2)</f>
        <v>7078.2108333333354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27312.730000000098</v>
      </c>
      <c r="H13" s="99">
        <f>G13+'11'!H13</f>
        <v>323072</v>
      </c>
      <c r="I13" s="120">
        <f>G7-G13</f>
        <v>781.01999999990221</v>
      </c>
      <c r="J13" s="175">
        <f>H13/DAY(B2)</f>
        <v>26922.666666666668</v>
      </c>
      <c r="K13" s="79"/>
      <c r="L13" s="66"/>
      <c r="N13" s="87"/>
      <c r="O13" s="71"/>
    </row>
    <row r="14" spans="1:15" ht="32.2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1982964.26</v>
      </c>
      <c r="F15" s="470">
        <v>1984081</v>
      </c>
      <c r="G15" s="112">
        <f>(F15-E15)</f>
        <v>1116.7399999999907</v>
      </c>
      <c r="H15" s="99">
        <f>G15+'11'!H15</f>
        <v>13144</v>
      </c>
      <c r="I15" s="113">
        <f>'1'!I15</f>
        <v>800</v>
      </c>
      <c r="J15" s="175">
        <f>H15/DAY(B2)</f>
        <v>1095.3333333333333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-295.33333333333326</v>
      </c>
      <c r="J16" s="176"/>
      <c r="K16" s="79"/>
      <c r="L16" s="66"/>
      <c r="N16" s="87"/>
      <c r="O16" s="71"/>
    </row>
    <row r="17" spans="1:15" ht="32.2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4" t="s">
        <v>141</v>
      </c>
      <c r="B18" s="875"/>
      <c r="C18" s="876"/>
      <c r="D18" s="151" t="s">
        <v>142</v>
      </c>
      <c r="E18" s="95">
        <f>'11'!F18</f>
        <v>21</v>
      </c>
      <c r="F18" s="122">
        <v>21</v>
      </c>
      <c r="G18" s="119">
        <f>F18*10</f>
        <v>210</v>
      </c>
      <c r="H18" s="99">
        <f>G18+'11'!H18</f>
        <v>2990</v>
      </c>
      <c r="I18" s="113">
        <f>'1'!I18</f>
        <v>65</v>
      </c>
      <c r="J18" s="175">
        <f>H18/DAY(B2)</f>
        <v>249.16666666666666</v>
      </c>
      <c r="K18" s="79"/>
      <c r="L18" s="66"/>
      <c r="N18" s="87"/>
      <c r="O18" s="71"/>
    </row>
    <row r="19" spans="1:15" ht="32.25" customHeight="1">
      <c r="A19" s="874" t="s">
        <v>69</v>
      </c>
      <c r="B19" s="875"/>
      <c r="C19" s="876"/>
      <c r="D19" s="151" t="s">
        <v>142</v>
      </c>
      <c r="E19" s="95">
        <f>'11'!F19</f>
        <v>157504</v>
      </c>
      <c r="F19" s="122">
        <v>157554</v>
      </c>
      <c r="G19" s="112">
        <f t="shared" ref="G19" si="1">F19-E19</f>
        <v>50</v>
      </c>
      <c r="H19" s="99">
        <f>G19+'11'!H19</f>
        <v>565</v>
      </c>
      <c r="I19" s="335"/>
      <c r="J19" s="175">
        <f>H19/DAY(B2)</f>
        <v>47.083333333333336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G20+'11'!H20</f>
        <v>3555</v>
      </c>
      <c r="I20" s="336">
        <f>I18-J20</f>
        <v>-231.25</v>
      </c>
      <c r="J20" s="175">
        <f>H20/DAY(B2)</f>
        <v>296.25</v>
      </c>
      <c r="K20" s="79"/>
      <c r="L20" s="66"/>
      <c r="N20" s="87"/>
      <c r="O20" s="71"/>
    </row>
    <row r="21" spans="1:15" ht="32.2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28588</v>
      </c>
      <c r="F27" s="136">
        <v>9</v>
      </c>
      <c r="G27" s="137">
        <f>E27*F27</f>
        <v>257292</v>
      </c>
      <c r="H27" s="99">
        <f>G27+'11'!H27</f>
        <v>3047290.02</v>
      </c>
      <c r="I27" s="138"/>
      <c r="J27" s="175">
        <f>H27/DAY(B2)</f>
        <v>253940.83499999999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1116.7399999999907</v>
      </c>
      <c r="F28" s="136">
        <v>70</v>
      </c>
      <c r="G28" s="137">
        <f>E28*F28</f>
        <v>78171.799999999348</v>
      </c>
      <c r="H28" s="99">
        <f>G28+'11'!H28</f>
        <v>860805.4599999995</v>
      </c>
      <c r="I28" s="140"/>
      <c r="J28" s="175">
        <f>H28/DAY(B2)</f>
        <v>71733.788333333287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G30+'11'!H30</f>
        <v>84645</v>
      </c>
      <c r="I30" s="140"/>
      <c r="J30" s="175">
        <f>H30/DAY(B2)</f>
        <v>7053.75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G31+'11'!H31</f>
        <v>239200</v>
      </c>
      <c r="I31" s="140"/>
      <c r="J31" s="175">
        <f>H31/DAY(B2)</f>
        <v>19933.333333333332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359813.79999999935</v>
      </c>
      <c r="H32" s="99">
        <f>G32+'11'!H32</f>
        <v>4231940.4799999995</v>
      </c>
      <c r="I32" s="144"/>
      <c r="J32" s="175">
        <f>H32/DAY(B2)</f>
        <v>352661.70666666661</v>
      </c>
      <c r="K32" s="63"/>
      <c r="L32" s="89"/>
      <c r="N32" s="87"/>
      <c r="O32" s="71"/>
    </row>
    <row r="33" spans="1:15" ht="32.2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161989.14000000001</v>
      </c>
      <c r="F35" s="145">
        <v>164186</v>
      </c>
      <c r="G35" s="112">
        <f t="shared" ref="G35:G46" si="3">F35-E35</f>
        <v>2196.859999999986</v>
      </c>
      <c r="H35" s="99">
        <f>G35+'11'!H35</f>
        <v>25906.790000000008</v>
      </c>
      <c r="I35" s="95"/>
      <c r="J35" s="175">
        <f>H35/DAY(B2)</f>
        <v>2158.8991666666675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111077.03</v>
      </c>
      <c r="F36" s="145">
        <v>112130</v>
      </c>
      <c r="G36" s="112">
        <f t="shared" si="3"/>
        <v>1052.9700000000012</v>
      </c>
      <c r="H36" s="99">
        <f>G36+'11'!H36</f>
        <v>11609.339999999997</v>
      </c>
      <c r="I36" s="95"/>
      <c r="J36" s="175">
        <f>H36/DAY(B2)</f>
        <v>967.44499999999971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150666.10999999999</v>
      </c>
      <c r="F37" s="376">
        <v>152325</v>
      </c>
      <c r="G37" s="112">
        <f t="shared" si="3"/>
        <v>1658.890000000014</v>
      </c>
      <c r="H37" s="99">
        <f>G37+'11'!H37</f>
        <v>19399.98000000001</v>
      </c>
      <c r="I37" s="95"/>
      <c r="J37" s="175">
        <f>H37/DAY(B2)</f>
        <v>1616.6650000000009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198013.33</v>
      </c>
      <c r="F38" s="108">
        <v>200374</v>
      </c>
      <c r="G38" s="112">
        <f t="shared" si="3"/>
        <v>2360.6700000000128</v>
      </c>
      <c r="H38" s="99">
        <f>G38+'11'!H38</f>
        <v>30264.630000000005</v>
      </c>
      <c r="I38" s="95"/>
      <c r="J38" s="175">
        <f>H38/DAY(B2)</f>
        <v>2522.0525000000002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280350.87</v>
      </c>
      <c r="F39" s="145">
        <v>283582</v>
      </c>
      <c r="G39" s="112">
        <f t="shared" si="3"/>
        <v>3231.1300000000047</v>
      </c>
      <c r="H39" s="99">
        <f>G39+'11'!H39</f>
        <v>39428.570000000007</v>
      </c>
      <c r="I39" s="95"/>
      <c r="J39" s="175">
        <f>H39/DAY(B2)</f>
        <v>3285.7141666666671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54436.97</v>
      </c>
      <c r="F40" s="145">
        <v>54946</v>
      </c>
      <c r="G40" s="112">
        <f t="shared" si="3"/>
        <v>509.02999999999884</v>
      </c>
      <c r="H40" s="99">
        <f>G40+'11'!H40</f>
        <v>5794.1399999999994</v>
      </c>
      <c r="I40" s="95"/>
      <c r="J40" s="175">
        <f>H40/DAY(B2)</f>
        <v>482.84499999999997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333369.17</v>
      </c>
      <c r="F42" s="145">
        <v>339114</v>
      </c>
      <c r="G42" s="112">
        <f t="shared" si="3"/>
        <v>5744.8300000000163</v>
      </c>
      <c r="H42" s="99">
        <f>G42+'11'!H42</f>
        <v>57756.75</v>
      </c>
      <c r="I42" s="95"/>
      <c r="J42" s="175">
        <f>H42/DAY(B2)</f>
        <v>4813.0625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424">
        <v>293051.96999999997</v>
      </c>
      <c r="F43" s="376">
        <v>296575</v>
      </c>
      <c r="G43" s="112">
        <f t="shared" si="3"/>
        <v>3523.0300000000279</v>
      </c>
      <c r="H43" s="99">
        <f>G43+'11'!H43</f>
        <v>37820.53</v>
      </c>
      <c r="I43" s="95"/>
      <c r="J43" s="175">
        <f>H43/DAY(B2)</f>
        <v>3151.7108333333331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20277.410000000062</v>
      </c>
      <c r="H47" s="99">
        <f>G47+'11'!H47</f>
        <v>227980.72999999998</v>
      </c>
      <c r="I47" s="95"/>
      <c r="J47" s="175">
        <f>H47/DAY(B2)</f>
        <v>18998.394166666665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130328.87</v>
      </c>
      <c r="F49" s="145">
        <v>132155</v>
      </c>
      <c r="G49" s="112">
        <f t="shared" ref="G49:G58" si="4">F49-E49</f>
        <v>1826.1300000000047</v>
      </c>
      <c r="H49" s="99">
        <f>G49+'11'!H49</f>
        <v>21652.800000000003</v>
      </c>
      <c r="I49" s="95"/>
      <c r="J49" s="175">
        <f>H49/DAY(B2)</f>
        <v>1804.4000000000003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145">
        <v>146443.09</v>
      </c>
      <c r="F50" s="145">
        <v>147692</v>
      </c>
      <c r="G50" s="112">
        <f t="shared" si="4"/>
        <v>1248.9100000000035</v>
      </c>
      <c r="H50" s="99">
        <f>G50+'11'!H50</f>
        <v>16481.859999999986</v>
      </c>
      <c r="I50" s="95"/>
      <c r="J50" s="175">
        <f>H50/DAY(B2)</f>
        <v>1373.4883333333321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41132.370000000003</v>
      </c>
      <c r="F54" s="145">
        <v>41605</v>
      </c>
      <c r="G54" s="112">
        <f t="shared" si="4"/>
        <v>472.62999999999738</v>
      </c>
      <c r="H54" s="99">
        <f>G54+'11'!H54</f>
        <v>5933.9400000000023</v>
      </c>
      <c r="I54" s="95"/>
      <c r="J54" s="175">
        <f>H54/DAY(B2)</f>
        <v>494.49500000000018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119326.43</v>
      </c>
      <c r="F55" s="145">
        <v>121614</v>
      </c>
      <c r="G55" s="112">
        <f t="shared" si="4"/>
        <v>2287.570000000007</v>
      </c>
      <c r="H55" s="99">
        <f>G55+'11'!H55</f>
        <v>9132.9700000000012</v>
      </c>
      <c r="I55" s="95"/>
      <c r="J55" s="175">
        <f>H55/DAY(B2)</f>
        <v>761.08083333333343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93817.65</v>
      </c>
      <c r="F56" s="145">
        <v>93818</v>
      </c>
      <c r="G56" s="112">
        <f t="shared" si="4"/>
        <v>0.35000000000582077</v>
      </c>
      <c r="H56" s="99">
        <f>G56+'11'!H56</f>
        <v>22200.320000000007</v>
      </c>
      <c r="I56" s="95"/>
      <c r="J56" s="175">
        <f>H56/DAY(B2)</f>
        <v>1850.0266666666673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21108.82</v>
      </c>
      <c r="F58" s="145">
        <v>21328</v>
      </c>
      <c r="G58" s="112">
        <f t="shared" si="4"/>
        <v>219.18000000000029</v>
      </c>
      <c r="H58" s="99">
        <f>G58+'11'!H58</f>
        <v>2873.7999999999993</v>
      </c>
      <c r="I58" s="95"/>
      <c r="J58" s="175">
        <f>H58/DAY(B2)</f>
        <v>239.48333333333326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6054.7700000000186</v>
      </c>
      <c r="H59" s="99">
        <f>G59+'11'!H59</f>
        <v>78276.009999999995</v>
      </c>
      <c r="I59" s="95">
        <f>G7-G60</f>
        <v>1761.5699999999197</v>
      </c>
      <c r="J59" s="175">
        <f>H59/DAY(B2)</f>
        <v>6523.0008333333326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26332.18000000008</v>
      </c>
      <c r="H60" s="99">
        <f>G60+'11'!H60</f>
        <v>306256.74</v>
      </c>
      <c r="I60" s="95">
        <f>G13-G60</f>
        <v>980.55000000001746</v>
      </c>
      <c r="J60" s="175">
        <f>H60/DAY(B2)</f>
        <v>25521.395</v>
      </c>
      <c r="K60" s="79"/>
      <c r="L60" s="66"/>
      <c r="N60" s="87"/>
      <c r="O60" s="71"/>
    </row>
    <row r="61" spans="1:15" s="68" customFormat="1" ht="32.25" customHeight="1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4" t="s">
        <v>198</v>
      </c>
      <c r="B62" s="875"/>
      <c r="C62" s="876"/>
      <c r="D62" s="151" t="s">
        <v>142</v>
      </c>
      <c r="E62" s="95">
        <f>'11'!F62</f>
        <v>280634</v>
      </c>
      <c r="F62" s="122">
        <v>280794</v>
      </c>
      <c r="G62" s="112">
        <f t="shared" ref="G62:G63" si="5">F62-E62</f>
        <v>160</v>
      </c>
      <c r="H62" s="99">
        <f>G62+'11'!H62</f>
        <v>2168</v>
      </c>
      <c r="I62" s="118"/>
      <c r="J62" s="175">
        <f>H62/DAY(B2)</f>
        <v>180.66666666666666</v>
      </c>
      <c r="K62" s="80"/>
      <c r="L62" s="66"/>
      <c r="N62" s="87"/>
      <c r="O62" s="71"/>
    </row>
    <row r="63" spans="1:15" ht="32.25" customHeight="1">
      <c r="A63" s="874" t="s">
        <v>199</v>
      </c>
      <c r="B63" s="875"/>
      <c r="C63" s="876"/>
      <c r="D63" s="151" t="s">
        <v>142</v>
      </c>
      <c r="E63" s="95">
        <f>'11'!F63</f>
        <v>224763</v>
      </c>
      <c r="F63" s="122">
        <v>224921</v>
      </c>
      <c r="G63" s="112">
        <f t="shared" si="5"/>
        <v>158</v>
      </c>
      <c r="H63" s="99">
        <f>G63+'11'!H63</f>
        <v>1840</v>
      </c>
      <c r="I63" s="118"/>
      <c r="J63" s="175">
        <f>H63/DAY(B2)</f>
        <v>153.33333333333334</v>
      </c>
      <c r="K63" s="69"/>
      <c r="L63" s="66"/>
      <c r="N63" s="87"/>
      <c r="O63" s="71"/>
    </row>
    <row r="64" spans="1:15" ht="32.25" customHeight="1">
      <c r="A64" s="871" t="s">
        <v>200</v>
      </c>
      <c r="B64" s="872"/>
      <c r="C64" s="873"/>
      <c r="D64" s="151"/>
      <c r="E64" s="95">
        <f>'11'!F64</f>
        <v>0</v>
      </c>
      <c r="F64" s="122"/>
      <c r="G64" s="112">
        <f>G62+G63</f>
        <v>318</v>
      </c>
      <c r="H64" s="99">
        <f>G64+'11'!H64</f>
        <v>4008</v>
      </c>
      <c r="I64" s="118"/>
      <c r="J64" s="175">
        <f>H64/DAY(B2)</f>
        <v>334</v>
      </c>
      <c r="K64" s="69"/>
      <c r="L64" s="66"/>
      <c r="N64" s="87"/>
      <c r="O64" s="71"/>
    </row>
    <row r="65" spans="1:15" ht="32.25" customHeight="1">
      <c r="A65" s="874" t="s">
        <v>201</v>
      </c>
      <c r="B65" s="875"/>
      <c r="C65" s="876"/>
      <c r="D65" s="151" t="s">
        <v>142</v>
      </c>
      <c r="E65" s="95">
        <f>'11'!F65</f>
        <v>442374</v>
      </c>
      <c r="F65" s="122">
        <v>442491</v>
      </c>
      <c r="G65" s="112">
        <f t="shared" ref="G65:G70" si="6">F65-E65</f>
        <v>117</v>
      </c>
      <c r="H65" s="99">
        <f>G65+'11'!H65</f>
        <v>1360</v>
      </c>
      <c r="I65" s="118"/>
      <c r="J65" s="175">
        <f>H65/DAY(B2)</f>
        <v>113.33333333333333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109253</v>
      </c>
      <c r="F66" s="122">
        <v>109271</v>
      </c>
      <c r="G66" s="112">
        <f t="shared" si="6"/>
        <v>18</v>
      </c>
      <c r="H66" s="99">
        <f>G66+'11'!H66</f>
        <v>201</v>
      </c>
      <c r="I66" s="118"/>
      <c r="J66" s="175">
        <f>H66/DAY(B2)</f>
        <v>16.75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109418</v>
      </c>
      <c r="F67" s="122">
        <v>109489</v>
      </c>
      <c r="G67" s="112">
        <f t="shared" si="6"/>
        <v>71</v>
      </c>
      <c r="H67" s="99">
        <f>G67+'11'!H67</f>
        <v>896</v>
      </c>
      <c r="I67" s="118"/>
      <c r="J67" s="175">
        <f>H67/DAY(B2)</f>
        <v>74.666666666666671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160979</v>
      </c>
      <c r="F68" s="122">
        <v>161027</v>
      </c>
      <c r="G68" s="112">
        <f t="shared" si="6"/>
        <v>48</v>
      </c>
      <c r="H68" s="99">
        <f>G68+'11'!H68</f>
        <v>618</v>
      </c>
      <c r="I68" s="118"/>
      <c r="J68" s="175">
        <f>H68/DAY(B2)</f>
        <v>51.5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11374</v>
      </c>
      <c r="F69" s="122">
        <v>11379</v>
      </c>
      <c r="G69" s="112">
        <f t="shared" si="6"/>
        <v>5</v>
      </c>
      <c r="H69" s="99">
        <f>G69+'11'!H69</f>
        <v>178</v>
      </c>
      <c r="I69" s="118"/>
      <c r="J69" s="175">
        <f>H69/DAY(B2)</f>
        <v>14.833333333333334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8820</v>
      </c>
      <c r="F70" s="122">
        <v>8834</v>
      </c>
      <c r="G70" s="112">
        <f t="shared" si="6"/>
        <v>14</v>
      </c>
      <c r="H70" s="99">
        <f>G70+'11'!H70</f>
        <v>106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32.25" customHeight="1">
      <c r="A71" s="871" t="s">
        <v>208</v>
      </c>
      <c r="B71" s="872"/>
      <c r="C71" s="873"/>
      <c r="D71" s="152"/>
      <c r="E71" s="152"/>
      <c r="F71" s="152"/>
      <c r="G71" s="153">
        <f>SUM(G65:G70)</f>
        <v>273</v>
      </c>
      <c r="H71" s="99">
        <f>G71+'11'!H71</f>
        <v>3359</v>
      </c>
      <c r="I71" s="154"/>
      <c r="J71" s="175">
        <f>H71/DAY(B2)</f>
        <v>279.91666666666669</v>
      </c>
      <c r="K71" s="69"/>
      <c r="L71" s="66"/>
      <c r="N71" s="87"/>
      <c r="O71" s="71"/>
    </row>
    <row r="72" spans="1:15" s="88" customFormat="1" ht="32.2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74" t="s">
        <v>220</v>
      </c>
      <c r="B74" s="875"/>
      <c r="C74" s="876"/>
      <c r="D74" s="151" t="s">
        <v>139</v>
      </c>
      <c r="E74" s="95">
        <f>'11'!F74</f>
        <v>922685.46900000004</v>
      </c>
      <c r="F74" s="117">
        <v>923026</v>
      </c>
      <c r="G74" s="112">
        <f t="shared" ref="G74:G78" si="7">F74-E74</f>
        <v>340.53099999995902</v>
      </c>
      <c r="H74" s="99">
        <f>G74+'11'!H74</f>
        <v>3701.4899999999907</v>
      </c>
      <c r="I74" s="154"/>
      <c r="J74" s="175">
        <f>H74/DAY(B2)</f>
        <v>308.45749999999924</v>
      </c>
      <c r="K74" s="69"/>
      <c r="L74" s="66"/>
      <c r="N74" s="87"/>
      <c r="O74" s="71"/>
    </row>
    <row r="75" spans="1:15" ht="32.25" customHeight="1">
      <c r="A75" s="874" t="s">
        <v>221</v>
      </c>
      <c r="B75" s="875"/>
      <c r="C75" s="876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18" t="s">
        <v>222</v>
      </c>
      <c r="B76" s="904"/>
      <c r="C76" s="905"/>
      <c r="D76" s="151" t="s">
        <v>139</v>
      </c>
      <c r="E76" s="95">
        <f>'11'!F76</f>
        <v>177849</v>
      </c>
      <c r="F76" s="123">
        <v>177983</v>
      </c>
      <c r="G76" s="112">
        <f t="shared" si="7"/>
        <v>134</v>
      </c>
      <c r="H76" s="99">
        <f>G76+'11'!H76</f>
        <v>1396</v>
      </c>
      <c r="I76" s="154"/>
      <c r="J76" s="175">
        <f>H76/DAY(B2)</f>
        <v>116.33333333333333</v>
      </c>
      <c r="K76" s="69"/>
      <c r="L76" s="66"/>
      <c r="N76" s="87"/>
      <c r="O76" s="71"/>
    </row>
    <row r="77" spans="1:15" ht="32.25" customHeight="1">
      <c r="A77" s="918" t="s">
        <v>223</v>
      </c>
      <c r="B77" s="904"/>
      <c r="C77" s="905"/>
      <c r="D77" s="151" t="s">
        <v>139</v>
      </c>
      <c r="E77" s="95">
        <f>'11'!F77</f>
        <v>44704</v>
      </c>
      <c r="F77" s="123">
        <v>44757</v>
      </c>
      <c r="G77" s="112">
        <f t="shared" si="7"/>
        <v>53</v>
      </c>
      <c r="H77" s="99">
        <f>G77+'11'!H77</f>
        <v>594</v>
      </c>
      <c r="I77" s="154"/>
      <c r="J77" s="175">
        <f>H77/DAY(B2)</f>
        <v>49.5</v>
      </c>
      <c r="K77" s="69"/>
      <c r="L77" s="66"/>
      <c r="N77" s="87"/>
      <c r="O77" s="71"/>
    </row>
    <row r="78" spans="1:15" ht="32.25" customHeight="1">
      <c r="A78" s="918" t="s">
        <v>224</v>
      </c>
      <c r="B78" s="904"/>
      <c r="C78" s="905"/>
      <c r="D78" s="151" t="s">
        <v>139</v>
      </c>
      <c r="E78" s="95">
        <f>'11'!F78</f>
        <v>9563</v>
      </c>
      <c r="F78" s="123">
        <v>9564</v>
      </c>
      <c r="G78" s="112">
        <f t="shared" si="7"/>
        <v>1</v>
      </c>
      <c r="H78" s="99">
        <f>G78+'11'!H78</f>
        <v>1</v>
      </c>
      <c r="I78" s="118"/>
      <c r="J78" s="175">
        <f>H78/DAY(B2)</f>
        <v>8.3333333333333329E-2</v>
      </c>
      <c r="K78" s="69"/>
      <c r="L78" s="66"/>
      <c r="N78" s="87"/>
      <c r="O78" s="71"/>
    </row>
    <row r="79" spans="1:15" s="57" customFormat="1" ht="32.25" customHeight="1">
      <c r="A79" s="918" t="s">
        <v>225</v>
      </c>
      <c r="B79" s="904"/>
      <c r="C79" s="905"/>
      <c r="D79" s="151"/>
      <c r="E79" s="95">
        <f>'11'!F79</f>
        <v>0</v>
      </c>
      <c r="F79" s="117"/>
      <c r="G79" s="112">
        <f>G15-SUM(G74:G78)</f>
        <v>588.00900000003458</v>
      </c>
      <c r="H79" s="99">
        <f>G79+'11'!H79</f>
        <v>7451.3100000000122</v>
      </c>
      <c r="I79" s="118"/>
      <c r="J79" s="175">
        <f>H79/DAY(B2)</f>
        <v>620.94250000000102</v>
      </c>
      <c r="K79" s="59"/>
      <c r="L79" s="58"/>
      <c r="N79" s="87"/>
      <c r="O79" s="71"/>
    </row>
    <row r="80" spans="1:15" s="57" customFormat="1" ht="32.2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1116.7399999999907</v>
      </c>
      <c r="H80" s="99">
        <f>G80+'11'!H80</f>
        <v>1116.7399999999907</v>
      </c>
      <c r="I80" s="118"/>
      <c r="J80" s="175">
        <f>H80/DAY(B2)</f>
        <v>93.061666666665886</v>
      </c>
      <c r="K80" s="59"/>
      <c r="L80" s="58"/>
      <c r="N80" s="87"/>
      <c r="O80" s="71"/>
    </row>
    <row r="81" spans="1:15" ht="32.2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94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94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594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3381.21</v>
      </c>
      <c r="F85" s="164">
        <v>3405</v>
      </c>
      <c r="G85" s="112">
        <f t="shared" si="8"/>
        <v>23.789999999999964</v>
      </c>
      <c r="H85" s="99">
        <f>G85+'11'!H85</f>
        <v>246.5</v>
      </c>
      <c r="I85" s="594"/>
      <c r="J85" s="175">
        <f>H85/DAY(B2)</f>
        <v>20.541666666666668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43768</v>
      </c>
      <c r="F86" s="164">
        <v>43783</v>
      </c>
      <c r="G86" s="112">
        <f t="shared" si="8"/>
        <v>15</v>
      </c>
      <c r="H86" s="99">
        <f>G86+'11'!H86</f>
        <v>62.599999999998545</v>
      </c>
      <c r="I86" s="594"/>
      <c r="J86" s="175">
        <f>H86/DAY(B2)</f>
        <v>5.2166666666665451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35229.040000000001</v>
      </c>
      <c r="F87" s="164">
        <v>35229.040000000001</v>
      </c>
      <c r="G87" s="112">
        <f t="shared" si="8"/>
        <v>0</v>
      </c>
      <c r="H87" s="99">
        <f>G87+'11'!H87</f>
        <v>148.69000000000233</v>
      </c>
      <c r="I87" s="594">
        <f>G84+G85+G86+G87</f>
        <v>38.789999999999964</v>
      </c>
      <c r="J87" s="175">
        <f>H87/DAY(B2)</f>
        <v>12.390833333333527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24114.9</v>
      </c>
      <c r="F88" s="164">
        <v>24114.9</v>
      </c>
      <c r="G88" s="112">
        <f t="shared" si="8"/>
        <v>0</v>
      </c>
      <c r="H88" s="99">
        <f>G88+'11'!H88</f>
        <v>5.5</v>
      </c>
      <c r="I88" s="594"/>
      <c r="J88" s="175">
        <f>H88/DAY(B2)</f>
        <v>0.45833333333333331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26583.32</v>
      </c>
      <c r="F89" s="164">
        <v>26592.45</v>
      </c>
      <c r="G89" s="112">
        <f t="shared" si="8"/>
        <v>9.1300000000010186</v>
      </c>
      <c r="H89" s="99">
        <f>G89+'11'!H89</f>
        <v>120.65999999999985</v>
      </c>
      <c r="I89" s="594">
        <f>G88+G89</f>
        <v>9.1300000000010186</v>
      </c>
      <c r="J89" s="175">
        <f>H89/DAY(B2)</f>
        <v>10.054999999999987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71673.13</v>
      </c>
      <c r="F90" s="164">
        <v>71682.33</v>
      </c>
      <c r="G90" s="112">
        <f t="shared" si="8"/>
        <v>9.1999999999970896</v>
      </c>
      <c r="H90" s="99">
        <f>G90+'11'!H90</f>
        <v>109.22000000000116</v>
      </c>
      <c r="I90" s="594">
        <f>G90</f>
        <v>9.1999999999970896</v>
      </c>
      <c r="J90" s="175">
        <f>H90/DAY(B2)</f>
        <v>9.1016666666667643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3910</v>
      </c>
      <c r="F91" s="122">
        <v>3910</v>
      </c>
      <c r="G91" s="112">
        <f t="shared" si="8"/>
        <v>0</v>
      </c>
      <c r="H91" s="99">
        <f>G91+'11'!H91</f>
        <v>0.25</v>
      </c>
      <c r="I91" s="688"/>
      <c r="J91" s="175">
        <f>H91/DAY(B2)</f>
        <v>2.0833333333333332E-2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5864.15</v>
      </c>
      <c r="F92" s="122">
        <v>5875.96</v>
      </c>
      <c r="G92" s="112">
        <f t="shared" si="8"/>
        <v>11.8100000000004</v>
      </c>
      <c r="H92" s="99">
        <f>G92+'11'!H92</f>
        <v>128.65999999999985</v>
      </c>
      <c r="I92" s="705">
        <f>G91+G92</f>
        <v>11.8100000000004</v>
      </c>
      <c r="J92" s="175">
        <f>H92/DAY(B2)</f>
        <v>10.721666666666655</v>
      </c>
      <c r="O92" s="71"/>
    </row>
    <row r="93" spans="1:15" ht="32.2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7546.0200000000186</v>
      </c>
      <c r="H94" s="99">
        <f>G94+'11'!H94</f>
        <v>85380.12000000001</v>
      </c>
      <c r="I94" s="118"/>
      <c r="J94" s="175">
        <f>H94/DAY(B2)</f>
        <v>7115.0100000000011</v>
      </c>
      <c r="K94" s="69"/>
      <c r="L94" s="66"/>
      <c r="O94" s="71"/>
    </row>
    <row r="95" spans="1:15" ht="32.2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0.2686013793103455</v>
      </c>
      <c r="H95" s="99">
        <f>G95+'11'!H95</f>
        <v>3.0826480003246406</v>
      </c>
      <c r="I95" s="167"/>
      <c r="J95" s="175">
        <f>H95/DAY(B2)</f>
        <v>0.25688733336038672</v>
      </c>
      <c r="K95" s="69"/>
      <c r="L95" s="66"/>
      <c r="O95" s="71"/>
    </row>
    <row r="96" spans="1:15" ht="32.2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8032.7500000000291</v>
      </c>
      <c r="H96" s="99">
        <f>G96+'11'!H96</f>
        <v>89090.040000000008</v>
      </c>
      <c r="I96" s="118"/>
      <c r="J96" s="175">
        <f>H96/DAY(B2)</f>
        <v>7424.170000000001</v>
      </c>
      <c r="K96" s="69"/>
      <c r="L96" s="66"/>
      <c r="O96" s="71"/>
    </row>
    <row r="97" spans="1:15" ht="32.2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0.28592658509455054</v>
      </c>
      <c r="H97" s="99">
        <f>G97+'11'!H97</f>
        <v>3.2101706879035077</v>
      </c>
      <c r="I97" s="167"/>
      <c r="J97" s="175">
        <f>H97/DAY(B2)</f>
        <v>0.26751422399195895</v>
      </c>
      <c r="K97" s="69"/>
      <c r="L97" s="66"/>
      <c r="O97" s="71"/>
    </row>
    <row r="98" spans="1:15" ht="32.2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3231.1300000000047</v>
      </c>
      <c r="H98" s="99">
        <f>G98+'11'!H98</f>
        <v>39428.570000000007</v>
      </c>
      <c r="I98" s="168"/>
      <c r="J98" s="175">
        <f>H98/DAY(B2)</f>
        <v>3285.7141666666671</v>
      </c>
      <c r="K98" s="69"/>
      <c r="L98" s="66"/>
      <c r="O98" s="71"/>
    </row>
    <row r="99" spans="1:15" ht="32.2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0.11501241379310362</v>
      </c>
      <c r="H99" s="99">
        <f>G99+'11'!H99</f>
        <v>1.4258859399202937</v>
      </c>
      <c r="I99" s="168"/>
      <c r="J99" s="175">
        <f>H99/DAY(B2)</f>
        <v>0.11882382832669114</v>
      </c>
      <c r="O99" s="71"/>
    </row>
    <row r="100" spans="1:15" ht="32.2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2360.6700000000128</v>
      </c>
      <c r="H100" s="99">
        <f>G100+'11'!H100</f>
        <v>30264.630000000005</v>
      </c>
      <c r="I100" s="118"/>
      <c r="J100" s="175">
        <f>H100/DAY(B2)</f>
        <v>2522.0525000000002</v>
      </c>
      <c r="K100" s="70"/>
      <c r="O100" s="71"/>
    </row>
    <row r="101" spans="1:15" ht="32.2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8.4028298109010469E-2</v>
      </c>
      <c r="H101" s="99">
        <f>G101+'11'!H101</f>
        <v>1.0944496703261635</v>
      </c>
      <c r="I101" s="168"/>
      <c r="J101" s="175">
        <f>H101/DAY(B2)</f>
        <v>9.1204139193846956E-2</v>
      </c>
      <c r="O101" s="71"/>
    </row>
    <row r="102" spans="1:15" ht="32.2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2301.8800000000047</v>
      </c>
      <c r="H102" s="99">
        <f>G102+'11'!H102</f>
        <v>28091.199999999983</v>
      </c>
      <c r="I102" s="168"/>
      <c r="J102" s="175">
        <f>H102/DAY(B2)</f>
        <v>2340.933333333332</v>
      </c>
      <c r="O102" s="71"/>
    </row>
    <row r="103" spans="1:15" ht="32.2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8.1935661846496269E-2</v>
      </c>
      <c r="H103" s="99">
        <f>G103+'11'!H103</f>
        <v>1.014389974373564</v>
      </c>
      <c r="I103" s="118"/>
      <c r="J103" s="175">
        <f>H103/DAY(B2)</f>
        <v>8.4532497864463665E-2</v>
      </c>
      <c r="O103" s="71"/>
    </row>
    <row r="104" spans="1:15" ht="32.2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1658.890000000014</v>
      </c>
      <c r="H104" s="99">
        <f>G104+'11'!H104</f>
        <v>19400.30000000001</v>
      </c>
      <c r="I104" s="118"/>
      <c r="J104" s="175">
        <f>H104/DAY(B2)</f>
        <v>1616.6916666666675</v>
      </c>
      <c r="O104" s="71"/>
    </row>
    <row r="105" spans="1:15" ht="32.2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5.9048364849833647E-2</v>
      </c>
      <c r="H105" s="99">
        <f>G105+'11'!H105</f>
        <v>0.70142337064244864</v>
      </c>
      <c r="I105" s="187"/>
      <c r="J105" s="188">
        <f>H105/DAY(B2)</f>
        <v>5.8451947553537387E-2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32.25" customHeight="1">
      <c r="A109" s="913"/>
      <c r="B109" s="913"/>
    </row>
    <row r="110" spans="1:15" ht="32.2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32.2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7" t="s">
        <v>252</v>
      </c>
      <c r="B112" s="908"/>
      <c r="C112" s="909"/>
      <c r="D112" s="146" t="s">
        <v>183</v>
      </c>
      <c r="E112" s="95">
        <f>'11'!F112</f>
        <v>63030</v>
      </c>
      <c r="F112" s="237">
        <v>63111</v>
      </c>
      <c r="G112" s="112">
        <f t="shared" ref="G112:G123" si="9">F112-E112</f>
        <v>81</v>
      </c>
      <c r="H112" s="99">
        <f>G112+'11'!H112</f>
        <v>967.47000000000116</v>
      </c>
      <c r="I112" s="165"/>
      <c r="J112" s="328">
        <f>H112/DAY(B2)</f>
        <v>80.622500000000102</v>
      </c>
    </row>
    <row r="113" spans="1:18" ht="32.25" customHeight="1">
      <c r="A113" s="907" t="s">
        <v>253</v>
      </c>
      <c r="B113" s="908"/>
      <c r="C113" s="909"/>
      <c r="D113" s="146" t="s">
        <v>183</v>
      </c>
      <c r="E113" s="95">
        <f>'11'!F113</f>
        <v>79658.3</v>
      </c>
      <c r="F113" s="237">
        <v>80149</v>
      </c>
      <c r="G113" s="112">
        <f t="shared" si="9"/>
        <v>490.69999999999709</v>
      </c>
      <c r="H113" s="99">
        <f>G113+'11'!H113</f>
        <v>5893.3999999999942</v>
      </c>
      <c r="I113" s="165"/>
      <c r="J113" s="328">
        <f>H113/DAY(B2)</f>
        <v>491.11666666666616</v>
      </c>
    </row>
    <row r="114" spans="1:18" ht="32.25" customHeight="1">
      <c r="A114" s="907" t="s">
        <v>254</v>
      </c>
      <c r="B114" s="908"/>
      <c r="C114" s="909"/>
      <c r="D114" s="146" t="s">
        <v>183</v>
      </c>
      <c r="E114" s="95">
        <f>'11'!F114</f>
        <v>53295</v>
      </c>
      <c r="F114" s="237">
        <v>53565</v>
      </c>
      <c r="G114" s="112">
        <f t="shared" si="9"/>
        <v>270</v>
      </c>
      <c r="H114" s="99">
        <f>G114+'11'!H114</f>
        <v>3302</v>
      </c>
      <c r="I114" s="165"/>
      <c r="J114" s="328">
        <f>H114/DAY(B2)</f>
        <v>275.16666666666669</v>
      </c>
    </row>
    <row r="115" spans="1:18" ht="32.25" customHeight="1">
      <c r="A115" s="907" t="s">
        <v>255</v>
      </c>
      <c r="B115" s="908"/>
      <c r="C115" s="909"/>
      <c r="D115" s="146" t="s">
        <v>183</v>
      </c>
      <c r="E115" s="95">
        <f>'11'!F115</f>
        <v>10059.1</v>
      </c>
      <c r="F115" s="237">
        <v>10083</v>
      </c>
      <c r="G115" s="112">
        <f t="shared" si="9"/>
        <v>23.899999999999636</v>
      </c>
      <c r="H115" s="99">
        <f>G115+'11'!H115</f>
        <v>254.48999999999978</v>
      </c>
      <c r="I115" s="165"/>
      <c r="J115" s="328">
        <f>H115/DAY(B2)</f>
        <v>21.207499999999982</v>
      </c>
    </row>
    <row r="116" spans="1:18" ht="32.25" customHeight="1">
      <c r="A116" s="925" t="s">
        <v>96</v>
      </c>
      <c r="B116" s="926"/>
      <c r="C116" s="927"/>
      <c r="D116" s="146" t="s">
        <v>183</v>
      </c>
      <c r="E116" s="95">
        <f>'11'!F116</f>
        <v>27485.74</v>
      </c>
      <c r="F116" s="237">
        <v>27826</v>
      </c>
      <c r="G116" s="112">
        <f t="shared" si="9"/>
        <v>340.2599999999984</v>
      </c>
      <c r="H116" s="99">
        <f>G116+'11'!H116</f>
        <v>5041.380000000001</v>
      </c>
      <c r="I116" s="165"/>
      <c r="J116" s="328">
        <f>H116/DAY(B2)</f>
        <v>420.11500000000007</v>
      </c>
      <c r="Q116" s="907" t="s">
        <v>311</v>
      </c>
      <c r="R116" s="909"/>
    </row>
    <row r="117" spans="1:18" ht="32.25" customHeight="1">
      <c r="A117" s="925" t="s">
        <v>184</v>
      </c>
      <c r="B117" s="926"/>
      <c r="C117" s="927"/>
      <c r="D117" s="146" t="s">
        <v>183</v>
      </c>
      <c r="E117" s="95">
        <f>'11'!F117</f>
        <v>15858.23</v>
      </c>
      <c r="F117" s="237">
        <v>16030</v>
      </c>
      <c r="G117" s="112">
        <f t="shared" si="9"/>
        <v>171.77000000000044</v>
      </c>
      <c r="H117" s="99">
        <f>G117+'11'!H117</f>
        <v>2416.8269999999993</v>
      </c>
      <c r="I117" s="165"/>
      <c r="J117" s="328">
        <f>H117/DAY(B2)</f>
        <v>201.40224999999995</v>
      </c>
      <c r="Q117" s="907" t="s">
        <v>312</v>
      </c>
      <c r="R117" s="909"/>
    </row>
    <row r="118" spans="1:18" ht="32.25" customHeight="1">
      <c r="A118" s="902" t="s">
        <v>97</v>
      </c>
      <c r="B118" s="902"/>
      <c r="C118" s="902"/>
      <c r="D118" s="151" t="s">
        <v>183</v>
      </c>
      <c r="E118" s="95">
        <f>'11'!F118</f>
        <v>286052.43</v>
      </c>
      <c r="F118" s="237">
        <v>286622</v>
      </c>
      <c r="G118" s="112">
        <f t="shared" si="9"/>
        <v>569.57000000000698</v>
      </c>
      <c r="H118" s="99">
        <f>G118+'11'!H118</f>
        <v>6401.0300000000279</v>
      </c>
      <c r="I118" s="165"/>
      <c r="J118" s="328">
        <f>H118/DAY(B2)</f>
        <v>533.41916666666896</v>
      </c>
      <c r="Q118" s="907" t="s">
        <v>311</v>
      </c>
      <c r="R118" s="909"/>
    </row>
    <row r="119" spans="1:18" ht="32.25" customHeight="1">
      <c r="A119" s="902" t="s">
        <v>98</v>
      </c>
      <c r="B119" s="902"/>
      <c r="C119" s="902"/>
      <c r="D119" s="151" t="s">
        <v>183</v>
      </c>
      <c r="E119" s="95">
        <f>'11'!F119</f>
        <v>287878.49</v>
      </c>
      <c r="F119" s="237">
        <v>288291</v>
      </c>
      <c r="G119" s="112">
        <f t="shared" si="9"/>
        <v>412.51000000000931</v>
      </c>
      <c r="H119" s="99">
        <f>G119+'11'!H119</f>
        <v>5193.609999999986</v>
      </c>
      <c r="I119" s="165"/>
      <c r="J119" s="328">
        <f>H119/DAY(B2)</f>
        <v>432.80083333333215</v>
      </c>
    </row>
    <row r="120" spans="1:18" ht="32.25" customHeight="1">
      <c r="A120" s="902" t="s">
        <v>99</v>
      </c>
      <c r="B120" s="902"/>
      <c r="C120" s="902"/>
      <c r="D120" s="151" t="s">
        <v>183</v>
      </c>
      <c r="E120" s="95">
        <f>'11'!F120</f>
        <v>72267.67</v>
      </c>
      <c r="F120" s="237">
        <v>72676</v>
      </c>
      <c r="G120" s="112">
        <f t="shared" si="9"/>
        <v>408.33000000000175</v>
      </c>
      <c r="H120" s="99">
        <f>G120+'11'!H120</f>
        <v>4951.2400000000052</v>
      </c>
      <c r="I120" s="165"/>
      <c r="J120" s="328">
        <f>H120/DAY(B2)</f>
        <v>412.60333333333375</v>
      </c>
    </row>
    <row r="121" spans="1:18" ht="32.25" customHeight="1">
      <c r="A121" s="902" t="s">
        <v>100</v>
      </c>
      <c r="B121" s="902"/>
      <c r="C121" s="902"/>
      <c r="D121" s="151" t="s">
        <v>183</v>
      </c>
      <c r="E121" s="95">
        <f>'11'!F121</f>
        <v>451528.17</v>
      </c>
      <c r="F121" s="237">
        <v>452324</v>
      </c>
      <c r="G121" s="112">
        <f t="shared" si="9"/>
        <v>795.8300000000163</v>
      </c>
      <c r="H121" s="99">
        <f>G121+'11'!H121</f>
        <v>9605.7299999999814</v>
      </c>
      <c r="I121" s="165"/>
      <c r="J121" s="328">
        <f>H121/DAY(B2)</f>
        <v>800.47749999999849</v>
      </c>
    </row>
    <row r="122" spans="1:18" ht="32.25" customHeight="1">
      <c r="A122" s="902" t="s">
        <v>101</v>
      </c>
      <c r="B122" s="902"/>
      <c r="C122" s="902"/>
      <c r="D122" s="151" t="s">
        <v>183</v>
      </c>
      <c r="E122" s="95">
        <f>'11'!F122</f>
        <v>141724.76</v>
      </c>
      <c r="F122" s="237">
        <v>141920</v>
      </c>
      <c r="G122" s="112">
        <f t="shared" si="9"/>
        <v>195.23999999999069</v>
      </c>
      <c r="H122" s="99">
        <f>G122+'11'!H122</f>
        <v>2611.859999999986</v>
      </c>
      <c r="I122" s="165"/>
      <c r="J122" s="328">
        <f>H122/DAY(B2)</f>
        <v>217.65499999999884</v>
      </c>
    </row>
    <row r="123" spans="1:18" ht="32.25" customHeight="1">
      <c r="A123" s="902" t="s">
        <v>102</v>
      </c>
      <c r="B123" s="902"/>
      <c r="C123" s="902"/>
      <c r="D123" s="151" t="s">
        <v>183</v>
      </c>
      <c r="E123" s="95">
        <f>'11'!F123</f>
        <v>172287</v>
      </c>
      <c r="F123" s="237">
        <v>172536</v>
      </c>
      <c r="G123" s="112">
        <f t="shared" si="9"/>
        <v>249</v>
      </c>
      <c r="H123" s="99">
        <f>G123+'11'!H123</f>
        <v>3094</v>
      </c>
      <c r="I123" s="165"/>
      <c r="J123" s="328">
        <f>H123/DAY(B2)</f>
        <v>257.83333333333331</v>
      </c>
    </row>
    <row r="124" spans="1:18" ht="32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4008.1100000000206</v>
      </c>
      <c r="H125" s="156"/>
      <c r="I125" s="327" t="s">
        <v>366</v>
      </c>
      <c r="J125" s="327"/>
    </row>
    <row r="126" spans="1:18" ht="32.2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32.25" customHeight="1">
      <c r="A127" s="938"/>
      <c r="B127" s="938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7" t="s">
        <v>318</v>
      </c>
      <c r="B128" s="908"/>
      <c r="C128" s="909"/>
      <c r="D128" s="151" t="s">
        <v>183</v>
      </c>
      <c r="E128" s="95">
        <f>'11'!F128</f>
        <v>73567.38</v>
      </c>
      <c r="F128" s="165">
        <v>74046</v>
      </c>
      <c r="G128" s="112">
        <f t="shared" ref="G128:G134" si="10">F128-E128</f>
        <v>478.61999999999534</v>
      </c>
      <c r="H128" s="99">
        <f>G128+'11'!H128</f>
        <v>5129.7599999999948</v>
      </c>
      <c r="I128" s="165"/>
      <c r="J128" s="328">
        <f>H128/DAY(B2)</f>
        <v>427.47999999999956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45401.120000000003</v>
      </c>
      <c r="F129" s="165">
        <v>45701</v>
      </c>
      <c r="G129" s="112">
        <f t="shared" si="10"/>
        <v>299.87999999999738</v>
      </c>
      <c r="H129" s="99">
        <f>G129+'11'!H129</f>
        <v>3589.9499999999971</v>
      </c>
      <c r="I129" s="165"/>
      <c r="J129" s="328">
        <f>H129/DAY(B2)</f>
        <v>299.16249999999974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83361.350000000006</v>
      </c>
      <c r="F130" s="165">
        <v>84018</v>
      </c>
      <c r="G130" s="112">
        <f t="shared" si="10"/>
        <v>656.64999999999418</v>
      </c>
      <c r="H130" s="99">
        <f>G130+'11'!H130</f>
        <v>8356.0500000000029</v>
      </c>
      <c r="I130" s="165"/>
      <c r="J130" s="328">
        <f>H130/DAY(B2)</f>
        <v>696.3375000000002</v>
      </c>
      <c r="N130" s="240"/>
      <c r="O130" s="241"/>
    </row>
    <row r="131" spans="1:15" ht="32.25" customHeight="1">
      <c r="A131" s="907" t="s">
        <v>321</v>
      </c>
      <c r="B131" s="908"/>
      <c r="C131" s="909"/>
      <c r="D131" s="151" t="s">
        <v>183</v>
      </c>
      <c r="E131" s="95">
        <f>'11'!F131</f>
        <v>26570.84</v>
      </c>
      <c r="F131" s="165">
        <v>26761</v>
      </c>
      <c r="G131" s="112">
        <f t="shared" si="10"/>
        <v>190.15999999999985</v>
      </c>
      <c r="H131" s="99">
        <f>G131+'11'!H131</f>
        <v>2328.5</v>
      </c>
      <c r="I131" s="165"/>
      <c r="J131" s="328">
        <f>H131/DAY(B2)</f>
        <v>194.04166666666666</v>
      </c>
      <c r="N131" s="240"/>
      <c r="O131" s="241"/>
    </row>
    <row r="132" spans="1:15" ht="32.25" customHeight="1">
      <c r="A132" s="907" t="s">
        <v>322</v>
      </c>
      <c r="B132" s="908"/>
      <c r="C132" s="909"/>
      <c r="D132" s="151" t="s">
        <v>183</v>
      </c>
      <c r="E132" s="95">
        <f>'11'!F132</f>
        <v>80230</v>
      </c>
      <c r="F132" s="165">
        <v>80782</v>
      </c>
      <c r="G132" s="112">
        <f t="shared" si="10"/>
        <v>552</v>
      </c>
      <c r="H132" s="99">
        <f>G132+'11'!H132</f>
        <v>5114.5</v>
      </c>
      <c r="I132" s="165"/>
      <c r="J132" s="328">
        <f>H132/DAY(B2)</f>
        <v>426.20833333333331</v>
      </c>
    </row>
    <row r="133" spans="1:15" ht="32.25" customHeight="1">
      <c r="A133" s="907" t="s">
        <v>360</v>
      </c>
      <c r="B133" s="908"/>
      <c r="C133" s="909"/>
      <c r="D133" s="151" t="s">
        <v>183</v>
      </c>
      <c r="E133" s="95">
        <f>'11'!F133</f>
        <v>155233.91</v>
      </c>
      <c r="F133" s="165">
        <v>156130</v>
      </c>
      <c r="G133" s="112">
        <f t="shared" si="10"/>
        <v>896.08999999999651</v>
      </c>
      <c r="H133" s="99">
        <f>G133+'11'!H133</f>
        <v>10748.010000000009</v>
      </c>
      <c r="I133" s="165"/>
      <c r="J133" s="328">
        <f>H133/DAY(B2)</f>
        <v>895.66750000000081</v>
      </c>
    </row>
    <row r="134" spans="1:15" ht="32.25" customHeight="1">
      <c r="A134" s="907" t="s">
        <v>340</v>
      </c>
      <c r="B134" s="908"/>
      <c r="C134" s="909"/>
      <c r="D134" s="151" t="s">
        <v>183</v>
      </c>
      <c r="E134" s="157">
        <v>23443.71</v>
      </c>
      <c r="F134" s="165">
        <v>23689</v>
      </c>
      <c r="G134" s="112">
        <f t="shared" si="10"/>
        <v>245.29000000000087</v>
      </c>
      <c r="H134" s="99">
        <f>G134+'11'!H134</f>
        <v>2896.3199999999997</v>
      </c>
      <c r="I134" s="165"/>
      <c r="J134" s="328">
        <f>H134/DAY(B2)</f>
        <v>241.35999999999999</v>
      </c>
    </row>
    <row r="135" spans="1:15" ht="32.25" customHeight="1">
      <c r="A135" s="935" t="s">
        <v>196</v>
      </c>
      <c r="B135" s="936"/>
      <c r="C135" s="331"/>
      <c r="D135" s="151"/>
      <c r="E135" s="95"/>
      <c r="F135" s="165"/>
      <c r="G135" s="112">
        <f>SUM(G128:G134)</f>
        <v>3318.6899999999841</v>
      </c>
      <c r="H135" s="99">
        <f>G135+'10'!H135</f>
        <v>35027.539999999964</v>
      </c>
      <c r="I135" s="327">
        <f>G135-(G35+G49)</f>
        <v>-704.30000000000655</v>
      </c>
      <c r="J135" s="328">
        <f>H135/DAY(B2)</f>
        <v>2918.9616666666639</v>
      </c>
    </row>
    <row r="136" spans="1:15" ht="32.25" customHeight="1">
      <c r="A136" s="939" t="s">
        <v>207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902" t="s">
        <v>185</v>
      </c>
      <c r="B138" s="902"/>
      <c r="C138" s="902"/>
      <c r="D138" s="151" t="s">
        <v>183</v>
      </c>
      <c r="E138" s="95">
        <f>'11'!F138</f>
        <v>875931</v>
      </c>
      <c r="F138" s="147">
        <v>876043</v>
      </c>
      <c r="G138" s="112">
        <f t="shared" ref="G138:G152" si="11">F138-E138</f>
        <v>112</v>
      </c>
      <c r="H138" s="99">
        <f>G138+'11'!H138</f>
        <v>2042</v>
      </c>
      <c r="I138" s="118"/>
      <c r="J138" s="328">
        <f>H138/DAY(B2)</f>
        <v>170.16666666666666</v>
      </c>
    </row>
    <row r="139" spans="1:15" ht="32.25" customHeight="1">
      <c r="A139" s="902" t="s">
        <v>186</v>
      </c>
      <c r="B139" s="902"/>
      <c r="C139" s="902"/>
      <c r="D139" s="151" t="s">
        <v>183</v>
      </c>
      <c r="E139" s="95">
        <f>'11'!F139</f>
        <v>891977</v>
      </c>
      <c r="F139" s="148">
        <v>892129</v>
      </c>
      <c r="G139" s="112">
        <f t="shared" si="11"/>
        <v>152</v>
      </c>
      <c r="H139" s="99">
        <f>G139+'11'!H139</f>
        <v>1811</v>
      </c>
      <c r="I139" s="118"/>
      <c r="J139" s="328">
        <f>H139/DAY(B2)</f>
        <v>150.91666666666666</v>
      </c>
    </row>
    <row r="140" spans="1:15" ht="32.25" customHeight="1">
      <c r="A140" s="902" t="s">
        <v>187</v>
      </c>
      <c r="B140" s="902"/>
      <c r="C140" s="902"/>
      <c r="D140" s="151" t="s">
        <v>183</v>
      </c>
      <c r="E140" s="95">
        <f>'11'!F140</f>
        <v>89008.6</v>
      </c>
      <c r="F140" s="149">
        <v>89008.6</v>
      </c>
      <c r="G140" s="112">
        <f t="shared" si="11"/>
        <v>0</v>
      </c>
      <c r="H140" s="99">
        <f>G140+'11'!H140</f>
        <v>18.600000000005821</v>
      </c>
      <c r="I140" s="118"/>
      <c r="J140" s="328">
        <f>H140/DAY(B2)</f>
        <v>1.550000000000485</v>
      </c>
    </row>
    <row r="141" spans="1:15" ht="32.25" customHeight="1">
      <c r="A141" s="906" t="s">
        <v>188</v>
      </c>
      <c r="B141" s="906"/>
      <c r="C141" s="906"/>
      <c r="D141" s="151" t="s">
        <v>183</v>
      </c>
      <c r="E141" s="95">
        <f>'11'!F141</f>
        <v>67940.539999999994</v>
      </c>
      <c r="F141" s="149">
        <v>68145</v>
      </c>
      <c r="G141" s="112">
        <f t="shared" si="11"/>
        <v>204.4600000000064</v>
      </c>
      <c r="H141" s="99">
        <f>G141+'11'!H141</f>
        <v>2361.4700000000012</v>
      </c>
      <c r="I141" s="118"/>
      <c r="J141" s="328">
        <f>H141/DAY(B2)</f>
        <v>196.78916666666677</v>
      </c>
    </row>
    <row r="142" spans="1:15" ht="32.25" customHeight="1">
      <c r="A142" s="906" t="s">
        <v>189</v>
      </c>
      <c r="B142" s="906"/>
      <c r="C142" s="906"/>
      <c r="D142" s="151" t="s">
        <v>183</v>
      </c>
      <c r="E142" s="95">
        <f>'11'!F142</f>
        <v>26276.06</v>
      </c>
      <c r="F142" s="148">
        <v>26341</v>
      </c>
      <c r="G142" s="112">
        <f t="shared" si="11"/>
        <v>64.93999999999869</v>
      </c>
      <c r="H142" s="99">
        <f>G142+'11'!H142</f>
        <v>844.59999999999854</v>
      </c>
      <c r="I142" s="140"/>
      <c r="J142" s="328">
        <f>H142/DAY(B2)</f>
        <v>70.383333333333212</v>
      </c>
    </row>
    <row r="143" spans="1:15" ht="32.25" customHeight="1">
      <c r="A143" s="902" t="s">
        <v>91</v>
      </c>
      <c r="B143" s="902"/>
      <c r="C143" s="902"/>
      <c r="D143" s="151" t="s">
        <v>183</v>
      </c>
      <c r="E143" s="95">
        <f>'11'!F143</f>
        <v>5867.18</v>
      </c>
      <c r="F143" s="149">
        <v>5893</v>
      </c>
      <c r="G143" s="112">
        <f t="shared" si="11"/>
        <v>25.819999999999709</v>
      </c>
      <c r="H143" s="99">
        <f>G143+'11'!H143</f>
        <v>332.28999999999996</v>
      </c>
      <c r="I143" s="140"/>
      <c r="J143" s="328">
        <f>H143/DAY(B2)</f>
        <v>27.69083333333333</v>
      </c>
    </row>
    <row r="144" spans="1:15" ht="32.25" customHeight="1">
      <c r="A144" s="906" t="s">
        <v>90</v>
      </c>
      <c r="B144" s="906"/>
      <c r="C144" s="906"/>
      <c r="D144" s="151" t="s">
        <v>183</v>
      </c>
      <c r="E144" s="95">
        <f>'11'!F144</f>
        <v>892627</v>
      </c>
      <c r="F144" s="149">
        <v>892874</v>
      </c>
      <c r="G144" s="112">
        <f t="shared" si="11"/>
        <v>247</v>
      </c>
      <c r="H144" s="99">
        <f>G144+'11'!H144</f>
        <v>3040</v>
      </c>
      <c r="I144" s="140"/>
      <c r="J144" s="328">
        <f>H144/DAY(B2)</f>
        <v>253.33333333333334</v>
      </c>
    </row>
    <row r="145" spans="1:10" ht="32.25" customHeight="1">
      <c r="A145" s="902" t="s">
        <v>190</v>
      </c>
      <c r="B145" s="902"/>
      <c r="C145" s="902"/>
      <c r="D145" s="152" t="s">
        <v>183</v>
      </c>
      <c r="E145" s="95">
        <f>'11'!F145</f>
        <v>5577.62</v>
      </c>
      <c r="F145" s="149">
        <v>5580</v>
      </c>
      <c r="G145" s="112">
        <f t="shared" si="11"/>
        <v>2.3800000000001091</v>
      </c>
      <c r="H145" s="99">
        <f>G145+'11'!H145</f>
        <v>23.600000000000364</v>
      </c>
      <c r="I145" s="140"/>
      <c r="J145" s="328">
        <f>H145/DAY(B2)</f>
        <v>1.966666666666697</v>
      </c>
    </row>
    <row r="146" spans="1:10" ht="32.25" customHeight="1">
      <c r="A146" s="903" t="s">
        <v>191</v>
      </c>
      <c r="B146" s="904"/>
      <c r="C146" s="905"/>
      <c r="D146" s="152" t="s">
        <v>183</v>
      </c>
      <c r="E146" s="95">
        <f>'11'!F146</f>
        <v>769900</v>
      </c>
      <c r="F146" s="148">
        <v>770366</v>
      </c>
      <c r="G146" s="112">
        <f t="shared" si="11"/>
        <v>466</v>
      </c>
      <c r="H146" s="99">
        <f>G146+'11'!H146</f>
        <v>6040</v>
      </c>
      <c r="I146" s="140"/>
      <c r="J146" s="328">
        <f>H146/DAY(B2)</f>
        <v>503.33333333333331</v>
      </c>
    </row>
    <row r="147" spans="1:10" ht="32.25" customHeight="1">
      <c r="A147" s="906" t="s">
        <v>192</v>
      </c>
      <c r="B147" s="906"/>
      <c r="C147" s="906"/>
      <c r="D147" s="152" t="s">
        <v>183</v>
      </c>
      <c r="E147" s="95">
        <f>'11'!F147</f>
        <v>655076.12</v>
      </c>
      <c r="F147" s="148">
        <v>655487</v>
      </c>
      <c r="G147" s="112">
        <f t="shared" si="11"/>
        <v>410.88000000000466</v>
      </c>
      <c r="H147" s="99">
        <f>G147+'11'!H147</f>
        <v>5303</v>
      </c>
      <c r="I147" s="140"/>
      <c r="J147" s="328">
        <f>H147/DAY(B2)</f>
        <v>441.91666666666669</v>
      </c>
    </row>
    <row r="148" spans="1:10" ht="32.25" customHeight="1">
      <c r="A148" s="898" t="s">
        <v>193</v>
      </c>
      <c r="B148" s="899"/>
      <c r="C148" s="900"/>
      <c r="D148" s="123" t="s">
        <v>130</v>
      </c>
      <c r="E148" s="95">
        <f>'11'!F148</f>
        <v>712830.72</v>
      </c>
      <c r="F148" s="150">
        <v>713211</v>
      </c>
      <c r="G148" s="112">
        <f t="shared" si="11"/>
        <v>380.28000000002794</v>
      </c>
      <c r="H148" s="99">
        <f>G148+'11'!H148</f>
        <v>4346.3199999999488</v>
      </c>
      <c r="I148" s="124"/>
      <c r="J148" s="328">
        <f>H148/DAY(B2)</f>
        <v>362.19333333332906</v>
      </c>
    </row>
    <row r="149" spans="1:10" ht="32.25" customHeight="1">
      <c r="A149" s="898" t="s">
        <v>336</v>
      </c>
      <c r="B149" s="899"/>
      <c r="C149" s="900"/>
      <c r="D149" s="227" t="s">
        <v>130</v>
      </c>
      <c r="E149" s="95">
        <f>'11'!F149</f>
        <v>71048.14</v>
      </c>
      <c r="F149" s="146">
        <v>71637</v>
      </c>
      <c r="G149" s="112">
        <f t="shared" si="11"/>
        <v>588.86000000000058</v>
      </c>
      <c r="H149" s="99">
        <f>G149+'11'!H149</f>
        <v>8413.1999999999971</v>
      </c>
      <c r="I149" s="119"/>
      <c r="J149" s="328">
        <f>H149/DAY(B2)</f>
        <v>701.0999999999998</v>
      </c>
    </row>
    <row r="150" spans="1:10" ht="32.25" customHeight="1">
      <c r="A150" s="898" t="s">
        <v>337</v>
      </c>
      <c r="B150" s="899"/>
      <c r="C150" s="900"/>
      <c r="D150" s="117" t="s">
        <v>130</v>
      </c>
      <c r="E150" s="95">
        <f>'11'!F150</f>
        <v>26407.19</v>
      </c>
      <c r="F150" s="233">
        <v>26641</v>
      </c>
      <c r="G150" s="112">
        <f t="shared" si="11"/>
        <v>233.81000000000131</v>
      </c>
      <c r="H150" s="99">
        <f>G150+'11'!H150</f>
        <v>2685.2099999999991</v>
      </c>
      <c r="I150" s="119"/>
      <c r="J150" s="328">
        <f>H150/DAY(B2)</f>
        <v>223.76749999999993</v>
      </c>
    </row>
    <row r="151" spans="1:10" ht="32.25" customHeight="1">
      <c r="A151" s="898" t="s">
        <v>338</v>
      </c>
      <c r="B151" s="899"/>
      <c r="C151" s="900"/>
      <c r="D151" s="117" t="s">
        <v>130</v>
      </c>
      <c r="E151" s="95">
        <f>'11'!F151</f>
        <v>103731</v>
      </c>
      <c r="F151" s="233">
        <v>104016</v>
      </c>
      <c r="G151" s="112">
        <f t="shared" si="11"/>
        <v>285</v>
      </c>
      <c r="H151" s="99">
        <f>G151+'11'!H151</f>
        <v>3405</v>
      </c>
      <c r="I151" s="119"/>
      <c r="J151" s="328">
        <f>H151/DAY(B2)</f>
        <v>283.75</v>
      </c>
    </row>
    <row r="152" spans="1:10" ht="32.25" customHeight="1">
      <c r="A152" s="898" t="s">
        <v>339</v>
      </c>
      <c r="B152" s="899"/>
      <c r="C152" s="900"/>
      <c r="D152" s="117" t="s">
        <v>130</v>
      </c>
      <c r="E152" s="95">
        <f>'11'!F152</f>
        <v>9436.5499999999993</v>
      </c>
      <c r="F152" s="233">
        <v>9577</v>
      </c>
      <c r="G152" s="112">
        <f t="shared" si="11"/>
        <v>140.45000000000073</v>
      </c>
      <c r="H152" s="99">
        <f>G152+'11'!H152</f>
        <v>1507.9399999999996</v>
      </c>
      <c r="I152" s="119"/>
      <c r="J152" s="328">
        <f>H152/DAY(B2)</f>
        <v>125.66166666666663</v>
      </c>
    </row>
    <row r="153" spans="1:10" ht="32.2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3313.8800000000401</v>
      </c>
      <c r="H153" s="363"/>
      <c r="I153" s="119">
        <f>G153-(G38+G52)</f>
        <v>953.21000000002732</v>
      </c>
      <c r="J153" s="366"/>
    </row>
    <row r="154" spans="1:10" ht="32.2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32.25" customHeight="1">
      <c r="A155" s="906" t="s">
        <v>345</v>
      </c>
      <c r="B155" s="906"/>
      <c r="C155" s="906"/>
      <c r="D155" s="117" t="s">
        <v>130</v>
      </c>
      <c r="E155" s="95">
        <f>'11'!F155</f>
        <v>80035</v>
      </c>
      <c r="F155" s="374">
        <v>80785</v>
      </c>
      <c r="G155" s="112">
        <f t="shared" ref="G155:G158" si="12">F155-E155</f>
        <v>750</v>
      </c>
      <c r="H155" s="99">
        <f>G155+'11'!H155</f>
        <v>8014.5</v>
      </c>
      <c r="I155" s="364"/>
      <c r="J155" s="328">
        <f>H155/DAY(B2)</f>
        <v>667.875</v>
      </c>
    </row>
    <row r="156" spans="1:10" ht="32.25" customHeight="1">
      <c r="A156" s="906" t="s">
        <v>347</v>
      </c>
      <c r="B156" s="906"/>
      <c r="C156" s="906"/>
      <c r="D156" s="117" t="s">
        <v>130</v>
      </c>
      <c r="E156" s="95">
        <f>'11'!F156</f>
        <v>6637</v>
      </c>
      <c r="F156" s="155">
        <v>6689</v>
      </c>
      <c r="G156" s="112">
        <f t="shared" si="12"/>
        <v>52</v>
      </c>
      <c r="H156" s="99">
        <f>G156+'11'!H156</f>
        <v>631.75</v>
      </c>
      <c r="I156" s="165"/>
      <c r="J156" s="328">
        <f>H156/DAY(B2)</f>
        <v>52.645833333333336</v>
      </c>
    </row>
    <row r="157" spans="1:10" ht="32.25" customHeight="1">
      <c r="A157" s="898" t="s">
        <v>361</v>
      </c>
      <c r="B157" s="899"/>
      <c r="C157" s="900"/>
      <c r="D157" s="117" t="s">
        <v>130</v>
      </c>
      <c r="E157" s="155">
        <v>11425.17</v>
      </c>
      <c r="F157" s="155">
        <v>11538</v>
      </c>
      <c r="G157" s="112">
        <f t="shared" si="12"/>
        <v>112.82999999999993</v>
      </c>
      <c r="H157" s="99">
        <f>G157+'11'!H157</f>
        <v>325.05999999999949</v>
      </c>
      <c r="I157" s="165"/>
      <c r="J157" s="328">
        <f>H157/DAY(B2)</f>
        <v>27.088333333333292</v>
      </c>
    </row>
    <row r="158" spans="1:10" ht="32.25" customHeight="1">
      <c r="A158" s="898" t="s">
        <v>362</v>
      </c>
      <c r="B158" s="899"/>
      <c r="C158" s="900"/>
      <c r="D158" s="117" t="s">
        <v>130</v>
      </c>
      <c r="E158" s="155">
        <v>92.25</v>
      </c>
      <c r="F158" s="155">
        <v>92.25</v>
      </c>
      <c r="G158" s="112">
        <f t="shared" si="12"/>
        <v>0</v>
      </c>
      <c r="H158" s="99">
        <f>G158+'11'!H158</f>
        <v>0.25</v>
      </c>
      <c r="I158" s="165"/>
      <c r="J158" s="328">
        <f>H158/DAY(B2)</f>
        <v>2.0833333333333332E-2</v>
      </c>
    </row>
    <row r="159" spans="1:10" ht="32.25" customHeight="1">
      <c r="A159" s="957"/>
      <c r="B159" s="958"/>
      <c r="C159" s="959"/>
      <c r="D159" s="117"/>
      <c r="E159" s="95"/>
      <c r="F159" s="165"/>
      <c r="G159" s="362">
        <f>SUM(G155:G158)</f>
        <v>914.82999999999993</v>
      </c>
      <c r="H159" s="99"/>
      <c r="I159" s="165"/>
      <c r="J159" s="328"/>
    </row>
    <row r="160" spans="1:10" ht="32.2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473895.4</v>
      </c>
      <c r="F161" s="235">
        <v>473937</v>
      </c>
      <c r="G161" s="238">
        <f t="shared" ref="G161:G165" si="13">F161-E161</f>
        <v>41.599999999976717</v>
      </c>
      <c r="H161" s="99">
        <f>G161+'11'!H161</f>
        <v>96.270000000018626</v>
      </c>
      <c r="I161" s="236"/>
      <c r="J161" s="239">
        <f>H161/DAY(B2)</f>
        <v>8.0225000000015516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90822.1</v>
      </c>
      <c r="F162" s="235">
        <v>90861</v>
      </c>
      <c r="G162" s="238">
        <f t="shared" si="13"/>
        <v>38.899999999994179</v>
      </c>
      <c r="H162" s="99">
        <f>G162+'11'!H162</f>
        <v>408.10000000000582</v>
      </c>
      <c r="I162" s="236"/>
      <c r="J162" s="239">
        <f>H162/DAY(B2)</f>
        <v>34.008333333333816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88960.6</v>
      </c>
      <c r="F163" s="235">
        <v>89143.8</v>
      </c>
      <c r="G163" s="238">
        <f t="shared" si="13"/>
        <v>183.19999999999709</v>
      </c>
      <c r="H163" s="99">
        <f>G163+'11'!H163</f>
        <v>2065</v>
      </c>
      <c r="I163" s="236"/>
      <c r="J163" s="239">
        <f>H163/DAY(B2)</f>
        <v>172.08333333333334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4968.8999999999996</v>
      </c>
      <c r="F164" s="235">
        <v>4979</v>
      </c>
      <c r="G164" s="238">
        <f t="shared" si="13"/>
        <v>10.100000000000364</v>
      </c>
      <c r="H164" s="99">
        <f>G164+'11'!H164</f>
        <v>166.60000000000036</v>
      </c>
      <c r="I164" s="236"/>
      <c r="J164" s="239">
        <f>H164/DAY(B2)</f>
        <v>13.883333333333363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30429.59</v>
      </c>
      <c r="F165" s="235">
        <v>30439</v>
      </c>
      <c r="G165" s="238">
        <f t="shared" si="13"/>
        <v>9.4099999999998545</v>
      </c>
      <c r="H165" s="99">
        <f>G165+'11'!H165</f>
        <v>83.490000000001601</v>
      </c>
      <c r="I165" s="236"/>
      <c r="J165" s="239">
        <f>H165/DAY(B2)</f>
        <v>6.9575000000001337</v>
      </c>
    </row>
    <row r="166" spans="1:10" ht="32.25" customHeight="1">
      <c r="A166" s="938"/>
      <c r="B166" s="938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8"/>
      <c r="B167" s="938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8"/>
      <c r="B168" s="938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32.2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6" t="s">
        <v>209</v>
      </c>
      <c r="B173" s="897"/>
      <c r="C173" s="333"/>
      <c r="D173" s="228" t="s">
        <v>142</v>
      </c>
      <c r="E173" s="157">
        <v>8265</v>
      </c>
      <c r="F173" s="155">
        <v>8265</v>
      </c>
      <c r="G173" s="155">
        <f>F173-E173</f>
        <v>0</v>
      </c>
      <c r="H173" s="99">
        <f>G173+'11'!H173</f>
        <v>1</v>
      </c>
      <c r="I173" s="155"/>
      <c r="J173" s="178">
        <f>H173/DAY(B2)</f>
        <v>8.3333333333333329E-2</v>
      </c>
    </row>
    <row r="174" spans="1:10" ht="32.25" customHeight="1">
      <c r="A174" s="896" t="s">
        <v>75</v>
      </c>
      <c r="B174" s="897"/>
      <c r="C174" s="333"/>
      <c r="D174" s="228" t="s">
        <v>142</v>
      </c>
      <c r="E174" s="157">
        <v>39626</v>
      </c>
      <c r="F174" s="157">
        <v>39641</v>
      </c>
      <c r="G174" s="155">
        <f t="shared" ref="G174:G175" si="14">F174-E174</f>
        <v>15</v>
      </c>
      <c r="H174" s="99">
        <f>G174+'11'!H174</f>
        <v>179</v>
      </c>
      <c r="I174" s="155"/>
      <c r="J174" s="178">
        <f>H174/DAY(B2)</f>
        <v>14.916666666666666</v>
      </c>
    </row>
    <row r="175" spans="1:10" ht="32.25" customHeight="1">
      <c r="A175" s="896" t="s">
        <v>76</v>
      </c>
      <c r="B175" s="901"/>
      <c r="C175" s="897"/>
      <c r="D175" s="228" t="s">
        <v>142</v>
      </c>
      <c r="E175" s="155">
        <v>22657</v>
      </c>
      <c r="F175" s="155">
        <v>22667</v>
      </c>
      <c r="G175" s="155">
        <f t="shared" si="14"/>
        <v>10</v>
      </c>
      <c r="H175" s="99">
        <f>G175+'11'!H175</f>
        <v>145</v>
      </c>
      <c r="I175" s="155"/>
      <c r="J175" s="178">
        <f>H175/DAY(B2)</f>
        <v>12.083333333333334</v>
      </c>
    </row>
    <row r="176" spans="1:10" ht="32.25" customHeight="1">
      <c r="A176" s="464" t="s">
        <v>196</v>
      </c>
      <c r="B176" s="465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G176+'11'!H176</f>
        <v>325</v>
      </c>
      <c r="I176" s="155"/>
      <c r="J176" s="178">
        <f>H176/DAY(B2)</f>
        <v>27.083333333333332</v>
      </c>
    </row>
    <row r="177" spans="1:10" ht="32.2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6" t="s">
        <v>210</v>
      </c>
      <c r="B178" s="897"/>
      <c r="C178" s="333"/>
      <c r="D178" s="228" t="s">
        <v>142</v>
      </c>
      <c r="E178" s="95">
        <f>'11'!F178</f>
        <v>86660</v>
      </c>
      <c r="F178" s="155">
        <v>86766</v>
      </c>
      <c r="G178" s="155">
        <f>F178-E178</f>
        <v>106</v>
      </c>
      <c r="H178" s="99">
        <f>G178+'11'!H178</f>
        <v>1150</v>
      </c>
      <c r="I178" s="155"/>
      <c r="J178" s="178">
        <f>H178/DAY(B2)</f>
        <v>95.833333333333329</v>
      </c>
    </row>
    <row r="179" spans="1:10" ht="32.25" customHeight="1">
      <c r="A179" s="896" t="s">
        <v>211</v>
      </c>
      <c r="B179" s="897"/>
      <c r="C179" s="333"/>
      <c r="D179" s="228" t="s">
        <v>142</v>
      </c>
      <c r="E179" s="95">
        <f>'11'!F179</f>
        <v>35710</v>
      </c>
      <c r="F179" s="155">
        <v>35710</v>
      </c>
      <c r="G179" s="155">
        <f t="shared" ref="G179:G180" si="15">F179-E179</f>
        <v>0</v>
      </c>
      <c r="H179" s="99">
        <f>G179+'11'!H179</f>
        <v>96</v>
      </c>
      <c r="I179" s="155"/>
      <c r="J179" s="178">
        <f>H179/DAY(B2)</f>
        <v>8</v>
      </c>
    </row>
    <row r="180" spans="1:10" ht="32.25" customHeight="1">
      <c r="A180" s="896" t="s">
        <v>212</v>
      </c>
      <c r="B180" s="897"/>
      <c r="C180" s="333"/>
      <c r="D180" s="228" t="s">
        <v>142</v>
      </c>
      <c r="E180" s="95">
        <f>'11'!F180</f>
        <v>6234</v>
      </c>
      <c r="F180" s="155">
        <v>6239</v>
      </c>
      <c r="G180" s="155">
        <f t="shared" si="15"/>
        <v>5</v>
      </c>
      <c r="H180" s="99">
        <f>G180+'11'!H180</f>
        <v>106</v>
      </c>
      <c r="I180" s="155"/>
      <c r="J180" s="178">
        <f>H180/DAY(B2)</f>
        <v>8.8333333333333339</v>
      </c>
    </row>
    <row r="181" spans="1:10" ht="32.2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111</v>
      </c>
      <c r="H181" s="99">
        <f>G181+'11'!H181</f>
        <v>1352</v>
      </c>
      <c r="I181" s="155"/>
      <c r="J181" s="178">
        <f>H181/DAY(B2)</f>
        <v>112.66666666666667</v>
      </c>
    </row>
    <row r="182" spans="1:10" ht="32.2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6" t="s">
        <v>214</v>
      </c>
      <c r="B183" s="897"/>
      <c r="C183" s="334"/>
      <c r="D183" s="228" t="s">
        <v>142</v>
      </c>
      <c r="E183" s="95">
        <f>'11'!F183</f>
        <v>16344</v>
      </c>
      <c r="F183" s="157">
        <v>16356</v>
      </c>
      <c r="G183" s="157">
        <f>F183-E183</f>
        <v>12</v>
      </c>
      <c r="H183" s="99">
        <f>G183+'11'!H183</f>
        <v>214</v>
      </c>
      <c r="I183" s="155"/>
      <c r="J183" s="178">
        <f>H183/DAY(B2)</f>
        <v>17.833333333333332</v>
      </c>
    </row>
    <row r="184" spans="1:10" ht="32.25" customHeight="1">
      <c r="A184" s="896" t="s">
        <v>215</v>
      </c>
      <c r="B184" s="897"/>
      <c r="C184" s="334"/>
      <c r="D184" s="228" t="s">
        <v>142</v>
      </c>
      <c r="E184" s="95">
        <f>'11'!F184</f>
        <v>11122</v>
      </c>
      <c r="F184" s="157">
        <v>11136</v>
      </c>
      <c r="G184" s="157">
        <f t="shared" ref="G184:G185" si="16">F184-E184</f>
        <v>14</v>
      </c>
      <c r="H184" s="99">
        <f>G184+'11'!H184</f>
        <v>87</v>
      </c>
      <c r="I184" s="155"/>
      <c r="J184" s="178">
        <f>H184/DAY(B2)</f>
        <v>7.25</v>
      </c>
    </row>
    <row r="185" spans="1:10" ht="32.25" customHeight="1">
      <c r="A185" s="896" t="s">
        <v>216</v>
      </c>
      <c r="B185" s="897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26</v>
      </c>
      <c r="H186" s="99">
        <f>G186+'11'!H186</f>
        <v>301</v>
      </c>
      <c r="I186" s="157"/>
      <c r="J186" s="178">
        <f>H186/DAY(B2)</f>
        <v>25.083333333333332</v>
      </c>
    </row>
    <row r="187" spans="1:10" ht="32.25" customHeight="1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210</v>
      </c>
      <c r="H187" s="99">
        <f>G187+'11'!H187</f>
        <v>2733</v>
      </c>
      <c r="I187" s="158"/>
      <c r="J187" s="179">
        <f>H187/DAY(B2)</f>
        <v>227.75</v>
      </c>
    </row>
    <row r="188" spans="1:10" ht="32.25" customHeight="1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225</v>
      </c>
      <c r="H188" s="99">
        <f>G188+'11'!H188</f>
        <v>2741</v>
      </c>
      <c r="I188" s="158"/>
      <c r="J188" s="179">
        <f>H188/DAY(B2)</f>
        <v>228.41666666666666</v>
      </c>
    </row>
    <row r="189" spans="1:10" ht="32.25" customHeight="1">
      <c r="A189" s="946" t="s">
        <v>219</v>
      </c>
      <c r="B189" s="947"/>
      <c r="C189" s="333"/>
      <c r="D189" s="230" t="s">
        <v>142</v>
      </c>
      <c r="E189" s="95"/>
      <c r="F189" s="157"/>
      <c r="G189" s="520">
        <f>G181</f>
        <v>111</v>
      </c>
      <c r="H189" s="99">
        <f>G189+'11'!H189</f>
        <v>1352</v>
      </c>
      <c r="I189" s="158"/>
      <c r="J189" s="179">
        <f>H189/DAY(B2)</f>
        <v>112.66666666666667</v>
      </c>
    </row>
    <row r="190" spans="1:10" ht="32.25" customHeight="1">
      <c r="A190" s="940"/>
      <c r="B190" s="941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70" zoomScaleSheetLayoutView="70" workbookViewId="0">
      <selection activeCell="F22" sqref="F22: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7.75" customHeight="1">
      <c r="A2" s="191" t="s">
        <v>303</v>
      </c>
      <c r="B2" s="262">
        <v>44664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319120</v>
      </c>
      <c r="F7" s="95">
        <v>347605</v>
      </c>
      <c r="G7" s="112">
        <f>F7-E7</f>
        <v>28485</v>
      </c>
      <c r="H7" s="99">
        <f>G7+'12'!H7</f>
        <v>360882</v>
      </c>
      <c r="I7" s="113">
        <f>'1'!I7</f>
        <v>12000</v>
      </c>
      <c r="J7" s="175">
        <f>H7/DAY(B2)</f>
        <v>27760.153846153848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396634</v>
      </c>
      <c r="F8" s="114">
        <v>425734</v>
      </c>
      <c r="G8" s="115">
        <f>F8-E8</f>
        <v>29100</v>
      </c>
      <c r="H8" s="99">
        <f>G8+'12'!H8</f>
        <v>367687.78</v>
      </c>
      <c r="I8" s="116"/>
      <c r="J8" s="175">
        <f>H8/DAY(B2)</f>
        <v>28283.675384615388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1505808</v>
      </c>
      <c r="F9" s="470">
        <v>1526731</v>
      </c>
      <c r="G9" s="112">
        <f>F9-E9</f>
        <v>20923</v>
      </c>
      <c r="H9" s="99">
        <f>G9+'12'!H9</f>
        <v>259056</v>
      </c>
      <c r="I9" s="124">
        <f>I7-J7</f>
        <v>-15760.153846153848</v>
      </c>
      <c r="J9" s="175">
        <f>H9/DAY(B2)</f>
        <v>19927.384615384617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353">
        <v>503214</v>
      </c>
      <c r="F10" s="353">
        <v>510045</v>
      </c>
      <c r="G10" s="112">
        <f t="shared" ref="G10:G12" si="0">F10-E10</f>
        <v>6831</v>
      </c>
      <c r="H10" s="99">
        <f>G10+'12'!H10</f>
        <v>91769.530000000028</v>
      </c>
      <c r="I10" s="282"/>
      <c r="J10" s="175">
        <f>H10/DAY(B2)</f>
        <v>7059.1946153846175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95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27754</v>
      </c>
      <c r="H13" s="99">
        <f>G13+'12'!H13</f>
        <v>350826</v>
      </c>
      <c r="I13" s="120">
        <f>G7-G13</f>
        <v>731</v>
      </c>
      <c r="J13" s="175">
        <f>H13/DAY(B2)</f>
        <v>26986.615384615383</v>
      </c>
      <c r="K13" s="79"/>
      <c r="L13" s="66"/>
      <c r="N13" s="87"/>
      <c r="O13" s="71"/>
    </row>
    <row r="14" spans="1:15" ht="27.7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'12'!F15</f>
        <v>1984081</v>
      </c>
      <c r="F15" s="470">
        <v>1985157</v>
      </c>
      <c r="G15" s="112">
        <f>(F15-E15)</f>
        <v>1076</v>
      </c>
      <c r="H15" s="99">
        <f>G15+'12'!H15</f>
        <v>14220</v>
      </c>
      <c r="I15" s="113">
        <f>'1'!I15</f>
        <v>800</v>
      </c>
      <c r="J15" s="175">
        <f>H15/DAY(B2)</f>
        <v>1093.8461538461538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-293.84615384615381</v>
      </c>
      <c r="J16" s="176"/>
      <c r="K16" s="79"/>
      <c r="L16" s="66"/>
      <c r="N16" s="87"/>
      <c r="O16" s="71"/>
    </row>
    <row r="17" spans="1:15" ht="27.7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4" t="s">
        <v>141</v>
      </c>
      <c r="B18" s="875"/>
      <c r="C18" s="876"/>
      <c r="D18" s="151" t="s">
        <v>142</v>
      </c>
      <c r="E18" s="95">
        <f>'12'!F18</f>
        <v>21</v>
      </c>
      <c r="F18" s="122">
        <v>24</v>
      </c>
      <c r="G18" s="119">
        <f>F18*10</f>
        <v>240</v>
      </c>
      <c r="H18" s="99">
        <f>G18+'12'!H18</f>
        <v>3230</v>
      </c>
      <c r="I18" s="113">
        <f>'1'!I18</f>
        <v>65</v>
      </c>
      <c r="J18" s="175">
        <f>H18/DAY(B2)</f>
        <v>248.46153846153845</v>
      </c>
      <c r="K18" s="79"/>
      <c r="L18" s="66"/>
      <c r="N18" s="87"/>
      <c r="O18" s="71"/>
    </row>
    <row r="19" spans="1:15" ht="27.75" customHeight="1">
      <c r="A19" s="874" t="s">
        <v>69</v>
      </c>
      <c r="B19" s="875"/>
      <c r="C19" s="876"/>
      <c r="D19" s="151" t="s">
        <v>142</v>
      </c>
      <c r="E19" s="95">
        <f>'12'!F19</f>
        <v>157554</v>
      </c>
      <c r="F19" s="122">
        <v>157602</v>
      </c>
      <c r="G19" s="112">
        <f t="shared" ref="G19" si="1">F19-E19</f>
        <v>48</v>
      </c>
      <c r="H19" s="99">
        <f>G19+'12'!H19</f>
        <v>613</v>
      </c>
      <c r="I19" s="335"/>
      <c r="J19" s="175">
        <f>H19/DAY(B2)</f>
        <v>47.153846153846153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288</v>
      </c>
      <c r="H20" s="99">
        <f>G20+'12'!H20</f>
        <v>3843</v>
      </c>
      <c r="I20" s="336">
        <f>I18-J20</f>
        <v>-230.61538461538464</v>
      </c>
      <c r="J20" s="175">
        <f>H20/DAY(B2)</f>
        <v>295.61538461538464</v>
      </c>
      <c r="K20" s="79"/>
      <c r="L20" s="66"/>
      <c r="N20" s="87"/>
      <c r="O20" s="71"/>
    </row>
    <row r="21" spans="1:15" ht="27.7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29100</v>
      </c>
      <c r="F27" s="136">
        <v>9</v>
      </c>
      <c r="G27" s="137">
        <f>E27*F27</f>
        <v>261900</v>
      </c>
      <c r="H27" s="99">
        <f>G27+'12'!H27</f>
        <v>3309190.02</v>
      </c>
      <c r="I27" s="138"/>
      <c r="J27" s="175">
        <f>H27/DAY(B2)</f>
        <v>254553.07846153848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1076</v>
      </c>
      <c r="F28" s="136">
        <v>70</v>
      </c>
      <c r="G28" s="137">
        <f>E28*F28</f>
        <v>75320</v>
      </c>
      <c r="H28" s="99">
        <f>G28+'12'!H28</f>
        <v>936125.4599999995</v>
      </c>
      <c r="I28" s="140"/>
      <c r="J28" s="175">
        <f>H28/DAY(B2)</f>
        <v>72009.650769230735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G30+'12'!H30</f>
        <v>91893</v>
      </c>
      <c r="I30" s="140"/>
      <c r="J30" s="175">
        <f>H30/DAY(B2)</f>
        <v>7068.6923076923076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258400</v>
      </c>
      <c r="I31" s="140"/>
      <c r="J31" s="175">
        <f>H31/DAY(B2)</f>
        <v>19876.923076923078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363668</v>
      </c>
      <c r="H32" s="99">
        <f>G32+'12'!H32</f>
        <v>4595608.4799999995</v>
      </c>
      <c r="I32" s="144"/>
      <c r="J32" s="175">
        <f>H32/DAY(B2)</f>
        <v>353508.34461538459</v>
      </c>
      <c r="K32" s="63"/>
      <c r="L32" s="89"/>
      <c r="N32" s="87"/>
      <c r="O32" s="71"/>
    </row>
    <row r="33" spans="1:15" ht="27.7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164186</v>
      </c>
      <c r="F35" s="145">
        <v>166323</v>
      </c>
      <c r="G35" s="112">
        <f t="shared" ref="G35:G46" si="3">F35-E35</f>
        <v>2137</v>
      </c>
      <c r="H35" s="99">
        <f>G35+'12'!H35</f>
        <v>28043.790000000008</v>
      </c>
      <c r="I35" s="95"/>
      <c r="J35" s="175">
        <f>H35/DAY(B2)</f>
        <v>2157.2146153846161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112130</v>
      </c>
      <c r="F36" s="145">
        <v>113291</v>
      </c>
      <c r="G36" s="112">
        <f t="shared" si="3"/>
        <v>1161</v>
      </c>
      <c r="H36" s="99">
        <f>G36+'12'!H36</f>
        <v>12770.339999999997</v>
      </c>
      <c r="I36" s="95"/>
      <c r="J36" s="175">
        <f>H36/DAY(B2)</f>
        <v>982.33384615384591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152325</v>
      </c>
      <c r="F37" s="145">
        <v>153936</v>
      </c>
      <c r="G37" s="112">
        <f t="shared" si="3"/>
        <v>1611</v>
      </c>
      <c r="H37" s="99">
        <f>G37+'12'!H37</f>
        <v>21010.98000000001</v>
      </c>
      <c r="I37" s="95"/>
      <c r="J37" s="175">
        <f>H37/DAY(B2)</f>
        <v>1616.2292307692317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200374</v>
      </c>
      <c r="F38" s="108">
        <v>202834</v>
      </c>
      <c r="G38" s="112">
        <f t="shared" si="3"/>
        <v>2460</v>
      </c>
      <c r="H38" s="99">
        <f>G38+'12'!H38</f>
        <v>32724.630000000005</v>
      </c>
      <c r="I38" s="95"/>
      <c r="J38" s="175">
        <f>H38/DAY(B2)</f>
        <v>2517.2792307692312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283582</v>
      </c>
      <c r="F39" s="145">
        <v>286850</v>
      </c>
      <c r="G39" s="112">
        <f t="shared" si="3"/>
        <v>3268</v>
      </c>
      <c r="H39" s="99">
        <f>G39+'12'!H39</f>
        <v>42696.570000000007</v>
      </c>
      <c r="I39" s="95"/>
      <c r="J39" s="175">
        <f>H39/DAY(B2)</f>
        <v>3284.3515384615389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54946</v>
      </c>
      <c r="F40" s="145">
        <v>55457</v>
      </c>
      <c r="G40" s="112">
        <f t="shared" si="3"/>
        <v>511</v>
      </c>
      <c r="H40" s="99">
        <f>G40+'12'!H40</f>
        <v>6305.1399999999994</v>
      </c>
      <c r="I40" s="95"/>
      <c r="J40" s="175">
        <f>H40/DAY(B2)</f>
        <v>485.0107692307692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339114</v>
      </c>
      <c r="F42" s="145">
        <v>344914</v>
      </c>
      <c r="G42" s="112">
        <f t="shared" si="3"/>
        <v>5800</v>
      </c>
      <c r="H42" s="99">
        <f>G42+'12'!H42</f>
        <v>63556.75</v>
      </c>
      <c r="I42" s="95"/>
      <c r="J42" s="175">
        <f>H42/DAY(B2)</f>
        <v>4888.9807692307695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296575</v>
      </c>
      <c r="F43" s="145">
        <v>299806</v>
      </c>
      <c r="G43" s="112">
        <f t="shared" si="3"/>
        <v>3231</v>
      </c>
      <c r="H43" s="99">
        <f>G43+'12'!H43</f>
        <v>41051.53</v>
      </c>
      <c r="I43" s="95"/>
      <c r="J43" s="175">
        <f>H43/DAY(B2)</f>
        <v>3157.81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20179</v>
      </c>
      <c r="H47" s="99">
        <f>G47+'12'!H47</f>
        <v>248159.72999999998</v>
      </c>
      <c r="I47" s="95"/>
      <c r="J47" s="175">
        <f>H47/DAY(B2)</f>
        <v>19089.21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132155</v>
      </c>
      <c r="F49" s="145">
        <v>134106</v>
      </c>
      <c r="G49" s="112">
        <f t="shared" ref="G49:G58" si="4">F49-E49</f>
        <v>1951</v>
      </c>
      <c r="H49" s="99">
        <f>G49+'12'!H49</f>
        <v>23603.800000000003</v>
      </c>
      <c r="I49" s="95"/>
      <c r="J49" s="175">
        <f>H49/DAY(B2)</f>
        <v>1815.6769230769232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147692</v>
      </c>
      <c r="F50" s="145">
        <v>149214</v>
      </c>
      <c r="G50" s="112">
        <f t="shared" si="4"/>
        <v>1522</v>
      </c>
      <c r="H50" s="99">
        <f>G50+'12'!H50</f>
        <v>18003.859999999986</v>
      </c>
      <c r="I50" s="95"/>
      <c r="J50" s="175">
        <f>H50/DAY(B2)</f>
        <v>1384.9123076923065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41605</v>
      </c>
      <c r="F54" s="145">
        <v>42080</v>
      </c>
      <c r="G54" s="112">
        <f t="shared" si="4"/>
        <v>475</v>
      </c>
      <c r="H54" s="99">
        <f>G54+'12'!H54</f>
        <v>6408.9400000000023</v>
      </c>
      <c r="I54" s="95"/>
      <c r="J54" s="175">
        <f>H54/DAY(B2)</f>
        <v>492.99538461538481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121614</v>
      </c>
      <c r="F55" s="145">
        <v>123951</v>
      </c>
      <c r="G55" s="112">
        <f t="shared" si="4"/>
        <v>2337</v>
      </c>
      <c r="H55" s="99">
        <f>G55+'12'!H55</f>
        <v>11469.970000000001</v>
      </c>
      <c r="I55" s="95"/>
      <c r="J55" s="175">
        <f>H55/DAY(B2)</f>
        <v>882.3053846153847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93818</v>
      </c>
      <c r="F56" s="145">
        <v>93818</v>
      </c>
      <c r="G56" s="112">
        <f t="shared" si="4"/>
        <v>0</v>
      </c>
      <c r="H56" s="99">
        <f>G56+'12'!H56</f>
        <v>22200.320000000007</v>
      </c>
      <c r="I56" s="95"/>
      <c r="J56" s="175">
        <f>H56/DAY(B2)</f>
        <v>1707.7169230769236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21328</v>
      </c>
      <c r="F58" s="145">
        <v>21556</v>
      </c>
      <c r="G58" s="112">
        <f t="shared" si="4"/>
        <v>228</v>
      </c>
      <c r="H58" s="99">
        <f>G58+'12'!H58</f>
        <v>3101.7999999999993</v>
      </c>
      <c r="I58" s="95"/>
      <c r="J58" s="175">
        <f>H58/DAY(B2)</f>
        <v>238.59999999999994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6513</v>
      </c>
      <c r="H59" s="99">
        <f>G59+'12'!H59</f>
        <v>84789.01</v>
      </c>
      <c r="I59" s="95">
        <f>G7-G60</f>
        <v>1793</v>
      </c>
      <c r="J59" s="175">
        <f>H59/DAY(B2)</f>
        <v>6522.2315384615376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26692</v>
      </c>
      <c r="H60" s="99">
        <f>G60+'12'!H60</f>
        <v>332948.74</v>
      </c>
      <c r="I60" s="95">
        <f>G13-G60</f>
        <v>1062</v>
      </c>
      <c r="J60" s="175">
        <f>H60/DAY(B2)</f>
        <v>25611.441538461539</v>
      </c>
      <c r="K60" s="79"/>
      <c r="L60" s="66"/>
      <c r="N60" s="87"/>
      <c r="O60" s="71"/>
    </row>
    <row r="61" spans="1:15" s="68" customFormat="1" ht="27.75" customHeight="1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4" t="s">
        <v>198</v>
      </c>
      <c r="B62" s="875"/>
      <c r="C62" s="876"/>
      <c r="D62" s="151" t="s">
        <v>142</v>
      </c>
      <c r="E62" s="95">
        <f>'12'!F62</f>
        <v>280794</v>
      </c>
      <c r="F62" s="122">
        <v>281002</v>
      </c>
      <c r="G62" s="112">
        <f t="shared" ref="G62:G63" si="5">F62-E62</f>
        <v>208</v>
      </c>
      <c r="H62" s="99">
        <f>G62+'12'!H62</f>
        <v>2376</v>
      </c>
      <c r="I62" s="118"/>
      <c r="J62" s="175">
        <f>H62/DAY(B2)</f>
        <v>182.76923076923077</v>
      </c>
      <c r="K62" s="80"/>
      <c r="L62" s="66"/>
      <c r="N62" s="87"/>
      <c r="O62" s="71"/>
    </row>
    <row r="63" spans="1:15" ht="27.75" customHeight="1">
      <c r="A63" s="874" t="s">
        <v>199</v>
      </c>
      <c r="B63" s="875"/>
      <c r="C63" s="876"/>
      <c r="D63" s="151" t="s">
        <v>142</v>
      </c>
      <c r="E63" s="95">
        <f>'12'!F63</f>
        <v>224921</v>
      </c>
      <c r="F63" s="122">
        <v>225065</v>
      </c>
      <c r="G63" s="112">
        <f t="shared" si="5"/>
        <v>144</v>
      </c>
      <c r="H63" s="99">
        <f>G63+'12'!H63</f>
        <v>1984</v>
      </c>
      <c r="I63" s="118"/>
      <c r="J63" s="175">
        <f>H63/DAY(B2)</f>
        <v>152.61538461538461</v>
      </c>
      <c r="K63" s="69"/>
      <c r="L63" s="66"/>
      <c r="N63" s="87"/>
      <c r="O63" s="71"/>
    </row>
    <row r="64" spans="1:15" ht="27.75" customHeight="1">
      <c r="A64" s="871" t="s">
        <v>200</v>
      </c>
      <c r="B64" s="872"/>
      <c r="C64" s="873"/>
      <c r="D64" s="151"/>
      <c r="E64" s="95">
        <f>'12'!F64</f>
        <v>0</v>
      </c>
      <c r="F64" s="122"/>
      <c r="G64" s="112">
        <f>G62+G63</f>
        <v>352</v>
      </c>
      <c r="H64" s="99">
        <f>G64+'12'!H64</f>
        <v>4360</v>
      </c>
      <c r="I64" s="118"/>
      <c r="J64" s="175">
        <f>H64/DAY(B2)</f>
        <v>335.38461538461536</v>
      </c>
      <c r="K64" s="69"/>
      <c r="L64" s="66"/>
      <c r="N64" s="87"/>
      <c r="O64" s="71"/>
    </row>
    <row r="65" spans="1:15" ht="27.75" customHeight="1">
      <c r="A65" s="874" t="s">
        <v>201</v>
      </c>
      <c r="B65" s="875"/>
      <c r="C65" s="876"/>
      <c r="D65" s="151" t="s">
        <v>142</v>
      </c>
      <c r="E65" s="95">
        <f>'12'!F65</f>
        <v>442491</v>
      </c>
      <c r="F65" s="122">
        <v>442625</v>
      </c>
      <c r="G65" s="112">
        <f t="shared" ref="G65:G70" si="6">F65-E65</f>
        <v>134</v>
      </c>
      <c r="H65" s="99">
        <f>G65+'12'!H65</f>
        <v>1494</v>
      </c>
      <c r="I65" s="118"/>
      <c r="J65" s="175">
        <f>H65/DAY(B2)</f>
        <v>114.92307692307692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109271</v>
      </c>
      <c r="F66" s="122">
        <v>109286</v>
      </c>
      <c r="G66" s="112">
        <f t="shared" si="6"/>
        <v>15</v>
      </c>
      <c r="H66" s="99">
        <f>G66+'12'!H66</f>
        <v>216</v>
      </c>
      <c r="I66" s="118"/>
      <c r="J66" s="175">
        <f>H66/DAY(B2)</f>
        <v>16.615384615384617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109489</v>
      </c>
      <c r="F67" s="122">
        <v>109558</v>
      </c>
      <c r="G67" s="112">
        <f t="shared" si="6"/>
        <v>69</v>
      </c>
      <c r="H67" s="99">
        <f>G67+'12'!H67</f>
        <v>965</v>
      </c>
      <c r="I67" s="118"/>
      <c r="J67" s="175">
        <f>H67/DAY(B2)</f>
        <v>74.230769230769226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161027</v>
      </c>
      <c r="F68" s="122">
        <v>161089</v>
      </c>
      <c r="G68" s="112">
        <f t="shared" si="6"/>
        <v>62</v>
      </c>
      <c r="H68" s="99">
        <f>G68+'12'!H68</f>
        <v>680</v>
      </c>
      <c r="I68" s="118"/>
      <c r="J68" s="175">
        <f>H68/DAY(B2)</f>
        <v>52.307692307692307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11379</v>
      </c>
      <c r="F69" s="122">
        <v>11390</v>
      </c>
      <c r="G69" s="112">
        <f t="shared" si="6"/>
        <v>11</v>
      </c>
      <c r="H69" s="99">
        <f>G69+'12'!H69</f>
        <v>189</v>
      </c>
      <c r="I69" s="118"/>
      <c r="J69" s="175">
        <f>H69/DAY(B2)</f>
        <v>14.538461538461538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8834</v>
      </c>
      <c r="F70" s="122">
        <v>8842</v>
      </c>
      <c r="G70" s="112">
        <f t="shared" si="6"/>
        <v>8</v>
      </c>
      <c r="H70" s="99">
        <f>G70+'12'!H70</f>
        <v>114</v>
      </c>
      <c r="I70" s="118"/>
      <c r="J70" s="175">
        <f>H70/DAY(B2)</f>
        <v>8.7692307692307701</v>
      </c>
      <c r="K70" s="69"/>
      <c r="L70" s="66"/>
      <c r="N70" s="87"/>
      <c r="O70" s="71"/>
    </row>
    <row r="71" spans="1:15" ht="27.75" customHeight="1">
      <c r="A71" s="871" t="s">
        <v>208</v>
      </c>
      <c r="B71" s="872"/>
      <c r="C71" s="873"/>
      <c r="D71" s="152"/>
      <c r="E71" s="152"/>
      <c r="F71" s="152" t="s">
        <v>373</v>
      </c>
      <c r="G71" s="153">
        <f>SUM(G65:G70)</f>
        <v>299</v>
      </c>
      <c r="H71" s="99">
        <f>G71+'12'!H71</f>
        <v>3658</v>
      </c>
      <c r="I71" s="154"/>
      <c r="J71" s="175">
        <f>H71/DAY(B2)</f>
        <v>281.38461538461536</v>
      </c>
      <c r="K71" s="69"/>
      <c r="L71" s="66"/>
      <c r="N71" s="87"/>
      <c r="O71" s="71"/>
    </row>
    <row r="72" spans="1:15" s="88" customFormat="1" ht="27.7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4" t="s">
        <v>220</v>
      </c>
      <c r="B74" s="875"/>
      <c r="C74" s="876"/>
      <c r="D74" s="151" t="s">
        <v>139</v>
      </c>
      <c r="E74" s="95">
        <f>'12'!F74</f>
        <v>923026</v>
      </c>
      <c r="F74" s="117">
        <v>923318</v>
      </c>
      <c r="G74" s="112">
        <f t="shared" ref="G74:G78" si="7">F74-E74</f>
        <v>292</v>
      </c>
      <c r="H74" s="99">
        <f>G74+'12'!H74</f>
        <v>3993.4899999999907</v>
      </c>
      <c r="I74" s="154"/>
      <c r="J74" s="175">
        <f>H74/DAY(B2)</f>
        <v>307.19153846153773</v>
      </c>
      <c r="K74" s="69"/>
      <c r="L74" s="66"/>
      <c r="N74" s="87"/>
      <c r="O74" s="71"/>
    </row>
    <row r="75" spans="1:15" ht="27.75" customHeight="1">
      <c r="A75" s="874" t="s">
        <v>221</v>
      </c>
      <c r="B75" s="875"/>
      <c r="C75" s="87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>
      <c r="A76" s="918" t="s">
        <v>222</v>
      </c>
      <c r="B76" s="904"/>
      <c r="C76" s="905"/>
      <c r="D76" s="151" t="s">
        <v>139</v>
      </c>
      <c r="E76" s="95">
        <f>'12'!F76</f>
        <v>177983</v>
      </c>
      <c r="F76" s="123">
        <v>178106</v>
      </c>
      <c r="G76" s="112">
        <f t="shared" si="7"/>
        <v>123</v>
      </c>
      <c r="H76" s="99">
        <f>G76+'12'!H76</f>
        <v>1519</v>
      </c>
      <c r="I76" s="154"/>
      <c r="J76" s="175">
        <f>H76/DAY(B2)</f>
        <v>116.84615384615384</v>
      </c>
      <c r="K76" s="69"/>
      <c r="L76" s="66"/>
      <c r="N76" s="87"/>
      <c r="O76" s="71"/>
    </row>
    <row r="77" spans="1:15" ht="27.75" customHeight="1">
      <c r="A77" s="918" t="s">
        <v>223</v>
      </c>
      <c r="B77" s="904"/>
      <c r="C77" s="905"/>
      <c r="D77" s="151" t="s">
        <v>139</v>
      </c>
      <c r="E77" s="95">
        <f>'12'!F77</f>
        <v>44757</v>
      </c>
      <c r="F77" s="123">
        <v>44801</v>
      </c>
      <c r="G77" s="112">
        <f t="shared" si="7"/>
        <v>44</v>
      </c>
      <c r="H77" s="99">
        <f>G77+'12'!H77</f>
        <v>638</v>
      </c>
      <c r="I77" s="154"/>
      <c r="J77" s="175">
        <f>H77/DAY(B2)</f>
        <v>49.07692307692308</v>
      </c>
      <c r="K77" s="69"/>
      <c r="L77" s="66"/>
      <c r="N77" s="87"/>
      <c r="O77" s="71"/>
    </row>
    <row r="78" spans="1:15" ht="27.75" customHeight="1">
      <c r="A78" s="918" t="s">
        <v>224</v>
      </c>
      <c r="B78" s="904"/>
      <c r="C78" s="905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1</v>
      </c>
      <c r="I78" s="118"/>
      <c r="J78" s="175">
        <f>H78/DAY(B2)</f>
        <v>7.6923076923076927E-2</v>
      </c>
      <c r="K78" s="69"/>
      <c r="L78" s="66"/>
      <c r="N78" s="87"/>
      <c r="O78" s="71"/>
    </row>
    <row r="79" spans="1:15" s="57" customFormat="1" ht="27.75" customHeight="1">
      <c r="A79" s="918" t="s">
        <v>225</v>
      </c>
      <c r="B79" s="904"/>
      <c r="C79" s="905"/>
      <c r="D79" s="151"/>
      <c r="E79" s="95">
        <f>'12'!F79</f>
        <v>0</v>
      </c>
      <c r="F79" s="117"/>
      <c r="G79" s="112">
        <f>G15-SUM(G74:G78)</f>
        <v>617</v>
      </c>
      <c r="H79" s="99">
        <f>G79+'12'!H79</f>
        <v>8068.3100000000122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1076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94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94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594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3405</v>
      </c>
      <c r="F85" s="164">
        <v>3429</v>
      </c>
      <c r="G85" s="112">
        <f t="shared" si="8"/>
        <v>24</v>
      </c>
      <c r="H85" s="99">
        <f>G85+'12'!H85</f>
        <v>270.5</v>
      </c>
      <c r="I85" s="594"/>
      <c r="J85" s="175">
        <f>H85/DAY(B2)</f>
        <v>20.807692307692307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43783</v>
      </c>
      <c r="F86" s="164">
        <v>43798</v>
      </c>
      <c r="G86" s="112">
        <f t="shared" si="8"/>
        <v>15</v>
      </c>
      <c r="H86" s="99">
        <f>G86+'12'!H86</f>
        <v>77.599999999998545</v>
      </c>
      <c r="I86" s="594"/>
      <c r="J86" s="175">
        <f>H86/DAY(B2)</f>
        <v>5.9692307692306574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35229.040000000001</v>
      </c>
      <c r="F87" s="164">
        <v>35229.040000000001</v>
      </c>
      <c r="G87" s="112">
        <f t="shared" si="8"/>
        <v>0</v>
      </c>
      <c r="H87" s="99">
        <f>G87+'12'!H87</f>
        <v>148.69000000000233</v>
      </c>
      <c r="I87" s="594">
        <f>G84+G85+G86+G87</f>
        <v>39</v>
      </c>
      <c r="J87" s="175">
        <f>H87/DAY(B2)</f>
        <v>11.437692307692487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24114.9</v>
      </c>
      <c r="F88" s="164">
        <v>24125.14</v>
      </c>
      <c r="G88" s="112">
        <f t="shared" si="8"/>
        <v>10.239999999997963</v>
      </c>
      <c r="H88" s="99">
        <f>G88+'12'!H88</f>
        <v>15.739999999997963</v>
      </c>
      <c r="I88" s="594"/>
      <c r="J88" s="175">
        <f>H88/DAY(B2)</f>
        <v>1.2107692307690741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26592.45</v>
      </c>
      <c r="F89" s="164">
        <v>26593.15</v>
      </c>
      <c r="G89" s="112">
        <f t="shared" si="8"/>
        <v>0.7000000000007276</v>
      </c>
      <c r="H89" s="99">
        <f>G89+'12'!H89</f>
        <v>121.36000000000058</v>
      </c>
      <c r="I89" s="594">
        <f>G88+G89</f>
        <v>10.93999999999869</v>
      </c>
      <c r="J89" s="175">
        <f>H89/DAY(B2)</f>
        <v>9.33538461538466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71682.33</v>
      </c>
      <c r="F90" s="164">
        <v>71696.2</v>
      </c>
      <c r="G90" s="112">
        <f t="shared" si="8"/>
        <v>13.869999999995343</v>
      </c>
      <c r="H90" s="99">
        <f>G90+'12'!H90</f>
        <v>123.08999999999651</v>
      </c>
      <c r="I90" s="594">
        <f>G90</f>
        <v>13.869999999995343</v>
      </c>
      <c r="J90" s="175">
        <f>H90/DAY(B2)</f>
        <v>9.4684615384612698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3910</v>
      </c>
      <c r="F91" s="122">
        <v>3910</v>
      </c>
      <c r="G91" s="112">
        <f t="shared" si="8"/>
        <v>0</v>
      </c>
      <c r="H91" s="99">
        <f>G91+'12'!H91</f>
        <v>0.25</v>
      </c>
      <c r="I91" s="688"/>
      <c r="J91" s="175">
        <f>H91/DAY(B2)</f>
        <v>1.9230769230769232E-2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5875.96</v>
      </c>
      <c r="F92" s="122">
        <v>5886.13</v>
      </c>
      <c r="G92" s="112">
        <f t="shared" si="8"/>
        <v>10.170000000000073</v>
      </c>
      <c r="H92" s="99">
        <f>G92+'12'!H92</f>
        <v>138.82999999999993</v>
      </c>
      <c r="I92" s="705">
        <f>G91+G92</f>
        <v>10.170000000000073</v>
      </c>
      <c r="J92" s="175">
        <f>H92/DAY(B2)</f>
        <v>10.679230769230763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7319</v>
      </c>
      <c r="H94" s="99">
        <f>G94+'12'!H94</f>
        <v>92699.12000000001</v>
      </c>
      <c r="I94" s="118"/>
      <c r="J94" s="175">
        <f>H94/DAY(B2)</f>
        <v>7130.7015384615388</v>
      </c>
      <c r="K94" s="69"/>
      <c r="L94" s="66"/>
      <c r="O94" s="71"/>
    </row>
    <row r="95" spans="1:15" ht="27.7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0.25694225030717921</v>
      </c>
      <c r="H95" s="99">
        <f>G95+'12'!H95</f>
        <v>3.3395902506318196</v>
      </c>
      <c r="I95" s="167"/>
      <c r="J95" s="175">
        <f>H95/DAY(B2)</f>
        <v>0.25689155774090922</v>
      </c>
      <c r="K95" s="69"/>
      <c r="L95" s="66"/>
      <c r="O95" s="71"/>
    </row>
    <row r="96" spans="1:15" ht="27.7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8137</v>
      </c>
      <c r="H96" s="99">
        <f>G96+'12'!H96</f>
        <v>97227.040000000008</v>
      </c>
      <c r="I96" s="118"/>
      <c r="J96" s="175">
        <f>H96/DAY(B2)</f>
        <v>7479.003076923078</v>
      </c>
      <c r="K96" s="69"/>
      <c r="L96" s="66"/>
      <c r="O96" s="71"/>
    </row>
    <row r="97" spans="1:15" ht="27.7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0.28565911883447426</v>
      </c>
      <c r="H97" s="99">
        <f>G97+'12'!H97</f>
        <v>3.4958298067379818</v>
      </c>
      <c r="I97" s="167"/>
      <c r="J97" s="175">
        <f>H97/DAY(B2)</f>
        <v>0.26890998513369091</v>
      </c>
      <c r="K97" s="69"/>
      <c r="L97" s="66"/>
      <c r="O97" s="71"/>
    </row>
    <row r="98" spans="1:15" ht="27.7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3268</v>
      </c>
      <c r="H98" s="99">
        <f>G98+'12'!H98</f>
        <v>42696.570000000007</v>
      </c>
      <c r="I98" s="168"/>
      <c r="J98" s="175">
        <f>H98/DAY(B2)</f>
        <v>3284.3515384615389</v>
      </c>
      <c r="K98" s="69"/>
      <c r="L98" s="66"/>
      <c r="O98" s="71"/>
    </row>
    <row r="99" spans="1:15" ht="27.7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0.11472704932420572</v>
      </c>
      <c r="H99" s="99">
        <f>G99+'12'!H99</f>
        <v>1.5406129892444993</v>
      </c>
      <c r="I99" s="168"/>
      <c r="J99" s="175">
        <f>H99/DAY(B2)</f>
        <v>0.1185086914803461</v>
      </c>
      <c r="O99" s="71"/>
    </row>
    <row r="100" spans="1:15" ht="27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2460</v>
      </c>
      <c r="H100" s="99">
        <f>G100+'12'!H100</f>
        <v>32724.630000000005</v>
      </c>
      <c r="I100" s="118"/>
      <c r="J100" s="175">
        <f>H100/DAY(B2)</f>
        <v>2517.2792307692312</v>
      </c>
      <c r="K100" s="70"/>
      <c r="O100" s="71"/>
    </row>
    <row r="101" spans="1:15" ht="27.7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8.6361242759347021E-2</v>
      </c>
      <c r="H101" s="99">
        <f>G101+'12'!H101</f>
        <v>1.1808109130855104</v>
      </c>
      <c r="I101" s="168"/>
      <c r="J101" s="175">
        <f>H101/DAY(B2)</f>
        <v>9.0831608698885416E-2</v>
      </c>
      <c r="O101" s="71"/>
    </row>
    <row r="102" spans="1:15" ht="27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2683</v>
      </c>
      <c r="H102" s="99">
        <f>G102+'12'!H102</f>
        <v>30774.199999999983</v>
      </c>
      <c r="I102" s="168"/>
      <c r="J102" s="175">
        <f>H102/DAY(B2)</f>
        <v>2367.2461538461525</v>
      </c>
      <c r="O102" s="71"/>
    </row>
    <row r="103" spans="1:15" ht="27.7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9.418992452167807E-2</v>
      </c>
      <c r="H103" s="99">
        <f>G103+'12'!H103</f>
        <v>1.108579898895242</v>
      </c>
      <c r="I103" s="118"/>
      <c r="J103" s="175">
        <f>H103/DAY(B2)</f>
        <v>8.5275376838095537E-2</v>
      </c>
      <c r="O103" s="71"/>
    </row>
    <row r="104" spans="1:15" ht="27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1611</v>
      </c>
      <c r="H104" s="99">
        <f>G104+'12'!H104</f>
        <v>21011.30000000001</v>
      </c>
      <c r="I104" s="118"/>
      <c r="J104" s="175">
        <f>H104/DAY(B2)</f>
        <v>1616.253846153847</v>
      </c>
      <c r="O104" s="71"/>
    </row>
    <row r="105" spans="1:15" ht="27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5.6556082148499214E-2</v>
      </c>
      <c r="H105" s="99">
        <f>G105+'12'!H105</f>
        <v>0.75797945279094781</v>
      </c>
      <c r="I105" s="187"/>
      <c r="J105" s="188">
        <f>H105/DAY(B2)</f>
        <v>5.8306111753149828E-2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7.75" customHeight="1">
      <c r="A109" s="913"/>
      <c r="B109" s="913"/>
    </row>
    <row r="110" spans="1:15" ht="27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7.7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7" t="s">
        <v>252</v>
      </c>
      <c r="B112" s="908"/>
      <c r="C112" s="909"/>
      <c r="D112" s="146" t="s">
        <v>183</v>
      </c>
      <c r="E112" s="95">
        <f>'12'!F112</f>
        <v>63111</v>
      </c>
      <c r="F112" s="237">
        <v>63193</v>
      </c>
      <c r="G112" s="112">
        <f t="shared" ref="G112:G123" si="9">F112-E112</f>
        <v>82</v>
      </c>
      <c r="H112" s="99">
        <f>G112+'12'!H112</f>
        <v>1049.4700000000012</v>
      </c>
      <c r="I112" s="165"/>
      <c r="J112" s="328">
        <f>H112/DAY(B2)</f>
        <v>80.72846153846163</v>
      </c>
    </row>
    <row r="113" spans="1:18" ht="27.75" customHeight="1">
      <c r="A113" s="907" t="s">
        <v>253</v>
      </c>
      <c r="B113" s="908"/>
      <c r="C113" s="909"/>
      <c r="D113" s="146" t="s">
        <v>183</v>
      </c>
      <c r="E113" s="95">
        <f>'12'!F113</f>
        <v>80149</v>
      </c>
      <c r="F113" s="237">
        <v>80637</v>
      </c>
      <c r="G113" s="112">
        <f t="shared" si="9"/>
        <v>488</v>
      </c>
      <c r="H113" s="99">
        <f>G113+'12'!H113</f>
        <v>6381.3999999999942</v>
      </c>
      <c r="I113" s="165"/>
      <c r="J113" s="328">
        <f>H113/DAY(B2)</f>
        <v>490.87692307692265</v>
      </c>
    </row>
    <row r="114" spans="1:18" ht="27.75" customHeight="1">
      <c r="A114" s="907" t="s">
        <v>254</v>
      </c>
      <c r="B114" s="908"/>
      <c r="C114" s="909"/>
      <c r="D114" s="146" t="s">
        <v>183</v>
      </c>
      <c r="E114" s="95">
        <f>'12'!F114</f>
        <v>53565</v>
      </c>
      <c r="F114" s="237">
        <v>53830</v>
      </c>
      <c r="G114" s="112">
        <f t="shared" si="9"/>
        <v>265</v>
      </c>
      <c r="H114" s="99">
        <f>G114+'12'!H114</f>
        <v>3567</v>
      </c>
      <c r="I114" s="165"/>
      <c r="J114" s="328">
        <f>H114/DAY(B2)</f>
        <v>274.38461538461536</v>
      </c>
    </row>
    <row r="115" spans="1:18" ht="27.75" customHeight="1">
      <c r="A115" s="907" t="s">
        <v>255</v>
      </c>
      <c r="B115" s="908"/>
      <c r="C115" s="909"/>
      <c r="D115" s="146" t="s">
        <v>183</v>
      </c>
      <c r="E115" s="95">
        <f>'12'!F115</f>
        <v>10083</v>
      </c>
      <c r="F115" s="237">
        <v>10117</v>
      </c>
      <c r="G115" s="112">
        <f t="shared" si="9"/>
        <v>34</v>
      </c>
      <c r="H115" s="99">
        <f>G115+'12'!H115</f>
        <v>288.48999999999978</v>
      </c>
      <c r="I115" s="165"/>
      <c r="J115" s="328">
        <f>H115/DAY(B2)</f>
        <v>22.191538461538446</v>
      </c>
    </row>
    <row r="116" spans="1:18" ht="27.75" customHeight="1">
      <c r="A116" s="925" t="s">
        <v>96</v>
      </c>
      <c r="B116" s="926"/>
      <c r="C116" s="927"/>
      <c r="D116" s="146" t="s">
        <v>183</v>
      </c>
      <c r="E116" s="95">
        <f>'12'!F116</f>
        <v>27826</v>
      </c>
      <c r="F116" s="237">
        <v>28267</v>
      </c>
      <c r="G116" s="112">
        <f t="shared" si="9"/>
        <v>441</v>
      </c>
      <c r="H116" s="99">
        <f>G116+'12'!H116</f>
        <v>5482.380000000001</v>
      </c>
      <c r="I116" s="165"/>
      <c r="J116" s="328">
        <f>H116/DAY(B2)</f>
        <v>421.72153846153856</v>
      </c>
      <c r="Q116" s="907"/>
      <c r="R116" s="909"/>
    </row>
    <row r="117" spans="1:18" ht="27.75" customHeight="1">
      <c r="A117" s="925" t="s">
        <v>184</v>
      </c>
      <c r="B117" s="926"/>
      <c r="C117" s="927"/>
      <c r="D117" s="146" t="s">
        <v>183</v>
      </c>
      <c r="E117" s="95">
        <f>'12'!F117</f>
        <v>16030</v>
      </c>
      <c r="F117" s="237">
        <v>16174</v>
      </c>
      <c r="G117" s="112">
        <f t="shared" si="9"/>
        <v>144</v>
      </c>
      <c r="H117" s="99">
        <f>G117+'12'!H117</f>
        <v>2560.8269999999993</v>
      </c>
      <c r="I117" s="165"/>
      <c r="J117" s="328">
        <f>H117/DAY(B2)</f>
        <v>196.98669230769227</v>
      </c>
      <c r="Q117" s="907"/>
      <c r="R117" s="909"/>
    </row>
    <row r="118" spans="1:18" ht="27.75" customHeight="1">
      <c r="A118" s="902" t="s">
        <v>97</v>
      </c>
      <c r="B118" s="902"/>
      <c r="C118" s="902"/>
      <c r="D118" s="151" t="s">
        <v>183</v>
      </c>
      <c r="E118" s="95">
        <f>'12'!F118</f>
        <v>286622</v>
      </c>
      <c r="F118" s="237">
        <v>287169</v>
      </c>
      <c r="G118" s="112">
        <f t="shared" si="9"/>
        <v>547</v>
      </c>
      <c r="H118" s="99">
        <f>G118+'12'!H118</f>
        <v>6948.0300000000279</v>
      </c>
      <c r="I118" s="165"/>
      <c r="J118" s="328">
        <f>H118/DAY(B2)</f>
        <v>534.46384615384829</v>
      </c>
      <c r="Q118" s="907"/>
      <c r="R118" s="909"/>
    </row>
    <row r="119" spans="1:18" ht="27.75" customHeight="1">
      <c r="A119" s="902" t="s">
        <v>98</v>
      </c>
      <c r="B119" s="902"/>
      <c r="C119" s="902"/>
      <c r="D119" s="151" t="s">
        <v>183</v>
      </c>
      <c r="E119" s="95">
        <f>'12'!F119</f>
        <v>288291</v>
      </c>
      <c r="F119" s="237">
        <v>288724</v>
      </c>
      <c r="G119" s="112">
        <f t="shared" si="9"/>
        <v>433</v>
      </c>
      <c r="H119" s="99">
        <f>G119+'12'!H119</f>
        <v>5626.609999999986</v>
      </c>
      <c r="I119" s="165"/>
      <c r="J119" s="328">
        <f>H119/DAY(B2)</f>
        <v>432.81615384615276</v>
      </c>
    </row>
    <row r="120" spans="1:18" ht="27.75" customHeight="1">
      <c r="A120" s="902" t="s">
        <v>99</v>
      </c>
      <c r="B120" s="902"/>
      <c r="C120" s="902"/>
      <c r="D120" s="151" t="s">
        <v>183</v>
      </c>
      <c r="E120" s="95">
        <f>'12'!F120</f>
        <v>72676</v>
      </c>
      <c r="F120" s="237">
        <v>73071</v>
      </c>
      <c r="G120" s="112">
        <f t="shared" si="9"/>
        <v>395</v>
      </c>
      <c r="H120" s="99">
        <f>G120+'12'!H120</f>
        <v>5346.2400000000052</v>
      </c>
      <c r="I120" s="165"/>
      <c r="J120" s="328">
        <f>H120/DAY(B2)</f>
        <v>411.24923076923119</v>
      </c>
    </row>
    <row r="121" spans="1:18" ht="27.75" customHeight="1">
      <c r="A121" s="902" t="s">
        <v>100</v>
      </c>
      <c r="B121" s="902"/>
      <c r="C121" s="902"/>
      <c r="D121" s="151" t="s">
        <v>183</v>
      </c>
      <c r="E121" s="95">
        <f>'12'!F121</f>
        <v>452324</v>
      </c>
      <c r="F121" s="237">
        <v>453123</v>
      </c>
      <c r="G121" s="112">
        <f t="shared" si="9"/>
        <v>799</v>
      </c>
      <c r="H121" s="99">
        <f>G121+'12'!H121</f>
        <v>10404.729999999981</v>
      </c>
      <c r="I121" s="165"/>
      <c r="J121" s="328">
        <f>H121/DAY(B2)</f>
        <v>800.36384615384475</v>
      </c>
    </row>
    <row r="122" spans="1:18" ht="27.75" customHeight="1">
      <c r="A122" s="902" t="s">
        <v>101</v>
      </c>
      <c r="B122" s="902"/>
      <c r="C122" s="902"/>
      <c r="D122" s="151" t="s">
        <v>183</v>
      </c>
      <c r="E122" s="95">
        <f>'12'!F122</f>
        <v>141920</v>
      </c>
      <c r="F122" s="237">
        <v>142125</v>
      </c>
      <c r="G122" s="112">
        <f t="shared" si="9"/>
        <v>205</v>
      </c>
      <c r="H122" s="99">
        <f>G122+'12'!H122</f>
        <v>2816.859999999986</v>
      </c>
      <c r="I122" s="165"/>
      <c r="J122" s="328">
        <f>H122/DAY(B2)</f>
        <v>216.6815384615374</v>
      </c>
    </row>
    <row r="123" spans="1:18" ht="27.75" customHeight="1">
      <c r="A123" s="902" t="s">
        <v>102</v>
      </c>
      <c r="B123" s="902"/>
      <c r="C123" s="902"/>
      <c r="D123" s="151" t="s">
        <v>183</v>
      </c>
      <c r="E123" s="95">
        <f>'12'!F123</f>
        <v>172536</v>
      </c>
      <c r="F123" s="237">
        <v>172791</v>
      </c>
      <c r="G123" s="112">
        <f t="shared" si="9"/>
        <v>255</v>
      </c>
      <c r="H123" s="99">
        <f>G123+'12'!H123</f>
        <v>3349</v>
      </c>
      <c r="I123" s="165"/>
      <c r="J123" s="328">
        <f>H123/DAY(B2)</f>
        <v>257.61538461538464</v>
      </c>
    </row>
    <row r="124" spans="1:18" ht="27.7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4088</v>
      </c>
      <c r="H125" s="156"/>
      <c r="I125" s="327">
        <f>G125-(G39+G53)</f>
        <v>820</v>
      </c>
      <c r="J125" s="327"/>
    </row>
    <row r="126" spans="1:18" ht="27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7.75" customHeight="1">
      <c r="A127" s="938"/>
      <c r="B127" s="938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7" t="s">
        <v>318</v>
      </c>
      <c r="B128" s="908"/>
      <c r="C128" s="909"/>
      <c r="D128" s="151" t="s">
        <v>183</v>
      </c>
      <c r="E128" s="95">
        <f>'12'!F128</f>
        <v>74046</v>
      </c>
      <c r="F128" s="165">
        <v>74501</v>
      </c>
      <c r="G128" s="112">
        <f t="shared" ref="G128:G134" si="10">F128-E128</f>
        <v>455</v>
      </c>
      <c r="H128" s="99">
        <f>G128+'12'!H128</f>
        <v>5584.7599999999948</v>
      </c>
      <c r="I128" s="165"/>
      <c r="J128" s="328">
        <f>H128/DAY(B2)</f>
        <v>429.59692307692268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45701</v>
      </c>
      <c r="F129" s="165">
        <v>46046</v>
      </c>
      <c r="G129" s="112">
        <f t="shared" si="10"/>
        <v>345</v>
      </c>
      <c r="H129" s="99">
        <f>G129+'12'!H129</f>
        <v>3934.9499999999971</v>
      </c>
      <c r="I129" s="165"/>
      <c r="J129" s="328">
        <f>H129/DAY(B2)</f>
        <v>302.6884615384613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84018</v>
      </c>
      <c r="F130" s="165">
        <v>84669</v>
      </c>
      <c r="G130" s="112">
        <f t="shared" si="10"/>
        <v>651</v>
      </c>
      <c r="H130" s="99">
        <f>G130+'12'!H130</f>
        <v>9007.0500000000029</v>
      </c>
      <c r="I130" s="165"/>
      <c r="J130" s="328">
        <f>H130/DAY(B2)</f>
        <v>692.85000000000025</v>
      </c>
      <c r="N130" s="240"/>
      <c r="O130" s="241"/>
    </row>
    <row r="131" spans="1:15" ht="27.75" customHeight="1">
      <c r="A131" s="907" t="s">
        <v>321</v>
      </c>
      <c r="B131" s="908"/>
      <c r="C131" s="909"/>
      <c r="D131" s="151" t="s">
        <v>183</v>
      </c>
      <c r="E131" s="95">
        <f>'12'!F131</f>
        <v>26761</v>
      </c>
      <c r="F131" s="165">
        <v>26963</v>
      </c>
      <c r="G131" s="112">
        <f t="shared" si="10"/>
        <v>202</v>
      </c>
      <c r="H131" s="99">
        <f>G131+'12'!H131</f>
        <v>2530.5</v>
      </c>
      <c r="I131" s="165"/>
      <c r="J131" s="328">
        <f>H131/DAY(B2)</f>
        <v>194.65384615384616</v>
      </c>
      <c r="N131" s="240"/>
      <c r="O131" s="241"/>
    </row>
    <row r="132" spans="1:15" ht="27.75" customHeight="1">
      <c r="A132" s="907" t="s">
        <v>322</v>
      </c>
      <c r="B132" s="908"/>
      <c r="C132" s="909"/>
      <c r="D132" s="151" t="s">
        <v>183</v>
      </c>
      <c r="E132" s="95">
        <f>'12'!F132</f>
        <v>80782</v>
      </c>
      <c r="F132" s="165">
        <v>81246</v>
      </c>
      <c r="G132" s="112">
        <f t="shared" si="10"/>
        <v>464</v>
      </c>
      <c r="H132" s="99">
        <f>G132+'12'!H132</f>
        <v>5578.5</v>
      </c>
      <c r="I132" s="165"/>
      <c r="J132" s="328">
        <f>H132/DAY(B2)</f>
        <v>429.11538461538464</v>
      </c>
    </row>
    <row r="133" spans="1:15" ht="27.75" customHeight="1">
      <c r="A133" s="907" t="s">
        <v>360</v>
      </c>
      <c r="B133" s="908"/>
      <c r="C133" s="909"/>
      <c r="D133" s="151" t="s">
        <v>183</v>
      </c>
      <c r="E133" s="95">
        <f>'12'!F133</f>
        <v>156130</v>
      </c>
      <c r="F133" s="165">
        <v>157067</v>
      </c>
      <c r="G133" s="112">
        <f t="shared" si="10"/>
        <v>937</v>
      </c>
      <c r="H133" s="99">
        <f>G133+'12'!H133</f>
        <v>11685.010000000009</v>
      </c>
      <c r="I133" s="165"/>
      <c r="J133" s="328">
        <f>H133/DAY(B2)</f>
        <v>898.84692307692376</v>
      </c>
    </row>
    <row r="134" spans="1:15" ht="27.75" customHeight="1">
      <c r="A134" s="907" t="s">
        <v>340</v>
      </c>
      <c r="B134" s="908"/>
      <c r="C134" s="909"/>
      <c r="D134" s="151" t="s">
        <v>183</v>
      </c>
      <c r="E134" s="155">
        <v>23689</v>
      </c>
      <c r="F134" s="165">
        <v>23933</v>
      </c>
      <c r="G134" s="112">
        <f t="shared" si="10"/>
        <v>244</v>
      </c>
      <c r="H134" s="99">
        <f>G134+'12'!H134</f>
        <v>3140.3199999999997</v>
      </c>
      <c r="I134" s="165"/>
      <c r="J134" s="328">
        <f>H134/DAY(B2)</f>
        <v>241.56307692307689</v>
      </c>
    </row>
    <row r="135" spans="1:15" ht="27.75" customHeight="1">
      <c r="A135" s="935" t="s">
        <v>196</v>
      </c>
      <c r="B135" s="936"/>
      <c r="C135" s="331"/>
      <c r="D135" s="151"/>
      <c r="E135" s="95"/>
      <c r="F135" s="165"/>
      <c r="G135" s="112">
        <f>SUM(G128:G134)</f>
        <v>3298</v>
      </c>
      <c r="H135" s="99">
        <f>G135+'12'!H135</f>
        <v>38325.539999999964</v>
      </c>
      <c r="I135" s="327">
        <f>G135-(G35+G49)</f>
        <v>-790</v>
      </c>
      <c r="J135" s="328">
        <f>H135/DAY(B2)</f>
        <v>2948.1184615384586</v>
      </c>
    </row>
    <row r="136" spans="1:15" ht="27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2" t="s">
        <v>185</v>
      </c>
      <c r="B138" s="902"/>
      <c r="C138" s="902"/>
      <c r="D138" s="151" t="s">
        <v>183</v>
      </c>
      <c r="E138" s="95">
        <f>'12'!F138</f>
        <v>876043</v>
      </c>
      <c r="F138" s="147">
        <v>876192</v>
      </c>
      <c r="G138" s="112">
        <f t="shared" ref="G138:G152" si="11">F138-E138</f>
        <v>149</v>
      </c>
      <c r="H138" s="99">
        <f>G138+'12'!H138</f>
        <v>2191</v>
      </c>
      <c r="I138" s="118"/>
      <c r="J138" s="328">
        <f>H138/DAY(B2)</f>
        <v>168.53846153846155</v>
      </c>
    </row>
    <row r="139" spans="1:15" ht="27.75" customHeight="1">
      <c r="A139" s="902" t="s">
        <v>186</v>
      </c>
      <c r="B139" s="902"/>
      <c r="C139" s="902"/>
      <c r="D139" s="151" t="s">
        <v>183</v>
      </c>
      <c r="E139" s="95">
        <f>'12'!F139</f>
        <v>892129</v>
      </c>
      <c r="F139" s="148">
        <v>892290</v>
      </c>
      <c r="G139" s="112">
        <f t="shared" si="11"/>
        <v>161</v>
      </c>
      <c r="H139" s="99">
        <f>G139+'12'!H139</f>
        <v>1972</v>
      </c>
      <c r="I139" s="118"/>
      <c r="J139" s="328">
        <f>H139/DAY(B2)</f>
        <v>151.69230769230768</v>
      </c>
    </row>
    <row r="140" spans="1:15" ht="27.75" customHeight="1">
      <c r="A140" s="902" t="s">
        <v>187</v>
      </c>
      <c r="B140" s="902"/>
      <c r="C140" s="902"/>
      <c r="D140" s="151" t="s">
        <v>183</v>
      </c>
      <c r="E140" s="95">
        <f>'12'!F140</f>
        <v>89008.6</v>
      </c>
      <c r="F140" s="149">
        <v>89008.6</v>
      </c>
      <c r="G140" s="112">
        <f t="shared" si="11"/>
        <v>0</v>
      </c>
      <c r="H140" s="99">
        <f>G140+'12'!H140</f>
        <v>18.600000000005821</v>
      </c>
      <c r="I140" s="118"/>
      <c r="J140" s="328">
        <f>H140/DAY(B2)</f>
        <v>1.4307692307696784</v>
      </c>
    </row>
    <row r="141" spans="1:15" ht="27.75" customHeight="1">
      <c r="A141" s="906" t="s">
        <v>188</v>
      </c>
      <c r="B141" s="906"/>
      <c r="C141" s="906"/>
      <c r="D141" s="151" t="s">
        <v>183</v>
      </c>
      <c r="E141" s="95">
        <f>'12'!F141</f>
        <v>68145</v>
      </c>
      <c r="F141" s="149">
        <v>68343</v>
      </c>
      <c r="G141" s="112">
        <f t="shared" si="11"/>
        <v>198</v>
      </c>
      <c r="H141" s="99">
        <f>G141+'12'!H141</f>
        <v>2559.4700000000012</v>
      </c>
      <c r="I141" s="118"/>
      <c r="J141" s="328">
        <f>H141/DAY(B2)</f>
        <v>196.88230769230779</v>
      </c>
    </row>
    <row r="142" spans="1:15" ht="27.75" customHeight="1">
      <c r="A142" s="906" t="s">
        <v>189</v>
      </c>
      <c r="B142" s="906"/>
      <c r="C142" s="906"/>
      <c r="D142" s="151" t="s">
        <v>183</v>
      </c>
      <c r="E142" s="95">
        <f>'12'!F142</f>
        <v>26341</v>
      </c>
      <c r="F142" s="148">
        <v>26400</v>
      </c>
      <c r="G142" s="112">
        <f t="shared" si="11"/>
        <v>59</v>
      </c>
      <c r="H142" s="99">
        <f>G142+'12'!H142</f>
        <v>903.59999999999854</v>
      </c>
      <c r="I142" s="140"/>
      <c r="J142" s="328">
        <f>H142/DAY(B2)</f>
        <v>69.507692307692196</v>
      </c>
    </row>
    <row r="143" spans="1:15" ht="27.75" customHeight="1">
      <c r="A143" s="902" t="s">
        <v>91</v>
      </c>
      <c r="B143" s="902"/>
      <c r="C143" s="902"/>
      <c r="D143" s="151" t="s">
        <v>183</v>
      </c>
      <c r="E143" s="95">
        <f>'12'!F143</f>
        <v>5893</v>
      </c>
      <c r="F143" s="149">
        <v>5924</v>
      </c>
      <c r="G143" s="112">
        <f t="shared" si="11"/>
        <v>31</v>
      </c>
      <c r="H143" s="99">
        <f>G143+'12'!H143</f>
        <v>363.28999999999996</v>
      </c>
      <c r="I143" s="140"/>
      <c r="J143" s="328">
        <f>H143/DAY(B2)</f>
        <v>27.945384615384611</v>
      </c>
    </row>
    <row r="144" spans="1:15" ht="27.75" customHeight="1">
      <c r="A144" s="906" t="s">
        <v>90</v>
      </c>
      <c r="B144" s="906"/>
      <c r="C144" s="906"/>
      <c r="D144" s="151" t="s">
        <v>183</v>
      </c>
      <c r="E144" s="95">
        <f>'12'!F144</f>
        <v>892874</v>
      </c>
      <c r="F144" s="149">
        <v>893124</v>
      </c>
      <c r="G144" s="112">
        <f t="shared" si="11"/>
        <v>250</v>
      </c>
      <c r="H144" s="99">
        <f>G144+'12'!H144</f>
        <v>3290</v>
      </c>
      <c r="I144" s="140"/>
      <c r="J144" s="328">
        <f>H144/DAY(B2)</f>
        <v>253.07692307692307</v>
      </c>
    </row>
    <row r="145" spans="1:10" ht="27.75" customHeight="1">
      <c r="A145" s="902" t="s">
        <v>190</v>
      </c>
      <c r="B145" s="902"/>
      <c r="C145" s="902"/>
      <c r="D145" s="152" t="s">
        <v>183</v>
      </c>
      <c r="E145" s="95">
        <f>'12'!F145</f>
        <v>5580</v>
      </c>
      <c r="F145" s="149">
        <v>5581</v>
      </c>
      <c r="G145" s="112">
        <f t="shared" si="11"/>
        <v>1</v>
      </c>
      <c r="H145" s="99">
        <f>G145+'12'!H145</f>
        <v>24.600000000000364</v>
      </c>
      <c r="I145" s="140"/>
      <c r="J145" s="328">
        <f>H145/DAY(B2)</f>
        <v>1.8923076923077202</v>
      </c>
    </row>
    <row r="146" spans="1:10" ht="27.75" customHeight="1">
      <c r="A146" s="903" t="s">
        <v>191</v>
      </c>
      <c r="B146" s="904"/>
      <c r="C146" s="905"/>
      <c r="D146" s="152" t="s">
        <v>183</v>
      </c>
      <c r="E146" s="95">
        <f>'12'!F146</f>
        <v>770366</v>
      </c>
      <c r="F146" s="148">
        <v>770849</v>
      </c>
      <c r="G146" s="112">
        <f t="shared" si="11"/>
        <v>483</v>
      </c>
      <c r="H146" s="99">
        <f>G146+'12'!H146</f>
        <v>6523</v>
      </c>
      <c r="I146" s="140"/>
      <c r="J146" s="328">
        <f>H146/DAY(B2)</f>
        <v>501.76923076923077</v>
      </c>
    </row>
    <row r="147" spans="1:10" ht="27.75" customHeight="1">
      <c r="A147" s="906" t="s">
        <v>192</v>
      </c>
      <c r="B147" s="906"/>
      <c r="C147" s="906"/>
      <c r="D147" s="152" t="s">
        <v>183</v>
      </c>
      <c r="E147" s="95">
        <f>'12'!F147</f>
        <v>655487</v>
      </c>
      <c r="F147" s="148">
        <v>655941</v>
      </c>
      <c r="G147" s="112">
        <f t="shared" si="11"/>
        <v>454</v>
      </c>
      <c r="H147" s="99">
        <f>G147+'12'!H147</f>
        <v>5757</v>
      </c>
      <c r="I147" s="140"/>
      <c r="J147" s="328">
        <f>H147/DAY(B2)</f>
        <v>442.84615384615387</v>
      </c>
    </row>
    <row r="148" spans="1:10" ht="27.75" customHeight="1">
      <c r="A148" s="898" t="s">
        <v>193</v>
      </c>
      <c r="B148" s="899"/>
      <c r="C148" s="900"/>
      <c r="D148" s="123" t="s">
        <v>130</v>
      </c>
      <c r="E148" s="95">
        <f>'12'!F148</f>
        <v>713211</v>
      </c>
      <c r="F148" s="150">
        <v>713590</v>
      </c>
      <c r="G148" s="112">
        <f t="shared" si="11"/>
        <v>379</v>
      </c>
      <c r="H148" s="99">
        <f>G148+'12'!H148</f>
        <v>4725.3199999999488</v>
      </c>
      <c r="I148" s="124"/>
      <c r="J148" s="328">
        <f>H148/DAY(B2)</f>
        <v>363.48615384614993</v>
      </c>
    </row>
    <row r="149" spans="1:10" ht="27.75" customHeight="1">
      <c r="A149" s="898" t="s">
        <v>336</v>
      </c>
      <c r="B149" s="899"/>
      <c r="C149" s="900"/>
      <c r="D149" s="227" t="s">
        <v>130</v>
      </c>
      <c r="E149" s="146">
        <v>71637</v>
      </c>
      <c r="F149" s="146">
        <v>72301</v>
      </c>
      <c r="G149" s="112">
        <f t="shared" si="11"/>
        <v>664</v>
      </c>
      <c r="H149" s="99">
        <f>G149+'12'!H149</f>
        <v>9077.1999999999971</v>
      </c>
      <c r="I149" s="119"/>
      <c r="J149" s="328">
        <f>H149/DAY(B2)</f>
        <v>698.24615384615367</v>
      </c>
    </row>
    <row r="150" spans="1:10" ht="27.75" customHeight="1">
      <c r="A150" s="898" t="s">
        <v>337</v>
      </c>
      <c r="B150" s="899"/>
      <c r="C150" s="900"/>
      <c r="D150" s="117" t="s">
        <v>130</v>
      </c>
      <c r="E150" s="95">
        <f>'12'!F150</f>
        <v>26641</v>
      </c>
      <c r="F150" s="233">
        <v>26886</v>
      </c>
      <c r="G150" s="112">
        <f t="shared" si="11"/>
        <v>245</v>
      </c>
      <c r="H150" s="99">
        <f>G150+'12'!H150</f>
        <v>2930.2099999999991</v>
      </c>
      <c r="I150" s="119"/>
      <c r="J150" s="328">
        <f>H150/DAY(B2)</f>
        <v>225.40076923076916</v>
      </c>
    </row>
    <row r="151" spans="1:10" ht="27.75" customHeight="1">
      <c r="A151" s="898" t="s">
        <v>338</v>
      </c>
      <c r="B151" s="899"/>
      <c r="C151" s="900"/>
      <c r="D151" s="117" t="s">
        <v>130</v>
      </c>
      <c r="E151" s="95">
        <f>'12'!F151</f>
        <v>104016</v>
      </c>
      <c r="F151" s="233">
        <v>104278</v>
      </c>
      <c r="G151" s="112">
        <f t="shared" si="11"/>
        <v>262</v>
      </c>
      <c r="H151" s="99">
        <f>G151+'12'!H151</f>
        <v>3667</v>
      </c>
      <c r="I151" s="119"/>
      <c r="J151" s="328">
        <f>H151/DAY(B2)</f>
        <v>282.07692307692309</v>
      </c>
    </row>
    <row r="152" spans="1:10" ht="27.75" customHeight="1">
      <c r="A152" s="898" t="s">
        <v>339</v>
      </c>
      <c r="B152" s="899"/>
      <c r="C152" s="900"/>
      <c r="D152" s="117" t="s">
        <v>130</v>
      </c>
      <c r="E152" s="95">
        <f>'12'!F152</f>
        <v>9577</v>
      </c>
      <c r="F152" s="233">
        <v>9705</v>
      </c>
      <c r="G152" s="112">
        <f t="shared" si="11"/>
        <v>128</v>
      </c>
      <c r="H152" s="99">
        <f>G152+'12'!H152</f>
        <v>1635.9399999999996</v>
      </c>
      <c r="I152" s="119"/>
      <c r="J152" s="328">
        <f>H152/DAY(B2)</f>
        <v>125.84153846153843</v>
      </c>
    </row>
    <row r="153" spans="1:10" ht="27.7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3464</v>
      </c>
      <c r="H153" s="363"/>
      <c r="I153" s="119">
        <f>G153-(G38+G52)</f>
        <v>1004</v>
      </c>
      <c r="J153" s="366"/>
    </row>
    <row r="154" spans="1:10" ht="27.7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 customHeight="1">
      <c r="A155" s="906" t="s">
        <v>345</v>
      </c>
      <c r="B155" s="906"/>
      <c r="C155" s="906"/>
      <c r="D155" s="117" t="s">
        <v>130</v>
      </c>
      <c r="E155" s="374">
        <v>80785</v>
      </c>
      <c r="F155" s="374">
        <v>81312</v>
      </c>
      <c r="G155" s="112">
        <f t="shared" ref="G155:G158" si="12">F155-E155</f>
        <v>527</v>
      </c>
      <c r="H155" s="99">
        <f>G155+'12'!H155</f>
        <v>8541.5</v>
      </c>
      <c r="I155" s="364"/>
      <c r="J155" s="328">
        <f>H155/DAY(B2)</f>
        <v>657.03846153846155</v>
      </c>
    </row>
    <row r="156" spans="1:10" ht="27.75" customHeight="1">
      <c r="A156" s="906" t="s">
        <v>347</v>
      </c>
      <c r="B156" s="906"/>
      <c r="C156" s="906"/>
      <c r="D156" s="117" t="s">
        <v>130</v>
      </c>
      <c r="E156" s="155">
        <v>6689</v>
      </c>
      <c r="F156" s="155">
        <v>6753</v>
      </c>
      <c r="G156" s="112">
        <f t="shared" si="12"/>
        <v>64</v>
      </c>
      <c r="H156" s="99">
        <f>G156+'12'!H156</f>
        <v>695.75</v>
      </c>
      <c r="I156" s="165"/>
      <c r="J156" s="328">
        <f>H156/DAY(B2)</f>
        <v>53.519230769230766</v>
      </c>
    </row>
    <row r="157" spans="1:10" ht="27.75" customHeight="1">
      <c r="A157" s="898" t="s">
        <v>361</v>
      </c>
      <c r="B157" s="899"/>
      <c r="C157" s="900"/>
      <c r="D157" s="117" t="s">
        <v>130</v>
      </c>
      <c r="E157" s="155">
        <v>11538</v>
      </c>
      <c r="F157" s="155">
        <v>11674</v>
      </c>
      <c r="G157" s="112">
        <f t="shared" si="12"/>
        <v>136</v>
      </c>
      <c r="H157" s="99">
        <f>G157+'12'!H157</f>
        <v>461.05999999999949</v>
      </c>
      <c r="I157" s="165"/>
      <c r="J157" s="328">
        <f>H157/DAY(B2)</f>
        <v>35.466153846153809</v>
      </c>
    </row>
    <row r="158" spans="1:10" ht="27.75" customHeight="1">
      <c r="A158" s="898" t="s">
        <v>362</v>
      </c>
      <c r="B158" s="899"/>
      <c r="C158" s="900"/>
      <c r="D158" s="117" t="s">
        <v>130</v>
      </c>
      <c r="E158" s="155">
        <v>92.25</v>
      </c>
      <c r="F158" s="155">
        <v>92.38</v>
      </c>
      <c r="G158" s="112">
        <f t="shared" si="12"/>
        <v>0.12999999999999545</v>
      </c>
      <c r="H158" s="99">
        <f>G158+'12'!H158</f>
        <v>0.37999999999999545</v>
      </c>
      <c r="I158" s="165"/>
      <c r="J158" s="328">
        <f>H158/DAY(B2)</f>
        <v>2.923076923076888E-2</v>
      </c>
    </row>
    <row r="159" spans="1:10" ht="27.75" customHeight="1">
      <c r="A159" s="957"/>
      <c r="B159" s="958"/>
      <c r="C159" s="959"/>
      <c r="D159" s="117"/>
      <c r="E159" s="95"/>
      <c r="F159" s="165"/>
      <c r="G159" s="362">
        <f>SUM(G155:G158)</f>
        <v>727.13</v>
      </c>
      <c r="H159" s="99"/>
      <c r="I159" s="165"/>
      <c r="J159" s="328"/>
    </row>
    <row r="160" spans="1:10" ht="27.7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473937</v>
      </c>
      <c r="F161" s="235">
        <v>473983</v>
      </c>
      <c r="G161" s="238">
        <f t="shared" ref="G161:G165" si="13">F161-E161</f>
        <v>46</v>
      </c>
      <c r="H161" s="99">
        <f>G161+'12'!H161</f>
        <v>142.27000000001863</v>
      </c>
      <c r="I161" s="236"/>
      <c r="J161" s="239">
        <f>H161/DAY(B2)</f>
        <v>10.943846153847586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90861</v>
      </c>
      <c r="F162" s="235">
        <v>90906</v>
      </c>
      <c r="G162" s="238">
        <f t="shared" si="13"/>
        <v>45</v>
      </c>
      <c r="H162" s="99">
        <f>G162+'12'!H162</f>
        <v>453.10000000000582</v>
      </c>
      <c r="I162" s="236"/>
      <c r="J162" s="239">
        <f>H162/DAY(B2)</f>
        <v>34.853846153846604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89143.8</v>
      </c>
      <c r="F163" s="235">
        <v>89307</v>
      </c>
      <c r="G163" s="238">
        <f t="shared" si="13"/>
        <v>163.19999999999709</v>
      </c>
      <c r="H163" s="99">
        <f>G163+'12'!H163</f>
        <v>2228.1999999999971</v>
      </c>
      <c r="I163" s="236"/>
      <c r="J163" s="239">
        <f>H163/DAY(B2)</f>
        <v>171.39999999999978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4979</v>
      </c>
      <c r="F164" s="235">
        <v>4992</v>
      </c>
      <c r="G164" s="238">
        <f t="shared" si="13"/>
        <v>13</v>
      </c>
      <c r="H164" s="99">
        <f>G164+'12'!H164</f>
        <v>179.60000000000036</v>
      </c>
      <c r="I164" s="236"/>
      <c r="J164" s="239">
        <f>H164/DAY(B2)</f>
        <v>13.815384615384643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30439</v>
      </c>
      <c r="F165" s="235">
        <v>30449</v>
      </c>
      <c r="G165" s="238">
        <f t="shared" si="13"/>
        <v>10</v>
      </c>
      <c r="H165" s="99">
        <f>G165+'12'!H165</f>
        <v>93.490000000001601</v>
      </c>
      <c r="I165" s="236"/>
      <c r="J165" s="239">
        <f>H165/DAY(B2)</f>
        <v>7.1915384615385847</v>
      </c>
    </row>
    <row r="166" spans="1:10" ht="27.75" customHeight="1">
      <c r="A166" s="938"/>
      <c r="B166" s="938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8"/>
      <c r="B167" s="938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8"/>
      <c r="B168" s="938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7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6" t="s">
        <v>209</v>
      </c>
      <c r="B173" s="897"/>
      <c r="C173" s="333"/>
      <c r="D173" s="228" t="s">
        <v>142</v>
      </c>
      <c r="E173" s="95">
        <f>'12'!F173</f>
        <v>8265</v>
      </c>
      <c r="F173" s="155">
        <v>8265</v>
      </c>
      <c r="G173" s="155">
        <f>F173-E173</f>
        <v>0</v>
      </c>
      <c r="H173" s="99">
        <f>G173+'12'!H173</f>
        <v>1</v>
      </c>
      <c r="I173" s="155"/>
      <c r="J173" s="178">
        <f>H173/DAY(B2)</f>
        <v>7.6923076923076927E-2</v>
      </c>
    </row>
    <row r="174" spans="1:10" ht="27.75" customHeight="1">
      <c r="A174" s="896" t="s">
        <v>75</v>
      </c>
      <c r="B174" s="897"/>
      <c r="C174" s="333"/>
      <c r="D174" s="228" t="s">
        <v>142</v>
      </c>
      <c r="E174" s="95">
        <f>'12'!F174</f>
        <v>39641</v>
      </c>
      <c r="F174" s="157">
        <v>39655</v>
      </c>
      <c r="G174" s="155">
        <f t="shared" ref="G174:G175" si="14">F174-E174</f>
        <v>14</v>
      </c>
      <c r="H174" s="99">
        <f>G174+'12'!H174</f>
        <v>193</v>
      </c>
      <c r="I174" s="155"/>
      <c r="J174" s="178">
        <f>H174/DAY(B2)</f>
        <v>14.846153846153847</v>
      </c>
    </row>
    <row r="175" spans="1:10" ht="27.75" customHeight="1">
      <c r="A175" s="896" t="s">
        <v>76</v>
      </c>
      <c r="B175" s="901"/>
      <c r="C175" s="897"/>
      <c r="D175" s="228" t="s">
        <v>142</v>
      </c>
      <c r="E175" s="95">
        <f>'12'!F175</f>
        <v>22667</v>
      </c>
      <c r="F175" s="155">
        <v>22680</v>
      </c>
      <c r="G175" s="155">
        <f t="shared" si="14"/>
        <v>13</v>
      </c>
      <c r="H175" s="99">
        <f>G175+'12'!H175</f>
        <v>158</v>
      </c>
      <c r="I175" s="155"/>
      <c r="J175" s="178">
        <f>H175/DAY(B2)</f>
        <v>12.153846153846153</v>
      </c>
    </row>
    <row r="176" spans="1:10" ht="27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27</v>
      </c>
      <c r="H176" s="99">
        <f>G176+'12'!H176</f>
        <v>352</v>
      </c>
      <c r="I176" s="155"/>
      <c r="J176" s="178">
        <f>H176/DAY(B2)</f>
        <v>27.076923076923077</v>
      </c>
    </row>
    <row r="177" spans="1:15" ht="27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6" t="s">
        <v>210</v>
      </c>
      <c r="B178" s="897"/>
      <c r="C178" s="333"/>
      <c r="D178" s="228" t="s">
        <v>142</v>
      </c>
      <c r="E178" s="95">
        <f>'12'!F178</f>
        <v>86766</v>
      </c>
      <c r="F178" s="155">
        <v>86845</v>
      </c>
      <c r="G178" s="155">
        <f>F178-E178</f>
        <v>79</v>
      </c>
      <c r="H178" s="99">
        <f>G178+'12'!H178</f>
        <v>1229</v>
      </c>
      <c r="I178" s="155"/>
      <c r="J178" s="178">
        <f>H178/DAY(B2)</f>
        <v>94.538461538461533</v>
      </c>
    </row>
    <row r="179" spans="1:15" ht="27.75" customHeight="1">
      <c r="A179" s="896" t="s">
        <v>211</v>
      </c>
      <c r="B179" s="897"/>
      <c r="C179" s="333"/>
      <c r="D179" s="228" t="s">
        <v>142</v>
      </c>
      <c r="E179" s="95">
        <f>'12'!F179</f>
        <v>35710</v>
      </c>
      <c r="F179" s="155">
        <v>35710</v>
      </c>
      <c r="G179" s="155">
        <f t="shared" ref="G179:G180" si="15">F179-E179</f>
        <v>0</v>
      </c>
      <c r="H179" s="99">
        <f>G179+'12'!H179</f>
        <v>96</v>
      </c>
      <c r="I179" s="155"/>
      <c r="J179" s="178">
        <f>H179/DAY(B2)</f>
        <v>7.384615384615385</v>
      </c>
    </row>
    <row r="180" spans="1:15" ht="27.75" customHeight="1">
      <c r="A180" s="896" t="s">
        <v>212</v>
      </c>
      <c r="B180" s="897"/>
      <c r="C180" s="333"/>
      <c r="D180" s="228" t="s">
        <v>142</v>
      </c>
      <c r="E180" s="95">
        <f>'12'!F180</f>
        <v>6239</v>
      </c>
      <c r="F180" s="155">
        <v>6243</v>
      </c>
      <c r="G180" s="155">
        <f t="shared" si="15"/>
        <v>4</v>
      </c>
      <c r="H180" s="99">
        <f>G180+'12'!H180</f>
        <v>110</v>
      </c>
      <c r="I180" s="155"/>
      <c r="J180" s="178">
        <f>H180/DAY(B2)</f>
        <v>8.4615384615384617</v>
      </c>
    </row>
    <row r="181" spans="1:15" ht="27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83</v>
      </c>
      <c r="H181" s="99">
        <f>G181+'12'!H181</f>
        <v>1435</v>
      </c>
      <c r="I181" s="155"/>
      <c r="J181" s="178">
        <f>H181/DAY(B2)</f>
        <v>110.38461538461539</v>
      </c>
    </row>
    <row r="182" spans="1:15" ht="27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6" t="s">
        <v>214</v>
      </c>
      <c r="B183" s="897"/>
      <c r="C183" s="334"/>
      <c r="D183" s="228" t="s">
        <v>142</v>
      </c>
      <c r="E183" s="95">
        <f>'12'!F183</f>
        <v>16356</v>
      </c>
      <c r="F183" s="157">
        <v>16369</v>
      </c>
      <c r="G183" s="157">
        <f>F183-E183</f>
        <v>13</v>
      </c>
      <c r="H183" s="99">
        <f>G183+'12'!H183</f>
        <v>227</v>
      </c>
      <c r="I183" s="155"/>
      <c r="J183" s="178">
        <f>H183/DAY(B2)</f>
        <v>17.46153846153846</v>
      </c>
    </row>
    <row r="184" spans="1:15" ht="27.75" customHeight="1">
      <c r="A184" s="896" t="s">
        <v>215</v>
      </c>
      <c r="B184" s="897"/>
      <c r="C184" s="334"/>
      <c r="D184" s="228" t="s">
        <v>142</v>
      </c>
      <c r="E184" s="95">
        <f>'12'!F184</f>
        <v>11136</v>
      </c>
      <c r="F184" s="157">
        <v>11142</v>
      </c>
      <c r="G184" s="157">
        <f t="shared" ref="G184:G185" si="16">F184-E184</f>
        <v>6</v>
      </c>
      <c r="H184" s="99">
        <f>G184+'12'!H184</f>
        <v>93</v>
      </c>
      <c r="I184" s="155"/>
      <c r="J184" s="178">
        <f>H184/DAY(B2)</f>
        <v>7.1538461538461542</v>
      </c>
      <c r="O184" s="65" t="s">
        <v>363</v>
      </c>
    </row>
    <row r="185" spans="1:15" ht="27.75" customHeight="1">
      <c r="A185" s="896" t="s">
        <v>216</v>
      </c>
      <c r="B185" s="89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320</v>
      </c>
      <c r="I186" s="157"/>
      <c r="J186" s="178">
        <f>H186/DAY(B2)</f>
        <v>24.615384615384617</v>
      </c>
    </row>
    <row r="187" spans="1:15" ht="27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256</v>
      </c>
      <c r="H187" s="99">
        <f>G187+'12'!H187</f>
        <v>2989</v>
      </c>
      <c r="I187" s="158"/>
      <c r="J187" s="179">
        <f>H187/DAY(B2)</f>
        <v>229.92307692307693</v>
      </c>
    </row>
    <row r="188" spans="1:15" ht="27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237</v>
      </c>
      <c r="H188" s="99">
        <f>G188+'12'!H188</f>
        <v>2978</v>
      </c>
      <c r="I188" s="158"/>
      <c r="J188" s="179">
        <f>H188/DAY(B2)</f>
        <v>229.07692307692307</v>
      </c>
    </row>
    <row r="189" spans="1:15" ht="27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83</v>
      </c>
      <c r="H189" s="99">
        <f>G189+'12'!H189</f>
        <v>1435</v>
      </c>
      <c r="I189" s="158"/>
      <c r="J189" s="179">
        <f>H189/DAY(B2)</f>
        <v>110.38461538461539</v>
      </c>
    </row>
    <row r="190" spans="1:15" ht="27.75" customHeight="1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66" zoomScale="55" zoomScaleSheetLayoutView="55" workbookViewId="0">
      <selection activeCell="F27" sqref="F27:F31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7.75" customHeight="1">
      <c r="A2" s="191" t="s">
        <v>303</v>
      </c>
      <c r="B2" s="262">
        <v>44665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347605</v>
      </c>
      <c r="F7" s="95">
        <v>378012</v>
      </c>
      <c r="G7" s="112">
        <f>F7-E7</f>
        <v>30407</v>
      </c>
      <c r="H7" s="99">
        <f>G7+'13'!H7</f>
        <v>391289</v>
      </c>
      <c r="I7" s="113">
        <f>'1'!I7</f>
        <v>12000</v>
      </c>
      <c r="J7" s="175">
        <f>H7/DAY(B2)</f>
        <v>27949.214285714286</v>
      </c>
      <c r="K7" s="172">
        <v>1375467</v>
      </c>
      <c r="L7" s="66"/>
      <c r="N7" s="87">
        <f>G8-G7</f>
        <v>839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425734</v>
      </c>
      <c r="F8" s="114">
        <v>456980</v>
      </c>
      <c r="G8" s="115">
        <f>F8-E8</f>
        <v>31246</v>
      </c>
      <c r="H8" s="99">
        <f>G8+'13'!H8</f>
        <v>398933.78</v>
      </c>
      <c r="I8" s="116"/>
      <c r="J8" s="175">
        <f>H8/DAY(B2)</f>
        <v>28495.27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1526731</v>
      </c>
      <c r="F9" s="470">
        <v>1545491</v>
      </c>
      <c r="G9" s="112">
        <f>F9-E9</f>
        <v>18760</v>
      </c>
      <c r="H9" s="99">
        <f>G9+'13'!H9</f>
        <v>277816</v>
      </c>
      <c r="I9" s="124">
        <f>I7-J7</f>
        <v>-15949.214285714286</v>
      </c>
      <c r="J9" s="175">
        <f>H9/DAY(B2)</f>
        <v>19844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510045</v>
      </c>
      <c r="F10" s="353">
        <v>520832</v>
      </c>
      <c r="G10" s="112">
        <f t="shared" ref="G10:G12" si="0">F10-E10</f>
        <v>10787</v>
      </c>
      <c r="H10" s="99">
        <f>G10+'13'!H10</f>
        <v>102556.53000000003</v>
      </c>
      <c r="I10" s="282"/>
      <c r="J10" s="175">
        <f>H10/DAY(B2)</f>
        <v>7325.4664285714307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29547</v>
      </c>
      <c r="H13" s="99">
        <f>G13+'13'!H13</f>
        <v>380373</v>
      </c>
      <c r="I13" s="120">
        <f>G7-G13</f>
        <v>860</v>
      </c>
      <c r="J13" s="175">
        <f>H13/DAY(B2)</f>
        <v>27169.5</v>
      </c>
      <c r="K13" s="79"/>
      <c r="L13" s="66"/>
      <c r="N13" s="87"/>
      <c r="O13" s="71"/>
    </row>
    <row r="14" spans="1:15" ht="27.7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v>1985157</v>
      </c>
      <c r="F15" s="470">
        <v>1986211</v>
      </c>
      <c r="G15" s="112">
        <f>(F15-E15)</f>
        <v>1054</v>
      </c>
      <c r="H15" s="99">
        <f>G15+'13'!H15</f>
        <v>15274</v>
      </c>
      <c r="I15" s="113">
        <f>'1'!I15</f>
        <v>800</v>
      </c>
      <c r="J15" s="175">
        <f>H15/DAY(B2)</f>
        <v>1091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</v>
      </c>
      <c r="J16" s="176"/>
      <c r="K16" s="79"/>
      <c r="L16" s="66"/>
      <c r="N16" s="87"/>
      <c r="O16" s="71"/>
    </row>
    <row r="17" spans="1:15" ht="27.7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4" t="s">
        <v>141</v>
      </c>
      <c r="B18" s="875"/>
      <c r="C18" s="876"/>
      <c r="D18" s="151" t="s">
        <v>142</v>
      </c>
      <c r="E18" s="95">
        <f>'13'!F18</f>
        <v>24</v>
      </c>
      <c r="F18" s="122">
        <v>31</v>
      </c>
      <c r="G18" s="119">
        <f>F18*10</f>
        <v>310</v>
      </c>
      <c r="H18" s="99">
        <f>G18+'13'!H18</f>
        <v>3540</v>
      </c>
      <c r="I18" s="113">
        <f>'1'!I18</f>
        <v>65</v>
      </c>
      <c r="J18" s="175">
        <f>H18/DAY(B2)</f>
        <v>252.85714285714286</v>
      </c>
      <c r="K18" s="79"/>
      <c r="L18" s="66"/>
      <c r="N18" s="87"/>
      <c r="O18" s="71"/>
    </row>
    <row r="19" spans="1:15" ht="27.75" customHeight="1">
      <c r="A19" s="874" t="s">
        <v>69</v>
      </c>
      <c r="B19" s="875"/>
      <c r="C19" s="876"/>
      <c r="D19" s="151" t="s">
        <v>142</v>
      </c>
      <c r="E19" s="95">
        <f>'13'!F19</f>
        <v>157602</v>
      </c>
      <c r="F19" s="122">
        <v>157654</v>
      </c>
      <c r="G19" s="112">
        <f t="shared" ref="G19" si="1">F19-E19</f>
        <v>52</v>
      </c>
      <c r="H19" s="99">
        <f>G19+'13'!H19</f>
        <v>665</v>
      </c>
      <c r="I19" s="335"/>
      <c r="J19" s="175">
        <f>H19/DAY(B2)</f>
        <v>47.5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G20+'13'!H20</f>
        <v>4205</v>
      </c>
      <c r="I20" s="336">
        <f>I18-J20</f>
        <v>-235.35714285714283</v>
      </c>
      <c r="J20" s="175">
        <f>H20/DAY(B2)</f>
        <v>300.35714285714283</v>
      </c>
      <c r="K20" s="79"/>
      <c r="L20" s="66"/>
      <c r="N20" s="87"/>
      <c r="O20" s="71"/>
    </row>
    <row r="21" spans="1:15" ht="27.7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31246</v>
      </c>
      <c r="F27" s="136">
        <v>9</v>
      </c>
      <c r="G27" s="137">
        <f>E27*F27</f>
        <v>281214</v>
      </c>
      <c r="H27" s="99">
        <f>G27+'13'!H27</f>
        <v>3590404.02</v>
      </c>
      <c r="I27" s="138"/>
      <c r="J27" s="175">
        <f>H27/DAY(B2)</f>
        <v>256457.43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1054</v>
      </c>
      <c r="F28" s="136">
        <v>70</v>
      </c>
      <c r="G28" s="137">
        <f>E28*F28</f>
        <v>73780</v>
      </c>
      <c r="H28" s="99">
        <f>G28+'13'!H28</f>
        <v>1009905.4599999995</v>
      </c>
      <c r="I28" s="140"/>
      <c r="J28" s="175">
        <f>H28/DAY(B2)</f>
        <v>72136.104285714246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G30+'13'!H30</f>
        <v>99745</v>
      </c>
      <c r="I30" s="140"/>
      <c r="J30" s="175">
        <f>H30/DAY(B2)</f>
        <v>7124.6428571428569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G31+'13'!H31</f>
        <v>283200</v>
      </c>
      <c r="I31" s="140"/>
      <c r="J31" s="175">
        <f>H31/DAY(B2)</f>
        <v>20228.571428571428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387646</v>
      </c>
      <c r="H32" s="99">
        <f>G32+'13'!H32</f>
        <v>4983254.4799999995</v>
      </c>
      <c r="I32" s="144"/>
      <c r="J32" s="175">
        <f>H32/DAY(B2)</f>
        <v>355946.74857142853</v>
      </c>
      <c r="K32" s="63"/>
      <c r="L32" s="89"/>
      <c r="N32" s="87"/>
      <c r="O32" s="71"/>
    </row>
    <row r="33" spans="1:15" ht="27.7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166323</v>
      </c>
      <c r="F35" s="145">
        <v>168489</v>
      </c>
      <c r="G35" s="112">
        <f t="shared" ref="G35:G46" si="3">F35-E35</f>
        <v>2166</v>
      </c>
      <c r="H35" s="99">
        <f>G35+'13'!H35</f>
        <v>30209.790000000008</v>
      </c>
      <c r="I35" s="95"/>
      <c r="J35" s="175">
        <f>H35/DAY(B2)</f>
        <v>2157.8421428571432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113291</v>
      </c>
      <c r="F36" s="145">
        <v>114447</v>
      </c>
      <c r="G36" s="112">
        <f t="shared" si="3"/>
        <v>1156</v>
      </c>
      <c r="H36" s="99">
        <f>G36+'13'!H36</f>
        <v>13926.339999999997</v>
      </c>
      <c r="I36" s="95"/>
      <c r="J36" s="175">
        <f>H36/DAY(B2)</f>
        <v>994.73857142857116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153936</v>
      </c>
      <c r="F37" s="145">
        <v>155812</v>
      </c>
      <c r="G37" s="112">
        <f t="shared" si="3"/>
        <v>1876</v>
      </c>
      <c r="H37" s="99">
        <f>G37+'13'!H37</f>
        <v>22886.98000000001</v>
      </c>
      <c r="I37" s="95"/>
      <c r="J37" s="175">
        <f>H37/DAY(B2)</f>
        <v>1634.7842857142864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202834</v>
      </c>
      <c r="F38" s="108">
        <v>205312</v>
      </c>
      <c r="G38" s="112">
        <f t="shared" si="3"/>
        <v>2478</v>
      </c>
      <c r="H38" s="99">
        <f>G38+'13'!H38</f>
        <v>35202.630000000005</v>
      </c>
      <c r="I38" s="95"/>
      <c r="J38" s="175">
        <f>H38/DAY(B2)</f>
        <v>2514.4735714285716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286850</v>
      </c>
      <c r="F39" s="145">
        <v>290155</v>
      </c>
      <c r="G39" s="112">
        <f t="shared" si="3"/>
        <v>3305</v>
      </c>
      <c r="H39" s="99">
        <f>G39+'13'!H39</f>
        <v>46001.570000000007</v>
      </c>
      <c r="I39" s="95"/>
      <c r="J39" s="175">
        <f>H39/DAY(B2)</f>
        <v>3285.826428571429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55457</v>
      </c>
      <c r="F40" s="145">
        <v>55904</v>
      </c>
      <c r="G40" s="112">
        <f t="shared" si="3"/>
        <v>447</v>
      </c>
      <c r="H40" s="99">
        <f>G40+'13'!H40</f>
        <v>6752.1399999999994</v>
      </c>
      <c r="I40" s="95"/>
      <c r="J40" s="175">
        <f>H40/DAY(B2)</f>
        <v>482.29571428571427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145">
        <v>344914</v>
      </c>
      <c r="F42" s="145">
        <v>348193</v>
      </c>
      <c r="G42" s="112">
        <f t="shared" si="3"/>
        <v>3279</v>
      </c>
      <c r="H42" s="99">
        <f>G42+'13'!H42</f>
        <v>66835.75</v>
      </c>
      <c r="I42" s="95"/>
      <c r="J42" s="175">
        <f>H42/DAY(B2)</f>
        <v>4773.9821428571431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145">
        <v>299806</v>
      </c>
      <c r="F43" s="145">
        <v>303225</v>
      </c>
      <c r="G43" s="112">
        <f t="shared" si="3"/>
        <v>3419</v>
      </c>
      <c r="H43" s="99">
        <f>G43+'13'!H43</f>
        <v>44470.53</v>
      </c>
      <c r="I43" s="95"/>
      <c r="J43" s="175">
        <f>H43/DAY(B2)</f>
        <v>3176.4664285714284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18126</v>
      </c>
      <c r="H47" s="99">
        <f>G47+'13'!H47</f>
        <v>266285.73</v>
      </c>
      <c r="I47" s="95"/>
      <c r="J47" s="175">
        <f>H47/DAY(B2)</f>
        <v>19020.409285714286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134106</v>
      </c>
      <c r="F49" s="145">
        <v>136047</v>
      </c>
      <c r="G49" s="112">
        <f t="shared" ref="G49:G58" si="4">F49-E49</f>
        <v>1941</v>
      </c>
      <c r="H49" s="99">
        <f>G49+'13'!H49</f>
        <v>25544.800000000003</v>
      </c>
      <c r="I49" s="95"/>
      <c r="J49" s="175">
        <f>H49/DAY(B2)</f>
        <v>1824.6285714285716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149214</v>
      </c>
      <c r="F50" s="145">
        <v>150939</v>
      </c>
      <c r="G50" s="112">
        <f t="shared" si="4"/>
        <v>1725</v>
      </c>
      <c r="H50" s="99">
        <f>G50+'13'!H50</f>
        <v>19728.859999999986</v>
      </c>
      <c r="I50" s="95"/>
      <c r="J50" s="175">
        <f>H50/DAY(B2)</f>
        <v>1409.2042857142847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42080</v>
      </c>
      <c r="F54" s="145">
        <v>42549</v>
      </c>
      <c r="G54" s="112">
        <f t="shared" si="4"/>
        <v>469</v>
      </c>
      <c r="H54" s="99">
        <f>G54+'13'!H54</f>
        <v>6877.9400000000023</v>
      </c>
      <c r="I54" s="95"/>
      <c r="J54" s="175">
        <f>H54/DAY(B2)</f>
        <v>491.28142857142876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123951</v>
      </c>
      <c r="F55" s="145">
        <v>127197</v>
      </c>
      <c r="G55" s="112">
        <f t="shared" si="4"/>
        <v>3246</v>
      </c>
      <c r="H55" s="99">
        <f>G55+'13'!H55</f>
        <v>14715.970000000001</v>
      </c>
      <c r="I55" s="95"/>
      <c r="J55" s="175">
        <f>H55/DAY(B2)</f>
        <v>1051.1407142857145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93818</v>
      </c>
      <c r="F56" s="145">
        <v>95427</v>
      </c>
      <c r="G56" s="112">
        <f t="shared" si="4"/>
        <v>1609</v>
      </c>
      <c r="H56" s="99">
        <f>G56+'13'!H56</f>
        <v>23809.320000000007</v>
      </c>
      <c r="I56" s="95"/>
      <c r="J56" s="175">
        <f>H56/DAY(B2)</f>
        <v>1700.6657142857148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21556</v>
      </c>
      <c r="F58" s="145">
        <v>21788</v>
      </c>
      <c r="G58" s="112">
        <f t="shared" si="4"/>
        <v>232</v>
      </c>
      <c r="H58" s="99">
        <f>G58+'13'!H58</f>
        <v>3333.7999999999993</v>
      </c>
      <c r="I58" s="95"/>
      <c r="J58" s="175">
        <f>H58/DAY(B2)</f>
        <v>238.12857142857138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9222</v>
      </c>
      <c r="H59" s="99">
        <f>G59+'13'!H59</f>
        <v>94011.01</v>
      </c>
      <c r="I59" s="95">
        <f>G7-G60</f>
        <v>3059</v>
      </c>
      <c r="J59" s="175">
        <f>H59/DAY(B2)</f>
        <v>6715.0721428571424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27348</v>
      </c>
      <c r="H60" s="99">
        <f>G60+'13'!H60</f>
        <v>360296.74</v>
      </c>
      <c r="I60" s="95">
        <f>G13-G60</f>
        <v>2199</v>
      </c>
      <c r="J60" s="175">
        <f>H60/DAY(B2)</f>
        <v>25735.481428571427</v>
      </c>
      <c r="K60" s="79"/>
      <c r="L60" s="66"/>
      <c r="N60" s="87"/>
      <c r="O60" s="71"/>
    </row>
    <row r="61" spans="1:15" s="68" customFormat="1" ht="27.75" customHeight="1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4" t="s">
        <v>198</v>
      </c>
      <c r="B62" s="875"/>
      <c r="C62" s="876"/>
      <c r="D62" s="151" t="s">
        <v>142</v>
      </c>
      <c r="E62" s="95">
        <f>'13'!F62</f>
        <v>281002</v>
      </c>
      <c r="F62" s="122">
        <v>281165</v>
      </c>
      <c r="G62" s="112">
        <f t="shared" ref="G62:G63" si="5">F62-E62</f>
        <v>163</v>
      </c>
      <c r="H62" s="99">
        <f>G62+'13'!H62</f>
        <v>2539</v>
      </c>
      <c r="I62" s="118"/>
      <c r="J62" s="175">
        <f>H62/DAY(B2)</f>
        <v>181.35714285714286</v>
      </c>
      <c r="K62" s="80"/>
      <c r="L62" s="66"/>
      <c r="N62" s="87"/>
      <c r="O62" s="71"/>
    </row>
    <row r="63" spans="1:15" ht="27.75" customHeight="1">
      <c r="A63" s="874" t="s">
        <v>199</v>
      </c>
      <c r="B63" s="875"/>
      <c r="C63" s="876"/>
      <c r="D63" s="151" t="s">
        <v>142</v>
      </c>
      <c r="E63" s="122">
        <v>225065</v>
      </c>
      <c r="F63" s="122">
        <v>225201</v>
      </c>
      <c r="G63" s="112">
        <f t="shared" si="5"/>
        <v>136</v>
      </c>
      <c r="H63" s="99">
        <f>G63+'13'!H63</f>
        <v>2120</v>
      </c>
      <c r="I63" s="118"/>
      <c r="J63" s="175">
        <f>H63/DAY(B2)</f>
        <v>151.42857142857142</v>
      </c>
      <c r="K63" s="69"/>
      <c r="L63" s="66"/>
      <c r="N63" s="87"/>
      <c r="O63" s="71"/>
    </row>
    <row r="64" spans="1:15" ht="27.75" customHeight="1">
      <c r="A64" s="871" t="s">
        <v>200</v>
      </c>
      <c r="B64" s="872"/>
      <c r="C64" s="873"/>
      <c r="D64" s="151"/>
      <c r="E64" s="95">
        <f>'13'!F64</f>
        <v>0</v>
      </c>
      <c r="F64" s="122"/>
      <c r="G64" s="112">
        <f>G62+G63</f>
        <v>299</v>
      </c>
      <c r="H64" s="99">
        <f>G64+'13'!H64</f>
        <v>4659</v>
      </c>
      <c r="I64" s="118"/>
      <c r="J64" s="175">
        <f>H64/DAY(B2)</f>
        <v>332.78571428571428</v>
      </c>
      <c r="K64" s="69"/>
      <c r="L64" s="66"/>
      <c r="N64" s="87"/>
      <c r="O64" s="71"/>
    </row>
    <row r="65" spans="1:15" ht="27.75" customHeight="1">
      <c r="A65" s="874" t="s">
        <v>201</v>
      </c>
      <c r="B65" s="875"/>
      <c r="C65" s="876"/>
      <c r="D65" s="151" t="s">
        <v>142</v>
      </c>
      <c r="E65" s="95">
        <f>'13'!F65</f>
        <v>442625</v>
      </c>
      <c r="F65" s="122">
        <v>442735</v>
      </c>
      <c r="G65" s="112">
        <f t="shared" ref="G65:G70" si="6">F65-E65</f>
        <v>110</v>
      </c>
      <c r="H65" s="99">
        <f>G65+'13'!H65</f>
        <v>1604</v>
      </c>
      <c r="I65" s="118"/>
      <c r="J65" s="175">
        <f>H65/DAY(B2)</f>
        <v>114.57142857142857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109286</v>
      </c>
      <c r="F66" s="122">
        <v>109302</v>
      </c>
      <c r="G66" s="112">
        <f t="shared" si="6"/>
        <v>16</v>
      </c>
      <c r="H66" s="99">
        <f>G66+'13'!H66</f>
        <v>232</v>
      </c>
      <c r="I66" s="118"/>
      <c r="J66" s="175">
        <f>H66/DAY(B2)</f>
        <v>16.571428571428573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109558</v>
      </c>
      <c r="F67" s="122">
        <v>109635</v>
      </c>
      <c r="G67" s="112">
        <f t="shared" si="6"/>
        <v>77</v>
      </c>
      <c r="H67" s="99">
        <f>G67+'13'!H67</f>
        <v>1042</v>
      </c>
      <c r="I67" s="118"/>
      <c r="J67" s="175">
        <f>H67/DAY(B2)</f>
        <v>74.428571428571431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161089</v>
      </c>
      <c r="F68" s="122">
        <v>161116</v>
      </c>
      <c r="G68" s="112">
        <f t="shared" si="6"/>
        <v>27</v>
      </c>
      <c r="H68" s="99">
        <f>G68+'13'!H68</f>
        <v>707</v>
      </c>
      <c r="I68" s="118"/>
      <c r="J68" s="175">
        <f>H68/DAY(B2)</f>
        <v>50.5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11390</v>
      </c>
      <c r="F69" s="122">
        <v>11401</v>
      </c>
      <c r="G69" s="112">
        <f t="shared" si="6"/>
        <v>11</v>
      </c>
      <c r="H69" s="99">
        <f>G69+'13'!H69</f>
        <v>200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8842</v>
      </c>
      <c r="F70" s="122">
        <v>8851</v>
      </c>
      <c r="G70" s="112">
        <f t="shared" si="6"/>
        <v>9</v>
      </c>
      <c r="H70" s="99">
        <f>G70+'13'!H70</f>
        <v>123</v>
      </c>
      <c r="I70" s="118"/>
      <c r="J70" s="175">
        <f>H70/DAY(B2)</f>
        <v>8.7857142857142865</v>
      </c>
      <c r="K70" s="69"/>
      <c r="L70" s="66"/>
      <c r="N70" s="87"/>
      <c r="O70" s="71"/>
    </row>
    <row r="71" spans="1:15" ht="27.75" customHeight="1">
      <c r="A71" s="871" t="s">
        <v>208</v>
      </c>
      <c r="B71" s="872"/>
      <c r="C71" s="873"/>
      <c r="D71" s="152"/>
      <c r="E71" s="152"/>
      <c r="F71" s="152"/>
      <c r="G71" s="153">
        <f>SUM(G65:G70)</f>
        <v>250</v>
      </c>
      <c r="H71" s="99">
        <f>G71+'13'!H71</f>
        <v>3908</v>
      </c>
      <c r="I71" s="154"/>
      <c r="J71" s="175">
        <f>H71/DAY(B2)</f>
        <v>279.14285714285717</v>
      </c>
      <c r="K71" s="69"/>
      <c r="L71" s="66"/>
      <c r="N71" s="87"/>
      <c r="O71" s="71"/>
    </row>
    <row r="72" spans="1:15" s="88" customFormat="1" ht="27.7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4" t="s">
        <v>220</v>
      </c>
      <c r="B74" s="875"/>
      <c r="C74" s="876"/>
      <c r="D74" s="151" t="s">
        <v>139</v>
      </c>
      <c r="E74" s="95">
        <f>'13'!F74</f>
        <v>923318</v>
      </c>
      <c r="F74" s="117">
        <v>923643</v>
      </c>
      <c r="G74" s="112">
        <f t="shared" ref="G74:G78" si="7">F74-E74</f>
        <v>325</v>
      </c>
      <c r="H74" s="99">
        <f>G74+'13'!H74</f>
        <v>4318.4899999999907</v>
      </c>
      <c r="I74" s="154"/>
      <c r="J74" s="175">
        <f>H74/DAY(B2)</f>
        <v>308.46357142857079</v>
      </c>
      <c r="K74" s="69"/>
      <c r="L74" s="66"/>
      <c r="N74" s="87"/>
      <c r="O74" s="71"/>
    </row>
    <row r="75" spans="1:15" ht="27.75" customHeight="1">
      <c r="A75" s="874" t="s">
        <v>221</v>
      </c>
      <c r="B75" s="875"/>
      <c r="C75" s="87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>
      <c r="A76" s="918" t="s">
        <v>222</v>
      </c>
      <c r="B76" s="904"/>
      <c r="C76" s="905"/>
      <c r="D76" s="151" t="s">
        <v>139</v>
      </c>
      <c r="E76" s="95">
        <f>'13'!F76</f>
        <v>178106</v>
      </c>
      <c r="F76" s="123">
        <v>178229</v>
      </c>
      <c r="G76" s="112">
        <f t="shared" si="7"/>
        <v>123</v>
      </c>
      <c r="H76" s="99">
        <f>G76+'13'!H76</f>
        <v>1642</v>
      </c>
      <c r="I76" s="154"/>
      <c r="J76" s="175">
        <f>H76/DAY(B2)</f>
        <v>117.28571428571429</v>
      </c>
      <c r="K76" s="69"/>
      <c r="L76" s="66"/>
      <c r="N76" s="87"/>
      <c r="O76" s="71"/>
    </row>
    <row r="77" spans="1:15" ht="27.75" customHeight="1">
      <c r="A77" s="918" t="s">
        <v>223</v>
      </c>
      <c r="B77" s="904"/>
      <c r="C77" s="905"/>
      <c r="D77" s="151" t="s">
        <v>139</v>
      </c>
      <c r="E77" s="95">
        <f>'13'!F77</f>
        <v>44801</v>
      </c>
      <c r="F77" s="123">
        <v>44857</v>
      </c>
      <c r="G77" s="112">
        <f t="shared" si="7"/>
        <v>56</v>
      </c>
      <c r="H77" s="99">
        <f>G77+'13'!H77</f>
        <v>694</v>
      </c>
      <c r="I77" s="154"/>
      <c r="J77" s="175">
        <f>H77/DAY(B2)</f>
        <v>49.571428571428569</v>
      </c>
      <c r="K77" s="69"/>
      <c r="L77" s="66"/>
      <c r="N77" s="87"/>
      <c r="O77" s="71"/>
    </row>
    <row r="78" spans="1:15" ht="27.75" customHeight="1">
      <c r="A78" s="918" t="s">
        <v>224</v>
      </c>
      <c r="B78" s="904"/>
      <c r="C78" s="905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1</v>
      </c>
      <c r="I78" s="118"/>
      <c r="J78" s="175">
        <f>H78/DAY(B2)</f>
        <v>7.1428571428571425E-2</v>
      </c>
      <c r="K78" s="69"/>
      <c r="L78" s="66"/>
      <c r="N78" s="87"/>
      <c r="O78" s="71"/>
    </row>
    <row r="79" spans="1:15" s="57" customFormat="1" ht="27.75" customHeight="1">
      <c r="A79" s="918" t="s">
        <v>225</v>
      </c>
      <c r="B79" s="904"/>
      <c r="C79" s="905"/>
      <c r="D79" s="151"/>
      <c r="E79" s="95">
        <f>'13'!F79</f>
        <v>0</v>
      </c>
      <c r="F79" s="117"/>
      <c r="G79" s="112">
        <f>G15-SUM(G74:G78)</f>
        <v>550</v>
      </c>
      <c r="H79" s="99">
        <f>G79+'13'!H79</f>
        <v>8618.3100000000122</v>
      </c>
      <c r="I79" s="118"/>
      <c r="J79" s="175">
        <f>H79/DAY(B2)</f>
        <v>615.59357142857232</v>
      </c>
      <c r="K79" s="59"/>
      <c r="L79" s="58"/>
      <c r="N79" s="87"/>
      <c r="O79" s="71"/>
    </row>
    <row r="80" spans="1:15" s="57" customFormat="1" ht="27.7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1054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594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594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594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3429</v>
      </c>
      <c r="F85" s="164">
        <v>3444</v>
      </c>
      <c r="G85" s="112">
        <f t="shared" si="8"/>
        <v>15</v>
      </c>
      <c r="H85" s="99">
        <f>G85+'13'!H85</f>
        <v>285.5</v>
      </c>
      <c r="I85" s="594"/>
      <c r="J85" s="175">
        <f>H85/DAY(B2)</f>
        <v>20.392857142857142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43798</v>
      </c>
      <c r="F86" s="164">
        <v>43820</v>
      </c>
      <c r="G86" s="112">
        <f t="shared" si="8"/>
        <v>22</v>
      </c>
      <c r="H86" s="99">
        <f>G86+'13'!H86</f>
        <v>99.599999999998545</v>
      </c>
      <c r="I86" s="594"/>
      <c r="J86" s="175">
        <f>H86/DAY(B2)</f>
        <v>7.11428571428561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35229.040000000001</v>
      </c>
      <c r="F87" s="164">
        <v>35238</v>
      </c>
      <c r="G87" s="112">
        <f t="shared" si="8"/>
        <v>8.9599999999991269</v>
      </c>
      <c r="H87" s="99">
        <f>G87+'13'!H87</f>
        <v>157.65000000000146</v>
      </c>
      <c r="I87" s="594">
        <f>G84+G85+G86+G87</f>
        <v>45.959999999999127</v>
      </c>
      <c r="J87" s="175">
        <f>H87/DAY(B2)</f>
        <v>11.260714285714389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24125.14</v>
      </c>
      <c r="F88" s="164">
        <v>24135.77</v>
      </c>
      <c r="G88" s="112">
        <f t="shared" si="8"/>
        <v>10.630000000001019</v>
      </c>
      <c r="H88" s="99">
        <f>G88+'13'!H88</f>
        <v>26.369999999998981</v>
      </c>
      <c r="I88" s="594"/>
      <c r="J88" s="175">
        <f>H88/DAY(B2)</f>
        <v>1.8835714285713558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26593.15</v>
      </c>
      <c r="F89" s="164">
        <v>26593.15</v>
      </c>
      <c r="G89" s="112">
        <f t="shared" si="8"/>
        <v>0</v>
      </c>
      <c r="H89" s="99">
        <f>G89+'13'!H89</f>
        <v>121.36000000000058</v>
      </c>
      <c r="I89" s="594">
        <f>G88+G89</f>
        <v>10.630000000001019</v>
      </c>
      <c r="J89" s="175">
        <f>H89/DAY(B2)</f>
        <v>8.6685714285714699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71696.2</v>
      </c>
      <c r="F90" s="164">
        <v>71707.05</v>
      </c>
      <c r="G90" s="112">
        <f t="shared" si="8"/>
        <v>10.850000000005821</v>
      </c>
      <c r="H90" s="99">
        <f>G90+'13'!H90</f>
        <v>133.94000000000233</v>
      </c>
      <c r="I90" s="594">
        <f>G90</f>
        <v>10.850000000005821</v>
      </c>
      <c r="J90" s="175">
        <f>H90/DAY(B2)</f>
        <v>9.5671428571430237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3910</v>
      </c>
      <c r="F91" s="122">
        <v>3910</v>
      </c>
      <c r="G91" s="112">
        <f t="shared" si="8"/>
        <v>0</v>
      </c>
      <c r="H91" s="99">
        <f>G91+'13'!H91</f>
        <v>0.25</v>
      </c>
      <c r="I91" s="688"/>
      <c r="J91" s="175">
        <f>H91/DAY(B2)</f>
        <v>1.7857142857142856E-2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5886.13</v>
      </c>
      <c r="F92" s="122">
        <v>5897.49</v>
      </c>
      <c r="G92" s="112">
        <f t="shared" si="8"/>
        <v>11.359999999999673</v>
      </c>
      <c r="H92" s="99">
        <f>G92+'13'!H92</f>
        <v>150.1899999999996</v>
      </c>
      <c r="I92" s="705">
        <f>G91+G92</f>
        <v>11.359999999999673</v>
      </c>
      <c r="J92" s="175">
        <f>H92/DAY(B2)</f>
        <v>10.727857142857115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7526</v>
      </c>
      <c r="H94" s="99">
        <f>G94+'13'!H94</f>
        <v>100225.12000000001</v>
      </c>
      <c r="I94" s="118"/>
      <c r="J94" s="175">
        <f>H94/DAY(B2)</f>
        <v>7158.937142857144</v>
      </c>
      <c r="K94" s="69"/>
      <c r="L94" s="66"/>
      <c r="O94" s="71"/>
    </row>
    <row r="95" spans="1:15" ht="27.7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0.2475087973164074</v>
      </c>
      <c r="H95" s="99">
        <f>G95+'13'!H95</f>
        <v>3.587099047948227</v>
      </c>
      <c r="I95" s="167"/>
      <c r="J95" s="175">
        <f>H95/DAY(B2)</f>
        <v>0.25622136056773048</v>
      </c>
      <c r="K95" s="69"/>
      <c r="L95" s="66"/>
      <c r="O95" s="71"/>
    </row>
    <row r="96" spans="1:15" ht="27.7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8134</v>
      </c>
      <c r="H96" s="99">
        <f>G96+'13'!H96</f>
        <v>105361.04000000001</v>
      </c>
      <c r="I96" s="118"/>
      <c r="J96" s="175">
        <f>H96/DAY(B2)</f>
        <v>7525.7885714285721</v>
      </c>
      <c r="K96" s="69"/>
      <c r="L96" s="66"/>
      <c r="O96" s="71"/>
    </row>
    <row r="97" spans="1:15" ht="27.7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0.26750419311342782</v>
      </c>
      <c r="H97" s="99">
        <f>G97+'13'!H97</f>
        <v>3.7633339998514095</v>
      </c>
      <c r="I97" s="167"/>
      <c r="J97" s="175">
        <f>H97/DAY(B2)</f>
        <v>0.2688095714179578</v>
      </c>
      <c r="K97" s="69"/>
      <c r="L97" s="66"/>
      <c r="O97" s="71"/>
    </row>
    <row r="98" spans="1:15" ht="27.7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3305</v>
      </c>
      <c r="H98" s="99">
        <f>G98+'13'!H98</f>
        <v>46001.570000000007</v>
      </c>
      <c r="I98" s="168"/>
      <c r="J98" s="175">
        <f>H98/DAY(B2)</f>
        <v>3285.826428571429</v>
      </c>
      <c r="K98" s="69"/>
      <c r="L98" s="66"/>
      <c r="O98" s="71"/>
    </row>
    <row r="99" spans="1:15" ht="27.7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0.10869207748215871</v>
      </c>
      <c r="H99" s="99">
        <f>G99+'13'!H99</f>
        <v>1.649305066726658</v>
      </c>
      <c r="I99" s="168"/>
      <c r="J99" s="175">
        <f>H99/DAY(B2)</f>
        <v>0.11780750476618986</v>
      </c>
      <c r="O99" s="71"/>
    </row>
    <row r="100" spans="1:15" ht="27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2478</v>
      </c>
      <c r="H100" s="99">
        <f>G100+'13'!H100</f>
        <v>35202.630000000005</v>
      </c>
      <c r="I100" s="118"/>
      <c r="J100" s="175">
        <f>H100/DAY(B2)</f>
        <v>2514.4735714285716</v>
      </c>
      <c r="K100" s="70"/>
      <c r="O100" s="71"/>
    </row>
    <row r="101" spans="1:15" ht="27.7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8.1494392738514151E-2</v>
      </c>
      <c r="H101" s="99">
        <f>G101+'13'!H101</f>
        <v>1.2623053058240246</v>
      </c>
      <c r="I101" s="168"/>
      <c r="J101" s="175">
        <f>H101/DAY(B2)</f>
        <v>9.0164664701716038E-2</v>
      </c>
      <c r="O101" s="71"/>
    </row>
    <row r="102" spans="1:15" ht="27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2881</v>
      </c>
      <c r="H102" s="99">
        <f>G102+'13'!H102</f>
        <v>33655.199999999983</v>
      </c>
      <c r="I102" s="168"/>
      <c r="J102" s="175">
        <f>H102/DAY(B2)</f>
        <v>2403.9428571428557</v>
      </c>
      <c r="O102" s="71"/>
    </row>
    <row r="103" spans="1:15" ht="27.7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9.4747919886868162E-2</v>
      </c>
      <c r="H103" s="99">
        <f>G103+'13'!H103</f>
        <v>1.2033278187821101</v>
      </c>
      <c r="I103" s="118"/>
      <c r="J103" s="175">
        <f>H103/DAY(B2)</f>
        <v>8.5951987055865015E-2</v>
      </c>
      <c r="O103" s="71"/>
    </row>
    <row r="104" spans="1:15" ht="27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1876</v>
      </c>
      <c r="H104" s="99">
        <f>G104+'13'!H104</f>
        <v>22887.30000000001</v>
      </c>
      <c r="I104" s="118"/>
      <c r="J104" s="175">
        <f>H104/DAY(B2)</f>
        <v>1634.8071428571436</v>
      </c>
      <c r="O104" s="71"/>
    </row>
    <row r="105" spans="1:15" ht="27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6.1696319926332753E-2</v>
      </c>
      <c r="H105" s="99">
        <f>G105+'13'!H105</f>
        <v>0.81967577271728054</v>
      </c>
      <c r="I105" s="187"/>
      <c r="J105" s="188">
        <f>H105/DAY(B2)</f>
        <v>5.8548269479805751E-2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7.75" customHeight="1">
      <c r="A109" s="913"/>
      <c r="B109" s="913"/>
    </row>
    <row r="110" spans="1:15" ht="27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7.7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7" t="s">
        <v>252</v>
      </c>
      <c r="B112" s="908"/>
      <c r="C112" s="909"/>
      <c r="D112" s="146" t="s">
        <v>183</v>
      </c>
      <c r="E112" s="95">
        <f>'13'!F112</f>
        <v>63193</v>
      </c>
      <c r="F112" s="237">
        <v>63276</v>
      </c>
      <c r="G112" s="112">
        <f t="shared" ref="G112:G123" si="9">F112-E112</f>
        <v>83</v>
      </c>
      <c r="H112" s="99">
        <f>G112+'13'!H112</f>
        <v>1132.4700000000012</v>
      </c>
      <c r="I112" s="165"/>
      <c r="J112" s="328">
        <f>H112/DAY(B2)</f>
        <v>80.890714285714367</v>
      </c>
    </row>
    <row r="113" spans="1:18" ht="27.75" customHeight="1">
      <c r="A113" s="907" t="s">
        <v>253</v>
      </c>
      <c r="B113" s="908"/>
      <c r="C113" s="909"/>
      <c r="D113" s="146" t="s">
        <v>183</v>
      </c>
      <c r="E113" s="95">
        <f>'13'!F113</f>
        <v>80637</v>
      </c>
      <c r="F113" s="237">
        <v>81144</v>
      </c>
      <c r="G113" s="112">
        <f t="shared" si="9"/>
        <v>507</v>
      </c>
      <c r="H113" s="99">
        <f>G113+'13'!H113</f>
        <v>6888.3999999999942</v>
      </c>
      <c r="I113" s="165"/>
      <c r="J113" s="328">
        <f>H113/DAY(B2)</f>
        <v>492.02857142857101</v>
      </c>
    </row>
    <row r="114" spans="1:18" ht="27.75" customHeight="1">
      <c r="A114" s="907" t="s">
        <v>254</v>
      </c>
      <c r="B114" s="908"/>
      <c r="C114" s="909"/>
      <c r="D114" s="146" t="s">
        <v>183</v>
      </c>
      <c r="E114" s="95">
        <f>'13'!F114</f>
        <v>53830</v>
      </c>
      <c r="F114" s="237">
        <v>54099</v>
      </c>
      <c r="G114" s="112">
        <f t="shared" si="9"/>
        <v>269</v>
      </c>
      <c r="H114" s="99">
        <f>G114+'13'!H114</f>
        <v>3836</v>
      </c>
      <c r="I114" s="165"/>
      <c r="J114" s="328">
        <f>H114/DAY(B2)</f>
        <v>274</v>
      </c>
    </row>
    <row r="115" spans="1:18" ht="27.75" customHeight="1">
      <c r="A115" s="907" t="s">
        <v>255</v>
      </c>
      <c r="B115" s="908"/>
      <c r="C115" s="909"/>
      <c r="D115" s="146" t="s">
        <v>183</v>
      </c>
      <c r="E115" s="95">
        <f>'13'!F115</f>
        <v>10117</v>
      </c>
      <c r="F115" s="237">
        <v>10144</v>
      </c>
      <c r="G115" s="112">
        <f t="shared" si="9"/>
        <v>27</v>
      </c>
      <c r="H115" s="99">
        <f>G115+'13'!H115</f>
        <v>315.48999999999978</v>
      </c>
      <c r="I115" s="165"/>
      <c r="J115" s="328">
        <f>H115/DAY(B2)</f>
        <v>22.534999999999986</v>
      </c>
    </row>
    <row r="116" spans="1:18" ht="27.75" customHeight="1">
      <c r="A116" s="925" t="s">
        <v>96</v>
      </c>
      <c r="B116" s="926"/>
      <c r="C116" s="927"/>
      <c r="D116" s="146" t="s">
        <v>183</v>
      </c>
      <c r="E116" s="95">
        <f>'13'!F116</f>
        <v>28267</v>
      </c>
      <c r="F116" s="237">
        <v>28770</v>
      </c>
      <c r="G116" s="112">
        <f t="shared" si="9"/>
        <v>503</v>
      </c>
      <c r="H116" s="99">
        <f>G116+'13'!H116</f>
        <v>5985.380000000001</v>
      </c>
      <c r="I116" s="165"/>
      <c r="J116" s="328">
        <f>H116/DAY(B2)</f>
        <v>427.52714285714291</v>
      </c>
      <c r="Q116" s="907"/>
      <c r="R116" s="909"/>
    </row>
    <row r="117" spans="1:18" ht="27.75" customHeight="1">
      <c r="A117" s="925" t="s">
        <v>184</v>
      </c>
      <c r="B117" s="926"/>
      <c r="C117" s="927"/>
      <c r="D117" s="146" t="s">
        <v>183</v>
      </c>
      <c r="E117" s="95">
        <f>'13'!F117</f>
        <v>16174</v>
      </c>
      <c r="F117" s="237">
        <v>16328</v>
      </c>
      <c r="G117" s="112">
        <f t="shared" si="9"/>
        <v>154</v>
      </c>
      <c r="H117" s="99">
        <f>G117+'13'!H117</f>
        <v>2714.8269999999993</v>
      </c>
      <c r="I117" s="165"/>
      <c r="J117" s="328">
        <f>H117/DAY(B2)</f>
        <v>193.91621428571423</v>
      </c>
      <c r="Q117" s="907"/>
      <c r="R117" s="909"/>
    </row>
    <row r="118" spans="1:18" ht="27.75" customHeight="1">
      <c r="A118" s="902" t="s">
        <v>97</v>
      </c>
      <c r="B118" s="902"/>
      <c r="C118" s="902"/>
      <c r="D118" s="151" t="s">
        <v>183</v>
      </c>
      <c r="E118" s="95">
        <v>0</v>
      </c>
      <c r="F118" s="237">
        <v>502</v>
      </c>
      <c r="G118" s="112">
        <f t="shared" si="9"/>
        <v>502</v>
      </c>
      <c r="H118" s="99">
        <f>G118+'13'!H118</f>
        <v>7450.0300000000279</v>
      </c>
      <c r="I118" s="165"/>
      <c r="J118" s="328">
        <f>H118/DAY(B2)</f>
        <v>532.14500000000203</v>
      </c>
      <c r="Q118" s="907"/>
      <c r="R118" s="909"/>
    </row>
    <row r="119" spans="1:18" ht="27.75" customHeight="1">
      <c r="A119" s="902" t="s">
        <v>98</v>
      </c>
      <c r="B119" s="902"/>
      <c r="C119" s="902"/>
      <c r="D119" s="151" t="s">
        <v>183</v>
      </c>
      <c r="E119" s="95">
        <f>'13'!F119</f>
        <v>288724</v>
      </c>
      <c r="F119" s="237">
        <v>289135</v>
      </c>
      <c r="G119" s="112">
        <f t="shared" si="9"/>
        <v>411</v>
      </c>
      <c r="H119" s="99">
        <f>G119+'13'!H119</f>
        <v>6037.609999999986</v>
      </c>
      <c r="I119" s="165"/>
      <c r="J119" s="328">
        <f>H119/DAY(B2)</f>
        <v>431.25785714285615</v>
      </c>
    </row>
    <row r="120" spans="1:18" ht="27.75" customHeight="1">
      <c r="A120" s="902" t="s">
        <v>99</v>
      </c>
      <c r="B120" s="902"/>
      <c r="C120" s="902"/>
      <c r="D120" s="151" t="s">
        <v>183</v>
      </c>
      <c r="E120" s="95">
        <v>0</v>
      </c>
      <c r="F120" s="237">
        <v>392</v>
      </c>
      <c r="G120" s="112">
        <f t="shared" si="9"/>
        <v>392</v>
      </c>
      <c r="H120" s="99">
        <f>G120+'13'!H120</f>
        <v>5738.2400000000052</v>
      </c>
      <c r="I120" s="165"/>
      <c r="J120" s="328">
        <f>H120/DAY(B2)</f>
        <v>409.87428571428609</v>
      </c>
    </row>
    <row r="121" spans="1:18" ht="27.75" customHeight="1">
      <c r="A121" s="902" t="s">
        <v>100</v>
      </c>
      <c r="B121" s="902"/>
      <c r="C121" s="902"/>
      <c r="D121" s="151" t="s">
        <v>183</v>
      </c>
      <c r="E121" s="95">
        <v>0</v>
      </c>
      <c r="F121" s="237">
        <v>755</v>
      </c>
      <c r="G121" s="112">
        <f t="shared" si="9"/>
        <v>755</v>
      </c>
      <c r="H121" s="99">
        <f>G121+'13'!H121</f>
        <v>11159.729999999981</v>
      </c>
      <c r="I121" s="165"/>
      <c r="J121" s="328">
        <f>H121/DAY(B2)</f>
        <v>797.12357142857013</v>
      </c>
    </row>
    <row r="122" spans="1:18" ht="27.75" customHeight="1">
      <c r="A122" s="902" t="s">
        <v>101</v>
      </c>
      <c r="B122" s="902"/>
      <c r="C122" s="902"/>
      <c r="D122" s="151" t="s">
        <v>183</v>
      </c>
      <c r="E122" s="95">
        <v>0</v>
      </c>
      <c r="F122" s="237">
        <v>200</v>
      </c>
      <c r="G122" s="112">
        <f t="shared" si="9"/>
        <v>200</v>
      </c>
      <c r="H122" s="99">
        <f>G122+'13'!H122</f>
        <v>3016.859999999986</v>
      </c>
      <c r="I122" s="165"/>
      <c r="J122" s="328">
        <f>H122/DAY(B2)</f>
        <v>215.48999999999901</v>
      </c>
    </row>
    <row r="123" spans="1:18" ht="27.75" customHeight="1">
      <c r="A123" s="902" t="s">
        <v>102</v>
      </c>
      <c r="B123" s="902"/>
      <c r="C123" s="902"/>
      <c r="D123" s="151" t="s">
        <v>183</v>
      </c>
      <c r="E123" s="95">
        <f>'13'!F123</f>
        <v>172791</v>
      </c>
      <c r="F123" s="237">
        <v>173047</v>
      </c>
      <c r="G123" s="112">
        <f t="shared" si="9"/>
        <v>256</v>
      </c>
      <c r="H123" s="99">
        <f>G123+'13'!H123</f>
        <v>3605</v>
      </c>
      <c r="I123" s="165"/>
      <c r="J123" s="328">
        <f>H123/DAY(B2)</f>
        <v>257.5</v>
      </c>
    </row>
    <row r="124" spans="1:18" ht="27.7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4059</v>
      </c>
      <c r="H125" s="156"/>
      <c r="I125" s="327">
        <f>G125-(G39+G53)</f>
        <v>754</v>
      </c>
      <c r="J125" s="327"/>
    </row>
    <row r="126" spans="1:18" ht="27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7.75" customHeight="1">
      <c r="A127" s="938"/>
      <c r="B127" s="938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7" t="s">
        <v>318</v>
      </c>
      <c r="B128" s="908"/>
      <c r="C128" s="909"/>
      <c r="D128" s="151" t="s">
        <v>183</v>
      </c>
      <c r="E128" s="95">
        <f>'13'!F128</f>
        <v>74501</v>
      </c>
      <c r="F128" s="165">
        <v>74939</v>
      </c>
      <c r="G128" s="112">
        <f t="shared" ref="G128:G134" si="10">F128-E128</f>
        <v>438</v>
      </c>
      <c r="H128" s="99">
        <f>G128+'13'!H128</f>
        <v>6022.7599999999948</v>
      </c>
      <c r="I128" s="165"/>
      <c r="J128" s="328">
        <f>H128/DAY(B2)</f>
        <v>430.19714285714247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46046</v>
      </c>
      <c r="F129" s="165">
        <v>46358</v>
      </c>
      <c r="G129" s="112">
        <f t="shared" si="10"/>
        <v>312</v>
      </c>
      <c r="H129" s="99">
        <f>G129+'13'!H129</f>
        <v>4246.9499999999971</v>
      </c>
      <c r="I129" s="165"/>
      <c r="J129" s="328">
        <f>H129/DAY(B2)</f>
        <v>303.35357142857123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84669</v>
      </c>
      <c r="F130" s="165">
        <v>85320</v>
      </c>
      <c r="G130" s="112">
        <f t="shared" si="10"/>
        <v>651</v>
      </c>
      <c r="H130" s="99">
        <f>G130+'13'!H130</f>
        <v>9658.0500000000029</v>
      </c>
      <c r="I130" s="165"/>
      <c r="J130" s="328">
        <f>H130/DAY(B2)</f>
        <v>689.86071428571449</v>
      </c>
      <c r="N130" s="240"/>
      <c r="O130" s="241"/>
    </row>
    <row r="131" spans="1:15" ht="27.75" customHeight="1">
      <c r="A131" s="907" t="s">
        <v>321</v>
      </c>
      <c r="B131" s="908"/>
      <c r="C131" s="909"/>
      <c r="D131" s="151" t="s">
        <v>183</v>
      </c>
      <c r="E131" s="95">
        <f>'13'!F131</f>
        <v>26963</v>
      </c>
      <c r="F131" s="165">
        <v>27174</v>
      </c>
      <c r="G131" s="112">
        <f t="shared" si="10"/>
        <v>211</v>
      </c>
      <c r="H131" s="99">
        <f>G131+'13'!H131</f>
        <v>2741.5</v>
      </c>
      <c r="I131" s="165"/>
      <c r="J131" s="328">
        <f>H131/DAY(B2)</f>
        <v>195.82142857142858</v>
      </c>
      <c r="N131" s="240"/>
      <c r="O131" s="241"/>
    </row>
    <row r="132" spans="1:15" ht="27.75" customHeight="1">
      <c r="A132" s="907" t="s">
        <v>322</v>
      </c>
      <c r="B132" s="908"/>
      <c r="C132" s="909"/>
      <c r="D132" s="151" t="s">
        <v>183</v>
      </c>
      <c r="E132" s="95">
        <f>'13'!F132</f>
        <v>81246</v>
      </c>
      <c r="F132" s="165">
        <v>81707</v>
      </c>
      <c r="G132" s="112">
        <f t="shared" si="10"/>
        <v>461</v>
      </c>
      <c r="H132" s="99">
        <f>G132+'13'!H132</f>
        <v>6039.5</v>
      </c>
      <c r="I132" s="165"/>
      <c r="J132" s="328">
        <f>H132/DAY(B2)</f>
        <v>431.39285714285717</v>
      </c>
    </row>
    <row r="133" spans="1:15" ht="27.75" customHeight="1">
      <c r="A133" s="907" t="s">
        <v>341</v>
      </c>
      <c r="B133" s="908"/>
      <c r="C133" s="909"/>
      <c r="D133" s="151" t="s">
        <v>183</v>
      </c>
      <c r="E133" s="95">
        <f>'13'!F133</f>
        <v>157067</v>
      </c>
      <c r="F133" s="165">
        <v>158031</v>
      </c>
      <c r="G133" s="112">
        <f t="shared" si="10"/>
        <v>964</v>
      </c>
      <c r="H133" s="99">
        <f>G133+'13'!H133</f>
        <v>12649.010000000009</v>
      </c>
      <c r="I133" s="165"/>
      <c r="J133" s="328">
        <f>H133/DAY(B2)</f>
        <v>903.50071428571493</v>
      </c>
    </row>
    <row r="134" spans="1:15" ht="27.75" customHeight="1">
      <c r="A134" s="907" t="s">
        <v>340</v>
      </c>
      <c r="B134" s="908"/>
      <c r="C134" s="909"/>
      <c r="D134" s="151" t="s">
        <v>183</v>
      </c>
      <c r="E134" s="95">
        <f>'13'!F134</f>
        <v>23933</v>
      </c>
      <c r="F134" s="165">
        <v>24178</v>
      </c>
      <c r="G134" s="112">
        <f t="shared" si="10"/>
        <v>245</v>
      </c>
      <c r="H134" s="99">
        <f>G134+'13'!H134</f>
        <v>3385.3199999999997</v>
      </c>
      <c r="I134" s="165"/>
      <c r="J134" s="328">
        <f>H134/DAY(B2)</f>
        <v>241.80857142857141</v>
      </c>
    </row>
    <row r="135" spans="1:15" ht="27.75" customHeight="1">
      <c r="A135" s="935" t="s">
        <v>196</v>
      </c>
      <c r="B135" s="936"/>
      <c r="C135" s="331"/>
      <c r="D135" s="151"/>
      <c r="E135" s="95"/>
      <c r="F135" s="165"/>
      <c r="G135" s="112">
        <f>SUM(G128:G134)</f>
        <v>3282</v>
      </c>
      <c r="H135" s="119">
        <f>H128+H134</f>
        <v>9408.0799999999945</v>
      </c>
      <c r="I135" s="327">
        <f>G135-(G35+G49)</f>
        <v>-825</v>
      </c>
      <c r="J135" s="328">
        <f>H135/DAY(B2)</f>
        <v>672.00571428571391</v>
      </c>
    </row>
    <row r="136" spans="1:15" ht="27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2" t="s">
        <v>185</v>
      </c>
      <c r="B138" s="902"/>
      <c r="C138" s="902"/>
      <c r="D138" s="151" t="s">
        <v>183</v>
      </c>
      <c r="E138" s="95">
        <f>'13'!F138</f>
        <v>876192</v>
      </c>
      <c r="F138" s="147">
        <v>876363</v>
      </c>
      <c r="G138" s="112">
        <f t="shared" ref="G138:G152" si="11">F138-E138</f>
        <v>171</v>
      </c>
      <c r="H138" s="99">
        <f>G138+'13'!H138</f>
        <v>2362</v>
      </c>
      <c r="I138" s="118"/>
      <c r="J138" s="328">
        <f>H138/DAY(B2)</f>
        <v>168.71428571428572</v>
      </c>
    </row>
    <row r="139" spans="1:15" ht="27.75" customHeight="1">
      <c r="A139" s="902" t="s">
        <v>186</v>
      </c>
      <c r="B139" s="902"/>
      <c r="C139" s="902"/>
      <c r="D139" s="151" t="s">
        <v>183</v>
      </c>
      <c r="E139" s="95">
        <f>'13'!F139</f>
        <v>892290</v>
      </c>
      <c r="F139" s="148">
        <v>892452</v>
      </c>
      <c r="G139" s="112">
        <f t="shared" si="11"/>
        <v>162</v>
      </c>
      <c r="H139" s="99">
        <f>G139+'13'!H139</f>
        <v>2134</v>
      </c>
      <c r="I139" s="118"/>
      <c r="J139" s="328">
        <f>H139/DAY(B2)</f>
        <v>152.42857142857142</v>
      </c>
    </row>
    <row r="140" spans="1:15" ht="27.75" customHeight="1">
      <c r="A140" s="902" t="s">
        <v>187</v>
      </c>
      <c r="B140" s="902"/>
      <c r="C140" s="902"/>
      <c r="D140" s="151" t="s">
        <v>183</v>
      </c>
      <c r="E140" s="95">
        <f>'13'!F140</f>
        <v>89008.6</v>
      </c>
      <c r="F140" s="149">
        <v>89008.6</v>
      </c>
      <c r="G140" s="112">
        <f t="shared" si="11"/>
        <v>0</v>
      </c>
      <c r="H140" s="99">
        <f>G140+'13'!H140</f>
        <v>18.600000000005821</v>
      </c>
      <c r="I140" s="118"/>
      <c r="J140" s="328">
        <f>H140/DAY(B2)</f>
        <v>1.3285714285718444</v>
      </c>
    </row>
    <row r="141" spans="1:15" ht="27.75" customHeight="1">
      <c r="A141" s="906" t="s">
        <v>188</v>
      </c>
      <c r="B141" s="906"/>
      <c r="C141" s="906"/>
      <c r="D141" s="151" t="s">
        <v>183</v>
      </c>
      <c r="E141" s="149">
        <v>68343</v>
      </c>
      <c r="F141" s="149">
        <v>68548</v>
      </c>
      <c r="G141" s="112">
        <f t="shared" si="11"/>
        <v>205</v>
      </c>
      <c r="H141" s="99">
        <f>G141+'13'!H141</f>
        <v>2764.4700000000012</v>
      </c>
      <c r="I141" s="118"/>
      <c r="J141" s="328">
        <f>H141/DAY(B2)</f>
        <v>197.46214285714294</v>
      </c>
    </row>
    <row r="142" spans="1:15" ht="27.75" customHeight="1">
      <c r="A142" s="906" t="s">
        <v>189</v>
      </c>
      <c r="B142" s="906"/>
      <c r="C142" s="906"/>
      <c r="D142" s="151" t="s">
        <v>183</v>
      </c>
      <c r="E142" s="95">
        <f>'13'!F142</f>
        <v>26400</v>
      </c>
      <c r="F142" s="148">
        <v>26458</v>
      </c>
      <c r="G142" s="112">
        <f t="shared" si="11"/>
        <v>58</v>
      </c>
      <c r="H142" s="99">
        <f>G142+'13'!H142</f>
        <v>961.59999999999854</v>
      </c>
      <c r="I142" s="140"/>
      <c r="J142" s="328">
        <f>H142/DAY(B2)</f>
        <v>68.685714285714184</v>
      </c>
    </row>
    <row r="143" spans="1:15" ht="27.75" customHeight="1">
      <c r="A143" s="902" t="s">
        <v>91</v>
      </c>
      <c r="B143" s="902"/>
      <c r="C143" s="902"/>
      <c r="D143" s="151" t="s">
        <v>183</v>
      </c>
      <c r="E143" s="95">
        <f>'13'!F143</f>
        <v>5924</v>
      </c>
      <c r="F143" s="149">
        <v>5950</v>
      </c>
      <c r="G143" s="112">
        <f t="shared" si="11"/>
        <v>26</v>
      </c>
      <c r="H143" s="99">
        <f>G143+'13'!H143</f>
        <v>389.28999999999996</v>
      </c>
      <c r="I143" s="140"/>
      <c r="J143" s="328">
        <f>H143/DAY(B2)</f>
        <v>27.806428571428569</v>
      </c>
    </row>
    <row r="144" spans="1:15" ht="27.75" customHeight="1">
      <c r="A144" s="906" t="s">
        <v>90</v>
      </c>
      <c r="B144" s="906"/>
      <c r="C144" s="906"/>
      <c r="D144" s="151" t="s">
        <v>183</v>
      </c>
      <c r="E144" s="95">
        <f>'13'!F144</f>
        <v>893124</v>
      </c>
      <c r="F144" s="149">
        <v>893376</v>
      </c>
      <c r="G144" s="112">
        <f t="shared" si="11"/>
        <v>252</v>
      </c>
      <c r="H144" s="99">
        <f>G144+'13'!H144</f>
        <v>3542</v>
      </c>
      <c r="I144" s="140"/>
      <c r="J144" s="328">
        <f>H144/DAY(B2)</f>
        <v>253</v>
      </c>
    </row>
    <row r="145" spans="1:10" ht="27.75" customHeight="1">
      <c r="A145" s="902" t="s">
        <v>190</v>
      </c>
      <c r="B145" s="902"/>
      <c r="C145" s="902"/>
      <c r="D145" s="152" t="s">
        <v>183</v>
      </c>
      <c r="E145" s="95">
        <f>'13'!F145</f>
        <v>5581</v>
      </c>
      <c r="F145" s="149">
        <v>5584</v>
      </c>
      <c r="G145" s="112">
        <f t="shared" si="11"/>
        <v>3</v>
      </c>
      <c r="H145" s="99">
        <f>G145+'13'!H145</f>
        <v>27.600000000000364</v>
      </c>
      <c r="I145" s="140"/>
      <c r="J145" s="328">
        <f>H145/DAY(B2)</f>
        <v>1.9714285714285975</v>
      </c>
    </row>
    <row r="146" spans="1:10" ht="27.75" customHeight="1">
      <c r="A146" s="903" t="s">
        <v>191</v>
      </c>
      <c r="B146" s="904"/>
      <c r="C146" s="905"/>
      <c r="D146" s="152" t="s">
        <v>183</v>
      </c>
      <c r="E146" s="148">
        <v>770849</v>
      </c>
      <c r="F146" s="148">
        <v>771332</v>
      </c>
      <c r="G146" s="112">
        <f t="shared" si="11"/>
        <v>483</v>
      </c>
      <c r="H146" s="99">
        <f>G146+'13'!H146</f>
        <v>7006</v>
      </c>
      <c r="I146" s="140"/>
      <c r="J146" s="328">
        <f>H146/DAY(B2)</f>
        <v>500.42857142857144</v>
      </c>
    </row>
    <row r="147" spans="1:10" ht="27.75" customHeight="1">
      <c r="A147" s="906" t="s">
        <v>192</v>
      </c>
      <c r="B147" s="906"/>
      <c r="C147" s="906"/>
      <c r="D147" s="152" t="s">
        <v>183</v>
      </c>
      <c r="E147" s="148">
        <v>655941</v>
      </c>
      <c r="F147" s="148">
        <v>656348</v>
      </c>
      <c r="G147" s="112">
        <f t="shared" si="11"/>
        <v>407</v>
      </c>
      <c r="H147" s="99">
        <f>G147+'13'!H147</f>
        <v>6164</v>
      </c>
      <c r="I147" s="140"/>
      <c r="J147" s="328">
        <f>H147/DAY(B2)</f>
        <v>440.28571428571428</v>
      </c>
    </row>
    <row r="148" spans="1:10" ht="27.75" customHeight="1">
      <c r="A148" s="898" t="s">
        <v>193</v>
      </c>
      <c r="B148" s="899"/>
      <c r="C148" s="900"/>
      <c r="D148" s="123" t="s">
        <v>130</v>
      </c>
      <c r="E148" s="150">
        <v>713590</v>
      </c>
      <c r="F148" s="150">
        <v>713944</v>
      </c>
      <c r="G148" s="112">
        <f t="shared" si="11"/>
        <v>354</v>
      </c>
      <c r="H148" s="99">
        <f>G148+'13'!H148</f>
        <v>5079.3199999999488</v>
      </c>
      <c r="I148" s="124"/>
      <c r="J148" s="328">
        <f>H148/DAY(B2)</f>
        <v>362.80857142856775</v>
      </c>
    </row>
    <row r="149" spans="1:10" ht="27.75" customHeight="1">
      <c r="A149" s="898" t="s">
        <v>336</v>
      </c>
      <c r="B149" s="899"/>
      <c r="C149" s="900"/>
      <c r="D149" s="227" t="s">
        <v>130</v>
      </c>
      <c r="E149" s="146">
        <v>72301</v>
      </c>
      <c r="F149" s="146">
        <v>72964</v>
      </c>
      <c r="G149" s="112">
        <f t="shared" si="11"/>
        <v>663</v>
      </c>
      <c r="H149" s="99">
        <f>G149+'13'!H149</f>
        <v>9740.1999999999971</v>
      </c>
      <c r="I149" s="119"/>
      <c r="J149" s="328">
        <f>H149/DAY(B2)</f>
        <v>695.72857142857117</v>
      </c>
    </row>
    <row r="150" spans="1:10" ht="27.75" customHeight="1">
      <c r="A150" s="898" t="s">
        <v>337</v>
      </c>
      <c r="B150" s="899"/>
      <c r="C150" s="900"/>
      <c r="D150" s="117" t="s">
        <v>130</v>
      </c>
      <c r="E150" s="233">
        <v>26886</v>
      </c>
      <c r="F150" s="233">
        <v>27130</v>
      </c>
      <c r="G150" s="112">
        <f t="shared" si="11"/>
        <v>244</v>
      </c>
      <c r="H150" s="99">
        <f>G150+'13'!H150</f>
        <v>3174.2099999999991</v>
      </c>
      <c r="I150" s="119"/>
      <c r="J150" s="328">
        <f>H150/DAY(B2)</f>
        <v>226.72928571428565</v>
      </c>
    </row>
    <row r="151" spans="1:10" ht="27.75" customHeight="1">
      <c r="A151" s="898" t="s">
        <v>338</v>
      </c>
      <c r="B151" s="899"/>
      <c r="C151" s="900"/>
      <c r="D151" s="117" t="s">
        <v>130</v>
      </c>
      <c r="E151" s="233">
        <v>104278</v>
      </c>
      <c r="F151" s="233">
        <v>104569</v>
      </c>
      <c r="G151" s="112">
        <f t="shared" si="11"/>
        <v>291</v>
      </c>
      <c r="H151" s="99">
        <f>G151+'13'!H151</f>
        <v>3958</v>
      </c>
      <c r="I151" s="119"/>
      <c r="J151" s="328">
        <f>H151/DAY(B2)</f>
        <v>282.71428571428572</v>
      </c>
    </row>
    <row r="152" spans="1:10" ht="27.75" customHeight="1">
      <c r="A152" s="898" t="s">
        <v>339</v>
      </c>
      <c r="B152" s="899"/>
      <c r="C152" s="900"/>
      <c r="D152" s="117" t="s">
        <v>130</v>
      </c>
      <c r="E152" s="233">
        <v>9705</v>
      </c>
      <c r="F152" s="233">
        <v>9756</v>
      </c>
      <c r="G152" s="112">
        <f t="shared" si="11"/>
        <v>51</v>
      </c>
      <c r="H152" s="99">
        <f>G152+'13'!H152</f>
        <v>1686.9399999999996</v>
      </c>
      <c r="I152" s="119"/>
      <c r="J152" s="328">
        <f>H152/DAY(B2)</f>
        <v>120.49571428571426</v>
      </c>
    </row>
    <row r="153" spans="1:10" ht="27.7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3370</v>
      </c>
      <c r="H153" s="363"/>
      <c r="I153" s="119">
        <f>G153-(G38+G52)</f>
        <v>892</v>
      </c>
      <c r="J153" s="366"/>
    </row>
    <row r="154" spans="1:10" ht="27.75" customHeight="1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 customHeight="1">
      <c r="A155" s="906" t="s">
        <v>345</v>
      </c>
      <c r="B155" s="906"/>
      <c r="C155" s="906"/>
      <c r="D155" s="117" t="s">
        <v>130</v>
      </c>
      <c r="E155" s="374">
        <v>81312</v>
      </c>
      <c r="F155" s="374">
        <v>81945</v>
      </c>
      <c r="G155" s="112">
        <f t="shared" ref="G155:G158" si="12">F155-E155</f>
        <v>633</v>
      </c>
      <c r="H155" s="99">
        <f>G155+'13'!H155</f>
        <v>9174.5</v>
      </c>
      <c r="I155" s="364"/>
      <c r="J155" s="328">
        <f>H155/DAY(B2)</f>
        <v>655.32142857142856</v>
      </c>
    </row>
    <row r="156" spans="1:10" ht="27.75" customHeight="1">
      <c r="A156" s="906" t="s">
        <v>347</v>
      </c>
      <c r="B156" s="906"/>
      <c r="C156" s="906"/>
      <c r="D156" s="117" t="s">
        <v>130</v>
      </c>
      <c r="E156" s="155">
        <v>6753</v>
      </c>
      <c r="F156" s="155">
        <v>6805</v>
      </c>
      <c r="G156" s="112">
        <f t="shared" si="12"/>
        <v>52</v>
      </c>
      <c r="H156" s="99">
        <f>G156+'13'!H156</f>
        <v>747.75</v>
      </c>
      <c r="I156" s="165"/>
      <c r="J156" s="328">
        <f>H156/DAY(B2)</f>
        <v>53.410714285714285</v>
      </c>
    </row>
    <row r="157" spans="1:10" ht="27.75" customHeight="1">
      <c r="A157" s="898" t="s">
        <v>361</v>
      </c>
      <c r="B157" s="899"/>
      <c r="C157" s="900"/>
      <c r="D157" s="117" t="s">
        <v>130</v>
      </c>
      <c r="E157" s="155">
        <v>11674</v>
      </c>
      <c r="F157" s="155">
        <v>11779</v>
      </c>
      <c r="G157" s="112">
        <f t="shared" si="12"/>
        <v>105</v>
      </c>
      <c r="H157" s="99">
        <f>G157+'13'!H157</f>
        <v>566.05999999999949</v>
      </c>
      <c r="I157" s="165"/>
      <c r="J157" s="328">
        <f>H157/DAY(B2)</f>
        <v>40.43285714285711</v>
      </c>
    </row>
    <row r="158" spans="1:10" ht="27.75" customHeight="1">
      <c r="A158" s="898" t="s">
        <v>362</v>
      </c>
      <c r="B158" s="899"/>
      <c r="C158" s="900"/>
      <c r="D158" s="117" t="s">
        <v>130</v>
      </c>
      <c r="E158" s="155">
        <v>92.38</v>
      </c>
      <c r="F158" s="155">
        <v>93.35</v>
      </c>
      <c r="G158" s="112">
        <f t="shared" si="12"/>
        <v>0.96999999999999886</v>
      </c>
      <c r="H158" s="99">
        <f>G158+'13'!H158</f>
        <v>1.3499999999999943</v>
      </c>
      <c r="I158" s="165"/>
      <c r="J158" s="328">
        <f>H158/DAY(B2)</f>
        <v>9.6428571428571017E-2</v>
      </c>
    </row>
    <row r="159" spans="1:10" ht="27.75" customHeight="1">
      <c r="A159" s="957"/>
      <c r="B159" s="958"/>
      <c r="C159" s="959"/>
      <c r="D159" s="117"/>
      <c r="E159" s="165"/>
      <c r="F159" s="165"/>
      <c r="G159" s="362">
        <f>SUM(G155:G158)</f>
        <v>790.97</v>
      </c>
      <c r="H159" s="99"/>
      <c r="I159" s="165"/>
      <c r="J159" s="328"/>
    </row>
    <row r="160" spans="1:10" ht="27.7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v>473983</v>
      </c>
      <c r="F161" s="235">
        <v>474026</v>
      </c>
      <c r="G161" s="238">
        <f t="shared" ref="G161:G165" si="13">F161-E161</f>
        <v>43</v>
      </c>
      <c r="H161" s="99">
        <f>G161+'13'!H161</f>
        <v>185.27000000001863</v>
      </c>
      <c r="I161" s="236"/>
      <c r="J161" s="239">
        <f>H161/DAY(B2)</f>
        <v>13.233571428572759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v>90906</v>
      </c>
      <c r="F162" s="235">
        <v>90953</v>
      </c>
      <c r="G162" s="238">
        <f t="shared" si="13"/>
        <v>47</v>
      </c>
      <c r="H162" s="99">
        <f>G162+'13'!H162</f>
        <v>500.10000000000582</v>
      </c>
      <c r="I162" s="236"/>
      <c r="J162" s="239">
        <f>H162/DAY(B2)</f>
        <v>35.721428571428987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v>89307</v>
      </c>
      <c r="F163" s="235">
        <v>89475</v>
      </c>
      <c r="G163" s="238">
        <f t="shared" si="13"/>
        <v>168</v>
      </c>
      <c r="H163" s="99">
        <f>G163+'13'!H163</f>
        <v>2396.1999999999971</v>
      </c>
      <c r="I163" s="236"/>
      <c r="J163" s="239">
        <f>H163/DAY(B2)</f>
        <v>171.15714285714265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v>4992</v>
      </c>
      <c r="F164" s="235">
        <v>5003</v>
      </c>
      <c r="G164" s="238">
        <f t="shared" si="13"/>
        <v>11</v>
      </c>
      <c r="H164" s="99">
        <f>G164+'13'!H164</f>
        <v>190.60000000000036</v>
      </c>
      <c r="I164" s="236"/>
      <c r="J164" s="239">
        <f>H164/DAY(B2)</f>
        <v>13.614285714285741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v>30449</v>
      </c>
      <c r="F165" s="235">
        <v>30459</v>
      </c>
      <c r="G165" s="238">
        <f t="shared" si="13"/>
        <v>10</v>
      </c>
      <c r="H165" s="99">
        <f>G165+'13'!H165</f>
        <v>103.4900000000016</v>
      </c>
      <c r="I165" s="236"/>
      <c r="J165" s="239">
        <f>H165/DAY(B2)</f>
        <v>7.3921428571429715</v>
      </c>
    </row>
    <row r="166" spans="1:10" ht="27.75" customHeight="1">
      <c r="A166" s="938"/>
      <c r="B166" s="938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8"/>
      <c r="B167" s="938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8"/>
      <c r="B168" s="938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7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6" t="s">
        <v>209</v>
      </c>
      <c r="B173" s="897"/>
      <c r="C173" s="333"/>
      <c r="D173" s="228" t="s">
        <v>142</v>
      </c>
      <c r="E173" s="95">
        <f>'13'!F173</f>
        <v>8265</v>
      </c>
      <c r="F173" s="155">
        <v>8265</v>
      </c>
      <c r="G173" s="155">
        <f>F173-E173</f>
        <v>0</v>
      </c>
      <c r="H173" s="99">
        <f>G173+'13'!H173</f>
        <v>1</v>
      </c>
      <c r="I173" s="155"/>
      <c r="J173" s="178">
        <f>H173/DAY(B2)</f>
        <v>7.1428571428571425E-2</v>
      </c>
    </row>
    <row r="174" spans="1:10" ht="27.75" customHeight="1">
      <c r="A174" s="896" t="s">
        <v>75</v>
      </c>
      <c r="B174" s="897"/>
      <c r="C174" s="333"/>
      <c r="D174" s="228" t="s">
        <v>142</v>
      </c>
      <c r="E174" s="157">
        <v>39655</v>
      </c>
      <c r="F174" s="157">
        <v>39670</v>
      </c>
      <c r="G174" s="155">
        <f t="shared" ref="G174:G175" si="14">F174-E174</f>
        <v>15</v>
      </c>
      <c r="H174" s="99">
        <f>G174+'13'!H174</f>
        <v>208</v>
      </c>
      <c r="I174" s="155"/>
      <c r="J174" s="178">
        <f>H174/DAY(B2)</f>
        <v>14.857142857142858</v>
      </c>
    </row>
    <row r="175" spans="1:10" ht="27.75" customHeight="1">
      <c r="A175" s="896" t="s">
        <v>76</v>
      </c>
      <c r="B175" s="901"/>
      <c r="C175" s="897"/>
      <c r="D175" s="228" t="s">
        <v>142</v>
      </c>
      <c r="E175" s="155">
        <v>22680</v>
      </c>
      <c r="F175" s="155">
        <v>22690</v>
      </c>
      <c r="G175" s="155">
        <f t="shared" si="14"/>
        <v>10</v>
      </c>
      <c r="H175" s="99">
        <f>G175+'13'!H175</f>
        <v>168</v>
      </c>
      <c r="I175" s="155"/>
      <c r="J175" s="178">
        <f>H175/DAY(B2)</f>
        <v>12</v>
      </c>
    </row>
    <row r="176" spans="1:10" ht="27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G176+'13'!H176</f>
        <v>377</v>
      </c>
      <c r="I176" s="155"/>
      <c r="J176" s="178">
        <f>H176/DAY(B2)</f>
        <v>26.928571428571427</v>
      </c>
    </row>
    <row r="177" spans="1:10" ht="27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6" t="s">
        <v>210</v>
      </c>
      <c r="B178" s="897"/>
      <c r="C178" s="333"/>
      <c r="D178" s="228" t="s">
        <v>142</v>
      </c>
      <c r="E178" s="95">
        <f>'13'!F178</f>
        <v>86845</v>
      </c>
      <c r="F178" s="155">
        <v>86957</v>
      </c>
      <c r="G178" s="155">
        <f>F178-E178</f>
        <v>112</v>
      </c>
      <c r="H178" s="99">
        <f>G178+'13'!H178</f>
        <v>1341</v>
      </c>
      <c r="I178" s="155"/>
      <c r="J178" s="178">
        <f>H178/DAY(B2)</f>
        <v>95.785714285714292</v>
      </c>
    </row>
    <row r="179" spans="1:10" ht="27.75" customHeight="1">
      <c r="A179" s="896" t="s">
        <v>211</v>
      </c>
      <c r="B179" s="897"/>
      <c r="C179" s="333"/>
      <c r="D179" s="228" t="s">
        <v>142</v>
      </c>
      <c r="E179" s="95">
        <f>'13'!F179</f>
        <v>35710</v>
      </c>
      <c r="F179" s="155">
        <v>35710</v>
      </c>
      <c r="G179" s="155">
        <f t="shared" ref="G179:G180" si="15">F179-E179</f>
        <v>0</v>
      </c>
      <c r="H179" s="99">
        <f>G179+'13'!H179</f>
        <v>96</v>
      </c>
      <c r="I179" s="155"/>
      <c r="J179" s="178">
        <f>H179/DAY(B2)</f>
        <v>6.8571428571428568</v>
      </c>
    </row>
    <row r="180" spans="1:10" ht="27.75" customHeight="1">
      <c r="A180" s="896" t="s">
        <v>212</v>
      </c>
      <c r="B180" s="897"/>
      <c r="C180" s="333"/>
      <c r="D180" s="228" t="s">
        <v>142</v>
      </c>
      <c r="E180" s="95">
        <f>'13'!F180</f>
        <v>6243</v>
      </c>
      <c r="F180" s="155">
        <v>6250</v>
      </c>
      <c r="G180" s="155">
        <f t="shared" si="15"/>
        <v>7</v>
      </c>
      <c r="H180" s="99">
        <f>G180+'13'!H180</f>
        <v>117</v>
      </c>
      <c r="I180" s="155"/>
      <c r="J180" s="178">
        <f>H180/DAY(B2)</f>
        <v>8.3571428571428577</v>
      </c>
    </row>
    <row r="181" spans="1:10" ht="27.75" customHeight="1">
      <c r="A181" s="942" t="s">
        <v>108</v>
      </c>
      <c r="B181" s="943"/>
      <c r="C181" s="401"/>
      <c r="D181" s="228" t="s">
        <v>142</v>
      </c>
      <c r="E181" s="95"/>
      <c r="F181" s="155" t="s">
        <v>207</v>
      </c>
      <c r="G181" s="155">
        <f>SUM(G178:G180)</f>
        <v>119</v>
      </c>
      <c r="H181" s="99">
        <f>G181+'13'!H181</f>
        <v>1554</v>
      </c>
      <c r="I181" s="155"/>
      <c r="J181" s="178">
        <f>H181/DAY(B2)</f>
        <v>111</v>
      </c>
    </row>
    <row r="182" spans="1:10" ht="27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6" t="s">
        <v>214</v>
      </c>
      <c r="B183" s="897"/>
      <c r="C183" s="334"/>
      <c r="D183" s="228" t="s">
        <v>142</v>
      </c>
      <c r="E183" s="95">
        <f>'13'!F183</f>
        <v>16369</v>
      </c>
      <c r="F183" s="157">
        <v>16381</v>
      </c>
      <c r="G183" s="157">
        <f>F183-E183</f>
        <v>12</v>
      </c>
      <c r="H183" s="99">
        <f>G183+'13'!H183</f>
        <v>239</v>
      </c>
      <c r="I183" s="155"/>
      <c r="J183" s="178">
        <f>H183/DAY(B2)</f>
        <v>17.071428571428573</v>
      </c>
    </row>
    <row r="184" spans="1:10" ht="27.75" customHeight="1">
      <c r="A184" s="896" t="s">
        <v>215</v>
      </c>
      <c r="B184" s="897"/>
      <c r="C184" s="334"/>
      <c r="D184" s="228" t="s">
        <v>142</v>
      </c>
      <c r="E184" s="95">
        <f>'13'!F184</f>
        <v>11142</v>
      </c>
      <c r="F184" s="157">
        <v>11149</v>
      </c>
      <c r="G184" s="157">
        <f t="shared" ref="G184:G185" si="16">F184-E184</f>
        <v>7</v>
      </c>
      <c r="H184" s="99">
        <f>G184+'13'!H184</f>
        <v>100</v>
      </c>
      <c r="I184" s="155"/>
      <c r="J184" s="178">
        <f>H184/DAY(B2)</f>
        <v>7.1428571428571432</v>
      </c>
    </row>
    <row r="185" spans="1:10" ht="27.75" customHeight="1">
      <c r="A185" s="896" t="s">
        <v>216</v>
      </c>
      <c r="B185" s="89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G186+'13'!H186</f>
        <v>339</v>
      </c>
      <c r="I186" s="157"/>
      <c r="J186" s="178">
        <f>H186/DAY(B2)</f>
        <v>24.214285714285715</v>
      </c>
    </row>
    <row r="187" spans="1:10" ht="27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159">
        <f>G62+G19</f>
        <v>215</v>
      </c>
      <c r="H187" s="99">
        <f>G187+'13'!H187</f>
        <v>3204</v>
      </c>
      <c r="I187" s="158"/>
      <c r="J187" s="179">
        <f>H187/DAY(B2)</f>
        <v>228.85714285714286</v>
      </c>
    </row>
    <row r="188" spans="1:10" ht="27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159">
        <f>G65+G66+G67+G69+G70</f>
        <v>223</v>
      </c>
      <c r="H188" s="99"/>
      <c r="I188" s="158"/>
      <c r="J188" s="405">
        <f>H188/DAY(B2)</f>
        <v>0</v>
      </c>
    </row>
    <row r="189" spans="1:10" ht="27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157">
        <f>G181</f>
        <v>119</v>
      </c>
      <c r="H189" s="99">
        <f>G189+'13'!H189</f>
        <v>1554</v>
      </c>
      <c r="I189" s="158"/>
      <c r="J189" s="179">
        <f>H189/DAY(B2)</f>
        <v>111</v>
      </c>
    </row>
    <row r="190" spans="1:10" ht="27.75" customHeight="1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78" zoomScale="55" zoomScaleSheetLayoutView="55" workbookViewId="0">
      <selection activeCell="F143" sqref="F14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303</v>
      </c>
      <c r="B2" s="262">
        <v>44666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378012</v>
      </c>
      <c r="F7" s="95">
        <v>405860</v>
      </c>
      <c r="G7" s="236">
        <f>F7-E7</f>
        <v>27848</v>
      </c>
      <c r="H7" s="99">
        <f>G7+'14'!H7</f>
        <v>419137</v>
      </c>
      <c r="I7" s="113">
        <f>'1'!I7</f>
        <v>12000</v>
      </c>
      <c r="J7" s="175">
        <f>H7/DAY(B2)</f>
        <v>27942.466666666667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456980</v>
      </c>
      <c r="F8" s="114">
        <v>485536</v>
      </c>
      <c r="G8" s="521">
        <f>F8-E8</f>
        <v>28556</v>
      </c>
      <c r="H8" s="99">
        <f>G8+'14'!H8</f>
        <v>427489.78</v>
      </c>
      <c r="I8" s="116"/>
      <c r="J8" s="175">
        <f>H8/DAY(B2)</f>
        <v>28499.31866666667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1545491</v>
      </c>
      <c r="F9" s="470">
        <v>1564081</v>
      </c>
      <c r="G9" s="112">
        <f>F9-E9</f>
        <v>18590</v>
      </c>
      <c r="H9" s="99">
        <f>G9+'14'!H9</f>
        <v>296406</v>
      </c>
      <c r="I9" s="124">
        <f>I7-J7</f>
        <v>-15942.466666666667</v>
      </c>
      <c r="J9" s="175">
        <f>H9/DAY(B2)</f>
        <v>19760.400000000001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520832</v>
      </c>
      <c r="F10" s="353">
        <v>529358</v>
      </c>
      <c r="G10" s="112">
        <f>F10-E10</f>
        <v>8526</v>
      </c>
      <c r="H10" s="99">
        <f>G10+'14'!H10</f>
        <v>111082.53000000003</v>
      </c>
      <c r="I10" s="282"/>
      <c r="J10" s="175">
        <f>H10/DAY(B2)</f>
        <v>7405.5020000000022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27116</v>
      </c>
      <c r="H13" s="99">
        <f>G13+'14'!H13</f>
        <v>407489</v>
      </c>
      <c r="I13" s="120">
        <f>G7-G13</f>
        <v>732</v>
      </c>
      <c r="J13" s="175">
        <f>H13/DAY(B2)</f>
        <v>27165.933333333334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'14'!F15</f>
        <v>1986211</v>
      </c>
      <c r="F15" s="470">
        <v>1987209</v>
      </c>
      <c r="G15" s="112">
        <f>(F15-E15)</f>
        <v>998</v>
      </c>
      <c r="H15" s="99">
        <f>G15+'14'!H15</f>
        <v>16272</v>
      </c>
      <c r="I15" s="113">
        <f>'1'!I15</f>
        <v>800</v>
      </c>
      <c r="J15" s="175">
        <f>H15/DAY(B2)</f>
        <v>1084.8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-284.79999999999995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'14'!F18</f>
        <v>31</v>
      </c>
      <c r="F18" s="122">
        <v>22</v>
      </c>
      <c r="G18" s="119">
        <f>F18*10</f>
        <v>220</v>
      </c>
      <c r="H18" s="99">
        <f>G18+'14'!H18</f>
        <v>3760</v>
      </c>
      <c r="I18" s="113">
        <f>'1'!I18</f>
        <v>65</v>
      </c>
      <c r="J18" s="175">
        <f>H18/DAY(B2)</f>
        <v>250.66666666666666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'14'!F19</f>
        <v>157654</v>
      </c>
      <c r="F19" s="122">
        <v>157703</v>
      </c>
      <c r="G19" s="112">
        <f t="shared" ref="G19" si="1">F19-E19</f>
        <v>49</v>
      </c>
      <c r="H19" s="99">
        <f>G19+'14'!H19</f>
        <v>714</v>
      </c>
      <c r="I19" s="335"/>
      <c r="J19" s="175">
        <f>H19/DAY(B2)</f>
        <v>47.6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4474</v>
      </c>
      <c r="I20" s="336">
        <f>I18-J20</f>
        <v>-233.26666666666665</v>
      </c>
      <c r="J20" s="175">
        <f>H20/DAY(B2)</f>
        <v>298.26666666666665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28556</v>
      </c>
      <c r="F27" s="136">
        <v>9</v>
      </c>
      <c r="G27" s="137">
        <f>E27*F27</f>
        <v>257004</v>
      </c>
      <c r="H27" s="99">
        <f>G27+'14'!H27</f>
        <v>3847408.02</v>
      </c>
      <c r="I27" s="138"/>
      <c r="J27" s="175">
        <f>H27/DAY(B2)</f>
        <v>256493.86799999999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998</v>
      </c>
      <c r="F28" s="136">
        <v>70</v>
      </c>
      <c r="G28" s="137">
        <f>E28*F28</f>
        <v>69860</v>
      </c>
      <c r="H28" s="99">
        <f>G28+'14'!H28</f>
        <v>1079765.4599999995</v>
      </c>
      <c r="I28" s="140"/>
      <c r="J28" s="175">
        <f>H28/DAY(B2)</f>
        <v>71984.363999999972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G30+'14'!H30</f>
        <v>107144</v>
      </c>
      <c r="I30" s="140"/>
      <c r="J30" s="175">
        <f>H30/DAY(B2)</f>
        <v>7142.9333333333334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300800</v>
      </c>
      <c r="I31" s="140"/>
      <c r="J31" s="175">
        <f>H31/DAY(B2)</f>
        <v>20053.333333333332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351863</v>
      </c>
      <c r="H32" s="99">
        <f>G32+'14'!H32</f>
        <v>5335117.4799999995</v>
      </c>
      <c r="I32" s="144"/>
      <c r="J32" s="175">
        <f>H32/DAY(B2)</f>
        <v>355674.49866666662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168489</v>
      </c>
      <c r="F35" s="145">
        <v>170634</v>
      </c>
      <c r="G35" s="112">
        <f t="shared" ref="G35:G46" si="3">F35-E35</f>
        <v>2145</v>
      </c>
      <c r="H35" s="99">
        <f>G35+'14'!H35</f>
        <v>32354.790000000008</v>
      </c>
      <c r="I35" s="95"/>
      <c r="J35" s="175">
        <f>H35/DAY(B2)</f>
        <v>2156.9860000000003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114447</v>
      </c>
      <c r="F36" s="145">
        <v>115342</v>
      </c>
      <c r="G36" s="112">
        <f t="shared" si="3"/>
        <v>895</v>
      </c>
      <c r="H36" s="99">
        <f>G36+'14'!H36</f>
        <v>14821.339999999997</v>
      </c>
      <c r="I36" s="95"/>
      <c r="J36" s="175">
        <f>H36/DAY(B2)</f>
        <v>988.08933333333312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155812</v>
      </c>
      <c r="F37" s="145">
        <v>157109</v>
      </c>
      <c r="G37" s="112">
        <f t="shared" si="3"/>
        <v>1297</v>
      </c>
      <c r="H37" s="99">
        <f>G37+'14'!H37</f>
        <v>24183.98000000001</v>
      </c>
      <c r="I37" s="95"/>
      <c r="J37" s="175">
        <f>H37/DAY(B2)</f>
        <v>1612.265333333334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205312</v>
      </c>
      <c r="F38" s="108">
        <v>207732</v>
      </c>
      <c r="G38" s="112">
        <f t="shared" si="3"/>
        <v>2420</v>
      </c>
      <c r="H38" s="99">
        <f>G38+'14'!H38</f>
        <v>37622.630000000005</v>
      </c>
      <c r="I38" s="95"/>
      <c r="J38" s="175">
        <f>H38/DAY(B2)</f>
        <v>2508.1753333333336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290155</v>
      </c>
      <c r="F39" s="145">
        <v>293421</v>
      </c>
      <c r="G39" s="112">
        <f t="shared" si="3"/>
        <v>3266</v>
      </c>
      <c r="H39" s="99">
        <f>G39+'14'!H39</f>
        <v>49267.570000000007</v>
      </c>
      <c r="I39" s="95"/>
      <c r="J39" s="175">
        <f>H39/DAY(B2)</f>
        <v>3284.5046666666672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55904</v>
      </c>
      <c r="F40" s="145">
        <v>56123</v>
      </c>
      <c r="G40" s="112">
        <f t="shared" si="3"/>
        <v>219</v>
      </c>
      <c r="H40" s="99">
        <f>G40+'14'!H40</f>
        <v>6971.1399999999994</v>
      </c>
      <c r="I40" s="95"/>
      <c r="J40" s="175">
        <f>H40/DAY(B2)</f>
        <v>464.74266666666665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62.7</v>
      </c>
      <c r="G41" s="112">
        <f t="shared" si="3"/>
        <v>-0.29999999999999716</v>
      </c>
      <c r="H41" s="99">
        <f>G41+'14'!H41</f>
        <v>-0.29999999999999716</v>
      </c>
      <c r="I41" s="95"/>
      <c r="J41" s="175">
        <f>H41/DAY(B2)</f>
        <v>-1.999999999999981E-2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348193</v>
      </c>
      <c r="F42" s="145">
        <v>351863</v>
      </c>
      <c r="G42" s="112">
        <f t="shared" si="3"/>
        <v>3670</v>
      </c>
      <c r="H42" s="99">
        <f>G42+'14'!H42</f>
        <v>70505.75</v>
      </c>
      <c r="I42" s="95"/>
      <c r="J42" s="175">
        <f>H42/DAY(B2)</f>
        <v>4700.3833333333332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303225</v>
      </c>
      <c r="F43" s="145">
        <v>306480</v>
      </c>
      <c r="G43" s="112">
        <f t="shared" si="3"/>
        <v>3255</v>
      </c>
      <c r="H43" s="99">
        <f>G43+'14'!H43</f>
        <v>47725.53</v>
      </c>
      <c r="I43" s="95"/>
      <c r="J43" s="175">
        <f>H43/DAY(B2)</f>
        <v>3181.7019999999998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17166.7</v>
      </c>
      <c r="H47" s="99">
        <f>G47+'14'!H47</f>
        <v>283452.43</v>
      </c>
      <c r="I47" s="95"/>
      <c r="J47" s="175">
        <f>H47/DAY(B2)</f>
        <v>18896.828666666665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136047</v>
      </c>
      <c r="F49" s="145">
        <v>137893</v>
      </c>
      <c r="G49" s="112">
        <f t="shared" ref="G49:G58" si="4">F49-E49</f>
        <v>1846</v>
      </c>
      <c r="H49" s="99">
        <f>G49+'14'!H49</f>
        <v>27390.800000000003</v>
      </c>
      <c r="I49" s="95"/>
      <c r="J49" s="175">
        <f>H49/DAY(B2)</f>
        <v>1826.0533333333335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150939</v>
      </c>
      <c r="F50" s="145">
        <v>152471</v>
      </c>
      <c r="G50" s="112">
        <f t="shared" si="4"/>
        <v>1532</v>
      </c>
      <c r="H50" s="99">
        <f>G50+'14'!H50</f>
        <v>21260.859999999986</v>
      </c>
      <c r="I50" s="95"/>
      <c r="J50" s="175">
        <f>H50/DAY(B2)</f>
        <v>1417.3906666666658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42549</v>
      </c>
      <c r="F54" s="145">
        <v>43016</v>
      </c>
      <c r="G54" s="112">
        <f t="shared" si="4"/>
        <v>467</v>
      </c>
      <c r="H54" s="99">
        <f>G54+'14'!H54</f>
        <v>7344.9400000000023</v>
      </c>
      <c r="I54" s="95"/>
      <c r="J54" s="175">
        <f>H54/DAY(B2)</f>
        <v>489.66266666666684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127197</v>
      </c>
      <c r="F55" s="145">
        <v>127264</v>
      </c>
      <c r="G55" s="112">
        <f t="shared" si="4"/>
        <v>67</v>
      </c>
      <c r="H55" s="99">
        <f>G55+'14'!H55</f>
        <v>14782.970000000001</v>
      </c>
      <c r="I55" s="95"/>
      <c r="J55" s="175">
        <f>H55/DAY(B2)</f>
        <v>985.53133333333346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95427</v>
      </c>
      <c r="F56" s="145">
        <v>98740</v>
      </c>
      <c r="G56" s="112">
        <f t="shared" si="4"/>
        <v>3313</v>
      </c>
      <c r="H56" s="99">
        <f>G56+'14'!H56</f>
        <v>27122.320000000007</v>
      </c>
      <c r="I56" s="95"/>
      <c r="J56" s="175">
        <f>H56/DAY(B2)</f>
        <v>1808.154666666667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21788</v>
      </c>
      <c r="F58" s="145">
        <v>22012</v>
      </c>
      <c r="G58" s="112">
        <f t="shared" si="4"/>
        <v>224</v>
      </c>
      <c r="H58" s="99">
        <f>G58+'14'!H58</f>
        <v>3557.7999999999993</v>
      </c>
      <c r="I58" s="95"/>
      <c r="J58" s="175">
        <f>H58/DAY(B2)</f>
        <v>237.18666666666661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7448.76</v>
      </c>
      <c r="H59" s="99">
        <f>G59+'14'!H59</f>
        <v>101459.76999999999</v>
      </c>
      <c r="I59" s="95">
        <f>G7-G60</f>
        <v>3232.5400000000009</v>
      </c>
      <c r="J59" s="175">
        <f>H59/DAY(B2)</f>
        <v>6763.9846666666663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24615.46</v>
      </c>
      <c r="H60" s="99">
        <f>G60+'14'!H60</f>
        <v>384912.2</v>
      </c>
      <c r="I60" s="95">
        <f>G13-G60</f>
        <v>2500.5400000000009</v>
      </c>
      <c r="J60" s="175">
        <f>H60/DAY(B2)</f>
        <v>25660.813333333335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'14'!F62</f>
        <v>281165</v>
      </c>
      <c r="F62" s="122">
        <v>281344</v>
      </c>
      <c r="G62" s="112">
        <f t="shared" ref="G62:G63" si="5">F62-E62</f>
        <v>179</v>
      </c>
      <c r="H62" s="99">
        <f>G62+'14'!H62</f>
        <v>2718</v>
      </c>
      <c r="I62" s="118"/>
      <c r="J62" s="175">
        <f>H62/DAY(B2)</f>
        <v>181.2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'14'!F63</f>
        <v>225201</v>
      </c>
      <c r="F63" s="122">
        <v>225358</v>
      </c>
      <c r="G63" s="112">
        <f t="shared" si="5"/>
        <v>157</v>
      </c>
      <c r="H63" s="99">
        <f>G63+'14'!H63</f>
        <v>2277</v>
      </c>
      <c r="I63" s="118"/>
      <c r="J63" s="175">
        <f>H63/DAY(B2)</f>
        <v>151.80000000000001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'14'!F64</f>
        <v>0</v>
      </c>
      <c r="F64" s="122"/>
      <c r="G64" s="112">
        <f>G62+G63</f>
        <v>336</v>
      </c>
      <c r="H64" s="99">
        <f>G64+'14'!H64</f>
        <v>4995</v>
      </c>
      <c r="I64" s="118"/>
      <c r="J64" s="175">
        <f>H64/DAY(B2)</f>
        <v>333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'14'!F65</f>
        <v>442735</v>
      </c>
      <c r="F65" s="122">
        <v>442848</v>
      </c>
      <c r="G65" s="112">
        <f t="shared" ref="G65:G70" si="6">F65-E65</f>
        <v>113</v>
      </c>
      <c r="H65" s="99">
        <f>G65+'14'!H65</f>
        <v>1717</v>
      </c>
      <c r="I65" s="118"/>
      <c r="J65" s="175">
        <f>H65/DAY(B2)</f>
        <v>114.46666666666667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109302</v>
      </c>
      <c r="F66" s="122">
        <v>109325</v>
      </c>
      <c r="G66" s="112">
        <f t="shared" si="6"/>
        <v>23</v>
      </c>
      <c r="H66" s="99">
        <f>G66+'14'!H66</f>
        <v>255</v>
      </c>
      <c r="I66" s="118"/>
      <c r="J66" s="175">
        <f>H66/DAY(B2)</f>
        <v>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109635</v>
      </c>
      <c r="F67" s="122">
        <v>109715</v>
      </c>
      <c r="G67" s="112">
        <f t="shared" si="6"/>
        <v>80</v>
      </c>
      <c r="H67" s="99">
        <f>G67+'14'!H67</f>
        <v>1122</v>
      </c>
      <c r="I67" s="118"/>
      <c r="J67" s="175">
        <f>H67/DAY(B2)</f>
        <v>74.8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161116</v>
      </c>
      <c r="F68" s="122">
        <v>161136</v>
      </c>
      <c r="G68" s="112">
        <f t="shared" si="6"/>
        <v>20</v>
      </c>
      <c r="H68" s="99">
        <f>G68+'14'!H68</f>
        <v>727</v>
      </c>
      <c r="I68" s="118"/>
      <c r="J68" s="175">
        <f>H68/DAY(B2)</f>
        <v>48.466666666666669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11401</v>
      </c>
      <c r="F69" s="122">
        <v>11410</v>
      </c>
      <c r="G69" s="112">
        <f t="shared" si="6"/>
        <v>9</v>
      </c>
      <c r="H69" s="99">
        <f>G69+'14'!H69</f>
        <v>209</v>
      </c>
      <c r="I69" s="118"/>
      <c r="J69" s="175">
        <f>H69/DAY(B2)</f>
        <v>13.933333333333334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8851</v>
      </c>
      <c r="F70" s="122">
        <v>8859</v>
      </c>
      <c r="G70" s="112">
        <f t="shared" si="6"/>
        <v>8</v>
      </c>
      <c r="H70" s="99">
        <f>G70+'14'!H70</f>
        <v>131</v>
      </c>
      <c r="I70" s="118"/>
      <c r="J70" s="175">
        <f>H70/DAY(B2)</f>
        <v>8.7333333333333325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253</v>
      </c>
      <c r="H71" s="99">
        <f>G71+'14'!H71</f>
        <v>4161</v>
      </c>
      <c r="I71" s="154"/>
      <c r="J71" s="175">
        <f>H71/DAY(B2)</f>
        <v>277.39999999999998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'14'!F74</f>
        <v>923643</v>
      </c>
      <c r="F74" s="123">
        <v>923935</v>
      </c>
      <c r="G74" s="112">
        <f t="shared" ref="G74:G78" si="7">F74-E74</f>
        <v>292</v>
      </c>
      <c r="H74" s="99">
        <f>G74+'14'!H74</f>
        <v>4610.4899999999907</v>
      </c>
      <c r="I74" s="154"/>
      <c r="J74" s="175">
        <f>H74/DAY(B2)</f>
        <v>307.36599999999936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'14'!F75</f>
        <v>73587</v>
      </c>
      <c r="F75" s="123">
        <v>73586.8</v>
      </c>
      <c r="G75" s="112">
        <f t="shared" si="7"/>
        <v>-0.19999999999708962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'14'!F76</f>
        <v>178229</v>
      </c>
      <c r="F76" s="123">
        <v>178340</v>
      </c>
      <c r="G76" s="112">
        <f t="shared" si="7"/>
        <v>111</v>
      </c>
      <c r="H76" s="99">
        <f>G76+'14'!H76</f>
        <v>1753</v>
      </c>
      <c r="I76" s="154"/>
      <c r="J76" s="175">
        <f>H76/DAY(B2)</f>
        <v>116.86666666666666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'14'!F77</f>
        <v>44857</v>
      </c>
      <c r="F77" s="123">
        <v>44912</v>
      </c>
      <c r="G77" s="112">
        <f t="shared" si="7"/>
        <v>55</v>
      </c>
      <c r="H77" s="99">
        <f>G77+'14'!H77</f>
        <v>749</v>
      </c>
      <c r="I77" s="154"/>
      <c r="J77" s="175">
        <f>H77/DAY(B2)</f>
        <v>49.93333333333333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1</v>
      </c>
      <c r="I78" s="118"/>
      <c r="J78" s="175">
        <f>H78/DAY(B2)</f>
        <v>6.6666666666666666E-2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'14'!F79</f>
        <v>0</v>
      </c>
      <c r="F79" s="123"/>
      <c r="G79" s="112">
        <f>G15-SUM(G74:G78)</f>
        <v>540.19999999999709</v>
      </c>
      <c r="H79" s="99">
        <f>G79+'14'!H79</f>
        <v>9158.5100000000093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998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3444</v>
      </c>
      <c r="F85" s="164">
        <v>3461</v>
      </c>
      <c r="G85" s="112">
        <f t="shared" si="8"/>
        <v>17</v>
      </c>
      <c r="H85" s="99">
        <f>G85+'14'!H85</f>
        <v>302.5</v>
      </c>
      <c r="I85" s="594"/>
      <c r="J85" s="175">
        <f>H85/DAY(B2)</f>
        <v>20.166666666666668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43820</v>
      </c>
      <c r="F86" s="164">
        <v>43820</v>
      </c>
      <c r="G86" s="112">
        <f t="shared" si="8"/>
        <v>0</v>
      </c>
      <c r="H86" s="99">
        <f>G86+'14'!H86</f>
        <v>99.599999999998545</v>
      </c>
      <c r="I86" s="594"/>
      <c r="J86" s="175">
        <f>H86/DAY(B2)</f>
        <v>6.6399999999999029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35238</v>
      </c>
      <c r="F87" s="164">
        <v>35262</v>
      </c>
      <c r="G87" s="112">
        <f t="shared" si="8"/>
        <v>24</v>
      </c>
      <c r="H87" s="99">
        <f>G87+'14'!H87</f>
        <v>181.65000000000146</v>
      </c>
      <c r="I87" s="594">
        <f>G84+G85+G86+G87</f>
        <v>41</v>
      </c>
      <c r="J87" s="175">
        <f>H87/DAY(B2)</f>
        <v>12.110000000000097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24135.77</v>
      </c>
      <c r="F88" s="164">
        <v>24146.02</v>
      </c>
      <c r="G88" s="112">
        <f t="shared" si="8"/>
        <v>10.25</v>
      </c>
      <c r="H88" s="99">
        <f>G88+'14'!H88</f>
        <v>36.619999999998981</v>
      </c>
      <c r="I88" s="594"/>
      <c r="J88" s="175">
        <f>H88/DAY(B2)</f>
        <v>2.4413333333332656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26593.15</v>
      </c>
      <c r="F89" s="164">
        <v>26593.15</v>
      </c>
      <c r="G89" s="112">
        <f t="shared" si="8"/>
        <v>0</v>
      </c>
      <c r="H89" s="99">
        <f>G89+'14'!H89</f>
        <v>121.36000000000058</v>
      </c>
      <c r="I89" s="594">
        <f>G88+G89</f>
        <v>10.25</v>
      </c>
      <c r="J89" s="175">
        <f>H89/DAY(B2)</f>
        <v>8.0906666666667046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71707.05</v>
      </c>
      <c r="F90" s="164">
        <v>71717.539999999994</v>
      </c>
      <c r="G90" s="112">
        <f t="shared" si="8"/>
        <v>10.489999999990687</v>
      </c>
      <c r="H90" s="99">
        <f>G90+'14'!H90</f>
        <v>144.42999999999302</v>
      </c>
      <c r="I90" s="594">
        <f>G90</f>
        <v>10.489999999990687</v>
      </c>
      <c r="J90" s="175">
        <f>H90/DAY(B2)</f>
        <v>9.6286666666662004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3910</v>
      </c>
      <c r="F91" s="122">
        <v>3910</v>
      </c>
      <c r="G91" s="112">
        <f t="shared" si="8"/>
        <v>0</v>
      </c>
      <c r="H91" s="99">
        <f>G91+'14'!H91</f>
        <v>0.25</v>
      </c>
      <c r="I91" s="688"/>
      <c r="J91" s="175">
        <f>H91/DAY(B2)</f>
        <v>1.6666666666666666E-2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5897.49</v>
      </c>
      <c r="F92" s="122">
        <v>5907.66</v>
      </c>
      <c r="G92" s="112">
        <f t="shared" si="8"/>
        <v>10.170000000000073</v>
      </c>
      <c r="H92" s="99">
        <f>G92+'14'!H92</f>
        <v>160.35999999999967</v>
      </c>
      <c r="I92" s="705">
        <f>G91+G92</f>
        <v>10.170000000000073</v>
      </c>
      <c r="J92" s="175">
        <f>H92/DAY(B2)</f>
        <v>10.690666666666646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7246</v>
      </c>
      <c r="H94" s="99">
        <f>G94+'14'!H94</f>
        <v>107471.12000000001</v>
      </c>
      <c r="I94" s="118"/>
      <c r="J94" s="175">
        <f>H94/DAY(B2)</f>
        <v>7164.7413333333343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0.26019821890261419</v>
      </c>
      <c r="H95" s="99">
        <f>G95+'14'!H95</f>
        <v>3.8472972668508412</v>
      </c>
      <c r="I95" s="167"/>
      <c r="J95" s="175">
        <f>H95/DAY(B2)</f>
        <v>0.25648648445672273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7049.7</v>
      </c>
      <c r="H96" s="99">
        <f>G96+'14'!H96</f>
        <v>112410.74</v>
      </c>
      <c r="I96" s="118"/>
      <c r="J96" s="175">
        <f>H96/DAY(B2)</f>
        <v>7494.0493333333334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0.25314923872450446</v>
      </c>
      <c r="H97" s="99">
        <f>G97+'14'!H97</f>
        <v>4.0164832385759137</v>
      </c>
      <c r="I97" s="167"/>
      <c r="J97" s="175">
        <f>H97/DAY(B2)</f>
        <v>0.26776554923839424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3266</v>
      </c>
      <c r="H98" s="99">
        <f>G98+'14'!H98</f>
        <v>49267.570000000007</v>
      </c>
      <c r="I98" s="168"/>
      <c r="J98" s="175">
        <f>H98/DAY(B2)</f>
        <v>3284.5046666666672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0.1172795173800632</v>
      </c>
      <c r="H99" s="99">
        <f>G99+'14'!H99</f>
        <v>1.7665845841067211</v>
      </c>
      <c r="I99" s="168"/>
      <c r="J99" s="175">
        <f>H99/DAY(B2)</f>
        <v>0.11777230560711474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2419.7600000000002</v>
      </c>
      <c r="H100" s="99">
        <f>G100+'14'!H100</f>
        <v>37622.390000000007</v>
      </c>
      <c r="I100" s="118"/>
      <c r="J100" s="175">
        <f>H100/DAY(B2)</f>
        <v>2508.159333333334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8.6891697787991967E-2</v>
      </c>
      <c r="H101" s="99">
        <f>G101+'14'!H101</f>
        <v>1.3491970036120164</v>
      </c>
      <c r="I101" s="168"/>
      <c r="J101" s="175">
        <f>H101/DAY(B2)</f>
        <v>8.9946466907467756E-2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2427</v>
      </c>
      <c r="H102" s="99">
        <f>G102+'14'!H102</f>
        <v>36082.199999999983</v>
      </c>
      <c r="I102" s="168"/>
      <c r="J102" s="175">
        <f>H102/DAY(B2)</f>
        <v>2405.4799999999987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8.7151680551565636E-2</v>
      </c>
      <c r="H103" s="99">
        <f>G103+'14'!H103</f>
        <v>1.2904794993336757</v>
      </c>
      <c r="I103" s="118"/>
      <c r="J103" s="175">
        <f>H103/DAY(B2)</f>
        <v>8.6031966622245049E-2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1297</v>
      </c>
      <c r="H104" s="99">
        <f>G104+'14'!H104</f>
        <v>24184.30000000001</v>
      </c>
      <c r="I104" s="118"/>
      <c r="J104" s="175">
        <f>H104/DAY(B2)</f>
        <v>1612.2866666666673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4.6574260270037346E-2</v>
      </c>
      <c r="H105" s="99">
        <f>G105+'14'!H105</f>
        <v>0.86625003298731784</v>
      </c>
      <c r="I105" s="187"/>
      <c r="J105" s="188">
        <f>H105/DAY(B2)</f>
        <v>5.7750002199154521E-2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'14'!F112</f>
        <v>63276</v>
      </c>
      <c r="F112" s="237">
        <v>63357</v>
      </c>
      <c r="G112" s="112">
        <f t="shared" ref="G112:G123" si="9">F112-E112</f>
        <v>81</v>
      </c>
      <c r="H112" s="99">
        <f>G112+'14'!H112</f>
        <v>1213.4700000000012</v>
      </c>
      <c r="I112" s="165"/>
      <c r="J112" s="328">
        <f>H112/DAY(B2)</f>
        <v>80.898000000000081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'14'!F113</f>
        <v>81144</v>
      </c>
      <c r="F113" s="237">
        <v>81627</v>
      </c>
      <c r="G113" s="112">
        <f t="shared" si="9"/>
        <v>483</v>
      </c>
      <c r="H113" s="99">
        <f>G113+'14'!H113</f>
        <v>7371.3999999999942</v>
      </c>
      <c r="I113" s="165"/>
      <c r="J113" s="328">
        <f>H113/DAY(B2)</f>
        <v>491.42666666666628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'14'!F114</f>
        <v>54099</v>
      </c>
      <c r="F114" s="237">
        <v>54354</v>
      </c>
      <c r="G114" s="112">
        <f t="shared" si="9"/>
        <v>255</v>
      </c>
      <c r="H114" s="99">
        <f>G114+'14'!H114</f>
        <v>4091</v>
      </c>
      <c r="I114" s="165"/>
      <c r="J114" s="328">
        <f>H114/DAY(B2)</f>
        <v>272.73333333333335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'14'!F115</f>
        <v>10144</v>
      </c>
      <c r="F115" s="237">
        <v>10181</v>
      </c>
      <c r="G115" s="112">
        <f t="shared" si="9"/>
        <v>37</v>
      </c>
      <c r="H115" s="99">
        <f>G115+'14'!H115</f>
        <v>352.48999999999978</v>
      </c>
      <c r="I115" s="165"/>
      <c r="J115" s="328">
        <f>H115/DAY(B2)</f>
        <v>23.499333333333318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'14'!F116</f>
        <v>28770</v>
      </c>
      <c r="F116" s="417">
        <v>29206</v>
      </c>
      <c r="G116" s="112">
        <f t="shared" si="9"/>
        <v>436</v>
      </c>
      <c r="H116" s="99">
        <f>G116+'14'!H116</f>
        <v>6421.380000000001</v>
      </c>
      <c r="I116" s="165"/>
      <c r="J116" s="328">
        <f>H116/DAY(B2)</f>
        <v>428.09200000000004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'14'!F117</f>
        <v>16328</v>
      </c>
      <c r="F117" s="237">
        <v>16508</v>
      </c>
      <c r="G117" s="112">
        <f t="shared" si="9"/>
        <v>180</v>
      </c>
      <c r="H117" s="99">
        <f>G117+'14'!H117</f>
        <v>2894.8269999999993</v>
      </c>
      <c r="I117" s="165"/>
      <c r="J117" s="328">
        <f>H117/DAY(B2)</f>
        <v>192.98846666666662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'14'!F118</f>
        <v>502</v>
      </c>
      <c r="F118" s="237">
        <v>1030</v>
      </c>
      <c r="G118" s="112">
        <f t="shared" si="9"/>
        <v>528</v>
      </c>
      <c r="H118" s="99">
        <f>G118+'14'!H118</f>
        <v>7978.0300000000279</v>
      </c>
      <c r="I118" s="165"/>
      <c r="J118" s="328">
        <f>H118/DAY(B2)</f>
        <v>531.86866666666856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'14'!F119</f>
        <v>289135</v>
      </c>
      <c r="F119" s="237">
        <v>289576</v>
      </c>
      <c r="G119" s="112">
        <f t="shared" si="9"/>
        <v>441</v>
      </c>
      <c r="H119" s="99">
        <f>G119+'14'!H119</f>
        <v>6478.609999999986</v>
      </c>
      <c r="I119" s="165"/>
      <c r="J119" s="328">
        <f>H119/DAY(B2)</f>
        <v>431.90733333333242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'14'!F120</f>
        <v>392</v>
      </c>
      <c r="F120" s="237">
        <v>819</v>
      </c>
      <c r="G120" s="112">
        <f t="shared" si="9"/>
        <v>427</v>
      </c>
      <c r="H120" s="99">
        <f>G120+'14'!H120</f>
        <v>6165.2400000000052</v>
      </c>
      <c r="I120" s="165"/>
      <c r="J120" s="328">
        <f>H120/DAY(B2)</f>
        <v>411.01600000000036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'14'!F121</f>
        <v>755</v>
      </c>
      <c r="F121" s="237">
        <v>1593</v>
      </c>
      <c r="G121" s="112">
        <f t="shared" si="9"/>
        <v>838</v>
      </c>
      <c r="H121" s="99">
        <f>G121+'14'!H121</f>
        <v>11997.729999999981</v>
      </c>
      <c r="I121" s="165"/>
      <c r="J121" s="328">
        <f>H121/DAY(B2)</f>
        <v>799.84866666666539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'14'!F122</f>
        <v>200</v>
      </c>
      <c r="F122" s="237">
        <v>408</v>
      </c>
      <c r="G122" s="112">
        <f t="shared" si="9"/>
        <v>208</v>
      </c>
      <c r="H122" s="99">
        <f>G122+'14'!H122</f>
        <v>3224.859999999986</v>
      </c>
      <c r="I122" s="165"/>
      <c r="J122" s="328">
        <f>H122/DAY(B2)</f>
        <v>214.99066666666573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'14'!F123</f>
        <v>173047</v>
      </c>
      <c r="F123" s="237">
        <v>173301</v>
      </c>
      <c r="G123" s="112">
        <f t="shared" si="9"/>
        <v>254</v>
      </c>
      <c r="H123" s="99">
        <f>G123+'14'!H123</f>
        <v>3859</v>
      </c>
      <c r="I123" s="165"/>
      <c r="J123" s="328">
        <f>H123/DAY(B2)</f>
        <v>257.26666666666665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4168</v>
      </c>
      <c r="H125" s="156"/>
      <c r="I125" s="327">
        <f>G125-(G39+G53)</f>
        <v>902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'14'!F128</f>
        <v>74939</v>
      </c>
      <c r="F128" s="165">
        <v>75358</v>
      </c>
      <c r="G128" s="112">
        <f t="shared" ref="G128:G134" si="10">F128-E128</f>
        <v>419</v>
      </c>
      <c r="H128" s="99">
        <f>G128+'14'!H128</f>
        <v>6441.7599999999948</v>
      </c>
      <c r="I128" s="165"/>
      <c r="J128" s="328">
        <f>H128/DAY(B2)</f>
        <v>429.45066666666634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46358</v>
      </c>
      <c r="F129" s="165">
        <v>46664</v>
      </c>
      <c r="G129" s="112">
        <f t="shared" si="10"/>
        <v>306</v>
      </c>
      <c r="H129" s="99">
        <f>G129+'14'!H129</f>
        <v>4552.9499999999971</v>
      </c>
      <c r="I129" s="165"/>
      <c r="J129" s="328">
        <f>H129/DAY(B2)</f>
        <v>303.5299999999998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85320</v>
      </c>
      <c r="F130" s="165">
        <v>86010</v>
      </c>
      <c r="G130" s="112">
        <f t="shared" si="10"/>
        <v>690</v>
      </c>
      <c r="H130" s="99">
        <f>G130+'14'!H130</f>
        <v>10348.050000000003</v>
      </c>
      <c r="I130" s="165"/>
      <c r="J130" s="328">
        <f>H130/DAY(B2)</f>
        <v>689.87000000000023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'14'!F131</f>
        <v>27174</v>
      </c>
      <c r="F131" s="158">
        <v>27382</v>
      </c>
      <c r="G131" s="112">
        <f t="shared" si="10"/>
        <v>208</v>
      </c>
      <c r="H131" s="99">
        <f>G131+'14'!H131</f>
        <v>2949.5</v>
      </c>
      <c r="I131" s="165"/>
      <c r="J131" s="328">
        <f>H131/DAY(B2)</f>
        <v>196.63333333333333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'14'!F132</f>
        <v>81707</v>
      </c>
      <c r="F132" s="165">
        <v>82167</v>
      </c>
      <c r="G132" s="112">
        <f t="shared" si="10"/>
        <v>460</v>
      </c>
      <c r="H132" s="99">
        <f>G132+'14'!H132</f>
        <v>6499.5</v>
      </c>
      <c r="I132" s="165"/>
      <c r="J132" s="328">
        <f>H132/DAY(B2)</f>
        <v>433.3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'14'!F133</f>
        <v>158031</v>
      </c>
      <c r="F133" s="165">
        <v>158930</v>
      </c>
      <c r="G133" s="112">
        <f t="shared" si="10"/>
        <v>899</v>
      </c>
      <c r="H133" s="99">
        <f>G133+'14'!H133</f>
        <v>13548.010000000009</v>
      </c>
      <c r="I133" s="165"/>
      <c r="J133" s="328">
        <f>H133/DAY(B2)</f>
        <v>903.2006666666673</v>
      </c>
    </row>
    <row r="134" spans="1:15" s="409" customFormat="1" ht="25.5">
      <c r="A134" s="967" t="s">
        <v>340</v>
      </c>
      <c r="B134" s="968"/>
      <c r="C134" s="969"/>
      <c r="D134" s="233" t="s">
        <v>183</v>
      </c>
      <c r="E134" s="406">
        <f>'14'!F134</f>
        <v>24178</v>
      </c>
      <c r="F134" s="158">
        <v>24418</v>
      </c>
      <c r="G134" s="236">
        <f t="shared" si="10"/>
        <v>240</v>
      </c>
      <c r="H134" s="238">
        <f>G134+'14'!H134</f>
        <v>3625.3199999999997</v>
      </c>
      <c r="I134" s="158"/>
      <c r="J134" s="408">
        <f>H134/DAY(B2)</f>
        <v>241.68799999999999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3222</v>
      </c>
      <c r="H135" s="99">
        <f>G135+'10'!H135</f>
        <v>34930.849999999984</v>
      </c>
      <c r="I135" s="327">
        <f>G135-(G35+G49)</f>
        <v>-769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'14'!F138</f>
        <v>876363</v>
      </c>
      <c r="F138" s="147">
        <v>876485</v>
      </c>
      <c r="G138" s="112">
        <f t="shared" ref="G138:G152" si="11">F138-E138</f>
        <v>122</v>
      </c>
      <c r="H138" s="99">
        <f>G138+'14'!H138</f>
        <v>2484</v>
      </c>
      <c r="I138" s="118"/>
      <c r="J138" s="328">
        <f>H138/DAY(B2)</f>
        <v>165.6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'14'!F139</f>
        <v>892452</v>
      </c>
      <c r="F139" s="148">
        <v>892600</v>
      </c>
      <c r="G139" s="112">
        <f t="shared" si="11"/>
        <v>148</v>
      </c>
      <c r="H139" s="99">
        <f>G139+'14'!H139</f>
        <v>2282</v>
      </c>
      <c r="I139" s="118"/>
      <c r="J139" s="328">
        <f>H139/DAY(B2)</f>
        <v>152.13333333333333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'14'!F140</f>
        <v>89008.6</v>
      </c>
      <c r="F140" s="149">
        <v>89008.6</v>
      </c>
      <c r="G140" s="112">
        <f t="shared" si="11"/>
        <v>0</v>
      </c>
      <c r="H140" s="99">
        <f>G140+'14'!H140</f>
        <v>18.600000000005821</v>
      </c>
      <c r="I140" s="118"/>
      <c r="J140" s="328">
        <f>H140/DAY(B2)</f>
        <v>1.2400000000003881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'14'!F141</f>
        <v>68548</v>
      </c>
      <c r="F141" s="149">
        <v>68750</v>
      </c>
      <c r="G141" s="112">
        <f t="shared" si="11"/>
        <v>202</v>
      </c>
      <c r="H141" s="99">
        <f>G141+'14'!H141</f>
        <v>2966.4700000000012</v>
      </c>
      <c r="I141" s="118"/>
      <c r="J141" s="328">
        <f>H141/DAY(B2)</f>
        <v>197.76466666666676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'14'!F142</f>
        <v>26458</v>
      </c>
      <c r="F142" s="148">
        <v>26514</v>
      </c>
      <c r="G142" s="112">
        <f t="shared" si="11"/>
        <v>56</v>
      </c>
      <c r="H142" s="99">
        <f>G142+'14'!H142</f>
        <v>1017.5999999999985</v>
      </c>
      <c r="I142" s="140"/>
      <c r="J142" s="328">
        <f>H142/DAY(B2)</f>
        <v>67.839999999999904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'14'!F143</f>
        <v>5950</v>
      </c>
      <c r="F143" s="149">
        <v>5980</v>
      </c>
      <c r="G143" s="112">
        <f t="shared" si="11"/>
        <v>30</v>
      </c>
      <c r="H143" s="99">
        <f>G143+'14'!H143</f>
        <v>419.28999999999996</v>
      </c>
      <c r="I143" s="140"/>
      <c r="J143" s="328">
        <f>H143/DAY(B2)</f>
        <v>27.952666666666666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'14'!F144</f>
        <v>893376</v>
      </c>
      <c r="F144" s="149">
        <v>893634</v>
      </c>
      <c r="G144" s="112">
        <f t="shared" si="11"/>
        <v>258</v>
      </c>
      <c r="H144" s="99">
        <f>G144+'14'!H144</f>
        <v>3800</v>
      </c>
      <c r="I144" s="140"/>
      <c r="J144" s="328">
        <f>H144/DAY(B2)</f>
        <v>253.33333333333334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'14'!F145</f>
        <v>5584</v>
      </c>
      <c r="F145" s="148">
        <v>5587</v>
      </c>
      <c r="G145" s="112">
        <f t="shared" si="11"/>
        <v>3</v>
      </c>
      <c r="H145" s="99">
        <f>G145+'14'!H145</f>
        <v>30.600000000000364</v>
      </c>
      <c r="I145" s="140"/>
      <c r="J145" s="328">
        <f>H145/DAY(B2)</f>
        <v>2.0400000000000245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'14'!F146</f>
        <v>771332</v>
      </c>
      <c r="F146" s="148">
        <v>771823</v>
      </c>
      <c r="G146" s="112">
        <f t="shared" si="11"/>
        <v>491</v>
      </c>
      <c r="H146" s="99">
        <f>G146+'14'!H146</f>
        <v>7497</v>
      </c>
      <c r="I146" s="140"/>
      <c r="J146" s="328">
        <f>H146/DAY(B2)</f>
        <v>499.8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'14'!F147</f>
        <v>656348</v>
      </c>
      <c r="F147" s="148">
        <v>656782</v>
      </c>
      <c r="G147" s="112">
        <f t="shared" si="11"/>
        <v>434</v>
      </c>
      <c r="H147" s="99">
        <f>G147+'14'!H147</f>
        <v>6598</v>
      </c>
      <c r="I147" s="140"/>
      <c r="J147" s="328">
        <f>H147/DAY(B2)</f>
        <v>439.86666666666667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'14'!F148</f>
        <v>713944</v>
      </c>
      <c r="F148" s="150">
        <v>714288</v>
      </c>
      <c r="G148" s="112">
        <f t="shared" si="11"/>
        <v>344</v>
      </c>
      <c r="H148" s="99">
        <f>G148+'14'!H148</f>
        <v>5423.3199999999488</v>
      </c>
      <c r="I148" s="124"/>
      <c r="J148" s="328">
        <f>H148/DAY(B2)</f>
        <v>361.55466666666325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'14'!F149</f>
        <v>72964</v>
      </c>
      <c r="F149" s="416">
        <v>73520</v>
      </c>
      <c r="G149" s="112">
        <f t="shared" si="11"/>
        <v>556</v>
      </c>
      <c r="H149" s="99">
        <f>G149+'14'!H149</f>
        <v>10296.199999999997</v>
      </c>
      <c r="I149" s="119"/>
      <c r="J149" s="328">
        <f>H149/DAY(B2)</f>
        <v>686.41333333333318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'14'!F150</f>
        <v>27130</v>
      </c>
      <c r="F150" s="233">
        <v>27366</v>
      </c>
      <c r="G150" s="112">
        <f t="shared" si="11"/>
        <v>236</v>
      </c>
      <c r="H150" s="99">
        <f>G150+'14'!H150</f>
        <v>3410.2099999999991</v>
      </c>
      <c r="I150" s="119"/>
      <c r="J150" s="328">
        <f>H150/DAY(B2)</f>
        <v>227.34733333333327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'14'!F151</f>
        <v>104569</v>
      </c>
      <c r="F151" s="233">
        <v>104856</v>
      </c>
      <c r="G151" s="112">
        <f t="shared" si="11"/>
        <v>287</v>
      </c>
      <c r="H151" s="99">
        <f>G151+'14'!H151</f>
        <v>4245</v>
      </c>
      <c r="I151" s="119"/>
      <c r="J151" s="328">
        <f>H151/DAY(B2)</f>
        <v>283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'14'!F152</f>
        <v>9756</v>
      </c>
      <c r="F152" s="233">
        <v>9964</v>
      </c>
      <c r="G152" s="112">
        <f t="shared" si="11"/>
        <v>208</v>
      </c>
      <c r="H152" s="99">
        <f>G152+'14'!H152</f>
        <v>1894.9399999999996</v>
      </c>
      <c r="I152" s="119"/>
      <c r="J152" s="328">
        <f>H152/DAY(B2)</f>
        <v>126.32933333333331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3375</v>
      </c>
      <c r="H153" s="363"/>
      <c r="I153" s="119">
        <f>G153-(G38+G52)</f>
        <v>955.23999999999978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'14'!F155</f>
        <v>81945</v>
      </c>
      <c r="F155" s="157">
        <v>82592</v>
      </c>
      <c r="G155" s="112">
        <f t="shared" ref="G155:G158" si="12">F155-E155</f>
        <v>647</v>
      </c>
      <c r="H155" s="99">
        <f>G155+'14'!H155</f>
        <v>9821.5</v>
      </c>
      <c r="I155" s="364"/>
      <c r="J155" s="328">
        <f>H155/DAY(B2)</f>
        <v>654.76666666666665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'14'!F156</f>
        <v>6805</v>
      </c>
      <c r="F156" s="157">
        <v>6872</v>
      </c>
      <c r="G156" s="112">
        <f t="shared" si="12"/>
        <v>67</v>
      </c>
      <c r="H156" s="99">
        <f>G156+'14'!H156</f>
        <v>814.75</v>
      </c>
      <c r="I156" s="165"/>
      <c r="J156" s="328">
        <f>H156/DAY(B2)</f>
        <v>54.31666666666667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'14'!F157</f>
        <v>11779</v>
      </c>
      <c r="F157" s="157">
        <v>11877</v>
      </c>
      <c r="G157" s="112">
        <f t="shared" si="12"/>
        <v>98</v>
      </c>
      <c r="H157" s="99">
        <f>G157+'14'!H157</f>
        <v>664.05999999999949</v>
      </c>
      <c r="I157" s="165"/>
      <c r="J157" s="328">
        <f>H157/DAY(B2)</f>
        <v>44.270666666666635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'14'!F158</f>
        <v>93.35</v>
      </c>
      <c r="F158" s="157">
        <v>93.94</v>
      </c>
      <c r="G158" s="112">
        <f t="shared" si="12"/>
        <v>0.59000000000000341</v>
      </c>
      <c r="H158" s="99">
        <f>G158+'14'!H158</f>
        <v>1.9399999999999977</v>
      </c>
      <c r="I158" s="165"/>
      <c r="J158" s="328">
        <f>H158/DAY(B2)</f>
        <v>0.12933333333333319</v>
      </c>
    </row>
    <row r="159" spans="1:10" ht="25.5">
      <c r="A159" s="957"/>
      <c r="B159" s="958"/>
      <c r="C159" s="959"/>
      <c r="D159" s="117"/>
      <c r="E159" s="95"/>
      <c r="F159" s="165"/>
      <c r="G159" s="362">
        <f>SUM(G155:G158)</f>
        <v>812.59</v>
      </c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474026</v>
      </c>
      <c r="F161" s="235">
        <v>474072</v>
      </c>
      <c r="G161" s="238">
        <f t="shared" ref="G161:G165" si="13">F161-E161</f>
        <v>46</v>
      </c>
      <c r="H161" s="99">
        <f>G161+'14'!H161</f>
        <v>231.27000000001863</v>
      </c>
      <c r="I161" s="236"/>
      <c r="J161" s="239">
        <f>H161/DAY(B2)</f>
        <v>15.418000000001241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90953</v>
      </c>
      <c r="F162" s="235">
        <v>91005</v>
      </c>
      <c r="G162" s="238">
        <f t="shared" si="13"/>
        <v>52</v>
      </c>
      <c r="H162" s="99">
        <f>G162+'14'!H162</f>
        <v>552.10000000000582</v>
      </c>
      <c r="I162" s="236"/>
      <c r="J162" s="239">
        <f>H162/DAY(B2)</f>
        <v>36.806666666667056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89475</v>
      </c>
      <c r="F163" s="235">
        <v>89658</v>
      </c>
      <c r="G163" s="238">
        <f t="shared" si="13"/>
        <v>183</v>
      </c>
      <c r="H163" s="99">
        <f>G163+'14'!H163</f>
        <v>2579.1999999999971</v>
      </c>
      <c r="I163" s="236"/>
      <c r="J163" s="239">
        <f>H163/DAY(B2)</f>
        <v>171.94666666666646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5003</v>
      </c>
      <c r="F164" s="235">
        <v>5014</v>
      </c>
      <c r="G164" s="238">
        <f t="shared" si="13"/>
        <v>11</v>
      </c>
      <c r="H164" s="99">
        <f>G164+'14'!H164</f>
        <v>201.60000000000036</v>
      </c>
      <c r="I164" s="236"/>
      <c r="J164" s="239">
        <f>H164/DAY(B2)</f>
        <v>13.440000000000024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30459</v>
      </c>
      <c r="F165" s="235">
        <v>30470</v>
      </c>
      <c r="G165" s="238">
        <f t="shared" si="13"/>
        <v>11</v>
      </c>
      <c r="H165" s="99">
        <f>G165+'14'!H165</f>
        <v>114.4900000000016</v>
      </c>
      <c r="I165" s="236"/>
      <c r="J165" s="239">
        <f>H165/DAY(B2)</f>
        <v>7.6326666666667737</v>
      </c>
    </row>
    <row r="166" spans="1:10" ht="26.25">
      <c r="A166" s="938"/>
      <c r="B166" s="938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1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6" t="s">
        <v>209</v>
      </c>
      <c r="B173" s="897"/>
      <c r="C173" s="333"/>
      <c r="D173" s="228" t="s">
        <v>142</v>
      </c>
      <c r="E173" s="95">
        <f>'14'!F173</f>
        <v>8265</v>
      </c>
      <c r="F173" s="155">
        <v>8275</v>
      </c>
      <c r="G173" s="155">
        <f>F173-E173</f>
        <v>10</v>
      </c>
      <c r="H173" s="99">
        <f>G173+'14'!H173</f>
        <v>11</v>
      </c>
      <c r="I173" s="155"/>
      <c r="J173" s="178">
        <f>H173/DAY(B2)</f>
        <v>0.73333333333333328</v>
      </c>
    </row>
    <row r="174" spans="1:10" ht="21.75" customHeight="1">
      <c r="A174" s="896" t="s">
        <v>75</v>
      </c>
      <c r="B174" s="897"/>
      <c r="C174" s="333"/>
      <c r="D174" s="228" t="s">
        <v>142</v>
      </c>
      <c r="E174" s="95">
        <f>'14'!F174</f>
        <v>39670</v>
      </c>
      <c r="F174" s="157">
        <v>39685</v>
      </c>
      <c r="G174" s="155">
        <f t="shared" ref="G174:G175" si="14">F174-E174</f>
        <v>15</v>
      </c>
      <c r="H174" s="99">
        <f>G174+'14'!H174</f>
        <v>223</v>
      </c>
      <c r="I174" s="155"/>
      <c r="J174" s="178">
        <f>H174/DAY(B2)</f>
        <v>14.866666666666667</v>
      </c>
    </row>
    <row r="175" spans="1:10" ht="21.75" customHeight="1">
      <c r="A175" s="896" t="s">
        <v>76</v>
      </c>
      <c r="B175" s="901"/>
      <c r="C175" s="897"/>
      <c r="D175" s="228" t="s">
        <v>142</v>
      </c>
      <c r="E175" s="95">
        <f>'14'!F175</f>
        <v>22690</v>
      </c>
      <c r="F175" s="155">
        <v>22704</v>
      </c>
      <c r="G175" s="155">
        <f t="shared" si="14"/>
        <v>14</v>
      </c>
      <c r="H175" s="99">
        <f>G175+'14'!H175</f>
        <v>182</v>
      </c>
      <c r="I175" s="155"/>
      <c r="J175" s="178">
        <f>H175/DAY(B2)</f>
        <v>12.133333333333333</v>
      </c>
    </row>
    <row r="176" spans="1:10" ht="21.75" customHeight="1">
      <c r="A176" s="935" t="s">
        <v>196</v>
      </c>
      <c r="B176" s="936"/>
      <c r="C176" s="333"/>
      <c r="D176" s="228" t="s">
        <v>142</v>
      </c>
      <c r="E176" s="95"/>
      <c r="F176" s="155"/>
      <c r="G176" s="155">
        <f>SUM(G173:G175)</f>
        <v>39</v>
      </c>
      <c r="H176" s="99">
        <f>G176+'14'!H176</f>
        <v>416</v>
      </c>
      <c r="I176" s="155"/>
      <c r="J176" s="178">
        <f>H176/DAY(B2)</f>
        <v>27.733333333333334</v>
      </c>
    </row>
    <row r="177" spans="1:10" ht="21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6" t="s">
        <v>210</v>
      </c>
      <c r="B178" s="897"/>
      <c r="C178" s="333"/>
      <c r="D178" s="228" t="s">
        <v>142</v>
      </c>
      <c r="E178" s="95">
        <f>'14'!F178</f>
        <v>86957</v>
      </c>
      <c r="F178" s="155">
        <v>87063</v>
      </c>
      <c r="G178" s="155">
        <f>F178-E178</f>
        <v>106</v>
      </c>
      <c r="H178" s="99">
        <f>G178+'14'!H178</f>
        <v>1447</v>
      </c>
      <c r="I178" s="155"/>
      <c r="J178" s="178">
        <f>H178/DAY(B2)</f>
        <v>96.466666666666669</v>
      </c>
    </row>
    <row r="179" spans="1:10" ht="24" customHeight="1">
      <c r="A179" s="896" t="s">
        <v>211</v>
      </c>
      <c r="B179" s="897"/>
      <c r="C179" s="333"/>
      <c r="D179" s="228" t="s">
        <v>142</v>
      </c>
      <c r="E179" s="95">
        <f>'14'!F179</f>
        <v>35710</v>
      </c>
      <c r="F179" s="155">
        <v>35710</v>
      </c>
      <c r="G179" s="155">
        <f t="shared" ref="G179:G180" si="15">F179-E179</f>
        <v>0</v>
      </c>
      <c r="H179" s="99">
        <f>G179+'14'!H179</f>
        <v>96</v>
      </c>
      <c r="I179" s="155"/>
      <c r="J179" s="178">
        <f>H179/DAY(B2)</f>
        <v>6.4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'14'!F180</f>
        <v>6250</v>
      </c>
      <c r="F180" s="155">
        <v>6267</v>
      </c>
      <c r="G180" s="155">
        <f t="shared" si="15"/>
        <v>17</v>
      </c>
      <c r="H180" s="99">
        <f>G180+'14'!H180</f>
        <v>134</v>
      </c>
      <c r="I180" s="155"/>
      <c r="J180" s="178">
        <f>H180/DAY(B2)</f>
        <v>8.9333333333333336</v>
      </c>
    </row>
    <row r="181" spans="1:10" ht="25.5">
      <c r="A181" s="942" t="s">
        <v>108</v>
      </c>
      <c r="B181" s="943"/>
      <c r="C181" s="333"/>
      <c r="D181" s="228" t="s">
        <v>142</v>
      </c>
      <c r="E181" s="95"/>
      <c r="F181" s="155"/>
      <c r="G181" s="155">
        <f>SUM(G178:G180)</f>
        <v>123</v>
      </c>
      <c r="H181" s="99">
        <f>G181+'14'!H181</f>
        <v>1677</v>
      </c>
      <c r="I181" s="155"/>
      <c r="J181" s="178">
        <f>H181/DAY(B2)</f>
        <v>111.8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'14'!F183</f>
        <v>16381</v>
      </c>
      <c r="F183" s="157">
        <v>16393</v>
      </c>
      <c r="G183" s="157">
        <f>F183-E183</f>
        <v>12</v>
      </c>
      <c r="H183" s="99">
        <f>G183+'14'!H183</f>
        <v>251</v>
      </c>
      <c r="I183" s="155"/>
      <c r="J183" s="178">
        <f>H183/DAY(B2)</f>
        <v>16.733333333333334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'14'!F184</f>
        <v>11149</v>
      </c>
      <c r="F184" s="157">
        <v>11156</v>
      </c>
      <c r="G184" s="157">
        <f t="shared" ref="G184:G185" si="16">F184-E184</f>
        <v>7</v>
      </c>
      <c r="H184" s="99">
        <f>G184+'14'!H184</f>
        <v>107</v>
      </c>
      <c r="I184" s="155"/>
      <c r="J184" s="178">
        <f>H184/DAY(B2)</f>
        <v>7.1333333333333337</v>
      </c>
    </row>
    <row r="185" spans="1:10" ht="32.25" customHeight="1">
      <c r="A185" s="896" t="s">
        <v>216</v>
      </c>
      <c r="B185" s="89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334"/>
      <c r="D186" s="228" t="s">
        <v>142</v>
      </c>
      <c r="E186" s="95"/>
      <c r="F186" s="157"/>
      <c r="G186" s="157">
        <f>SUM(G183:G185)</f>
        <v>19</v>
      </c>
      <c r="H186" s="99">
        <f>G186+'14'!H186</f>
        <v>358</v>
      </c>
      <c r="I186" s="157"/>
      <c r="J186" s="178">
        <f>H186/DAY(B2)</f>
        <v>23.866666666666667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228</v>
      </c>
      <c r="H187" s="99">
        <f>G187+'14'!H187</f>
        <v>3432</v>
      </c>
      <c r="I187" s="158"/>
      <c r="J187" s="179">
        <f>H187/DAY(B2)</f>
        <v>228.8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233</v>
      </c>
      <c r="H188" s="99">
        <f>G188+'14'!H188</f>
        <v>233</v>
      </c>
      <c r="I188" s="158"/>
      <c r="J188" s="179">
        <f>H188/DAY(B2)</f>
        <v>15.533333333333333</v>
      </c>
    </row>
    <row r="189" spans="1:10" ht="27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123</v>
      </c>
      <c r="H189" s="99">
        <f>G189+'14'!H189</f>
        <v>1677</v>
      </c>
      <c r="I189" s="158"/>
      <c r="J189" s="179">
        <f>H189/DAY(B2)</f>
        <v>111.8</v>
      </c>
    </row>
    <row r="190" spans="1:10" ht="27" customHeight="1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03" zoomScale="55" zoomScaleNormal="90" zoomScaleSheetLayoutView="55" workbookViewId="0">
      <selection activeCell="F31" sqref="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6" s="57" customFormat="1" ht="23.25">
      <c r="A2" s="191" t="s">
        <v>355</v>
      </c>
      <c r="B2" s="262">
        <v>44667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80" t="s">
        <v>128</v>
      </c>
      <c r="B6" s="881"/>
      <c r="C6" s="882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405860</v>
      </c>
      <c r="F7" s="95">
        <v>432589</v>
      </c>
      <c r="G7" s="112">
        <f>F7-E7</f>
        <v>26729</v>
      </c>
      <c r="H7" s="99">
        <f>G7+'15'!H7</f>
        <v>445866</v>
      </c>
      <c r="I7" s="113">
        <f>'1'!I7</f>
        <v>12000</v>
      </c>
      <c r="J7" s="175">
        <f>H7/DAY(B2)</f>
        <v>27866.625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485536</v>
      </c>
      <c r="F8" s="114">
        <v>512756</v>
      </c>
      <c r="G8" s="115">
        <f>F8-E8</f>
        <v>27220</v>
      </c>
      <c r="H8" s="99">
        <f>G8+'15'!H8</f>
        <v>454709.78</v>
      </c>
      <c r="I8" s="116"/>
      <c r="J8" s="175">
        <f>H8/DAY(B2)</f>
        <v>28419.361250000002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1564081</v>
      </c>
      <c r="F9" s="470">
        <v>1584287</v>
      </c>
      <c r="G9" s="112">
        <f>F9-E9</f>
        <v>20206</v>
      </c>
      <c r="H9" s="99">
        <f>G9+'15'!H9</f>
        <v>316612</v>
      </c>
      <c r="I9" s="124">
        <f>I7-J7</f>
        <v>-15866.625</v>
      </c>
      <c r="J9" s="175">
        <f>H9/DAY(B2)</f>
        <v>19788.25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529358</v>
      </c>
      <c r="F10" s="353">
        <v>535105</v>
      </c>
      <c r="G10" s="112">
        <f t="shared" ref="G10:G12" si="0">F10-E10</f>
        <v>5747</v>
      </c>
      <c r="H10" s="99">
        <f>G10+'15'!H10</f>
        <v>116829.53000000003</v>
      </c>
      <c r="I10" s="282"/>
      <c r="J10" s="175">
        <f>H10/DAY(B2)</f>
        <v>7301.8456250000017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25953</v>
      </c>
      <c r="H13" s="99">
        <f>G13+'15'!H13</f>
        <v>433442</v>
      </c>
      <c r="I13" s="120">
        <f>G7-G13</f>
        <v>776</v>
      </c>
      <c r="J13" s="175">
        <f>H13/DAY(B2)</f>
        <v>27090.125</v>
      </c>
      <c r="K13" s="79"/>
      <c r="L13" s="66"/>
      <c r="N13" s="87"/>
      <c r="O13" s="71"/>
    </row>
    <row r="14" spans="1:16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123">
        <f>'15'!F15</f>
        <v>1987209</v>
      </c>
      <c r="F15" s="470">
        <v>1988362</v>
      </c>
      <c r="G15" s="112">
        <f>(F15-E15)</f>
        <v>1153</v>
      </c>
      <c r="H15" s="99">
        <f>G15+'15'!H15</f>
        <v>17425</v>
      </c>
      <c r="I15" s="113">
        <f>'1'!I15</f>
        <v>800</v>
      </c>
      <c r="J15" s="175">
        <f>H15/DAY(B2)</f>
        <v>1089.0625</v>
      </c>
      <c r="K15" s="79"/>
      <c r="L15" s="66"/>
      <c r="N15" s="87">
        <v>735868</v>
      </c>
      <c r="O15" s="71">
        <v>719798</v>
      </c>
      <c r="P15" s="427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-289.0625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'15'!F18</f>
        <v>22</v>
      </c>
      <c r="F18" s="164">
        <v>31</v>
      </c>
      <c r="G18" s="119">
        <f>F18*10</f>
        <v>310</v>
      </c>
      <c r="H18" s="99">
        <f>G18+'15'!H18</f>
        <v>4070</v>
      </c>
      <c r="I18" s="113">
        <f>'1'!I18</f>
        <v>65</v>
      </c>
      <c r="J18" s="175">
        <f>H18/DAY(B2)</f>
        <v>254.375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'15'!F19</f>
        <v>157703</v>
      </c>
      <c r="F19" s="122">
        <v>157755</v>
      </c>
      <c r="G19" s="112">
        <f t="shared" ref="G19" si="1">F19-E19</f>
        <v>52</v>
      </c>
      <c r="H19" s="99">
        <f>G19+'15'!H19</f>
        <v>766</v>
      </c>
      <c r="I19" s="335"/>
      <c r="J19" s="175">
        <f>H19/DAY(B2)</f>
        <v>47.875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G20+'15'!H20</f>
        <v>4836</v>
      </c>
      <c r="I20" s="336">
        <f>I18-J20</f>
        <v>-237.25</v>
      </c>
      <c r="J20" s="175">
        <f>H20/DAY(B2)</f>
        <v>302.25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27220</v>
      </c>
      <c r="F27" s="136">
        <v>9</v>
      </c>
      <c r="G27" s="137">
        <f>E27*F27</f>
        <v>244980</v>
      </c>
      <c r="H27" s="99">
        <f>G27+'15'!H27</f>
        <v>4092388.02</v>
      </c>
      <c r="I27" s="138"/>
      <c r="J27" s="175">
        <f>H27/DAY(B2)</f>
        <v>255774.25125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1153</v>
      </c>
      <c r="F28" s="136">
        <v>70</v>
      </c>
      <c r="G28" s="137">
        <f>E28*F28</f>
        <v>80710</v>
      </c>
      <c r="H28" s="99">
        <f>G28+'15'!H28</f>
        <v>1160475.4599999995</v>
      </c>
      <c r="I28" s="140"/>
      <c r="J28" s="175">
        <f>H28/DAY(B2)</f>
        <v>72529.716249999969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114996</v>
      </c>
      <c r="I30" s="140"/>
      <c r="J30" s="175">
        <f>H30/DAY(B2)</f>
        <v>7187.25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G31+'15'!H31</f>
        <v>325600</v>
      </c>
      <c r="I31" s="140"/>
      <c r="J31" s="175">
        <f>H31/DAY(B2)</f>
        <v>20350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358342</v>
      </c>
      <c r="H32" s="99">
        <f>G32+'15'!H32</f>
        <v>5693459.4799999995</v>
      </c>
      <c r="I32" s="144"/>
      <c r="J32" s="175">
        <f>H32/DAY(B2)</f>
        <v>355841.21749999997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170634</v>
      </c>
      <c r="F35" s="117">
        <v>172784</v>
      </c>
      <c r="G35" s="112">
        <f t="shared" ref="G35:G46" si="3">F35-E35</f>
        <v>2150</v>
      </c>
      <c r="H35" s="99">
        <f>G35+'15'!H35</f>
        <v>34504.790000000008</v>
      </c>
      <c r="I35" s="95"/>
      <c r="J35" s="175">
        <f>H35/DAY(B2)</f>
        <v>2156.5493750000005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115342</v>
      </c>
      <c r="F36" s="117">
        <v>116195</v>
      </c>
      <c r="G36" s="112">
        <f t="shared" si="3"/>
        <v>853</v>
      </c>
      <c r="H36" s="99">
        <f>G36+'15'!H36</f>
        <v>15674.339999999997</v>
      </c>
      <c r="I36" s="95"/>
      <c r="J36" s="175">
        <f>H36/DAY(B2)</f>
        <v>979.64624999999978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157109</v>
      </c>
      <c r="F37" s="117">
        <v>158712</v>
      </c>
      <c r="G37" s="112">
        <f t="shared" si="3"/>
        <v>1603</v>
      </c>
      <c r="H37" s="99">
        <f>G37+'15'!H37</f>
        <v>25786.98000000001</v>
      </c>
      <c r="I37" s="95"/>
      <c r="J37" s="175">
        <f>H37/DAY(B2)</f>
        <v>1611.6862500000007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207732</v>
      </c>
      <c r="F38" s="95">
        <v>210071</v>
      </c>
      <c r="G38" s="112">
        <f t="shared" si="3"/>
        <v>2339</v>
      </c>
      <c r="H38" s="99">
        <f>G38+'15'!H38</f>
        <v>39961.630000000005</v>
      </c>
      <c r="I38" s="95"/>
      <c r="J38" s="175">
        <f>H38/DAY(B2)</f>
        <v>2497.6018750000003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293421</v>
      </c>
      <c r="F39" s="117">
        <v>296689</v>
      </c>
      <c r="G39" s="112">
        <f t="shared" si="3"/>
        <v>3268</v>
      </c>
      <c r="H39" s="99">
        <f>G39+'15'!H39</f>
        <v>52535.570000000007</v>
      </c>
      <c r="I39" s="95"/>
      <c r="J39" s="175">
        <f>H39/DAY(B2)</f>
        <v>3283.4731250000004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56123</v>
      </c>
      <c r="F40" s="117">
        <v>56487</v>
      </c>
      <c r="G40" s="112">
        <f t="shared" si="3"/>
        <v>364</v>
      </c>
      <c r="H40" s="99">
        <f>G40+'15'!H40</f>
        <v>7335.1399999999994</v>
      </c>
      <c r="I40" s="95"/>
      <c r="J40" s="175">
        <f>H40/DAY(B2)</f>
        <v>458.44624999999996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62.7</v>
      </c>
      <c r="F41" s="117">
        <v>62.7</v>
      </c>
      <c r="G41" s="112">
        <f t="shared" si="3"/>
        <v>0</v>
      </c>
      <c r="H41" s="99">
        <f>G41+'15'!H41</f>
        <v>-0.29999999999999716</v>
      </c>
      <c r="I41" s="95"/>
      <c r="J41" s="175">
        <f>H41/DAY(B2)</f>
        <v>-1.8749999999999822E-2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351863</v>
      </c>
      <c r="F42" s="117">
        <v>357354</v>
      </c>
      <c r="G42" s="112">
        <f t="shared" si="3"/>
        <v>5491</v>
      </c>
      <c r="H42" s="99">
        <f>G42+'15'!H42</f>
        <v>75996.75</v>
      </c>
      <c r="I42" s="95"/>
      <c r="J42" s="175">
        <f>H42/DAY(B2)</f>
        <v>4749.796875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306480</v>
      </c>
      <c r="F43" s="117">
        <v>309671</v>
      </c>
      <c r="G43" s="112">
        <f t="shared" si="3"/>
        <v>3191</v>
      </c>
      <c r="H43" s="99">
        <f>G43+'15'!H43</f>
        <v>50916.53</v>
      </c>
      <c r="I43" s="95"/>
      <c r="J43" s="175">
        <f>H43/DAY(B2)</f>
        <v>3182.2831249999999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19259</v>
      </c>
      <c r="H47" s="99">
        <f>G47+'15'!H47</f>
        <v>302711.43</v>
      </c>
      <c r="I47" s="95"/>
      <c r="J47" s="175">
        <f>H47/DAY(B2)</f>
        <v>18919.464375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137893</v>
      </c>
      <c r="F49" s="117">
        <v>139739</v>
      </c>
      <c r="G49" s="112">
        <f t="shared" ref="G49:G58" si="4">F49-E49</f>
        <v>1846</v>
      </c>
      <c r="H49" s="99">
        <f>G49+'15'!H49</f>
        <v>29236.800000000003</v>
      </c>
      <c r="I49" s="95"/>
      <c r="J49" s="175">
        <f>H49/DAY(B2)</f>
        <v>1827.3000000000002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152471</v>
      </c>
      <c r="F50" s="117">
        <v>153541</v>
      </c>
      <c r="G50" s="112">
        <f t="shared" si="4"/>
        <v>1070</v>
      </c>
      <c r="H50" s="99">
        <f>G50+'15'!H50</f>
        <v>22330.859999999986</v>
      </c>
      <c r="I50" s="95"/>
      <c r="J50" s="175">
        <f>H50/DAY(B2)</f>
        <v>1395.6787499999991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43016</v>
      </c>
      <c r="F54" s="410">
        <v>43486</v>
      </c>
      <c r="G54" s="236">
        <f t="shared" si="4"/>
        <v>470</v>
      </c>
      <c r="H54" s="99">
        <f>G54+'15'!H54</f>
        <v>7814.9400000000023</v>
      </c>
      <c r="I54" s="95"/>
      <c r="J54" s="175">
        <f>H54/DAY(B2)</f>
        <v>488.43375000000015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127264</v>
      </c>
      <c r="F55" s="410">
        <v>127264</v>
      </c>
      <c r="G55" s="236">
        <f t="shared" si="4"/>
        <v>0</v>
      </c>
      <c r="H55" s="99">
        <f>G55+'15'!H55</f>
        <v>14782.970000000001</v>
      </c>
      <c r="I55" s="95"/>
      <c r="J55" s="175">
        <f>H55/DAY(B2)</f>
        <v>923.93562500000007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98740</v>
      </c>
      <c r="F56" s="117">
        <v>100576</v>
      </c>
      <c r="G56" s="112">
        <f t="shared" si="4"/>
        <v>1836</v>
      </c>
      <c r="H56" s="99">
        <f>G56+'15'!H56</f>
        <v>28958.320000000007</v>
      </c>
      <c r="I56" s="95"/>
      <c r="J56" s="175">
        <f>H56/DAY(B2)</f>
        <v>1809.8950000000004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22012</v>
      </c>
      <c r="F58" s="117">
        <v>22248</v>
      </c>
      <c r="G58" s="112">
        <f t="shared" si="4"/>
        <v>236</v>
      </c>
      <c r="H58" s="99">
        <f>G58+'15'!H58</f>
        <v>3793.7999999999993</v>
      </c>
      <c r="I58" s="95"/>
      <c r="J58" s="175">
        <f>H58/DAY(B2)</f>
        <v>237.11249999999995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5458</v>
      </c>
      <c r="H59" s="99">
        <f>G59+'15'!H59</f>
        <v>106917.76999999999</v>
      </c>
      <c r="I59" s="95">
        <f>G7-G60</f>
        <v>2012</v>
      </c>
      <c r="J59" s="175">
        <f>H59/DAY(B2)</f>
        <v>6682.3606249999993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24717</v>
      </c>
      <c r="H60" s="99">
        <f>G60+'15'!H60</f>
        <v>409629.2</v>
      </c>
      <c r="I60" s="95">
        <f>G13-G60</f>
        <v>1236</v>
      </c>
      <c r="J60" s="175">
        <f>H60/DAY(B2)</f>
        <v>25601.825000000001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'15'!F62</f>
        <v>281344</v>
      </c>
      <c r="F62" s="122">
        <v>281532</v>
      </c>
      <c r="G62" s="112">
        <f t="shared" ref="G62:G63" si="5">F62-E62</f>
        <v>188</v>
      </c>
      <c r="H62" s="99">
        <f>G62+'15'!H62</f>
        <v>2906</v>
      </c>
      <c r="I62" s="118"/>
      <c r="J62" s="175">
        <f>H62/DAY(B2)</f>
        <v>181.625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'15'!F63</f>
        <v>225358</v>
      </c>
      <c r="F63" s="122">
        <v>225495</v>
      </c>
      <c r="G63" s="112">
        <f t="shared" si="5"/>
        <v>137</v>
      </c>
      <c r="H63" s="99">
        <f>G63+'15'!H63</f>
        <v>2414</v>
      </c>
      <c r="I63" s="118"/>
      <c r="J63" s="175">
        <f>H63/DAY(B2)</f>
        <v>150.875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v>0</v>
      </c>
      <c r="F64" s="122"/>
      <c r="G64" s="112">
        <f>G62+G63</f>
        <v>325</v>
      </c>
      <c r="H64" s="99">
        <f>G64+'15'!H64</f>
        <v>5320</v>
      </c>
      <c r="I64" s="118"/>
      <c r="J64" s="175">
        <f>H64/DAY(B2)</f>
        <v>332.5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'15'!F65</f>
        <v>442848</v>
      </c>
      <c r="F65" s="404">
        <v>442960</v>
      </c>
      <c r="G65" s="112">
        <f t="shared" ref="G65:G70" si="6">F65-E65</f>
        <v>112</v>
      </c>
      <c r="H65" s="99">
        <f>G65+'15'!H65</f>
        <v>1829</v>
      </c>
      <c r="I65" s="118"/>
      <c r="J65" s="175">
        <f>H65/DAY(B2)</f>
        <v>114.3125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109325</v>
      </c>
      <c r="F66" s="122">
        <v>109350</v>
      </c>
      <c r="G66" s="112">
        <f t="shared" si="6"/>
        <v>25</v>
      </c>
      <c r="H66" s="99">
        <f>G66+'15'!H66</f>
        <v>280</v>
      </c>
      <c r="I66" s="118"/>
      <c r="J66" s="175">
        <f>H66/DAY(B2)</f>
        <v>17.5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109715</v>
      </c>
      <c r="F67" s="122">
        <v>109786</v>
      </c>
      <c r="G67" s="112">
        <f t="shared" si="6"/>
        <v>71</v>
      </c>
      <c r="H67" s="99">
        <f>G67+'15'!H67</f>
        <v>1193</v>
      </c>
      <c r="I67" s="118"/>
      <c r="J67" s="175">
        <f>H67/DAY(B2)</f>
        <v>74.5625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161136</v>
      </c>
      <c r="F68" s="122">
        <v>161150</v>
      </c>
      <c r="G68" s="112">
        <f t="shared" si="6"/>
        <v>14</v>
      </c>
      <c r="H68" s="99">
        <f>G68+'15'!H68</f>
        <v>741</v>
      </c>
      <c r="I68" s="118"/>
      <c r="J68" s="175">
        <f>H68/DAY(B2)</f>
        <v>46.3125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11410</v>
      </c>
      <c r="F69" s="122">
        <v>11426</v>
      </c>
      <c r="G69" s="112">
        <f t="shared" si="6"/>
        <v>16</v>
      </c>
      <c r="H69" s="99">
        <f>G69+'15'!H69</f>
        <v>225</v>
      </c>
      <c r="I69" s="118"/>
      <c r="J69" s="175">
        <f>H69/DAY(B2)</f>
        <v>14.0625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8859</v>
      </c>
      <c r="F70" s="122">
        <v>8868</v>
      </c>
      <c r="G70" s="112">
        <f t="shared" si="6"/>
        <v>9</v>
      </c>
      <c r="H70" s="99">
        <f>G70+'15'!H70</f>
        <v>140</v>
      </c>
      <c r="I70" s="118"/>
      <c r="J70" s="175">
        <f>H70/DAY(B2)</f>
        <v>8.75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247</v>
      </c>
      <c r="H71" s="99">
        <f>G71+'15'!H71</f>
        <v>4408</v>
      </c>
      <c r="I71" s="154"/>
      <c r="J71" s="175">
        <f>H71/DAY(B2)</f>
        <v>275.5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'15'!F74</f>
        <v>923935</v>
      </c>
      <c r="F74" s="117">
        <v>924281</v>
      </c>
      <c r="G74" s="112">
        <f t="shared" ref="G74:G78" si="7">F74-E74</f>
        <v>346</v>
      </c>
      <c r="H74" s="99">
        <f>G74+'15'!H74</f>
        <v>4956.4899999999907</v>
      </c>
      <c r="I74" s="154"/>
      <c r="J74" s="175">
        <f>H74/DAY(B2)</f>
        <v>309.78062499999942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'15'!F76</f>
        <v>178340</v>
      </c>
      <c r="F76" s="123">
        <v>178467</v>
      </c>
      <c r="G76" s="112">
        <f t="shared" si="7"/>
        <v>127</v>
      </c>
      <c r="H76" s="99">
        <f>G76+'15'!H76</f>
        <v>1880</v>
      </c>
      <c r="I76" s="154"/>
      <c r="J76" s="175">
        <f>H76/DAY(B2)</f>
        <v>117.5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'15'!F77</f>
        <v>44912</v>
      </c>
      <c r="F77" s="123">
        <v>44960</v>
      </c>
      <c r="G77" s="112">
        <f t="shared" si="7"/>
        <v>48</v>
      </c>
      <c r="H77" s="99">
        <f>G77+'15'!H77</f>
        <v>797</v>
      </c>
      <c r="I77" s="154"/>
      <c r="J77" s="175">
        <f>H77/DAY(B2)</f>
        <v>49.8125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1</v>
      </c>
      <c r="I78" s="118"/>
      <c r="J78" s="175">
        <f>H78/DAY(B2)</f>
        <v>6.25E-2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'15'!F79</f>
        <v>0</v>
      </c>
      <c r="F79" s="123"/>
      <c r="G79" s="112">
        <f>G15-SUM(G74:G78)</f>
        <v>632</v>
      </c>
      <c r="H79" s="99">
        <f>G79+'15'!H79</f>
        <v>9790.5100000000093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1153</v>
      </c>
      <c r="H80" s="99">
        <f>G80+'15'!H80</f>
        <v>1153</v>
      </c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594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3461</v>
      </c>
      <c r="F85" s="164">
        <v>3485</v>
      </c>
      <c r="G85" s="112">
        <f t="shared" si="8"/>
        <v>24</v>
      </c>
      <c r="H85" s="99">
        <f>G85+'15'!H85</f>
        <v>326.5</v>
      </c>
      <c r="I85" s="594"/>
      <c r="J85" s="175">
        <f>H85/DAY(B2)</f>
        <v>20.40625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43820</v>
      </c>
      <c r="F86" s="164">
        <v>43820</v>
      </c>
      <c r="G86" s="112">
        <f t="shared" si="8"/>
        <v>0</v>
      </c>
      <c r="H86" s="99">
        <f>G86+'15'!H86</f>
        <v>99.599999999998545</v>
      </c>
      <c r="I86" s="594"/>
      <c r="J86" s="175">
        <f>H86/DAY(B2)</f>
        <v>6.2249999999999091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35262</v>
      </c>
      <c r="F87" s="164">
        <v>35276</v>
      </c>
      <c r="G87" s="112">
        <f t="shared" si="8"/>
        <v>14</v>
      </c>
      <c r="H87" s="99">
        <f>G87+'15'!H87</f>
        <v>195.65000000000146</v>
      </c>
      <c r="I87" s="594">
        <f>G84+G85+G86+G87</f>
        <v>38</v>
      </c>
      <c r="J87" s="175">
        <f>H87/DAY(B2)</f>
        <v>12.228125000000091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24146.02</v>
      </c>
      <c r="F88" s="164">
        <v>24146</v>
      </c>
      <c r="G88" s="112">
        <f t="shared" si="8"/>
        <v>-2.0000000000436557E-2</v>
      </c>
      <c r="H88" s="99">
        <f>G88+'15'!H88</f>
        <v>36.599999999998545</v>
      </c>
      <c r="I88" s="594"/>
      <c r="J88" s="175">
        <f>H88/DAY(B2)</f>
        <v>2.2874999999999091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26593.15</v>
      </c>
      <c r="F89" s="164">
        <v>26603</v>
      </c>
      <c r="G89" s="112">
        <f t="shared" si="8"/>
        <v>9.8499999999985448</v>
      </c>
      <c r="H89" s="99">
        <f>G89+'15'!H89</f>
        <v>131.20999999999913</v>
      </c>
      <c r="I89" s="594">
        <f>G88+G89</f>
        <v>9.8299999999981083</v>
      </c>
      <c r="J89" s="175">
        <f>H89/DAY(B2)</f>
        <v>8.2006249999999454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71717.539999999994</v>
      </c>
      <c r="F90" s="164">
        <v>71729</v>
      </c>
      <c r="G90" s="112">
        <f t="shared" si="8"/>
        <v>11.460000000006403</v>
      </c>
      <c r="H90" s="99">
        <f>G90+'15'!H90</f>
        <v>155.88999999999942</v>
      </c>
      <c r="I90" s="594">
        <f>G90</f>
        <v>11.460000000006403</v>
      </c>
      <c r="J90" s="175">
        <f>H90/DAY(B2)</f>
        <v>9.7431249999999636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3910</v>
      </c>
      <c r="F91" s="122">
        <v>3910</v>
      </c>
      <c r="G91" s="112">
        <f t="shared" si="8"/>
        <v>0</v>
      </c>
      <c r="H91" s="99">
        <f>G91+'15'!H91</f>
        <v>0.25</v>
      </c>
      <c r="I91" s="688"/>
      <c r="J91" s="175">
        <f>H91/DAY(B2)</f>
        <v>1.5625E-2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5907.66</v>
      </c>
      <c r="F92" s="122">
        <v>5920</v>
      </c>
      <c r="G92" s="112">
        <f t="shared" si="8"/>
        <v>12.340000000000146</v>
      </c>
      <c r="H92" s="99">
        <f>G92+'15'!H92</f>
        <v>172.69999999999982</v>
      </c>
      <c r="I92" s="705">
        <f>G91+G92</f>
        <v>12.340000000000146</v>
      </c>
      <c r="J92" s="175">
        <f>H92/DAY(B2)</f>
        <v>10.793749999999989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7187</v>
      </c>
      <c r="H94" s="99">
        <f>G94+'15'!H94</f>
        <v>114658.12000000001</v>
      </c>
      <c r="I94" s="118"/>
      <c r="J94" s="175">
        <f>H94/DAY(B2)</f>
        <v>7166.1325000000006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51"/>
      <c r="G95" s="166">
        <f>G94/G7</f>
        <v>0.26888398368812899</v>
      </c>
      <c r="H95" s="99">
        <f>G95+'15'!H95</f>
        <v>4.1161812505389701</v>
      </c>
      <c r="I95" s="167"/>
      <c r="J95" s="175">
        <f>H95/DAY(B2)</f>
        <v>0.25726132815868563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7327</v>
      </c>
      <c r="H96" s="99">
        <f>G96+'15'!H96</f>
        <v>119737.74</v>
      </c>
      <c r="I96" s="118"/>
      <c r="J96" s="175">
        <f>H96/DAY(B2)</f>
        <v>7483.6087500000003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0.27412174043174081</v>
      </c>
      <c r="H97" s="99">
        <f>G97+'15'!H97</f>
        <v>4.2906049790076546</v>
      </c>
      <c r="I97" s="167"/>
      <c r="J97" s="175">
        <f>H97/DAY(B2)</f>
        <v>0.26816281118797841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3268</v>
      </c>
      <c r="H98" s="99">
        <f>G98+'15'!H98</f>
        <v>52535.570000000007</v>
      </c>
      <c r="I98" s="168"/>
      <c r="J98" s="175">
        <f>H98/DAY(B2)</f>
        <v>3283.4731250000004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0.12226420741516705</v>
      </c>
      <c r="H99" s="99">
        <f>G99+'15'!H99</f>
        <v>1.8888487915218881</v>
      </c>
      <c r="I99" s="168"/>
      <c r="J99" s="175">
        <f>H99/DAY(B2)</f>
        <v>0.11805304947011801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2339</v>
      </c>
      <c r="H100" s="99">
        <f>G100+'15'!H100</f>
        <v>39961.390000000007</v>
      </c>
      <c r="I100" s="118"/>
      <c r="J100" s="175">
        <f>H100/DAY(B2)</f>
        <v>2497.5868750000004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8.750795016648584E-2</v>
      </c>
      <c r="H101" s="99">
        <f>G101+'15'!H101</f>
        <v>1.4367049537785024</v>
      </c>
      <c r="I101" s="168"/>
      <c r="J101" s="175">
        <f>H101/DAY(B2)</f>
        <v>8.9794059611156399E-2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1923</v>
      </c>
      <c r="H102" s="99">
        <f>G102+'15'!H102</f>
        <v>38005.199999999983</v>
      </c>
      <c r="I102" s="168"/>
      <c r="J102" s="175">
        <f>H102/DAY(B2)</f>
        <v>2375.3249999999989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7.1944330128325046E-2</v>
      </c>
      <c r="H103" s="99">
        <f>G103+'15'!H103</f>
        <v>1.3624238294620008</v>
      </c>
      <c r="I103" s="118"/>
      <c r="J103" s="175">
        <f>H103/DAY(B2)</f>
        <v>8.515148934137505E-2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1603</v>
      </c>
      <c r="H104" s="99">
        <f>G104+'15'!H104</f>
        <v>25787.30000000001</v>
      </c>
      <c r="I104" s="118"/>
      <c r="J104" s="175">
        <f>H104/DAY(B2)</f>
        <v>1611.7062500000006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5.9972314714355192E-2</v>
      </c>
      <c r="H105" s="99">
        <f>G105+'15'!H105</f>
        <v>0.926222347701673</v>
      </c>
      <c r="I105" s="187"/>
      <c r="J105" s="188">
        <f>H105/DAY(B2)</f>
        <v>5.7888896731354562E-2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5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'15'!F112</f>
        <v>63357</v>
      </c>
      <c r="F112" s="237">
        <v>63435</v>
      </c>
      <c r="G112" s="112">
        <f t="shared" ref="G112:G123" si="9">F112-E112</f>
        <v>78</v>
      </c>
      <c r="H112" s="99">
        <f>G112+'15'!H112</f>
        <v>1291.4700000000012</v>
      </c>
      <c r="I112" s="165"/>
      <c r="J112" s="328">
        <f>H112/DAY(B2)</f>
        <v>80.716875000000073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'15'!F113</f>
        <v>81627</v>
      </c>
      <c r="F113" s="237">
        <v>82122</v>
      </c>
      <c r="G113" s="112">
        <f t="shared" si="9"/>
        <v>495</v>
      </c>
      <c r="H113" s="99">
        <f>G113+'15'!H113</f>
        <v>7866.3999999999942</v>
      </c>
      <c r="I113" s="165"/>
      <c r="J113" s="328">
        <f>H113/DAY(B2)</f>
        <v>491.64999999999964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'15'!F114</f>
        <v>54354</v>
      </c>
      <c r="F114" s="417">
        <v>54609</v>
      </c>
      <c r="G114" s="112">
        <f t="shared" si="9"/>
        <v>255</v>
      </c>
      <c r="H114" s="99">
        <f>G114+'15'!H114</f>
        <v>4346</v>
      </c>
      <c r="I114" s="165"/>
      <c r="J114" s="328">
        <f>H114/DAY(B2)</f>
        <v>271.625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'15'!F115</f>
        <v>10181</v>
      </c>
      <c r="F115" s="417">
        <v>10211</v>
      </c>
      <c r="G115" s="236">
        <f t="shared" si="9"/>
        <v>30</v>
      </c>
      <c r="H115" s="99">
        <f>G115+'15'!H115</f>
        <v>382.48999999999978</v>
      </c>
      <c r="I115" s="165"/>
      <c r="J115" s="328">
        <f>H115/DAY(B2)</f>
        <v>23.905624999999986</v>
      </c>
      <c r="N115" s="471" t="s">
        <v>364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'15'!F116</f>
        <v>29206</v>
      </c>
      <c r="F116" s="237">
        <v>29628</v>
      </c>
      <c r="G116" s="112">
        <f t="shared" si="9"/>
        <v>422</v>
      </c>
      <c r="H116" s="99">
        <f>G116+'15'!H116</f>
        <v>6843.380000000001</v>
      </c>
      <c r="I116" s="165"/>
      <c r="J116" s="328">
        <f>H116/DAY(B2)</f>
        <v>427.71125000000006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'15'!F117</f>
        <v>16508</v>
      </c>
      <c r="F117" s="237">
        <v>16685</v>
      </c>
      <c r="G117" s="112">
        <f t="shared" si="9"/>
        <v>177</v>
      </c>
      <c r="H117" s="99">
        <f>G117+'15'!H117</f>
        <v>3071.8269999999993</v>
      </c>
      <c r="I117" s="165"/>
      <c r="J117" s="328">
        <f>H117/DAY(B2)</f>
        <v>191.98918749999996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'15'!F118</f>
        <v>1030</v>
      </c>
      <c r="F118" s="237">
        <v>1548</v>
      </c>
      <c r="G118" s="112">
        <f t="shared" si="9"/>
        <v>518</v>
      </c>
      <c r="H118" s="99">
        <f>G118+'15'!H118</f>
        <v>8496.0300000000279</v>
      </c>
      <c r="I118" s="165"/>
      <c r="J118" s="328">
        <f>H118/DAY(B2)</f>
        <v>531.00187500000175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'15'!F119</f>
        <v>289576</v>
      </c>
      <c r="F119" s="757">
        <v>290068</v>
      </c>
      <c r="G119" s="112">
        <f t="shared" si="9"/>
        <v>492</v>
      </c>
      <c r="H119" s="99">
        <f>G119+'15'!H119</f>
        <v>6970.609999999986</v>
      </c>
      <c r="I119" s="165"/>
      <c r="J119" s="328">
        <f>H119/DAY(B2)</f>
        <v>435.66312499999913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'15'!F120</f>
        <v>819</v>
      </c>
      <c r="F120" s="237">
        <v>1241</v>
      </c>
      <c r="G120" s="112">
        <f t="shared" si="9"/>
        <v>422</v>
      </c>
      <c r="H120" s="99">
        <f>G120+'15'!H120</f>
        <v>6587.2400000000052</v>
      </c>
      <c r="I120" s="165"/>
      <c r="J120" s="328">
        <f>H120/DAY(B2)</f>
        <v>411.70250000000033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'15'!F121</f>
        <v>1593</v>
      </c>
      <c r="F121" s="237">
        <v>2442</v>
      </c>
      <c r="G121" s="112">
        <f t="shared" si="9"/>
        <v>849</v>
      </c>
      <c r="H121" s="99">
        <f>G121+'15'!H121</f>
        <v>12846.729999999981</v>
      </c>
      <c r="I121" s="165"/>
      <c r="J121" s="328">
        <f>H121/DAY(B2)</f>
        <v>802.92062499999884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'15'!F122</f>
        <v>408</v>
      </c>
      <c r="F122" s="237">
        <v>614</v>
      </c>
      <c r="G122" s="112">
        <f t="shared" si="9"/>
        <v>206</v>
      </c>
      <c r="H122" s="99">
        <f>G122+'15'!H122</f>
        <v>3430.859999999986</v>
      </c>
      <c r="I122" s="165"/>
      <c r="J122" s="328">
        <f>H122/DAY(B2)</f>
        <v>214.42874999999913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'15'!F123</f>
        <v>173301</v>
      </c>
      <c r="F123" s="237">
        <v>173541</v>
      </c>
      <c r="G123" s="112">
        <f t="shared" si="9"/>
        <v>240</v>
      </c>
      <c r="H123" s="99">
        <f>G123+'15'!H123</f>
        <v>4099</v>
      </c>
      <c r="I123" s="165"/>
      <c r="J123" s="328">
        <f>H123/DAY(B2)</f>
        <v>256.1875</v>
      </c>
    </row>
    <row r="124" spans="1:18" ht="29.25" customHeight="1">
      <c r="A124" s="932"/>
      <c r="B124" s="933"/>
      <c r="C124" s="934"/>
      <c r="D124" s="165"/>
      <c r="E124" s="165"/>
      <c r="F124" s="15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4184</v>
      </c>
      <c r="H125" s="156"/>
      <c r="I125" s="327">
        <f>G125-(G39+G53)</f>
        <v>916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'15'!F128</f>
        <v>75358</v>
      </c>
      <c r="F128" s="155">
        <v>75770</v>
      </c>
      <c r="G128" s="112">
        <f t="shared" ref="G128:G134" si="10">F128-E128</f>
        <v>412</v>
      </c>
      <c r="H128" s="99">
        <f>G128+'15'!H128</f>
        <v>6853.7599999999948</v>
      </c>
      <c r="I128" s="165"/>
      <c r="J128" s="328">
        <f>H128/DAY(B2)</f>
        <v>428.35999999999967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46664</v>
      </c>
      <c r="F129" s="155">
        <v>46966</v>
      </c>
      <c r="G129" s="112">
        <f t="shared" si="10"/>
        <v>302</v>
      </c>
      <c r="H129" s="99">
        <f>G129+'15'!H129</f>
        <v>4854.9499999999971</v>
      </c>
      <c r="I129" s="165"/>
      <c r="J129" s="328">
        <f>H129/DAY(B2)</f>
        <v>303.43437499999982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86010</v>
      </c>
      <c r="F130" s="157">
        <v>86720</v>
      </c>
      <c r="G130" s="112">
        <f t="shared" si="10"/>
        <v>710</v>
      </c>
      <c r="H130" s="99">
        <f>G130+'15'!H130</f>
        <v>11058.050000000003</v>
      </c>
      <c r="I130" s="165"/>
      <c r="J130" s="328">
        <f>H130/DAY(B2)</f>
        <v>691.12812500000018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'15'!F131</f>
        <v>27382</v>
      </c>
      <c r="F131" s="155">
        <v>27570</v>
      </c>
      <c r="G131" s="112">
        <f t="shared" si="10"/>
        <v>188</v>
      </c>
      <c r="H131" s="99">
        <f>G131+'15'!H131</f>
        <v>3137.5</v>
      </c>
      <c r="I131" s="165"/>
      <c r="J131" s="328">
        <f>H131/DAY(B2)</f>
        <v>196.09375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'15'!F132</f>
        <v>82167</v>
      </c>
      <c r="F132" s="155">
        <v>82622</v>
      </c>
      <c r="G132" s="112">
        <f t="shared" si="10"/>
        <v>455</v>
      </c>
      <c r="H132" s="99">
        <f>G132+'15'!H132</f>
        <v>6954.5</v>
      </c>
      <c r="I132" s="165"/>
      <c r="J132" s="328">
        <f>H132/DAY(B2)</f>
        <v>434.65625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'15'!F133</f>
        <v>158930</v>
      </c>
      <c r="F133" s="155">
        <v>159820</v>
      </c>
      <c r="G133" s="112">
        <f t="shared" si="10"/>
        <v>890</v>
      </c>
      <c r="H133" s="99">
        <f>G133+'15'!H133</f>
        <v>14438.010000000009</v>
      </c>
      <c r="I133" s="165"/>
      <c r="J133" s="328">
        <f>H133/DAY(B2)</f>
        <v>902.37562500000058</v>
      </c>
    </row>
    <row r="134" spans="1:15" s="409" customFormat="1" ht="25.5">
      <c r="A134" s="967" t="s">
        <v>340</v>
      </c>
      <c r="B134" s="968"/>
      <c r="C134" s="969"/>
      <c r="D134" s="233" t="s">
        <v>183</v>
      </c>
      <c r="E134" s="406">
        <f>'15'!F134</f>
        <v>24418</v>
      </c>
      <c r="F134" s="157">
        <v>24658</v>
      </c>
      <c r="G134" s="236">
        <f t="shared" si="10"/>
        <v>240</v>
      </c>
      <c r="H134" s="238">
        <f>G134+'15'!H134</f>
        <v>3865.3199999999997</v>
      </c>
      <c r="I134" s="158"/>
      <c r="J134" s="408">
        <f>H134/DAY(B2)</f>
        <v>241.58249999999998</v>
      </c>
    </row>
    <row r="135" spans="1:15" ht="25.5">
      <c r="A135" s="935" t="s">
        <v>196</v>
      </c>
      <c r="B135" s="936"/>
      <c r="C135" s="331"/>
      <c r="D135" s="151"/>
      <c r="E135" s="95"/>
      <c r="F135" s="155"/>
      <c r="G135" s="112">
        <f>SUM(G128:G134)</f>
        <v>3197</v>
      </c>
      <c r="H135" s="99">
        <f>G135+'10'!H135</f>
        <v>34905.849999999984</v>
      </c>
      <c r="I135" s="327">
        <f>G135-(G35+G49)</f>
        <v>-799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70" t="s">
        <v>185</v>
      </c>
      <c r="B138" s="970"/>
      <c r="C138" s="970"/>
      <c r="D138" s="233" t="s">
        <v>183</v>
      </c>
      <c r="E138" s="406">
        <f>'15'!F138</f>
        <v>876485</v>
      </c>
      <c r="F138" s="148">
        <v>876608</v>
      </c>
      <c r="G138" s="236">
        <f t="shared" ref="G138:G152" si="11">F138-E138</f>
        <v>123</v>
      </c>
      <c r="H138" s="238">
        <f>G138+'15'!H138</f>
        <v>2607</v>
      </c>
      <c r="I138" s="407"/>
      <c r="J138" s="408">
        <f>H138/DAY(B2)</f>
        <v>162.9375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'15'!F139</f>
        <v>892600</v>
      </c>
      <c r="F139" s="148">
        <v>892746</v>
      </c>
      <c r="G139" s="112">
        <f t="shared" si="11"/>
        <v>146</v>
      </c>
      <c r="H139" s="99">
        <f>G139+'15'!H139</f>
        <v>2428</v>
      </c>
      <c r="I139" s="118"/>
      <c r="J139" s="328">
        <f>H139/DAY(B2)</f>
        <v>151.75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'15'!F140</f>
        <v>89008.6</v>
      </c>
      <c r="F140" s="149">
        <v>89020</v>
      </c>
      <c r="G140" s="112">
        <f t="shared" si="11"/>
        <v>11.399999999994179</v>
      </c>
      <c r="H140" s="99">
        <f>G140+'15'!H140</f>
        <v>30</v>
      </c>
      <c r="I140" s="118"/>
      <c r="J140" s="328">
        <f>H140/DAY(B2)</f>
        <v>1.875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'15'!F141</f>
        <v>68750</v>
      </c>
      <c r="F141" s="149">
        <v>68939</v>
      </c>
      <c r="G141" s="112">
        <f t="shared" si="11"/>
        <v>189</v>
      </c>
      <c r="H141" s="99">
        <f>G141+'15'!H141</f>
        <v>3155.4700000000012</v>
      </c>
      <c r="I141" s="118"/>
      <c r="J141" s="328">
        <f>H141/DAY(B2)</f>
        <v>197.21687500000007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'15'!F142</f>
        <v>26514</v>
      </c>
      <c r="F142" s="148">
        <v>26566</v>
      </c>
      <c r="G142" s="112">
        <f t="shared" si="11"/>
        <v>52</v>
      </c>
      <c r="H142" s="99">
        <f>G142+'15'!H142</f>
        <v>1069.5999999999985</v>
      </c>
      <c r="I142" s="140"/>
      <c r="J142" s="328">
        <f>H142/DAY(B2)</f>
        <v>66.849999999999909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'15'!F143</f>
        <v>5980</v>
      </c>
      <c r="F143" s="149">
        <v>6006</v>
      </c>
      <c r="G143" s="112">
        <f t="shared" si="11"/>
        <v>26</v>
      </c>
      <c r="H143" s="99">
        <f>G143+'15'!H143</f>
        <v>445.28999999999996</v>
      </c>
      <c r="I143" s="140"/>
      <c r="J143" s="328">
        <f>H143/DAY(B2)</f>
        <v>27.830624999999998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'15'!F144</f>
        <v>893634</v>
      </c>
      <c r="F144" s="149">
        <v>893890</v>
      </c>
      <c r="G144" s="112">
        <f t="shared" si="11"/>
        <v>256</v>
      </c>
      <c r="H144" s="99">
        <f>G144+'15'!H144</f>
        <v>4056</v>
      </c>
      <c r="I144" s="140"/>
      <c r="J144" s="328">
        <f>H144/DAY(B2)</f>
        <v>253.5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'15'!F145</f>
        <v>5587</v>
      </c>
      <c r="F145" s="148">
        <v>5590</v>
      </c>
      <c r="G145" s="112">
        <f t="shared" si="11"/>
        <v>3</v>
      </c>
      <c r="H145" s="99">
        <f>G145+'15'!H145</f>
        <v>33.600000000000364</v>
      </c>
      <c r="I145" s="140"/>
      <c r="J145" s="328">
        <f>H145/DAY(B2)</f>
        <v>2.1000000000000227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'15'!F146</f>
        <v>771823</v>
      </c>
      <c r="F146" s="148">
        <v>772359</v>
      </c>
      <c r="G146" s="112">
        <f t="shared" si="11"/>
        <v>536</v>
      </c>
      <c r="H146" s="99">
        <f>G146+'15'!H146</f>
        <v>8033</v>
      </c>
      <c r="I146" s="140"/>
      <c r="J146" s="328">
        <f>H146/DAY(B2)</f>
        <v>502.0625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'15'!F147</f>
        <v>656782</v>
      </c>
      <c r="F147" s="148">
        <v>657197</v>
      </c>
      <c r="G147" s="112">
        <f t="shared" si="11"/>
        <v>415</v>
      </c>
      <c r="H147" s="99">
        <f>G147+'15'!H147</f>
        <v>7013</v>
      </c>
      <c r="I147" s="140"/>
      <c r="J147" s="328">
        <f>H147/DAY(B2)</f>
        <v>438.3125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'15'!F148</f>
        <v>714288</v>
      </c>
      <c r="F148" s="164">
        <v>714628</v>
      </c>
      <c r="G148" s="112">
        <f t="shared" si="11"/>
        <v>340</v>
      </c>
      <c r="H148" s="99">
        <f>G148+'15'!H148</f>
        <v>5763.3199999999488</v>
      </c>
      <c r="I148" s="124"/>
      <c r="J148" s="328">
        <f>H148/DAY(B2)</f>
        <v>360.2074999999968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'15'!F149</f>
        <v>73520</v>
      </c>
      <c r="F149" s="233">
        <v>74161</v>
      </c>
      <c r="G149" s="112">
        <f t="shared" si="11"/>
        <v>641</v>
      </c>
      <c r="H149" s="99">
        <f>G149+'15'!H149</f>
        <v>10937.199999999997</v>
      </c>
      <c r="I149" s="119"/>
      <c r="J149" s="328">
        <f>H149/DAY(B2)</f>
        <v>683.57499999999982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'15'!F150</f>
        <v>27366</v>
      </c>
      <c r="F150" s="233">
        <v>27593</v>
      </c>
      <c r="G150" s="112">
        <f t="shared" si="11"/>
        <v>227</v>
      </c>
      <c r="H150" s="99">
        <f>G150+'15'!H150</f>
        <v>3637.2099999999991</v>
      </c>
      <c r="I150" s="119"/>
      <c r="J150" s="328">
        <f>H150/DAY(B2)</f>
        <v>227.32562499999995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'15'!F151</f>
        <v>104856</v>
      </c>
      <c r="F151" s="233">
        <v>105145</v>
      </c>
      <c r="G151" s="112">
        <f t="shared" si="11"/>
        <v>289</v>
      </c>
      <c r="H151" s="99">
        <f>G151+'15'!H151</f>
        <v>4534</v>
      </c>
      <c r="I151" s="119"/>
      <c r="J151" s="328">
        <f>H151/DAY(B2)</f>
        <v>283.375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'15'!F152</f>
        <v>9964</v>
      </c>
      <c r="F152" s="233">
        <v>10049</v>
      </c>
      <c r="G152" s="112">
        <f t="shared" si="11"/>
        <v>85</v>
      </c>
      <c r="H152" s="99">
        <f>G152+'15'!H152</f>
        <v>1979.9399999999996</v>
      </c>
      <c r="I152" s="119"/>
      <c r="J152" s="328">
        <f>H152/DAY(B2)</f>
        <v>123.74624999999997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3339.3999999999942</v>
      </c>
      <c r="H153" s="363"/>
      <c r="I153" s="119">
        <f>G153-(G38+G52)</f>
        <v>1000.3999999999942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406">
        <f>'15'!F155</f>
        <v>82592</v>
      </c>
      <c r="F155" s="422">
        <v>83267</v>
      </c>
      <c r="G155" s="236">
        <f>F155-E155</f>
        <v>675</v>
      </c>
      <c r="H155" s="99">
        <f>G155+'15'!H155</f>
        <v>10496.5</v>
      </c>
      <c r="I155" s="364"/>
      <c r="J155" s="328">
        <f>H155/DAY(B2)</f>
        <v>656.03125</v>
      </c>
    </row>
    <row r="156" spans="1:10" ht="25.5">
      <c r="A156" s="906" t="s">
        <v>347</v>
      </c>
      <c r="B156" s="906"/>
      <c r="C156" s="906"/>
      <c r="D156" s="117" t="s">
        <v>130</v>
      </c>
      <c r="E156" s="406">
        <f>'15'!F156</f>
        <v>6872</v>
      </c>
      <c r="F156" s="157">
        <v>6926</v>
      </c>
      <c r="G156" s="236">
        <f t="shared" ref="G156:G158" si="12">F156-E156</f>
        <v>54</v>
      </c>
      <c r="H156" s="99">
        <f>G156+'15'!H156</f>
        <v>868.75</v>
      </c>
      <c r="I156" s="165"/>
      <c r="J156" s="328">
        <f>H156/DAY(B2)</f>
        <v>54.296875</v>
      </c>
    </row>
    <row r="157" spans="1:10" ht="25.5">
      <c r="A157" s="898" t="s">
        <v>361</v>
      </c>
      <c r="B157" s="899"/>
      <c r="C157" s="900"/>
      <c r="D157" s="117" t="s">
        <v>130</v>
      </c>
      <c r="E157" s="406">
        <f>'15'!F157</f>
        <v>11877</v>
      </c>
      <c r="F157" s="157">
        <v>11966</v>
      </c>
      <c r="G157" s="236">
        <f t="shared" si="12"/>
        <v>89</v>
      </c>
      <c r="H157" s="99">
        <f>G157+'15'!H157</f>
        <v>753.05999999999949</v>
      </c>
      <c r="I157" s="165"/>
      <c r="J157" s="328">
        <f>H157/DAY(B2)</f>
        <v>47.066249999999968</v>
      </c>
    </row>
    <row r="158" spans="1:10" ht="25.5">
      <c r="A158" s="898" t="s">
        <v>362</v>
      </c>
      <c r="B158" s="899"/>
      <c r="C158" s="900"/>
      <c r="D158" s="117" t="s">
        <v>130</v>
      </c>
      <c r="E158" s="406">
        <f>'15'!F158</f>
        <v>93.94</v>
      </c>
      <c r="F158" s="157">
        <v>95.45</v>
      </c>
      <c r="G158" s="236">
        <f t="shared" si="12"/>
        <v>1.5100000000000051</v>
      </c>
      <c r="H158" s="99">
        <f>G158+'15'!H158</f>
        <v>3.4500000000000028</v>
      </c>
      <c r="I158" s="165"/>
      <c r="J158" s="328">
        <f>H158/DAY(B2)</f>
        <v>0.21562500000000018</v>
      </c>
    </row>
    <row r="159" spans="1:10" ht="25.5">
      <c r="A159" s="957"/>
      <c r="B159" s="958"/>
      <c r="C159" s="959"/>
      <c r="D159" s="117"/>
      <c r="E159" s="95"/>
      <c r="F159" s="155"/>
      <c r="G159" s="362">
        <f>SUM(G155:G158)</f>
        <v>819.51</v>
      </c>
      <c r="H159" s="99">
        <f>G159+'15'!H159</f>
        <v>819.51</v>
      </c>
      <c r="I159" s="165"/>
      <c r="J159" s="328">
        <f>H159/DAY(B2)</f>
        <v>51.219374999999999</v>
      </c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474072</v>
      </c>
      <c r="F161" s="235">
        <v>474115</v>
      </c>
      <c r="G161" s="238">
        <f t="shared" ref="G161:G165" si="13">F161-E161</f>
        <v>43</v>
      </c>
      <c r="H161" s="99">
        <f>G161+'15'!H161</f>
        <v>274.27000000001863</v>
      </c>
      <c r="I161" s="236"/>
      <c r="J161" s="239">
        <f>H161/DAY(B2)</f>
        <v>17.141875000001164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91005</v>
      </c>
      <c r="F162" s="235">
        <v>91047</v>
      </c>
      <c r="G162" s="238">
        <f t="shared" si="13"/>
        <v>42</v>
      </c>
      <c r="H162" s="99">
        <f>G162+'15'!H162</f>
        <v>594.10000000000582</v>
      </c>
      <c r="I162" s="236"/>
      <c r="J162" s="239">
        <f>H162/DAY(B2)</f>
        <v>37.131250000000364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89658</v>
      </c>
      <c r="F163" s="235">
        <v>89815</v>
      </c>
      <c r="G163" s="238">
        <f t="shared" si="13"/>
        <v>157</v>
      </c>
      <c r="H163" s="99">
        <f>G163+'15'!H163</f>
        <v>2736.1999999999971</v>
      </c>
      <c r="I163" s="236"/>
      <c r="J163" s="239">
        <f>H163/DAY(B2)</f>
        <v>171.01249999999982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5014</v>
      </c>
      <c r="F164" s="235">
        <v>5022</v>
      </c>
      <c r="G164" s="238">
        <f t="shared" si="13"/>
        <v>8</v>
      </c>
      <c r="H164" s="99">
        <f>G164+'15'!H164</f>
        <v>209.60000000000036</v>
      </c>
      <c r="I164" s="236"/>
      <c r="J164" s="239">
        <f>H164/DAY(B2)</f>
        <v>13.100000000000023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30470</v>
      </c>
      <c r="F165" s="235">
        <v>30479</v>
      </c>
      <c r="G165" s="238">
        <f t="shared" si="13"/>
        <v>9</v>
      </c>
      <c r="H165" s="99">
        <f>G165+'15'!H165</f>
        <v>123.4900000000016</v>
      </c>
      <c r="I165" s="236"/>
      <c r="J165" s="239">
        <f>H165/DAY(B2)</f>
        <v>7.7181250000001</v>
      </c>
    </row>
    <row r="166" spans="1:10" ht="26.25">
      <c r="A166" s="938"/>
      <c r="B166" s="938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'15'!F173</f>
        <v>8275</v>
      </c>
      <c r="F173" s="155">
        <v>8277</v>
      </c>
      <c r="G173" s="155">
        <f>F173-E173</f>
        <v>2</v>
      </c>
      <c r="H173" s="99">
        <f>G173+'15'!H173</f>
        <v>13</v>
      </c>
      <c r="I173" s="155"/>
      <c r="J173" s="178">
        <f>H173/DAY(B2)</f>
        <v>0.8125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'15'!F174</f>
        <v>39685</v>
      </c>
      <c r="F174" s="157">
        <v>39702</v>
      </c>
      <c r="G174" s="155">
        <f t="shared" ref="G174:G175" si="14">F174-E174</f>
        <v>17</v>
      </c>
      <c r="H174" s="99">
        <f>G174+'15'!H174</f>
        <v>240</v>
      </c>
      <c r="I174" s="155"/>
      <c r="J174" s="178">
        <f>H174/DAY(B2)</f>
        <v>15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'15'!F175</f>
        <v>22704</v>
      </c>
      <c r="F175" s="155">
        <v>22716</v>
      </c>
      <c r="G175" s="155">
        <f t="shared" si="14"/>
        <v>12</v>
      </c>
      <c r="H175" s="99">
        <f>G175+'15'!H175</f>
        <v>194</v>
      </c>
      <c r="I175" s="155"/>
      <c r="J175" s="178">
        <f>H175/DAY(B2)</f>
        <v>12.125</v>
      </c>
    </row>
    <row r="176" spans="1:10" ht="25.5">
      <c r="A176" s="935" t="s">
        <v>196</v>
      </c>
      <c r="B176" s="936"/>
      <c r="C176" s="333"/>
      <c r="D176" s="228" t="s">
        <v>142</v>
      </c>
      <c r="E176" s="95">
        <f>'15'!F176</f>
        <v>0</v>
      </c>
      <c r="F176" s="155"/>
      <c r="G176" s="155">
        <f>SUM(G173:G175)</f>
        <v>31</v>
      </c>
      <c r="H176" s="99">
        <f>G176+'15'!H176</f>
        <v>447</v>
      </c>
      <c r="I176" s="155"/>
      <c r="J176" s="178">
        <f>H176/DAY(B2)</f>
        <v>27.9375</v>
      </c>
    </row>
    <row r="177" spans="1:11" ht="25.5">
      <c r="A177" s="896" t="s">
        <v>77</v>
      </c>
      <c r="B177" s="89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6" t="s">
        <v>210</v>
      </c>
      <c r="B178" s="897"/>
      <c r="C178" s="333"/>
      <c r="D178" s="228" t="s">
        <v>142</v>
      </c>
      <c r="E178" s="95">
        <f>'15'!F178</f>
        <v>87063</v>
      </c>
      <c r="F178" s="155">
        <v>87170</v>
      </c>
      <c r="G178" s="155">
        <f>F178-E178</f>
        <v>107</v>
      </c>
      <c r="H178" s="99">
        <f>G178+'15'!H178</f>
        <v>1554</v>
      </c>
      <c r="I178" s="155"/>
      <c r="J178" s="178">
        <f>H178/DAY(B2)</f>
        <v>97.125</v>
      </c>
    </row>
    <row r="179" spans="1:11" ht="25.5">
      <c r="A179" s="896" t="s">
        <v>211</v>
      </c>
      <c r="B179" s="897"/>
      <c r="C179" s="333"/>
      <c r="D179" s="228" t="s">
        <v>142</v>
      </c>
      <c r="E179" s="95">
        <f>'15'!F179</f>
        <v>35710</v>
      </c>
      <c r="F179" s="155">
        <v>35710</v>
      </c>
      <c r="G179" s="155">
        <f t="shared" ref="G179:G180" si="15">F179-E179</f>
        <v>0</v>
      </c>
      <c r="H179" s="99">
        <f>G179+'15'!H179</f>
        <v>96</v>
      </c>
      <c r="I179" s="155"/>
      <c r="J179" s="178">
        <f>H179/DAY(B2)</f>
        <v>6</v>
      </c>
    </row>
    <row r="180" spans="1:11" ht="25.5">
      <c r="A180" s="896" t="s">
        <v>212</v>
      </c>
      <c r="B180" s="897"/>
      <c r="C180" s="333"/>
      <c r="D180" s="228" t="s">
        <v>142</v>
      </c>
      <c r="E180" s="95">
        <f>'15'!F180</f>
        <v>6267</v>
      </c>
      <c r="F180" s="155">
        <v>6267</v>
      </c>
      <c r="G180" s="155">
        <f t="shared" si="15"/>
        <v>0</v>
      </c>
      <c r="H180" s="99">
        <f>G180+'15'!H180</f>
        <v>134</v>
      </c>
      <c r="I180" s="155"/>
      <c r="J180" s="178">
        <f>H180/DAY(B2)</f>
        <v>8.375</v>
      </c>
    </row>
    <row r="181" spans="1:11" ht="25.5">
      <c r="A181" s="942" t="s">
        <v>108</v>
      </c>
      <c r="B181" s="943"/>
      <c r="C181" s="333"/>
      <c r="D181" s="228" t="s">
        <v>142</v>
      </c>
      <c r="E181" s="95">
        <f>'15'!F181</f>
        <v>0</v>
      </c>
      <c r="F181" s="155"/>
      <c r="G181" s="155">
        <f>SUM(G178:G180)</f>
        <v>107</v>
      </c>
      <c r="H181" s="99">
        <f>G181+'15'!H181</f>
        <v>1784</v>
      </c>
      <c r="I181" s="155"/>
      <c r="J181" s="178">
        <f>H181/DAY(B2)</f>
        <v>111.5</v>
      </c>
    </row>
    <row r="182" spans="1:11" ht="25.5">
      <c r="A182" s="896" t="s">
        <v>213</v>
      </c>
      <c r="B182" s="89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6" t="s">
        <v>214</v>
      </c>
      <c r="B183" s="897"/>
      <c r="C183" s="334"/>
      <c r="D183" s="228" t="s">
        <v>142</v>
      </c>
      <c r="E183" s="95">
        <f>'15'!F183</f>
        <v>16393</v>
      </c>
      <c r="F183" s="157">
        <v>16414</v>
      </c>
      <c r="G183" s="157">
        <f>F183-E183</f>
        <v>21</v>
      </c>
      <c r="H183" s="99">
        <f>G183+'15'!H183</f>
        <v>272</v>
      </c>
      <c r="I183" s="155"/>
      <c r="J183" s="178">
        <f>H183/DAY(B2)</f>
        <v>17</v>
      </c>
    </row>
    <row r="184" spans="1:11" ht="25.5">
      <c r="A184" s="896" t="s">
        <v>215</v>
      </c>
      <c r="B184" s="897"/>
      <c r="C184" s="334"/>
      <c r="D184" s="228" t="s">
        <v>142</v>
      </c>
      <c r="E184" s="95">
        <f>'15'!F184</f>
        <v>11156</v>
      </c>
      <c r="F184" s="157">
        <v>11164</v>
      </c>
      <c r="G184" s="157">
        <f t="shared" ref="G184:G185" si="16">F184-E184</f>
        <v>8</v>
      </c>
      <c r="H184" s="99">
        <f>G184+'15'!H184</f>
        <v>115</v>
      </c>
      <c r="I184" s="155"/>
      <c r="J184" s="178">
        <f>H184/DAY(B2)</f>
        <v>7.1875</v>
      </c>
    </row>
    <row r="185" spans="1:11" ht="32.25" customHeight="1">
      <c r="A185" s="896" t="s">
        <v>216</v>
      </c>
      <c r="B185" s="89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5" t="s">
        <v>196</v>
      </c>
      <c r="B186" s="936"/>
      <c r="C186" s="334"/>
      <c r="D186" s="228" t="s">
        <v>142</v>
      </c>
      <c r="E186" s="95">
        <f>'15'!F186</f>
        <v>0</v>
      </c>
      <c r="F186" s="157"/>
      <c r="G186" s="157">
        <f>SUM(G183:G185)</f>
        <v>29</v>
      </c>
      <c r="H186" s="99">
        <f>G186+'15'!H186</f>
        <v>387</v>
      </c>
      <c r="I186" s="157"/>
      <c r="J186" s="178">
        <f>H186/DAY(B2)</f>
        <v>24.1875</v>
      </c>
    </row>
    <row r="187" spans="1:11" ht="25.5">
      <c r="A187" s="946" t="s">
        <v>217</v>
      </c>
      <c r="B187" s="947"/>
      <c r="C187" s="333"/>
      <c r="D187" s="230" t="s">
        <v>142</v>
      </c>
      <c r="E187" s="95">
        <f>'15'!F187</f>
        <v>0</v>
      </c>
      <c r="F187" s="159"/>
      <c r="G187" s="378">
        <f>G62+G19</f>
        <v>240</v>
      </c>
      <c r="H187" s="99">
        <f>G187+'15'!H187</f>
        <v>3672</v>
      </c>
      <c r="I187" s="158"/>
      <c r="J187" s="179">
        <f>H187/DAY(B2)</f>
        <v>229.5</v>
      </c>
    </row>
    <row r="188" spans="1:11" ht="25.5">
      <c r="A188" s="946" t="s">
        <v>218</v>
      </c>
      <c r="B188" s="947"/>
      <c r="C188" s="333"/>
      <c r="D188" s="230" t="s">
        <v>142</v>
      </c>
      <c r="E188" s="95">
        <f>'15'!F188</f>
        <v>0</v>
      </c>
      <c r="F188" s="159"/>
      <c r="G188" s="378">
        <f>G65+G66+G67+G69+G70</f>
        <v>233</v>
      </c>
      <c r="H188" s="99">
        <f>G188+'15'!H188</f>
        <v>466</v>
      </c>
      <c r="I188" s="158"/>
      <c r="J188" s="179">
        <f>H188/DAY(B2)</f>
        <v>29.125</v>
      </c>
    </row>
    <row r="189" spans="1:11" ht="23.25" customHeight="1">
      <c r="A189" s="946" t="s">
        <v>219</v>
      </c>
      <c r="B189" s="947"/>
      <c r="C189" s="333"/>
      <c r="D189" s="230" t="s">
        <v>142</v>
      </c>
      <c r="E189" s="95">
        <f>'15'!F189</f>
        <v>0</v>
      </c>
      <c r="F189" s="157"/>
      <c r="G189" s="377">
        <f>G181</f>
        <v>107</v>
      </c>
      <c r="H189" s="99">
        <f>G189+'15'!H189</f>
        <v>1784</v>
      </c>
      <c r="I189" s="158"/>
      <c r="J189" s="179">
        <f>H189/DAY(B2)</f>
        <v>111.5</v>
      </c>
    </row>
    <row r="190" spans="1:11" ht="23.25" customHeight="1">
      <c r="A190" s="971"/>
      <c r="B190" s="972"/>
      <c r="C190" s="428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367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43" zoomScale="55" zoomScaleSheetLayoutView="55" zoomScalePageLayoutView="60" workbookViewId="0">
      <selection activeCell="A191" sqref="A191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7.75" customHeight="1">
      <c r="A2" s="191" t="s">
        <v>355</v>
      </c>
      <c r="B2" s="262">
        <v>44668</v>
      </c>
      <c r="C2" s="348" t="s">
        <v>67</v>
      </c>
      <c r="D2" s="218">
        <v>0.91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6" t="s">
        <v>119</v>
      </c>
      <c r="F3" s="887"/>
      <c r="G3" s="473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0" t="s">
        <v>128</v>
      </c>
      <c r="B6" s="881"/>
      <c r="C6" s="882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432589</v>
      </c>
      <c r="F7" s="95">
        <v>460676</v>
      </c>
      <c r="G7" s="476">
        <f>F7-E7</f>
        <v>28087</v>
      </c>
      <c r="H7" s="99">
        <f>G7+'16'!H7</f>
        <v>473953</v>
      </c>
      <c r="I7" s="113">
        <f>'1'!I7</f>
        <v>12000</v>
      </c>
      <c r="J7" s="175">
        <f>H7/DAY(B2)</f>
        <v>27879.588235294119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512756</v>
      </c>
      <c r="F8" s="114">
        <v>541397</v>
      </c>
      <c r="G8" s="477">
        <f>F8-E8</f>
        <v>28641</v>
      </c>
      <c r="H8" s="99">
        <f>G8+'16'!H8</f>
        <v>483350.78</v>
      </c>
      <c r="I8" s="116"/>
      <c r="J8" s="175">
        <f>H8/DAY(B2)</f>
        <v>28432.398823529413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-554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1584287</v>
      </c>
      <c r="F9" s="470">
        <v>1604974</v>
      </c>
      <c r="G9" s="476">
        <f>F9-E9</f>
        <v>20687</v>
      </c>
      <c r="H9" s="99">
        <f>G9+'16'!H9</f>
        <v>337299</v>
      </c>
      <c r="I9" s="124">
        <f>I7-J7</f>
        <v>-15879.588235294119</v>
      </c>
      <c r="J9" s="175">
        <f>H9/DAY(B2)</f>
        <v>19841.117647058825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535105</v>
      </c>
      <c r="F10" s="353">
        <v>541730</v>
      </c>
      <c r="G10" s="476">
        <f t="shared" ref="G10:G12" si="0">F10-E10</f>
        <v>6625</v>
      </c>
      <c r="H10" s="99">
        <f>G10+'16'!H10</f>
        <v>123454.53000000003</v>
      </c>
      <c r="I10" s="282"/>
      <c r="J10" s="175">
        <f>H10/DAY(B2)</f>
        <v>7262.0311764705903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6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6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8">
        <f>G9+G10+G11+G12</f>
        <v>27312</v>
      </c>
      <c r="H13" s="99">
        <f>G13+'16'!H13</f>
        <v>460754</v>
      </c>
      <c r="I13" s="120">
        <f>G7-G13</f>
        <v>775</v>
      </c>
      <c r="J13" s="175">
        <f>H13/DAY(B2)</f>
        <v>27103.176470588234</v>
      </c>
      <c r="K13" s="79"/>
      <c r="L13" s="66"/>
      <c r="N13" s="87"/>
      <c r="O13" s="71"/>
    </row>
    <row r="14" spans="1:15" ht="27.75" customHeight="1">
      <c r="A14" s="883" t="s">
        <v>137</v>
      </c>
      <c r="B14" s="884"/>
      <c r="C14" s="885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'16'!F15</f>
        <v>1988362</v>
      </c>
      <c r="F15" s="470">
        <v>1989443</v>
      </c>
      <c r="G15" s="476">
        <f>(F15-E15)</f>
        <v>1081</v>
      </c>
      <c r="H15" s="99">
        <f>G15+'16'!H15</f>
        <v>18506</v>
      </c>
      <c r="I15" s="113">
        <f>'1'!I15</f>
        <v>800</v>
      </c>
      <c r="J15" s="175">
        <f>H15/DAY(B2)</f>
        <v>1088.5882352941176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6"/>
      <c r="H16" s="124"/>
      <c r="I16" s="120">
        <f>I15-J15</f>
        <v>-288.58823529411757</v>
      </c>
      <c r="J16" s="176"/>
      <c r="K16" s="79"/>
      <c r="L16" s="66"/>
      <c r="N16" s="87"/>
      <c r="O16" s="71"/>
    </row>
    <row r="17" spans="1:15" ht="27.75" customHeight="1">
      <c r="A17" s="883" t="s">
        <v>140</v>
      </c>
      <c r="B17" s="884"/>
      <c r="C17" s="885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4" t="s">
        <v>141</v>
      </c>
      <c r="B18" s="875"/>
      <c r="C18" s="876"/>
      <c r="D18" s="151" t="s">
        <v>142</v>
      </c>
      <c r="E18" s="95">
        <f>'16'!F18</f>
        <v>31</v>
      </c>
      <c r="F18" s="122">
        <v>22</v>
      </c>
      <c r="G18" s="478">
        <f>F18*10</f>
        <v>220</v>
      </c>
      <c r="H18" s="99">
        <f>G18+'16'!H18</f>
        <v>4290</v>
      </c>
      <c r="I18" s="113">
        <f>'1'!I18</f>
        <v>65</v>
      </c>
      <c r="J18" s="175">
        <f>H18/DAY(B2)</f>
        <v>252.35294117647058</v>
      </c>
      <c r="K18" s="79"/>
      <c r="L18" s="66"/>
      <c r="N18" s="87"/>
      <c r="O18" s="71"/>
    </row>
    <row r="19" spans="1:15" ht="27.75" customHeight="1">
      <c r="A19" s="874" t="s">
        <v>69</v>
      </c>
      <c r="B19" s="875"/>
      <c r="C19" s="876"/>
      <c r="D19" s="151" t="s">
        <v>142</v>
      </c>
      <c r="E19" s="95">
        <f>'16'!F19</f>
        <v>157755</v>
      </c>
      <c r="F19" s="122">
        <v>157805</v>
      </c>
      <c r="G19" s="476">
        <f t="shared" ref="G19" si="1">F19-E19</f>
        <v>50</v>
      </c>
      <c r="H19" s="99">
        <f>G19+'16'!H19</f>
        <v>816</v>
      </c>
      <c r="I19" s="335"/>
      <c r="J19" s="175">
        <f>H19/DAY(B2)</f>
        <v>48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80">
        <f>G18+G19</f>
        <v>270</v>
      </c>
      <c r="H20" s="99">
        <f>G20+'16'!H20</f>
        <v>5106</v>
      </c>
      <c r="I20" s="336">
        <f>I18-J20</f>
        <v>-235.35294117647061</v>
      </c>
      <c r="J20" s="175">
        <f>H20/DAY(B2)</f>
        <v>300.35294117647061</v>
      </c>
      <c r="K20" s="79"/>
      <c r="L20" s="66"/>
      <c r="N20" s="87"/>
      <c r="O20" s="71"/>
    </row>
    <row r="21" spans="1:15" ht="27.75" customHeight="1">
      <c r="A21" s="883" t="s">
        <v>144</v>
      </c>
      <c r="B21" s="884"/>
      <c r="C21" s="885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8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8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8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8" t="s">
        <v>149</v>
      </c>
      <c r="B25" s="889"/>
      <c r="C25" s="890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28641</v>
      </c>
      <c r="F27" s="136">
        <v>9</v>
      </c>
      <c r="G27" s="483">
        <f>E27*F27</f>
        <v>257769</v>
      </c>
      <c r="H27" s="99">
        <f>G27+'16'!H27</f>
        <v>4350157.0199999996</v>
      </c>
      <c r="I27" s="138"/>
      <c r="J27" s="175">
        <f>H27/DAY(B2)</f>
        <v>255891.58941176467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1081</v>
      </c>
      <c r="F28" s="136">
        <v>70</v>
      </c>
      <c r="G28" s="483">
        <f>E28*F28</f>
        <v>75670</v>
      </c>
      <c r="H28" s="99">
        <f>G28+'16'!H28</f>
        <v>1236145.4599999995</v>
      </c>
      <c r="I28" s="140"/>
      <c r="J28" s="175">
        <f>H28/DAY(B2)</f>
        <v>72714.438823529388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83">
        <f>E30*F30</f>
        <v>7550</v>
      </c>
      <c r="H30" s="99">
        <f>G30+'16'!H30</f>
        <v>122546</v>
      </c>
      <c r="I30" s="140"/>
      <c r="J30" s="175">
        <f>H30/DAY(B2)</f>
        <v>7208.588235294118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83">
        <f>E31*F31</f>
        <v>17600</v>
      </c>
      <c r="H31" s="99">
        <f>G31+'16'!H31</f>
        <v>343200</v>
      </c>
      <c r="I31" s="140"/>
      <c r="J31" s="175">
        <f>H31/DAY(B2)</f>
        <v>20188.235294117647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4">
        <f>G27+G28+G29+G30+G31</f>
        <v>358589</v>
      </c>
      <c r="H32" s="99">
        <f>G32+'16'!H32</f>
        <v>6052048.4799999995</v>
      </c>
      <c r="I32" s="144"/>
      <c r="J32" s="175">
        <f>H32/DAY(B2)</f>
        <v>356002.85176470585</v>
      </c>
      <c r="K32" s="63"/>
      <c r="L32" s="89"/>
      <c r="N32" s="87"/>
      <c r="O32" s="71"/>
    </row>
    <row r="33" spans="1:15" ht="27.75" customHeight="1">
      <c r="A33" s="891" t="s">
        <v>331</v>
      </c>
      <c r="B33" s="892"/>
      <c r="C33" s="892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172784</v>
      </c>
      <c r="F35" s="145">
        <v>174945</v>
      </c>
      <c r="G35" s="476">
        <f t="shared" ref="G35:G46" si="3">F35-E35</f>
        <v>2161</v>
      </c>
      <c r="H35" s="99">
        <f>G35+'16'!H35</f>
        <v>36665.790000000008</v>
      </c>
      <c r="I35" s="95"/>
      <c r="J35" s="175">
        <f>H35/DAY(B2)</f>
        <v>2156.8111764705886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116195</v>
      </c>
      <c r="F36" s="145">
        <v>117262</v>
      </c>
      <c r="G36" s="476">
        <f t="shared" si="3"/>
        <v>1067</v>
      </c>
      <c r="H36" s="99">
        <f>G36+'16'!H36</f>
        <v>16741.339999999997</v>
      </c>
      <c r="I36" s="95"/>
      <c r="J36" s="175">
        <f>H36/DAY(B2)</f>
        <v>984.78470588235268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158712</v>
      </c>
      <c r="F37" s="145">
        <v>160314</v>
      </c>
      <c r="G37" s="476">
        <f t="shared" si="3"/>
        <v>1602</v>
      </c>
      <c r="H37" s="99">
        <f>G37+'16'!H37</f>
        <v>27388.98000000001</v>
      </c>
      <c r="I37" s="95"/>
      <c r="J37" s="175">
        <f>H37/DAY(B2)</f>
        <v>1611.1164705882359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210071</v>
      </c>
      <c r="F38" s="108">
        <v>212440</v>
      </c>
      <c r="G38" s="476">
        <f t="shared" si="3"/>
        <v>2369</v>
      </c>
      <c r="H38" s="99">
        <f>G38+'16'!H38</f>
        <v>42330.630000000005</v>
      </c>
      <c r="I38" s="95"/>
      <c r="J38" s="175">
        <f>H38/DAY(B2)</f>
        <v>2490.0370588235296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296689</v>
      </c>
      <c r="F39" s="145">
        <v>300040</v>
      </c>
      <c r="G39" s="476">
        <f t="shared" si="3"/>
        <v>3351</v>
      </c>
      <c r="H39" s="99">
        <f>G39+'16'!H39</f>
        <v>55886.570000000007</v>
      </c>
      <c r="I39" s="95"/>
      <c r="J39" s="175">
        <f>H39/DAY(B2)</f>
        <v>3287.4452941176473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56487</v>
      </c>
      <c r="F40" s="424">
        <v>56863</v>
      </c>
      <c r="G40" s="476">
        <f t="shared" si="3"/>
        <v>376</v>
      </c>
      <c r="H40" s="99">
        <f>G40+'16'!H40</f>
        <v>7711.1399999999994</v>
      </c>
      <c r="I40" s="95"/>
      <c r="J40" s="175">
        <f>H40/DAY(B2)</f>
        <v>453.59647058823526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62.7</v>
      </c>
      <c r="F41" s="145">
        <v>63</v>
      </c>
      <c r="G41" s="476">
        <f t="shared" si="3"/>
        <v>0.29999999999999716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357354</v>
      </c>
      <c r="F42" s="145">
        <v>362899</v>
      </c>
      <c r="G42" s="476">
        <f t="shared" si="3"/>
        <v>5545</v>
      </c>
      <c r="H42" s="99">
        <f>G42+'16'!H42</f>
        <v>81541.75</v>
      </c>
      <c r="I42" s="95"/>
      <c r="J42" s="175">
        <f>H42/DAY(B2)</f>
        <v>4796.5735294117649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309671</v>
      </c>
      <c r="F43" s="145">
        <v>312969</v>
      </c>
      <c r="G43" s="476">
        <f t="shared" si="3"/>
        <v>3298</v>
      </c>
      <c r="H43" s="99">
        <f>G43+'16'!H43</f>
        <v>54214.53</v>
      </c>
      <c r="I43" s="95"/>
      <c r="J43" s="175">
        <f>H43/DAY(B2)</f>
        <v>3189.09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6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6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6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19769.3</v>
      </c>
      <c r="H47" s="99">
        <f>G47+'16'!H47</f>
        <v>322480.73</v>
      </c>
      <c r="I47" s="95"/>
      <c r="J47" s="175">
        <f>H47/DAY(B2)</f>
        <v>18969.454705882352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139739</v>
      </c>
      <c r="F49" s="145">
        <v>141544</v>
      </c>
      <c r="G49" s="476">
        <f t="shared" ref="G49:G58" si="4">F49-E49</f>
        <v>1805</v>
      </c>
      <c r="H49" s="99">
        <f>G49+'16'!H49</f>
        <v>31041.800000000003</v>
      </c>
      <c r="I49" s="95"/>
      <c r="J49" s="175">
        <f>H49/DAY(B2)</f>
        <v>1825.9882352941179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153541</v>
      </c>
      <c r="F50" s="145">
        <v>154969</v>
      </c>
      <c r="G50" s="476">
        <f t="shared" si="4"/>
        <v>1428</v>
      </c>
      <c r="H50" s="99">
        <f>G50+'16'!H50</f>
        <v>23758.859999999986</v>
      </c>
      <c r="I50" s="95"/>
      <c r="J50" s="175">
        <f>H50/DAY(B2)</f>
        <v>1397.5799999999992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6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6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6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43486</v>
      </c>
      <c r="F54" s="145">
        <v>43956</v>
      </c>
      <c r="G54" s="476">
        <f t="shared" si="4"/>
        <v>470</v>
      </c>
      <c r="H54" s="99">
        <f>G54+'16'!H54</f>
        <v>8284.9400000000023</v>
      </c>
      <c r="I54" s="95"/>
      <c r="J54" s="175">
        <f>H54/DAY(B2)</f>
        <v>487.34941176470602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127264</v>
      </c>
      <c r="F55" s="145">
        <v>129592</v>
      </c>
      <c r="G55" s="476">
        <f t="shared" si="4"/>
        <v>2328</v>
      </c>
      <c r="H55" s="99">
        <f>G55+'16'!H55</f>
        <v>17110.97</v>
      </c>
      <c r="I55" s="95"/>
      <c r="J55" s="175">
        <f>H55/DAY(B2)</f>
        <v>1006.5276470588236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100576</v>
      </c>
      <c r="F56" s="145">
        <v>100576</v>
      </c>
      <c r="G56" s="476">
        <f t="shared" si="4"/>
        <v>0</v>
      </c>
      <c r="H56" s="99">
        <f>G56+'16'!H56</f>
        <v>28958.320000000007</v>
      </c>
      <c r="I56" s="95"/>
      <c r="J56" s="175">
        <f>H56/DAY(B2)</f>
        <v>1703.4305882352946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6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22248</v>
      </c>
      <c r="F58" s="424">
        <v>22487</v>
      </c>
      <c r="G58" s="476">
        <f t="shared" si="4"/>
        <v>239</v>
      </c>
      <c r="H58" s="99">
        <f>G58+'16'!H58</f>
        <v>4032.7999999999993</v>
      </c>
      <c r="I58" s="95"/>
      <c r="J58" s="175">
        <f>H58/DAY(B2)</f>
        <v>237.22352941176467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6270</v>
      </c>
      <c r="H59" s="99">
        <f>G59+'16'!H59</f>
        <v>113187.76999999999</v>
      </c>
      <c r="I59" s="95">
        <f>G7-G60</f>
        <v>2047.7000000000007</v>
      </c>
      <c r="J59" s="175">
        <f>H59/DAY(B2)</f>
        <v>6658.104117647058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8">
        <f>G47+G59</f>
        <v>26039.3</v>
      </c>
      <c r="H60" s="99">
        <f>G60+'16'!H60</f>
        <v>435668.5</v>
      </c>
      <c r="I60" s="95">
        <f>G13-G60</f>
        <v>1272.7000000000007</v>
      </c>
      <c r="J60" s="175">
        <f>H60/DAY(B2)</f>
        <v>25627.558823529413</v>
      </c>
      <c r="K60" s="79"/>
      <c r="L60" s="66"/>
      <c r="N60" s="87"/>
      <c r="O60" s="71"/>
    </row>
    <row r="61" spans="1:15" s="68" customFormat="1" ht="27.75" customHeight="1">
      <c r="A61" s="893" t="s">
        <v>332</v>
      </c>
      <c r="B61" s="894"/>
      <c r="C61" s="895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4" t="s">
        <v>198</v>
      </c>
      <c r="B62" s="875"/>
      <c r="C62" s="876"/>
      <c r="D62" s="151" t="s">
        <v>142</v>
      </c>
      <c r="E62" s="95">
        <f>'16'!F62</f>
        <v>281532</v>
      </c>
      <c r="F62" s="122">
        <v>281706</v>
      </c>
      <c r="G62" s="476">
        <f t="shared" ref="G62:G63" si="5">F62-E62</f>
        <v>174</v>
      </c>
      <c r="H62" s="99">
        <f>G62+'16'!H62</f>
        <v>3080</v>
      </c>
      <c r="I62" s="118"/>
      <c r="J62" s="175">
        <f>H62/DAY(B2)</f>
        <v>181.1764705882353</v>
      </c>
      <c r="K62" s="80"/>
      <c r="L62" s="66"/>
      <c r="N62" s="87"/>
      <c r="O62" s="71"/>
    </row>
    <row r="63" spans="1:15" ht="27.75" customHeight="1">
      <c r="A63" s="874" t="s">
        <v>199</v>
      </c>
      <c r="B63" s="875"/>
      <c r="C63" s="876"/>
      <c r="D63" s="151" t="s">
        <v>142</v>
      </c>
      <c r="E63" s="95">
        <f>'16'!F63</f>
        <v>225495</v>
      </c>
      <c r="F63" s="122">
        <v>225645</v>
      </c>
      <c r="G63" s="476">
        <f t="shared" si="5"/>
        <v>150</v>
      </c>
      <c r="H63" s="99">
        <f>G63+'16'!H63</f>
        <v>2564</v>
      </c>
      <c r="I63" s="118"/>
      <c r="J63" s="175">
        <f>H63/DAY(B2)</f>
        <v>150.8235294117647</v>
      </c>
      <c r="K63" s="69"/>
      <c r="L63" s="66"/>
      <c r="N63" s="87"/>
      <c r="O63" s="71"/>
    </row>
    <row r="64" spans="1:15" ht="27.75" customHeight="1">
      <c r="A64" s="871" t="s">
        <v>200</v>
      </c>
      <c r="B64" s="872"/>
      <c r="C64" s="873"/>
      <c r="D64" s="151"/>
      <c r="E64" s="95">
        <f>'16'!F64</f>
        <v>0</v>
      </c>
      <c r="F64" s="122"/>
      <c r="G64" s="476">
        <f>G62+G63</f>
        <v>324</v>
      </c>
      <c r="H64" s="99">
        <f>G64+'16'!H64</f>
        <v>5644</v>
      </c>
      <c r="I64" s="118"/>
      <c r="J64" s="175">
        <f>H64/DAY(B2)</f>
        <v>332</v>
      </c>
      <c r="K64" s="69"/>
      <c r="L64" s="66"/>
      <c r="N64" s="87"/>
      <c r="O64" s="71"/>
    </row>
    <row r="65" spans="1:15" ht="27.75" customHeight="1">
      <c r="A65" s="874" t="s">
        <v>201</v>
      </c>
      <c r="B65" s="875"/>
      <c r="C65" s="876"/>
      <c r="D65" s="151" t="s">
        <v>142</v>
      </c>
      <c r="E65" s="95">
        <f>'16'!F65</f>
        <v>442960</v>
      </c>
      <c r="F65" s="122">
        <v>443059</v>
      </c>
      <c r="G65" s="476">
        <f t="shared" ref="G65:G70" si="6">F65-E65</f>
        <v>99</v>
      </c>
      <c r="H65" s="99">
        <f>G65+'16'!H65</f>
        <v>1928</v>
      </c>
      <c r="I65" s="118"/>
      <c r="J65" s="175">
        <f>H65/DAY(B2)</f>
        <v>113.41176470588235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109350</v>
      </c>
      <c r="F66" s="122">
        <v>109374</v>
      </c>
      <c r="G66" s="476">
        <f t="shared" si="6"/>
        <v>24</v>
      </c>
      <c r="H66" s="99">
        <f>G66+'16'!H66</f>
        <v>304</v>
      </c>
      <c r="I66" s="118"/>
      <c r="J66" s="175">
        <f>H66/DAY(B2)</f>
        <v>17.882352941176471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109786</v>
      </c>
      <c r="F67" s="122">
        <v>109872</v>
      </c>
      <c r="G67" s="476">
        <f t="shared" si="6"/>
        <v>86</v>
      </c>
      <c r="H67" s="99">
        <f>G67+'16'!H67</f>
        <v>1279</v>
      </c>
      <c r="I67" s="118"/>
      <c r="J67" s="175">
        <f>H67/DAY(B2)</f>
        <v>75.235294117647058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161150</v>
      </c>
      <c r="F68" s="122">
        <v>161172</v>
      </c>
      <c r="G68" s="476">
        <f t="shared" si="6"/>
        <v>22</v>
      </c>
      <c r="H68" s="99">
        <f>G68+'16'!H68</f>
        <v>763</v>
      </c>
      <c r="I68" s="118"/>
      <c r="J68" s="175">
        <f>H68/DAY(B2)</f>
        <v>44.882352941176471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11426</v>
      </c>
      <c r="F69" s="122">
        <v>11435</v>
      </c>
      <c r="G69" s="476">
        <f t="shared" si="6"/>
        <v>9</v>
      </c>
      <c r="H69" s="99">
        <f>G69+'16'!H69</f>
        <v>234</v>
      </c>
      <c r="I69" s="118"/>
      <c r="J69" s="175">
        <f>H69/DAY(B2)</f>
        <v>13.764705882352942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8868</v>
      </c>
      <c r="F70" s="122">
        <v>8879</v>
      </c>
      <c r="G70" s="476">
        <f t="shared" si="6"/>
        <v>11</v>
      </c>
      <c r="H70" s="99">
        <f>G70+'16'!H70</f>
        <v>151</v>
      </c>
      <c r="I70" s="118"/>
      <c r="J70" s="175">
        <f>H70/DAY(B2)</f>
        <v>8.882352941176471</v>
      </c>
      <c r="K70" s="69"/>
      <c r="L70" s="66"/>
      <c r="N70" s="87"/>
      <c r="O70" s="71"/>
    </row>
    <row r="71" spans="1:15" ht="27.75" customHeight="1">
      <c r="A71" s="871" t="s">
        <v>208</v>
      </c>
      <c r="B71" s="872"/>
      <c r="C71" s="873"/>
      <c r="D71" s="152"/>
      <c r="E71" s="152"/>
      <c r="F71" s="152"/>
      <c r="G71" s="488">
        <f>SUM(G65:G70)</f>
        <v>251</v>
      </c>
      <c r="H71" s="99">
        <f>G71+'16'!H71</f>
        <v>4659</v>
      </c>
      <c r="I71" s="154"/>
      <c r="J71" s="175">
        <f>H71/DAY(B2)</f>
        <v>274.05882352941177</v>
      </c>
      <c r="K71" s="69"/>
      <c r="L71" s="66"/>
      <c r="N71" s="87"/>
      <c r="O71" s="71"/>
    </row>
    <row r="72" spans="1:15" s="88" customFormat="1" ht="27.75" customHeight="1">
      <c r="A72" s="917"/>
      <c r="B72" s="909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4" t="s">
        <v>220</v>
      </c>
      <c r="B74" s="875"/>
      <c r="C74" s="876"/>
      <c r="D74" s="151" t="s">
        <v>139</v>
      </c>
      <c r="E74" s="95">
        <f>'16'!F74</f>
        <v>924281</v>
      </c>
      <c r="F74" s="117">
        <v>924627</v>
      </c>
      <c r="G74" s="476">
        <f t="shared" ref="G74:G78" si="7">F74-E74</f>
        <v>346</v>
      </c>
      <c r="H74" s="99">
        <f>G74+'16'!H74</f>
        <v>5302.4899999999907</v>
      </c>
      <c r="I74" s="154"/>
      <c r="J74" s="175">
        <f>H74/DAY(B2)</f>
        <v>311.91117647058769</v>
      </c>
      <c r="K74" s="69"/>
      <c r="L74" s="66"/>
      <c r="N74" s="87"/>
      <c r="O74" s="71"/>
    </row>
    <row r="75" spans="1:15" ht="27.75" customHeight="1">
      <c r="A75" s="874" t="s">
        <v>221</v>
      </c>
      <c r="B75" s="875"/>
      <c r="C75" s="876"/>
      <c r="D75" s="151" t="s">
        <v>139</v>
      </c>
      <c r="E75" s="95">
        <f>'16'!F75</f>
        <v>73586.8</v>
      </c>
      <c r="F75" s="123">
        <v>73586.8</v>
      </c>
      <c r="G75" s="476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8" t="s">
        <v>222</v>
      </c>
      <c r="B76" s="904"/>
      <c r="C76" s="905"/>
      <c r="D76" s="151" t="s">
        <v>139</v>
      </c>
      <c r="E76" s="95">
        <f>'16'!F76</f>
        <v>178467</v>
      </c>
      <c r="F76" s="123">
        <v>178586</v>
      </c>
      <c r="G76" s="476">
        <f t="shared" si="7"/>
        <v>119</v>
      </c>
      <c r="H76" s="99">
        <f>G76+'16'!H76</f>
        <v>1999</v>
      </c>
      <c r="I76" s="154"/>
      <c r="J76" s="175">
        <f>H76/DAY(B2)</f>
        <v>117.58823529411765</v>
      </c>
      <c r="K76" s="69"/>
      <c r="L76" s="66"/>
      <c r="N76" s="87"/>
      <c r="O76" s="71"/>
    </row>
    <row r="77" spans="1:15" ht="27.75" customHeight="1">
      <c r="A77" s="918" t="s">
        <v>223</v>
      </c>
      <c r="B77" s="904"/>
      <c r="C77" s="905"/>
      <c r="D77" s="151" t="s">
        <v>139</v>
      </c>
      <c r="E77" s="95">
        <f>'16'!F77</f>
        <v>44960</v>
      </c>
      <c r="F77" s="123">
        <v>45019</v>
      </c>
      <c r="G77" s="476">
        <f t="shared" si="7"/>
        <v>59</v>
      </c>
      <c r="H77" s="99">
        <f>G77+'16'!H77</f>
        <v>856</v>
      </c>
      <c r="I77" s="154"/>
      <c r="J77" s="175">
        <f>H77/DAY(B2)</f>
        <v>50.352941176470587</v>
      </c>
      <c r="K77" s="69"/>
      <c r="L77" s="66"/>
      <c r="N77" s="87"/>
      <c r="O77" s="71"/>
    </row>
    <row r="78" spans="1:15" ht="27.75" customHeight="1">
      <c r="A78" s="918" t="s">
        <v>224</v>
      </c>
      <c r="B78" s="904"/>
      <c r="C78" s="905"/>
      <c r="D78" s="151" t="s">
        <v>139</v>
      </c>
      <c r="E78" s="95">
        <f>'16'!F78</f>
        <v>9564</v>
      </c>
      <c r="F78" s="123">
        <v>9564</v>
      </c>
      <c r="G78" s="476">
        <f t="shared" si="7"/>
        <v>0</v>
      </c>
      <c r="H78" s="99">
        <f>G78+'16'!H78</f>
        <v>1</v>
      </c>
      <c r="I78" s="118"/>
      <c r="J78" s="175">
        <f>H78/DAY(B2)</f>
        <v>5.8823529411764705E-2</v>
      </c>
      <c r="K78" s="69"/>
      <c r="L78" s="66"/>
      <c r="N78" s="87"/>
      <c r="O78" s="71"/>
    </row>
    <row r="79" spans="1:15" s="57" customFormat="1" ht="27.75" customHeight="1">
      <c r="A79" s="918" t="s">
        <v>225</v>
      </c>
      <c r="B79" s="904"/>
      <c r="C79" s="905"/>
      <c r="D79" s="151"/>
      <c r="E79" s="95">
        <f>'16'!F79</f>
        <v>0</v>
      </c>
      <c r="F79" s="123"/>
      <c r="G79" s="476">
        <f>G15-SUM(G74:G78)</f>
        <v>557</v>
      </c>
      <c r="H79" s="99">
        <f>G79+'16'!H79</f>
        <v>10347.510000000009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1" t="s">
        <v>329</v>
      </c>
      <c r="B80" s="872"/>
      <c r="C80" s="873"/>
      <c r="D80" s="151"/>
      <c r="E80" s="117"/>
      <c r="F80" s="117"/>
      <c r="G80" s="476">
        <f>SUM(G74:G79)</f>
        <v>1081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0" t="s">
        <v>226</v>
      </c>
      <c r="B81" s="911"/>
      <c r="C81" s="912"/>
      <c r="D81" s="110"/>
      <c r="E81" s="110"/>
      <c r="F81" s="110"/>
      <c r="G81" s="490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6">
        <f t="shared" ref="G82:G92" si="8">F82-E82</f>
        <v>0</v>
      </c>
      <c r="H82" s="99">
        <f>G82+'16'!H82</f>
        <v>0</v>
      </c>
      <c r="I82" s="594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6">
        <f t="shared" si="8"/>
        <v>0</v>
      </c>
      <c r="H83" s="99">
        <f>G83+'16'!H83</f>
        <v>0</v>
      </c>
      <c r="I83" s="594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476">
        <f t="shared" si="8"/>
        <v>0</v>
      </c>
      <c r="H84" s="99">
        <f>G84+'16'!H84</f>
        <v>0</v>
      </c>
      <c r="I84" s="594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3485</v>
      </c>
      <c r="F85" s="164">
        <v>3509</v>
      </c>
      <c r="G85" s="476">
        <f t="shared" si="8"/>
        <v>24</v>
      </c>
      <c r="H85" s="99">
        <f>G85+'16'!H85</f>
        <v>350.5</v>
      </c>
      <c r="I85" s="594"/>
      <c r="J85" s="175">
        <f>H85/DAY(B2)</f>
        <v>20.617647058823529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43820</v>
      </c>
      <c r="F86" s="164">
        <v>43836.47</v>
      </c>
      <c r="G86" s="476">
        <f t="shared" si="8"/>
        <v>16.470000000001164</v>
      </c>
      <c r="H86" s="99">
        <f>G86+'16'!H86</f>
        <v>116.06999999999971</v>
      </c>
      <c r="I86" s="594"/>
      <c r="J86" s="175">
        <f>H86/DAY(B2)</f>
        <v>6.8276470588235121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35276</v>
      </c>
      <c r="F87" s="164">
        <v>35276</v>
      </c>
      <c r="G87" s="476">
        <f t="shared" si="8"/>
        <v>0</v>
      </c>
      <c r="H87" s="99">
        <f>G87+'16'!H87</f>
        <v>195.65000000000146</v>
      </c>
      <c r="I87" s="594">
        <f>G84+G85+G86+G87</f>
        <v>40.470000000001164</v>
      </c>
      <c r="J87" s="175">
        <f>H87/DAY(B2)</f>
        <v>11.508823529411851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24146</v>
      </c>
      <c r="F88" s="164">
        <v>24156.38</v>
      </c>
      <c r="G88" s="476">
        <f t="shared" si="8"/>
        <v>10.380000000001019</v>
      </c>
      <c r="H88" s="99">
        <f>G88+'16'!H88</f>
        <v>46.979999999999563</v>
      </c>
      <c r="I88" s="594"/>
      <c r="J88" s="175">
        <f>H88/DAY(B2)</f>
        <v>2.7635294117646803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26603</v>
      </c>
      <c r="F89" s="164">
        <v>26604</v>
      </c>
      <c r="G89" s="476">
        <f t="shared" si="8"/>
        <v>1</v>
      </c>
      <c r="H89" s="99">
        <f>G89+'16'!H89</f>
        <v>132.20999999999913</v>
      </c>
      <c r="I89" s="594">
        <f>G88+G89</f>
        <v>11.380000000001019</v>
      </c>
      <c r="J89" s="175">
        <f>H89/DAY(B2)</f>
        <v>7.7770588235293605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71729</v>
      </c>
      <c r="F90" s="164">
        <v>71739</v>
      </c>
      <c r="G90" s="476">
        <f t="shared" si="8"/>
        <v>10</v>
      </c>
      <c r="H90" s="99">
        <f>G90+'16'!H90</f>
        <v>165.88999999999942</v>
      </c>
      <c r="I90" s="594">
        <f>G90</f>
        <v>10</v>
      </c>
      <c r="J90" s="175">
        <f>H90/DAY(B2)</f>
        <v>9.7582352941176129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3910</v>
      </c>
      <c r="F91" s="122">
        <v>3910</v>
      </c>
      <c r="G91" s="476">
        <f t="shared" si="8"/>
        <v>0</v>
      </c>
      <c r="H91" s="99">
        <f>G91+'16'!H91</f>
        <v>0.25</v>
      </c>
      <c r="I91" s="688"/>
      <c r="J91" s="175">
        <f>H91/DAY(B2)</f>
        <v>1.4705882352941176E-2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5920</v>
      </c>
      <c r="F92" s="122">
        <v>5932</v>
      </c>
      <c r="G92" s="476">
        <f t="shared" si="8"/>
        <v>12</v>
      </c>
      <c r="H92" s="99">
        <f>G92+'16'!H92</f>
        <v>184.69999999999982</v>
      </c>
      <c r="I92" s="705">
        <f>G91+G92</f>
        <v>12</v>
      </c>
      <c r="J92" s="175">
        <f>H92/DAY(B2)</f>
        <v>10.864705882352931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7.75" customHeight="1">
      <c r="A94" s="874" t="s">
        <v>240</v>
      </c>
      <c r="B94" s="875"/>
      <c r="C94" s="876"/>
      <c r="D94" s="151" t="s">
        <v>130</v>
      </c>
      <c r="E94" s="151"/>
      <c r="F94" s="151"/>
      <c r="G94" s="491">
        <f>G35+G43+G49+G57</f>
        <v>7264</v>
      </c>
      <c r="H94" s="99">
        <f>G94+'16'!H94</f>
        <v>121922.12000000001</v>
      </c>
      <c r="I94" s="118"/>
      <c r="J94" s="175">
        <f>H94/DAY(B2)</f>
        <v>7171.8894117647069</v>
      </c>
      <c r="K94" s="69"/>
      <c r="L94" s="66"/>
      <c r="O94" s="71"/>
    </row>
    <row r="95" spans="1:15" ht="27.75" customHeight="1">
      <c r="A95" s="874" t="s">
        <v>241</v>
      </c>
      <c r="B95" s="875"/>
      <c r="C95" s="876"/>
      <c r="D95" s="151" t="s">
        <v>23</v>
      </c>
      <c r="E95" s="146"/>
      <c r="F95" s="146"/>
      <c r="G95" s="492">
        <f>G94/G7</f>
        <v>0.25862498664862749</v>
      </c>
      <c r="H95" s="99">
        <f>G95+'16'!H95</f>
        <v>4.374806237187598</v>
      </c>
      <c r="I95" s="167"/>
      <c r="J95" s="175">
        <f>H95/DAY(B2)</f>
        <v>0.25734154336397635</v>
      </c>
      <c r="K95" s="69"/>
      <c r="L95" s="66"/>
      <c r="O95" s="71"/>
    </row>
    <row r="96" spans="1:15" ht="27.75" customHeight="1">
      <c r="A96" s="874" t="s">
        <v>242</v>
      </c>
      <c r="B96" s="875"/>
      <c r="C96" s="876"/>
      <c r="D96" s="151" t="s">
        <v>130</v>
      </c>
      <c r="E96" s="95"/>
      <c r="F96" s="95"/>
      <c r="G96" s="491">
        <f>G41+G42+G55+G56</f>
        <v>7873.3</v>
      </c>
      <c r="H96" s="99">
        <f>G96+'16'!H96</f>
        <v>127611.04000000001</v>
      </c>
      <c r="I96" s="118"/>
      <c r="J96" s="175">
        <f>H96/DAY(B2)</f>
        <v>7506.5317647058828</v>
      </c>
      <c r="K96" s="69"/>
      <c r="L96" s="66"/>
      <c r="O96" s="71"/>
    </row>
    <row r="97" spans="1:15" ht="27.75" customHeight="1">
      <c r="A97" s="874" t="s">
        <v>243</v>
      </c>
      <c r="B97" s="875"/>
      <c r="C97" s="876"/>
      <c r="D97" s="151" t="s">
        <v>23</v>
      </c>
      <c r="E97" s="95"/>
      <c r="F97" s="95"/>
      <c r="G97" s="492">
        <f>G96/G7</f>
        <v>0.28031829672090292</v>
      </c>
      <c r="H97" s="99">
        <f>G97+'16'!H97</f>
        <v>4.5709232757285578</v>
      </c>
      <c r="I97" s="167"/>
      <c r="J97" s="175">
        <f>H97/DAY(B2)</f>
        <v>0.26887783974873869</v>
      </c>
      <c r="K97" s="69"/>
      <c r="L97" s="66"/>
      <c r="O97" s="71"/>
    </row>
    <row r="98" spans="1:15" ht="27.75" customHeight="1">
      <c r="A98" s="874" t="s">
        <v>244</v>
      </c>
      <c r="B98" s="875"/>
      <c r="C98" s="876"/>
      <c r="D98" s="151" t="s">
        <v>130</v>
      </c>
      <c r="E98" s="95"/>
      <c r="F98" s="95"/>
      <c r="G98" s="491">
        <f>G39+G53</f>
        <v>3351</v>
      </c>
      <c r="H98" s="99">
        <f>G98+'16'!H98</f>
        <v>55886.570000000007</v>
      </c>
      <c r="I98" s="168"/>
      <c r="J98" s="175">
        <f>H98/DAY(B2)</f>
        <v>3287.4452941176473</v>
      </c>
      <c r="K98" s="69"/>
      <c r="L98" s="66"/>
      <c r="O98" s="71"/>
    </row>
    <row r="99" spans="1:15" ht="27.75" customHeight="1">
      <c r="A99" s="874" t="s">
        <v>245</v>
      </c>
      <c r="B99" s="875"/>
      <c r="C99" s="876"/>
      <c r="D99" s="151" t="s">
        <v>23</v>
      </c>
      <c r="E99" s="95"/>
      <c r="F99" s="95"/>
      <c r="G99" s="492">
        <f>G98/G7</f>
        <v>0.11930786484850643</v>
      </c>
      <c r="H99" s="99">
        <f>G99+'16'!H99</f>
        <v>2.0081566563703945</v>
      </c>
      <c r="I99" s="168"/>
      <c r="J99" s="175">
        <f>H99/DAY(B2)</f>
        <v>0.11812686213943498</v>
      </c>
      <c r="O99" s="71"/>
    </row>
    <row r="100" spans="1:15" ht="27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491">
        <f>G38+G52</f>
        <v>2369</v>
      </c>
      <c r="H100" s="99">
        <f>G100+'16'!H100</f>
        <v>42330.390000000007</v>
      </c>
      <c r="I100" s="118"/>
      <c r="J100" s="175">
        <f>H100/DAY(B2)</f>
        <v>2490.0229411764708</v>
      </c>
      <c r="K100" s="70"/>
      <c r="O100" s="71"/>
    </row>
    <row r="101" spans="1:15" ht="27.75" customHeight="1">
      <c r="A101" s="874" t="s">
        <v>247</v>
      </c>
      <c r="B101" s="875"/>
      <c r="C101" s="876"/>
      <c r="D101" s="151" t="s">
        <v>23</v>
      </c>
      <c r="E101" s="95"/>
      <c r="F101" s="95"/>
      <c r="G101" s="492">
        <f>G100/G7</f>
        <v>8.4345070673265216E-2</v>
      </c>
      <c r="H101" s="99">
        <f>G101+'16'!H101</f>
        <v>1.5210500244517675</v>
      </c>
      <c r="I101" s="168"/>
      <c r="J101" s="175">
        <f>H101/DAY(B2)</f>
        <v>8.9473530850103969E-2</v>
      </c>
      <c r="O101" s="71"/>
    </row>
    <row r="102" spans="1:15" ht="27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491">
        <f>G36+G50</f>
        <v>2495</v>
      </c>
      <c r="H102" s="99">
        <f>G102+'16'!H102</f>
        <v>40500.199999999983</v>
      </c>
      <c r="I102" s="168"/>
      <c r="J102" s="175">
        <f>H102/DAY(B2)</f>
        <v>2382.3647058823517</v>
      </c>
      <c r="O102" s="71"/>
    </row>
    <row r="103" spans="1:15" ht="27.75" customHeight="1">
      <c r="A103" s="874" t="s">
        <v>249</v>
      </c>
      <c r="B103" s="875"/>
      <c r="C103" s="876"/>
      <c r="D103" s="151" t="s">
        <v>23</v>
      </c>
      <c r="E103" s="95"/>
      <c r="F103" s="95"/>
      <c r="G103" s="492">
        <f>G102/G7</f>
        <v>8.8831131840353184E-2</v>
      </c>
      <c r="H103" s="99">
        <f>G103+'16'!H103</f>
        <v>1.451254961302354</v>
      </c>
      <c r="I103" s="118"/>
      <c r="J103" s="175">
        <f>H103/DAY(B2)</f>
        <v>8.5367938900138468E-2</v>
      </c>
      <c r="O103" s="71"/>
    </row>
    <row r="104" spans="1:15" ht="27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491">
        <f>G37+G51</f>
        <v>1602</v>
      </c>
      <c r="H104" s="99">
        <f>G104+'16'!H104</f>
        <v>27389.30000000001</v>
      </c>
      <c r="I104" s="118"/>
      <c r="J104" s="175">
        <f>H104/DAY(B2)</f>
        <v>1611.1352941176476</v>
      </c>
      <c r="O104" s="71"/>
    </row>
    <row r="105" spans="1:15" ht="27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493">
        <f>G104/G7</f>
        <v>5.7037063410118563E-2</v>
      </c>
      <c r="H105" s="99">
        <f>G105+'16'!H105</f>
        <v>0.9832594111117916</v>
      </c>
      <c r="I105" s="187"/>
      <c r="J105" s="188">
        <f>H105/DAY(B2)</f>
        <v>5.7838788888928919E-2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8" spans="1:15" ht="27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7.75" customHeight="1">
      <c r="A109" s="913"/>
      <c r="B109" s="913"/>
    </row>
    <row r="110" spans="1:15" ht="27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7.75" customHeight="1">
      <c r="A111" s="932"/>
      <c r="B111" s="933"/>
      <c r="C111" s="934"/>
      <c r="D111" s="165"/>
      <c r="E111" s="165"/>
      <c r="F111" s="165"/>
      <c r="G111" s="496"/>
      <c r="H111" s="156"/>
      <c r="I111" s="165"/>
      <c r="J111" s="327"/>
    </row>
    <row r="112" spans="1:15" ht="27.75" customHeight="1">
      <c r="A112" s="907" t="s">
        <v>252</v>
      </c>
      <c r="B112" s="908"/>
      <c r="C112" s="909"/>
      <c r="D112" s="146" t="s">
        <v>183</v>
      </c>
      <c r="E112" s="95">
        <f>'16'!F112</f>
        <v>63435</v>
      </c>
      <c r="F112" s="237">
        <v>63515</v>
      </c>
      <c r="G112" s="476">
        <f t="shared" ref="G112:G123" si="9">F112-E112</f>
        <v>80</v>
      </c>
      <c r="H112" s="99">
        <f>G112+'16'!H112</f>
        <v>1371.4700000000012</v>
      </c>
      <c r="I112" s="165"/>
      <c r="J112" s="328">
        <f>H112/DAY(B2)</f>
        <v>80.67470588235301</v>
      </c>
    </row>
    <row r="113" spans="1:18" ht="27.75" customHeight="1">
      <c r="A113" s="907" t="s">
        <v>253</v>
      </c>
      <c r="B113" s="908"/>
      <c r="C113" s="909"/>
      <c r="D113" s="146" t="s">
        <v>183</v>
      </c>
      <c r="E113" s="95">
        <f>'16'!F113</f>
        <v>82122</v>
      </c>
      <c r="F113" s="237">
        <v>82650</v>
      </c>
      <c r="G113" s="476">
        <f t="shared" si="9"/>
        <v>528</v>
      </c>
      <c r="H113" s="99">
        <f>G113+'16'!H113</f>
        <v>8394.3999999999942</v>
      </c>
      <c r="I113" s="165"/>
      <c r="J113" s="328">
        <f>H113/DAY(B2)</f>
        <v>493.78823529411733</v>
      </c>
    </row>
    <row r="114" spans="1:18" ht="27.75" customHeight="1">
      <c r="A114" s="907" t="s">
        <v>254</v>
      </c>
      <c r="B114" s="908"/>
      <c r="C114" s="909"/>
      <c r="D114" s="146" t="s">
        <v>183</v>
      </c>
      <c r="E114" s="95">
        <f>'16'!F114</f>
        <v>54609</v>
      </c>
      <c r="F114" s="417">
        <v>55025</v>
      </c>
      <c r="G114" s="476">
        <f t="shared" si="9"/>
        <v>416</v>
      </c>
      <c r="H114" s="99">
        <f>G114+'16'!H114</f>
        <v>4762</v>
      </c>
      <c r="I114" s="165"/>
      <c r="J114" s="328">
        <f>H114/DAY(B2)</f>
        <v>280.11764705882354</v>
      </c>
    </row>
    <row r="115" spans="1:18" ht="27.75" customHeight="1">
      <c r="A115" s="907" t="s">
        <v>255</v>
      </c>
      <c r="B115" s="908"/>
      <c r="C115" s="909"/>
      <c r="D115" s="146" t="s">
        <v>183</v>
      </c>
      <c r="E115" s="95">
        <f>'16'!F115</f>
        <v>10211</v>
      </c>
      <c r="F115" s="237">
        <v>10223</v>
      </c>
      <c r="G115" s="476">
        <f t="shared" si="9"/>
        <v>12</v>
      </c>
      <c r="H115" s="99">
        <f>G115+'16'!H115</f>
        <v>394.48999999999978</v>
      </c>
      <c r="I115" s="165"/>
      <c r="J115" s="328">
        <f>H115/DAY(B2)</f>
        <v>23.205294117647046</v>
      </c>
    </row>
    <row r="116" spans="1:18" ht="27.75" customHeight="1">
      <c r="A116" s="925" t="s">
        <v>96</v>
      </c>
      <c r="B116" s="926"/>
      <c r="C116" s="927"/>
      <c r="D116" s="146" t="s">
        <v>183</v>
      </c>
      <c r="E116" s="95">
        <f>'16'!F116</f>
        <v>29628</v>
      </c>
      <c r="F116" s="237">
        <v>30067</v>
      </c>
      <c r="G116" s="476">
        <f t="shared" si="9"/>
        <v>439</v>
      </c>
      <c r="H116" s="99">
        <f>G116+'16'!H116</f>
        <v>7282.380000000001</v>
      </c>
      <c r="I116" s="165"/>
      <c r="J116" s="328">
        <f>H116/DAY(B2)</f>
        <v>428.37529411764712</v>
      </c>
      <c r="Q116" s="907"/>
      <c r="R116" s="909"/>
    </row>
    <row r="117" spans="1:18" ht="27.75" customHeight="1">
      <c r="A117" s="925" t="s">
        <v>184</v>
      </c>
      <c r="B117" s="926"/>
      <c r="C117" s="927"/>
      <c r="D117" s="146" t="s">
        <v>183</v>
      </c>
      <c r="E117" s="95">
        <f>'16'!F117</f>
        <v>16685</v>
      </c>
      <c r="F117" s="237">
        <v>16856</v>
      </c>
      <c r="G117" s="476">
        <f t="shared" si="9"/>
        <v>171</v>
      </c>
      <c r="H117" s="99">
        <f>G117+'16'!H117</f>
        <v>3242.8269999999993</v>
      </c>
      <c r="I117" s="165"/>
      <c r="J117" s="328">
        <f>H117/DAY(B2)</f>
        <v>190.75452941176468</v>
      </c>
      <c r="Q117" s="907"/>
      <c r="R117" s="909"/>
    </row>
    <row r="118" spans="1:18" ht="27.75" customHeight="1">
      <c r="A118" s="902" t="s">
        <v>97</v>
      </c>
      <c r="B118" s="902"/>
      <c r="C118" s="902"/>
      <c r="D118" s="151" t="s">
        <v>183</v>
      </c>
      <c r="E118" s="95">
        <f>'16'!F118</f>
        <v>1548</v>
      </c>
      <c r="F118" s="237">
        <v>2059</v>
      </c>
      <c r="G118" s="476">
        <f t="shared" si="9"/>
        <v>511</v>
      </c>
      <c r="H118" s="99">
        <f>G118+'16'!H118</f>
        <v>9007.0300000000279</v>
      </c>
      <c r="I118" s="165"/>
      <c r="J118" s="328">
        <f>H118/DAY(B2)</f>
        <v>529.8252941176487</v>
      </c>
      <c r="Q118" s="907"/>
      <c r="R118" s="909"/>
    </row>
    <row r="119" spans="1:18" ht="27.75" customHeight="1">
      <c r="A119" s="902" t="s">
        <v>98</v>
      </c>
      <c r="B119" s="902"/>
      <c r="C119" s="902"/>
      <c r="D119" s="151" t="s">
        <v>183</v>
      </c>
      <c r="E119" s="95">
        <f>'16'!F119</f>
        <v>290068</v>
      </c>
      <c r="F119" s="237">
        <v>290527</v>
      </c>
      <c r="G119" s="476">
        <f t="shared" si="9"/>
        <v>459</v>
      </c>
      <c r="H119" s="99">
        <f>G119+'16'!H119</f>
        <v>7429.609999999986</v>
      </c>
      <c r="I119" s="165"/>
      <c r="J119" s="328">
        <f>H119/DAY(B2)</f>
        <v>437.03588235294035</v>
      </c>
    </row>
    <row r="120" spans="1:18" ht="27.75" customHeight="1">
      <c r="A120" s="902" t="s">
        <v>99</v>
      </c>
      <c r="B120" s="902"/>
      <c r="C120" s="902"/>
      <c r="D120" s="151" t="s">
        <v>183</v>
      </c>
      <c r="E120" s="95">
        <f>'16'!F120</f>
        <v>1241</v>
      </c>
      <c r="F120" s="237">
        <v>1660</v>
      </c>
      <c r="G120" s="476">
        <f t="shared" si="9"/>
        <v>419</v>
      </c>
      <c r="H120" s="99">
        <f>G120+'16'!H120</f>
        <v>7006.2400000000052</v>
      </c>
      <c r="I120" s="165"/>
      <c r="J120" s="328">
        <f>H120/DAY(B2)</f>
        <v>412.13176470588269</v>
      </c>
    </row>
    <row r="121" spans="1:18" ht="27.75" customHeight="1">
      <c r="A121" s="902" t="s">
        <v>100</v>
      </c>
      <c r="B121" s="902"/>
      <c r="C121" s="902"/>
      <c r="D121" s="151" t="s">
        <v>183</v>
      </c>
      <c r="E121" s="95">
        <f>'16'!F121</f>
        <v>2442</v>
      </c>
      <c r="F121" s="237">
        <v>3229</v>
      </c>
      <c r="G121" s="476">
        <f t="shared" si="9"/>
        <v>787</v>
      </c>
      <c r="H121" s="99">
        <f>G121+'16'!H121</f>
        <v>13633.729999999981</v>
      </c>
      <c r="I121" s="165"/>
      <c r="J121" s="328">
        <f>H121/DAY(B2)</f>
        <v>801.9841176470577</v>
      </c>
    </row>
    <row r="122" spans="1:18" ht="27.75" customHeight="1">
      <c r="A122" s="902" t="s">
        <v>101</v>
      </c>
      <c r="B122" s="902"/>
      <c r="C122" s="902"/>
      <c r="D122" s="151" t="s">
        <v>183</v>
      </c>
      <c r="E122" s="95">
        <f>'16'!F122</f>
        <v>614</v>
      </c>
      <c r="F122" s="237">
        <v>803</v>
      </c>
      <c r="G122" s="476">
        <f t="shared" si="9"/>
        <v>189</v>
      </c>
      <c r="H122" s="99">
        <f>G122+'16'!H122</f>
        <v>3619.859999999986</v>
      </c>
      <c r="I122" s="165"/>
      <c r="J122" s="328">
        <f>H122/DAY(B2)</f>
        <v>212.93294117646977</v>
      </c>
    </row>
    <row r="123" spans="1:18" ht="27.75" customHeight="1">
      <c r="A123" s="902" t="s">
        <v>102</v>
      </c>
      <c r="B123" s="902"/>
      <c r="C123" s="902"/>
      <c r="D123" s="151" t="s">
        <v>183</v>
      </c>
      <c r="E123" s="95">
        <f>'16'!F123</f>
        <v>173541</v>
      </c>
      <c r="F123" s="237">
        <v>173789</v>
      </c>
      <c r="G123" s="476">
        <f t="shared" si="9"/>
        <v>248</v>
      </c>
      <c r="H123" s="99">
        <f>G123+'16'!H123</f>
        <v>4347</v>
      </c>
      <c r="I123" s="165"/>
      <c r="J123" s="328">
        <f>H123/DAY(B2)</f>
        <v>255.70588235294119</v>
      </c>
    </row>
    <row r="124" spans="1:18" ht="27.75" customHeight="1">
      <c r="A124" s="932"/>
      <c r="B124" s="933"/>
      <c r="C124" s="934"/>
      <c r="D124" s="165"/>
      <c r="E124" s="95">
        <f>'16'!F124</f>
        <v>0</v>
      </c>
      <c r="F124" s="165"/>
      <c r="G124" s="496"/>
      <c r="H124" s="99">
        <f>G124+'16'!H124</f>
        <v>0</v>
      </c>
      <c r="I124" s="165"/>
      <c r="J124" s="327"/>
    </row>
    <row r="125" spans="1:18" ht="27.75" customHeight="1">
      <c r="A125" s="935" t="s">
        <v>196</v>
      </c>
      <c r="B125" s="936"/>
      <c r="C125" s="245"/>
      <c r="D125" s="307"/>
      <c r="E125" s="308"/>
      <c r="F125" s="308"/>
      <c r="G125" s="497">
        <f>SUM(G112:G124)</f>
        <v>4259</v>
      </c>
      <c r="H125" s="156"/>
      <c r="I125" s="327">
        <f>G125-(G39+G53)</f>
        <v>908</v>
      </c>
      <c r="J125" s="327"/>
    </row>
    <row r="126" spans="1:18" ht="27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7.75" customHeight="1">
      <c r="A127" s="938"/>
      <c r="B127" s="938"/>
      <c r="C127" s="245"/>
      <c r="D127" s="307"/>
      <c r="E127" s="308"/>
      <c r="F127" s="308"/>
      <c r="G127" s="497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7" t="s">
        <v>318</v>
      </c>
      <c r="B128" s="908"/>
      <c r="C128" s="909"/>
      <c r="D128" s="151" t="s">
        <v>183</v>
      </c>
      <c r="E128" s="95">
        <f>'16'!F128</f>
        <v>75770</v>
      </c>
      <c r="F128" s="165">
        <v>76177</v>
      </c>
      <c r="G128" s="476">
        <f t="shared" ref="G128:G133" si="10">F128-E128</f>
        <v>407</v>
      </c>
      <c r="H128" s="99">
        <f>G128+'16'!H128</f>
        <v>7260.7599999999948</v>
      </c>
      <c r="I128" s="165"/>
      <c r="J128" s="328">
        <f>H128/DAY(B2)</f>
        <v>427.10352941176438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46966</v>
      </c>
      <c r="F129" s="165">
        <v>47273</v>
      </c>
      <c r="G129" s="476">
        <f t="shared" si="10"/>
        <v>307</v>
      </c>
      <c r="H129" s="99">
        <f>G129+'16'!H129</f>
        <v>5161.9499999999971</v>
      </c>
      <c r="I129" s="165"/>
      <c r="J129" s="328">
        <f>H129/DAY(B2)</f>
        <v>303.64411764705864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86720</v>
      </c>
      <c r="F130" s="165">
        <v>87454</v>
      </c>
      <c r="G130" s="476">
        <f t="shared" si="10"/>
        <v>734</v>
      </c>
      <c r="H130" s="99">
        <f>G130+'16'!H130</f>
        <v>11792.050000000003</v>
      </c>
      <c r="I130" s="165"/>
      <c r="J130" s="328">
        <f>H130/DAY(B2)</f>
        <v>693.6500000000002</v>
      </c>
      <c r="N130" s="240"/>
      <c r="O130" s="241"/>
    </row>
    <row r="131" spans="1:15" ht="27.75" customHeight="1">
      <c r="A131" s="907" t="s">
        <v>321</v>
      </c>
      <c r="B131" s="908"/>
      <c r="C131" s="909"/>
      <c r="D131" s="151" t="s">
        <v>183</v>
      </c>
      <c r="E131" s="95">
        <f>'16'!F131</f>
        <v>27570</v>
      </c>
      <c r="F131" s="165">
        <v>27758</v>
      </c>
      <c r="G131" s="476">
        <f t="shared" si="10"/>
        <v>188</v>
      </c>
      <c r="H131" s="99">
        <f>G131+'16'!H131</f>
        <v>3325.5</v>
      </c>
      <c r="I131" s="165"/>
      <c r="J131" s="328">
        <f>H131/DAY(B2)</f>
        <v>195.61764705882354</v>
      </c>
      <c r="N131" s="240"/>
      <c r="O131" s="241"/>
    </row>
    <row r="132" spans="1:15" ht="27.75" customHeight="1">
      <c r="A132" s="907" t="s">
        <v>322</v>
      </c>
      <c r="B132" s="908"/>
      <c r="C132" s="909"/>
      <c r="D132" s="151" t="s">
        <v>183</v>
      </c>
      <c r="E132" s="95">
        <f>'16'!F132</f>
        <v>82622</v>
      </c>
      <c r="F132" s="165">
        <v>83075</v>
      </c>
      <c r="G132" s="476">
        <f t="shared" si="10"/>
        <v>453</v>
      </c>
      <c r="H132" s="99">
        <f>G132+'16'!H132</f>
        <v>7407.5</v>
      </c>
      <c r="I132" s="165"/>
      <c r="J132" s="328">
        <f>H132/DAY(B2)</f>
        <v>435.73529411764707</v>
      </c>
    </row>
    <row r="133" spans="1:15" ht="27.75" customHeight="1">
      <c r="A133" s="907" t="s">
        <v>360</v>
      </c>
      <c r="B133" s="908"/>
      <c r="C133" s="909"/>
      <c r="D133" s="151" t="s">
        <v>183</v>
      </c>
      <c r="E133" s="95">
        <f>'16'!F133</f>
        <v>159820</v>
      </c>
      <c r="F133" s="165">
        <v>160698</v>
      </c>
      <c r="G133" s="476">
        <f t="shared" si="10"/>
        <v>878</v>
      </c>
      <c r="H133" s="99">
        <f>G133+'16'!H133</f>
        <v>15316.010000000009</v>
      </c>
      <c r="I133" s="165"/>
      <c r="J133" s="328">
        <f>H133/DAY(B2)</f>
        <v>900.94176470588286</v>
      </c>
    </row>
    <row r="134" spans="1:15" ht="27.75" customHeight="1">
      <c r="A134" s="907" t="s">
        <v>340</v>
      </c>
      <c r="B134" s="908"/>
      <c r="C134" s="909"/>
      <c r="D134" s="151" t="s">
        <v>183</v>
      </c>
      <c r="E134" s="95">
        <f>'16'!F134</f>
        <v>24658</v>
      </c>
      <c r="F134" s="165">
        <v>24903</v>
      </c>
      <c r="G134" s="476">
        <f>F134-E134</f>
        <v>245</v>
      </c>
      <c r="H134" s="99">
        <f>G134+'16'!H134</f>
        <v>4110.32</v>
      </c>
      <c r="I134" s="165"/>
      <c r="J134" s="328">
        <f>H134/DAY(B2)</f>
        <v>241.78352941176468</v>
      </c>
    </row>
    <row r="135" spans="1:15" ht="27.75" customHeight="1">
      <c r="A135" s="935" t="s">
        <v>196</v>
      </c>
      <c r="B135" s="936"/>
      <c r="C135" s="331"/>
      <c r="D135" s="151"/>
      <c r="E135" s="95"/>
      <c r="F135" s="165"/>
      <c r="G135" s="476">
        <f>SUM(G128:G134)</f>
        <v>3212</v>
      </c>
      <c r="H135" s="99">
        <f>G135+'10'!H135</f>
        <v>34920.849999999984</v>
      </c>
      <c r="I135" s="327">
        <f>G135-(G35+G49)</f>
        <v>-754</v>
      </c>
      <c r="J135" s="328"/>
    </row>
    <row r="136" spans="1:15" ht="27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7.75" customHeight="1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7.75" customHeight="1">
      <c r="A138" s="970" t="s">
        <v>185</v>
      </c>
      <c r="B138" s="970"/>
      <c r="C138" s="970"/>
      <c r="D138" s="233" t="s">
        <v>183</v>
      </c>
      <c r="E138" s="406">
        <f>'16'!F138</f>
        <v>876608</v>
      </c>
      <c r="F138" s="148">
        <v>876762</v>
      </c>
      <c r="G138" s="753">
        <f t="shared" ref="G138:G152" si="11">F138-E138</f>
        <v>154</v>
      </c>
      <c r="H138" s="238">
        <f>G138+'16'!H138</f>
        <v>2761</v>
      </c>
      <c r="I138" s="407"/>
      <c r="J138" s="408">
        <f>H138/DAY(B2)</f>
        <v>162.41176470588235</v>
      </c>
    </row>
    <row r="139" spans="1:15" ht="27.75" customHeight="1">
      <c r="A139" s="970" t="s">
        <v>186</v>
      </c>
      <c r="B139" s="970"/>
      <c r="C139" s="970"/>
      <c r="D139" s="233" t="s">
        <v>183</v>
      </c>
      <c r="E139" s="406">
        <f>'16'!F139</f>
        <v>892746</v>
      </c>
      <c r="F139" s="148">
        <v>892896</v>
      </c>
      <c r="G139" s="753">
        <f t="shared" si="11"/>
        <v>150</v>
      </c>
      <c r="H139" s="238">
        <f>G139+'16'!H139</f>
        <v>2578</v>
      </c>
      <c r="I139" s="407"/>
      <c r="J139" s="408">
        <f>H139/DAY(B2)</f>
        <v>151.64705882352942</v>
      </c>
    </row>
    <row r="140" spans="1:15" ht="27.75" customHeight="1">
      <c r="A140" s="970" t="s">
        <v>187</v>
      </c>
      <c r="B140" s="970"/>
      <c r="C140" s="970"/>
      <c r="D140" s="233" t="s">
        <v>183</v>
      </c>
      <c r="E140" s="406">
        <f>'16'!F140</f>
        <v>89020</v>
      </c>
      <c r="F140" s="148">
        <v>89022</v>
      </c>
      <c r="G140" s="753">
        <f t="shared" si="11"/>
        <v>2</v>
      </c>
      <c r="H140" s="238">
        <f>G140+'16'!H140</f>
        <v>32</v>
      </c>
      <c r="I140" s="407"/>
      <c r="J140" s="408">
        <f>H140/DAY(B2)</f>
        <v>1.8823529411764706</v>
      </c>
    </row>
    <row r="141" spans="1:15" ht="27.75" customHeight="1">
      <c r="A141" s="977" t="s">
        <v>188</v>
      </c>
      <c r="B141" s="977"/>
      <c r="C141" s="977"/>
      <c r="D141" s="233" t="s">
        <v>183</v>
      </c>
      <c r="E141" s="406">
        <f>'16'!F141</f>
        <v>68939</v>
      </c>
      <c r="F141" s="148">
        <v>69140</v>
      </c>
      <c r="G141" s="753">
        <f t="shared" si="11"/>
        <v>201</v>
      </c>
      <c r="H141" s="238">
        <f>G141+'16'!H141</f>
        <v>3356.4700000000012</v>
      </c>
      <c r="I141" s="407"/>
      <c r="J141" s="408">
        <f>H141/DAY(B2)</f>
        <v>197.43941176470594</v>
      </c>
    </row>
    <row r="142" spans="1:15" ht="27.75" customHeight="1">
      <c r="A142" s="977" t="s">
        <v>189</v>
      </c>
      <c r="B142" s="977"/>
      <c r="C142" s="977"/>
      <c r="D142" s="233" t="s">
        <v>183</v>
      </c>
      <c r="E142" s="406">
        <f>'16'!F142</f>
        <v>26566</v>
      </c>
      <c r="F142" s="148">
        <v>26625</v>
      </c>
      <c r="G142" s="753">
        <f t="shared" si="11"/>
        <v>59</v>
      </c>
      <c r="H142" s="238">
        <f>G142+'16'!H142</f>
        <v>1128.5999999999985</v>
      </c>
      <c r="I142" s="538"/>
      <c r="J142" s="408">
        <f>H142/DAY(B2)</f>
        <v>66.388235294117564</v>
      </c>
    </row>
    <row r="143" spans="1:15" ht="27.75" customHeight="1">
      <c r="A143" s="970" t="s">
        <v>91</v>
      </c>
      <c r="B143" s="970"/>
      <c r="C143" s="970"/>
      <c r="D143" s="233" t="s">
        <v>183</v>
      </c>
      <c r="E143" s="406">
        <f>'16'!F143</f>
        <v>6006</v>
      </c>
      <c r="F143" s="148">
        <v>6034</v>
      </c>
      <c r="G143" s="753">
        <f t="shared" si="11"/>
        <v>28</v>
      </c>
      <c r="H143" s="238">
        <f>G143+'16'!H143</f>
        <v>473.28999999999996</v>
      </c>
      <c r="I143" s="538"/>
      <c r="J143" s="408">
        <f>H143/DAY(B2)</f>
        <v>27.840588235294117</v>
      </c>
    </row>
    <row r="144" spans="1:15" ht="27.75" customHeight="1">
      <c r="A144" s="977" t="s">
        <v>90</v>
      </c>
      <c r="B144" s="977"/>
      <c r="C144" s="977"/>
      <c r="D144" s="233" t="s">
        <v>183</v>
      </c>
      <c r="E144" s="406">
        <f>'16'!F144</f>
        <v>893890</v>
      </c>
      <c r="F144" s="148">
        <v>894146</v>
      </c>
      <c r="G144" s="753">
        <f t="shared" si="11"/>
        <v>256</v>
      </c>
      <c r="H144" s="238">
        <f>G144+'16'!H144</f>
        <v>4312</v>
      </c>
      <c r="I144" s="538"/>
      <c r="J144" s="408">
        <f>H144/DAY(B2)</f>
        <v>253.64705882352942</v>
      </c>
    </row>
    <row r="145" spans="1:10" ht="27.75" customHeight="1">
      <c r="A145" s="970" t="s">
        <v>190</v>
      </c>
      <c r="B145" s="970"/>
      <c r="C145" s="970"/>
      <c r="D145" s="233" t="s">
        <v>183</v>
      </c>
      <c r="E145" s="406">
        <f>'16'!F145</f>
        <v>5590</v>
      </c>
      <c r="F145" s="148">
        <v>5594</v>
      </c>
      <c r="G145" s="753">
        <f t="shared" si="11"/>
        <v>4</v>
      </c>
      <c r="H145" s="238">
        <f>G145+'16'!H145</f>
        <v>37.600000000000364</v>
      </c>
      <c r="I145" s="538"/>
      <c r="J145" s="408">
        <f>H145/DAY(B2)</f>
        <v>2.2117647058823744</v>
      </c>
    </row>
    <row r="146" spans="1:10" ht="27.75" customHeight="1">
      <c r="A146" s="983" t="s">
        <v>191</v>
      </c>
      <c r="B146" s="984"/>
      <c r="C146" s="985"/>
      <c r="D146" s="233" t="s">
        <v>183</v>
      </c>
      <c r="E146" s="406">
        <f>'16'!F146</f>
        <v>772359</v>
      </c>
      <c r="F146" s="148">
        <v>772793</v>
      </c>
      <c r="G146" s="753">
        <f t="shared" si="11"/>
        <v>434</v>
      </c>
      <c r="H146" s="238">
        <f>G146+'16'!H146</f>
        <v>8467</v>
      </c>
      <c r="I146" s="538"/>
      <c r="J146" s="408">
        <f>H146/DAY(B2)</f>
        <v>498.05882352941177</v>
      </c>
    </row>
    <row r="147" spans="1:10" ht="27.75" customHeight="1">
      <c r="A147" s="977" t="s">
        <v>192</v>
      </c>
      <c r="B147" s="977"/>
      <c r="C147" s="977"/>
      <c r="D147" s="233" t="s">
        <v>183</v>
      </c>
      <c r="E147" s="406">
        <f>'16'!F147</f>
        <v>657197</v>
      </c>
      <c r="F147" s="519">
        <v>657664</v>
      </c>
      <c r="G147" s="753">
        <f t="shared" si="11"/>
        <v>467</v>
      </c>
      <c r="H147" s="238">
        <f>G147+'16'!H147</f>
        <v>7480</v>
      </c>
      <c r="I147" s="538"/>
      <c r="J147" s="408">
        <f>H147/DAY(B2)</f>
        <v>440</v>
      </c>
    </row>
    <row r="148" spans="1:10" ht="27.75" customHeight="1">
      <c r="A148" s="974" t="s">
        <v>193</v>
      </c>
      <c r="B148" s="975"/>
      <c r="C148" s="976"/>
      <c r="D148" s="410" t="s">
        <v>130</v>
      </c>
      <c r="E148" s="406">
        <f>'16'!F148</f>
        <v>714628</v>
      </c>
      <c r="F148" s="164">
        <v>714989</v>
      </c>
      <c r="G148" s="753">
        <f t="shared" si="11"/>
        <v>361</v>
      </c>
      <c r="H148" s="238">
        <f>G148+'16'!H148</f>
        <v>6124.3199999999488</v>
      </c>
      <c r="I148" s="238"/>
      <c r="J148" s="408">
        <f>H148/DAY(B2)</f>
        <v>360.25411764705581</v>
      </c>
    </row>
    <row r="149" spans="1:10" ht="27.75" customHeight="1">
      <c r="A149" s="974" t="s">
        <v>336</v>
      </c>
      <c r="B149" s="975"/>
      <c r="C149" s="976"/>
      <c r="D149" s="416" t="s">
        <v>130</v>
      </c>
      <c r="E149" s="406">
        <f>'16'!F149</f>
        <v>74161</v>
      </c>
      <c r="F149" s="416">
        <v>74767</v>
      </c>
      <c r="G149" s="753">
        <f t="shared" si="11"/>
        <v>606</v>
      </c>
      <c r="H149" s="238">
        <f>G149+'16'!H149</f>
        <v>11543.199999999997</v>
      </c>
      <c r="I149" s="236"/>
      <c r="J149" s="408">
        <f>H149/DAY(B2)</f>
        <v>679.01176470588223</v>
      </c>
    </row>
    <row r="150" spans="1:10" ht="27.75" customHeight="1">
      <c r="A150" s="974" t="s">
        <v>337</v>
      </c>
      <c r="B150" s="975"/>
      <c r="C150" s="976"/>
      <c r="D150" s="410" t="s">
        <v>130</v>
      </c>
      <c r="E150" s="406">
        <f>'16'!F150</f>
        <v>27593</v>
      </c>
      <c r="F150" s="233">
        <v>27818</v>
      </c>
      <c r="G150" s="753">
        <f t="shared" si="11"/>
        <v>225</v>
      </c>
      <c r="H150" s="238">
        <f>G150+'16'!H150</f>
        <v>3862.2099999999991</v>
      </c>
      <c r="I150" s="236"/>
      <c r="J150" s="408">
        <f>H150/DAY(B2)</f>
        <v>227.18882352941171</v>
      </c>
    </row>
    <row r="151" spans="1:10" ht="27.75" customHeight="1">
      <c r="A151" s="974" t="s">
        <v>338</v>
      </c>
      <c r="B151" s="975"/>
      <c r="C151" s="976"/>
      <c r="D151" s="410" t="s">
        <v>130</v>
      </c>
      <c r="E151" s="406">
        <f>'16'!F151</f>
        <v>105145</v>
      </c>
      <c r="F151" s="233">
        <v>105423</v>
      </c>
      <c r="G151" s="753">
        <f t="shared" si="11"/>
        <v>278</v>
      </c>
      <c r="H151" s="238">
        <f>G151+'16'!H151</f>
        <v>4812</v>
      </c>
      <c r="I151" s="236"/>
      <c r="J151" s="408">
        <f>H151/DAY(B2)</f>
        <v>283.05882352941177</v>
      </c>
    </row>
    <row r="152" spans="1:10" ht="27.75" customHeight="1">
      <c r="A152" s="974" t="s">
        <v>339</v>
      </c>
      <c r="B152" s="975"/>
      <c r="C152" s="976"/>
      <c r="D152" s="410" t="s">
        <v>130</v>
      </c>
      <c r="E152" s="406">
        <f>'16'!F152</f>
        <v>10049</v>
      </c>
      <c r="F152" s="233">
        <v>10153</v>
      </c>
      <c r="G152" s="753">
        <f t="shared" si="11"/>
        <v>104</v>
      </c>
      <c r="H152" s="238">
        <f>G152+'16'!H152</f>
        <v>2083.9399999999996</v>
      </c>
      <c r="I152" s="236"/>
      <c r="J152" s="408">
        <f>H152/DAY(B2)</f>
        <v>122.58470588235292</v>
      </c>
    </row>
    <row r="153" spans="1:10" ht="27.75" customHeight="1">
      <c r="A153" s="978" t="s">
        <v>196</v>
      </c>
      <c r="B153" s="979"/>
      <c r="C153" s="539"/>
      <c r="D153" s="540"/>
      <c r="E153" s="541"/>
      <c r="F153" s="361"/>
      <c r="G153" s="754">
        <f>SUM(G138:G152)</f>
        <v>3329</v>
      </c>
      <c r="H153" s="542"/>
      <c r="I153" s="236">
        <f>G153-(G38+G52)</f>
        <v>960</v>
      </c>
      <c r="J153" s="543"/>
    </row>
    <row r="154" spans="1:10" ht="27.75" customHeight="1">
      <c r="A154" s="973" t="s">
        <v>344</v>
      </c>
      <c r="B154" s="973"/>
      <c r="C154" s="973"/>
      <c r="D154" s="973"/>
      <c r="E154" s="973"/>
      <c r="F154" s="973"/>
      <c r="G154" s="973"/>
      <c r="H154" s="973"/>
      <c r="I154" s="973"/>
      <c r="J154" s="973"/>
    </row>
    <row r="155" spans="1:10" ht="27.75" customHeight="1">
      <c r="A155" s="977" t="s">
        <v>345</v>
      </c>
      <c r="B155" s="977"/>
      <c r="C155" s="977"/>
      <c r="D155" s="410" t="s">
        <v>130</v>
      </c>
      <c r="E155" s="406">
        <f>'16'!F155</f>
        <v>83267</v>
      </c>
      <c r="F155" s="420">
        <v>83930</v>
      </c>
      <c r="G155" s="753">
        <f t="shared" ref="G155:G156" si="12">F155-E155</f>
        <v>663</v>
      </c>
      <c r="H155" s="238">
        <f>G155+'16'!H155</f>
        <v>11159.5</v>
      </c>
      <c r="I155" s="544"/>
      <c r="J155" s="408">
        <f>H155/DAY(B2)</f>
        <v>656.44117647058829</v>
      </c>
    </row>
    <row r="156" spans="1:10" ht="27.75" customHeight="1">
      <c r="A156" s="977" t="s">
        <v>347</v>
      </c>
      <c r="B156" s="977"/>
      <c r="C156" s="977"/>
      <c r="D156" s="410" t="s">
        <v>130</v>
      </c>
      <c r="E156" s="406">
        <f>'16'!F156</f>
        <v>6926</v>
      </c>
      <c r="F156" s="157">
        <v>6979</v>
      </c>
      <c r="G156" s="753">
        <f t="shared" si="12"/>
        <v>53</v>
      </c>
      <c r="H156" s="238">
        <f>G156+'16'!H156</f>
        <v>921.75</v>
      </c>
      <c r="I156" s="158"/>
      <c r="J156" s="408">
        <f>H156/DAY(B2)</f>
        <v>54.220588235294116</v>
      </c>
    </row>
    <row r="157" spans="1:10" ht="27.75" customHeight="1">
      <c r="A157" s="974" t="s">
        <v>361</v>
      </c>
      <c r="B157" s="975"/>
      <c r="C157" s="976"/>
      <c r="D157" s="410" t="s">
        <v>130</v>
      </c>
      <c r="E157" s="406">
        <f>'16'!F157</f>
        <v>11966</v>
      </c>
      <c r="F157" s="157">
        <v>12068</v>
      </c>
      <c r="G157" s="753">
        <f>F157-E157</f>
        <v>102</v>
      </c>
      <c r="H157" s="238">
        <f>G157+'16'!H157</f>
        <v>855.05999999999949</v>
      </c>
      <c r="I157" s="158"/>
      <c r="J157" s="408">
        <f>H157/DAY(B2)</f>
        <v>50.2976470588235</v>
      </c>
    </row>
    <row r="158" spans="1:10" ht="27.75" customHeight="1">
      <c r="A158" s="974" t="s">
        <v>362</v>
      </c>
      <c r="B158" s="975"/>
      <c r="C158" s="976"/>
      <c r="D158" s="410" t="s">
        <v>130</v>
      </c>
      <c r="E158" s="406">
        <f>'16'!F158</f>
        <v>95.45</v>
      </c>
      <c r="F158" s="158">
        <v>95.77</v>
      </c>
      <c r="G158" s="753">
        <f>F158-E158</f>
        <v>0.31999999999999318</v>
      </c>
      <c r="H158" s="238">
        <f>G158+'16'!H158</f>
        <v>3.769999999999996</v>
      </c>
      <c r="I158" s="158"/>
      <c r="J158" s="408">
        <f>H158/DAY(B2)</f>
        <v>0.2217647058823527</v>
      </c>
    </row>
    <row r="159" spans="1:10" ht="27.75" customHeight="1">
      <c r="A159" s="980"/>
      <c r="B159" s="981"/>
      <c r="C159" s="982"/>
      <c r="D159" s="410"/>
      <c r="E159" s="406"/>
      <c r="F159" s="158"/>
      <c r="G159" s="753"/>
      <c r="H159" s="238"/>
      <c r="I159" s="158"/>
      <c r="J159" s="408"/>
    </row>
    <row r="160" spans="1:10" ht="27.75" customHeight="1">
      <c r="A160" s="973" t="s">
        <v>326</v>
      </c>
      <c r="B160" s="973"/>
      <c r="C160" s="973"/>
      <c r="D160" s="973"/>
      <c r="E160" s="973"/>
      <c r="F160" s="973"/>
      <c r="G160" s="973"/>
      <c r="H160" s="973"/>
      <c r="I160" s="973"/>
      <c r="J160" s="973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474115</v>
      </c>
      <c r="F161" s="235">
        <v>474163</v>
      </c>
      <c r="G161" s="499">
        <f t="shared" ref="G161:G165" si="13">F161-E161</f>
        <v>48</v>
      </c>
      <c r="H161" s="238">
        <f>G161+'16'!H161</f>
        <v>322.27000000001863</v>
      </c>
      <c r="I161" s="236"/>
      <c r="J161" s="239">
        <f>H161/DAY(B2)</f>
        <v>18.957058823530506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91047</v>
      </c>
      <c r="F162" s="235">
        <v>91063</v>
      </c>
      <c r="G162" s="499">
        <f t="shared" si="13"/>
        <v>16</v>
      </c>
      <c r="H162" s="99">
        <f>G162+'16'!H162</f>
        <v>610.10000000000582</v>
      </c>
      <c r="I162" s="236"/>
      <c r="J162" s="239">
        <f>H162/DAY(B2)</f>
        <v>35.88823529411799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89815</v>
      </c>
      <c r="F163" s="235">
        <v>89963</v>
      </c>
      <c r="G163" s="499">
        <f t="shared" si="13"/>
        <v>148</v>
      </c>
      <c r="H163" s="99">
        <f>G163+'16'!H163</f>
        <v>2884.1999999999971</v>
      </c>
      <c r="I163" s="236"/>
      <c r="J163" s="239">
        <f>H163/DAY(B2)</f>
        <v>169.65882352941159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5022</v>
      </c>
      <c r="F164" s="235">
        <v>5035</v>
      </c>
      <c r="G164" s="499">
        <f t="shared" si="13"/>
        <v>13</v>
      </c>
      <c r="H164" s="99">
        <f>G164+'16'!H164</f>
        <v>222.60000000000036</v>
      </c>
      <c r="I164" s="236"/>
      <c r="J164" s="239">
        <f>H164/DAY(B2)</f>
        <v>13.094117647058845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30479</v>
      </c>
      <c r="F165" s="235">
        <v>30484</v>
      </c>
      <c r="G165" s="499">
        <f t="shared" si="13"/>
        <v>5</v>
      </c>
      <c r="H165" s="99">
        <f>G165+'16'!H165</f>
        <v>128.4900000000016</v>
      </c>
      <c r="I165" s="236"/>
      <c r="J165" s="239">
        <f>H165/DAY(B2)</f>
        <v>7.5582352941177415</v>
      </c>
    </row>
    <row r="166" spans="1:10" ht="27.75" customHeight="1">
      <c r="A166" s="938"/>
      <c r="B166" s="938"/>
      <c r="C166" s="246"/>
      <c r="D166" s="244"/>
      <c r="E166" s="95"/>
      <c r="F166" s="165"/>
      <c r="G166" s="496"/>
      <c r="H166" s="99"/>
      <c r="I166" s="165"/>
      <c r="J166" s="239"/>
    </row>
    <row r="167" spans="1:10" ht="27.75" customHeight="1">
      <c r="A167" s="938"/>
      <c r="B167" s="938"/>
      <c r="C167" s="246"/>
      <c r="D167" s="244"/>
      <c r="E167" s="95"/>
      <c r="F167" s="165"/>
      <c r="G167" s="496"/>
      <c r="H167" s="99"/>
      <c r="I167" s="165"/>
      <c r="J167" s="239"/>
    </row>
    <row r="168" spans="1:10" ht="27.75" customHeight="1">
      <c r="A168" s="938"/>
      <c r="B168" s="938"/>
      <c r="C168" s="246"/>
      <c r="D168" s="244"/>
      <c r="E168" s="95"/>
      <c r="F168" s="165"/>
      <c r="G168" s="496"/>
      <c r="H168" s="99"/>
      <c r="I168" s="165"/>
      <c r="J168" s="239"/>
    </row>
    <row r="171" spans="1:10" ht="27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7.75" customHeight="1">
      <c r="A172" s="944"/>
      <c r="B172" s="945"/>
      <c r="C172" s="332"/>
      <c r="D172" s="228"/>
      <c r="E172" s="155"/>
      <c r="F172" s="155"/>
      <c r="G172" s="500"/>
      <c r="H172" s="156"/>
      <c r="I172" s="155"/>
      <c r="J172" s="178"/>
    </row>
    <row r="173" spans="1:10" ht="27.75" customHeight="1">
      <c r="A173" s="896" t="s">
        <v>209</v>
      </c>
      <c r="B173" s="897"/>
      <c r="C173" s="333"/>
      <c r="D173" s="228" t="s">
        <v>142</v>
      </c>
      <c r="E173" s="95">
        <f>'16'!F173</f>
        <v>8277</v>
      </c>
      <c r="F173" s="157">
        <v>8277</v>
      </c>
      <c r="G173" s="500">
        <f>F173-E173</f>
        <v>0</v>
      </c>
      <c r="H173" s="99">
        <f>G173+'16'!H173</f>
        <v>13</v>
      </c>
      <c r="I173" s="155"/>
      <c r="J173" s="178">
        <f>H173/DAY(B2)</f>
        <v>0.76470588235294112</v>
      </c>
    </row>
    <row r="174" spans="1:10" ht="27.75" customHeight="1">
      <c r="A174" s="896" t="s">
        <v>75</v>
      </c>
      <c r="B174" s="897"/>
      <c r="C174" s="333"/>
      <c r="D174" s="228" t="s">
        <v>142</v>
      </c>
      <c r="E174" s="95">
        <f>'16'!F174</f>
        <v>39702</v>
      </c>
      <c r="F174" s="157">
        <v>39718</v>
      </c>
      <c r="G174" s="500">
        <f t="shared" ref="G174:G175" si="14">F174-E174</f>
        <v>16</v>
      </c>
      <c r="H174" s="99">
        <f>G174+'16'!H174</f>
        <v>256</v>
      </c>
      <c r="I174" s="155"/>
      <c r="J174" s="178">
        <f>H174/DAY(B2)</f>
        <v>15.058823529411764</v>
      </c>
    </row>
    <row r="175" spans="1:10" ht="27.75" customHeight="1">
      <c r="A175" s="896" t="s">
        <v>76</v>
      </c>
      <c r="B175" s="901"/>
      <c r="C175" s="897"/>
      <c r="D175" s="228" t="s">
        <v>142</v>
      </c>
      <c r="E175" s="95">
        <f>'16'!F175</f>
        <v>22716</v>
      </c>
      <c r="F175" s="155">
        <v>22730</v>
      </c>
      <c r="G175" s="500">
        <f t="shared" si="14"/>
        <v>14</v>
      </c>
      <c r="H175" s="99">
        <f>G175+'16'!H175</f>
        <v>208</v>
      </c>
      <c r="I175" s="155"/>
      <c r="J175" s="178">
        <f>H175/DAY(B2)</f>
        <v>12.235294117647058</v>
      </c>
    </row>
    <row r="176" spans="1:10" ht="27.75" customHeight="1">
      <c r="A176" s="935" t="s">
        <v>196</v>
      </c>
      <c r="B176" s="936"/>
      <c r="C176" s="333"/>
      <c r="D176" s="228" t="s">
        <v>142</v>
      </c>
      <c r="E176" s="95"/>
      <c r="F176" s="155"/>
      <c r="G176" s="500">
        <f>SUM(G173:G175)</f>
        <v>30</v>
      </c>
      <c r="H176" s="99">
        <f>G176+'16'!H176</f>
        <v>477</v>
      </c>
      <c r="I176" s="155"/>
      <c r="J176" s="178">
        <f>H176/DAY(B2)</f>
        <v>28.058823529411764</v>
      </c>
    </row>
    <row r="177" spans="1:11" ht="27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500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6" t="s">
        <v>210</v>
      </c>
      <c r="B178" s="897"/>
      <c r="C178" s="333"/>
      <c r="D178" s="228" t="s">
        <v>142</v>
      </c>
      <c r="E178" s="95">
        <f>'16'!F178</f>
        <v>87170</v>
      </c>
      <c r="F178" s="155">
        <v>87277</v>
      </c>
      <c r="G178" s="500">
        <f>F178-E178</f>
        <v>107</v>
      </c>
      <c r="H178" s="99">
        <f>G178+'16'!H178</f>
        <v>1661</v>
      </c>
      <c r="I178" s="155"/>
      <c r="J178" s="178">
        <f>H178/DAY(B2)</f>
        <v>97.705882352941174</v>
      </c>
    </row>
    <row r="179" spans="1:11" ht="27.75" customHeight="1">
      <c r="A179" s="896" t="s">
        <v>211</v>
      </c>
      <c r="B179" s="897"/>
      <c r="C179" s="333"/>
      <c r="D179" s="228" t="s">
        <v>142</v>
      </c>
      <c r="E179" s="95">
        <f>'16'!F179</f>
        <v>35710</v>
      </c>
      <c r="F179" s="155">
        <v>35710</v>
      </c>
      <c r="G179" s="500">
        <f t="shared" ref="G179:G180" si="15">F179-E179</f>
        <v>0</v>
      </c>
      <c r="H179" s="99">
        <f>G179+'16'!H179</f>
        <v>96</v>
      </c>
      <c r="I179" s="155"/>
      <c r="J179" s="178">
        <f>H179/DAY(B2)</f>
        <v>5.6470588235294121</v>
      </c>
    </row>
    <row r="180" spans="1:11" ht="27.75" customHeight="1">
      <c r="A180" s="896" t="s">
        <v>212</v>
      </c>
      <c r="B180" s="897"/>
      <c r="C180" s="333"/>
      <c r="D180" s="228" t="s">
        <v>142</v>
      </c>
      <c r="E180" s="95">
        <f>'16'!F180</f>
        <v>6267</v>
      </c>
      <c r="F180" s="155">
        <v>6288</v>
      </c>
      <c r="G180" s="500">
        <f t="shared" si="15"/>
        <v>21</v>
      </c>
      <c r="H180" s="99">
        <f>G180+'16'!H180</f>
        <v>155</v>
      </c>
      <c r="I180" s="155"/>
      <c r="J180" s="178">
        <f>H180/DAY(B2)</f>
        <v>9.117647058823529</v>
      </c>
    </row>
    <row r="181" spans="1:11" ht="27.75" customHeight="1">
      <c r="A181" s="942" t="s">
        <v>108</v>
      </c>
      <c r="B181" s="943"/>
      <c r="C181" s="333"/>
      <c r="D181" s="228" t="s">
        <v>142</v>
      </c>
      <c r="E181" s="95"/>
      <c r="F181" s="155"/>
      <c r="G181" s="500">
        <f>SUM(G178:G180)</f>
        <v>128</v>
      </c>
      <c r="H181" s="99">
        <f>G181+'16'!H181</f>
        <v>1912</v>
      </c>
      <c r="I181" s="155"/>
      <c r="J181" s="178">
        <f>H181/DAY(B2)</f>
        <v>112.47058823529412</v>
      </c>
    </row>
    <row r="182" spans="1:11" ht="27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500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6" t="s">
        <v>214</v>
      </c>
      <c r="B183" s="897"/>
      <c r="C183" s="334"/>
      <c r="D183" s="228" t="s">
        <v>142</v>
      </c>
      <c r="E183" s="95">
        <f>'16'!F183</f>
        <v>16414</v>
      </c>
      <c r="F183" s="157">
        <v>16424</v>
      </c>
      <c r="G183" s="501">
        <f>F183-E183</f>
        <v>10</v>
      </c>
      <c r="H183" s="99">
        <f>G183+'16'!H183</f>
        <v>282</v>
      </c>
      <c r="I183" s="155"/>
      <c r="J183" s="178">
        <f>H183/DAY(B2)</f>
        <v>16.588235294117649</v>
      </c>
    </row>
    <row r="184" spans="1:11" ht="27.75" customHeight="1">
      <c r="A184" s="896" t="s">
        <v>215</v>
      </c>
      <c r="B184" s="897"/>
      <c r="C184" s="334"/>
      <c r="D184" s="228" t="s">
        <v>142</v>
      </c>
      <c r="E184" s="95">
        <f>'16'!F184</f>
        <v>11164</v>
      </c>
      <c r="F184" s="157">
        <v>11173</v>
      </c>
      <c r="G184" s="501">
        <f t="shared" ref="G184:G185" si="16">F184-E184</f>
        <v>9</v>
      </c>
      <c r="H184" s="99">
        <f>G184+'16'!H184</f>
        <v>124</v>
      </c>
      <c r="I184" s="155"/>
      <c r="J184" s="178">
        <f>H184/DAY(B2)</f>
        <v>7.2941176470588234</v>
      </c>
    </row>
    <row r="185" spans="1:11" ht="27.75" customHeight="1">
      <c r="A185" s="896" t="s">
        <v>216</v>
      </c>
      <c r="B185" s="897"/>
      <c r="C185" s="334"/>
      <c r="D185" s="228" t="s">
        <v>142</v>
      </c>
      <c r="E185" s="95">
        <f>'16'!F185</f>
        <v>0</v>
      </c>
      <c r="F185" s="157"/>
      <c r="G185" s="501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5" t="s">
        <v>196</v>
      </c>
      <c r="B186" s="936"/>
      <c r="C186" s="334"/>
      <c r="D186" s="228" t="s">
        <v>142</v>
      </c>
      <c r="E186" s="95"/>
      <c r="F186" s="157"/>
      <c r="G186" s="501">
        <f>SUM(G183:G185)</f>
        <v>19</v>
      </c>
      <c r="H186" s="99">
        <f>G186+'16'!H186</f>
        <v>406</v>
      </c>
      <c r="I186" s="157"/>
      <c r="J186" s="178">
        <f>H186/DAY(B2)</f>
        <v>23.882352941176471</v>
      </c>
    </row>
    <row r="187" spans="1:11" ht="27.75" customHeight="1">
      <c r="A187" s="946" t="s">
        <v>217</v>
      </c>
      <c r="B187" s="947"/>
      <c r="C187" s="333"/>
      <c r="D187" s="228" t="s">
        <v>142</v>
      </c>
      <c r="E187" s="95"/>
      <c r="F187" s="159"/>
      <c r="G187" s="502">
        <f>G62+G19</f>
        <v>224</v>
      </c>
      <c r="H187" s="99">
        <f>G187+'16'!H187</f>
        <v>3896</v>
      </c>
      <c r="I187" s="158"/>
      <c r="J187" s="179">
        <f>H187/DAY(B2)</f>
        <v>229.1764705882353</v>
      </c>
    </row>
    <row r="188" spans="1:11" ht="27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502">
        <f>G65+G66+G67+G69+G70</f>
        <v>229</v>
      </c>
      <c r="H188" s="99">
        <f>G188+'16'!H188</f>
        <v>695</v>
      </c>
      <c r="I188" s="158"/>
      <c r="J188" s="179">
        <f>H188/DAY(B2)</f>
        <v>40.882352941176471</v>
      </c>
    </row>
    <row r="189" spans="1:11" ht="27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502">
        <f>G181</f>
        <v>128</v>
      </c>
      <c r="H189" s="99">
        <f>G189+'16'!H189</f>
        <v>1912</v>
      </c>
      <c r="I189" s="158"/>
      <c r="J189" s="179">
        <f>H189/DAY(B2)</f>
        <v>112.47058823529412</v>
      </c>
    </row>
    <row r="190" spans="1:11" ht="27.75" customHeight="1">
      <c r="A190" s="940"/>
      <c r="B190" s="941"/>
      <c r="C190" s="399"/>
      <c r="D190" s="396"/>
      <c r="E190" s="396"/>
      <c r="F190" s="396"/>
      <c r="G190" s="755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6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D3" sqref="D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7.75" customHeight="1">
      <c r="A2" s="191" t="s">
        <v>355</v>
      </c>
      <c r="B2" s="262">
        <v>44669</v>
      </c>
      <c r="C2" s="348" t="s">
        <v>67</v>
      </c>
      <c r="D2" s="218">
        <v>0.88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6" t="s">
        <v>119</v>
      </c>
      <c r="F3" s="887"/>
      <c r="G3" s="43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0" t="s">
        <v>128</v>
      </c>
      <c r="B6" s="881"/>
      <c r="C6" s="882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460676</v>
      </c>
      <c r="F7" s="95">
        <v>488052</v>
      </c>
      <c r="G7" s="433">
        <f>F7-E7</f>
        <v>27376</v>
      </c>
      <c r="H7" s="99">
        <f>G7+'17'!H7</f>
        <v>501329</v>
      </c>
      <c r="I7" s="113">
        <f>'1'!I7</f>
        <v>12000</v>
      </c>
      <c r="J7" s="175">
        <f>H7/DAY(B2)</f>
        <v>27851.611111111109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541397</v>
      </c>
      <c r="F8" s="114">
        <v>569314</v>
      </c>
      <c r="G8" s="434">
        <f>F8-E8</f>
        <v>27917</v>
      </c>
      <c r="H8" s="99">
        <f>G8+'17'!H8</f>
        <v>511267.78</v>
      </c>
      <c r="I8" s="116"/>
      <c r="J8" s="175">
        <f>H8/DAY(B2)</f>
        <v>28403.765555555558</v>
      </c>
      <c r="K8" s="172">
        <v>1715917</v>
      </c>
      <c r="L8" s="76">
        <v>1728480</v>
      </c>
      <c r="M8" s="87">
        <f>L8-K8</f>
        <v>12563</v>
      </c>
      <c r="N8" s="87">
        <f>G8-64</f>
        <v>27853</v>
      </c>
      <c r="O8" s="71">
        <f>G7-N8</f>
        <v>-477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1604974</v>
      </c>
      <c r="F9" s="470">
        <v>1625258</v>
      </c>
      <c r="G9" s="433">
        <f>F9-E9</f>
        <v>20284</v>
      </c>
      <c r="H9" s="99">
        <f>G9+'17'!H9</f>
        <v>357583</v>
      </c>
      <c r="I9" s="124">
        <f>I7-J7</f>
        <v>-15851.611111111109</v>
      </c>
      <c r="J9" s="175">
        <f>H9/DAY(B2)</f>
        <v>19865.722222222223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541730</v>
      </c>
      <c r="F10" s="353">
        <v>548055</v>
      </c>
      <c r="G10" s="433">
        <f>F10-E10</f>
        <v>6325</v>
      </c>
      <c r="H10" s="99">
        <f>G10+'17'!H10</f>
        <v>129779.53000000003</v>
      </c>
      <c r="I10" s="282"/>
      <c r="J10" s="175">
        <f>H10/DAY(B2)</f>
        <v>7209.9738888888905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3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3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5">
        <f>G9+G10+G11+G12</f>
        <v>26609</v>
      </c>
      <c r="H13" s="99">
        <f>G13+'17'!H13</f>
        <v>487363</v>
      </c>
      <c r="I13" s="120">
        <f>G7-G13</f>
        <v>767</v>
      </c>
      <c r="J13" s="175">
        <f>H13/DAY(B2)</f>
        <v>27075.722222222223</v>
      </c>
      <c r="K13" s="79"/>
      <c r="L13" s="66"/>
      <c r="N13" s="87"/>
      <c r="O13" s="71"/>
    </row>
    <row r="14" spans="1:15" ht="27.75" customHeight="1">
      <c r="A14" s="883" t="s">
        <v>137</v>
      </c>
      <c r="B14" s="884"/>
      <c r="C14" s="885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'17'!F15</f>
        <v>1989443</v>
      </c>
      <c r="F15" s="470">
        <v>1990535</v>
      </c>
      <c r="G15" s="433">
        <f>(F15-E15)</f>
        <v>1092</v>
      </c>
      <c r="H15" s="99">
        <f>G15+'17'!H15</f>
        <v>19598</v>
      </c>
      <c r="I15" s="113">
        <f>'1'!I15</f>
        <v>800</v>
      </c>
      <c r="J15" s="175">
        <f>H15/DAY(B2)</f>
        <v>1088.7777777777778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3"/>
      <c r="H16" s="124"/>
      <c r="I16" s="120">
        <f>I15-J15</f>
        <v>-288.77777777777783</v>
      </c>
      <c r="J16" s="176"/>
      <c r="K16" s="79"/>
      <c r="L16" s="66"/>
      <c r="N16" s="87"/>
      <c r="O16" s="71"/>
    </row>
    <row r="17" spans="1:15" ht="27.75" customHeight="1">
      <c r="A17" s="883" t="s">
        <v>140</v>
      </c>
      <c r="B17" s="884"/>
      <c r="C17" s="885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4" t="s">
        <v>141</v>
      </c>
      <c r="B18" s="875"/>
      <c r="C18" s="876"/>
      <c r="D18" s="151" t="s">
        <v>142</v>
      </c>
      <c r="E18" s="95">
        <f>'17'!F18</f>
        <v>22</v>
      </c>
      <c r="F18" s="122">
        <v>20</v>
      </c>
      <c r="G18" s="435">
        <f>F18*10</f>
        <v>200</v>
      </c>
      <c r="H18" s="99">
        <f>G18+'17'!H18</f>
        <v>4490</v>
      </c>
      <c r="I18" s="113">
        <f>'1'!I18</f>
        <v>65</v>
      </c>
      <c r="J18" s="175">
        <f>H18/DAY(B2)</f>
        <v>249.44444444444446</v>
      </c>
      <c r="K18" s="79"/>
      <c r="L18" s="66"/>
      <c r="N18" s="87"/>
      <c r="O18" s="71"/>
    </row>
    <row r="19" spans="1:15" ht="27.75" customHeight="1">
      <c r="A19" s="874" t="s">
        <v>69</v>
      </c>
      <c r="B19" s="875"/>
      <c r="C19" s="876"/>
      <c r="D19" s="151" t="s">
        <v>142</v>
      </c>
      <c r="E19" s="95">
        <f>'17'!F19</f>
        <v>157805</v>
      </c>
      <c r="F19" s="122">
        <v>157860</v>
      </c>
      <c r="G19" s="433">
        <f t="shared" ref="G19" si="1">F19-E19</f>
        <v>55</v>
      </c>
      <c r="H19" s="99">
        <f>G19+'17'!H19</f>
        <v>871</v>
      </c>
      <c r="I19" s="335"/>
      <c r="J19" s="175">
        <f>H19/DAY(B2)</f>
        <v>48.388888888888886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7">
        <f>G18+G19</f>
        <v>255</v>
      </c>
      <c r="H20" s="99">
        <f>G20+'17'!H20</f>
        <v>5361</v>
      </c>
      <c r="I20" s="336">
        <f>I18-J20</f>
        <v>-232.83333333333331</v>
      </c>
      <c r="J20" s="175">
        <f>H20/DAY(B2)</f>
        <v>297.83333333333331</v>
      </c>
      <c r="K20" s="79"/>
      <c r="L20" s="66"/>
      <c r="N20" s="87"/>
      <c r="O20" s="71"/>
    </row>
    <row r="21" spans="1:15" ht="27.75" customHeight="1">
      <c r="A21" s="883" t="s">
        <v>144</v>
      </c>
      <c r="B21" s="884"/>
      <c r="C21" s="885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3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8" t="s">
        <v>149</v>
      </c>
      <c r="B25" s="889"/>
      <c r="C25" s="890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27917</v>
      </c>
      <c r="F27" s="136">
        <v>9</v>
      </c>
      <c r="G27" s="440">
        <f>E27*F27</f>
        <v>251253</v>
      </c>
      <c r="H27" s="99">
        <f>G27+'17'!H27</f>
        <v>4601410.0199999996</v>
      </c>
      <c r="I27" s="138"/>
      <c r="J27" s="175">
        <f>H27/DAY(B2)</f>
        <v>255633.88999999998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1092</v>
      </c>
      <c r="F28" s="136">
        <v>70</v>
      </c>
      <c r="G28" s="440">
        <f>E28*F28</f>
        <v>76440</v>
      </c>
      <c r="H28" s="99">
        <f>G28+'17'!H28</f>
        <v>1312585.4599999995</v>
      </c>
      <c r="I28" s="140"/>
      <c r="J28" s="175">
        <f>H28/DAY(B2)</f>
        <v>72921.41444444441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40">
        <f>E30*F30</f>
        <v>8305</v>
      </c>
      <c r="H30" s="99">
        <f>G30+'17'!H30</f>
        <v>130851</v>
      </c>
      <c r="I30" s="140"/>
      <c r="J30" s="175">
        <f>H30/DAY(B2)</f>
        <v>7269.5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440">
        <f>E31*F31</f>
        <v>16000</v>
      </c>
      <c r="H31" s="99">
        <f>G31+'17'!H31</f>
        <v>359200</v>
      </c>
      <c r="I31" s="140"/>
      <c r="J31" s="175">
        <f>H31/DAY(B2)</f>
        <v>19955.555555555555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1">
        <f>G27+G28+G29+G30+G31</f>
        <v>351998</v>
      </c>
      <c r="H32" s="99">
        <f>G32+'17'!H32</f>
        <v>6404046.4799999995</v>
      </c>
      <c r="I32" s="144"/>
      <c r="J32" s="175">
        <f>H32/DAY(B2)</f>
        <v>355780.36</v>
      </c>
      <c r="K32" s="63"/>
      <c r="L32" s="89"/>
      <c r="N32" s="87"/>
      <c r="O32" s="71"/>
    </row>
    <row r="33" spans="1:15" ht="27.75" customHeight="1">
      <c r="A33" s="891" t="s">
        <v>331</v>
      </c>
      <c r="B33" s="892"/>
      <c r="C33" s="892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174945</v>
      </c>
      <c r="F35" s="145">
        <v>177088</v>
      </c>
      <c r="G35" s="433">
        <f t="shared" ref="G35:G46" si="2">F35-E35</f>
        <v>2143</v>
      </c>
      <c r="H35" s="99">
        <f>G35+'17'!H35</f>
        <v>38808.790000000008</v>
      </c>
      <c r="I35" s="95"/>
      <c r="J35" s="175">
        <f>H35/DAY(B2)</f>
        <v>2156.0438888888893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117262</v>
      </c>
      <c r="F36" s="145">
        <v>118282</v>
      </c>
      <c r="G36" s="433">
        <f t="shared" si="2"/>
        <v>1020</v>
      </c>
      <c r="H36" s="99">
        <f>G36+'17'!H36</f>
        <v>17761.339999999997</v>
      </c>
      <c r="I36" s="95"/>
      <c r="J36" s="175">
        <f>H36/DAY(B2)</f>
        <v>986.74111111111097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160314</v>
      </c>
      <c r="F37" s="145">
        <v>162010</v>
      </c>
      <c r="G37" s="433">
        <f t="shared" si="2"/>
        <v>1696</v>
      </c>
      <c r="H37" s="99">
        <f>G37+'17'!H37</f>
        <v>29084.98000000001</v>
      </c>
      <c r="I37" s="95"/>
      <c r="J37" s="175">
        <f>H37/DAY(B2)</f>
        <v>1615.8322222222228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212440</v>
      </c>
      <c r="F38" s="108">
        <v>214735</v>
      </c>
      <c r="G38" s="433">
        <f t="shared" si="2"/>
        <v>2295</v>
      </c>
      <c r="H38" s="99">
        <f>G38+'17'!H38</f>
        <v>44625.630000000005</v>
      </c>
      <c r="I38" s="95"/>
      <c r="J38" s="175">
        <f>H38/DAY(B2)</f>
        <v>2479.2016666666668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300040</v>
      </c>
      <c r="F39" s="145">
        <v>303325</v>
      </c>
      <c r="G39" s="433">
        <f t="shared" si="2"/>
        <v>3285</v>
      </c>
      <c r="H39" s="99">
        <f>G39+'17'!H39</f>
        <v>59171.570000000007</v>
      </c>
      <c r="I39" s="95"/>
      <c r="J39" s="175">
        <f>H39/DAY(B2)</f>
        <v>3287.309444444445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406">
        <f>'17'!F40</f>
        <v>56863</v>
      </c>
      <c r="F40" s="424">
        <v>57283</v>
      </c>
      <c r="G40" s="522">
        <f t="shared" si="2"/>
        <v>420</v>
      </c>
      <c r="H40" s="99">
        <f>G40+'17'!H40</f>
        <v>8131.1399999999994</v>
      </c>
      <c r="I40" s="95"/>
      <c r="J40" s="175">
        <f>H40/DAY(B2)</f>
        <v>451.72999999999996</v>
      </c>
      <c r="K40" s="80"/>
      <c r="L40" s="66"/>
      <c r="N40" s="87">
        <v>7285</v>
      </c>
      <c r="O40" s="71" t="s">
        <v>365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3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362899</v>
      </c>
      <c r="F42" s="145">
        <v>368108</v>
      </c>
      <c r="G42" s="433">
        <f t="shared" si="2"/>
        <v>5209</v>
      </c>
      <c r="H42" s="99">
        <f>G42+'17'!H42</f>
        <v>86750.75</v>
      </c>
      <c r="I42" s="95"/>
      <c r="J42" s="175">
        <f>H42/DAY(B2)</f>
        <v>4819.4861111111113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312969</v>
      </c>
      <c r="F43" s="145">
        <v>316272</v>
      </c>
      <c r="G43" s="433">
        <f t="shared" si="2"/>
        <v>3303</v>
      </c>
      <c r="H43" s="99">
        <f>G43+'17'!H43</f>
        <v>57517.53</v>
      </c>
      <c r="I43" s="95"/>
      <c r="J43" s="175">
        <f>H43/DAY(B2)</f>
        <v>3195.4183333333331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3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3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3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19371</v>
      </c>
      <c r="H47" s="99">
        <f>G47+'17'!H47</f>
        <v>341851.73</v>
      </c>
      <c r="I47" s="95"/>
      <c r="J47" s="175">
        <f>H47/DAY(B2)</f>
        <v>18991.762777777778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141544</v>
      </c>
      <c r="F49" s="145">
        <v>143327</v>
      </c>
      <c r="G49" s="433">
        <f t="shared" ref="G49:G58" si="3">F49-E49</f>
        <v>1783</v>
      </c>
      <c r="H49" s="99">
        <f>G49+'17'!H49</f>
        <v>32824.800000000003</v>
      </c>
      <c r="I49" s="95"/>
      <c r="J49" s="175">
        <f>H49/DAY(B2)</f>
        <v>1823.6000000000001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154969</v>
      </c>
      <c r="F50" s="145">
        <v>156401</v>
      </c>
      <c r="G50" s="433">
        <f t="shared" si="3"/>
        <v>1432</v>
      </c>
      <c r="H50" s="99">
        <f>G50+'17'!H50</f>
        <v>25190.859999999986</v>
      </c>
      <c r="I50" s="95"/>
      <c r="J50" s="175">
        <f>H50/DAY(B2)</f>
        <v>1399.4922222222215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3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3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3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43956</v>
      </c>
      <c r="F54" s="145">
        <v>44424</v>
      </c>
      <c r="G54" s="433">
        <f t="shared" si="3"/>
        <v>468</v>
      </c>
      <c r="H54" s="99">
        <f>G54+'17'!H54</f>
        <v>8752.9400000000023</v>
      </c>
      <c r="I54" s="95"/>
      <c r="J54" s="175">
        <f>H54/DAY(B2)</f>
        <v>486.27444444444455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129592</v>
      </c>
      <c r="F55" s="145">
        <v>129730</v>
      </c>
      <c r="G55" s="433">
        <f t="shared" si="3"/>
        <v>138</v>
      </c>
      <c r="H55" s="99">
        <f>G55+'17'!H55</f>
        <v>17248.97</v>
      </c>
      <c r="I55" s="95"/>
      <c r="J55" s="175">
        <f>H55/DAY(B2)</f>
        <v>958.27611111111116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100576</v>
      </c>
      <c r="F56" s="145">
        <v>102471</v>
      </c>
      <c r="G56" s="433">
        <f t="shared" si="3"/>
        <v>1895</v>
      </c>
      <c r="H56" s="99">
        <f>G56+'17'!H56</f>
        <v>30853.320000000007</v>
      </c>
      <c r="I56" s="95"/>
      <c r="J56" s="175">
        <f>H56/DAY(B2)</f>
        <v>1714.0733333333337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3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22487</v>
      </c>
      <c r="F58" s="424">
        <v>22728</v>
      </c>
      <c r="G58" s="433">
        <f t="shared" si="3"/>
        <v>241</v>
      </c>
      <c r="H58" s="99">
        <f>G58+'17'!H58</f>
        <v>4273.7999999999993</v>
      </c>
      <c r="I58" s="95"/>
      <c r="J58" s="175">
        <f>H58/DAY(B2)</f>
        <v>237.43333333333328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5957</v>
      </c>
      <c r="H59" s="99">
        <f>G59+'17'!H59</f>
        <v>119144.76999999999</v>
      </c>
      <c r="I59" s="95">
        <f>G7-G60</f>
        <v>2048</v>
      </c>
      <c r="J59" s="175">
        <f>H59/DAY(B2)</f>
        <v>6619.1538888888881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5">
        <f>G47+G59</f>
        <v>25328</v>
      </c>
      <c r="H60" s="99">
        <f>G60+'17'!H60</f>
        <v>460996.5</v>
      </c>
      <c r="I60" s="95">
        <f>G13-G60</f>
        <v>1281</v>
      </c>
      <c r="J60" s="175">
        <f>H60/DAY(B2)</f>
        <v>25610.916666666668</v>
      </c>
      <c r="K60" s="79"/>
      <c r="L60" s="66"/>
      <c r="N60" s="87"/>
      <c r="O60" s="71"/>
    </row>
    <row r="61" spans="1:15" s="68" customFormat="1" ht="27.75" customHeight="1">
      <c r="A61" s="893" t="s">
        <v>332</v>
      </c>
      <c r="B61" s="894"/>
      <c r="C61" s="895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4" t="s">
        <v>198</v>
      </c>
      <c r="B62" s="875"/>
      <c r="C62" s="876"/>
      <c r="D62" s="151" t="s">
        <v>142</v>
      </c>
      <c r="E62" s="95">
        <f>'17'!F62</f>
        <v>281706</v>
      </c>
      <c r="F62" s="122">
        <v>281853</v>
      </c>
      <c r="G62" s="433">
        <f t="shared" ref="G62:G63" si="4">F62-E62</f>
        <v>147</v>
      </c>
      <c r="H62" s="99">
        <f>G62+'17'!H62</f>
        <v>3227</v>
      </c>
      <c r="I62" s="118"/>
      <c r="J62" s="175">
        <f>H62/DAY(B2)</f>
        <v>179.27777777777777</v>
      </c>
      <c r="K62" s="80"/>
      <c r="L62" s="66"/>
      <c r="N62" s="87"/>
      <c r="O62" s="71"/>
    </row>
    <row r="63" spans="1:15" ht="27.75" customHeight="1">
      <c r="A63" s="874" t="s">
        <v>199</v>
      </c>
      <c r="B63" s="875"/>
      <c r="C63" s="876"/>
      <c r="D63" s="151" t="s">
        <v>142</v>
      </c>
      <c r="E63" s="95">
        <f>'17'!F63</f>
        <v>225645</v>
      </c>
      <c r="F63" s="122">
        <v>225789</v>
      </c>
      <c r="G63" s="433">
        <f t="shared" si="4"/>
        <v>144</v>
      </c>
      <c r="H63" s="99">
        <f>G63+'17'!H63</f>
        <v>2708</v>
      </c>
      <c r="I63" s="118"/>
      <c r="J63" s="175">
        <f>H63/DAY(B2)</f>
        <v>150.44444444444446</v>
      </c>
      <c r="K63" s="69"/>
      <c r="L63" s="66"/>
      <c r="N63" s="87"/>
      <c r="O63" s="71"/>
    </row>
    <row r="64" spans="1:15" ht="27.75" customHeight="1">
      <c r="A64" s="871" t="s">
        <v>200</v>
      </c>
      <c r="B64" s="872"/>
      <c r="C64" s="873"/>
      <c r="D64" s="151"/>
      <c r="E64" s="95">
        <f>'17'!F64</f>
        <v>0</v>
      </c>
      <c r="F64" s="122"/>
      <c r="G64" s="433">
        <f>G62+G63</f>
        <v>291</v>
      </c>
      <c r="H64" s="99">
        <f>G64+'17'!H64</f>
        <v>5935</v>
      </c>
      <c r="I64" s="118"/>
      <c r="J64" s="175">
        <f>H64/DAY(B2)</f>
        <v>329.72222222222223</v>
      </c>
      <c r="K64" s="69"/>
      <c r="L64" s="66"/>
      <c r="N64" s="87"/>
      <c r="O64" s="71"/>
    </row>
    <row r="65" spans="1:15" ht="27.75" customHeight="1">
      <c r="A65" s="874" t="s">
        <v>201</v>
      </c>
      <c r="B65" s="875"/>
      <c r="C65" s="876"/>
      <c r="D65" s="151" t="s">
        <v>142</v>
      </c>
      <c r="E65" s="95">
        <f>'17'!F65</f>
        <v>443059</v>
      </c>
      <c r="F65" s="122">
        <v>443175</v>
      </c>
      <c r="G65" s="433">
        <f t="shared" ref="G65:G70" si="5">F65-E65</f>
        <v>116</v>
      </c>
      <c r="H65" s="99">
        <f>G65+'17'!H65</f>
        <v>2044</v>
      </c>
      <c r="I65" s="118"/>
      <c r="J65" s="175">
        <f>H65/DAY(B2)</f>
        <v>113.55555555555556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109374</v>
      </c>
      <c r="F66" s="122">
        <v>109386</v>
      </c>
      <c r="G66" s="433">
        <f t="shared" si="5"/>
        <v>12</v>
      </c>
      <c r="H66" s="99">
        <f>G66+'17'!H66</f>
        <v>316</v>
      </c>
      <c r="I66" s="118"/>
      <c r="J66" s="175">
        <f>H66/DAY(B2)</f>
        <v>17.555555555555557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109872</v>
      </c>
      <c r="F67" s="122">
        <v>109941</v>
      </c>
      <c r="G67" s="433">
        <f t="shared" si="5"/>
        <v>69</v>
      </c>
      <c r="H67" s="99">
        <f>G67+'17'!H67</f>
        <v>1348</v>
      </c>
      <c r="I67" s="118"/>
      <c r="J67" s="175">
        <f>H67/DAY(B2)</f>
        <v>74.888888888888886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161172</v>
      </c>
      <c r="F68" s="122">
        <v>161188</v>
      </c>
      <c r="G68" s="433">
        <f t="shared" si="5"/>
        <v>16</v>
      </c>
      <c r="H68" s="99">
        <f>G68+'17'!H68</f>
        <v>779</v>
      </c>
      <c r="I68" s="118"/>
      <c r="J68" s="175">
        <f>H68/DAY(B2)</f>
        <v>43.277777777777779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11435</v>
      </c>
      <c r="F69" s="122">
        <v>11441</v>
      </c>
      <c r="G69" s="433">
        <f t="shared" si="5"/>
        <v>6</v>
      </c>
      <c r="H69" s="99">
        <f>G69+'17'!H69</f>
        <v>240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8879</v>
      </c>
      <c r="F70" s="122">
        <v>8886</v>
      </c>
      <c r="G70" s="433">
        <f t="shared" si="5"/>
        <v>7</v>
      </c>
      <c r="H70" s="99">
        <f>G70+'17'!H70</f>
        <v>158</v>
      </c>
      <c r="I70" s="118"/>
      <c r="J70" s="175">
        <f>H70/DAY(B2)</f>
        <v>8.7777777777777786</v>
      </c>
      <c r="K70" s="69"/>
      <c r="L70" s="66"/>
      <c r="N70" s="87"/>
      <c r="O70" s="71"/>
    </row>
    <row r="71" spans="1:15" ht="27.75" customHeight="1">
      <c r="A71" s="871" t="s">
        <v>208</v>
      </c>
      <c r="B71" s="872"/>
      <c r="C71" s="873"/>
      <c r="D71" s="152"/>
      <c r="E71" s="152"/>
      <c r="F71" s="152"/>
      <c r="G71" s="445">
        <f>SUM(G65:G70)</f>
        <v>226</v>
      </c>
      <c r="H71" s="99">
        <f>G71+'17'!H71</f>
        <v>4885</v>
      </c>
      <c r="I71" s="154"/>
      <c r="J71" s="175">
        <f>H71/DAY(B2)</f>
        <v>271.38888888888891</v>
      </c>
      <c r="K71" s="69"/>
      <c r="L71" s="66"/>
      <c r="N71" s="87"/>
      <c r="O71" s="71"/>
    </row>
    <row r="72" spans="1:15" s="88" customFormat="1" ht="27.75" customHeight="1">
      <c r="A72" s="917"/>
      <c r="B72" s="909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4" t="s">
        <v>220</v>
      </c>
      <c r="B74" s="875"/>
      <c r="C74" s="876"/>
      <c r="D74" s="151" t="s">
        <v>139</v>
      </c>
      <c r="E74" s="95">
        <f>'17'!F74</f>
        <v>924627</v>
      </c>
      <c r="F74" s="123">
        <v>924941</v>
      </c>
      <c r="G74" s="433">
        <f>F74-E74</f>
        <v>314</v>
      </c>
      <c r="H74" s="99">
        <f>G74+'17'!H74</f>
        <v>5616.4899999999907</v>
      </c>
      <c r="I74" s="154"/>
      <c r="J74" s="175">
        <f>H74/DAY(B2)</f>
        <v>312.02722222222172</v>
      </c>
      <c r="K74" s="69"/>
      <c r="L74" s="66"/>
      <c r="N74" s="87"/>
      <c r="O74" s="71"/>
    </row>
    <row r="75" spans="1:15" ht="27.75" customHeight="1">
      <c r="A75" s="874" t="s">
        <v>221</v>
      </c>
      <c r="B75" s="875"/>
      <c r="C75" s="876"/>
      <c r="D75" s="151" t="s">
        <v>139</v>
      </c>
      <c r="E75" s="95">
        <f>'17'!F75</f>
        <v>73586.8</v>
      </c>
      <c r="F75" s="410">
        <v>73586.8</v>
      </c>
      <c r="G75" s="433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8" t="s">
        <v>222</v>
      </c>
      <c r="B76" s="904"/>
      <c r="C76" s="905"/>
      <c r="D76" s="151" t="s">
        <v>139</v>
      </c>
      <c r="E76" s="95">
        <f>'17'!F76</f>
        <v>178586</v>
      </c>
      <c r="F76" s="123">
        <v>178700</v>
      </c>
      <c r="G76" s="433">
        <f>F76-E76</f>
        <v>114</v>
      </c>
      <c r="H76" s="99">
        <f>G76+'17'!H76</f>
        <v>2113</v>
      </c>
      <c r="I76" s="154"/>
      <c r="J76" s="175">
        <f>H76/DAY(B2)</f>
        <v>117.38888888888889</v>
      </c>
      <c r="K76" s="69"/>
      <c r="L76" s="66"/>
      <c r="N76" s="87"/>
      <c r="O76" s="71"/>
    </row>
    <row r="77" spans="1:15" ht="27.75" customHeight="1">
      <c r="A77" s="918" t="s">
        <v>223</v>
      </c>
      <c r="B77" s="904"/>
      <c r="C77" s="905"/>
      <c r="D77" s="151" t="s">
        <v>139</v>
      </c>
      <c r="E77" s="95">
        <f>'17'!F77</f>
        <v>45019</v>
      </c>
      <c r="F77" s="123">
        <v>45064</v>
      </c>
      <c r="G77" s="433">
        <f t="shared" si="6"/>
        <v>45</v>
      </c>
      <c r="H77" s="99">
        <f>G77+'17'!H77</f>
        <v>901</v>
      </c>
      <c r="I77" s="154"/>
      <c r="J77" s="175">
        <f>H77/DAY(B2)</f>
        <v>50.055555555555557</v>
      </c>
      <c r="K77" s="69"/>
      <c r="L77" s="66"/>
      <c r="N77" s="87"/>
      <c r="O77" s="71"/>
    </row>
    <row r="78" spans="1:15" ht="27.75" customHeight="1">
      <c r="A78" s="918" t="s">
        <v>224</v>
      </c>
      <c r="B78" s="904"/>
      <c r="C78" s="905"/>
      <c r="D78" s="151" t="s">
        <v>139</v>
      </c>
      <c r="E78" s="95">
        <f>'17'!F78</f>
        <v>9564</v>
      </c>
      <c r="F78" s="123">
        <v>9564</v>
      </c>
      <c r="G78" s="433">
        <f t="shared" si="6"/>
        <v>0</v>
      </c>
      <c r="H78" s="99">
        <f>G78+'17'!H78</f>
        <v>1</v>
      </c>
      <c r="I78" s="118"/>
      <c r="J78" s="175">
        <f>H78/DAY(B2)</f>
        <v>5.5555555555555552E-2</v>
      </c>
      <c r="K78" s="69"/>
      <c r="L78" s="66"/>
      <c r="N78" s="87"/>
      <c r="O78" s="71"/>
    </row>
    <row r="79" spans="1:15" s="57" customFormat="1" ht="27.75" customHeight="1">
      <c r="A79" s="918" t="s">
        <v>225</v>
      </c>
      <c r="B79" s="904"/>
      <c r="C79" s="905"/>
      <c r="D79" s="151"/>
      <c r="E79" s="95">
        <f>'17'!F79</f>
        <v>0</v>
      </c>
      <c r="F79" s="123">
        <v>0</v>
      </c>
      <c r="G79" s="433">
        <f>G15-SUM(G74:G78)</f>
        <v>619</v>
      </c>
      <c r="H79" s="99">
        <f>G79+'17'!H79</f>
        <v>10966.510000000009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1" t="s">
        <v>329</v>
      </c>
      <c r="B80" s="872"/>
      <c r="C80" s="873"/>
      <c r="D80" s="151"/>
      <c r="E80" s="117"/>
      <c r="F80" s="117"/>
      <c r="G80" s="433">
        <f>SUM(G74:G79)</f>
        <v>1092</v>
      </c>
      <c r="H80" s="99">
        <f>G80+'17'!H80</f>
        <v>1092</v>
      </c>
      <c r="I80" s="118"/>
      <c r="J80" s="175"/>
      <c r="K80" s="59"/>
      <c r="L80" s="58"/>
      <c r="N80" s="87"/>
      <c r="O80" s="71"/>
    </row>
    <row r="81" spans="1:15" ht="27.75" customHeight="1">
      <c r="A81" s="910" t="s">
        <v>226</v>
      </c>
      <c r="B81" s="911"/>
      <c r="C81" s="912"/>
      <c r="D81" s="110"/>
      <c r="E81" s="110"/>
      <c r="F81" s="110"/>
      <c r="G81" s="44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3">
        <f t="shared" ref="G82:G92" si="7">F82-E82</f>
        <v>0</v>
      </c>
      <c r="H82" s="99">
        <f>G82+'17'!H82</f>
        <v>0</v>
      </c>
      <c r="I82" s="594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3">
        <f t="shared" si="7"/>
        <v>0</v>
      </c>
      <c r="H83" s="99">
        <f>G83+'17'!H83</f>
        <v>0</v>
      </c>
      <c r="I83" s="594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3">
        <f>F84-E84</f>
        <v>0.26000000000203727</v>
      </c>
      <c r="H84" s="99">
        <f>G84+'17'!H84</f>
        <v>0.26000000000203727</v>
      </c>
      <c r="I84" s="594"/>
      <c r="J84" s="175">
        <f>H84/DAY(B2)</f>
        <v>1.4444444444557626E-2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3509</v>
      </c>
      <c r="F85" s="164">
        <v>3533</v>
      </c>
      <c r="G85" s="433">
        <f t="shared" si="7"/>
        <v>24</v>
      </c>
      <c r="H85" s="99">
        <f>G85+'17'!H85</f>
        <v>374.5</v>
      </c>
      <c r="I85" s="594"/>
      <c r="J85" s="175">
        <f>H85/DAY(B2)</f>
        <v>20.805555555555557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43836.47</v>
      </c>
      <c r="F86" s="164">
        <v>43836.47</v>
      </c>
      <c r="G86" s="433">
        <f t="shared" si="7"/>
        <v>0</v>
      </c>
      <c r="H86" s="99">
        <f>G86+'17'!H86</f>
        <v>116.06999999999971</v>
      </c>
      <c r="I86" s="594"/>
      <c r="J86" s="175">
        <f>H86/DAY(B2)</f>
        <v>6.4483333333333173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35276</v>
      </c>
      <c r="F87" s="164">
        <v>35291</v>
      </c>
      <c r="G87" s="433">
        <f t="shared" si="7"/>
        <v>15</v>
      </c>
      <c r="H87" s="99">
        <f>G87+'17'!H87</f>
        <v>210.65000000000146</v>
      </c>
      <c r="I87" s="594">
        <f>G84+G85+G86+G87</f>
        <v>39.260000000002037</v>
      </c>
      <c r="J87" s="175">
        <f>H87/DAY(B2)</f>
        <v>11.702777777777859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24156.38</v>
      </c>
      <c r="F88" s="164">
        <v>24165</v>
      </c>
      <c r="G88" s="433">
        <f t="shared" si="7"/>
        <v>8.6199999999989814</v>
      </c>
      <c r="H88" s="99">
        <f>G88+'17'!H88</f>
        <v>55.599999999998545</v>
      </c>
      <c r="I88" s="594"/>
      <c r="J88" s="175">
        <f>H88/DAY(B2)</f>
        <v>3.0888888888888082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26604</v>
      </c>
      <c r="F89" s="164">
        <v>26609</v>
      </c>
      <c r="G89" s="433">
        <f t="shared" si="7"/>
        <v>5</v>
      </c>
      <c r="H89" s="99">
        <f>G89+'17'!H89</f>
        <v>137.20999999999913</v>
      </c>
      <c r="I89" s="594">
        <f>G88+G89</f>
        <v>13.619999999998981</v>
      </c>
      <c r="J89" s="175">
        <f>H89/DAY(B2)</f>
        <v>7.6227777777777295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71739</v>
      </c>
      <c r="F90" s="164">
        <v>71745</v>
      </c>
      <c r="G90" s="433">
        <f t="shared" si="7"/>
        <v>6</v>
      </c>
      <c r="H90" s="99">
        <f>G90+'17'!H90</f>
        <v>171.88999999999942</v>
      </c>
      <c r="I90" s="594">
        <f>G90</f>
        <v>6</v>
      </c>
      <c r="J90" s="175">
        <f>H90/DAY(B2)</f>
        <v>9.5494444444444113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3910</v>
      </c>
      <c r="F91" s="404">
        <v>3918</v>
      </c>
      <c r="G91" s="433">
        <f t="shared" si="7"/>
        <v>8</v>
      </c>
      <c r="H91" s="99">
        <f>G91+'17'!H91</f>
        <v>8.25</v>
      </c>
      <c r="I91" s="688"/>
      <c r="J91" s="175">
        <f>H91/DAY(B2)</f>
        <v>0.45833333333333331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5932</v>
      </c>
      <c r="F92" s="404">
        <v>5935</v>
      </c>
      <c r="G92" s="433">
        <f t="shared" si="7"/>
        <v>3</v>
      </c>
      <c r="H92" s="99">
        <f>G92+'17'!H92</f>
        <v>187.69999999999982</v>
      </c>
      <c r="I92" s="705">
        <f>G91+G92</f>
        <v>11</v>
      </c>
      <c r="J92" s="175">
        <f>H92/DAY(B2)</f>
        <v>10.427777777777768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7.75" customHeight="1">
      <c r="A94" s="874" t="s">
        <v>240</v>
      </c>
      <c r="B94" s="875"/>
      <c r="C94" s="876"/>
      <c r="D94" s="151" t="s">
        <v>130</v>
      </c>
      <c r="E94" s="151"/>
      <c r="F94" s="151"/>
      <c r="G94" s="448">
        <f>G35+G43+G49+G57</f>
        <v>7229</v>
      </c>
      <c r="H94" s="99">
        <f>G94+'17'!H94</f>
        <v>129151.12000000001</v>
      </c>
      <c r="I94" s="118"/>
      <c r="J94" s="175">
        <f>H94/DAY(B2)</f>
        <v>7175.0622222222228</v>
      </c>
      <c r="K94" s="69"/>
      <c r="L94" s="66"/>
      <c r="O94" s="71"/>
    </row>
    <row r="95" spans="1:15" ht="27.75" customHeight="1">
      <c r="A95" s="874" t="s">
        <v>241</v>
      </c>
      <c r="B95" s="875"/>
      <c r="C95" s="876"/>
      <c r="D95" s="151" t="s">
        <v>23</v>
      </c>
      <c r="E95" s="146"/>
      <c r="F95" s="146"/>
      <c r="G95" s="449">
        <f>G94/G7</f>
        <v>0.2640634132086499</v>
      </c>
      <c r="H95" s="99">
        <f>G95+'17'!H95</f>
        <v>4.6388696503962477</v>
      </c>
      <c r="I95" s="167"/>
      <c r="J95" s="175">
        <f>H95/DAY(B2)</f>
        <v>0.25771498057756931</v>
      </c>
      <c r="K95" s="69"/>
      <c r="L95" s="66"/>
      <c r="O95" s="71"/>
    </row>
    <row r="96" spans="1:15" ht="27.75" customHeight="1">
      <c r="A96" s="874" t="s">
        <v>242</v>
      </c>
      <c r="B96" s="875"/>
      <c r="C96" s="876"/>
      <c r="D96" s="151" t="s">
        <v>130</v>
      </c>
      <c r="E96" s="95"/>
      <c r="F96" s="95"/>
      <c r="G96" s="448">
        <f>G41+G42+G55+G56</f>
        <v>7242</v>
      </c>
      <c r="H96" s="99">
        <f>G96+'17'!H96</f>
        <v>134853.04</v>
      </c>
      <c r="I96" s="118"/>
      <c r="J96" s="175">
        <f>H96/DAY(B2)</f>
        <v>7491.8355555555563</v>
      </c>
      <c r="K96" s="69"/>
      <c r="L96" s="66"/>
      <c r="O96" s="71"/>
    </row>
    <row r="97" spans="1:15" ht="27.75" customHeight="1">
      <c r="A97" s="874" t="s">
        <v>243</v>
      </c>
      <c r="B97" s="875"/>
      <c r="C97" s="876"/>
      <c r="D97" s="151" t="s">
        <v>23</v>
      </c>
      <c r="E97" s="95"/>
      <c r="F97" s="95"/>
      <c r="G97" s="449">
        <f>G96/G7</f>
        <v>0.26453828170660432</v>
      </c>
      <c r="H97" s="99">
        <f>G97+'17'!H97</f>
        <v>4.8354615574351625</v>
      </c>
      <c r="I97" s="167"/>
      <c r="J97" s="175">
        <f>H97/DAY(B2)</f>
        <v>0.26863675319084235</v>
      </c>
      <c r="K97" s="69"/>
      <c r="L97" s="66"/>
      <c r="O97" s="71"/>
    </row>
    <row r="98" spans="1:15" ht="27.75" customHeight="1">
      <c r="A98" s="874" t="s">
        <v>244</v>
      </c>
      <c r="B98" s="875"/>
      <c r="C98" s="876"/>
      <c r="D98" s="151" t="s">
        <v>130</v>
      </c>
      <c r="E98" s="95"/>
      <c r="F98" s="95"/>
      <c r="G98" s="448">
        <f>G39+G53</f>
        <v>3285</v>
      </c>
      <c r="H98" s="99">
        <f>G98+'17'!H98</f>
        <v>59171.570000000007</v>
      </c>
      <c r="I98" s="168"/>
      <c r="J98" s="175">
        <f>H98/DAY(B2)</f>
        <v>3287.309444444445</v>
      </c>
      <c r="K98" s="69"/>
      <c r="L98" s="66"/>
      <c r="O98" s="71"/>
    </row>
    <row r="99" spans="1:15" ht="27.75" customHeight="1">
      <c r="A99" s="874" t="s">
        <v>245</v>
      </c>
      <c r="B99" s="875"/>
      <c r="C99" s="876"/>
      <c r="D99" s="151" t="s">
        <v>23</v>
      </c>
      <c r="E99" s="95"/>
      <c r="F99" s="95"/>
      <c r="G99" s="449">
        <f>G98/G7</f>
        <v>0.11999561659848042</v>
      </c>
      <c r="H99" s="99">
        <f>G99+'17'!H99</f>
        <v>2.1281522729688751</v>
      </c>
      <c r="I99" s="168"/>
      <c r="J99" s="175">
        <f>H99/DAY(B2)</f>
        <v>0.11823068183160418</v>
      </c>
      <c r="O99" s="71"/>
    </row>
    <row r="100" spans="1:15" ht="27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448">
        <f>G38+G52</f>
        <v>2295</v>
      </c>
      <c r="H100" s="99">
        <f>G100+'17'!H100</f>
        <v>44625.390000000007</v>
      </c>
      <c r="I100" s="118"/>
      <c r="J100" s="175">
        <f>H100/DAY(B2)</f>
        <v>2479.1883333333335</v>
      </c>
      <c r="K100" s="70"/>
      <c r="O100" s="71"/>
    </row>
    <row r="101" spans="1:15" ht="27.75" customHeight="1">
      <c r="A101" s="874" t="s">
        <v>247</v>
      </c>
      <c r="B101" s="875"/>
      <c r="C101" s="876"/>
      <c r="D101" s="151" t="s">
        <v>23</v>
      </c>
      <c r="E101" s="95"/>
      <c r="F101" s="95"/>
      <c r="G101" s="449">
        <f>G100/G7</f>
        <v>8.3832554061952072E-2</v>
      </c>
      <c r="H101" s="99">
        <f>G101+'17'!H101</f>
        <v>1.6048825785137195</v>
      </c>
      <c r="I101" s="168"/>
      <c r="J101" s="175">
        <f>H101/DAY(B2)</f>
        <v>8.91601432507622E-2</v>
      </c>
      <c r="O101" s="71"/>
    </row>
    <row r="102" spans="1:15" ht="27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448">
        <f>G36+G50</f>
        <v>2452</v>
      </c>
      <c r="H102" s="99">
        <f>G102+'17'!H102</f>
        <v>42952.199999999983</v>
      </c>
      <c r="I102" s="168"/>
      <c r="J102" s="175">
        <f>H102/DAY(B2)</f>
        <v>2386.2333333333322</v>
      </c>
      <c r="O102" s="71"/>
    </row>
    <row r="103" spans="1:15" ht="27.75" customHeight="1">
      <c r="A103" s="874" t="s">
        <v>249</v>
      </c>
      <c r="B103" s="875"/>
      <c r="C103" s="876"/>
      <c r="D103" s="151" t="s">
        <v>23</v>
      </c>
      <c r="E103" s="95"/>
      <c r="F103" s="95"/>
      <c r="G103" s="449">
        <f>G102/G7</f>
        <v>8.9567504383401525E-2</v>
      </c>
      <c r="H103" s="99">
        <f>G103+'17'!H103</f>
        <v>1.5408224656857554</v>
      </c>
      <c r="I103" s="118"/>
      <c r="J103" s="175">
        <f>H103/DAY(B2)</f>
        <v>8.5601248093653076E-2</v>
      </c>
      <c r="O103" s="71"/>
    </row>
    <row r="104" spans="1:15" ht="27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448">
        <f>G37+G51</f>
        <v>1696</v>
      </c>
      <c r="H104" s="99">
        <f>G104+'17'!H104</f>
        <v>29085.30000000001</v>
      </c>
      <c r="I104" s="118"/>
      <c r="J104" s="175">
        <f>H104/DAY(B2)</f>
        <v>1615.8500000000006</v>
      </c>
      <c r="O104" s="71"/>
    </row>
    <row r="105" spans="1:15" ht="27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450">
        <f>G104/G7</f>
        <v>6.1952074810052604E-2</v>
      </c>
      <c r="H105" s="99">
        <f>G105+'17'!H105</f>
        <v>1.0452114859218442</v>
      </c>
      <c r="I105" s="187"/>
      <c r="J105" s="188">
        <f>H105/DAY(B2)</f>
        <v>5.8067304773435788E-2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8" spans="1:15" ht="27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7.75" customHeight="1">
      <c r="A109" s="913"/>
      <c r="B109" s="913"/>
    </row>
    <row r="110" spans="1:15" ht="27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7.75" customHeight="1">
      <c r="A111" s="932"/>
      <c r="B111" s="933"/>
      <c r="C111" s="934"/>
      <c r="D111" s="165"/>
      <c r="E111" s="165"/>
      <c r="F111" s="165"/>
      <c r="G111" s="453"/>
      <c r="H111" s="156"/>
      <c r="I111" s="165"/>
      <c r="J111" s="327"/>
    </row>
    <row r="112" spans="1:15" ht="27.75" customHeight="1">
      <c r="A112" s="907" t="s">
        <v>252</v>
      </c>
      <c r="B112" s="908"/>
      <c r="C112" s="909"/>
      <c r="D112" s="146" t="s">
        <v>183</v>
      </c>
      <c r="E112" s="95">
        <f>'17'!F112</f>
        <v>63515</v>
      </c>
      <c r="F112" s="237">
        <v>63596</v>
      </c>
      <c r="G112" s="433">
        <f t="shared" ref="G112:G123" si="8">F112-E112</f>
        <v>81</v>
      </c>
      <c r="H112" s="99">
        <f>G112+'17'!H112</f>
        <v>1452.4700000000012</v>
      </c>
      <c r="I112" s="165"/>
      <c r="J112" s="328">
        <f>H112/DAY(B2)</f>
        <v>80.692777777777849</v>
      </c>
    </row>
    <row r="113" spans="1:18" ht="27.75" customHeight="1">
      <c r="A113" s="907" t="s">
        <v>253</v>
      </c>
      <c r="B113" s="908"/>
      <c r="C113" s="909"/>
      <c r="D113" s="146" t="s">
        <v>183</v>
      </c>
      <c r="E113" s="95">
        <f>'17'!F113</f>
        <v>82650</v>
      </c>
      <c r="F113" s="237">
        <v>83177</v>
      </c>
      <c r="G113" s="433">
        <f t="shared" si="8"/>
        <v>527</v>
      </c>
      <c r="H113" s="99">
        <f>G113+'17'!H113</f>
        <v>8921.3999999999942</v>
      </c>
      <c r="I113" s="165"/>
      <c r="J113" s="328">
        <f>H113/DAY(B2)</f>
        <v>495.63333333333298</v>
      </c>
    </row>
    <row r="114" spans="1:18" ht="27.75" customHeight="1">
      <c r="A114" s="907" t="s">
        <v>254</v>
      </c>
      <c r="B114" s="908"/>
      <c r="C114" s="909"/>
      <c r="D114" s="146" t="s">
        <v>183</v>
      </c>
      <c r="E114" s="95">
        <f>'17'!F114</f>
        <v>55025</v>
      </c>
      <c r="F114" s="237">
        <v>55321</v>
      </c>
      <c r="G114" s="433">
        <f t="shared" si="8"/>
        <v>296</v>
      </c>
      <c r="H114" s="99">
        <f>G114+'17'!H114</f>
        <v>5058</v>
      </c>
      <c r="I114" s="165"/>
      <c r="J114" s="328">
        <f>H114/DAY(B2)</f>
        <v>281</v>
      </c>
    </row>
    <row r="115" spans="1:18" ht="27.75" customHeight="1">
      <c r="A115" s="907" t="s">
        <v>255</v>
      </c>
      <c r="B115" s="908"/>
      <c r="C115" s="909"/>
      <c r="D115" s="146" t="s">
        <v>183</v>
      </c>
      <c r="E115" s="95">
        <f>'17'!F115</f>
        <v>10223</v>
      </c>
      <c r="F115" s="237">
        <v>10235</v>
      </c>
      <c r="G115" s="433">
        <f t="shared" si="8"/>
        <v>12</v>
      </c>
      <c r="H115" s="99">
        <f>G115+'17'!H115</f>
        <v>406.48999999999978</v>
      </c>
      <c r="I115" s="165"/>
      <c r="J115" s="328">
        <f>H115/DAY(B2)</f>
        <v>22.582777777777764</v>
      </c>
    </row>
    <row r="116" spans="1:18" ht="27.75" customHeight="1">
      <c r="A116" s="925" t="s">
        <v>96</v>
      </c>
      <c r="B116" s="926"/>
      <c r="C116" s="927"/>
      <c r="D116" s="146" t="s">
        <v>183</v>
      </c>
      <c r="E116" s="95">
        <f>'17'!F116</f>
        <v>30067</v>
      </c>
      <c r="F116" s="237">
        <v>30483</v>
      </c>
      <c r="G116" s="433">
        <f t="shared" si="8"/>
        <v>416</v>
      </c>
      <c r="H116" s="99">
        <f>G116+'17'!H116</f>
        <v>7698.380000000001</v>
      </c>
      <c r="I116" s="165"/>
      <c r="J116" s="328">
        <f>H116/DAY(B2)</f>
        <v>427.68777777777785</v>
      </c>
      <c r="Q116" s="907" t="s">
        <v>311</v>
      </c>
      <c r="R116" s="909"/>
    </row>
    <row r="117" spans="1:18" ht="27.75" customHeight="1">
      <c r="A117" s="925" t="s">
        <v>184</v>
      </c>
      <c r="B117" s="926"/>
      <c r="C117" s="927"/>
      <c r="D117" s="146" t="s">
        <v>183</v>
      </c>
      <c r="E117" s="95">
        <f>'17'!F117</f>
        <v>16856</v>
      </c>
      <c r="F117" s="237">
        <v>17085</v>
      </c>
      <c r="G117" s="433">
        <f t="shared" si="8"/>
        <v>229</v>
      </c>
      <c r="H117" s="99">
        <f>G117+'17'!H117</f>
        <v>3471.8269999999993</v>
      </c>
      <c r="I117" s="165"/>
      <c r="J117" s="328">
        <f>H117/DAY(B2)</f>
        <v>192.87927777777773</v>
      </c>
      <c r="Q117" s="907" t="s">
        <v>312</v>
      </c>
      <c r="R117" s="909"/>
    </row>
    <row r="118" spans="1:18" ht="27.75" customHeight="1">
      <c r="A118" s="902" t="s">
        <v>97</v>
      </c>
      <c r="B118" s="902"/>
      <c r="C118" s="902"/>
      <c r="D118" s="151" t="s">
        <v>183</v>
      </c>
      <c r="E118" s="95">
        <f>'17'!F118</f>
        <v>2059</v>
      </c>
      <c r="F118" s="237">
        <v>2601</v>
      </c>
      <c r="G118" s="433">
        <f t="shared" si="8"/>
        <v>542</v>
      </c>
      <c r="H118" s="99">
        <f>G118+'17'!H118</f>
        <v>9549.0300000000279</v>
      </c>
      <c r="I118" s="165"/>
      <c r="J118" s="328">
        <f>H118/DAY(B2)</f>
        <v>530.50166666666826</v>
      </c>
      <c r="Q118" s="907" t="s">
        <v>311</v>
      </c>
      <c r="R118" s="909"/>
    </row>
    <row r="119" spans="1:18" ht="27.75" customHeight="1">
      <c r="A119" s="902" t="s">
        <v>98</v>
      </c>
      <c r="B119" s="902"/>
      <c r="C119" s="902"/>
      <c r="D119" s="151" t="s">
        <v>183</v>
      </c>
      <c r="E119" s="95">
        <v>109</v>
      </c>
      <c r="F119" s="237">
        <v>507</v>
      </c>
      <c r="G119" s="433">
        <f t="shared" si="8"/>
        <v>398</v>
      </c>
      <c r="H119" s="99">
        <f>G119+'17'!H119</f>
        <v>7827.609999999986</v>
      </c>
      <c r="I119" s="165"/>
      <c r="J119" s="328">
        <f>H119/DAY(B2)</f>
        <v>434.86722222222147</v>
      </c>
    </row>
    <row r="120" spans="1:18" ht="27.75" customHeight="1">
      <c r="A120" s="902" t="s">
        <v>99</v>
      </c>
      <c r="B120" s="902"/>
      <c r="C120" s="902"/>
      <c r="D120" s="151" t="s">
        <v>183</v>
      </c>
      <c r="E120" s="95">
        <f>'17'!F120</f>
        <v>1660</v>
      </c>
      <c r="F120" s="237">
        <v>2075</v>
      </c>
      <c r="G120" s="433">
        <f t="shared" si="8"/>
        <v>415</v>
      </c>
      <c r="H120" s="99">
        <f>G120+'17'!H120</f>
        <v>7421.2400000000052</v>
      </c>
      <c r="I120" s="165"/>
      <c r="J120" s="328">
        <f>H120/DAY(B2)</f>
        <v>412.29111111111138</v>
      </c>
    </row>
    <row r="121" spans="1:18" ht="27.75" customHeight="1">
      <c r="A121" s="902" t="s">
        <v>100</v>
      </c>
      <c r="B121" s="902"/>
      <c r="C121" s="902"/>
      <c r="D121" s="151" t="s">
        <v>183</v>
      </c>
      <c r="E121" s="95">
        <f>'17'!F121</f>
        <v>3229</v>
      </c>
      <c r="F121" s="237">
        <v>3992</v>
      </c>
      <c r="G121" s="433">
        <f t="shared" si="8"/>
        <v>763</v>
      </c>
      <c r="H121" s="99">
        <f>G121+'17'!H121</f>
        <v>14396.729999999981</v>
      </c>
      <c r="I121" s="165"/>
      <c r="J121" s="328">
        <f>H121/DAY(B2)</f>
        <v>799.81833333333225</v>
      </c>
    </row>
    <row r="122" spans="1:18" ht="27.75" customHeight="1">
      <c r="A122" s="902" t="s">
        <v>101</v>
      </c>
      <c r="B122" s="902"/>
      <c r="C122" s="902"/>
      <c r="D122" s="151" t="s">
        <v>183</v>
      </c>
      <c r="E122" s="95">
        <f>'17'!F122</f>
        <v>803</v>
      </c>
      <c r="F122" s="237">
        <v>998</v>
      </c>
      <c r="G122" s="433">
        <f t="shared" si="8"/>
        <v>195</v>
      </c>
      <c r="H122" s="99">
        <f>G122+'17'!H122</f>
        <v>3814.859999999986</v>
      </c>
      <c r="I122" s="165"/>
      <c r="J122" s="328">
        <f>H122/DAY(B2)</f>
        <v>211.9366666666659</v>
      </c>
    </row>
    <row r="123" spans="1:18" ht="27.75" customHeight="1">
      <c r="A123" s="902" t="s">
        <v>102</v>
      </c>
      <c r="B123" s="902"/>
      <c r="C123" s="902"/>
      <c r="D123" s="151" t="s">
        <v>183</v>
      </c>
      <c r="E123" s="95">
        <f>'17'!F123</f>
        <v>173789</v>
      </c>
      <c r="F123" s="237">
        <v>174043</v>
      </c>
      <c r="G123" s="433">
        <f t="shared" si="8"/>
        <v>254</v>
      </c>
      <c r="H123" s="99">
        <f>G123+'17'!H123</f>
        <v>4601</v>
      </c>
      <c r="I123" s="165"/>
      <c r="J123" s="328">
        <f>H123/DAY(B2)</f>
        <v>255.61111111111111</v>
      </c>
    </row>
    <row r="124" spans="1:18" ht="27.75" customHeight="1">
      <c r="A124" s="932"/>
      <c r="B124" s="933"/>
      <c r="C124" s="934"/>
      <c r="D124" s="165"/>
      <c r="E124" s="95">
        <f>'17'!F124</f>
        <v>0</v>
      </c>
      <c r="F124" s="165"/>
      <c r="G124" s="453"/>
      <c r="H124" s="99">
        <f>G124+'17'!H124</f>
        <v>0</v>
      </c>
      <c r="I124" s="165"/>
      <c r="J124" s="327"/>
    </row>
    <row r="125" spans="1:18" ht="27.75" customHeight="1">
      <c r="A125" s="935" t="s">
        <v>196</v>
      </c>
      <c r="B125" s="936"/>
      <c r="C125" s="245"/>
      <c r="D125" s="307"/>
      <c r="E125" s="308"/>
      <c r="F125" s="308"/>
      <c r="G125" s="454">
        <f>SUM(G112:G124)</f>
        <v>4128</v>
      </c>
      <c r="H125" s="156"/>
      <c r="I125" s="327">
        <f>G125-(G39+G53)</f>
        <v>843</v>
      </c>
      <c r="J125" s="327"/>
    </row>
    <row r="126" spans="1:18" ht="27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7.75" customHeight="1">
      <c r="A127" s="938"/>
      <c r="B127" s="938"/>
      <c r="C127" s="245"/>
      <c r="D127" s="307"/>
      <c r="E127" s="308"/>
      <c r="F127" s="308"/>
      <c r="G127" s="454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7" t="s">
        <v>318</v>
      </c>
      <c r="B128" s="908"/>
      <c r="C128" s="909"/>
      <c r="D128" s="151" t="s">
        <v>183</v>
      </c>
      <c r="E128" s="95">
        <f>'17'!F128</f>
        <v>76177</v>
      </c>
      <c r="F128" s="165">
        <v>76589</v>
      </c>
      <c r="G128" s="433">
        <f t="shared" ref="G128:G134" si="9">F128-E128</f>
        <v>412</v>
      </c>
      <c r="H128" s="99">
        <f>G128+'17'!H128</f>
        <v>7672.7599999999948</v>
      </c>
      <c r="I128" s="165"/>
      <c r="J128" s="328">
        <f>H128/DAY(B2)</f>
        <v>426.26444444444417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47273</v>
      </c>
      <c r="F129" s="165">
        <v>47584</v>
      </c>
      <c r="G129" s="433">
        <f t="shared" si="9"/>
        <v>311</v>
      </c>
      <c r="H129" s="99">
        <f>G129+'17'!H129</f>
        <v>5472.9499999999971</v>
      </c>
      <c r="I129" s="165"/>
      <c r="J129" s="328">
        <f>H129/DAY(B2)</f>
        <v>304.05277777777764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87454</v>
      </c>
      <c r="F130" s="165">
        <v>88169</v>
      </c>
      <c r="G130" s="433">
        <f t="shared" si="9"/>
        <v>715</v>
      </c>
      <c r="H130" s="99">
        <f>G130+'17'!H130</f>
        <v>12507.050000000003</v>
      </c>
      <c r="I130" s="165"/>
      <c r="J130" s="328">
        <f>H130/DAY(B2)</f>
        <v>694.83611111111122</v>
      </c>
      <c r="N130" s="240"/>
      <c r="O130" s="241"/>
    </row>
    <row r="131" spans="1:15" ht="27.75" customHeight="1">
      <c r="A131" s="907" t="s">
        <v>321</v>
      </c>
      <c r="B131" s="908"/>
      <c r="C131" s="909"/>
      <c r="D131" s="151" t="s">
        <v>183</v>
      </c>
      <c r="E131" s="95">
        <f>'17'!F131</f>
        <v>27758</v>
      </c>
      <c r="F131" s="158">
        <v>27958</v>
      </c>
      <c r="G131" s="433">
        <f t="shared" si="9"/>
        <v>200</v>
      </c>
      <c r="H131" s="99">
        <f>G131+'17'!H131</f>
        <v>3525.5</v>
      </c>
      <c r="I131" s="165"/>
      <c r="J131" s="328">
        <f>H131/DAY(B2)</f>
        <v>195.86111111111111</v>
      </c>
      <c r="N131" s="240"/>
      <c r="O131" s="241"/>
    </row>
    <row r="132" spans="1:15" ht="27.75" customHeight="1">
      <c r="A132" s="907" t="s">
        <v>322</v>
      </c>
      <c r="B132" s="908"/>
      <c r="C132" s="909"/>
      <c r="D132" s="151" t="s">
        <v>183</v>
      </c>
      <c r="E132" s="95">
        <f>'17'!F132</f>
        <v>83075</v>
      </c>
      <c r="F132" s="158">
        <v>83503</v>
      </c>
      <c r="G132" s="433">
        <f t="shared" si="9"/>
        <v>428</v>
      </c>
      <c r="H132" s="99">
        <f>G132+'17'!H132</f>
        <v>7835.5</v>
      </c>
      <c r="I132" s="165"/>
      <c r="J132" s="328">
        <f>H132/DAY(B2)</f>
        <v>435.30555555555554</v>
      </c>
    </row>
    <row r="133" spans="1:15" ht="27.75" customHeight="1">
      <c r="A133" s="907" t="s">
        <v>360</v>
      </c>
      <c r="B133" s="908"/>
      <c r="C133" s="909"/>
      <c r="D133" s="151" t="s">
        <v>183</v>
      </c>
      <c r="E133" s="95">
        <f>'17'!F133</f>
        <v>160698</v>
      </c>
      <c r="F133" s="165">
        <v>161586</v>
      </c>
      <c r="G133" s="433">
        <f t="shared" si="9"/>
        <v>888</v>
      </c>
      <c r="H133" s="99">
        <f>G133+'17'!H133</f>
        <v>16204.010000000009</v>
      </c>
      <c r="I133" s="165"/>
      <c r="J133" s="328">
        <f>H133/DAY(B2)</f>
        <v>900.22277777777833</v>
      </c>
    </row>
    <row r="134" spans="1:15" ht="27.75" customHeight="1">
      <c r="A134" s="907" t="s">
        <v>340</v>
      </c>
      <c r="B134" s="908"/>
      <c r="C134" s="909"/>
      <c r="D134" s="151" t="s">
        <v>183</v>
      </c>
      <c r="E134" s="95">
        <f>'17'!F134</f>
        <v>24903</v>
      </c>
      <c r="F134" s="158">
        <v>25142</v>
      </c>
      <c r="G134" s="433">
        <f t="shared" si="9"/>
        <v>239</v>
      </c>
      <c r="H134" s="99">
        <f>G134+'17'!H134</f>
        <v>4349.32</v>
      </c>
      <c r="I134" s="165"/>
      <c r="J134" s="328">
        <f>H134/DAY(B2)</f>
        <v>241.62888888888887</v>
      </c>
    </row>
    <row r="135" spans="1:15" ht="27.75" customHeight="1">
      <c r="A135" s="935" t="s">
        <v>196</v>
      </c>
      <c r="B135" s="936"/>
      <c r="C135" s="331"/>
      <c r="D135" s="151"/>
      <c r="E135" s="95"/>
      <c r="F135" s="165"/>
      <c r="G135" s="433">
        <f>SUM(G128:G134)</f>
        <v>3193</v>
      </c>
      <c r="H135" s="99">
        <f>G135+'10'!H135</f>
        <v>34901.849999999984</v>
      </c>
      <c r="I135" s="327">
        <f>G135-(G35+G49)</f>
        <v>-733</v>
      </c>
      <c r="J135" s="328"/>
    </row>
    <row r="136" spans="1:15" ht="27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7.75" customHeight="1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7.75" customHeight="1">
      <c r="A138" s="902" t="s">
        <v>185</v>
      </c>
      <c r="B138" s="902"/>
      <c r="C138" s="902"/>
      <c r="D138" s="151" t="s">
        <v>183</v>
      </c>
      <c r="E138" s="95">
        <f>'17'!F138</f>
        <v>876762</v>
      </c>
      <c r="F138" s="147">
        <v>876921</v>
      </c>
      <c r="G138" s="433">
        <f t="shared" ref="G138:G152" si="10">F138-E138</f>
        <v>159</v>
      </c>
      <c r="H138" s="99">
        <f>G138+'17'!H138</f>
        <v>2920</v>
      </c>
      <c r="I138" s="118"/>
      <c r="J138" s="328">
        <f>H138/DAY(B2)</f>
        <v>162.22222222222223</v>
      </c>
    </row>
    <row r="139" spans="1:15" ht="27.75" customHeight="1">
      <c r="A139" s="902" t="s">
        <v>186</v>
      </c>
      <c r="B139" s="902"/>
      <c r="C139" s="902"/>
      <c r="D139" s="151" t="s">
        <v>183</v>
      </c>
      <c r="E139" s="95">
        <f>'17'!F139</f>
        <v>892896</v>
      </c>
      <c r="F139" s="148">
        <v>893043</v>
      </c>
      <c r="G139" s="433">
        <f t="shared" si="10"/>
        <v>147</v>
      </c>
      <c r="H139" s="99">
        <f>G139+'17'!H139</f>
        <v>2725</v>
      </c>
      <c r="I139" s="118"/>
      <c r="J139" s="328">
        <f>H139/DAY(B2)</f>
        <v>151.38888888888889</v>
      </c>
    </row>
    <row r="140" spans="1:15" ht="27.75" customHeight="1">
      <c r="A140" s="902" t="s">
        <v>187</v>
      </c>
      <c r="B140" s="902"/>
      <c r="C140" s="902"/>
      <c r="D140" s="151" t="s">
        <v>183</v>
      </c>
      <c r="E140" s="95">
        <f>'17'!F140</f>
        <v>89022</v>
      </c>
      <c r="F140" s="149">
        <v>89023</v>
      </c>
      <c r="G140" s="433">
        <f t="shared" si="10"/>
        <v>1</v>
      </c>
      <c r="H140" s="99">
        <f>G140+'17'!H140</f>
        <v>33</v>
      </c>
      <c r="I140" s="118"/>
      <c r="J140" s="328">
        <f>H140/DAY(B2)</f>
        <v>1.8333333333333333</v>
      </c>
    </row>
    <row r="141" spans="1:15" ht="27.75" customHeight="1">
      <c r="A141" s="906" t="s">
        <v>188</v>
      </c>
      <c r="B141" s="906"/>
      <c r="C141" s="906"/>
      <c r="D141" s="151" t="s">
        <v>183</v>
      </c>
      <c r="E141" s="95">
        <f>'17'!F141</f>
        <v>69140</v>
      </c>
      <c r="F141" s="149">
        <v>69331</v>
      </c>
      <c r="G141" s="433">
        <f t="shared" si="10"/>
        <v>191</v>
      </c>
      <c r="H141" s="99">
        <f>G141+'17'!H141</f>
        <v>3547.4700000000012</v>
      </c>
      <c r="I141" s="118"/>
      <c r="J141" s="328">
        <f>H141/DAY(B2)</f>
        <v>197.08166666666673</v>
      </c>
    </row>
    <row r="142" spans="1:15" ht="27.75" customHeight="1">
      <c r="A142" s="906" t="s">
        <v>189</v>
      </c>
      <c r="B142" s="906"/>
      <c r="C142" s="906"/>
      <c r="D142" s="151" t="s">
        <v>183</v>
      </c>
      <c r="E142" s="95">
        <f>'17'!F142</f>
        <v>26625</v>
      </c>
      <c r="F142" s="148">
        <v>26686</v>
      </c>
      <c r="G142" s="433">
        <f t="shared" si="10"/>
        <v>61</v>
      </c>
      <c r="H142" s="99">
        <f>G142+'17'!H142</f>
        <v>1189.5999999999985</v>
      </c>
      <c r="I142" s="140"/>
      <c r="J142" s="328">
        <f>H142/DAY(B2)</f>
        <v>66.088888888888803</v>
      </c>
    </row>
    <row r="143" spans="1:15" ht="27.75" customHeight="1">
      <c r="A143" s="902" t="s">
        <v>91</v>
      </c>
      <c r="B143" s="902"/>
      <c r="C143" s="902"/>
      <c r="D143" s="151" t="s">
        <v>183</v>
      </c>
      <c r="E143" s="95">
        <f>'17'!F143</f>
        <v>6034</v>
      </c>
      <c r="F143" s="149">
        <v>6059</v>
      </c>
      <c r="G143" s="433">
        <f t="shared" si="10"/>
        <v>25</v>
      </c>
      <c r="H143" s="99">
        <f>G143+'17'!H143</f>
        <v>498.28999999999996</v>
      </c>
      <c r="I143" s="140"/>
      <c r="J143" s="328">
        <f>H143/DAY(B2)</f>
        <v>27.682777777777776</v>
      </c>
    </row>
    <row r="144" spans="1:15" ht="27.75" customHeight="1">
      <c r="A144" s="906" t="s">
        <v>90</v>
      </c>
      <c r="B144" s="906"/>
      <c r="C144" s="906"/>
      <c r="D144" s="151" t="s">
        <v>183</v>
      </c>
      <c r="E144" s="95">
        <f>'17'!F144</f>
        <v>894146</v>
      </c>
      <c r="F144" s="148">
        <v>894398</v>
      </c>
      <c r="G144" s="433">
        <f t="shared" si="10"/>
        <v>252</v>
      </c>
      <c r="H144" s="99">
        <f>G144+'17'!H144</f>
        <v>4564</v>
      </c>
      <c r="I144" s="140"/>
      <c r="J144" s="328">
        <f>H144/DAY(B2)</f>
        <v>253.55555555555554</v>
      </c>
    </row>
    <row r="145" spans="1:10" ht="27.75" customHeight="1">
      <c r="A145" s="902" t="s">
        <v>190</v>
      </c>
      <c r="B145" s="902"/>
      <c r="C145" s="902"/>
      <c r="D145" s="152" t="s">
        <v>183</v>
      </c>
      <c r="E145" s="95">
        <f>'17'!F145</f>
        <v>5594</v>
      </c>
      <c r="F145" s="149">
        <v>5596</v>
      </c>
      <c r="G145" s="433">
        <f t="shared" si="10"/>
        <v>2</v>
      </c>
      <c r="H145" s="99">
        <f>G145+'17'!H145</f>
        <v>39.600000000000364</v>
      </c>
      <c r="I145" s="140"/>
      <c r="J145" s="328">
        <f>H145/DAY(B2)</f>
        <v>2.2000000000000202</v>
      </c>
    </row>
    <row r="146" spans="1:10" ht="27.75" customHeight="1">
      <c r="A146" s="903" t="s">
        <v>191</v>
      </c>
      <c r="B146" s="904"/>
      <c r="C146" s="905"/>
      <c r="D146" s="152" t="s">
        <v>183</v>
      </c>
      <c r="E146" s="95">
        <f>'17'!F146</f>
        <v>772793</v>
      </c>
      <c r="F146" s="148">
        <v>773236</v>
      </c>
      <c r="G146" s="433">
        <f t="shared" si="10"/>
        <v>443</v>
      </c>
      <c r="H146" s="99">
        <f>G146+'17'!H146</f>
        <v>8910</v>
      </c>
      <c r="I146" s="140"/>
      <c r="J146" s="328">
        <f>H146/DAY(B2)</f>
        <v>495</v>
      </c>
    </row>
    <row r="147" spans="1:10" ht="27.75" customHeight="1">
      <c r="A147" s="906" t="s">
        <v>192</v>
      </c>
      <c r="B147" s="906"/>
      <c r="C147" s="906"/>
      <c r="D147" s="152" t="s">
        <v>183</v>
      </c>
      <c r="E147" s="95">
        <f>'17'!F147</f>
        <v>657664</v>
      </c>
      <c r="F147" s="148">
        <v>658076</v>
      </c>
      <c r="G147" s="433">
        <f t="shared" si="10"/>
        <v>412</v>
      </c>
      <c r="H147" s="99">
        <f>G147+'17'!H147</f>
        <v>7892</v>
      </c>
      <c r="I147" s="140"/>
      <c r="J147" s="328">
        <f>H147/DAY(B2)</f>
        <v>438.44444444444446</v>
      </c>
    </row>
    <row r="148" spans="1:10" ht="27.75" customHeight="1">
      <c r="A148" s="898" t="s">
        <v>193</v>
      </c>
      <c r="B148" s="899"/>
      <c r="C148" s="900"/>
      <c r="D148" s="123" t="s">
        <v>130</v>
      </c>
      <c r="E148" s="95">
        <f>'17'!F148</f>
        <v>714989</v>
      </c>
      <c r="F148" s="150">
        <v>715340</v>
      </c>
      <c r="G148" s="433">
        <f t="shared" si="10"/>
        <v>351</v>
      </c>
      <c r="H148" s="99">
        <f>G148+'17'!H148</f>
        <v>6475.3199999999488</v>
      </c>
      <c r="I148" s="124"/>
      <c r="J148" s="328">
        <f>H148/DAY(B2)</f>
        <v>359.73999999999717</v>
      </c>
    </row>
    <row r="149" spans="1:10" ht="27.75" customHeight="1">
      <c r="A149" s="898" t="s">
        <v>336</v>
      </c>
      <c r="B149" s="899"/>
      <c r="C149" s="900"/>
      <c r="D149" s="227" t="s">
        <v>130</v>
      </c>
      <c r="E149" s="95">
        <f>'17'!F149</f>
        <v>74767</v>
      </c>
      <c r="F149" s="416">
        <v>75322</v>
      </c>
      <c r="G149" s="433">
        <f t="shared" si="10"/>
        <v>555</v>
      </c>
      <c r="H149" s="99">
        <f>G149+'17'!H149</f>
        <v>12098.199999999997</v>
      </c>
      <c r="I149" s="119"/>
      <c r="J149" s="328">
        <f>H149/DAY(B2)</f>
        <v>672.12222222222204</v>
      </c>
    </row>
    <row r="150" spans="1:10" ht="27.75" customHeight="1">
      <c r="A150" s="898" t="s">
        <v>337</v>
      </c>
      <c r="B150" s="899"/>
      <c r="C150" s="900"/>
      <c r="D150" s="117" t="s">
        <v>130</v>
      </c>
      <c r="E150" s="95">
        <f>'17'!F150</f>
        <v>27818</v>
      </c>
      <c r="F150" s="233">
        <v>28036</v>
      </c>
      <c r="G150" s="433">
        <f t="shared" si="10"/>
        <v>218</v>
      </c>
      <c r="H150" s="99">
        <f>G150+'17'!H150</f>
        <v>4080.2099999999991</v>
      </c>
      <c r="I150" s="119"/>
      <c r="J150" s="328">
        <f>H150/DAY(B2)</f>
        <v>226.67833333333328</v>
      </c>
    </row>
    <row r="151" spans="1:10" ht="27.75" customHeight="1">
      <c r="A151" s="898" t="s">
        <v>338</v>
      </c>
      <c r="B151" s="899"/>
      <c r="C151" s="900"/>
      <c r="D151" s="117" t="s">
        <v>130</v>
      </c>
      <c r="E151" s="95">
        <f>'17'!F151</f>
        <v>105423</v>
      </c>
      <c r="F151" s="233">
        <v>105700</v>
      </c>
      <c r="G151" s="433">
        <f t="shared" si="10"/>
        <v>277</v>
      </c>
      <c r="H151" s="99">
        <f>G151+'17'!H151</f>
        <v>5089</v>
      </c>
      <c r="I151" s="119"/>
      <c r="J151" s="328">
        <f>H151/DAY(B2)</f>
        <v>282.72222222222223</v>
      </c>
    </row>
    <row r="152" spans="1:10" ht="27.75" customHeight="1">
      <c r="A152" s="898" t="s">
        <v>339</v>
      </c>
      <c r="B152" s="899"/>
      <c r="C152" s="900"/>
      <c r="D152" s="117" t="s">
        <v>130</v>
      </c>
      <c r="E152" s="95">
        <f>'17'!F152</f>
        <v>10153</v>
      </c>
      <c r="F152" s="233">
        <v>10216</v>
      </c>
      <c r="G152" s="433">
        <f t="shared" si="10"/>
        <v>63</v>
      </c>
      <c r="H152" s="99">
        <f>G152+'17'!H152</f>
        <v>2146.9399999999996</v>
      </c>
      <c r="I152" s="119"/>
      <c r="J152" s="328">
        <f>H152/DAY(B2)</f>
        <v>119.27444444444443</v>
      </c>
    </row>
    <row r="153" spans="1:10" ht="27.75" customHeight="1">
      <c r="A153" s="935" t="s">
        <v>196</v>
      </c>
      <c r="B153" s="936"/>
      <c r="C153" s="365"/>
      <c r="D153" s="358"/>
      <c r="E153" s="360"/>
      <c r="F153" s="361"/>
      <c r="G153" s="455">
        <f>SUM(G138:G152)</f>
        <v>3157</v>
      </c>
      <c r="H153" s="363"/>
      <c r="I153" s="119">
        <f>G153-(G38+G52)</f>
        <v>862</v>
      </c>
      <c r="J153" s="366"/>
    </row>
    <row r="154" spans="1:10" ht="27.7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 customHeight="1">
      <c r="A155" s="906" t="s">
        <v>345</v>
      </c>
      <c r="B155" s="906"/>
      <c r="C155" s="906"/>
      <c r="D155" s="117" t="s">
        <v>130</v>
      </c>
      <c r="E155" s="95">
        <f>'17'!F155</f>
        <v>83930</v>
      </c>
      <c r="F155" s="389">
        <v>84621</v>
      </c>
      <c r="G155" s="433">
        <f t="shared" ref="G155:G157" si="11">F155-E155</f>
        <v>691</v>
      </c>
      <c r="H155" s="99">
        <f>G155+'17'!H155</f>
        <v>11850.5</v>
      </c>
      <c r="I155" s="364"/>
      <c r="J155" s="328">
        <f>H155/DAY(B2)</f>
        <v>658.36111111111109</v>
      </c>
    </row>
    <row r="156" spans="1:10" ht="27.75" customHeight="1">
      <c r="A156" s="906" t="s">
        <v>347</v>
      </c>
      <c r="B156" s="906"/>
      <c r="C156" s="906"/>
      <c r="D156" s="117" t="s">
        <v>130</v>
      </c>
      <c r="E156" s="95">
        <f>'17'!F156</f>
        <v>6979</v>
      </c>
      <c r="F156" s="155">
        <v>7034</v>
      </c>
      <c r="G156" s="433">
        <f t="shared" si="11"/>
        <v>55</v>
      </c>
      <c r="H156" s="99">
        <f>G156+'17'!H156</f>
        <v>976.75</v>
      </c>
      <c r="I156" s="165"/>
      <c r="J156" s="328">
        <f>H156/DAY(B2)</f>
        <v>54.263888888888886</v>
      </c>
    </row>
    <row r="157" spans="1:10" ht="27.75" customHeight="1">
      <c r="A157" s="898" t="s">
        <v>361</v>
      </c>
      <c r="B157" s="899"/>
      <c r="C157" s="900"/>
      <c r="D157" s="117" t="s">
        <v>130</v>
      </c>
      <c r="E157" s="95">
        <f>'17'!F157</f>
        <v>12068</v>
      </c>
      <c r="F157" s="155">
        <v>12164</v>
      </c>
      <c r="G157" s="433">
        <f t="shared" si="11"/>
        <v>96</v>
      </c>
      <c r="H157" s="99">
        <f>G157+'17'!H157</f>
        <v>951.05999999999949</v>
      </c>
      <c r="I157" s="165"/>
      <c r="J157" s="328">
        <f>H157/DAY(B2)</f>
        <v>52.836666666666638</v>
      </c>
    </row>
    <row r="158" spans="1:10" ht="27.75" customHeight="1">
      <c r="A158" s="898" t="s">
        <v>362</v>
      </c>
      <c r="B158" s="899"/>
      <c r="C158" s="900"/>
      <c r="D158" s="117" t="s">
        <v>130</v>
      </c>
      <c r="E158" s="95">
        <f>'17'!F158</f>
        <v>95.77</v>
      </c>
      <c r="F158" s="155">
        <v>96.96</v>
      </c>
      <c r="G158" s="433">
        <f t="shared" ref="G158" si="12">F158-E158</f>
        <v>1.1899999999999977</v>
      </c>
      <c r="H158" s="99">
        <f>G158+'17'!H158</f>
        <v>4.9599999999999937</v>
      </c>
      <c r="I158" s="165"/>
      <c r="J158" s="328">
        <f>H158/DAY(B2)</f>
        <v>0.27555555555555522</v>
      </c>
    </row>
    <row r="159" spans="1:10" ht="27.75" customHeight="1">
      <c r="A159" s="957"/>
      <c r="B159" s="958"/>
      <c r="C159" s="959"/>
      <c r="D159" s="117"/>
      <c r="E159" s="95"/>
      <c r="F159" s="165"/>
      <c r="G159" s="433"/>
      <c r="H159" s="99"/>
      <c r="I159" s="165"/>
      <c r="J159" s="328"/>
    </row>
    <row r="160" spans="1:10" ht="27.7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474163</v>
      </c>
      <c r="F161" s="235">
        <v>474369</v>
      </c>
      <c r="G161" s="456">
        <f t="shared" ref="G161:G165" si="13">F161-E161</f>
        <v>206</v>
      </c>
      <c r="H161" s="99">
        <f>G161+'17'!H161</f>
        <v>528.27000000001863</v>
      </c>
      <c r="I161" s="236"/>
      <c r="J161" s="239">
        <f>H161/DAY(B2)</f>
        <v>29.348333333334367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91063</v>
      </c>
      <c r="F162" s="235">
        <v>91099</v>
      </c>
      <c r="G162" s="456">
        <f t="shared" si="13"/>
        <v>36</v>
      </c>
      <c r="H162" s="99">
        <f>G162+'17'!H162</f>
        <v>646.10000000000582</v>
      </c>
      <c r="I162" s="236"/>
      <c r="J162" s="239">
        <f>H162/DAY(B2)</f>
        <v>35.894444444444765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89963</v>
      </c>
      <c r="F163" s="235">
        <v>90122</v>
      </c>
      <c r="G163" s="456">
        <f t="shared" si="13"/>
        <v>159</v>
      </c>
      <c r="H163" s="99">
        <f>G163+'17'!H163</f>
        <v>3043.1999999999971</v>
      </c>
      <c r="I163" s="236"/>
      <c r="J163" s="239">
        <f>H163/DAY(B2)</f>
        <v>169.06666666666649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5035</v>
      </c>
      <c r="F164" s="235">
        <v>5046</v>
      </c>
      <c r="G164" s="456">
        <f t="shared" si="13"/>
        <v>11</v>
      </c>
      <c r="H164" s="99">
        <f>G164+'17'!H164</f>
        <v>233.60000000000036</v>
      </c>
      <c r="I164" s="236"/>
      <c r="J164" s="239">
        <f>H164/DAY(B2)</f>
        <v>12.977777777777797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30484</v>
      </c>
      <c r="F165" s="235">
        <v>30499</v>
      </c>
      <c r="G165" s="456">
        <f t="shared" si="13"/>
        <v>15</v>
      </c>
      <c r="H165" s="99">
        <f>G165+'17'!H165</f>
        <v>143.4900000000016</v>
      </c>
      <c r="I165" s="236"/>
      <c r="J165" s="239">
        <f>H165/DAY(B2)</f>
        <v>7.9716666666667555</v>
      </c>
    </row>
    <row r="166" spans="1:10" ht="27.75" customHeight="1">
      <c r="A166" s="938"/>
      <c r="B166" s="938"/>
      <c r="C166" s="246"/>
      <c r="D166" s="244" t="s">
        <v>180</v>
      </c>
      <c r="E166" s="95">
        <f>'17'!F166</f>
        <v>0</v>
      </c>
      <c r="F166" s="165"/>
      <c r="G166" s="453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38"/>
      <c r="B167" s="938"/>
      <c r="C167" s="246"/>
      <c r="D167" s="244" t="s">
        <v>180</v>
      </c>
      <c r="E167" s="95">
        <f>'17'!F167</f>
        <v>0</v>
      </c>
      <c r="F167" s="165"/>
      <c r="G167" s="453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38"/>
      <c r="B168" s="938"/>
      <c r="C168" s="246"/>
      <c r="D168" s="244" t="s">
        <v>180</v>
      </c>
      <c r="E168" s="95">
        <f>'17'!F168</f>
        <v>0</v>
      </c>
      <c r="F168" s="165"/>
      <c r="G168" s="453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7.75" customHeight="1">
      <c r="A172" s="944"/>
      <c r="B172" s="945"/>
      <c r="C172" s="332"/>
      <c r="D172" s="228"/>
      <c r="E172" s="155"/>
      <c r="F172" s="155"/>
      <c r="G172" s="457"/>
      <c r="H172" s="156"/>
      <c r="I172" s="155"/>
      <c r="J172" s="178"/>
    </row>
    <row r="173" spans="1:10" ht="27.75" customHeight="1">
      <c r="A173" s="896" t="s">
        <v>209</v>
      </c>
      <c r="B173" s="897"/>
      <c r="C173" s="333"/>
      <c r="D173" s="228" t="s">
        <v>142</v>
      </c>
      <c r="E173" s="95">
        <f>'17'!F173</f>
        <v>8277</v>
      </c>
      <c r="F173" s="155">
        <v>8278</v>
      </c>
      <c r="G173" s="457">
        <f>F173-E173</f>
        <v>1</v>
      </c>
      <c r="H173" s="99">
        <f>G173+'17'!H173</f>
        <v>14</v>
      </c>
      <c r="I173" s="155"/>
      <c r="J173" s="178">
        <f>H173/DAY(B2)</f>
        <v>0.77777777777777779</v>
      </c>
    </row>
    <row r="174" spans="1:10" ht="27.75" customHeight="1">
      <c r="A174" s="896" t="s">
        <v>75</v>
      </c>
      <c r="B174" s="897"/>
      <c r="C174" s="333"/>
      <c r="D174" s="228" t="s">
        <v>142</v>
      </c>
      <c r="E174" s="95">
        <f>'17'!F174</f>
        <v>39718</v>
      </c>
      <c r="F174" s="157">
        <v>39734</v>
      </c>
      <c r="G174" s="457">
        <f t="shared" ref="G174:G175" si="14">F174-E174</f>
        <v>16</v>
      </c>
      <c r="H174" s="99">
        <f>G174+'17'!H174</f>
        <v>272</v>
      </c>
      <c r="I174" s="155"/>
      <c r="J174" s="178">
        <f>H174/DAY(B2)</f>
        <v>15.111111111111111</v>
      </c>
    </row>
    <row r="175" spans="1:10" ht="27.75" customHeight="1">
      <c r="A175" s="896" t="s">
        <v>76</v>
      </c>
      <c r="B175" s="901"/>
      <c r="C175" s="897"/>
      <c r="D175" s="228" t="s">
        <v>142</v>
      </c>
      <c r="E175" s="95">
        <f>'17'!F175</f>
        <v>22730</v>
      </c>
      <c r="F175" s="155">
        <v>22744</v>
      </c>
      <c r="G175" s="457">
        <f t="shared" si="14"/>
        <v>14</v>
      </c>
      <c r="H175" s="99">
        <f>G175+'17'!H175</f>
        <v>222</v>
      </c>
      <c r="I175" s="155"/>
      <c r="J175" s="178">
        <f>H175/DAY(B2)</f>
        <v>12.333333333333334</v>
      </c>
    </row>
    <row r="176" spans="1:10" ht="27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457">
        <f>SUM(G173:G175)</f>
        <v>31</v>
      </c>
      <c r="H176" s="99">
        <f>G176+'17'!H176</f>
        <v>508</v>
      </c>
      <c r="I176" s="155"/>
      <c r="J176" s="178">
        <f>H176/DAY(B2)</f>
        <v>28.222222222222221</v>
      </c>
    </row>
    <row r="177" spans="1:11" ht="27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457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6" t="s">
        <v>210</v>
      </c>
      <c r="B178" s="897"/>
      <c r="C178" s="333"/>
      <c r="D178" s="228" t="s">
        <v>142</v>
      </c>
      <c r="E178" s="95">
        <f>'17'!F178</f>
        <v>87277</v>
      </c>
      <c r="F178" s="155">
        <v>87383</v>
      </c>
      <c r="G178" s="457">
        <f>F178-E178</f>
        <v>106</v>
      </c>
      <c r="H178" s="99">
        <f>G178+'17'!H178</f>
        <v>1767</v>
      </c>
      <c r="I178" s="155"/>
      <c r="J178" s="178">
        <f>H178/DAY(B2)</f>
        <v>98.166666666666671</v>
      </c>
    </row>
    <row r="179" spans="1:11" ht="27.75" customHeight="1">
      <c r="A179" s="896" t="s">
        <v>211</v>
      </c>
      <c r="B179" s="897"/>
      <c r="C179" s="333"/>
      <c r="D179" s="228" t="s">
        <v>142</v>
      </c>
      <c r="E179" s="95">
        <f>'17'!F179</f>
        <v>35710</v>
      </c>
      <c r="F179" s="155">
        <v>35710</v>
      </c>
      <c r="G179" s="457">
        <f t="shared" ref="G179:G180" si="15">F179-E179</f>
        <v>0</v>
      </c>
      <c r="H179" s="99">
        <f>G179+'17'!H179</f>
        <v>96</v>
      </c>
      <c r="I179" s="155"/>
      <c r="J179" s="178">
        <f>H179/DAY(B2)</f>
        <v>5.333333333333333</v>
      </c>
    </row>
    <row r="180" spans="1:11" ht="27.75" customHeight="1">
      <c r="A180" s="896" t="s">
        <v>212</v>
      </c>
      <c r="B180" s="897"/>
      <c r="C180" s="333"/>
      <c r="D180" s="228" t="s">
        <v>142</v>
      </c>
      <c r="E180" s="95">
        <f>'17'!F180</f>
        <v>6288</v>
      </c>
      <c r="F180" s="155">
        <v>6291</v>
      </c>
      <c r="G180" s="457">
        <f t="shared" si="15"/>
        <v>3</v>
      </c>
      <c r="H180" s="99">
        <f>G180+'17'!H180</f>
        <v>158</v>
      </c>
      <c r="I180" s="155"/>
      <c r="J180" s="178">
        <f>H180/DAY(B2)</f>
        <v>8.7777777777777786</v>
      </c>
    </row>
    <row r="181" spans="1:11" ht="27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457">
        <f>SUM(G178:G180)</f>
        <v>109</v>
      </c>
      <c r="H181" s="99">
        <f>G181+'17'!H181</f>
        <v>2021</v>
      </c>
      <c r="I181" s="155"/>
      <c r="J181" s="178">
        <f>H181/DAY(B2)</f>
        <v>112.27777777777777</v>
      </c>
    </row>
    <row r="182" spans="1:11" ht="27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457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6" t="s">
        <v>214</v>
      </c>
      <c r="B183" s="897"/>
      <c r="C183" s="334"/>
      <c r="D183" s="228" t="s">
        <v>142</v>
      </c>
      <c r="E183" s="95">
        <f>'17'!F183</f>
        <v>16424</v>
      </c>
      <c r="F183" s="157">
        <v>16432</v>
      </c>
      <c r="G183" s="458">
        <f>F183-E183</f>
        <v>8</v>
      </c>
      <c r="H183" s="99">
        <f>G183+'17'!H183</f>
        <v>290</v>
      </c>
      <c r="I183" s="155"/>
      <c r="J183" s="178">
        <f>H183/DAY(B2)</f>
        <v>16.111111111111111</v>
      </c>
    </row>
    <row r="184" spans="1:11" ht="27.75" customHeight="1">
      <c r="A184" s="896" t="s">
        <v>215</v>
      </c>
      <c r="B184" s="897"/>
      <c r="C184" s="334"/>
      <c r="D184" s="228" t="s">
        <v>142</v>
      </c>
      <c r="E184" s="95">
        <f>'17'!F184</f>
        <v>11173</v>
      </c>
      <c r="F184" s="157">
        <v>11179</v>
      </c>
      <c r="G184" s="458">
        <f t="shared" ref="G184:G185" si="16">F184-E184</f>
        <v>6</v>
      </c>
      <c r="H184" s="99">
        <f>G184+'17'!H184</f>
        <v>130</v>
      </c>
      <c r="I184" s="155"/>
      <c r="J184" s="178">
        <f>H184/DAY(B2)</f>
        <v>7.2222222222222223</v>
      </c>
    </row>
    <row r="185" spans="1:11" ht="27.75" customHeight="1">
      <c r="A185" s="896" t="s">
        <v>216</v>
      </c>
      <c r="B185" s="897"/>
      <c r="C185" s="334"/>
      <c r="D185" s="228" t="s">
        <v>142</v>
      </c>
      <c r="E185" s="95">
        <f>'17'!F185</f>
        <v>0</v>
      </c>
      <c r="F185" s="157"/>
      <c r="G185" s="458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5" t="s">
        <v>196</v>
      </c>
      <c r="B186" s="936"/>
      <c r="C186" s="400"/>
      <c r="D186" s="228" t="s">
        <v>142</v>
      </c>
      <c r="E186" s="95"/>
      <c r="F186" s="157"/>
      <c r="G186" s="458">
        <f>SUM(G183:G185)</f>
        <v>14</v>
      </c>
      <c r="H186" s="99">
        <f>G186+'17'!H186</f>
        <v>420</v>
      </c>
      <c r="I186" s="157"/>
      <c r="J186" s="178">
        <f>H186/DAY(B2)</f>
        <v>23.333333333333332</v>
      </c>
    </row>
    <row r="187" spans="1:11" ht="27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459">
        <f>G62+G19</f>
        <v>202</v>
      </c>
      <c r="H187" s="99">
        <f>G187+'17'!H187</f>
        <v>4098</v>
      </c>
      <c r="I187" s="158"/>
      <c r="J187" s="179">
        <f>H187/DAY(B2)</f>
        <v>227.66666666666666</v>
      </c>
    </row>
    <row r="188" spans="1:11" ht="27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459">
        <f>G65+G66+G67+G69+G70</f>
        <v>210</v>
      </c>
      <c r="H188" s="99">
        <f>G188+'17'!H188</f>
        <v>905</v>
      </c>
      <c r="I188" s="158"/>
      <c r="J188" s="179">
        <f>H188/DAY(B2)</f>
        <v>50.277777777777779</v>
      </c>
    </row>
    <row r="189" spans="1:11" ht="27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459">
        <f>G181</f>
        <v>109</v>
      </c>
      <c r="H189" s="99">
        <f>G189+'17'!H189</f>
        <v>2021</v>
      </c>
      <c r="I189" s="158"/>
      <c r="J189" s="179">
        <f>H189/DAY(B2)</f>
        <v>112.27777777777777</v>
      </c>
    </row>
    <row r="190" spans="1:11" ht="23.25" customHeight="1">
      <c r="A190" s="245"/>
      <c r="B190" s="246"/>
      <c r="C190" s="246"/>
      <c r="D190" s="165"/>
      <c r="E190" s="165"/>
      <c r="F190" s="155"/>
      <c r="G190" s="453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30" zoomScale="55" zoomScaleNormal="40" zoomScaleSheetLayoutView="55" zoomScalePageLayoutView="60" workbookViewId="0">
      <selection activeCell="F149" sqref="F1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355</v>
      </c>
      <c r="B2" s="262">
        <v>44670</v>
      </c>
      <c r="C2" s="348" t="s">
        <v>67</v>
      </c>
      <c r="D2" s="218">
        <v>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6" t="s">
        <v>119</v>
      </c>
      <c r="F3" s="887"/>
      <c r="G3" s="473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488052</v>
      </c>
      <c r="F7" s="95">
        <v>515202</v>
      </c>
      <c r="G7" s="476">
        <f>F7-E7</f>
        <v>27150</v>
      </c>
      <c r="H7" s="99">
        <f>G7+'18 '!H7</f>
        <v>528479</v>
      </c>
      <c r="I7" s="113">
        <f>'1'!I7</f>
        <v>12000</v>
      </c>
      <c r="J7" s="175">
        <f>H7/DAY(B2)</f>
        <v>27814.684210526317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569314</v>
      </c>
      <c r="F8" s="114">
        <v>597242</v>
      </c>
      <c r="G8" s="477">
        <f>F8-E8</f>
        <v>27928</v>
      </c>
      <c r="H8" s="99">
        <f>G8+'18 '!H8</f>
        <v>539195.78</v>
      </c>
      <c r="I8" s="116"/>
      <c r="J8" s="175">
        <f>H8/DAY(B2)</f>
        <v>28378.725263157896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1625258</v>
      </c>
      <c r="F9" s="470">
        <v>1641879</v>
      </c>
      <c r="G9" s="476">
        <f>F9-E9</f>
        <v>16621</v>
      </c>
      <c r="H9" s="99">
        <f>G9+'18 '!H9</f>
        <v>374204</v>
      </c>
      <c r="I9" s="124">
        <f>I7-J7</f>
        <v>-15814.684210526317</v>
      </c>
      <c r="J9" s="175">
        <f>H9/DAY(B2)</f>
        <v>19694.947368421053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548055</v>
      </c>
      <c r="F10" s="353">
        <v>557864</v>
      </c>
      <c r="G10" s="476">
        <f t="shared" ref="G10:G12" si="0">F10-E10</f>
        <v>9809</v>
      </c>
      <c r="H10" s="99">
        <f>G10+'18 '!H10</f>
        <v>139588.53000000003</v>
      </c>
      <c r="I10" s="282"/>
      <c r="J10" s="175">
        <f>H10/DAY(B2)</f>
        <v>7346.7647368421067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8">
        <f>G9+G10+G11+G12</f>
        <v>26430</v>
      </c>
      <c r="H13" s="99">
        <f>G13+'18 '!H13</f>
        <v>513793</v>
      </c>
      <c r="I13" s="120">
        <f>G7-G13</f>
        <v>720</v>
      </c>
      <c r="J13" s="175">
        <f>H13/DAY(B2)</f>
        <v>27041.736842105263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'18 '!F15</f>
        <v>1990535</v>
      </c>
      <c r="F15" s="470">
        <v>1991625</v>
      </c>
      <c r="G15" s="476">
        <f>(F15-E15)</f>
        <v>1090</v>
      </c>
      <c r="H15" s="99">
        <f>G15+'18 '!H15</f>
        <v>20688</v>
      </c>
      <c r="I15" s="113">
        <f>'1'!I15</f>
        <v>800</v>
      </c>
      <c r="J15" s="175">
        <f>H15/DAY(B2)</f>
        <v>1088.8421052631579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6"/>
      <c r="H16" s="124"/>
      <c r="I16" s="120">
        <f>I15-J15</f>
        <v>-288.84210526315792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'18 '!F18</f>
        <v>20</v>
      </c>
      <c r="F18" s="122">
        <v>22</v>
      </c>
      <c r="G18" s="478">
        <f>F18*10</f>
        <v>220</v>
      </c>
      <c r="H18" s="99">
        <f>G18+'18 '!H18</f>
        <v>4710</v>
      </c>
      <c r="I18" s="113">
        <f>'1'!I18</f>
        <v>65</v>
      </c>
      <c r="J18" s="175">
        <f>H18/DAY(B2)</f>
        <v>247.89473684210526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'18 '!F19</f>
        <v>157860</v>
      </c>
      <c r="F19" s="758">
        <v>157914</v>
      </c>
      <c r="G19" s="476">
        <f t="shared" ref="G19" si="1">F19-E19</f>
        <v>54</v>
      </c>
      <c r="H19" s="99">
        <f>G19+'18 '!H19</f>
        <v>925</v>
      </c>
      <c r="I19" s="335"/>
      <c r="J19" s="175">
        <f>H19/DAY(B2)</f>
        <v>48.684210526315788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80">
        <f>G18+G19</f>
        <v>274</v>
      </c>
      <c r="H20" s="99">
        <f>G20+'18 '!H20</f>
        <v>5635</v>
      </c>
      <c r="I20" s="336">
        <f>I18-J20</f>
        <v>-231.57894736842104</v>
      </c>
      <c r="J20" s="175">
        <f>H20/DAY(B2)</f>
        <v>296.57894736842104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27928</v>
      </c>
      <c r="F27" s="136">
        <v>9</v>
      </c>
      <c r="G27" s="483">
        <f>E27*F27</f>
        <v>251352</v>
      </c>
      <c r="H27" s="99">
        <f>G27+'18 '!H27</f>
        <v>4852762.0199999996</v>
      </c>
      <c r="I27" s="138"/>
      <c r="J27" s="175">
        <f>H27/DAY(B2)</f>
        <v>255408.52736842103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1090</v>
      </c>
      <c r="F28" s="136">
        <v>70</v>
      </c>
      <c r="G28" s="483">
        <f>E28*F28</f>
        <v>76300</v>
      </c>
      <c r="H28" s="99">
        <f>G28+'18 '!H28</f>
        <v>1388885.4599999995</v>
      </c>
      <c r="I28" s="140"/>
      <c r="J28" s="175">
        <f>H28/DAY(B2)</f>
        <v>73099.234736842074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83">
        <f>E30*F30</f>
        <v>8154</v>
      </c>
      <c r="H30" s="99">
        <f>G30+'18 '!H30</f>
        <v>139005</v>
      </c>
      <c r="I30" s="140"/>
      <c r="J30" s="175">
        <f>H30/DAY(B2)</f>
        <v>7316.0526315789475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83">
        <f>E31*F31</f>
        <v>17600</v>
      </c>
      <c r="H31" s="99">
        <f>G31+'18 '!H31</f>
        <v>376800</v>
      </c>
      <c r="I31" s="140"/>
      <c r="J31" s="175">
        <f>H31/DAY(B2)</f>
        <v>19831.57894736842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4">
        <f>G27+G28+G29+G30+G31</f>
        <v>353406</v>
      </c>
      <c r="H32" s="99">
        <f>G32+'18 '!H32</f>
        <v>6757452.4799999995</v>
      </c>
      <c r="I32" s="144"/>
      <c r="J32" s="175">
        <f>H32/DAY(B2)</f>
        <v>355655.39368421049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177088</v>
      </c>
      <c r="F35" s="145">
        <v>179200</v>
      </c>
      <c r="G35" s="476">
        <f t="shared" ref="G35:G46" si="3">F35-E35</f>
        <v>2112</v>
      </c>
      <c r="H35" s="99">
        <f>G35+'18 '!H35</f>
        <v>40920.790000000008</v>
      </c>
      <c r="I35" s="95"/>
      <c r="J35" s="175">
        <f>H35/DAY(B2)</f>
        <v>2153.7257894736845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118282</v>
      </c>
      <c r="F36" s="145">
        <v>119453</v>
      </c>
      <c r="G36" s="476">
        <f t="shared" si="3"/>
        <v>1171</v>
      </c>
      <c r="H36" s="99">
        <f>G36+'18 '!H36</f>
        <v>18932.339999999997</v>
      </c>
      <c r="I36" s="95"/>
      <c r="J36" s="175">
        <f>H36/DAY(B2)</f>
        <v>996.43894736842083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162010</v>
      </c>
      <c r="F37" s="145">
        <v>163733</v>
      </c>
      <c r="G37" s="476">
        <f t="shared" si="3"/>
        <v>1723</v>
      </c>
      <c r="H37" s="99">
        <f>G37+'18 '!H37</f>
        <v>30807.98000000001</v>
      </c>
      <c r="I37" s="95"/>
      <c r="J37" s="175">
        <f>H37/DAY(B2)</f>
        <v>1621.4726315789478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214735</v>
      </c>
      <c r="F38" s="108">
        <v>217030</v>
      </c>
      <c r="G38" s="476">
        <f t="shared" si="3"/>
        <v>2295</v>
      </c>
      <c r="H38" s="99">
        <f>G38+'18 '!H38</f>
        <v>46920.630000000005</v>
      </c>
      <c r="I38" s="95"/>
      <c r="J38" s="175">
        <f>H38/DAY(B2)</f>
        <v>2469.5068421052633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303325</v>
      </c>
      <c r="F39" s="145">
        <v>306554</v>
      </c>
      <c r="G39" s="476">
        <f t="shared" si="3"/>
        <v>3229</v>
      </c>
      <c r="H39" s="99">
        <f>G39+'18 '!H39</f>
        <v>62400.570000000007</v>
      </c>
      <c r="I39" s="95"/>
      <c r="J39" s="175">
        <f>H39/DAY(B2)</f>
        <v>3284.2405263157898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57283</v>
      </c>
      <c r="F40" s="419">
        <v>57801</v>
      </c>
      <c r="G40" s="476">
        <f t="shared" si="3"/>
        <v>518</v>
      </c>
      <c r="H40" s="99">
        <f>G40+'18 '!H40</f>
        <v>8649.14</v>
      </c>
      <c r="I40" s="95"/>
      <c r="J40" s="175">
        <f>H40/DAY(B2)</f>
        <v>455.21789473684208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6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368108</v>
      </c>
      <c r="F42" s="145">
        <v>369407</v>
      </c>
      <c r="G42" s="476">
        <f t="shared" si="3"/>
        <v>1299</v>
      </c>
      <c r="H42" s="99">
        <f>G42+'18 '!H42</f>
        <v>88049.75</v>
      </c>
      <c r="I42" s="95"/>
      <c r="J42" s="175">
        <f>H42/DAY(B2)</f>
        <v>4634.1973684210525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316272</v>
      </c>
      <c r="F43" s="145">
        <v>319582</v>
      </c>
      <c r="G43" s="476">
        <f t="shared" si="3"/>
        <v>3310</v>
      </c>
      <c r="H43" s="99">
        <f>G43+'18 '!H43</f>
        <v>60827.53</v>
      </c>
      <c r="I43" s="95"/>
      <c r="J43" s="175">
        <f>H43/DAY(B2)</f>
        <v>3201.4489473684212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15657</v>
      </c>
      <c r="H47" s="99">
        <f>G47+'18 '!H47</f>
        <v>357508.73</v>
      </c>
      <c r="I47" s="95"/>
      <c r="J47" s="175">
        <f>H47/DAY(B2)</f>
        <v>18816.248947368422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143327</v>
      </c>
      <c r="F49" s="145">
        <v>145102</v>
      </c>
      <c r="G49" s="476">
        <f t="shared" ref="G49:G58" si="4">F49-E49</f>
        <v>1775</v>
      </c>
      <c r="H49" s="99">
        <f>G49+'18 '!H49</f>
        <v>34599.800000000003</v>
      </c>
      <c r="I49" s="95"/>
      <c r="J49" s="175">
        <f>H49/DAY(B2)</f>
        <v>1821.042105263158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156401</v>
      </c>
      <c r="F50" s="145">
        <v>157659</v>
      </c>
      <c r="G50" s="476">
        <f t="shared" si="4"/>
        <v>1258</v>
      </c>
      <c r="H50" s="99">
        <f>G50+'18 '!H50</f>
        <v>26448.859999999986</v>
      </c>
      <c r="I50" s="95"/>
      <c r="J50" s="175">
        <f>H50/DAY(B2)</f>
        <v>1392.0452631578939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6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6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44424</v>
      </c>
      <c r="F54" s="145">
        <v>44887</v>
      </c>
      <c r="G54" s="476">
        <f t="shared" si="4"/>
        <v>463</v>
      </c>
      <c r="H54" s="99">
        <f>G54+'18 '!H54</f>
        <v>9215.9400000000023</v>
      </c>
      <c r="I54" s="95"/>
      <c r="J54" s="175">
        <f>H54/DAY(B2)</f>
        <v>485.04947368421062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129730</v>
      </c>
      <c r="F55" s="145">
        <v>131223</v>
      </c>
      <c r="G55" s="476">
        <f t="shared" si="4"/>
        <v>1493</v>
      </c>
      <c r="H55" s="99">
        <f>G55+'18 '!H55</f>
        <v>18741.97</v>
      </c>
      <c r="I55" s="95"/>
      <c r="J55" s="175">
        <f>H55/DAY(B2)</f>
        <v>986.41947368421063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102471</v>
      </c>
      <c r="F56" s="145">
        <v>105519</v>
      </c>
      <c r="G56" s="476">
        <f t="shared" si="4"/>
        <v>3048</v>
      </c>
      <c r="H56" s="99">
        <f>G56+'18 '!H56</f>
        <v>33901.320000000007</v>
      </c>
      <c r="I56" s="95"/>
      <c r="J56" s="175">
        <f>H56/DAY(B2)</f>
        <v>1784.2800000000004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22728</v>
      </c>
      <c r="F58" s="145">
        <v>22976</v>
      </c>
      <c r="G58" s="476">
        <f t="shared" si="4"/>
        <v>248</v>
      </c>
      <c r="H58" s="99">
        <f>G58+'18 '!H58</f>
        <v>4521.7999999999993</v>
      </c>
      <c r="I58" s="95"/>
      <c r="J58" s="175">
        <f>H58/DAY(B2)</f>
        <v>237.98947368421048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8285</v>
      </c>
      <c r="H59" s="99">
        <f>G59+'18 '!H59</f>
        <v>127429.76999999999</v>
      </c>
      <c r="I59" s="95">
        <f>G7-G60</f>
        <v>3208</v>
      </c>
      <c r="J59" s="175">
        <f>H59/DAY(B2)</f>
        <v>6706.829999999999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8">
        <f>G47+G59</f>
        <v>23942</v>
      </c>
      <c r="H60" s="99">
        <f>G60+'18 '!H60</f>
        <v>484938.5</v>
      </c>
      <c r="I60" s="95">
        <f>G13-G60</f>
        <v>2488</v>
      </c>
      <c r="J60" s="175">
        <f>H60/DAY(B2)</f>
        <v>25523.07894736842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'18 '!F62</f>
        <v>281853</v>
      </c>
      <c r="F62" s="122">
        <v>282036</v>
      </c>
      <c r="G62" s="476">
        <f t="shared" ref="G62:G63" si="5">F62-E62</f>
        <v>183</v>
      </c>
      <c r="H62" s="99">
        <f>G62+'18 '!H62</f>
        <v>3410</v>
      </c>
      <c r="I62" s="118"/>
      <c r="J62" s="175">
        <f>H62/DAY(B2)</f>
        <v>179.47368421052633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'18 '!F63</f>
        <v>225789</v>
      </c>
      <c r="F63" s="122">
        <v>225943</v>
      </c>
      <c r="G63" s="476">
        <f t="shared" si="5"/>
        <v>154</v>
      </c>
      <c r="H63" s="99">
        <f>G63+'18 '!H63</f>
        <v>2862</v>
      </c>
      <c r="I63" s="118"/>
      <c r="J63" s="175">
        <f>H63/DAY(B2)</f>
        <v>150.63157894736841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'18 '!F64</f>
        <v>0</v>
      </c>
      <c r="F64" s="122"/>
      <c r="G64" s="476">
        <f>G62+G63</f>
        <v>337</v>
      </c>
      <c r="H64" s="99">
        <f>G64+'18 '!H64</f>
        <v>6272</v>
      </c>
      <c r="I64" s="118"/>
      <c r="J64" s="175">
        <f>H64/DAY(B2)</f>
        <v>330.10526315789474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'18 '!F65</f>
        <v>443175</v>
      </c>
      <c r="F65" s="122">
        <v>443302</v>
      </c>
      <c r="G65" s="476">
        <f t="shared" ref="G65:G70" si="6">F65-E65</f>
        <v>127</v>
      </c>
      <c r="H65" s="99">
        <f>G65+'18 '!H65</f>
        <v>2171</v>
      </c>
      <c r="I65" s="118"/>
      <c r="J65" s="175">
        <f>H65/DAY(B2)</f>
        <v>114.26315789473684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109386</v>
      </c>
      <c r="F66" s="122">
        <v>109398</v>
      </c>
      <c r="G66" s="476">
        <f t="shared" si="6"/>
        <v>12</v>
      </c>
      <c r="H66" s="99">
        <f>G66+'18 '!H66</f>
        <v>328</v>
      </c>
      <c r="I66" s="118"/>
      <c r="J66" s="175">
        <f>H66/DAY(B2)</f>
        <v>17.263157894736842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109941</v>
      </c>
      <c r="F67" s="122">
        <v>110004</v>
      </c>
      <c r="G67" s="476">
        <f t="shared" si="6"/>
        <v>63</v>
      </c>
      <c r="H67" s="99">
        <f>G67+'18 '!H67</f>
        <v>1411</v>
      </c>
      <c r="I67" s="118"/>
      <c r="J67" s="175">
        <f>H67/DAY(B2)</f>
        <v>74.263157894736835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161188</v>
      </c>
      <c r="F68" s="122">
        <v>161205</v>
      </c>
      <c r="G68" s="476">
        <f t="shared" si="6"/>
        <v>17</v>
      </c>
      <c r="H68" s="99">
        <f>G68+'18 '!H68</f>
        <v>796</v>
      </c>
      <c r="I68" s="118"/>
      <c r="J68" s="175">
        <f>H68/DAY(B2)</f>
        <v>41.89473684210526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11441</v>
      </c>
      <c r="F69" s="122">
        <v>11450</v>
      </c>
      <c r="G69" s="476">
        <f t="shared" si="6"/>
        <v>9</v>
      </c>
      <c r="H69" s="99">
        <f>G69+'18 '!H69</f>
        <v>249</v>
      </c>
      <c r="I69" s="118"/>
      <c r="J69" s="175">
        <f>H69/DAY(B2)</f>
        <v>13.105263157894736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8886</v>
      </c>
      <c r="F70" s="122">
        <v>8897</v>
      </c>
      <c r="G70" s="476">
        <f t="shared" si="6"/>
        <v>11</v>
      </c>
      <c r="H70" s="99">
        <f>G70+'18 '!H70</f>
        <v>169</v>
      </c>
      <c r="I70" s="118"/>
      <c r="J70" s="175">
        <f>H70/DAY(B2)</f>
        <v>8.8947368421052637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95">
        <f>'18 '!F71</f>
        <v>0</v>
      </c>
      <c r="F71" s="152"/>
      <c r="G71" s="488">
        <f>SUM(G65:G70)</f>
        <v>239</v>
      </c>
      <c r="H71" s="99">
        <f>G71+'18 '!H71</f>
        <v>5124</v>
      </c>
      <c r="I71" s="154"/>
      <c r="J71" s="175">
        <f>H71/DAY(B2)</f>
        <v>269.68421052631578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'18 '!F74</f>
        <v>924941</v>
      </c>
      <c r="F74" s="117">
        <v>925272</v>
      </c>
      <c r="G74" s="476">
        <f t="shared" ref="G74:G78" si="7">F74-E74</f>
        <v>331</v>
      </c>
      <c r="H74" s="99">
        <f>G74+'18 '!H74</f>
        <v>5947.4899999999907</v>
      </c>
      <c r="I74" s="154"/>
      <c r="J74" s="175">
        <f>H74/DAY(B2)</f>
        <v>313.02578947368374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'18 '!F75</f>
        <v>73586.8</v>
      </c>
      <c r="F75" s="123">
        <v>73586.8</v>
      </c>
      <c r="G75" s="47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'18 '!F76</f>
        <v>178700</v>
      </c>
      <c r="F76" s="123">
        <v>178799</v>
      </c>
      <c r="G76" s="476">
        <f t="shared" si="7"/>
        <v>99</v>
      </c>
      <c r="H76" s="99">
        <f>G76+'18 '!H76</f>
        <v>2212</v>
      </c>
      <c r="I76" s="154"/>
      <c r="J76" s="175">
        <f>H76/DAY(B2)</f>
        <v>116.42105263157895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'18 '!F77</f>
        <v>45064</v>
      </c>
      <c r="F77" s="123">
        <v>45111</v>
      </c>
      <c r="G77" s="476">
        <f t="shared" si="7"/>
        <v>47</v>
      </c>
      <c r="H77" s="99">
        <f>G77+'18 '!H77</f>
        <v>948</v>
      </c>
      <c r="I77" s="154"/>
      <c r="J77" s="175">
        <f>H77/DAY(B2)</f>
        <v>49.89473684210526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'18 '!F78</f>
        <v>9564</v>
      </c>
      <c r="F78" s="123">
        <v>9564</v>
      </c>
      <c r="G78" s="476">
        <f t="shared" si="7"/>
        <v>0</v>
      </c>
      <c r="H78" s="99">
        <f>G78+'18 '!H78</f>
        <v>1</v>
      </c>
      <c r="I78" s="118"/>
      <c r="J78" s="175">
        <f>H78/DAY(B2)</f>
        <v>5.2631578947368418E-2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'18 '!F79</f>
        <v>0</v>
      </c>
      <c r="F79" s="123"/>
      <c r="G79" s="476">
        <f>G15-SUM(G74:G78)</f>
        <v>613</v>
      </c>
      <c r="H79" s="99">
        <f>G79+'18 '!H79</f>
        <v>11579.510000000009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476">
        <f>SUM(G74:G79)</f>
        <v>1090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490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6">
        <f t="shared" ref="G82:G92" si="8">F82-E82</f>
        <v>0</v>
      </c>
      <c r="H82" s="99">
        <f>G82+'18 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6">
        <f t="shared" si="8"/>
        <v>0</v>
      </c>
      <c r="H83" s="99">
        <f>G83+'18 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6">
        <f t="shared" si="8"/>
        <v>0.22999999999592546</v>
      </c>
      <c r="H84" s="99">
        <f>G84+'18 '!H84</f>
        <v>0.48999999999796273</v>
      </c>
      <c r="I84" s="594"/>
      <c r="J84" s="175">
        <f>H84/DAY(B2)</f>
        <v>2.5789473684103302E-2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3533</v>
      </c>
      <c r="F85" s="164">
        <v>3539</v>
      </c>
      <c r="G85" s="476">
        <f t="shared" si="8"/>
        <v>6</v>
      </c>
      <c r="H85" s="99">
        <f>G85+'18 '!H85</f>
        <v>380.5</v>
      </c>
      <c r="I85" s="594"/>
      <c r="J85" s="175">
        <f>H85/DAY(B2)</f>
        <v>20.026315789473685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43836.47</v>
      </c>
      <c r="F86" s="164">
        <v>43848</v>
      </c>
      <c r="G86" s="476">
        <f t="shared" si="8"/>
        <v>11.529999999998836</v>
      </c>
      <c r="H86" s="99">
        <f>G86+'18 '!H86</f>
        <v>127.59999999999854</v>
      </c>
      <c r="I86" s="594"/>
      <c r="J86" s="175">
        <f>H86/DAY(B2)</f>
        <v>6.7157894736841337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35291</v>
      </c>
      <c r="F87" s="164">
        <v>35315</v>
      </c>
      <c r="G87" s="476">
        <f t="shared" si="8"/>
        <v>24</v>
      </c>
      <c r="H87" s="99">
        <f>G87+'18 '!H87</f>
        <v>234.65000000000146</v>
      </c>
      <c r="I87" s="594">
        <f>G84+G85+G86+G87</f>
        <v>41.759999999994761</v>
      </c>
      <c r="J87" s="175">
        <f>H87/DAY(B2)</f>
        <v>12.350000000000076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24165</v>
      </c>
      <c r="F88" s="164">
        <v>24175</v>
      </c>
      <c r="G88" s="476">
        <f t="shared" si="8"/>
        <v>10</v>
      </c>
      <c r="H88" s="99">
        <f>G88+'18 '!H88</f>
        <v>65.599999999998545</v>
      </c>
      <c r="I88" s="594"/>
      <c r="J88" s="175">
        <f>H88/DAY(B2)</f>
        <v>3.4526315789472917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26609</v>
      </c>
      <c r="F89" s="164">
        <v>26612</v>
      </c>
      <c r="G89" s="476">
        <f t="shared" si="8"/>
        <v>3</v>
      </c>
      <c r="H89" s="99">
        <f>G89+'18 '!H89</f>
        <v>140.20999999999913</v>
      </c>
      <c r="I89" s="594">
        <f>G88+G89</f>
        <v>13</v>
      </c>
      <c r="J89" s="175">
        <f>H89/DAY(B2)</f>
        <v>7.3794736842104802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71745</v>
      </c>
      <c r="F90" s="164">
        <v>71754</v>
      </c>
      <c r="G90" s="476">
        <f t="shared" si="8"/>
        <v>9</v>
      </c>
      <c r="H90" s="99">
        <f>G90+'18 '!H90</f>
        <v>180.88999999999942</v>
      </c>
      <c r="I90" s="594">
        <f>G90</f>
        <v>9</v>
      </c>
      <c r="J90" s="175">
        <f>H90/DAY(B2)</f>
        <v>9.5205263157894429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3918</v>
      </c>
      <c r="F91" s="122">
        <v>3930.48</v>
      </c>
      <c r="G91" s="476">
        <f t="shared" si="8"/>
        <v>12.480000000000018</v>
      </c>
      <c r="H91" s="99">
        <f>G91+'18 '!H91</f>
        <v>20.730000000000018</v>
      </c>
      <c r="I91" s="688"/>
      <c r="J91" s="175">
        <f>H91/DAY(B2)</f>
        <v>1.0910526315789484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5935</v>
      </c>
      <c r="F92" s="122">
        <v>5935</v>
      </c>
      <c r="G92" s="476">
        <f t="shared" si="8"/>
        <v>0</v>
      </c>
      <c r="H92" s="99">
        <f>G92+'18 '!H92</f>
        <v>187.69999999999982</v>
      </c>
      <c r="I92" s="705">
        <f>G91+G92</f>
        <v>12.480000000000018</v>
      </c>
      <c r="J92" s="175">
        <f>H92/DAY(B2)</f>
        <v>9.8789473684210432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491">
        <f>G35+G43+G49+G57</f>
        <v>7197</v>
      </c>
      <c r="H94" s="99">
        <f>G94+'18 '!H94</f>
        <v>136348.12</v>
      </c>
      <c r="I94" s="118"/>
      <c r="J94" s="175">
        <f>H94/DAY(B2)</f>
        <v>7176.2168421052629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492">
        <f>G94/G7</f>
        <v>0.26508287292817678</v>
      </c>
      <c r="H95" s="99">
        <f>G95+'18 '!H95</f>
        <v>4.9039525233244241</v>
      </c>
      <c r="I95" s="167"/>
      <c r="J95" s="175">
        <f>H95/DAY(B2)</f>
        <v>0.25810276438549601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491">
        <f>G41+G42+G55+G56</f>
        <v>5840</v>
      </c>
      <c r="H96" s="99">
        <f>G96+'18 '!H96</f>
        <v>140693.04</v>
      </c>
      <c r="I96" s="118"/>
      <c r="J96" s="175">
        <f>H96/DAY(B2)</f>
        <v>7404.8968421052632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492">
        <f>G96/G7</f>
        <v>0.21510128913443829</v>
      </c>
      <c r="H97" s="99">
        <f>G97+'18 '!H97</f>
        <v>5.0505628465696004</v>
      </c>
      <c r="I97" s="167"/>
      <c r="J97" s="175">
        <f>H97/DAY(B2)</f>
        <v>0.26581909718787372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491">
        <f>G39+G53</f>
        <v>3229</v>
      </c>
      <c r="H98" s="99">
        <f>G98+'18 '!H98</f>
        <v>62400.570000000007</v>
      </c>
      <c r="I98" s="168"/>
      <c r="J98" s="175">
        <f>H98/DAY(B2)</f>
        <v>3284.2405263157898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492">
        <f>G98/G7</f>
        <v>0.11893186003683241</v>
      </c>
      <c r="H99" s="99">
        <f>G99+'18 '!H99</f>
        <v>2.2470841330057074</v>
      </c>
      <c r="I99" s="168"/>
      <c r="J99" s="175">
        <f>H99/DAY(B2)</f>
        <v>0.11826758594766881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491">
        <f>G38+G52</f>
        <v>2295</v>
      </c>
      <c r="H100" s="99">
        <f>G100+'18 '!H100</f>
        <v>46920.390000000007</v>
      </c>
      <c r="I100" s="118"/>
      <c r="J100" s="175">
        <f>H100/DAY(B2)</f>
        <v>2469.4942105263162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492">
        <f>G100/G7</f>
        <v>8.453038674033149E-2</v>
      </c>
      <c r="H101" s="99">
        <f>G101+'18 '!H101</f>
        <v>1.689412965254051</v>
      </c>
      <c r="I101" s="168"/>
      <c r="J101" s="175">
        <f>H101/DAY(B2)</f>
        <v>8.8916471855476367E-2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491">
        <f>G36+G50</f>
        <v>2429</v>
      </c>
      <c r="H102" s="99">
        <f>G102+'18 '!H102</f>
        <v>45381.199999999983</v>
      </c>
      <c r="I102" s="168"/>
      <c r="J102" s="175">
        <f>H102/DAY(B2)</f>
        <v>2388.4842105263147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492">
        <f>G102/G7</f>
        <v>8.9465930018416212E-2</v>
      </c>
      <c r="H103" s="99">
        <f>G103+'18 '!H103</f>
        <v>1.6302883957041716</v>
      </c>
      <c r="I103" s="118"/>
      <c r="J103" s="175">
        <f>H103/DAY(B2)</f>
        <v>8.5804652405482712E-2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491">
        <f>G37+G51</f>
        <v>1723</v>
      </c>
      <c r="H104" s="99">
        <f>G104+'18 '!H104</f>
        <v>30808.30000000001</v>
      </c>
      <c r="I104" s="118"/>
      <c r="J104" s="175">
        <f>H104/DAY(B2)</f>
        <v>1621.4894736842111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493">
        <f>G104/G7</f>
        <v>6.3462246777163903E-2</v>
      </c>
      <c r="H105" s="99">
        <f>G105+'18 '!H105</f>
        <v>1.1086737326990082</v>
      </c>
      <c r="I105" s="187"/>
      <c r="J105" s="188">
        <f>H105/DAY(B2)</f>
        <v>5.8351249089421485E-2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496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'18 '!F112</f>
        <v>63596</v>
      </c>
      <c r="F112" s="237">
        <v>63677</v>
      </c>
      <c r="G112" s="476">
        <f t="shared" ref="G112:G123" si="9">F112-E112</f>
        <v>81</v>
      </c>
      <c r="H112" s="99">
        <f>G112+'18 '!H112</f>
        <v>1533.4700000000012</v>
      </c>
      <c r="I112" s="165"/>
      <c r="J112" s="328">
        <f>H112/DAY(B2)</f>
        <v>80.708947368421107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'18 '!F113</f>
        <v>83177</v>
      </c>
      <c r="F113" s="237">
        <v>83686</v>
      </c>
      <c r="G113" s="476">
        <f t="shared" si="9"/>
        <v>509</v>
      </c>
      <c r="H113" s="99">
        <f>G113+'18 '!H113</f>
        <v>9430.3999999999942</v>
      </c>
      <c r="I113" s="165"/>
      <c r="J113" s="328">
        <f>H113/DAY(B2)</f>
        <v>496.33684210526286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'18 '!F114</f>
        <v>55321</v>
      </c>
      <c r="F114" s="237">
        <v>55582</v>
      </c>
      <c r="G114" s="476">
        <f t="shared" si="9"/>
        <v>261</v>
      </c>
      <c r="H114" s="99">
        <f>G114+'18 '!H114</f>
        <v>5319</v>
      </c>
      <c r="I114" s="165"/>
      <c r="J114" s="328">
        <f>H114/DAY(B2)</f>
        <v>279.94736842105266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'18 '!F115</f>
        <v>10235</v>
      </c>
      <c r="F115" s="237">
        <v>10254</v>
      </c>
      <c r="G115" s="476">
        <f t="shared" si="9"/>
        <v>19</v>
      </c>
      <c r="H115" s="99">
        <f>G115+'18 '!H115</f>
        <v>425.48999999999978</v>
      </c>
      <c r="I115" s="165"/>
      <c r="J115" s="328">
        <f>H115/DAY(B2)</f>
        <v>22.394210526315778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'18 '!F116</f>
        <v>30483</v>
      </c>
      <c r="F116" s="237">
        <v>30914</v>
      </c>
      <c r="G116" s="476">
        <f t="shared" si="9"/>
        <v>431</v>
      </c>
      <c r="H116" s="99">
        <f>G116+'18 '!H116</f>
        <v>8129.380000000001</v>
      </c>
      <c r="I116" s="165"/>
      <c r="J116" s="328">
        <f>H116/DAY(B2)</f>
        <v>427.86210526315796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'18 '!F117</f>
        <v>17085</v>
      </c>
      <c r="F117" s="237">
        <v>17250</v>
      </c>
      <c r="G117" s="476">
        <f t="shared" si="9"/>
        <v>165</v>
      </c>
      <c r="H117" s="99">
        <f>G117+'18 '!H117</f>
        <v>3636.8269999999993</v>
      </c>
      <c r="I117" s="165"/>
      <c r="J117" s="328">
        <f>H117/DAY(B2)</f>
        <v>191.41194736842101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'18 '!F118</f>
        <v>2601</v>
      </c>
      <c r="F118" s="237">
        <v>3122</v>
      </c>
      <c r="G118" s="476">
        <f t="shared" si="9"/>
        <v>521</v>
      </c>
      <c r="H118" s="99">
        <f>G118+'18 '!H118</f>
        <v>10070.030000000028</v>
      </c>
      <c r="I118" s="165"/>
      <c r="J118" s="328">
        <f>H118/DAY(B2)</f>
        <v>530.00157894736992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'18 '!F119</f>
        <v>507</v>
      </c>
      <c r="F119" s="237">
        <v>940</v>
      </c>
      <c r="G119" s="476">
        <f t="shared" si="9"/>
        <v>433</v>
      </c>
      <c r="H119" s="99">
        <f>G119+'18 '!H119</f>
        <v>8260.609999999986</v>
      </c>
      <c r="I119" s="165"/>
      <c r="J119" s="328">
        <f>H119/DAY(B2)</f>
        <v>434.7689473684203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'18 '!F120</f>
        <v>2075</v>
      </c>
      <c r="F120" s="237">
        <v>2482</v>
      </c>
      <c r="G120" s="476">
        <f t="shared" si="9"/>
        <v>407</v>
      </c>
      <c r="H120" s="99">
        <f>G120+'18 '!H120</f>
        <v>7828.2400000000052</v>
      </c>
      <c r="I120" s="165"/>
      <c r="J120" s="328">
        <f>H120/DAY(B2)</f>
        <v>412.01263157894766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'18 '!F121</f>
        <v>3992</v>
      </c>
      <c r="F121" s="237">
        <v>4808</v>
      </c>
      <c r="G121" s="476">
        <f t="shared" si="9"/>
        <v>816</v>
      </c>
      <c r="H121" s="99">
        <f>G121+'18 '!H121</f>
        <v>15212.729999999981</v>
      </c>
      <c r="I121" s="165"/>
      <c r="J121" s="328">
        <f>H121/DAY(B2)</f>
        <v>800.66999999999905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'18 '!F122</f>
        <v>998</v>
      </c>
      <c r="F122" s="237">
        <v>1209</v>
      </c>
      <c r="G122" s="476">
        <f t="shared" si="9"/>
        <v>211</v>
      </c>
      <c r="H122" s="99">
        <f>G122+'18 '!H122</f>
        <v>4025.859999999986</v>
      </c>
      <c r="I122" s="165"/>
      <c r="J122" s="328">
        <f>H122/DAY(B2)</f>
        <v>211.88736842105189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'18 '!F123</f>
        <v>174043</v>
      </c>
      <c r="F123" s="237">
        <v>174295</v>
      </c>
      <c r="G123" s="476">
        <f t="shared" si="9"/>
        <v>252</v>
      </c>
      <c r="H123" s="99">
        <f>G123+'18 '!H123</f>
        <v>4853</v>
      </c>
      <c r="I123" s="165"/>
      <c r="J123" s="328">
        <f>H123/DAY(B2)</f>
        <v>255.42105263157896</v>
      </c>
    </row>
    <row r="124" spans="1:18" ht="29.25" customHeight="1">
      <c r="A124" s="932"/>
      <c r="B124" s="933"/>
      <c r="C124" s="934"/>
      <c r="D124" s="165"/>
      <c r="E124" s="95">
        <f>'18 '!F124</f>
        <v>0</v>
      </c>
      <c r="F124" s="165"/>
      <c r="G124" s="496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497">
        <f>SUM(G112:G124)</f>
        <v>4106</v>
      </c>
      <c r="H125" s="156"/>
      <c r="I125" s="327">
        <f>G125-(G39+G53)</f>
        <v>877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497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'18 '!F128</f>
        <v>76589</v>
      </c>
      <c r="F128" s="165">
        <v>77041</v>
      </c>
      <c r="G128" s="476">
        <f t="shared" ref="G128:G134" si="10">F128-E128</f>
        <v>452</v>
      </c>
      <c r="H128" s="99">
        <f>G128+'18 '!H128</f>
        <v>8124.7599999999948</v>
      </c>
      <c r="I128" s="165"/>
      <c r="J128" s="328">
        <f>H128/DAY(B2)</f>
        <v>427.61894736842078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47584</v>
      </c>
      <c r="F129" s="165">
        <v>47894</v>
      </c>
      <c r="G129" s="476">
        <f t="shared" si="10"/>
        <v>310</v>
      </c>
      <c r="H129" s="99">
        <f>G129+'18 '!H129</f>
        <v>5782.9499999999971</v>
      </c>
      <c r="I129" s="165"/>
      <c r="J129" s="328">
        <f>H129/DAY(B2)</f>
        <v>304.36578947368406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88169</v>
      </c>
      <c r="F130" s="158">
        <v>88866</v>
      </c>
      <c r="G130" s="476">
        <f t="shared" si="10"/>
        <v>697</v>
      </c>
      <c r="H130" s="99">
        <f>G130+'18 '!H130</f>
        <v>13204.050000000003</v>
      </c>
      <c r="I130" s="165"/>
      <c r="J130" s="328">
        <f>H130/DAY(B2)</f>
        <v>694.95000000000016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'18 '!F131</f>
        <v>27958</v>
      </c>
      <c r="F131" s="165">
        <v>28123</v>
      </c>
      <c r="G131" s="476">
        <f t="shared" si="10"/>
        <v>165</v>
      </c>
      <c r="H131" s="99">
        <f>G131+'18 '!H131</f>
        <v>3690.5</v>
      </c>
      <c r="I131" s="165"/>
      <c r="J131" s="328">
        <f>H131/DAY(B2)</f>
        <v>194.23684210526315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'18 '!F132</f>
        <v>83503</v>
      </c>
      <c r="F132" s="165">
        <v>83949</v>
      </c>
      <c r="G132" s="476">
        <f t="shared" si="10"/>
        <v>446</v>
      </c>
      <c r="H132" s="99">
        <f>G132+'18 '!H132</f>
        <v>8281.5</v>
      </c>
      <c r="I132" s="165"/>
      <c r="J132" s="328">
        <f>H132/DAY(B2)</f>
        <v>435.86842105263156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'18 '!F133</f>
        <v>161586</v>
      </c>
      <c r="F133" s="165">
        <v>162463</v>
      </c>
      <c r="G133" s="476">
        <f t="shared" si="10"/>
        <v>877</v>
      </c>
      <c r="H133" s="99">
        <f>G133+'18 '!H133</f>
        <v>17081.010000000009</v>
      </c>
      <c r="I133" s="165"/>
      <c r="J133" s="328">
        <f>H133/DAY(B2)</f>
        <v>899.00052631579001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'18 '!F134</f>
        <v>25142</v>
      </c>
      <c r="F134" s="165">
        <v>25383</v>
      </c>
      <c r="G134" s="476">
        <f t="shared" si="10"/>
        <v>241</v>
      </c>
      <c r="H134" s="99">
        <f>G134+'18 '!H134</f>
        <v>4590.32</v>
      </c>
      <c r="I134" s="165"/>
      <c r="J134" s="328">
        <f>H134/DAY(B2)</f>
        <v>241.59578947368419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476">
        <f>SUM(G128:G134)</f>
        <v>3188</v>
      </c>
      <c r="H135" s="99">
        <f>G135+'10'!H135</f>
        <v>34896.849999999984</v>
      </c>
      <c r="I135" s="327">
        <f>G135-(G35+G49)</f>
        <v>-699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'18 '!F138</f>
        <v>876921</v>
      </c>
      <c r="F138" s="147">
        <v>877079</v>
      </c>
      <c r="G138" s="476">
        <f t="shared" ref="G138:G152" si="11">F138-E138</f>
        <v>158</v>
      </c>
      <c r="H138" s="99">
        <f>G138+'18 '!H138</f>
        <v>3078</v>
      </c>
      <c r="I138" s="118"/>
      <c r="J138" s="328">
        <f>H138/DAY(B2)</f>
        <v>162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'18 '!F139</f>
        <v>893043</v>
      </c>
      <c r="F139" s="148">
        <v>893195</v>
      </c>
      <c r="G139" s="476">
        <f t="shared" si="11"/>
        <v>152</v>
      </c>
      <c r="H139" s="99">
        <f>G139+'18 '!H139</f>
        <v>2877</v>
      </c>
      <c r="I139" s="118"/>
      <c r="J139" s="328">
        <f>H139/DAY(B2)</f>
        <v>151.42105263157896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'18 '!F140</f>
        <v>89023</v>
      </c>
      <c r="F140" s="149">
        <v>89024</v>
      </c>
      <c r="G140" s="476">
        <f t="shared" si="11"/>
        <v>1</v>
      </c>
      <c r="H140" s="99">
        <f>G140+'18 '!H140</f>
        <v>34</v>
      </c>
      <c r="I140" s="118"/>
      <c r="J140" s="328">
        <f>H140/DAY(B2)</f>
        <v>1.7894736842105263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'18 '!F141</f>
        <v>69331</v>
      </c>
      <c r="F141" s="149">
        <v>69532</v>
      </c>
      <c r="G141" s="476">
        <f t="shared" si="11"/>
        <v>201</v>
      </c>
      <c r="H141" s="99">
        <f>G141+'18 '!H141</f>
        <v>3748.4700000000012</v>
      </c>
      <c r="I141" s="118"/>
      <c r="J141" s="328">
        <f>H141/DAY(B2)</f>
        <v>197.28789473684216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'18 '!F142</f>
        <v>26686</v>
      </c>
      <c r="F142" s="148">
        <v>26746</v>
      </c>
      <c r="G142" s="476">
        <f t="shared" si="11"/>
        <v>60</v>
      </c>
      <c r="H142" s="99">
        <f>G142+'18 '!H142</f>
        <v>1249.5999999999985</v>
      </c>
      <c r="I142" s="140"/>
      <c r="J142" s="328">
        <f>H142/DAY(B2)</f>
        <v>65.768421052631496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'18 '!F143</f>
        <v>6059</v>
      </c>
      <c r="F143" s="149">
        <v>6087</v>
      </c>
      <c r="G143" s="476">
        <f t="shared" si="11"/>
        <v>28</v>
      </c>
      <c r="H143" s="99">
        <f>G143+'18 '!H143</f>
        <v>526.29</v>
      </c>
      <c r="I143" s="140"/>
      <c r="J143" s="328">
        <f>H143/DAY(B2)</f>
        <v>27.699473684210524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'18 '!F144</f>
        <v>894398</v>
      </c>
      <c r="F144" s="149">
        <v>894639</v>
      </c>
      <c r="G144" s="476">
        <f t="shared" si="11"/>
        <v>241</v>
      </c>
      <c r="H144" s="99">
        <f>G144+'18 '!H144</f>
        <v>4805</v>
      </c>
      <c r="I144" s="140"/>
      <c r="J144" s="328">
        <f>H144/DAY(B2)</f>
        <v>252.89473684210526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'18 '!F145</f>
        <v>5596</v>
      </c>
      <c r="F145" s="149">
        <v>5600</v>
      </c>
      <c r="G145" s="476">
        <f t="shared" si="11"/>
        <v>4</v>
      </c>
      <c r="H145" s="99">
        <f>G145+'18 '!H145</f>
        <v>43.600000000000364</v>
      </c>
      <c r="I145" s="140"/>
      <c r="J145" s="328">
        <f>H145/DAY(B2)</f>
        <v>2.2947368421052823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'18 '!F146</f>
        <v>773236</v>
      </c>
      <c r="F146" s="148">
        <v>773696</v>
      </c>
      <c r="G146" s="476">
        <f t="shared" si="11"/>
        <v>460</v>
      </c>
      <c r="H146" s="99">
        <f>G146+'18 '!H146</f>
        <v>9370</v>
      </c>
      <c r="I146" s="140"/>
      <c r="J146" s="328">
        <f>H146/DAY(B2)</f>
        <v>493.15789473684208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'18 '!F147</f>
        <v>658076</v>
      </c>
      <c r="F147" s="148">
        <v>658500</v>
      </c>
      <c r="G147" s="476">
        <f t="shared" si="11"/>
        <v>424</v>
      </c>
      <c r="H147" s="99">
        <f>G147+'18 '!H147</f>
        <v>8316</v>
      </c>
      <c r="I147" s="140"/>
      <c r="J147" s="328">
        <f>H147/DAY(B2)</f>
        <v>437.68421052631578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'18 '!F148</f>
        <v>715340</v>
      </c>
      <c r="F148" s="150">
        <v>715742</v>
      </c>
      <c r="G148" s="476">
        <f t="shared" si="11"/>
        <v>402</v>
      </c>
      <c r="H148" s="99">
        <f>G148+'18 '!H148</f>
        <v>6877.3199999999488</v>
      </c>
      <c r="I148" s="124"/>
      <c r="J148" s="328">
        <f>H148/DAY(B2)</f>
        <v>361.96421052631308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'18 '!F149</f>
        <v>75322</v>
      </c>
      <c r="F149" s="416">
        <v>75944</v>
      </c>
      <c r="G149" s="476">
        <f t="shared" si="11"/>
        <v>622</v>
      </c>
      <c r="H149" s="99">
        <f>G149+'18 '!H149</f>
        <v>12720.199999999997</v>
      </c>
      <c r="I149" s="119"/>
      <c r="J149" s="328">
        <f>H149/DAY(B2)</f>
        <v>669.48421052631568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'18 '!F150</f>
        <v>28036</v>
      </c>
      <c r="F150" s="233">
        <v>28248</v>
      </c>
      <c r="G150" s="476">
        <f t="shared" si="11"/>
        <v>212</v>
      </c>
      <c r="H150" s="99">
        <f>G150+'18 '!H150</f>
        <v>4292.2099999999991</v>
      </c>
      <c r="I150" s="119"/>
      <c r="J150" s="328">
        <f>H150/DAY(B2)</f>
        <v>225.90578947368417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'18 '!F151</f>
        <v>105700</v>
      </c>
      <c r="F151" s="233">
        <v>105986</v>
      </c>
      <c r="G151" s="476">
        <f t="shared" si="11"/>
        <v>286</v>
      </c>
      <c r="H151" s="99">
        <f>G151+'18 '!H151</f>
        <v>5375</v>
      </c>
      <c r="I151" s="119"/>
      <c r="J151" s="328">
        <f>H151/DAY(B2)</f>
        <v>282.89473684210526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'18 '!F152</f>
        <v>10216</v>
      </c>
      <c r="F152" s="233">
        <v>10275</v>
      </c>
      <c r="G152" s="476">
        <f t="shared" si="11"/>
        <v>59</v>
      </c>
      <c r="H152" s="99">
        <f>G152+'18 '!H152</f>
        <v>2205.9399999999996</v>
      </c>
      <c r="I152" s="119"/>
      <c r="J152" s="328">
        <f>H152/DAY(B2)</f>
        <v>116.10210526315787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498">
        <f>SUM(G138:G152)</f>
        <v>3310</v>
      </c>
      <c r="H153" s="363"/>
      <c r="I153" s="119">
        <f>G153-(G38+G52)</f>
        <v>1015</v>
      </c>
      <c r="J153" s="366"/>
    </row>
    <row r="154" spans="1:10" ht="27.75">
      <c r="A154" s="939" t="s">
        <v>207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'18 '!F155</f>
        <v>84621</v>
      </c>
      <c r="F155" s="157">
        <v>85283</v>
      </c>
      <c r="G155" s="476">
        <f t="shared" ref="G155:G158" si="12">F155-E155</f>
        <v>662</v>
      </c>
      <c r="H155" s="99">
        <f>G155+'18 '!H155</f>
        <v>12512.5</v>
      </c>
      <c r="I155" s="364"/>
      <c r="J155" s="328">
        <f>H155/DAY(B2)</f>
        <v>658.5526315789474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'18 '!F156</f>
        <v>7034</v>
      </c>
      <c r="F156" s="157">
        <v>7090</v>
      </c>
      <c r="G156" s="476">
        <f t="shared" si="12"/>
        <v>56</v>
      </c>
      <c r="H156" s="99">
        <f>G156+'18 '!H156</f>
        <v>1032.75</v>
      </c>
      <c r="I156" s="165"/>
      <c r="J156" s="328">
        <f>H156/DAY(B2)</f>
        <v>54.35526315789474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'18 '!F157</f>
        <v>12164</v>
      </c>
      <c r="F157" s="374">
        <v>12273</v>
      </c>
      <c r="G157" s="476">
        <f t="shared" si="12"/>
        <v>109</v>
      </c>
      <c r="H157" s="99"/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f>'18 '!F158</f>
        <v>96.96</v>
      </c>
      <c r="F158" s="374">
        <v>97.47</v>
      </c>
      <c r="G158" s="476">
        <f t="shared" si="12"/>
        <v>0.51000000000000512</v>
      </c>
      <c r="H158" s="99"/>
      <c r="I158" s="165"/>
      <c r="J158" s="328"/>
    </row>
    <row r="159" spans="1:10" ht="25.5">
      <c r="A159" s="957"/>
      <c r="B159" s="958"/>
      <c r="C159" s="959"/>
      <c r="D159" s="117"/>
      <c r="E159" s="95"/>
      <c r="F159" s="165"/>
      <c r="G159" s="476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474369</v>
      </c>
      <c r="F161" s="235">
        <v>474528</v>
      </c>
      <c r="G161" s="499">
        <f t="shared" ref="G161:G165" si="13">F161-E161</f>
        <v>159</v>
      </c>
      <c r="H161" s="99">
        <f>G161+'18 '!H161</f>
        <v>687.27000000001863</v>
      </c>
      <c r="I161" s="236"/>
      <c r="J161" s="239">
        <f>H161/DAY(B2)</f>
        <v>36.172105263158876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91099</v>
      </c>
      <c r="F162" s="235">
        <v>91141</v>
      </c>
      <c r="G162" s="499">
        <f t="shared" si="13"/>
        <v>42</v>
      </c>
      <c r="H162" s="99">
        <f>G162+'18 '!H162</f>
        <v>688.10000000000582</v>
      </c>
      <c r="I162" s="236"/>
      <c r="J162" s="239">
        <f>H162/DAY(B2)</f>
        <v>36.215789473684517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90122</v>
      </c>
      <c r="F163" s="235">
        <v>90264</v>
      </c>
      <c r="G163" s="499">
        <f t="shared" si="13"/>
        <v>142</v>
      </c>
      <c r="H163" s="99">
        <f>G163+'18 '!H163</f>
        <v>3185.1999999999971</v>
      </c>
      <c r="I163" s="236"/>
      <c r="J163" s="239">
        <f>H163/DAY(B2)</f>
        <v>167.64210526315773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5046</v>
      </c>
      <c r="F164" s="235">
        <v>5056</v>
      </c>
      <c r="G164" s="499">
        <f t="shared" si="13"/>
        <v>10</v>
      </c>
      <c r="H164" s="99">
        <f>G164+'18 '!H164</f>
        <v>243.60000000000036</v>
      </c>
      <c r="I164" s="236"/>
      <c r="J164" s="239">
        <f>H164/DAY(B2)</f>
        <v>12.821052631578967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30499</v>
      </c>
      <c r="F165" s="235">
        <v>30516</v>
      </c>
      <c r="G165" s="499">
        <f t="shared" si="13"/>
        <v>17</v>
      </c>
      <c r="H165" s="99">
        <f>G165+'18 '!H165</f>
        <v>160.4900000000016</v>
      </c>
      <c r="I165" s="236"/>
      <c r="J165" s="239">
        <f>H165/DAY(B2)</f>
        <v>8.4468421052632419</v>
      </c>
    </row>
    <row r="166" spans="1:10" ht="26.25">
      <c r="A166" s="938"/>
      <c r="B166" s="938"/>
      <c r="C166" s="246"/>
      <c r="D166" s="244"/>
      <c r="E166" s="95"/>
      <c r="F166" s="165"/>
      <c r="G166" s="496"/>
      <c r="H166" s="99"/>
      <c r="I166" s="165"/>
      <c r="J166" s="239"/>
    </row>
    <row r="167" spans="1:10" ht="26.25">
      <c r="A167" s="938"/>
      <c r="B167" s="938"/>
      <c r="C167" s="246"/>
      <c r="D167" s="244"/>
      <c r="E167" s="95"/>
      <c r="F167" s="165"/>
      <c r="G167" s="496"/>
      <c r="H167" s="99"/>
      <c r="I167" s="165"/>
      <c r="J167" s="239"/>
    </row>
    <row r="168" spans="1:10" ht="26.25">
      <c r="A168" s="938"/>
      <c r="B168" s="938"/>
      <c r="C168" s="246"/>
      <c r="D168" s="244"/>
      <c r="E168" s="95"/>
      <c r="F168" s="165"/>
      <c r="G168" s="496"/>
      <c r="H168" s="99"/>
      <c r="I168" s="165"/>
      <c r="J168" s="239"/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500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'18 '!F173</f>
        <v>8278</v>
      </c>
      <c r="F173" s="157">
        <v>8278</v>
      </c>
      <c r="G173" s="500">
        <f>F173-E173</f>
        <v>0</v>
      </c>
      <c r="H173" s="99">
        <f>G173+'18 '!H173</f>
        <v>14</v>
      </c>
      <c r="I173" s="155"/>
      <c r="J173" s="178">
        <f>H173/DAY(B2)</f>
        <v>0.73684210526315785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'18 '!F174</f>
        <v>39734</v>
      </c>
      <c r="F174" s="157">
        <v>39752</v>
      </c>
      <c r="G174" s="500">
        <f t="shared" ref="G174:G175" si="14">F174-E174</f>
        <v>18</v>
      </c>
      <c r="H174" s="99">
        <f>G174+'18 '!H174</f>
        <v>290</v>
      </c>
      <c r="I174" s="155"/>
      <c r="J174" s="178">
        <f>H174/DAY(B2)</f>
        <v>15.263157894736842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'18 '!F175</f>
        <v>22744</v>
      </c>
      <c r="F175" s="155">
        <v>22758</v>
      </c>
      <c r="G175" s="500">
        <f t="shared" si="14"/>
        <v>14</v>
      </c>
      <c r="H175" s="99">
        <f>G175+'18 '!H175</f>
        <v>236</v>
      </c>
      <c r="I175" s="155"/>
      <c r="J175" s="178">
        <f>H175/DAY(B2)</f>
        <v>12.421052631578947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500">
        <f>SUM(G173:G175)</f>
        <v>32</v>
      </c>
      <c r="H176" s="99">
        <f>G176+'18 '!H176</f>
        <v>540</v>
      </c>
      <c r="I176" s="155"/>
      <c r="J176" s="178">
        <f>H176/DAY(B2)</f>
        <v>28.421052631578949</v>
      </c>
    </row>
    <row r="177" spans="1:11" ht="25.5">
      <c r="A177" s="896" t="s">
        <v>77</v>
      </c>
      <c r="B177" s="897"/>
      <c r="C177" s="333"/>
      <c r="D177" s="228" t="s">
        <v>142</v>
      </c>
      <c r="E177" s="95"/>
      <c r="F177" s="155"/>
      <c r="G177" s="500"/>
      <c r="H177" s="99">
        <f>G177+'18 '!H177</f>
        <v>0</v>
      </c>
      <c r="I177" s="155"/>
      <c r="J177" s="178">
        <f>H177/DAY(B2)</f>
        <v>0</v>
      </c>
    </row>
    <row r="178" spans="1:11" ht="25.5">
      <c r="A178" s="896" t="s">
        <v>210</v>
      </c>
      <c r="B178" s="897"/>
      <c r="C178" s="333"/>
      <c r="D178" s="228" t="s">
        <v>142</v>
      </c>
      <c r="E178" s="95">
        <f>'18 '!F178</f>
        <v>87383</v>
      </c>
      <c r="F178" s="155">
        <v>87469</v>
      </c>
      <c r="G178" s="500">
        <f>F178-E178</f>
        <v>86</v>
      </c>
      <c r="H178" s="99">
        <f>G178+'18 '!H178</f>
        <v>1853</v>
      </c>
      <c r="I178" s="155"/>
      <c r="J178" s="178">
        <f>H178/DAY(B2)</f>
        <v>97.526315789473685</v>
      </c>
    </row>
    <row r="179" spans="1:11" ht="25.5">
      <c r="A179" s="896" t="s">
        <v>211</v>
      </c>
      <c r="B179" s="897"/>
      <c r="C179" s="333"/>
      <c r="D179" s="228" t="s">
        <v>142</v>
      </c>
      <c r="E179" s="95">
        <f>'18 '!F179</f>
        <v>35710</v>
      </c>
      <c r="F179" s="155">
        <v>35710</v>
      </c>
      <c r="G179" s="500">
        <f t="shared" ref="G179:G180" si="15">F179-E179</f>
        <v>0</v>
      </c>
      <c r="H179" s="99">
        <f>G179+'18 '!H179</f>
        <v>96</v>
      </c>
      <c r="I179" s="155"/>
      <c r="J179" s="178">
        <f>H179/DAY(B2)</f>
        <v>5.0526315789473681</v>
      </c>
    </row>
    <row r="180" spans="1:11" ht="25.5">
      <c r="A180" s="896" t="s">
        <v>212</v>
      </c>
      <c r="B180" s="897"/>
      <c r="C180" s="333"/>
      <c r="D180" s="228" t="s">
        <v>142</v>
      </c>
      <c r="E180" s="95">
        <f>'18 '!F180</f>
        <v>6291</v>
      </c>
      <c r="F180" s="155">
        <v>6297</v>
      </c>
      <c r="G180" s="500">
        <f t="shared" si="15"/>
        <v>6</v>
      </c>
      <c r="H180" s="99">
        <f>G180+'18 '!H180</f>
        <v>164</v>
      </c>
      <c r="I180" s="155"/>
      <c r="J180" s="178">
        <f>H180/DAY(B2)</f>
        <v>8.6315789473684212</v>
      </c>
    </row>
    <row r="181" spans="1:11" ht="25.5">
      <c r="A181" s="942" t="s">
        <v>108</v>
      </c>
      <c r="B181" s="943"/>
      <c r="C181" s="401"/>
      <c r="D181" s="228" t="s">
        <v>142</v>
      </c>
      <c r="E181" s="95"/>
      <c r="F181" s="155"/>
      <c r="G181" s="500">
        <f>SUM(G178:G180)</f>
        <v>92</v>
      </c>
      <c r="H181" s="99">
        <f>G181+'18 '!H181</f>
        <v>2113</v>
      </c>
      <c r="I181" s="155"/>
      <c r="J181" s="178">
        <f>H181/DAY(B2)</f>
        <v>111.21052631578948</v>
      </c>
    </row>
    <row r="182" spans="1:11" ht="25.5">
      <c r="A182" s="896" t="s">
        <v>213</v>
      </c>
      <c r="B182" s="897"/>
      <c r="C182" s="333"/>
      <c r="D182" s="228" t="s">
        <v>142</v>
      </c>
      <c r="E182" s="95"/>
      <c r="F182" s="155"/>
      <c r="G182" s="500"/>
      <c r="H182" s="99">
        <f>G182+'18 '!H182</f>
        <v>0</v>
      </c>
      <c r="I182" s="155"/>
      <c r="J182" s="178">
        <f>H182/DAY(B2)</f>
        <v>0</v>
      </c>
    </row>
    <row r="183" spans="1:11" ht="25.5">
      <c r="A183" s="896" t="s">
        <v>214</v>
      </c>
      <c r="B183" s="897"/>
      <c r="C183" s="334"/>
      <c r="D183" s="228" t="s">
        <v>142</v>
      </c>
      <c r="E183" s="95">
        <f>'18 '!F183</f>
        <v>16432</v>
      </c>
      <c r="F183" s="157">
        <v>16443</v>
      </c>
      <c r="G183" s="501">
        <f>F183-E183</f>
        <v>11</v>
      </c>
      <c r="H183" s="99">
        <f>G183+'18 '!H183</f>
        <v>301</v>
      </c>
      <c r="I183" s="155"/>
      <c r="J183" s="178">
        <f>H183/DAY(B2)</f>
        <v>15.842105263157896</v>
      </c>
    </row>
    <row r="184" spans="1:11" ht="25.5">
      <c r="A184" s="896" t="s">
        <v>215</v>
      </c>
      <c r="B184" s="897"/>
      <c r="C184" s="334"/>
      <c r="D184" s="228" t="s">
        <v>142</v>
      </c>
      <c r="E184" s="95">
        <f>'18 '!F184</f>
        <v>11179</v>
      </c>
      <c r="F184" s="157">
        <v>11194</v>
      </c>
      <c r="G184" s="501">
        <f t="shared" ref="G184:G185" si="16">F184-E184</f>
        <v>15</v>
      </c>
      <c r="H184" s="99">
        <f>G184+'18 '!H184</f>
        <v>145</v>
      </c>
      <c r="I184" s="155"/>
      <c r="J184" s="178">
        <f>H184/DAY(B2)</f>
        <v>7.6315789473684212</v>
      </c>
    </row>
    <row r="185" spans="1:11" ht="30.75" customHeight="1">
      <c r="A185" s="896" t="s">
        <v>216</v>
      </c>
      <c r="B185" s="897"/>
      <c r="C185" s="334"/>
      <c r="D185" s="228" t="s">
        <v>142</v>
      </c>
      <c r="E185" s="95">
        <f>'18 '!F185</f>
        <v>0</v>
      </c>
      <c r="F185" s="157"/>
      <c r="G185" s="50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5" t="s">
        <v>196</v>
      </c>
      <c r="B186" s="936"/>
      <c r="C186" s="400"/>
      <c r="D186" s="228" t="s">
        <v>142</v>
      </c>
      <c r="E186" s="95"/>
      <c r="F186" s="157"/>
      <c r="G186" s="501">
        <f>SUM(G183:G185)</f>
        <v>26</v>
      </c>
      <c r="H186" s="99">
        <f>G186+'18 '!H186</f>
        <v>446</v>
      </c>
      <c r="I186" s="157"/>
      <c r="J186" s="178">
        <f>H186/DAY(B2)</f>
        <v>23.473684210526315</v>
      </c>
    </row>
    <row r="187" spans="1:11" ht="25.5">
      <c r="A187" s="946" t="s">
        <v>217</v>
      </c>
      <c r="B187" s="947"/>
      <c r="C187" s="333"/>
      <c r="D187" s="230" t="s">
        <v>142</v>
      </c>
      <c r="E187" s="95"/>
      <c r="F187" s="159"/>
      <c r="G187" s="502">
        <f>G62+G19</f>
        <v>237</v>
      </c>
      <c r="H187" s="99">
        <f>G187+'18 '!H187</f>
        <v>4335</v>
      </c>
      <c r="I187" s="158"/>
      <c r="J187" s="179">
        <f>H187/DAY(B2)</f>
        <v>228.15789473684211</v>
      </c>
    </row>
    <row r="188" spans="1:11" ht="25.5">
      <c r="A188" s="946" t="s">
        <v>218</v>
      </c>
      <c r="B188" s="947"/>
      <c r="C188" s="333"/>
      <c r="D188" s="230" t="s">
        <v>142</v>
      </c>
      <c r="E188" s="95"/>
      <c r="F188" s="159"/>
      <c r="G188" s="502">
        <f>G65+G66+G67+G69+G70</f>
        <v>222</v>
      </c>
      <c r="H188" s="99">
        <f>G188+'18 '!H188</f>
        <v>1127</v>
      </c>
      <c r="I188" s="158"/>
      <c r="J188" s="179">
        <f>H188/DAY(B2)</f>
        <v>59.315789473684212</v>
      </c>
    </row>
    <row r="189" spans="1:11" ht="25.5">
      <c r="A189" s="946" t="s">
        <v>219</v>
      </c>
      <c r="B189" s="947"/>
      <c r="C189" s="333"/>
      <c r="D189" s="230" t="s">
        <v>142</v>
      </c>
      <c r="E189" s="95"/>
      <c r="F189" s="157"/>
      <c r="G189" s="502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7"/>
      <c r="G190" s="496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24" zoomScale="55" zoomScaleSheetLayoutView="55" zoomScalePageLayoutView="78" workbookViewId="0">
      <selection activeCell="F174" sqref="F1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44671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515202</v>
      </c>
      <c r="F7" s="95">
        <v>542563.43000000005</v>
      </c>
      <c r="G7" s="112">
        <f>F7-E7</f>
        <v>27361.430000000051</v>
      </c>
      <c r="H7" s="99">
        <f>G7+'19'!H7</f>
        <v>555840.43000000005</v>
      </c>
      <c r="I7" s="113">
        <v>24000</v>
      </c>
      <c r="J7" s="175">
        <f>H7/DAY(B2)</f>
        <v>27792.021500000003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597242</v>
      </c>
      <c r="F8" s="114">
        <v>625309.06999999995</v>
      </c>
      <c r="G8" s="115">
        <f>F8-E8</f>
        <v>28067.069999999949</v>
      </c>
      <c r="H8" s="99">
        <f>G8+'19'!H8</f>
        <v>567262.85</v>
      </c>
      <c r="I8" s="116"/>
      <c r="J8" s="175">
        <f>H8/DAY(B2)</f>
        <v>28363.142499999998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1641879</v>
      </c>
      <c r="F9" s="470">
        <v>1659381.51</v>
      </c>
      <c r="G9" s="112">
        <f>F9-E9</f>
        <v>17502.510000000009</v>
      </c>
      <c r="H9" s="99">
        <f>G9+'19'!H9</f>
        <v>391706.51</v>
      </c>
      <c r="I9" s="124">
        <f>I7-J7</f>
        <v>-3792.0215000000026</v>
      </c>
      <c r="J9" s="175">
        <f>H9/DAY(B2)</f>
        <v>19585.325499999999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557864</v>
      </c>
      <c r="F10" s="353">
        <v>566988.75</v>
      </c>
      <c r="G10" s="112">
        <f t="shared" ref="G10:G12" si="0">F10-E10</f>
        <v>9124.75</v>
      </c>
      <c r="H10" s="99">
        <f>G10+'19'!H10</f>
        <v>148713.28000000003</v>
      </c>
      <c r="I10" s="282"/>
      <c r="J10" s="175">
        <f>H10/DAY(B2)</f>
        <v>7435.6640000000016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26627.260000000009</v>
      </c>
      <c r="H13" s="99">
        <f>G13+'19'!H13</f>
        <v>540420.26</v>
      </c>
      <c r="I13" s="120">
        <f>G7-G13</f>
        <v>734.17000000004191</v>
      </c>
      <c r="J13" s="175">
        <f>H13/DAY(B2)</f>
        <v>27021.012999999999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'19'!F15</f>
        <v>1991625</v>
      </c>
      <c r="F15" s="470">
        <v>1992715.7</v>
      </c>
      <c r="G15" s="112">
        <f>(F15-E15)</f>
        <v>1090.6999999999534</v>
      </c>
      <c r="H15" s="99">
        <f>G15+'19'!H15</f>
        <v>21778.699999999953</v>
      </c>
      <c r="I15" s="113">
        <f>'1'!I15</f>
        <v>800</v>
      </c>
      <c r="J15" s="175">
        <f>H15/DAY(B2)</f>
        <v>1088.9349999999977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-288.93499999999767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'19'!F18</f>
        <v>22</v>
      </c>
      <c r="F18" s="122">
        <v>27</v>
      </c>
      <c r="G18" s="119">
        <f>F18*10</f>
        <v>270</v>
      </c>
      <c r="H18" s="99">
        <f>G18+'19'!H18</f>
        <v>4980</v>
      </c>
      <c r="I18" s="113">
        <f>'1'!I18</f>
        <v>65</v>
      </c>
      <c r="J18" s="175">
        <f>H18/DAY(B2)</f>
        <v>249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'19'!F19</f>
        <v>157914</v>
      </c>
      <c r="F19" s="545">
        <v>157951</v>
      </c>
      <c r="G19" s="112">
        <f t="shared" ref="G19" si="1">F19-E19</f>
        <v>37</v>
      </c>
      <c r="H19" s="99">
        <f>G19+'19'!H19</f>
        <v>962</v>
      </c>
      <c r="I19" s="335"/>
      <c r="J19" s="175">
        <f>H19/DAY(B2)</f>
        <v>48.1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G20+'19'!H20</f>
        <v>5942</v>
      </c>
      <c r="I20" s="336">
        <f>I18-J20</f>
        <v>-232.10000000000002</v>
      </c>
      <c r="J20" s="175">
        <f>H20/DAY(B2)</f>
        <v>297.10000000000002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28067.069999999949</v>
      </c>
      <c r="F27" s="136">
        <v>9</v>
      </c>
      <c r="G27" s="137">
        <f>E27*F27</f>
        <v>252603.62999999954</v>
      </c>
      <c r="H27" s="99">
        <f>G27+'19'!H27</f>
        <v>5105365.6499999994</v>
      </c>
      <c r="I27" s="138"/>
      <c r="J27" s="175">
        <f>H27/DAY(B2)</f>
        <v>255268.28249999997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1090.6999999999534</v>
      </c>
      <c r="F28" s="136">
        <v>70</v>
      </c>
      <c r="G28" s="137">
        <f>E28*F28</f>
        <v>76348.99999999674</v>
      </c>
      <c r="H28" s="99">
        <f>G28+'19'!H28</f>
        <v>1465234.4599999962</v>
      </c>
      <c r="I28" s="140"/>
      <c r="J28" s="175">
        <f>H28/DAY(B2)</f>
        <v>73261.722999999809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37</v>
      </c>
      <c r="F30" s="136">
        <v>151</v>
      </c>
      <c r="G30" s="137">
        <f>E30*F30</f>
        <v>5587</v>
      </c>
      <c r="H30" s="99">
        <f>G30+'19'!H30</f>
        <v>144592</v>
      </c>
      <c r="I30" s="140"/>
      <c r="J30" s="175">
        <f>H30/DAY(B2)</f>
        <v>7229.6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G31+'19'!H31</f>
        <v>398400</v>
      </c>
      <c r="I31" s="140"/>
      <c r="J31" s="175">
        <f>H31/DAY(B2)</f>
        <v>19920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356139.62999999628</v>
      </c>
      <c r="H32" s="99">
        <f>G32+'19'!H32</f>
        <v>7113592.1099999957</v>
      </c>
      <c r="I32" s="144"/>
      <c r="J32" s="175">
        <f>H32/DAY(B2)</f>
        <v>355679.60549999977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179200</v>
      </c>
      <c r="F35" s="145">
        <v>181347.61</v>
      </c>
      <c r="G35" s="112">
        <f t="shared" ref="G35:G46" si="3">F35-E35</f>
        <v>2147.609999999986</v>
      </c>
      <c r="H35" s="99">
        <f>G35+'19'!H35</f>
        <v>43068.399999999994</v>
      </c>
      <c r="I35" s="95"/>
      <c r="J35" s="175">
        <f>H35/DAY(B2)</f>
        <v>2153.4199999999996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119453</v>
      </c>
      <c r="F36" s="145">
        <v>120365.81</v>
      </c>
      <c r="G36" s="112">
        <f t="shared" si="3"/>
        <v>912.80999999999767</v>
      </c>
      <c r="H36" s="99">
        <f>G36+'19'!H36</f>
        <v>19845.149999999994</v>
      </c>
      <c r="I36" s="95"/>
      <c r="J36" s="175">
        <f>H36/DAY(B2)</f>
        <v>992.25749999999971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163733</v>
      </c>
      <c r="F37" s="419">
        <v>165526.17000000001</v>
      </c>
      <c r="G37" s="112">
        <f t="shared" si="3"/>
        <v>1793.1700000000128</v>
      </c>
      <c r="H37" s="99">
        <f>G37+'19'!H37</f>
        <v>32601.150000000023</v>
      </c>
      <c r="I37" s="95"/>
      <c r="J37" s="175">
        <f>H37/DAY(B2)</f>
        <v>1630.0575000000013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217030</v>
      </c>
      <c r="F38" s="106">
        <v>219298.91</v>
      </c>
      <c r="G38" s="112">
        <f t="shared" si="3"/>
        <v>2268.9100000000035</v>
      </c>
      <c r="H38" s="99">
        <f>G38+'19'!H38</f>
        <v>49189.540000000008</v>
      </c>
      <c r="I38" s="95"/>
      <c r="J38" s="175">
        <f>H38/DAY(B2)</f>
        <v>2459.4770000000003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306554</v>
      </c>
      <c r="F39" s="419">
        <v>309830.37</v>
      </c>
      <c r="G39" s="112">
        <f t="shared" si="3"/>
        <v>3276.3699999999953</v>
      </c>
      <c r="H39" s="99">
        <f>G39+'19'!H39</f>
        <v>65676.94</v>
      </c>
      <c r="I39" s="95"/>
      <c r="J39" s="175">
        <f>H39/DAY(B2)</f>
        <v>3283.8470000000002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57801</v>
      </c>
      <c r="F40" s="145">
        <v>58143.3</v>
      </c>
      <c r="G40" s="112">
        <f t="shared" si="3"/>
        <v>342.30000000000291</v>
      </c>
      <c r="H40" s="99">
        <f>G40+'19'!H40</f>
        <v>8991.4400000000023</v>
      </c>
      <c r="I40" s="95"/>
      <c r="J40" s="175">
        <f>H40/DAY(B2)</f>
        <v>449.57200000000012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369407</v>
      </c>
      <c r="F42" s="145">
        <v>371742.59</v>
      </c>
      <c r="G42" s="112">
        <f t="shared" si="3"/>
        <v>2335.5900000000256</v>
      </c>
      <c r="H42" s="99">
        <f>G42+'19'!H42</f>
        <v>90385.340000000026</v>
      </c>
      <c r="I42" s="95"/>
      <c r="J42" s="175">
        <f>H42/DAY(B2)</f>
        <v>4519.2670000000016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319582</v>
      </c>
      <c r="F43" s="145">
        <v>322925.65000000002</v>
      </c>
      <c r="G43" s="112">
        <f t="shared" si="3"/>
        <v>3343.6500000000233</v>
      </c>
      <c r="H43" s="99">
        <f>G43+'19'!H43</f>
        <v>64171.180000000022</v>
      </c>
      <c r="I43" s="95"/>
      <c r="J43" s="175">
        <f>H43/DAY(B2)</f>
        <v>3208.5590000000011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16420.410000000047</v>
      </c>
      <c r="H47" s="99">
        <f>G47+'19'!H47</f>
        <v>373929.14</v>
      </c>
      <c r="I47" s="95"/>
      <c r="J47" s="175">
        <f>H47/DAY(B2)</f>
        <v>18696.457000000002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145102</v>
      </c>
      <c r="F49" s="145">
        <v>146974.85</v>
      </c>
      <c r="G49" s="112">
        <f t="shared" ref="G49:G58" si="4">F49-E49</f>
        <v>1872.8500000000058</v>
      </c>
      <c r="H49" s="99">
        <f>G49+'19'!H49</f>
        <v>36472.650000000009</v>
      </c>
      <c r="I49" s="95"/>
      <c r="J49" s="175">
        <f>H49/DAY(B2)</f>
        <v>1823.6325000000004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157659</v>
      </c>
      <c r="F50" s="145">
        <v>158829.42000000001</v>
      </c>
      <c r="G50" s="112">
        <f t="shared" si="4"/>
        <v>1170.4200000000128</v>
      </c>
      <c r="H50" s="99">
        <f>G50+'19'!H50</f>
        <v>27619.279999999999</v>
      </c>
      <c r="I50" s="95"/>
      <c r="J50" s="175">
        <f>H50/DAY(B2)</f>
        <v>1380.9639999999999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44887</v>
      </c>
      <c r="F54" s="145">
        <v>45358.77</v>
      </c>
      <c r="G54" s="112">
        <f t="shared" si="4"/>
        <v>471.7699999999968</v>
      </c>
      <c r="H54" s="99">
        <f>G54+'19'!H54</f>
        <v>9687.7099999999991</v>
      </c>
      <c r="I54" s="95"/>
      <c r="J54" s="175">
        <f>H54/DAY(B2)</f>
        <v>484.38549999999998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131223</v>
      </c>
      <c r="F55" s="145">
        <v>133680.10999999999</v>
      </c>
      <c r="G55" s="112">
        <f t="shared" si="4"/>
        <v>2457.109999999986</v>
      </c>
      <c r="H55" s="99">
        <f>G55+'19'!H55</f>
        <v>21199.079999999987</v>
      </c>
      <c r="I55" s="95"/>
      <c r="J55" s="175">
        <f>H55/DAY(B2)</f>
        <v>1059.9539999999993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105519</v>
      </c>
      <c r="F56" s="145">
        <v>107245.66</v>
      </c>
      <c r="G56" s="112">
        <f t="shared" si="4"/>
        <v>1726.6600000000035</v>
      </c>
      <c r="H56" s="99">
        <f>G56+'19'!H56</f>
        <v>35627.98000000001</v>
      </c>
      <c r="I56" s="95"/>
      <c r="J56" s="175">
        <f>H56/DAY(B2)</f>
        <v>1781.3990000000006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22976</v>
      </c>
      <c r="F58" s="145">
        <v>23181.5</v>
      </c>
      <c r="G58" s="112">
        <f t="shared" si="4"/>
        <v>205.5</v>
      </c>
      <c r="H58" s="99">
        <f>G58+'19'!H58</f>
        <v>4727.2999999999993</v>
      </c>
      <c r="I58" s="95"/>
      <c r="J58" s="175">
        <f>H58/DAY(B2)</f>
        <v>236.36499999999995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7904.3100000000049</v>
      </c>
      <c r="H59" s="99">
        <f>G59+'19'!H59</f>
        <v>135334.07999999999</v>
      </c>
      <c r="I59" s="95">
        <f>G7-G60</f>
        <v>3036.7099999999991</v>
      </c>
      <c r="J59" s="175">
        <f>H59/DAY(B2)</f>
        <v>6766.7039999999997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24324.720000000052</v>
      </c>
      <c r="H60" s="99">
        <f>G60+'19'!H60</f>
        <v>509263.22000000003</v>
      </c>
      <c r="I60" s="95">
        <f>G13-G60</f>
        <v>2302.5399999999572</v>
      </c>
      <c r="J60" s="175">
        <f>H60/DAY(B2)</f>
        <v>25463.161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'19'!F62</f>
        <v>282036</v>
      </c>
      <c r="F62" s="122">
        <v>282200</v>
      </c>
      <c r="G62" s="112">
        <f t="shared" ref="G62:G63" si="5">F62-E62</f>
        <v>164</v>
      </c>
      <c r="H62" s="99">
        <f>G62+'19'!H62</f>
        <v>3574</v>
      </c>
      <c r="I62" s="118"/>
      <c r="J62" s="175">
        <f>H62/DAY(B2)</f>
        <v>178.7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'19'!F63</f>
        <v>225943</v>
      </c>
      <c r="F63" s="122">
        <v>226097</v>
      </c>
      <c r="G63" s="112">
        <f t="shared" si="5"/>
        <v>154</v>
      </c>
      <c r="H63" s="99">
        <f>G63+'19'!H63</f>
        <v>3016</v>
      </c>
      <c r="I63" s="118"/>
      <c r="J63" s="175">
        <f>H63/DAY(B2)</f>
        <v>150.80000000000001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'19'!F64</f>
        <v>0</v>
      </c>
      <c r="F64" s="122"/>
      <c r="G64" s="112">
        <f>G62+G63</f>
        <v>318</v>
      </c>
      <c r="H64" s="99">
        <f>G64+'19'!H64</f>
        <v>6590</v>
      </c>
      <c r="I64" s="118"/>
      <c r="J64" s="175">
        <f>H64/DAY(B2)</f>
        <v>329.5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'19'!F65</f>
        <v>443302</v>
      </c>
      <c r="F65" s="122">
        <v>443399</v>
      </c>
      <c r="G65" s="112">
        <f t="shared" ref="G65:G70" si="6">F65-E65</f>
        <v>97</v>
      </c>
      <c r="H65" s="99">
        <f>G65+'19'!H65</f>
        <v>2268</v>
      </c>
      <c r="I65" s="118"/>
      <c r="J65" s="175">
        <f>H65/DAY(B2)</f>
        <v>113.4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109398</v>
      </c>
      <c r="F66" s="122">
        <v>109412</v>
      </c>
      <c r="G66" s="112">
        <f t="shared" si="6"/>
        <v>14</v>
      </c>
      <c r="H66" s="99">
        <f>G66+'19'!H66</f>
        <v>342</v>
      </c>
      <c r="I66" s="118"/>
      <c r="J66" s="175">
        <f>H66/DAY(B2)</f>
        <v>17.100000000000001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110004</v>
      </c>
      <c r="F67" s="122">
        <v>110098</v>
      </c>
      <c r="G67" s="112">
        <f t="shared" si="6"/>
        <v>94</v>
      </c>
      <c r="H67" s="99">
        <f>G67+'19'!H67</f>
        <v>1505</v>
      </c>
      <c r="I67" s="118"/>
      <c r="J67" s="175">
        <f>H67/DAY(B2)</f>
        <v>75.25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161205</v>
      </c>
      <c r="F68" s="122">
        <v>161238</v>
      </c>
      <c r="G68" s="112">
        <f t="shared" si="6"/>
        <v>33</v>
      </c>
      <c r="H68" s="99">
        <f>G68+'19'!H68</f>
        <v>829</v>
      </c>
      <c r="I68" s="118"/>
      <c r="J68" s="175">
        <f>H68/DAY(B2)</f>
        <v>41.45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11450</v>
      </c>
      <c r="F69" s="122">
        <v>11456</v>
      </c>
      <c r="G69" s="112">
        <f t="shared" si="6"/>
        <v>6</v>
      </c>
      <c r="H69" s="99">
        <f>G69+'19'!H69</f>
        <v>255</v>
      </c>
      <c r="I69" s="118"/>
      <c r="J69" s="175">
        <f>H69/DAY(B2)</f>
        <v>12.75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8897</v>
      </c>
      <c r="F70" s="122">
        <v>8914</v>
      </c>
      <c r="G70" s="112">
        <f t="shared" si="6"/>
        <v>17</v>
      </c>
      <c r="H70" s="99">
        <f>G70+'19'!H70</f>
        <v>186</v>
      </c>
      <c r="I70" s="118"/>
      <c r="J70" s="175">
        <f>H70/DAY(B2)</f>
        <v>9.3000000000000007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261</v>
      </c>
      <c r="H71" s="99">
        <f>G71+'19'!H71</f>
        <v>5385</v>
      </c>
      <c r="I71" s="154"/>
      <c r="J71" s="175">
        <f>H71/DAY(B2)</f>
        <v>269.25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'19'!F74</f>
        <v>925272</v>
      </c>
      <c r="F74" s="117">
        <v>925605.12</v>
      </c>
      <c r="G74" s="112">
        <f t="shared" ref="G74:G78" si="7">F74-E74</f>
        <v>333.11999999999534</v>
      </c>
      <c r="H74" s="99">
        <f>G74+'19'!H74</f>
        <v>6280.609999999986</v>
      </c>
      <c r="I74" s="154"/>
      <c r="J74" s="175">
        <f>H74/DAY(B2)</f>
        <v>314.03049999999928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'19'!F76</f>
        <v>178799</v>
      </c>
      <c r="F76" s="123">
        <v>178924.58</v>
      </c>
      <c r="G76" s="112">
        <f t="shared" si="7"/>
        <v>125.57999999998719</v>
      </c>
      <c r="H76" s="99">
        <f>G76+'19'!H76</f>
        <v>2337.5799999999872</v>
      </c>
      <c r="I76" s="154"/>
      <c r="J76" s="175">
        <f>H76/DAY(B2)</f>
        <v>116.87899999999937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'19'!F77</f>
        <v>45111</v>
      </c>
      <c r="F77" s="123">
        <v>45161.5</v>
      </c>
      <c r="G77" s="112">
        <f t="shared" si="7"/>
        <v>50.5</v>
      </c>
      <c r="H77" s="99">
        <f>G77+'19'!H77</f>
        <v>998.5</v>
      </c>
      <c r="I77" s="154"/>
      <c r="J77" s="175">
        <f>H77/DAY(B2)</f>
        <v>49.924999999999997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1</v>
      </c>
      <c r="I78" s="118"/>
      <c r="J78" s="175">
        <f>H78/DAY(B2)</f>
        <v>0.05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'19'!F79</f>
        <v>0</v>
      </c>
      <c r="F79" s="117"/>
      <c r="G79" s="112">
        <f>G15-SUM(G74:G78)</f>
        <v>581.4999999999709</v>
      </c>
      <c r="H79" s="99">
        <f>G79+'19'!H79</f>
        <v>12161.00999999998</v>
      </c>
      <c r="I79" s="118"/>
      <c r="J79" s="175"/>
      <c r="K79" s="59"/>
      <c r="L79" s="58"/>
      <c r="N79" s="87"/>
      <c r="O79" s="71"/>
    </row>
    <row r="80" spans="1:15" s="57" customFormat="1" ht="26.25">
      <c r="A80" s="986" t="s">
        <v>329</v>
      </c>
      <c r="B80" s="987"/>
      <c r="C80" s="988"/>
      <c r="D80" s="151"/>
      <c r="E80" s="117"/>
      <c r="F80" s="117"/>
      <c r="G80" s="112">
        <f>SUM(G74:G79)</f>
        <v>1090.6999999999534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0.48999999999796273</v>
      </c>
      <c r="I84" s="594"/>
      <c r="J84" s="175">
        <f>H84/DAY(B2)</f>
        <v>2.4499999999898138E-2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3539</v>
      </c>
      <c r="F85" s="164">
        <v>3550.21</v>
      </c>
      <c r="G85" s="112">
        <f t="shared" si="8"/>
        <v>11.210000000000036</v>
      </c>
      <c r="H85" s="99">
        <f>G85+'19'!H85</f>
        <v>391.71000000000004</v>
      </c>
      <c r="I85" s="594"/>
      <c r="J85" s="175">
        <f>H85/DAY(B2)</f>
        <v>19.585500000000003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43848</v>
      </c>
      <c r="F86" s="164">
        <v>43865.24</v>
      </c>
      <c r="G86" s="112">
        <f t="shared" si="8"/>
        <v>17.239999999997963</v>
      </c>
      <c r="H86" s="99">
        <f>G86+'19'!H86</f>
        <v>144.83999999999651</v>
      </c>
      <c r="I86" s="594"/>
      <c r="J86" s="175">
        <f>H86/DAY(B2)</f>
        <v>7.241999999999825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35315</v>
      </c>
      <c r="F87" s="164">
        <v>35329.06</v>
      </c>
      <c r="G87" s="112">
        <f t="shared" si="8"/>
        <v>14.059999999997672</v>
      </c>
      <c r="H87" s="99">
        <f>G87+'19'!H87</f>
        <v>248.70999999999913</v>
      </c>
      <c r="I87" s="594">
        <f>G84+G85+G86+G87</f>
        <v>42.509999999995671</v>
      </c>
      <c r="J87" s="175">
        <f>H87/DAY(B2)</f>
        <v>12.435499999999957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24175</v>
      </c>
      <c r="F88" s="164">
        <v>24175</v>
      </c>
      <c r="G88" s="112">
        <f t="shared" si="8"/>
        <v>0</v>
      </c>
      <c r="H88" s="99">
        <f>G88+'19'!H88</f>
        <v>65.599999999998545</v>
      </c>
      <c r="I88" s="594"/>
      <c r="J88" s="175">
        <f>H88/DAY(B2)</f>
        <v>3.2799999999999274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26612</v>
      </c>
      <c r="F89" s="164">
        <v>26621.19</v>
      </c>
      <c r="G89" s="112">
        <f t="shared" si="8"/>
        <v>9.1899999999986903</v>
      </c>
      <c r="H89" s="99">
        <f>G89+'19'!H89</f>
        <v>149.39999999999782</v>
      </c>
      <c r="I89" s="594">
        <f>G88+G89</f>
        <v>9.1899999999986903</v>
      </c>
      <c r="J89" s="175">
        <f>H89/DAY(B2)</f>
        <v>7.4699999999998905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71754</v>
      </c>
      <c r="F90" s="164">
        <v>71765.490000000005</v>
      </c>
      <c r="G90" s="112">
        <f t="shared" si="8"/>
        <v>11.490000000005239</v>
      </c>
      <c r="H90" s="99">
        <f>G90+'19'!H90</f>
        <v>192.38000000000466</v>
      </c>
      <c r="I90" s="594">
        <f>G90</f>
        <v>11.490000000005239</v>
      </c>
      <c r="J90" s="175">
        <f>H90/DAY(B2)</f>
        <v>9.6190000000002325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3930.48</v>
      </c>
      <c r="F91" s="122">
        <v>3942.69</v>
      </c>
      <c r="G91" s="112">
        <f t="shared" si="8"/>
        <v>12.210000000000036</v>
      </c>
      <c r="H91" s="99">
        <f>G91+'19'!H91</f>
        <v>32.940000000000055</v>
      </c>
      <c r="I91" s="688"/>
      <c r="J91" s="175">
        <f>H91/DAY(B2)</f>
        <v>1.6470000000000027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5935</v>
      </c>
      <c r="F92" s="122">
        <v>5934.87</v>
      </c>
      <c r="G92" s="112">
        <f t="shared" si="8"/>
        <v>-0.13000000000010914</v>
      </c>
      <c r="H92" s="99">
        <f>G92+'19'!H92</f>
        <v>187.56999999999971</v>
      </c>
      <c r="I92" s="705">
        <f>G91+G92</f>
        <v>12.079999999999927</v>
      </c>
      <c r="J92" s="175">
        <f>H92/DAY(B2)</f>
        <v>9.3784999999999847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7364.1100000000151</v>
      </c>
      <c r="H94" s="99">
        <f>G94+'19'!H94</f>
        <v>143712.23000000001</v>
      </c>
      <c r="I94" s="118"/>
      <c r="J94" s="175">
        <f>H94/DAY(B2)</f>
        <v>7185.6115000000009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0.26914200025364177</v>
      </c>
      <c r="H95" s="99">
        <f>G95+'19'!H95</f>
        <v>5.1730945235780661</v>
      </c>
      <c r="I95" s="167"/>
      <c r="J95" s="175">
        <f>H95/DAY(B2)</f>
        <v>0.25865472617890328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6519.3600000000151</v>
      </c>
      <c r="H96" s="99">
        <f>G96+'19'!H96</f>
        <v>147212.40000000002</v>
      </c>
      <c r="I96" s="118"/>
      <c r="J96" s="175">
        <f>H96/DAY(B2)</f>
        <v>7360.6200000000008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0.23826824840660751</v>
      </c>
      <c r="H97" s="99">
        <f>G97+'19'!H97</f>
        <v>5.2888310949762083</v>
      </c>
      <c r="I97" s="167"/>
      <c r="J97" s="175">
        <f>H97/DAY(B2)</f>
        <v>0.26444155474881043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3276.3699999999953</v>
      </c>
      <c r="H98" s="99">
        <f>G98+'19'!H98</f>
        <v>65676.94</v>
      </c>
      <c r="I98" s="168"/>
      <c r="J98" s="175">
        <f>H98/DAY(B2)</f>
        <v>3283.8470000000002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0.1197441069417786</v>
      </c>
      <c r="H99" s="99">
        <f>G99+'19'!H99</f>
        <v>2.3668282399474858</v>
      </c>
      <c r="I99" s="168"/>
      <c r="J99" s="175">
        <f>H99/DAY(B2)</f>
        <v>0.11834141199737429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2268.9100000000035</v>
      </c>
      <c r="H100" s="99">
        <f>G100+'19'!H100</f>
        <v>49189.30000000001</v>
      </c>
      <c r="I100" s="118"/>
      <c r="J100" s="175">
        <f>H100/DAY(B2)</f>
        <v>2459.4650000000006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8.2923662981064919E-2</v>
      </c>
      <c r="H101" s="99">
        <f>G101+'19'!H101</f>
        <v>1.7723366282351161</v>
      </c>
      <c r="I101" s="168"/>
      <c r="J101" s="175">
        <f>H101/DAY(B2)</f>
        <v>8.8616831411755803E-2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2083.2300000000105</v>
      </c>
      <c r="H102" s="99">
        <f>G102+'19'!H102</f>
        <v>47464.429999999993</v>
      </c>
      <c r="I102" s="168"/>
      <c r="J102" s="175">
        <f>H102/DAY(B2)</f>
        <v>2373.2214999999997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7.6137467961287356E-2</v>
      </c>
      <c r="H103" s="99">
        <f>G103+'19'!H103</f>
        <v>1.706425863665459</v>
      </c>
      <c r="I103" s="118"/>
      <c r="J103" s="175">
        <f>H103/DAY(B2)</f>
        <v>8.5321293183272945E-2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1793.1700000000128</v>
      </c>
      <c r="H104" s="99">
        <f>G104+'19'!H104</f>
        <v>32601.470000000023</v>
      </c>
      <c r="I104" s="118"/>
      <c r="J104" s="175">
        <f>H104/DAY(B2)</f>
        <v>1630.0735000000011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6.5536413849715078E-2</v>
      </c>
      <c r="H105" s="99">
        <f>G105+'19'!H105</f>
        <v>1.1742101465487231</v>
      </c>
      <c r="I105" s="187"/>
      <c r="J105" s="188">
        <f>H105/DAY(B2)</f>
        <v>5.8710507327436157E-2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'19'!F112</f>
        <v>63677</v>
      </c>
      <c r="F112" s="237">
        <v>63757.96</v>
      </c>
      <c r="G112" s="112">
        <f t="shared" ref="G112:G123" si="9">F112-E112</f>
        <v>80.959999999999127</v>
      </c>
      <c r="H112" s="99">
        <f>G112+'19'!H112</f>
        <v>1614.4300000000003</v>
      </c>
      <c r="I112" s="165"/>
      <c r="J112" s="328">
        <f>H112/DAY(B2)</f>
        <v>80.72150000000002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'19'!F113</f>
        <v>83686</v>
      </c>
      <c r="F113" s="237">
        <v>84194.39</v>
      </c>
      <c r="G113" s="112">
        <f t="shared" si="9"/>
        <v>508.38999999999942</v>
      </c>
      <c r="H113" s="99">
        <f>G113+'19'!H113</f>
        <v>9938.7899999999936</v>
      </c>
      <c r="I113" s="165"/>
      <c r="J113" s="328">
        <f>H113/DAY(B2)</f>
        <v>496.93949999999967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'19'!F114</f>
        <v>55582</v>
      </c>
      <c r="F114" s="237">
        <v>55845.11</v>
      </c>
      <c r="G114" s="112">
        <f t="shared" si="9"/>
        <v>263.11000000000058</v>
      </c>
      <c r="H114" s="99">
        <f>G114+'19'!H114</f>
        <v>5582.1100000000006</v>
      </c>
      <c r="I114" s="165"/>
      <c r="J114" s="328">
        <f>H114/DAY(B2)</f>
        <v>279.10550000000001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'19'!F115</f>
        <v>10254</v>
      </c>
      <c r="F115" s="237">
        <v>10272.549999999999</v>
      </c>
      <c r="G115" s="112">
        <f t="shared" si="9"/>
        <v>18.549999999999272</v>
      </c>
      <c r="H115" s="99">
        <f>G115+'19'!H115</f>
        <v>444.03999999999905</v>
      </c>
      <c r="I115" s="165"/>
      <c r="J115" s="328">
        <f>H115/DAY(B2)</f>
        <v>22.201999999999952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'19'!F116</f>
        <v>30914</v>
      </c>
      <c r="F116" s="237">
        <v>31330.27</v>
      </c>
      <c r="G116" s="112">
        <f t="shared" si="9"/>
        <v>416.27000000000044</v>
      </c>
      <c r="H116" s="99">
        <f>G116+'19'!H116</f>
        <v>8545.6500000000015</v>
      </c>
      <c r="I116" s="165"/>
      <c r="J116" s="328">
        <f>H116/DAY(B2)</f>
        <v>427.28250000000008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'19'!F117</f>
        <v>17250</v>
      </c>
      <c r="F117" s="237">
        <v>17395.89</v>
      </c>
      <c r="G117" s="112">
        <f t="shared" si="9"/>
        <v>145.88999999999942</v>
      </c>
      <c r="H117" s="99">
        <f>G117+'19'!H117</f>
        <v>3782.7169999999987</v>
      </c>
      <c r="I117" s="165"/>
      <c r="J117" s="328">
        <f>H117/DAY(B2)</f>
        <v>189.13584999999995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'19'!F118</f>
        <v>3122</v>
      </c>
      <c r="F118" s="237">
        <v>3656.23</v>
      </c>
      <c r="G118" s="112">
        <f t="shared" si="9"/>
        <v>534.23</v>
      </c>
      <c r="H118" s="99">
        <f>G118+'19'!H118</f>
        <v>10604.260000000028</v>
      </c>
      <c r="I118" s="165"/>
      <c r="J118" s="328">
        <f>H118/DAY(B2)</f>
        <v>530.21300000000133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'19'!F119</f>
        <v>940</v>
      </c>
      <c r="F119" s="237">
        <v>1397.43</v>
      </c>
      <c r="G119" s="112">
        <f t="shared" si="9"/>
        <v>457.43000000000006</v>
      </c>
      <c r="H119" s="99">
        <f>G119+'19'!H119</f>
        <v>8718.0399999999863</v>
      </c>
      <c r="I119" s="165"/>
      <c r="J119" s="328">
        <f>H119/DAY(B2)</f>
        <v>435.9019999999993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'19'!F120</f>
        <v>2482</v>
      </c>
      <c r="F120" s="237">
        <v>2883.04</v>
      </c>
      <c r="G120" s="112">
        <f t="shared" si="9"/>
        <v>401.03999999999996</v>
      </c>
      <c r="H120" s="99">
        <f>G120+'19'!H120</f>
        <v>8229.2800000000061</v>
      </c>
      <c r="I120" s="165"/>
      <c r="J120" s="328">
        <f>H120/DAY(B2)</f>
        <v>411.46400000000028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'19'!F121</f>
        <v>4808</v>
      </c>
      <c r="F121" s="237">
        <v>5645.5</v>
      </c>
      <c r="G121" s="112">
        <f t="shared" si="9"/>
        <v>837.5</v>
      </c>
      <c r="H121" s="99">
        <f>G121+'19'!H121</f>
        <v>16050.229999999981</v>
      </c>
      <c r="I121" s="165"/>
      <c r="J121" s="328">
        <f>H121/DAY(B2)</f>
        <v>802.51149999999905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'19'!F122</f>
        <v>1209</v>
      </c>
      <c r="F122" s="237">
        <v>1451.31</v>
      </c>
      <c r="G122" s="112">
        <f t="shared" si="9"/>
        <v>242.30999999999995</v>
      </c>
      <c r="H122" s="99">
        <f>G122+'19'!H122</f>
        <v>4268.1699999999855</v>
      </c>
      <c r="I122" s="165"/>
      <c r="J122" s="328">
        <f>H122/DAY(B2)</f>
        <v>213.40849999999926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'19'!F123</f>
        <v>174295</v>
      </c>
      <c r="F123" s="237">
        <v>174552.17</v>
      </c>
      <c r="G123" s="112">
        <f t="shared" si="9"/>
        <v>257.17000000001281</v>
      </c>
      <c r="H123" s="99">
        <f>G123+'19'!H123</f>
        <v>5110.1700000000128</v>
      </c>
      <c r="I123" s="165"/>
      <c r="J123" s="328">
        <f>H123/DAY(B2)</f>
        <v>255.50850000000065</v>
      </c>
    </row>
    <row r="124" spans="1:18" ht="29.25" customHeight="1">
      <c r="A124" s="932"/>
      <c r="B124" s="933"/>
      <c r="C124" s="934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5" t="s">
        <v>108</v>
      </c>
      <c r="B125" s="965"/>
      <c r="C125" s="245"/>
      <c r="D125" s="307"/>
      <c r="E125" s="308"/>
      <c r="F125" s="308"/>
      <c r="G125" s="309">
        <f>SUM(G112:G124)</f>
        <v>4162.8500000000113</v>
      </c>
      <c r="H125" s="156"/>
      <c r="I125" s="327">
        <f>G125-(G39+G53)</f>
        <v>886.48000000001593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'19'!F128</f>
        <v>77041</v>
      </c>
      <c r="F128" s="165">
        <v>77480.639999999999</v>
      </c>
      <c r="G128" s="112">
        <f t="shared" ref="G128:G134" si="10">F128-E128</f>
        <v>439.63999999999942</v>
      </c>
      <c r="H128" s="99">
        <f>G128+'19'!H128</f>
        <v>8564.3999999999942</v>
      </c>
      <c r="I128" s="165"/>
      <c r="J128" s="328">
        <f>H128/DAY(B2)</f>
        <v>428.21999999999969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47894</v>
      </c>
      <c r="F129" s="165">
        <v>48182.19</v>
      </c>
      <c r="G129" s="112">
        <f t="shared" si="10"/>
        <v>288.19000000000233</v>
      </c>
      <c r="H129" s="99">
        <f>G129+'19'!H129</f>
        <v>6071.1399999999994</v>
      </c>
      <c r="I129" s="165"/>
      <c r="J129" s="328">
        <f>H129/DAY(B2)</f>
        <v>303.55699999999996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88866</v>
      </c>
      <c r="F130" s="165">
        <v>89575.15</v>
      </c>
      <c r="G130" s="112">
        <f t="shared" si="10"/>
        <v>709.14999999999418</v>
      </c>
      <c r="H130" s="99">
        <f>G130+'19'!H130</f>
        <v>13913.199999999997</v>
      </c>
      <c r="I130" s="165"/>
      <c r="J130" s="328">
        <f>H130/DAY(B2)</f>
        <v>695.65999999999985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'19'!F131</f>
        <v>28123</v>
      </c>
      <c r="F131" s="165">
        <v>28326.42</v>
      </c>
      <c r="G131" s="112">
        <f t="shared" si="10"/>
        <v>203.41999999999825</v>
      </c>
      <c r="H131" s="99">
        <f>G131+'19'!H131</f>
        <v>3893.9199999999983</v>
      </c>
      <c r="I131" s="165"/>
      <c r="J131" s="328">
        <f>H131/DAY(B2)</f>
        <v>194.69599999999991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'19'!F132</f>
        <v>83949</v>
      </c>
      <c r="F132" s="165">
        <v>84398.31</v>
      </c>
      <c r="G132" s="112">
        <f t="shared" si="10"/>
        <v>449.30999999999767</v>
      </c>
      <c r="H132" s="99">
        <f>G132+'19'!H132</f>
        <v>8730.8099999999977</v>
      </c>
      <c r="I132" s="165"/>
      <c r="J132" s="328">
        <f>H132/DAY(B2)</f>
        <v>436.54049999999989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'19'!F133</f>
        <v>162463</v>
      </c>
      <c r="F133" s="165">
        <v>163436.18</v>
      </c>
      <c r="G133" s="112">
        <f t="shared" si="10"/>
        <v>973.17999999999302</v>
      </c>
      <c r="H133" s="99">
        <f>G133+'19'!H133</f>
        <v>18054.190000000002</v>
      </c>
      <c r="I133" s="165"/>
      <c r="J133" s="328">
        <f>H133/DAY(B2)</f>
        <v>902.70950000000016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'19'!F134</f>
        <v>25383</v>
      </c>
      <c r="F134" s="466">
        <v>25623.87</v>
      </c>
      <c r="G134" s="112">
        <f t="shared" si="10"/>
        <v>240.86999999999898</v>
      </c>
      <c r="H134" s="99">
        <f>G134+'19'!H134</f>
        <v>4831.1899999999987</v>
      </c>
      <c r="I134" s="165"/>
      <c r="J134" s="328">
        <f>H134/DAY(B2)</f>
        <v>241.55949999999993</v>
      </c>
    </row>
    <row r="135" spans="1:15" ht="25.5">
      <c r="A135" s="989" t="s">
        <v>108</v>
      </c>
      <c r="B135" s="990"/>
      <c r="C135" s="943"/>
      <c r="D135" s="151"/>
      <c r="E135" s="95"/>
      <c r="F135" s="165"/>
      <c r="G135" s="112">
        <f>SUM(G128:G134)</f>
        <v>3303.7599999999838</v>
      </c>
      <c r="H135" s="99"/>
      <c r="I135" s="327">
        <f>G135-(G35+G49)</f>
        <v>-716.700000000008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'19'!F138</f>
        <v>877079</v>
      </c>
      <c r="F138" s="147">
        <v>877233</v>
      </c>
      <c r="G138" s="112">
        <f t="shared" ref="G138:G152" si="11">F138-E138</f>
        <v>154</v>
      </c>
      <c r="H138" s="99">
        <f>G138+'19'!H138</f>
        <v>3232</v>
      </c>
      <c r="I138" s="118"/>
      <c r="J138" s="328">
        <f>H138/DAY(B2)</f>
        <v>161.6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'19'!F139</f>
        <v>893195</v>
      </c>
      <c r="F139" s="148">
        <v>893322</v>
      </c>
      <c r="G139" s="112">
        <f t="shared" si="11"/>
        <v>127</v>
      </c>
      <c r="H139" s="99">
        <f>G139+'19'!H139</f>
        <v>3004</v>
      </c>
      <c r="I139" s="118"/>
      <c r="J139" s="328">
        <f>H139/DAY(B2)</f>
        <v>150.19999999999999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'19'!F140</f>
        <v>89024</v>
      </c>
      <c r="F140" s="149">
        <v>89025</v>
      </c>
      <c r="G140" s="112">
        <f>F140-E140</f>
        <v>1</v>
      </c>
      <c r="H140" s="99">
        <f>G140+'19'!H140</f>
        <v>35</v>
      </c>
      <c r="I140" s="118"/>
      <c r="J140" s="328">
        <f>H140/DAY(B2)</f>
        <v>1.75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'19'!F141</f>
        <v>69532</v>
      </c>
      <c r="F141" s="149">
        <v>69718.19</v>
      </c>
      <c r="G141" s="112">
        <f t="shared" si="11"/>
        <v>186.19000000000233</v>
      </c>
      <c r="H141" s="99">
        <f>G141+'19'!H141</f>
        <v>3934.6600000000035</v>
      </c>
      <c r="I141" s="118"/>
      <c r="J141" s="328">
        <f>H141/DAY(B2)</f>
        <v>196.73300000000017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'19'!F142</f>
        <v>26746</v>
      </c>
      <c r="F142" s="148">
        <v>26806.93</v>
      </c>
      <c r="G142" s="112">
        <f t="shared" si="11"/>
        <v>60.930000000000291</v>
      </c>
      <c r="H142" s="99">
        <f>G142+'19'!H142</f>
        <v>1310.5299999999988</v>
      </c>
      <c r="I142" s="140"/>
      <c r="J142" s="328">
        <f>H142/DAY(B2)</f>
        <v>65.526499999999942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'19'!F143</f>
        <v>6087</v>
      </c>
      <c r="F143" s="149">
        <v>6118.28</v>
      </c>
      <c r="G143" s="112">
        <f t="shared" si="11"/>
        <v>31.279999999999745</v>
      </c>
      <c r="H143" s="99">
        <f>G143+'19'!H143</f>
        <v>557.56999999999971</v>
      </c>
      <c r="I143" s="140"/>
      <c r="J143" s="328">
        <f>H143/DAY(B2)</f>
        <v>27.878499999999985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'19'!F144</f>
        <v>894639</v>
      </c>
      <c r="F144" s="149">
        <v>894868</v>
      </c>
      <c r="G144" s="112">
        <f t="shared" si="11"/>
        <v>229</v>
      </c>
      <c r="H144" s="99">
        <f>G144+'19'!H144</f>
        <v>5034</v>
      </c>
      <c r="I144" s="140"/>
      <c r="J144" s="328">
        <f>H144/DAY(B2)</f>
        <v>251.7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'19'!F145</f>
        <v>5600</v>
      </c>
      <c r="F145" s="149">
        <v>5603.8</v>
      </c>
      <c r="G145" s="112">
        <f t="shared" si="11"/>
        <v>3.8000000000001819</v>
      </c>
      <c r="H145" s="99">
        <f>G145+'19'!H145</f>
        <v>47.400000000000546</v>
      </c>
      <c r="I145" s="140"/>
      <c r="J145" s="328">
        <f>H145/DAY(B2)</f>
        <v>2.3700000000000272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'19'!F146</f>
        <v>773696</v>
      </c>
      <c r="F146" s="148">
        <v>774241</v>
      </c>
      <c r="G146" s="112">
        <f t="shared" si="11"/>
        <v>545</v>
      </c>
      <c r="H146" s="99">
        <f>G146+'19'!H146</f>
        <v>9915</v>
      </c>
      <c r="I146" s="140"/>
      <c r="J146" s="328">
        <f>H146/DAY(B2)</f>
        <v>495.75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'19'!F147</f>
        <v>658500</v>
      </c>
      <c r="F147" s="148">
        <v>658902.28</v>
      </c>
      <c r="G147" s="112">
        <f t="shared" si="11"/>
        <v>402.28000000002794</v>
      </c>
      <c r="H147" s="99">
        <f>G147+'19'!H147</f>
        <v>8718.2800000000279</v>
      </c>
      <c r="I147" s="140"/>
      <c r="J147" s="328">
        <f>H147/DAY(B2)</f>
        <v>435.91400000000141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'19'!F148</f>
        <v>715742</v>
      </c>
      <c r="F148" s="150">
        <v>716062.48</v>
      </c>
      <c r="G148" s="112">
        <f t="shared" si="11"/>
        <v>320.47999999998137</v>
      </c>
      <c r="H148" s="99">
        <f>G148+'19'!H148</f>
        <v>7197.7999999999302</v>
      </c>
      <c r="I148" s="124"/>
      <c r="J148" s="328">
        <f>H148/DAY(B2)</f>
        <v>359.88999999999652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'19'!F149</f>
        <v>75944</v>
      </c>
      <c r="F149" s="146">
        <v>76575.539999999994</v>
      </c>
      <c r="G149" s="112">
        <f t="shared" si="11"/>
        <v>631.5399999999936</v>
      </c>
      <c r="H149" s="99">
        <f>G149+'19'!H149</f>
        <v>13351.739999999991</v>
      </c>
      <c r="I149" s="119"/>
      <c r="J149" s="328">
        <f>H149/DAY(B2)</f>
        <v>667.58699999999953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'19'!F150</f>
        <v>28248</v>
      </c>
      <c r="F150" s="233">
        <v>28459.07</v>
      </c>
      <c r="G150" s="112">
        <f t="shared" si="11"/>
        <v>211.06999999999971</v>
      </c>
      <c r="H150" s="99">
        <f>G150+'19'!H150</f>
        <v>4503.2799999999988</v>
      </c>
      <c r="I150" s="119"/>
      <c r="J150" s="328">
        <f>H150/DAY(B2)</f>
        <v>225.16399999999993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'19'!F151</f>
        <v>105986</v>
      </c>
      <c r="F151" s="233">
        <v>106266</v>
      </c>
      <c r="G151" s="112">
        <f t="shared" si="11"/>
        <v>280</v>
      </c>
      <c r="H151" s="99">
        <f>G151+'19'!H151</f>
        <v>5655</v>
      </c>
      <c r="I151" s="119"/>
      <c r="J151" s="328">
        <f>H151/DAY(B2)</f>
        <v>282.75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'19'!F152</f>
        <v>10275</v>
      </c>
      <c r="F152" s="233">
        <v>10333.799999999999</v>
      </c>
      <c r="G152" s="112">
        <f t="shared" si="11"/>
        <v>58.799999999999272</v>
      </c>
      <c r="H152" s="99">
        <f>G152+'19'!H152</f>
        <v>2264.7399999999989</v>
      </c>
      <c r="I152" s="119"/>
      <c r="J152" s="328">
        <f>H152/DAY(B2)</f>
        <v>113.23699999999994</v>
      </c>
    </row>
    <row r="153" spans="1:10" ht="25.5">
      <c r="A153" s="460" t="s">
        <v>108</v>
      </c>
      <c r="B153" s="365"/>
      <c r="C153" s="365"/>
      <c r="D153" s="117"/>
      <c r="E153" s="95"/>
      <c r="F153" s="233"/>
      <c r="G153" s="112">
        <f>SUM(G138:G152)</f>
        <v>3242.3700000000044</v>
      </c>
      <c r="H153" s="99"/>
      <c r="I153" s="119">
        <f>G153-(G38+G52)</f>
        <v>973.46000000000095</v>
      </c>
      <c r="J153" s="328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'19'!F155</f>
        <v>85283</v>
      </c>
      <c r="F155" s="374">
        <v>86024.47</v>
      </c>
      <c r="G155" s="112">
        <f t="shared" ref="G155:G158" si="12">F155-E155</f>
        <v>741.47000000000116</v>
      </c>
      <c r="H155" s="99">
        <f>G155+'19'!H155</f>
        <v>13253.970000000001</v>
      </c>
      <c r="I155" s="364"/>
      <c r="J155" s="328">
        <f>H155/DAY(B2)</f>
        <v>662.69850000000008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'19'!F156</f>
        <v>7090</v>
      </c>
      <c r="F156" s="155">
        <v>7142.19</v>
      </c>
      <c r="G156" s="112">
        <f t="shared" si="12"/>
        <v>52.1899999999996</v>
      </c>
      <c r="H156" s="99">
        <f>G156+'19'!H156</f>
        <v>1084.9399999999996</v>
      </c>
      <c r="I156" s="165"/>
      <c r="J156" s="328">
        <f>H156/DAY(B2)</f>
        <v>54.246999999999979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'19'!F157</f>
        <v>12273</v>
      </c>
      <c r="F157" s="155">
        <v>12383.8</v>
      </c>
      <c r="G157" s="112">
        <f t="shared" si="12"/>
        <v>110.79999999999927</v>
      </c>
      <c r="H157" s="99">
        <f>G157+'19'!H157</f>
        <v>110.79999999999927</v>
      </c>
      <c r="I157" s="165"/>
      <c r="J157" s="328">
        <f>H157/DAY(B2)</f>
        <v>5.5399999999999636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'19'!F158</f>
        <v>97.47</v>
      </c>
      <c r="F158" s="155">
        <v>97.86</v>
      </c>
      <c r="G158" s="112">
        <f t="shared" si="12"/>
        <v>0.39000000000000057</v>
      </c>
      <c r="H158" s="99">
        <f>G158+'19'!H158</f>
        <v>0.39000000000000057</v>
      </c>
      <c r="I158" s="165"/>
      <c r="J158" s="328">
        <f>H158/DAY(B2)</f>
        <v>1.9500000000000028E-2</v>
      </c>
    </row>
    <row r="159" spans="1:10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474528</v>
      </c>
      <c r="F161" s="235">
        <v>474546.84</v>
      </c>
      <c r="G161" s="238">
        <f t="shared" ref="G161:G166" si="13">F161-E161</f>
        <v>18.840000000025611</v>
      </c>
      <c r="H161" s="99">
        <f>G161+'19'!H161</f>
        <v>706.11000000004424</v>
      </c>
      <c r="I161" s="236"/>
      <c r="J161" s="239">
        <f>H161/DAY(B2)</f>
        <v>35.305500000002212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91141</v>
      </c>
      <c r="F162" s="235">
        <v>91186.9</v>
      </c>
      <c r="G162" s="238">
        <f t="shared" si="13"/>
        <v>45.899999999994179</v>
      </c>
      <c r="H162" s="99">
        <f>G162+'19'!H162</f>
        <v>734</v>
      </c>
      <c r="I162" s="236"/>
      <c r="J162" s="239">
        <f>H162/DAY(B2)</f>
        <v>36.700000000000003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90264</v>
      </c>
      <c r="F163" s="235">
        <v>90416.1</v>
      </c>
      <c r="G163" s="238">
        <f t="shared" si="13"/>
        <v>152.10000000000582</v>
      </c>
      <c r="H163" s="99">
        <f>G163+'19'!H163</f>
        <v>3337.3000000000029</v>
      </c>
      <c r="I163" s="236"/>
      <c r="J163" s="239">
        <f>H163/DAY(B2)</f>
        <v>166.86500000000015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5056</v>
      </c>
      <c r="F164" s="235">
        <v>5068.5</v>
      </c>
      <c r="G164" s="238">
        <f t="shared" si="13"/>
        <v>12.5</v>
      </c>
      <c r="H164" s="99">
        <f>G164+'19'!H164</f>
        <v>256.10000000000036</v>
      </c>
      <c r="I164" s="236"/>
      <c r="J164" s="239">
        <f>H164/DAY(B2)</f>
        <v>12.805000000000017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30516</v>
      </c>
      <c r="F165" s="235">
        <v>30528.400000000001</v>
      </c>
      <c r="G165" s="238">
        <f t="shared" si="13"/>
        <v>12.400000000001455</v>
      </c>
      <c r="H165" s="99">
        <f>G165+'19'!H165</f>
        <v>172.89000000000306</v>
      </c>
      <c r="I165" s="236"/>
      <c r="J165" s="239">
        <f>H165/DAY(B2)</f>
        <v>8.6445000000001535</v>
      </c>
    </row>
    <row r="166" spans="1:10" ht="26.25">
      <c r="A166" s="938"/>
      <c r="B166" s="938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'19'!F173</f>
        <v>8278</v>
      </c>
      <c r="F173" s="155">
        <v>8351</v>
      </c>
      <c r="G173" s="155">
        <f>F173-E173</f>
        <v>73</v>
      </c>
      <c r="H173" s="99">
        <f>G173+'19'!H173</f>
        <v>87</v>
      </c>
      <c r="I173" s="155"/>
      <c r="J173" s="178">
        <f>H173/DAY(B2)</f>
        <v>4.3499999999999996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'19'!F174</f>
        <v>39752</v>
      </c>
      <c r="F174" s="157">
        <v>39766</v>
      </c>
      <c r="G174" s="155">
        <f t="shared" ref="G174:G175" si="14">F174-E174</f>
        <v>14</v>
      </c>
      <c r="H174" s="99">
        <f>G174+'19'!H174</f>
        <v>304</v>
      </c>
      <c r="I174" s="155"/>
      <c r="J174" s="178">
        <f>H174/DAY(B2)</f>
        <v>15.2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'19'!F175</f>
        <v>22758</v>
      </c>
      <c r="F175" s="155">
        <v>22769</v>
      </c>
      <c r="G175" s="155">
        <f t="shared" si="14"/>
        <v>11</v>
      </c>
      <c r="H175" s="99">
        <f>G175+'19'!H175</f>
        <v>247</v>
      </c>
      <c r="I175" s="155"/>
      <c r="J175" s="178">
        <f>H175/DAY(B2)</f>
        <v>12.35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98</v>
      </c>
      <c r="H176" s="99">
        <f>G176+'19'!H176</f>
        <v>638</v>
      </c>
      <c r="I176" s="155"/>
      <c r="J176" s="178">
        <f>H176/DAY(B2)</f>
        <v>31.9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'19'!F178</f>
        <v>87469</v>
      </c>
      <c r="F178" s="155">
        <v>87576</v>
      </c>
      <c r="G178" s="155">
        <f>F178-E178</f>
        <v>107</v>
      </c>
      <c r="H178" s="99">
        <f>G178+'19'!H178</f>
        <v>1960</v>
      </c>
      <c r="I178" s="155"/>
      <c r="J178" s="178">
        <f>H178/DAY(B2)</f>
        <v>98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'19'!F179</f>
        <v>35710</v>
      </c>
      <c r="F179" s="155">
        <v>35710</v>
      </c>
      <c r="G179" s="155">
        <f t="shared" ref="G179:G180" si="15">F179-E179</f>
        <v>0</v>
      </c>
      <c r="H179" s="99">
        <f>G179+'19'!H179</f>
        <v>96</v>
      </c>
      <c r="I179" s="155"/>
      <c r="J179" s="178">
        <f>H179/DAY(B2)</f>
        <v>4.8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'19'!F180</f>
        <v>6297</v>
      </c>
      <c r="F180" s="155">
        <v>6312</v>
      </c>
      <c r="G180" s="155">
        <f t="shared" si="15"/>
        <v>15</v>
      </c>
      <c r="H180" s="99">
        <f>G180+'19'!H180</f>
        <v>179</v>
      </c>
      <c r="I180" s="155"/>
      <c r="J180" s="178">
        <f>H180/DAY(B2)</f>
        <v>8.9499999999999993</v>
      </c>
    </row>
    <row r="181" spans="1:10" ht="24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122</v>
      </c>
      <c r="H181" s="99">
        <f>G181+'19'!H181</f>
        <v>2235</v>
      </c>
      <c r="I181" s="155"/>
      <c r="J181" s="178">
        <f>H181/DAY(B2)</f>
        <v>111.75</v>
      </c>
    </row>
    <row r="182" spans="1:10" ht="24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6" t="s">
        <v>214</v>
      </c>
      <c r="B183" s="897"/>
      <c r="C183" s="334"/>
      <c r="D183" s="228" t="s">
        <v>142</v>
      </c>
      <c r="E183" s="95">
        <f>'19'!F183</f>
        <v>16443</v>
      </c>
      <c r="F183" s="157">
        <v>16450</v>
      </c>
      <c r="G183" s="157">
        <f>F183-E183</f>
        <v>7</v>
      </c>
      <c r="H183" s="99">
        <f>G183+'19'!H183</f>
        <v>308</v>
      </c>
      <c r="I183" s="155"/>
      <c r="J183" s="178">
        <f>H183/DAY(B2)</f>
        <v>15.4</v>
      </c>
    </row>
    <row r="184" spans="1:10" ht="24.75" customHeight="1">
      <c r="A184" s="896" t="s">
        <v>215</v>
      </c>
      <c r="B184" s="897"/>
      <c r="C184" s="334"/>
      <c r="D184" s="228" t="s">
        <v>142</v>
      </c>
      <c r="E184" s="95">
        <f>'19'!F184</f>
        <v>11194</v>
      </c>
      <c r="F184" s="157">
        <v>11200</v>
      </c>
      <c r="G184" s="157">
        <f t="shared" ref="G184:G185" si="16">F184-E184</f>
        <v>6</v>
      </c>
      <c r="H184" s="99">
        <f>G184+'19'!H184</f>
        <v>151</v>
      </c>
      <c r="I184" s="155"/>
      <c r="J184" s="178">
        <f>H184/DAY(B2)</f>
        <v>7.55</v>
      </c>
    </row>
    <row r="185" spans="1:10" ht="24.75" customHeight="1">
      <c r="A185" s="896" t="s">
        <v>216</v>
      </c>
      <c r="B185" s="89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G186+'19'!H186</f>
        <v>459</v>
      </c>
      <c r="I186" s="157"/>
      <c r="J186" s="178">
        <f>H186/DAY(B2)</f>
        <v>22.95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201</v>
      </c>
      <c r="H187" s="99">
        <f>G187+'19'!H187</f>
        <v>4536</v>
      </c>
      <c r="I187" s="158"/>
      <c r="J187" s="179">
        <f>H187/DAY(B2)</f>
        <v>226.8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228</v>
      </c>
      <c r="H188" s="99">
        <f>G188+'19'!H188</f>
        <v>1355</v>
      </c>
      <c r="I188" s="158"/>
      <c r="J188" s="179">
        <f>H188/DAY(B2)</f>
        <v>67.75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122</v>
      </c>
      <c r="H189" s="99">
        <f>G189+'19'!H189</f>
        <v>214</v>
      </c>
      <c r="I189" s="158"/>
      <c r="J189" s="179">
        <f>H189/DAY(B2)</f>
        <v>10.7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174" sqref="F1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44672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542563.43000000005</v>
      </c>
      <c r="F7" s="95">
        <v>571292.71</v>
      </c>
      <c r="G7" s="112">
        <f>F7-E7</f>
        <v>28729.279999999912</v>
      </c>
      <c r="H7" s="99">
        <f>G7+'20'!H7</f>
        <v>584569.71</v>
      </c>
      <c r="I7" s="113">
        <f>'1'!I7</f>
        <v>12000</v>
      </c>
      <c r="J7" s="175">
        <f>H7/DAY(B2)</f>
        <v>27836.652857142857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625309.06999999995</v>
      </c>
      <c r="F8" s="114">
        <v>654581.99</v>
      </c>
      <c r="G8" s="115">
        <f>F8-E8</f>
        <v>29272.920000000042</v>
      </c>
      <c r="H8" s="99">
        <f>G8+'20'!H8</f>
        <v>596535.77</v>
      </c>
      <c r="I8" s="116"/>
      <c r="J8" s="175">
        <f>H8/DAY(B2)</f>
        <v>28406.465238095239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1659381.51</v>
      </c>
      <c r="F9" s="470">
        <v>1680159.7</v>
      </c>
      <c r="G9" s="112">
        <f>F9-E9</f>
        <v>20778.189999999944</v>
      </c>
      <c r="H9" s="99">
        <f>G9+'20'!H9</f>
        <v>412484.69999999995</v>
      </c>
      <c r="I9" s="124">
        <f>I7-J7</f>
        <v>-15836.652857142857</v>
      </c>
      <c r="J9" s="175">
        <f>H9/DAY(B2)</f>
        <v>19642.12857142857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566988.75</v>
      </c>
      <c r="F10" s="353">
        <v>574152.39</v>
      </c>
      <c r="G10" s="112">
        <f t="shared" ref="G10:G12" si="0">F10-E10</f>
        <v>7163.640000000014</v>
      </c>
      <c r="H10" s="99">
        <f>G10+'20'!H10</f>
        <v>155876.92000000004</v>
      </c>
      <c r="I10" s="282"/>
      <c r="J10" s="175">
        <f>H10/DAY(B2)</f>
        <v>7422.7104761904784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27941.829999999958</v>
      </c>
      <c r="H13" s="99">
        <f>G13+'20'!H13</f>
        <v>568362.09</v>
      </c>
      <c r="I13" s="120">
        <f>G7-G13</f>
        <v>787.44999999995343</v>
      </c>
      <c r="J13" s="175">
        <f>H13/DAY(B2)</f>
        <v>27064.861428571428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1992715.7</v>
      </c>
      <c r="F15" s="470">
        <v>1993852.69</v>
      </c>
      <c r="G15" s="112">
        <f>(F15-E15)</f>
        <v>1136.9899999999907</v>
      </c>
      <c r="H15" s="99">
        <f>G15+'20'!H15</f>
        <v>22915.689999999944</v>
      </c>
      <c r="I15" s="113">
        <f>'1'!I15</f>
        <v>800</v>
      </c>
      <c r="J15" s="175">
        <f>H15/DAY(B2)</f>
        <v>1091.2233333333306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-291.22333333333063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'20'!F18</f>
        <v>27</v>
      </c>
      <c r="F18" s="122">
        <v>23</v>
      </c>
      <c r="G18" s="119">
        <f>F18*10</f>
        <v>230</v>
      </c>
      <c r="H18" s="99">
        <f>G18+'20'!H18</f>
        <v>5210</v>
      </c>
      <c r="I18" s="113">
        <f>'1'!I18</f>
        <v>65</v>
      </c>
      <c r="J18" s="175">
        <f>H18/DAY(B2)</f>
        <v>248.0952380952381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'20'!F19</f>
        <v>157951</v>
      </c>
      <c r="F19" s="122">
        <v>157998</v>
      </c>
      <c r="G19" s="112">
        <f t="shared" ref="G19" si="1">F19-E19</f>
        <v>47</v>
      </c>
      <c r="H19" s="99">
        <f>G19+'20'!H19</f>
        <v>1009</v>
      </c>
      <c r="I19" s="335"/>
      <c r="J19" s="175">
        <f>H19/DAY(B2)</f>
        <v>48.047619047619051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277</v>
      </c>
      <c r="H20" s="99">
        <f>G20+'20'!H20</f>
        <v>6219</v>
      </c>
      <c r="I20" s="336">
        <f>I18-J20</f>
        <v>-231.14285714285717</v>
      </c>
      <c r="J20" s="175">
        <f>H20/DAY(B2)</f>
        <v>296.14285714285717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29272.920000000042</v>
      </c>
      <c r="F27" s="136">
        <v>9</v>
      </c>
      <c r="G27" s="137">
        <f>E27*F27</f>
        <v>263456.28000000038</v>
      </c>
      <c r="H27" s="99">
        <f>G27+'20'!H27</f>
        <v>5368821.9299999997</v>
      </c>
      <c r="I27" s="138"/>
      <c r="J27" s="175">
        <f>H27/DAY(B2)</f>
        <v>255658.18714285712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1136.9899999999907</v>
      </c>
      <c r="F28" s="136">
        <v>70</v>
      </c>
      <c r="G28" s="137">
        <f>E28*F28</f>
        <v>79589.299999999348</v>
      </c>
      <c r="H28" s="99">
        <f>G28+'20'!H28</f>
        <v>1544823.7599999956</v>
      </c>
      <c r="I28" s="140"/>
      <c r="J28" s="175">
        <f>H28/DAY(B2)</f>
        <v>73563.036190475977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G30+'20'!H30</f>
        <v>151689</v>
      </c>
      <c r="I30" s="140"/>
      <c r="J30" s="175">
        <f>H30/DAY(B2)</f>
        <v>7223.2857142857147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G31+'20'!H31</f>
        <v>416800</v>
      </c>
      <c r="I31" s="140"/>
      <c r="J31" s="175">
        <f>H31/DAY(B2)</f>
        <v>19847.619047619046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368542.57999999973</v>
      </c>
      <c r="H32" s="99">
        <f>G32+'20'!H32</f>
        <v>7482134.6899999958</v>
      </c>
      <c r="I32" s="144"/>
      <c r="J32" s="175">
        <f>H32/DAY(B2)</f>
        <v>356292.12809523789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181347.61</v>
      </c>
      <c r="F35" s="145">
        <v>183563.05</v>
      </c>
      <c r="G35" s="112">
        <f t="shared" ref="G35:G46" si="3">F35-E35</f>
        <v>2215.4400000000023</v>
      </c>
      <c r="H35" s="99">
        <f>G35+'20'!H35</f>
        <v>45283.839999999997</v>
      </c>
      <c r="I35" s="95"/>
      <c r="J35" s="175">
        <f>H35/DAY(B2)</f>
        <v>2156.373333333333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120365.81</v>
      </c>
      <c r="F36" s="145">
        <v>121684.03</v>
      </c>
      <c r="G36" s="112">
        <f t="shared" si="3"/>
        <v>1318.2200000000012</v>
      </c>
      <c r="H36" s="99">
        <f>G36+'20'!H36</f>
        <v>21163.369999999995</v>
      </c>
      <c r="I36" s="95"/>
      <c r="J36" s="175">
        <f>H36/DAY(B2)</f>
        <v>1007.7795238095235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165526.17000000001</v>
      </c>
      <c r="F37" s="419">
        <v>167278.12</v>
      </c>
      <c r="G37" s="112">
        <f t="shared" si="3"/>
        <v>1751.9499999999825</v>
      </c>
      <c r="H37" s="99">
        <f>G37+'20'!H37</f>
        <v>34353.100000000006</v>
      </c>
      <c r="I37" s="95"/>
      <c r="J37" s="175">
        <f>H37/DAY(B2)</f>
        <v>1635.861904761905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219298.91</v>
      </c>
      <c r="F38" s="108">
        <v>221775.69</v>
      </c>
      <c r="G38" s="112">
        <f t="shared" si="3"/>
        <v>2476.7799999999988</v>
      </c>
      <c r="H38" s="99">
        <f>G38+'20'!H38</f>
        <v>51666.320000000007</v>
      </c>
      <c r="I38" s="95"/>
      <c r="J38" s="175">
        <f>H38/DAY(B2)</f>
        <v>2460.3009523809528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309830.37</v>
      </c>
      <c r="F39" s="419">
        <v>313011.75</v>
      </c>
      <c r="G39" s="112">
        <f t="shared" si="3"/>
        <v>3181.3800000000047</v>
      </c>
      <c r="H39" s="99">
        <f>G39+'20'!H39</f>
        <v>68858.320000000007</v>
      </c>
      <c r="I39" s="95"/>
      <c r="J39" s="175">
        <f>H39/DAY(B2)</f>
        <v>3278.9676190476193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58143.3</v>
      </c>
      <c r="F40" s="145">
        <v>58682.86</v>
      </c>
      <c r="G40" s="112">
        <f t="shared" si="3"/>
        <v>539.55999999999767</v>
      </c>
      <c r="H40" s="99">
        <f>G40+'20'!H40</f>
        <v>9531</v>
      </c>
      <c r="I40" s="95"/>
      <c r="J40" s="175">
        <f>H40/DAY(B2)</f>
        <v>453.85714285714283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371742.59</v>
      </c>
      <c r="F42" s="145">
        <v>376863.31</v>
      </c>
      <c r="G42" s="112">
        <f t="shared" si="3"/>
        <v>5120.7199999999721</v>
      </c>
      <c r="H42" s="99">
        <f>G42+'20'!H42</f>
        <v>95506.06</v>
      </c>
      <c r="I42" s="95"/>
      <c r="J42" s="175">
        <f>H42/DAY(B2)</f>
        <v>4547.9076190476189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322925.65000000002</v>
      </c>
      <c r="F43" s="145">
        <v>326374.27</v>
      </c>
      <c r="G43" s="112">
        <f t="shared" si="3"/>
        <v>3448.6199999999953</v>
      </c>
      <c r="H43" s="99">
        <f>G43+'20'!H43</f>
        <v>67619.800000000017</v>
      </c>
      <c r="I43" s="95"/>
      <c r="J43" s="175">
        <f>H43/DAY(B2)</f>
        <v>3219.9904761904772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20052.669999999955</v>
      </c>
      <c r="H47" s="99">
        <f>G47+'20'!H47</f>
        <v>393981.80999999994</v>
      </c>
      <c r="I47" s="95"/>
      <c r="J47" s="175">
        <f>H47/DAY(B2)</f>
        <v>18761.038571428569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146974.85</v>
      </c>
      <c r="F49" s="145">
        <v>148801.03</v>
      </c>
      <c r="G49" s="112">
        <f t="shared" ref="G49:G58" si="4">F49-E49</f>
        <v>1826.179999999993</v>
      </c>
      <c r="H49" s="99">
        <f>G49+'20'!H49</f>
        <v>38298.83</v>
      </c>
      <c r="I49" s="95"/>
      <c r="J49" s="175">
        <f>H49/DAY(B2)</f>
        <v>1823.7538095238097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158829.42000000001</v>
      </c>
      <c r="F50" s="145">
        <v>160550.15</v>
      </c>
      <c r="G50" s="112">
        <f t="shared" si="4"/>
        <v>1720.7299999999814</v>
      </c>
      <c r="H50" s="99">
        <f>G50+'20'!H50</f>
        <v>29340.00999999998</v>
      </c>
      <c r="I50" s="95"/>
      <c r="J50" s="175">
        <f>H50/DAY(B2)</f>
        <v>1397.1433333333323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45358.77</v>
      </c>
      <c r="F54" s="145">
        <v>45831.34</v>
      </c>
      <c r="G54" s="112">
        <f t="shared" si="4"/>
        <v>472.56999999999971</v>
      </c>
      <c r="H54" s="99">
        <f>G54+'20'!H54</f>
        <v>10160.279999999999</v>
      </c>
      <c r="I54" s="95"/>
      <c r="J54" s="175">
        <f>H54/DAY(B2)</f>
        <v>483.82285714285706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133680.10999999999</v>
      </c>
      <c r="F55" s="145">
        <v>136237.81</v>
      </c>
      <c r="G55" s="112">
        <f t="shared" si="4"/>
        <v>2557.7000000000116</v>
      </c>
      <c r="H55" s="99">
        <f>G55+'20'!H55</f>
        <v>23756.78</v>
      </c>
      <c r="I55" s="95"/>
      <c r="J55" s="175">
        <f>H55/DAY(B2)</f>
        <v>1131.2752380952381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107245.66</v>
      </c>
      <c r="F56" s="419">
        <v>107245.66</v>
      </c>
      <c r="G56" s="112">
        <f t="shared" si="4"/>
        <v>0</v>
      </c>
      <c r="H56" s="99">
        <f>G56+'20'!H56</f>
        <v>35627.98000000001</v>
      </c>
      <c r="I56" s="95"/>
      <c r="J56" s="175">
        <f>H56/DAY(B2)</f>
        <v>1696.5704761904767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23181.5</v>
      </c>
      <c r="F58" s="145">
        <v>23420.38</v>
      </c>
      <c r="G58" s="112">
        <f t="shared" si="4"/>
        <v>238.88000000000102</v>
      </c>
      <c r="H58" s="99">
        <f>G58+'20'!H58</f>
        <v>4966.18</v>
      </c>
      <c r="I58" s="95"/>
      <c r="J58" s="175">
        <f>H58/DAY(B2)</f>
        <v>236.48476190476191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6816.0599999999868</v>
      </c>
      <c r="H59" s="99">
        <f>G59+'20'!H59</f>
        <v>142150.13999999998</v>
      </c>
      <c r="I59" s="95">
        <f>G7-G60</f>
        <v>1860.5499999999702</v>
      </c>
      <c r="J59" s="175">
        <f>H59/DAY(B2)</f>
        <v>6769.0542857142846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26868.729999999941</v>
      </c>
      <c r="H60" s="99">
        <f>G60+'20'!H60</f>
        <v>536131.94999999995</v>
      </c>
      <c r="I60" s="95">
        <f>G13-G60</f>
        <v>1073.1000000000167</v>
      </c>
      <c r="J60" s="175">
        <f>H60/DAY(B2)</f>
        <v>25530.092857142856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'20'!F62</f>
        <v>282200</v>
      </c>
      <c r="F62" s="122">
        <v>282394</v>
      </c>
      <c r="G62" s="112">
        <f t="shared" ref="G62:G63" si="5">F62-E62</f>
        <v>194</v>
      </c>
      <c r="H62" s="99">
        <f>G62+'20'!H62</f>
        <v>3768</v>
      </c>
      <c r="I62" s="118"/>
      <c r="J62" s="175">
        <f>H62/DAY(B2)</f>
        <v>179.42857142857142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'20'!F63</f>
        <v>226097</v>
      </c>
      <c r="F63" s="150">
        <v>226280</v>
      </c>
      <c r="G63" s="112">
        <f t="shared" si="5"/>
        <v>183</v>
      </c>
      <c r="H63" s="99">
        <f>G63+'20'!H63</f>
        <v>3199</v>
      </c>
      <c r="I63" s="118"/>
      <c r="J63" s="175">
        <f>H63/DAY(B2)</f>
        <v>152.33333333333334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'20'!F64</f>
        <v>0</v>
      </c>
      <c r="F64" s="122"/>
      <c r="G64" s="112">
        <f>G62+G63</f>
        <v>377</v>
      </c>
      <c r="H64" s="99">
        <f>G64+'20'!H64</f>
        <v>6967</v>
      </c>
      <c r="I64" s="118"/>
      <c r="J64" s="175">
        <f>H64/DAY(B2)</f>
        <v>331.76190476190476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'20'!F65</f>
        <v>443399</v>
      </c>
      <c r="F65" s="122">
        <v>443523</v>
      </c>
      <c r="G65" s="112">
        <f t="shared" ref="G65:G70" si="6">F65-E65</f>
        <v>124</v>
      </c>
      <c r="H65" s="99">
        <f>G65+'20'!H65</f>
        <v>2392</v>
      </c>
      <c r="I65" s="118"/>
      <c r="J65" s="175">
        <f>H65/DAY(B2)</f>
        <v>113.9047619047619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109412</v>
      </c>
      <c r="F66" s="122">
        <v>109429</v>
      </c>
      <c r="G66" s="112">
        <f t="shared" si="6"/>
        <v>17</v>
      </c>
      <c r="H66" s="99">
        <f>G66+'20'!H66</f>
        <v>359</v>
      </c>
      <c r="I66" s="118"/>
      <c r="J66" s="175">
        <f>H66/DAY(B2)</f>
        <v>17.095238095238095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110098</v>
      </c>
      <c r="F67" s="122">
        <v>110176</v>
      </c>
      <c r="G67" s="112">
        <f t="shared" si="6"/>
        <v>78</v>
      </c>
      <c r="H67" s="99">
        <f>G67+'20'!H67</f>
        <v>1583</v>
      </c>
      <c r="I67" s="118"/>
      <c r="J67" s="175">
        <f>H67/DAY(B2)</f>
        <v>75.38095238095238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161238</v>
      </c>
      <c r="F68" s="122">
        <v>161333</v>
      </c>
      <c r="G68" s="112">
        <f t="shared" si="6"/>
        <v>95</v>
      </c>
      <c r="H68" s="99">
        <f>G68+'20'!H68</f>
        <v>924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11456</v>
      </c>
      <c r="F69" s="122">
        <v>11471</v>
      </c>
      <c r="G69" s="112">
        <f t="shared" si="6"/>
        <v>15</v>
      </c>
      <c r="H69" s="99">
        <f>G69+'20'!H69</f>
        <v>270</v>
      </c>
      <c r="I69" s="118"/>
      <c r="J69" s="175">
        <f>H69/DAY(B2)</f>
        <v>12.857142857142858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8914</v>
      </c>
      <c r="F70" s="122">
        <v>8922</v>
      </c>
      <c r="G70" s="112">
        <f t="shared" si="6"/>
        <v>8</v>
      </c>
      <c r="H70" s="99">
        <f>G70+'20'!H70</f>
        <v>194</v>
      </c>
      <c r="I70" s="118"/>
      <c r="J70" s="175">
        <f>H70/DAY(B2)</f>
        <v>9.2380952380952372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337</v>
      </c>
      <c r="H71" s="99">
        <f>G71+'20'!H71</f>
        <v>5722</v>
      </c>
      <c r="I71" s="154"/>
      <c r="J71" s="175">
        <f>H71/DAY(B2)</f>
        <v>272.47619047619048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'20'!F74</f>
        <v>925605.12</v>
      </c>
      <c r="F74" s="123">
        <v>925916.48</v>
      </c>
      <c r="G74" s="112">
        <f t="shared" ref="G74:G78" si="7">F74-E74</f>
        <v>311.35999999998603</v>
      </c>
      <c r="H74" s="99">
        <f>G74+'20'!H74</f>
        <v>6591.9699999999721</v>
      </c>
      <c r="I74" s="154"/>
      <c r="J74" s="175">
        <f>H74/DAY(B2)</f>
        <v>313.903333333332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'20'!F76</f>
        <v>178924.58</v>
      </c>
      <c r="F76" s="123">
        <v>179048.82</v>
      </c>
      <c r="G76" s="112">
        <f t="shared" si="7"/>
        <v>124.24000000001979</v>
      </c>
      <c r="H76" s="99">
        <f>G76+'20'!H76</f>
        <v>2461.820000000007</v>
      </c>
      <c r="I76" s="154"/>
      <c r="J76" s="175">
        <f>H76/DAY(B2)</f>
        <v>117.22952380952414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'20'!F77</f>
        <v>45161.5</v>
      </c>
      <c r="F77" s="123">
        <v>45203.9</v>
      </c>
      <c r="G77" s="112">
        <f t="shared" si="7"/>
        <v>42.400000000001455</v>
      </c>
      <c r="H77" s="99">
        <f>G77+'20'!H77</f>
        <v>1040.9000000000015</v>
      </c>
      <c r="I77" s="154"/>
      <c r="J77" s="175">
        <f>H77/DAY(B2)</f>
        <v>49.566666666666734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1</v>
      </c>
      <c r="I78" s="118"/>
      <c r="J78" s="175">
        <f>H78/DAY(B2)</f>
        <v>4.7619047619047616E-2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'20'!F79</f>
        <v>0</v>
      </c>
      <c r="F79" s="123"/>
      <c r="G79" s="112">
        <f>G15-SUM(G74:G78)</f>
        <v>658.98999999998341</v>
      </c>
      <c r="H79" s="99">
        <f>G79+'20'!H79</f>
        <v>12819.999999999964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1136.9899999999907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0.40000000000145519</v>
      </c>
      <c r="I84" s="594"/>
      <c r="J84" s="175">
        <f>H84/DAY(B2)</f>
        <v>1.9047619047688341E-2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3550.21</v>
      </c>
      <c r="F85" s="164">
        <v>3574.21</v>
      </c>
      <c r="G85" s="112">
        <f t="shared" si="8"/>
        <v>24</v>
      </c>
      <c r="H85" s="99">
        <f>G85+'20'!H85</f>
        <v>415.71000000000004</v>
      </c>
      <c r="I85" s="594"/>
      <c r="J85" s="175">
        <f>H85/DAY(B2)</f>
        <v>19.795714285714286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43865.24</v>
      </c>
      <c r="F86" s="164">
        <v>43883.17</v>
      </c>
      <c r="G86" s="112">
        <f t="shared" si="8"/>
        <v>17.930000000000291</v>
      </c>
      <c r="H86" s="99">
        <f>G86+'20'!H86</f>
        <v>162.7699999999968</v>
      </c>
      <c r="I86" s="594"/>
      <c r="J86" s="175">
        <f>H86/DAY(B2)</f>
        <v>7.7509523809522287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35329.06</v>
      </c>
      <c r="F87" s="164">
        <v>35329.06</v>
      </c>
      <c r="G87" s="112">
        <f t="shared" si="8"/>
        <v>0</v>
      </c>
      <c r="H87" s="99">
        <f>G87+'20'!H87</f>
        <v>248.70999999999913</v>
      </c>
      <c r="I87" s="594">
        <f>G84+G85+G86+G87</f>
        <v>41.840000000003783</v>
      </c>
      <c r="J87" s="175">
        <f>H87/DAY(B2)</f>
        <v>11.843333333333291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24175</v>
      </c>
      <c r="F88" s="164">
        <v>24174.69</v>
      </c>
      <c r="G88" s="112">
        <f t="shared" si="8"/>
        <v>-0.31000000000130967</v>
      </c>
      <c r="H88" s="99">
        <f>G88+'20'!H88</f>
        <v>65.289999999997235</v>
      </c>
      <c r="I88" s="594"/>
      <c r="J88" s="175">
        <f>H88/DAY(B2)</f>
        <v>3.1090476190474874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26621.19</v>
      </c>
      <c r="F89" s="164">
        <v>26631.119999999999</v>
      </c>
      <c r="G89" s="112">
        <f t="shared" si="8"/>
        <v>9.930000000000291</v>
      </c>
      <c r="H89" s="99">
        <f>G89+'20'!H89</f>
        <v>159.32999999999811</v>
      </c>
      <c r="I89" s="594">
        <f>G88+G89</f>
        <v>9.6199999999989814</v>
      </c>
      <c r="J89" s="175">
        <f>H89/DAY(B2)</f>
        <v>7.5871428571427675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71765.490000000005</v>
      </c>
      <c r="F90" s="164">
        <v>71778.009999999995</v>
      </c>
      <c r="G90" s="112">
        <f t="shared" si="8"/>
        <v>12.519999999989523</v>
      </c>
      <c r="H90" s="99">
        <f>G90+'20'!H90</f>
        <v>204.89999999999418</v>
      </c>
      <c r="I90" s="594">
        <f>G90</f>
        <v>12.519999999989523</v>
      </c>
      <c r="J90" s="175">
        <f>H90/DAY(B2)</f>
        <v>9.7571428571425791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3942.69</v>
      </c>
      <c r="F91" s="122">
        <v>3954.12</v>
      </c>
      <c r="G91" s="112">
        <f t="shared" si="8"/>
        <v>11.429999999999836</v>
      </c>
      <c r="H91" s="99">
        <f>G91+'20'!H91</f>
        <v>44.369999999999891</v>
      </c>
      <c r="I91" s="688"/>
      <c r="J91" s="175">
        <f>H91/DAY(B2)</f>
        <v>2.1128571428571377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5934.87</v>
      </c>
      <c r="F92" s="122">
        <v>5934.87</v>
      </c>
      <c r="G92" s="112">
        <f t="shared" si="8"/>
        <v>0</v>
      </c>
      <c r="H92" s="99">
        <f>G92+'20'!H92</f>
        <v>187.56999999999971</v>
      </c>
      <c r="I92" s="705">
        <f>G91+G92</f>
        <v>11.429999999999836</v>
      </c>
      <c r="J92" s="175">
        <f>H92/DAY(B2)</f>
        <v>8.9319047619047485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7490.2399999999907</v>
      </c>
      <c r="H94" s="99">
        <f>G94+'20'!H94</f>
        <v>151202.47</v>
      </c>
      <c r="I94" s="118"/>
      <c r="J94" s="175">
        <f>H94/DAY(B2)</f>
        <v>7200.117619047619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0.26071798527495343</v>
      </c>
      <c r="H95" s="99">
        <f>G95+'20'!H95</f>
        <v>5.4338125088530198</v>
      </c>
      <c r="I95" s="167"/>
      <c r="J95" s="175">
        <f>H95/DAY(B2)</f>
        <v>0.25875297661204855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7678.4199999999837</v>
      </c>
      <c r="H96" s="99">
        <f>G96+'20'!H96</f>
        <v>154890.82</v>
      </c>
      <c r="I96" s="118"/>
      <c r="J96" s="175">
        <f>H96/DAY(B2)</f>
        <v>7375.753333333334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0.26726809721649852</v>
      </c>
      <c r="H97" s="99">
        <f>G97+'20'!H97</f>
        <v>5.5560991921927068</v>
      </c>
      <c r="I97" s="167"/>
      <c r="J97" s="175">
        <f>H97/DAY(B2)</f>
        <v>0.2645761520091765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3181.3800000000047</v>
      </c>
      <c r="H98" s="99">
        <f>G98+'20'!H98</f>
        <v>68858.320000000007</v>
      </c>
      <c r="I98" s="168"/>
      <c r="J98" s="175">
        <f>H98/DAY(B2)</f>
        <v>3278.9676190476193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0.11073650296840068</v>
      </c>
      <c r="H99" s="99">
        <f>G99+'20'!H99</f>
        <v>2.4775647429158867</v>
      </c>
      <c r="I99" s="168"/>
      <c r="J99" s="175">
        <f>H99/DAY(B2)</f>
        <v>0.11797927347218508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2476.7799999999988</v>
      </c>
      <c r="H100" s="99">
        <f>G100+'20'!H100</f>
        <v>51666.080000000009</v>
      </c>
      <c r="I100" s="118"/>
      <c r="J100" s="175">
        <f>H100/DAY(B2)</f>
        <v>2460.2895238095243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8.6211001459138778E-2</v>
      </c>
      <c r="H101" s="99">
        <f>G101+'20'!H101</f>
        <v>1.8585476296942549</v>
      </c>
      <c r="I101" s="168"/>
      <c r="J101" s="175">
        <f>H101/DAY(B2)</f>
        <v>8.8502268080678806E-2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3038.9499999999825</v>
      </c>
      <c r="H102" s="99">
        <f>G102+'20'!H102</f>
        <v>50503.379999999976</v>
      </c>
      <c r="I102" s="168"/>
      <c r="J102" s="175">
        <f>H102/DAY(B2)</f>
        <v>2404.9228571428562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0.10577884304792852</v>
      </c>
      <c r="H103" s="99">
        <f>G103+'20'!H103</f>
        <v>1.8122047067133875</v>
      </c>
      <c r="I103" s="118"/>
      <c r="J103" s="175">
        <f>H103/DAY(B2)</f>
        <v>8.629546222444702E-2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1751.9499999999825</v>
      </c>
      <c r="H104" s="99">
        <f>G104+'20'!H104</f>
        <v>34353.420000000006</v>
      </c>
      <c r="I104" s="118"/>
      <c r="J104" s="175">
        <f>H104/DAY(B2)</f>
        <v>1635.8771428571431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6.0981340291158981E-2</v>
      </c>
      <c r="H105" s="99">
        <f>G105+'20'!H105</f>
        <v>1.2351914868398821</v>
      </c>
      <c r="I105" s="187"/>
      <c r="J105" s="188">
        <f>H105/DAY(B2)</f>
        <v>5.8818642230470577E-2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'20'!F112</f>
        <v>63757.96</v>
      </c>
      <c r="F112" s="237">
        <v>63839.1</v>
      </c>
      <c r="G112" s="112">
        <f t="shared" ref="G112:G123" si="9">F112-E112</f>
        <v>81.139999999999418</v>
      </c>
      <c r="H112" s="99">
        <f>G112+'20'!H112</f>
        <v>1695.5699999999997</v>
      </c>
      <c r="I112" s="165"/>
      <c r="J112" s="328">
        <f>H112/DAY(B2)</f>
        <v>80.741428571428557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'20'!F113</f>
        <v>84194.39</v>
      </c>
      <c r="F113" s="469">
        <v>84692.31</v>
      </c>
      <c r="G113" s="112">
        <f t="shared" si="9"/>
        <v>497.91999999999825</v>
      </c>
      <c r="H113" s="99">
        <f>G113+'20'!H113</f>
        <v>10436.709999999992</v>
      </c>
      <c r="I113" s="165"/>
      <c r="J113" s="328">
        <f>H113/DAY(B2)</f>
        <v>496.98619047619007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'20'!F114</f>
        <v>55845.11</v>
      </c>
      <c r="F114" s="237">
        <v>56105.16</v>
      </c>
      <c r="G114" s="112">
        <f t="shared" si="9"/>
        <v>260.05000000000291</v>
      </c>
      <c r="H114" s="99">
        <f>G114+'20'!H114</f>
        <v>5842.1600000000035</v>
      </c>
      <c r="I114" s="165"/>
      <c r="J114" s="328">
        <f>H114/DAY(B2)</f>
        <v>278.19809523809539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'20'!F115</f>
        <v>10272.549999999999</v>
      </c>
      <c r="F115" s="237">
        <v>10287.36</v>
      </c>
      <c r="G115" s="112">
        <f t="shared" si="9"/>
        <v>14.81000000000131</v>
      </c>
      <c r="H115" s="99">
        <f>G115+'20'!H115</f>
        <v>458.85000000000036</v>
      </c>
      <c r="I115" s="165"/>
      <c r="J115" s="328">
        <f>H115/DAY(B2)</f>
        <v>21.850000000000016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'20'!F116</f>
        <v>31330.27</v>
      </c>
      <c r="F116" s="237">
        <v>31691.87</v>
      </c>
      <c r="G116" s="112">
        <f t="shared" si="9"/>
        <v>361.59999999999854</v>
      </c>
      <c r="H116" s="99">
        <f>G116+'20'!H116</f>
        <v>8907.25</v>
      </c>
      <c r="I116" s="165"/>
      <c r="J116" s="328">
        <f>H116/DAY(B2)</f>
        <v>424.15476190476193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'20'!F117</f>
        <v>17395.89</v>
      </c>
      <c r="F117" s="237">
        <v>17596.240000000002</v>
      </c>
      <c r="G117" s="112">
        <f t="shared" si="9"/>
        <v>200.35000000000218</v>
      </c>
      <c r="H117" s="99">
        <f>G117+'20'!H117</f>
        <v>3983.0670000000009</v>
      </c>
      <c r="I117" s="165"/>
      <c r="J117" s="328">
        <f>H117/DAY(B2)</f>
        <v>189.66985714285718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'20'!F118</f>
        <v>3656.23</v>
      </c>
      <c r="F118" s="237">
        <v>4199.13</v>
      </c>
      <c r="G118" s="112">
        <f t="shared" si="9"/>
        <v>542.90000000000009</v>
      </c>
      <c r="H118" s="99">
        <f>G118+'20'!H118</f>
        <v>11147.160000000027</v>
      </c>
      <c r="I118" s="165"/>
      <c r="J118" s="328">
        <f>H118/DAY(B2)</f>
        <v>530.81714285714418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'20'!F119</f>
        <v>1397.43</v>
      </c>
      <c r="F119" s="237">
        <v>1844.44</v>
      </c>
      <c r="G119" s="112">
        <f t="shared" si="9"/>
        <v>447.01</v>
      </c>
      <c r="H119" s="99">
        <f>G119+'20'!H119</f>
        <v>9165.0499999999865</v>
      </c>
      <c r="I119" s="165"/>
      <c r="J119" s="328">
        <f>H119/DAY(B2)</f>
        <v>436.43095238095174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'20'!F120</f>
        <v>2883.04</v>
      </c>
      <c r="F120" s="469">
        <v>3279.66</v>
      </c>
      <c r="G120" s="112">
        <f t="shared" si="9"/>
        <v>396.61999999999989</v>
      </c>
      <c r="H120" s="99">
        <f>G120+'20'!H120</f>
        <v>8625.9000000000051</v>
      </c>
      <c r="I120" s="165"/>
      <c r="J120" s="328">
        <f>H120/DAY(B2)</f>
        <v>410.75714285714309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'20'!F121</f>
        <v>5645.5</v>
      </c>
      <c r="F121" s="237">
        <v>6395.39</v>
      </c>
      <c r="G121" s="112">
        <f t="shared" si="9"/>
        <v>749.89000000000033</v>
      </c>
      <c r="H121" s="99">
        <f>G121+'20'!H121</f>
        <v>16800.119999999981</v>
      </c>
      <c r="I121" s="165"/>
      <c r="J121" s="328">
        <f>H121/DAY(B2)</f>
        <v>800.00571428571334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'20'!F122</f>
        <v>1451.31</v>
      </c>
      <c r="F122" s="237">
        <v>1639.02</v>
      </c>
      <c r="G122" s="112">
        <f t="shared" si="9"/>
        <v>187.71000000000004</v>
      </c>
      <c r="H122" s="99">
        <f>G122+'20'!H122</f>
        <v>4455.8799999999856</v>
      </c>
      <c r="I122" s="165"/>
      <c r="J122" s="328">
        <f>H122/DAY(B2)</f>
        <v>212.18476190476122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'20'!F123</f>
        <v>174552.17</v>
      </c>
      <c r="F123" s="237">
        <v>174799.31</v>
      </c>
      <c r="G123" s="112">
        <f t="shared" si="9"/>
        <v>247.13999999998487</v>
      </c>
      <c r="H123" s="99">
        <f>G123+'20'!H123</f>
        <v>5357.3099999999977</v>
      </c>
      <c r="I123" s="165"/>
      <c r="J123" s="328">
        <f>H123/DAY(B2)</f>
        <v>255.1099999999999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3987.1399999999876</v>
      </c>
      <c r="H125" s="156"/>
      <c r="I125" s="327">
        <f>G125-(G39+G53)</f>
        <v>805.75999999998294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'20'!F128</f>
        <v>77480.639999999999</v>
      </c>
      <c r="F128" s="165">
        <v>77930.05</v>
      </c>
      <c r="G128" s="112">
        <f t="shared" ref="G128:G134" si="10">F128-E128</f>
        <v>449.41000000000349</v>
      </c>
      <c r="H128" s="99">
        <f>G128+'20'!H128</f>
        <v>9013.8099999999977</v>
      </c>
      <c r="I128" s="165"/>
      <c r="J128" s="328">
        <f>H128/DAY(B2)</f>
        <v>429.22904761904749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48182.19</v>
      </c>
      <c r="F129" s="165">
        <v>48434.38</v>
      </c>
      <c r="G129" s="112">
        <f t="shared" si="10"/>
        <v>252.18999999999505</v>
      </c>
      <c r="H129" s="99">
        <f>G129+'20'!H129</f>
        <v>6323.3299999999945</v>
      </c>
      <c r="I129" s="165"/>
      <c r="J129" s="328">
        <f>H129/DAY(B2)</f>
        <v>301.11095238095214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89575.15</v>
      </c>
      <c r="F130" s="466">
        <v>90323.9</v>
      </c>
      <c r="G130" s="112">
        <f t="shared" si="10"/>
        <v>748.75</v>
      </c>
      <c r="H130" s="99">
        <f>G130+'20'!H130</f>
        <v>14661.949999999997</v>
      </c>
      <c r="I130" s="165"/>
      <c r="J130" s="328">
        <f>H130/DAY(B2)</f>
        <v>698.18809523809512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'20'!F131</f>
        <v>28326.42</v>
      </c>
      <c r="F131" s="165">
        <v>28539.47</v>
      </c>
      <c r="G131" s="112">
        <f t="shared" si="10"/>
        <v>213.05000000000291</v>
      </c>
      <c r="H131" s="99">
        <f>G131+'20'!H131</f>
        <v>4106.9700000000012</v>
      </c>
      <c r="I131" s="165"/>
      <c r="J131" s="328">
        <f>H131/DAY(B2)</f>
        <v>195.57000000000005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'20'!F132</f>
        <v>84398.31</v>
      </c>
      <c r="F132" s="165">
        <v>84842.31</v>
      </c>
      <c r="G132" s="112">
        <f t="shared" si="10"/>
        <v>444</v>
      </c>
      <c r="H132" s="99">
        <f>G132+'20'!H132</f>
        <v>9174.8099999999977</v>
      </c>
      <c r="I132" s="165"/>
      <c r="J132" s="328">
        <f>H132/DAY(B2)</f>
        <v>436.89571428571418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'20'!F133</f>
        <v>163436.18</v>
      </c>
      <c r="F133" s="165">
        <v>164392.59</v>
      </c>
      <c r="G133" s="112">
        <f t="shared" si="10"/>
        <v>956.41000000000349</v>
      </c>
      <c r="H133" s="99">
        <f>G133+'20'!H133</f>
        <v>19010.600000000006</v>
      </c>
      <c r="I133" s="165"/>
      <c r="J133" s="328">
        <f>H133/DAY(B2)</f>
        <v>905.26666666666699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'20'!F134</f>
        <v>25623.87</v>
      </c>
      <c r="F134" s="165">
        <v>25862.23</v>
      </c>
      <c r="G134" s="112">
        <f t="shared" si="10"/>
        <v>238.36000000000058</v>
      </c>
      <c r="H134" s="99">
        <f>G134+'20'!H134</f>
        <v>5069.5499999999993</v>
      </c>
      <c r="I134" s="165"/>
      <c r="J134" s="328">
        <f>H134/DAY(B2)</f>
        <v>241.40714285714282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3302.1700000000055</v>
      </c>
      <c r="H135" s="99">
        <f>G135+'10'!H135</f>
        <v>35011.01999999999</v>
      </c>
      <c r="I135" s="327">
        <f>G135-(G35+G49)</f>
        <v>-739.44999999998981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'20'!F138</f>
        <v>877233</v>
      </c>
      <c r="F138" s="147">
        <v>877372</v>
      </c>
      <c r="G138" s="112">
        <f t="shared" ref="G138:G152" si="11">F138-E138</f>
        <v>139</v>
      </c>
      <c r="H138" s="99">
        <f>G138+'20'!H138</f>
        <v>3371</v>
      </c>
      <c r="I138" s="118"/>
      <c r="J138" s="328">
        <f>H138/DAY(B2)</f>
        <v>160.52380952380952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'20'!F139</f>
        <v>893322</v>
      </c>
      <c r="F139" s="148">
        <v>893513</v>
      </c>
      <c r="G139" s="112">
        <f t="shared" si="11"/>
        <v>191</v>
      </c>
      <c r="H139" s="99">
        <f>G139+'20'!H139</f>
        <v>3195</v>
      </c>
      <c r="I139" s="118"/>
      <c r="J139" s="328">
        <f>H139/DAY(B2)</f>
        <v>152.14285714285714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'20'!F140</f>
        <v>89025</v>
      </c>
      <c r="F140" s="149">
        <v>89028.9</v>
      </c>
      <c r="G140" s="112">
        <f t="shared" si="11"/>
        <v>3.8999999999941792</v>
      </c>
      <c r="H140" s="99">
        <f>G140+'20'!H140</f>
        <v>38.899999999994179</v>
      </c>
      <c r="I140" s="118"/>
      <c r="J140" s="328">
        <f>H140/DAY(B2)</f>
        <v>1.8523809523806751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'20'!F141</f>
        <v>69718.19</v>
      </c>
      <c r="F141" s="149">
        <v>69920.38</v>
      </c>
      <c r="G141" s="112">
        <f t="shared" si="11"/>
        <v>202.19000000000233</v>
      </c>
      <c r="H141" s="99">
        <f>G141+'20'!H141</f>
        <v>4136.8500000000058</v>
      </c>
      <c r="I141" s="118"/>
      <c r="J141" s="328">
        <f>H141/DAY(B2)</f>
        <v>196.99285714285742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'20'!F142</f>
        <v>26806.93</v>
      </c>
      <c r="F142" s="148">
        <v>26864.31</v>
      </c>
      <c r="G142" s="112">
        <f t="shared" si="11"/>
        <v>57.380000000001019</v>
      </c>
      <c r="H142" s="99">
        <f>G142+'20'!H142</f>
        <v>1367.9099999999999</v>
      </c>
      <c r="I142" s="140"/>
      <c r="J142" s="328">
        <f>H142/DAY(B2)</f>
        <v>65.138571428571424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'20'!F143</f>
        <v>6118.28</v>
      </c>
      <c r="F143" s="149">
        <v>6151.29</v>
      </c>
      <c r="G143" s="112">
        <f t="shared" si="11"/>
        <v>33.010000000000218</v>
      </c>
      <c r="H143" s="99">
        <f>G143+'20'!H143</f>
        <v>590.57999999999993</v>
      </c>
      <c r="I143" s="140"/>
      <c r="J143" s="328">
        <f>H143/DAY(B2)</f>
        <v>28.122857142857139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'20'!F144</f>
        <v>894868</v>
      </c>
      <c r="F144" s="147">
        <v>895100</v>
      </c>
      <c r="G144" s="112">
        <f t="shared" si="11"/>
        <v>232</v>
      </c>
      <c r="H144" s="99">
        <f>G144+'20'!H144</f>
        <v>5266</v>
      </c>
      <c r="I144" s="140"/>
      <c r="J144" s="328">
        <f>H144/DAY(B2)</f>
        <v>250.76190476190476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'20'!F145</f>
        <v>5603.8</v>
      </c>
      <c r="F145" s="147">
        <v>5606.6</v>
      </c>
      <c r="G145" s="112">
        <f t="shared" si="11"/>
        <v>2.8000000000001819</v>
      </c>
      <c r="H145" s="99">
        <f>G145+'20'!H145</f>
        <v>50.200000000000728</v>
      </c>
      <c r="I145" s="140"/>
      <c r="J145" s="328">
        <f>H145/DAY(B2)</f>
        <v>2.3904761904762251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'20'!F146</f>
        <v>774241</v>
      </c>
      <c r="F146" s="148">
        <v>774667</v>
      </c>
      <c r="G146" s="112">
        <f t="shared" si="11"/>
        <v>426</v>
      </c>
      <c r="H146" s="99">
        <f>G146+'20'!H146</f>
        <v>10341</v>
      </c>
      <c r="I146" s="140"/>
      <c r="J146" s="328">
        <f>H146/DAY(B2)</f>
        <v>492.42857142857144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'20'!F147</f>
        <v>658902.28</v>
      </c>
      <c r="F147" s="148">
        <v>659367.96</v>
      </c>
      <c r="G147" s="112">
        <f t="shared" si="11"/>
        <v>465.67999999993481</v>
      </c>
      <c r="H147" s="99">
        <f>G147+'20'!H147</f>
        <v>9183.9599999999627</v>
      </c>
      <c r="I147" s="140"/>
      <c r="J147" s="328">
        <f>H147/DAY(B2)</f>
        <v>437.33142857142678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'20'!F148</f>
        <v>716062.48</v>
      </c>
      <c r="F148" s="150">
        <v>716493.44</v>
      </c>
      <c r="G148" s="112">
        <f t="shared" si="11"/>
        <v>430.95999999996275</v>
      </c>
      <c r="H148" s="99">
        <f>G148+'20'!H148</f>
        <v>7628.7599999998929</v>
      </c>
      <c r="I148" s="124"/>
      <c r="J148" s="328">
        <f>H148/DAY(B2)</f>
        <v>363.27428571428061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'20'!F149</f>
        <v>76575.539999999994</v>
      </c>
      <c r="F149" s="146">
        <v>77328.100000000006</v>
      </c>
      <c r="G149" s="112">
        <f t="shared" si="11"/>
        <v>752.56000000001222</v>
      </c>
      <c r="H149" s="99">
        <f>G149+'20'!H149</f>
        <v>14104.300000000003</v>
      </c>
      <c r="I149" s="119"/>
      <c r="J149" s="328">
        <f>H149/DAY(B2)</f>
        <v>671.63333333333344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'20'!F150</f>
        <v>28459.07</v>
      </c>
      <c r="F150" s="233">
        <v>28671.35</v>
      </c>
      <c r="G150" s="112">
        <f t="shared" si="11"/>
        <v>212.27999999999884</v>
      </c>
      <c r="H150" s="99">
        <f>G150+'20'!H150</f>
        <v>4715.5599999999977</v>
      </c>
      <c r="I150" s="119"/>
      <c r="J150" s="328">
        <f>H150/DAY(B2)</f>
        <v>224.55047619047608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'20'!F151</f>
        <v>106266</v>
      </c>
      <c r="F151" s="152">
        <v>106565</v>
      </c>
      <c r="G151" s="112">
        <f t="shared" si="11"/>
        <v>299</v>
      </c>
      <c r="H151" s="99">
        <f>G151+'20'!H151</f>
        <v>5954</v>
      </c>
      <c r="I151" s="119"/>
      <c r="J151" s="328">
        <f>H151/DAY(B2)</f>
        <v>283.52380952380952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'20'!F152</f>
        <v>10333.799999999999</v>
      </c>
      <c r="F152" s="233">
        <v>10397.450000000001</v>
      </c>
      <c r="G152" s="112">
        <f t="shared" si="11"/>
        <v>63.650000000001455</v>
      </c>
      <c r="H152" s="99">
        <f>G152+'20'!H152</f>
        <v>2328.3900000000003</v>
      </c>
      <c r="I152" s="119"/>
      <c r="J152" s="328">
        <f>H152/DAY(B2)</f>
        <v>110.8757142857143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3511.409999999908</v>
      </c>
      <c r="H153" s="363"/>
      <c r="I153" s="119">
        <f>G153-(G38+G52)</f>
        <v>1034.6299999999092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'20'!F155</f>
        <v>86024.47</v>
      </c>
      <c r="F155" s="374">
        <v>86712.02</v>
      </c>
      <c r="G155" s="112">
        <f t="shared" ref="G155:G158" si="12">F155-E155</f>
        <v>687.55000000000291</v>
      </c>
      <c r="H155" s="99">
        <f>G155+'20'!H155</f>
        <v>13941.520000000004</v>
      </c>
      <c r="I155" s="364"/>
      <c r="J155" s="328">
        <f>H155/DAY(B2)</f>
        <v>663.88190476190493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'20'!F156</f>
        <v>7142.19</v>
      </c>
      <c r="F156" s="155">
        <v>7199.26</v>
      </c>
      <c r="G156" s="112">
        <f t="shared" si="12"/>
        <v>57.070000000000618</v>
      </c>
      <c r="H156" s="99">
        <f>G156+'20'!H156</f>
        <v>1142.0100000000002</v>
      </c>
      <c r="I156" s="165"/>
      <c r="J156" s="328">
        <f>H156/DAY(B2)</f>
        <v>54.381428571428579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'20'!F157</f>
        <v>12383.8</v>
      </c>
      <c r="F157" s="155">
        <v>12480.16</v>
      </c>
      <c r="G157" s="112">
        <f t="shared" si="12"/>
        <v>96.360000000000582</v>
      </c>
      <c r="H157" s="99">
        <f>G157+'20'!H157</f>
        <v>207.15999999999985</v>
      </c>
      <c r="I157" s="165"/>
      <c r="J157" s="328">
        <f>H157/DAY(B2)</f>
        <v>9.8647619047618971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'20'!F158</f>
        <v>97.86</v>
      </c>
      <c r="F158" s="155">
        <v>98</v>
      </c>
      <c r="G158" s="112">
        <f t="shared" si="12"/>
        <v>0.14000000000000057</v>
      </c>
      <c r="H158" s="99">
        <f>G158+'20'!H158</f>
        <v>0.53000000000000114</v>
      </c>
      <c r="I158" s="165"/>
      <c r="J158" s="328">
        <f>H158/DAY(B2)</f>
        <v>2.5238095238095292E-2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474546.84</v>
      </c>
      <c r="F161" s="235">
        <v>474570</v>
      </c>
      <c r="G161" s="238">
        <f t="shared" ref="G161:G165" si="13">F161-E161</f>
        <v>23.159999999974389</v>
      </c>
      <c r="H161" s="99">
        <f>G161+'20'!H161</f>
        <v>729.27000000001863</v>
      </c>
      <c r="I161" s="236"/>
      <c r="J161" s="239">
        <f>H161/DAY(B2)</f>
        <v>34.727142857143747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91186.9</v>
      </c>
      <c r="F162" s="235">
        <v>91228.4</v>
      </c>
      <c r="G162" s="238">
        <f t="shared" si="13"/>
        <v>41.5</v>
      </c>
      <c r="H162" s="99">
        <f>G162+'20'!H162</f>
        <v>775.5</v>
      </c>
      <c r="I162" s="236"/>
      <c r="J162" s="239">
        <f>H162/DAY(B2)</f>
        <v>36.928571428571431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90416.1</v>
      </c>
      <c r="F163" s="503">
        <v>90578.7</v>
      </c>
      <c r="G163" s="238">
        <f t="shared" si="13"/>
        <v>162.59999999999127</v>
      </c>
      <c r="H163" s="99">
        <f>G163+'20'!H163</f>
        <v>3499.8999999999942</v>
      </c>
      <c r="I163" s="236"/>
      <c r="J163" s="239">
        <f>H163/DAY(B2)</f>
        <v>166.66190476190448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5068.5</v>
      </c>
      <c r="F164" s="503">
        <v>5078.6000000000004</v>
      </c>
      <c r="G164" s="238">
        <f t="shared" si="13"/>
        <v>10.100000000000364</v>
      </c>
      <c r="H164" s="99">
        <f>G164+'20'!H164</f>
        <v>266.20000000000073</v>
      </c>
      <c r="I164" s="236"/>
      <c r="J164" s="239">
        <f>H164/DAY(B2)</f>
        <v>12.676190476190511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30528.400000000001</v>
      </c>
      <c r="F165" s="235">
        <v>30539.68</v>
      </c>
      <c r="G165" s="238">
        <f t="shared" si="13"/>
        <v>11.279999999998836</v>
      </c>
      <c r="H165" s="99">
        <f>G165+'20'!H165</f>
        <v>184.17000000000189</v>
      </c>
      <c r="I165" s="236"/>
      <c r="J165" s="239">
        <f>H165/DAY(B2)</f>
        <v>8.7700000000000902</v>
      </c>
    </row>
    <row r="166" spans="1:10" ht="26.25">
      <c r="A166" s="938"/>
      <c r="B166" s="938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'20'!F173</f>
        <v>8351</v>
      </c>
      <c r="F173" s="155">
        <v>8351</v>
      </c>
      <c r="G173" s="155">
        <f>F173-E173</f>
        <v>0</v>
      </c>
      <c r="H173" s="99">
        <f>G173+'20'!H173</f>
        <v>87</v>
      </c>
      <c r="I173" s="155"/>
      <c r="J173" s="178">
        <f>H173/DAY(B2)</f>
        <v>4.1428571428571432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'20'!F174</f>
        <v>39766</v>
      </c>
      <c r="F174" s="157">
        <v>39782</v>
      </c>
      <c r="G174" s="155">
        <f t="shared" ref="G174:G175" si="14">F174-E174</f>
        <v>16</v>
      </c>
      <c r="H174" s="99">
        <f>G174+'20'!H174</f>
        <v>320</v>
      </c>
      <c r="I174" s="155"/>
      <c r="J174" s="178">
        <f>H174/DAY(B2)</f>
        <v>15.238095238095237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'20'!F175</f>
        <v>22769</v>
      </c>
      <c r="F175" s="155">
        <v>22782</v>
      </c>
      <c r="G175" s="155">
        <f t="shared" si="14"/>
        <v>13</v>
      </c>
      <c r="H175" s="99">
        <f>G175+'20'!H175</f>
        <v>260</v>
      </c>
      <c r="I175" s="155"/>
      <c r="J175" s="178">
        <f>H175/DAY(B2)</f>
        <v>12.380952380952381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G176+'20'!H176</f>
        <v>667</v>
      </c>
      <c r="I176" s="155"/>
      <c r="J176" s="178">
        <f>H176/DAY(B2)</f>
        <v>31.761904761904763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'20'!F178</f>
        <v>87576</v>
      </c>
      <c r="F178" s="155">
        <v>87683</v>
      </c>
      <c r="G178" s="155">
        <f>F178-E178</f>
        <v>107</v>
      </c>
      <c r="H178" s="99">
        <f>G178+'20'!H178</f>
        <v>2067</v>
      </c>
      <c r="I178" s="155"/>
      <c r="J178" s="178">
        <f>H178/DAY(B2)</f>
        <v>98.428571428571431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'20'!F179</f>
        <v>35710</v>
      </c>
      <c r="F179" s="155">
        <v>35727</v>
      </c>
      <c r="G179" s="155">
        <f t="shared" ref="G179:G180" si="15">F179-E179</f>
        <v>17</v>
      </c>
      <c r="H179" s="99">
        <f>G179+'20'!H179</f>
        <v>113</v>
      </c>
      <c r="I179" s="155"/>
      <c r="J179" s="178">
        <f>H179/DAY(B2)</f>
        <v>5.3809523809523814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'20'!F180</f>
        <v>6312</v>
      </c>
      <c r="F180" s="155">
        <v>6315</v>
      </c>
      <c r="G180" s="155">
        <f t="shared" si="15"/>
        <v>3</v>
      </c>
      <c r="H180" s="99">
        <f>G180+'20'!H180</f>
        <v>182</v>
      </c>
      <c r="I180" s="155"/>
      <c r="J180" s="178">
        <f>H180/DAY(B2)</f>
        <v>8.6666666666666661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127</v>
      </c>
      <c r="H181" s="99">
        <f>G181+'20'!H181</f>
        <v>2362</v>
      </c>
      <c r="I181" s="155"/>
      <c r="J181" s="178">
        <f>H181/DAY(B2)</f>
        <v>112.47619047619048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'20'!F183</f>
        <v>16450</v>
      </c>
      <c r="F183" s="157">
        <v>16468</v>
      </c>
      <c r="G183" s="157">
        <f>F183-E183</f>
        <v>18</v>
      </c>
      <c r="H183" s="99">
        <f>G183+'20'!H183</f>
        <v>326</v>
      </c>
      <c r="I183" s="155"/>
      <c r="J183" s="178">
        <f>H183/DAY(B2)</f>
        <v>15.523809523809524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'20'!F184</f>
        <v>11200</v>
      </c>
      <c r="F184" s="157">
        <v>11209</v>
      </c>
      <c r="G184" s="157">
        <f t="shared" ref="G184:G185" si="16">F184-E184</f>
        <v>9</v>
      </c>
      <c r="H184" s="99">
        <f>G184+'20'!H184</f>
        <v>160</v>
      </c>
      <c r="I184" s="155"/>
      <c r="J184" s="178">
        <f>H184/DAY(B2)</f>
        <v>7.6190476190476186</v>
      </c>
    </row>
    <row r="185" spans="1:10" ht="32.25" customHeight="1">
      <c r="A185" s="896" t="s">
        <v>216</v>
      </c>
      <c r="B185" s="89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27</v>
      </c>
      <c r="H186" s="99">
        <f>G186+'20'!H186</f>
        <v>486</v>
      </c>
      <c r="I186" s="157"/>
      <c r="J186" s="178">
        <f>H186/DAY(B2)</f>
        <v>23.142857142857142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241</v>
      </c>
      <c r="H187" s="99">
        <f>G187+'20'!H187</f>
        <v>4777</v>
      </c>
      <c r="I187" s="158"/>
      <c r="J187" s="179">
        <f>H187/DAY(B2)</f>
        <v>227.47619047619048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242</v>
      </c>
      <c r="H188" s="99">
        <f>G188+'20'!H188</f>
        <v>1597</v>
      </c>
      <c r="I188" s="158"/>
      <c r="J188" s="179">
        <f>H188/DAY(B2)</f>
        <v>76.047619047619051</v>
      </c>
    </row>
    <row r="189" spans="1:10" ht="21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127</v>
      </c>
      <c r="H189" s="99">
        <f>G189+'20'!H189</f>
        <v>341</v>
      </c>
      <c r="I189" s="158"/>
      <c r="J189" s="179">
        <f>H189/DAY(B2)</f>
        <v>16.238095238095237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5" zoomScale="50" zoomScaleNormal="71" zoomScaleSheetLayoutView="50" workbookViewId="0">
      <selection activeCell="F151" sqref="F15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354</v>
      </c>
      <c r="B2" s="262">
        <v>44673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571292.71</v>
      </c>
      <c r="F7" s="95">
        <v>599829.79</v>
      </c>
      <c r="G7" s="112">
        <f>F7-E7</f>
        <v>28537.080000000075</v>
      </c>
      <c r="H7" s="99">
        <f>G7+'21'!H7</f>
        <v>613106.79</v>
      </c>
      <c r="I7" s="113">
        <f>'1'!I7</f>
        <v>12000</v>
      </c>
      <c r="J7" s="175">
        <f>H7/DAY(B2)</f>
        <v>27868.490454545456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654581.99</v>
      </c>
      <c r="F8" s="114">
        <v>683783.03</v>
      </c>
      <c r="G8" s="115">
        <f>F8-E8</f>
        <v>29201.040000000037</v>
      </c>
      <c r="H8" s="99">
        <f>G8+'21'!H8</f>
        <v>625736.81000000006</v>
      </c>
      <c r="I8" s="116"/>
      <c r="J8" s="175">
        <f>H8/DAY(B2)</f>
        <v>28442.582272727275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1680159.7</v>
      </c>
      <c r="F9" s="470">
        <v>1701065.9</v>
      </c>
      <c r="G9" s="112">
        <f>F9-E9</f>
        <v>20906.199999999953</v>
      </c>
      <c r="H9" s="99">
        <f>G9+'21'!H9</f>
        <v>433390.89999999991</v>
      </c>
      <c r="I9" s="124">
        <f>I7-J7</f>
        <v>-15868.490454545456</v>
      </c>
      <c r="J9" s="175">
        <f>H9/DAY(B2)</f>
        <v>19699.586363636361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574152.39</v>
      </c>
      <c r="F10" s="353">
        <v>581007.43000000005</v>
      </c>
      <c r="G10" s="112">
        <f t="shared" ref="G10:G12" si="0">F10-E10</f>
        <v>6855.0400000000373</v>
      </c>
      <c r="H10" s="99">
        <f>G10+'21'!H10</f>
        <v>162731.96000000008</v>
      </c>
      <c r="I10" s="282"/>
      <c r="J10" s="175">
        <f>H10/DAY(B2)</f>
        <v>7396.907272727276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27761.239999999991</v>
      </c>
      <c r="H13" s="99">
        <f>G13+'21'!H13</f>
        <v>596123.32999999996</v>
      </c>
      <c r="I13" s="120">
        <f>G7-G13</f>
        <v>775.84000000008382</v>
      </c>
      <c r="J13" s="175">
        <f>H13/DAY(B2)</f>
        <v>27096.514999999999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1993852.69</v>
      </c>
      <c r="F15" s="470">
        <v>1994931.58</v>
      </c>
      <c r="G15" s="112">
        <f>(F15-E15)</f>
        <v>1078.8900000001304</v>
      </c>
      <c r="H15" s="99">
        <f>G15+'21'!H15</f>
        <v>23994.580000000075</v>
      </c>
      <c r="I15" s="113">
        <f>'1'!I15</f>
        <v>800</v>
      </c>
      <c r="J15" s="175">
        <f>H15/DAY(B2)</f>
        <v>1090.6627272727308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-290.66272727273076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'21'!F18</f>
        <v>23</v>
      </c>
      <c r="F18" s="122">
        <v>24</v>
      </c>
      <c r="G18" s="119">
        <f>F18*10</f>
        <v>240</v>
      </c>
      <c r="H18" s="99">
        <f>G18+'21'!H18</f>
        <v>5450</v>
      </c>
      <c r="I18" s="113">
        <f>'1'!I18</f>
        <v>65</v>
      </c>
      <c r="J18" s="175">
        <f>H18/DAY(B2)</f>
        <v>247.72727272727272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'21'!F19</f>
        <v>157998</v>
      </c>
      <c r="F19" s="122">
        <v>158054</v>
      </c>
      <c r="G19" s="112">
        <f t="shared" ref="G19" si="1">F19-E19</f>
        <v>56</v>
      </c>
      <c r="H19" s="99">
        <f>G19+'21'!H19</f>
        <v>1065</v>
      </c>
      <c r="I19" s="335"/>
      <c r="J19" s="175">
        <f>H19/DAY(B2)</f>
        <v>48.409090909090907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G20+'21'!H20</f>
        <v>6515</v>
      </c>
      <c r="I20" s="336">
        <f>I18-J20</f>
        <v>-231.13636363636363</v>
      </c>
      <c r="J20" s="175">
        <f>H20/DAY(B2)</f>
        <v>296.13636363636363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29201.040000000037</v>
      </c>
      <c r="F27" s="136">
        <v>9</v>
      </c>
      <c r="G27" s="137">
        <f>E27*F27</f>
        <v>262809.36000000034</v>
      </c>
      <c r="H27" s="99">
        <f>G27+'21'!H27</f>
        <v>5631631.29</v>
      </c>
      <c r="I27" s="138"/>
      <c r="J27" s="175">
        <f>H27/DAY(B2)</f>
        <v>255983.24045454545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1078.8900000001304</v>
      </c>
      <c r="F28" s="136">
        <v>70</v>
      </c>
      <c r="G28" s="137">
        <f>E28*F28</f>
        <v>75522.300000009127</v>
      </c>
      <c r="H28" s="99">
        <f>G28+'21'!H28</f>
        <v>1620346.0600000047</v>
      </c>
      <c r="I28" s="140"/>
      <c r="J28" s="175">
        <f>H28/DAY(B2)</f>
        <v>73652.093636363847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G30+'21'!H30</f>
        <v>160145</v>
      </c>
      <c r="I30" s="140"/>
      <c r="J30" s="175">
        <f>H30/DAY(B2)</f>
        <v>7279.318181818182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G31+'21'!H31</f>
        <v>436000</v>
      </c>
      <c r="I31" s="140"/>
      <c r="J31" s="175">
        <f>H31/DAY(B2)</f>
        <v>19818.18181818182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365987.66000000946</v>
      </c>
      <c r="H32" s="99">
        <f>G32+'21'!H32</f>
        <v>7848122.3500000052</v>
      </c>
      <c r="I32" s="144"/>
      <c r="J32" s="175">
        <f>H32/DAY(B2)</f>
        <v>356732.83409090934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183563.05</v>
      </c>
      <c r="F35" s="419">
        <v>185709.25</v>
      </c>
      <c r="G35" s="112">
        <f t="shared" ref="G35:G46" si="3">F35-E35</f>
        <v>2146.2000000000116</v>
      </c>
      <c r="H35" s="99">
        <f>G35+'21'!H35</f>
        <v>47430.040000000008</v>
      </c>
      <c r="I35" s="95"/>
      <c r="J35" s="175">
        <f>H35/DAY(B2)</f>
        <v>2155.9109090909096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121684.03</v>
      </c>
      <c r="F36" s="145">
        <v>122692.98</v>
      </c>
      <c r="G36" s="112">
        <f t="shared" si="3"/>
        <v>1008.9499999999971</v>
      </c>
      <c r="H36" s="99">
        <f>G36+'21'!H36</f>
        <v>22172.319999999992</v>
      </c>
      <c r="I36" s="95"/>
      <c r="J36" s="175">
        <f>H36/DAY(B2)</f>
        <v>1007.832727272727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167278.12</v>
      </c>
      <c r="F37" s="419">
        <v>169051.45</v>
      </c>
      <c r="G37" s="112">
        <f t="shared" si="3"/>
        <v>1773.3300000000163</v>
      </c>
      <c r="H37" s="99">
        <f>G37+'21'!H37</f>
        <v>36126.430000000022</v>
      </c>
      <c r="I37" s="95"/>
      <c r="J37" s="175">
        <f>H37/DAY(B2)</f>
        <v>1642.1104545454555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221775.69</v>
      </c>
      <c r="F38" s="108">
        <v>224099.29</v>
      </c>
      <c r="G38" s="112">
        <f t="shared" si="3"/>
        <v>2323.6000000000058</v>
      </c>
      <c r="H38" s="99">
        <f>G38+'21'!H38</f>
        <v>53989.920000000013</v>
      </c>
      <c r="I38" s="95"/>
      <c r="J38" s="175">
        <f>H38/DAY(B2)</f>
        <v>2454.0872727272731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313011.75</v>
      </c>
      <c r="F39" s="419">
        <v>316166.93</v>
      </c>
      <c r="G39" s="112">
        <f t="shared" si="3"/>
        <v>3155.179999999993</v>
      </c>
      <c r="H39" s="99">
        <f>G39+'21'!H39</f>
        <v>72013.5</v>
      </c>
      <c r="I39" s="95"/>
      <c r="J39" s="175">
        <f>H39/DAY(B2)</f>
        <v>3273.340909090909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58682.86</v>
      </c>
      <c r="F40" s="145">
        <v>59306.23</v>
      </c>
      <c r="G40" s="112">
        <f t="shared" si="3"/>
        <v>623.37000000000262</v>
      </c>
      <c r="H40" s="99">
        <f>G40+'21'!H40</f>
        <v>10154.370000000003</v>
      </c>
      <c r="I40" s="95"/>
      <c r="J40" s="175">
        <f>H40/DAY(B2)</f>
        <v>461.56227272727284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376863.31</v>
      </c>
      <c r="F42" s="145">
        <v>382700.35</v>
      </c>
      <c r="G42" s="112">
        <f t="shared" si="3"/>
        <v>5837.039999999979</v>
      </c>
      <c r="H42" s="99">
        <f>G42+'21'!H42</f>
        <v>101343.09999999998</v>
      </c>
      <c r="I42" s="95"/>
      <c r="J42" s="175">
        <f>H42/DAY(B2)</f>
        <v>4606.5045454545443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326374.27</v>
      </c>
      <c r="F43" s="145">
        <v>329845.89</v>
      </c>
      <c r="G43" s="112">
        <f t="shared" si="3"/>
        <v>3471.6199999999953</v>
      </c>
      <c r="H43" s="99">
        <f>G43+'21'!H43</f>
        <v>71091.420000000013</v>
      </c>
      <c r="I43" s="95"/>
      <c r="J43" s="175">
        <f>H43/DAY(B2)</f>
        <v>3231.4281818181826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20339.29</v>
      </c>
      <c r="H47" s="99">
        <f>G47+'21'!H47</f>
        <v>414321.09999999992</v>
      </c>
      <c r="I47" s="95"/>
      <c r="J47" s="175">
        <f>H47/DAY(B2)</f>
        <v>18832.777272727268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148801.03</v>
      </c>
      <c r="F49" s="145">
        <v>150579.29</v>
      </c>
      <c r="G49" s="112">
        <f t="shared" ref="G49:G58" si="4">F49-E49</f>
        <v>1778.2600000000093</v>
      </c>
      <c r="H49" s="99">
        <f>G49+'21'!H49</f>
        <v>40077.090000000011</v>
      </c>
      <c r="I49" s="95"/>
      <c r="J49" s="175">
        <f>H49/DAY(B2)</f>
        <v>1821.6859090909095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160550.15</v>
      </c>
      <c r="F50" s="145">
        <v>161747.26999999999</v>
      </c>
      <c r="G50" s="112">
        <f t="shared" si="4"/>
        <v>1197.1199999999953</v>
      </c>
      <c r="H50" s="99">
        <f>G50+'21'!H50</f>
        <v>30537.129999999976</v>
      </c>
      <c r="I50" s="95"/>
      <c r="J50" s="175">
        <f>H50/DAY(B2)</f>
        <v>1388.0513636363626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45831.34</v>
      </c>
      <c r="F54" s="145">
        <v>46301.95</v>
      </c>
      <c r="G54" s="112">
        <f t="shared" si="4"/>
        <v>470.61000000000058</v>
      </c>
      <c r="H54" s="99">
        <f>G54+'21'!H54</f>
        <v>10630.89</v>
      </c>
      <c r="I54" s="95"/>
      <c r="J54" s="175">
        <f>H54/DAY(B2)</f>
        <v>483.2222727272727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136237.81</v>
      </c>
      <c r="F55" s="419">
        <v>138906.9</v>
      </c>
      <c r="G55" s="112">
        <f t="shared" si="4"/>
        <v>2669.0899999999965</v>
      </c>
      <c r="H55" s="99">
        <f>G55+'21'!H55</f>
        <v>26425.869999999995</v>
      </c>
      <c r="I55" s="95"/>
      <c r="J55" s="175">
        <f>H55/DAY(B2)</f>
        <v>1201.1759090909088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107245.66</v>
      </c>
      <c r="F56" s="419">
        <v>107245.66</v>
      </c>
      <c r="G56" s="112">
        <f>F56-E56</f>
        <v>0</v>
      </c>
      <c r="H56" s="99">
        <f>G56+'21'!H56</f>
        <v>35627.98000000001</v>
      </c>
      <c r="I56" s="95"/>
      <c r="J56" s="175">
        <f>H56/DAY(B2)</f>
        <v>1619.4536363636369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23420.38</v>
      </c>
      <c r="F58" s="145">
        <v>23638.36</v>
      </c>
      <c r="G58" s="112">
        <f t="shared" si="4"/>
        <v>217.97999999999956</v>
      </c>
      <c r="H58" s="99">
        <f>G58+'21'!H58</f>
        <v>5184.16</v>
      </c>
      <c r="I58" s="95"/>
      <c r="J58" s="175">
        <f>H58/DAY(B2)</f>
        <v>235.64363636363635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6333.0600000000013</v>
      </c>
      <c r="H59" s="99">
        <f>G59+'21'!H59</f>
        <v>148483.19999999998</v>
      </c>
      <c r="I59" s="95">
        <f>G7-G60</f>
        <v>1864.7300000000723</v>
      </c>
      <c r="J59" s="175">
        <f>H59/DAY(B2)</f>
        <v>6749.2363636363625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26672.350000000002</v>
      </c>
      <c r="H60" s="99">
        <f>G60+'21'!H60</f>
        <v>562804.29999999993</v>
      </c>
      <c r="I60" s="95">
        <f>G13-G60</f>
        <v>1088.8899999999885</v>
      </c>
      <c r="J60" s="175">
        <f>H60/DAY(B2)</f>
        <v>25582.013636363634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'21'!F62</f>
        <v>282394</v>
      </c>
      <c r="F62" s="122">
        <v>282564</v>
      </c>
      <c r="G62" s="112">
        <f t="shared" ref="G62:G63" si="5">F62-E62</f>
        <v>170</v>
      </c>
      <c r="H62" s="99">
        <f>G62+'21'!H62</f>
        <v>3938</v>
      </c>
      <c r="I62" s="118"/>
      <c r="J62" s="175">
        <f>H62/DAY(B2)</f>
        <v>179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'21'!F63</f>
        <v>226280</v>
      </c>
      <c r="F63" s="122">
        <v>226420</v>
      </c>
      <c r="G63" s="112">
        <f t="shared" si="5"/>
        <v>140</v>
      </c>
      <c r="H63" s="99">
        <f>G63+'21'!H63</f>
        <v>3339</v>
      </c>
      <c r="I63" s="118"/>
      <c r="J63" s="175">
        <f>H63/DAY(B2)</f>
        <v>151.77272727272728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'21'!F64</f>
        <v>0</v>
      </c>
      <c r="F64" s="122"/>
      <c r="G64" s="112">
        <f>G62+G63</f>
        <v>310</v>
      </c>
      <c r="H64" s="99">
        <f>G64+'21'!H64</f>
        <v>7277</v>
      </c>
      <c r="I64" s="118"/>
      <c r="J64" s="175">
        <f>H64/DAY(B2)</f>
        <v>330.77272727272725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'21'!F65</f>
        <v>443523</v>
      </c>
      <c r="F65" s="122">
        <v>443639</v>
      </c>
      <c r="G65" s="112">
        <f t="shared" ref="G65:G70" si="6">F65-E65</f>
        <v>116</v>
      </c>
      <c r="H65" s="99">
        <f>G65+'21'!H65</f>
        <v>2508</v>
      </c>
      <c r="I65" s="118"/>
      <c r="J65" s="175">
        <f>H65/DAY(B2)</f>
        <v>114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109429</v>
      </c>
      <c r="F66" s="122">
        <v>109442</v>
      </c>
      <c r="G66" s="112">
        <f t="shared" si="6"/>
        <v>13</v>
      </c>
      <c r="H66" s="99">
        <f>G66+'21'!H66</f>
        <v>372</v>
      </c>
      <c r="I66" s="118"/>
      <c r="J66" s="175">
        <f>H66/DAY(B2)</f>
        <v>16.90909090909091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110176</v>
      </c>
      <c r="F67" s="122">
        <v>110258</v>
      </c>
      <c r="G67" s="112">
        <f t="shared" si="6"/>
        <v>82</v>
      </c>
      <c r="H67" s="99">
        <f>G67+'21'!H67</f>
        <v>1665</v>
      </c>
      <c r="I67" s="118"/>
      <c r="J67" s="175">
        <f>H67/DAY(B2)</f>
        <v>75.681818181818187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161333</v>
      </c>
      <c r="F68" s="122">
        <v>161391</v>
      </c>
      <c r="G68" s="112">
        <f t="shared" si="6"/>
        <v>58</v>
      </c>
      <c r="H68" s="99">
        <f>G68+'21'!H68</f>
        <v>982</v>
      </c>
      <c r="I68" s="118"/>
      <c r="J68" s="175">
        <f>H68/DAY(B2)</f>
        <v>44.636363636363633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11471</v>
      </c>
      <c r="F69" s="122">
        <v>11483</v>
      </c>
      <c r="G69" s="112">
        <f t="shared" si="6"/>
        <v>12</v>
      </c>
      <c r="H69" s="99">
        <f>G69+'21'!H69</f>
        <v>282</v>
      </c>
      <c r="I69" s="118"/>
      <c r="J69" s="175">
        <f>H69/DAY(B2)</f>
        <v>12.818181818181818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8922</v>
      </c>
      <c r="F70" s="122">
        <v>8928</v>
      </c>
      <c r="G70" s="112">
        <f t="shared" si="6"/>
        <v>6</v>
      </c>
      <c r="H70" s="99">
        <f>G70+'21'!H70</f>
        <v>200</v>
      </c>
      <c r="I70" s="118"/>
      <c r="J70" s="175">
        <f>H70/DAY(B2)</f>
        <v>9.0909090909090917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287</v>
      </c>
      <c r="H71" s="99">
        <f>G71+'21'!H71</f>
        <v>6009</v>
      </c>
      <c r="I71" s="154"/>
      <c r="J71" s="175">
        <f>H71/DAY(B2)</f>
        <v>273.13636363636363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'21'!F74</f>
        <v>925916.48</v>
      </c>
      <c r="F74" s="123">
        <v>926237.98</v>
      </c>
      <c r="G74" s="112">
        <f t="shared" ref="G74:G78" si="7">F74-E74</f>
        <v>321.5</v>
      </c>
      <c r="H74" s="99">
        <f>G74+'21'!H74</f>
        <v>6913.4699999999721</v>
      </c>
      <c r="I74" s="154"/>
      <c r="J74" s="175">
        <f>H74/DAY(B2)</f>
        <v>314.24863636363511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'21'!F76</f>
        <v>179048.82</v>
      </c>
      <c r="F76" s="123">
        <v>179163.69</v>
      </c>
      <c r="G76" s="112">
        <f t="shared" si="7"/>
        <v>114.86999999999534</v>
      </c>
      <c r="H76" s="99">
        <f>G76+'21'!H76</f>
        <v>2576.6900000000023</v>
      </c>
      <c r="I76" s="154"/>
      <c r="J76" s="175">
        <f>H76/DAY(B2)</f>
        <v>117.12227272727283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'21'!F77</f>
        <v>45203.9</v>
      </c>
      <c r="F77" s="123">
        <v>45258.3</v>
      </c>
      <c r="G77" s="112">
        <f t="shared" si="7"/>
        <v>54.400000000001455</v>
      </c>
      <c r="H77" s="99">
        <f>G77+'21'!H77</f>
        <v>1095.3000000000029</v>
      </c>
      <c r="I77" s="154"/>
      <c r="J77" s="175">
        <f>H77/DAY(B2)</f>
        <v>49.786363636363767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1</v>
      </c>
      <c r="I78" s="118"/>
      <c r="J78" s="175">
        <f>H78/DAY(B2)</f>
        <v>4.5454545454545456E-2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'21'!F79</f>
        <v>0</v>
      </c>
      <c r="F79" s="123"/>
      <c r="G79" s="112">
        <f>G15-SUM(G74:G78)</f>
        <v>588.12000000013359</v>
      </c>
      <c r="H79" s="99">
        <f>G79+'21'!H79</f>
        <v>13408.120000000097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1078.8900000001304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594"/>
      <c r="J84" s="175">
        <f>H84/DAY(B2)</f>
        <v>1.8181818181884326E-2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3574.21</v>
      </c>
      <c r="F85" s="164">
        <v>3598.21</v>
      </c>
      <c r="G85" s="112">
        <f t="shared" si="8"/>
        <v>24</v>
      </c>
      <c r="H85" s="99">
        <f>G85+'21'!H85</f>
        <v>439.71000000000004</v>
      </c>
      <c r="I85" s="594"/>
      <c r="J85" s="175">
        <f>H85/DAY(B2)</f>
        <v>19.986818181818183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43883.17</v>
      </c>
      <c r="F86" s="164">
        <v>43900.26</v>
      </c>
      <c r="G86" s="112">
        <f t="shared" si="8"/>
        <v>17.090000000003783</v>
      </c>
      <c r="H86" s="99">
        <f>G86+'21'!H86</f>
        <v>179.86000000000058</v>
      </c>
      <c r="I86" s="594"/>
      <c r="J86" s="175">
        <f>H86/DAY(B2)</f>
        <v>8.1754545454545724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35329.06</v>
      </c>
      <c r="F87" s="164">
        <v>35329.06</v>
      </c>
      <c r="G87" s="112">
        <f t="shared" si="8"/>
        <v>0</v>
      </c>
      <c r="H87" s="99">
        <f>G87+'21'!H87</f>
        <v>248.70999999999913</v>
      </c>
      <c r="I87" s="594">
        <f>G84+G85+G86+G87</f>
        <v>41.090000000003783</v>
      </c>
      <c r="J87" s="175">
        <f>H87/DAY(B2)</f>
        <v>11.304999999999961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24174.69</v>
      </c>
      <c r="F88" s="164">
        <v>24174.69</v>
      </c>
      <c r="G88" s="112">
        <f t="shared" si="8"/>
        <v>0</v>
      </c>
      <c r="H88" s="99">
        <f>G88+'21'!H88</f>
        <v>65.289999999997235</v>
      </c>
      <c r="I88" s="594"/>
      <c r="J88" s="175">
        <f>H88/DAY(B2)</f>
        <v>2.9677272727271471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26631.119999999999</v>
      </c>
      <c r="F89" s="164">
        <v>26640.22</v>
      </c>
      <c r="G89" s="112">
        <f t="shared" si="8"/>
        <v>9.1000000000021828</v>
      </c>
      <c r="H89" s="99">
        <f>G89+'21'!H89</f>
        <v>168.43000000000029</v>
      </c>
      <c r="I89" s="594">
        <f>G88+G89</f>
        <v>9.1000000000021828</v>
      </c>
      <c r="J89" s="175">
        <f>H89/DAY(B2)</f>
        <v>7.6559090909091045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71778.009999999995</v>
      </c>
      <c r="F90" s="164">
        <v>71788.759999999995</v>
      </c>
      <c r="G90" s="112">
        <f t="shared" si="8"/>
        <v>10.75</v>
      </c>
      <c r="H90" s="99">
        <f>G90+'21'!H90</f>
        <v>215.64999999999418</v>
      </c>
      <c r="I90" s="594">
        <f>G90</f>
        <v>10.75</v>
      </c>
      <c r="J90" s="175">
        <f>H90/DAY(B2)</f>
        <v>9.802272727272463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3954.12</v>
      </c>
      <c r="F91" s="122">
        <v>3966.01</v>
      </c>
      <c r="G91" s="112">
        <f t="shared" si="8"/>
        <v>11.890000000000327</v>
      </c>
      <c r="H91" s="99">
        <f>G91+'21'!H91</f>
        <v>56.260000000000218</v>
      </c>
      <c r="I91" s="688"/>
      <c r="J91" s="175">
        <f>H91/DAY(B2)</f>
        <v>2.5572727272727374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5934.87</v>
      </c>
      <c r="F92" s="122">
        <v>5934.87</v>
      </c>
      <c r="G92" s="112">
        <f t="shared" si="8"/>
        <v>0</v>
      </c>
      <c r="H92" s="99">
        <f>G92+'21'!H92</f>
        <v>187.56999999999971</v>
      </c>
      <c r="I92" s="705">
        <f>G91+G92</f>
        <v>11.890000000000327</v>
      </c>
      <c r="J92" s="175">
        <f>H92/DAY(B2)</f>
        <v>8.525909090909078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7396.0800000000163</v>
      </c>
      <c r="H94" s="99">
        <f>G94+'21'!H94</f>
        <v>158598.55000000002</v>
      </c>
      <c r="I94" s="118"/>
      <c r="J94" s="175">
        <f>H94/DAY(B2)</f>
        <v>7209.0250000000005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0.25917437943896143</v>
      </c>
      <c r="H95" s="99">
        <f>G95+'21'!H95</f>
        <v>5.6929868882919816</v>
      </c>
      <c r="I95" s="167"/>
      <c r="J95" s="175">
        <f>H95/DAY(B2)</f>
        <v>0.25877213128599919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8506.1299999999756</v>
      </c>
      <c r="H96" s="99">
        <f>G96+'21'!H96</f>
        <v>163396.94999999998</v>
      </c>
      <c r="I96" s="118"/>
      <c r="J96" s="175">
        <f>H96/DAY(B2)</f>
        <v>7427.1340909090904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0.29807289323224218</v>
      </c>
      <c r="H97" s="99">
        <f>G97+'21'!H97</f>
        <v>5.854172085424949</v>
      </c>
      <c r="I97" s="167"/>
      <c r="J97" s="175">
        <f>H97/DAY(B2)</f>
        <v>0.2660987311556795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3155.179999999993</v>
      </c>
      <c r="H98" s="99">
        <f>G98+'21'!H98</f>
        <v>72013.5</v>
      </c>
      <c r="I98" s="168"/>
      <c r="J98" s="175">
        <f>H98/DAY(B2)</f>
        <v>3273.340909090909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0.11056422030565093</v>
      </c>
      <c r="H99" s="99">
        <f>G99+'21'!H99</f>
        <v>2.5881289632215374</v>
      </c>
      <c r="I99" s="168"/>
      <c r="J99" s="175">
        <f>H99/DAY(B2)</f>
        <v>0.11764222560097898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2323.6000000000058</v>
      </c>
      <c r="H100" s="99">
        <f>G100+'21'!H100</f>
        <v>53989.680000000015</v>
      </c>
      <c r="I100" s="118"/>
      <c r="J100" s="175">
        <f>H100/DAY(B2)</f>
        <v>2454.0763636363645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8.1423887797910641E-2</v>
      </c>
      <c r="H101" s="99">
        <f>G101+'21'!H101</f>
        <v>1.9399715174921655</v>
      </c>
      <c r="I101" s="168"/>
      <c r="J101" s="175">
        <f>H101/DAY(B2)</f>
        <v>8.8180523522371157E-2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2206.0699999999924</v>
      </c>
      <c r="H102" s="99">
        <f>G102+'21'!H102</f>
        <v>52709.449999999968</v>
      </c>
      <c r="I102" s="168"/>
      <c r="J102" s="175">
        <f>H102/DAY(B2)</f>
        <v>2395.8840909090895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7.7305386535692744E-2</v>
      </c>
      <c r="H103" s="99">
        <f>G103+'21'!H103</f>
        <v>1.8895100932490803</v>
      </c>
      <c r="I103" s="118"/>
      <c r="J103" s="175">
        <f>H103/DAY(B2)</f>
        <v>8.5886822420412734E-2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1773.3300000000163</v>
      </c>
      <c r="H104" s="99">
        <f>G104+'21'!H104</f>
        <v>36126.750000000022</v>
      </c>
      <c r="I104" s="118"/>
      <c r="J104" s="175">
        <f>H104/DAY(B2)</f>
        <v>1642.1250000000009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6.2141256218225957E-2</v>
      </c>
      <c r="H105" s="99">
        <f>G105+'21'!H105</f>
        <v>1.2973327430581081</v>
      </c>
      <c r="I105" s="187"/>
      <c r="J105" s="188">
        <f>H105/DAY(B2)</f>
        <v>5.8969670139004914E-2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'21'!F112</f>
        <v>63839.1</v>
      </c>
      <c r="F112" s="237">
        <v>63920</v>
      </c>
      <c r="G112" s="112">
        <f t="shared" ref="G112:G123" si="9">F112-E112</f>
        <v>80.900000000001455</v>
      </c>
      <c r="H112" s="99">
        <f>G112+'21'!H112</f>
        <v>1776.4700000000012</v>
      </c>
      <c r="I112" s="165"/>
      <c r="J112" s="328">
        <f>H112/DAY(B2)</f>
        <v>80.748636363636422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'21'!F113</f>
        <v>84692.31</v>
      </c>
      <c r="F113" s="237">
        <v>85177.39</v>
      </c>
      <c r="G113" s="112">
        <f t="shared" si="9"/>
        <v>485.08000000000175</v>
      </c>
      <c r="H113" s="99">
        <f>G113+'21'!H113</f>
        <v>10921.789999999994</v>
      </c>
      <c r="I113" s="165"/>
      <c r="J113" s="328">
        <f>H113/DAY(B2)</f>
        <v>496.44499999999971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'21'!F114</f>
        <v>56105.16</v>
      </c>
      <c r="F114" s="237">
        <v>56363.11</v>
      </c>
      <c r="G114" s="112">
        <f t="shared" si="9"/>
        <v>257.94999999999709</v>
      </c>
      <c r="H114" s="99">
        <f>G114+'21'!H114</f>
        <v>6100.1100000000006</v>
      </c>
      <c r="I114" s="165"/>
      <c r="J114" s="328">
        <f>H114/DAY(B2)</f>
        <v>277.2777272727273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'21'!F115</f>
        <v>10287.36</v>
      </c>
      <c r="F115" s="237">
        <v>10305.75</v>
      </c>
      <c r="G115" s="112">
        <f t="shared" si="9"/>
        <v>18.389999999999418</v>
      </c>
      <c r="H115" s="99">
        <f>G115+'21'!H115</f>
        <v>477.23999999999978</v>
      </c>
      <c r="I115" s="165"/>
      <c r="J115" s="328">
        <f>H115/DAY(B2)</f>
        <v>21.692727272727264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'21'!F116</f>
        <v>31691.87</v>
      </c>
      <c r="F116" s="237">
        <v>31973.35</v>
      </c>
      <c r="G116" s="112">
        <f t="shared" si="9"/>
        <v>281.47999999999956</v>
      </c>
      <c r="H116" s="99">
        <f>G116+'21'!H116</f>
        <v>9188.73</v>
      </c>
      <c r="I116" s="165"/>
      <c r="J116" s="328">
        <f>H116/DAY(B2)</f>
        <v>417.66954545454541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'21'!F117</f>
        <v>17596.240000000002</v>
      </c>
      <c r="F117" s="237">
        <v>17730.12</v>
      </c>
      <c r="G117" s="112">
        <f t="shared" si="9"/>
        <v>133.87999999999738</v>
      </c>
      <c r="H117" s="99">
        <f>G117+'21'!H117</f>
        <v>4116.9469999999983</v>
      </c>
      <c r="I117" s="165"/>
      <c r="J117" s="328">
        <f>H117/DAY(B2)</f>
        <v>187.13395454545446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'21'!F118</f>
        <v>4199.13</v>
      </c>
      <c r="F118" s="237">
        <v>4752.82</v>
      </c>
      <c r="G118" s="112">
        <f t="shared" si="9"/>
        <v>553.6899999999996</v>
      </c>
      <c r="H118" s="99">
        <f>G118+'21'!H118</f>
        <v>11700.850000000028</v>
      </c>
      <c r="I118" s="165"/>
      <c r="J118" s="328">
        <f>H118/DAY(B2)</f>
        <v>531.85681818181945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'21'!F119</f>
        <v>1844.44</v>
      </c>
      <c r="F119" s="237">
        <v>2307.12</v>
      </c>
      <c r="G119" s="112">
        <f t="shared" si="9"/>
        <v>462.67999999999984</v>
      </c>
      <c r="H119" s="99">
        <f>G119+'21'!H119</f>
        <v>9627.7299999999868</v>
      </c>
      <c r="I119" s="165"/>
      <c r="J119" s="328">
        <f>H119/DAY(B2)</f>
        <v>437.62409090909028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'21'!F120</f>
        <v>3279.66</v>
      </c>
      <c r="F120" s="237">
        <v>3689.43</v>
      </c>
      <c r="G120" s="112">
        <f t="shared" si="9"/>
        <v>409.77</v>
      </c>
      <c r="H120" s="99">
        <f>G120+'21'!H120</f>
        <v>9035.6700000000055</v>
      </c>
      <c r="I120" s="165"/>
      <c r="J120" s="328">
        <f>H120/DAY(B2)</f>
        <v>410.71227272727299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'21'!F121</f>
        <v>6395.39</v>
      </c>
      <c r="F121" s="237">
        <v>7193.75</v>
      </c>
      <c r="G121" s="112">
        <f t="shared" si="9"/>
        <v>798.35999999999967</v>
      </c>
      <c r="H121" s="99">
        <f>G121+'21'!H121</f>
        <v>17598.479999999981</v>
      </c>
      <c r="I121" s="165"/>
      <c r="J121" s="328">
        <f>H121/DAY(B2)</f>
        <v>799.93090909090824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'21'!F122</f>
        <v>1639.02</v>
      </c>
      <c r="F122" s="237">
        <v>1842.33</v>
      </c>
      <c r="G122" s="112">
        <f t="shared" si="9"/>
        <v>203.30999999999995</v>
      </c>
      <c r="H122" s="99">
        <f>G122+'21'!H122</f>
        <v>4659.189999999986</v>
      </c>
      <c r="I122" s="165"/>
      <c r="J122" s="328">
        <f>H122/DAY(B2)</f>
        <v>211.78136363636301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'21'!F123</f>
        <v>174799.31</v>
      </c>
      <c r="F123" s="237">
        <v>175043.53</v>
      </c>
      <c r="G123" s="112">
        <f t="shared" si="9"/>
        <v>244.22000000000116</v>
      </c>
      <c r="H123" s="99">
        <f>G123+'21'!H123</f>
        <v>5601.5299999999988</v>
      </c>
      <c r="I123" s="165"/>
      <c r="J123" s="328">
        <f>H123/DAY(B2)</f>
        <v>254.61499999999995</v>
      </c>
    </row>
    <row r="124" spans="1:18" ht="29.25" customHeight="1">
      <c r="A124" s="932"/>
      <c r="B124" s="933"/>
      <c r="C124" s="934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3929.7099999999969</v>
      </c>
      <c r="H125" s="156"/>
      <c r="I125" s="327">
        <f>G125-(G39+G53)</f>
        <v>774.53000000000384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'21'!F128</f>
        <v>77930.05</v>
      </c>
      <c r="F128" s="165">
        <v>78346.539999999994</v>
      </c>
      <c r="G128" s="112">
        <f t="shared" ref="G128:G134" si="10">F128-E128</f>
        <v>416.48999999999069</v>
      </c>
      <c r="H128" s="99">
        <f>G128+'21'!H128</f>
        <v>9430.2999999999884</v>
      </c>
      <c r="I128" s="165"/>
      <c r="J128" s="328">
        <f>H128/DAY(B2)</f>
        <v>428.64999999999947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48434.38</v>
      </c>
      <c r="F129" s="165">
        <v>48708.93</v>
      </c>
      <c r="G129" s="112">
        <f t="shared" si="10"/>
        <v>274.55000000000291</v>
      </c>
      <c r="H129" s="99">
        <f>G129+'21'!H129</f>
        <v>6597.8799999999974</v>
      </c>
      <c r="I129" s="165"/>
      <c r="J129" s="328">
        <f>H129/DAY(B2)</f>
        <v>299.90363636363622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90323.9</v>
      </c>
      <c r="F130" s="165">
        <v>91028.83</v>
      </c>
      <c r="G130" s="112">
        <f t="shared" si="10"/>
        <v>704.93000000000757</v>
      </c>
      <c r="H130" s="99">
        <f>G130+'21'!H130</f>
        <v>15366.880000000005</v>
      </c>
      <c r="I130" s="165"/>
      <c r="J130" s="328">
        <f>H130/DAY(B2)</f>
        <v>698.49454545454569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'21'!F131</f>
        <v>28539.47</v>
      </c>
      <c r="F131" s="165">
        <v>28754.99</v>
      </c>
      <c r="G131" s="112">
        <f t="shared" si="10"/>
        <v>215.52000000000044</v>
      </c>
      <c r="H131" s="99">
        <f>G131+'21'!H131</f>
        <v>4322.4900000000016</v>
      </c>
      <c r="I131" s="165"/>
      <c r="J131" s="328">
        <f>H131/DAY(B2)</f>
        <v>196.47681818181826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'21'!F132</f>
        <v>84842.31</v>
      </c>
      <c r="F132" s="165">
        <v>85287.43</v>
      </c>
      <c r="G132" s="112">
        <f t="shared" si="10"/>
        <v>445.11999999999534</v>
      </c>
      <c r="H132" s="99">
        <f>G132+'21'!H132</f>
        <v>9619.929999999993</v>
      </c>
      <c r="I132" s="165"/>
      <c r="J132" s="328">
        <f>H132/DAY(B2)</f>
        <v>437.26954545454515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'21'!F133</f>
        <v>164392.59</v>
      </c>
      <c r="F133" s="165">
        <v>165297.78</v>
      </c>
      <c r="G133" s="112">
        <f t="shared" si="10"/>
        <v>905.19000000000233</v>
      </c>
      <c r="H133" s="99">
        <f>G133+'21'!H133</f>
        <v>19915.790000000008</v>
      </c>
      <c r="I133" s="165"/>
      <c r="J133" s="328">
        <f>H133/DAY(B2)</f>
        <v>905.26318181818215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'21'!F134</f>
        <v>25862.23</v>
      </c>
      <c r="F134" s="165">
        <v>26099.58</v>
      </c>
      <c r="G134" s="112">
        <f t="shared" si="10"/>
        <v>237.35000000000218</v>
      </c>
      <c r="H134" s="99">
        <f>G134+'21'!H134</f>
        <v>5306.9000000000015</v>
      </c>
      <c r="I134" s="165"/>
      <c r="J134" s="328">
        <f>H134/DAY(B2)</f>
        <v>241.22272727272733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3199.1500000000015</v>
      </c>
      <c r="H135" s="99">
        <f>G135+'10'!H135</f>
        <v>34907.999999999985</v>
      </c>
      <c r="I135" s="327">
        <f>G135-(G35+G49)</f>
        <v>-725.3100000000195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'21'!F138</f>
        <v>877372</v>
      </c>
      <c r="F138" s="147">
        <v>877509</v>
      </c>
      <c r="G138" s="112">
        <f t="shared" ref="G138:G152" si="11">F138-E138</f>
        <v>137</v>
      </c>
      <c r="H138" s="99">
        <f>G138+'21'!H138</f>
        <v>3508</v>
      </c>
      <c r="I138" s="118"/>
      <c r="J138" s="328">
        <f>H138/DAY(B2)</f>
        <v>159.45454545454547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'21'!F139</f>
        <v>893513</v>
      </c>
      <c r="F139" s="148">
        <v>893679</v>
      </c>
      <c r="G139" s="112">
        <f t="shared" si="11"/>
        <v>166</v>
      </c>
      <c r="H139" s="99">
        <f>G139+'21'!H139</f>
        <v>3361</v>
      </c>
      <c r="I139" s="118"/>
      <c r="J139" s="328">
        <f>H139/DAY(B2)</f>
        <v>152.77272727272728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'21'!F140</f>
        <v>89028.9</v>
      </c>
      <c r="F140" s="149">
        <v>89030.399999999994</v>
      </c>
      <c r="G140" s="112">
        <f t="shared" si="11"/>
        <v>1.5</v>
      </c>
      <c r="H140" s="99">
        <f>G140+'21'!H140</f>
        <v>40.399999999994179</v>
      </c>
      <c r="I140" s="118"/>
      <c r="J140" s="328">
        <f>H140/DAY(B2)</f>
        <v>1.8363636363633717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'21'!F141</f>
        <v>69920.38</v>
      </c>
      <c r="F141" s="149">
        <v>70123.66</v>
      </c>
      <c r="G141" s="112">
        <f t="shared" si="11"/>
        <v>203.27999999999884</v>
      </c>
      <c r="H141" s="99">
        <f>G141+'21'!H141</f>
        <v>4340.1300000000047</v>
      </c>
      <c r="I141" s="118"/>
      <c r="J141" s="328">
        <f>H141/DAY(B2)</f>
        <v>197.27863636363656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'21'!F142</f>
        <v>26864.31</v>
      </c>
      <c r="F142" s="148">
        <v>26926.42</v>
      </c>
      <c r="G142" s="112">
        <f t="shared" si="11"/>
        <v>62.109999999996944</v>
      </c>
      <c r="H142" s="99">
        <f>G142+'21'!H142</f>
        <v>1430.0199999999968</v>
      </c>
      <c r="I142" s="140"/>
      <c r="J142" s="328">
        <f>H142/DAY(B2)</f>
        <v>65.000909090908948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'21'!F143</f>
        <v>6151.29</v>
      </c>
      <c r="F143" s="149">
        <v>6179.16</v>
      </c>
      <c r="G143" s="112">
        <f t="shared" si="11"/>
        <v>27.869999999999891</v>
      </c>
      <c r="H143" s="99">
        <f>G143+'21'!H143</f>
        <v>618.44999999999982</v>
      </c>
      <c r="I143" s="140"/>
      <c r="J143" s="328">
        <f>H143/DAY(B2)</f>
        <v>28.111363636363627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'21'!F144</f>
        <v>895100</v>
      </c>
      <c r="F144" s="149">
        <v>895330</v>
      </c>
      <c r="G144" s="112">
        <f t="shared" si="11"/>
        <v>230</v>
      </c>
      <c r="H144" s="99">
        <f>G144+'21'!H144</f>
        <v>5496</v>
      </c>
      <c r="I144" s="140"/>
      <c r="J144" s="328">
        <f>H144/DAY(B2)</f>
        <v>249.81818181818181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'21'!F145</f>
        <v>5606.6</v>
      </c>
      <c r="F145" s="149">
        <v>5609.04</v>
      </c>
      <c r="G145" s="112">
        <f t="shared" si="11"/>
        <v>2.4399999999995998</v>
      </c>
      <c r="H145" s="99">
        <f>G145+'21'!H145</f>
        <v>52.640000000000327</v>
      </c>
      <c r="I145" s="140"/>
      <c r="J145" s="328">
        <f>H145/DAY(B2)</f>
        <v>2.3927272727272877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'21'!F146</f>
        <v>774667</v>
      </c>
      <c r="F146" s="148">
        <v>775150</v>
      </c>
      <c r="G146" s="112">
        <f t="shared" si="11"/>
        <v>483</v>
      </c>
      <c r="H146" s="99">
        <f>G146+'21'!H146</f>
        <v>10824</v>
      </c>
      <c r="I146" s="140"/>
      <c r="J146" s="328">
        <f>H146/DAY(B2)</f>
        <v>492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'21'!F147</f>
        <v>659367.96</v>
      </c>
      <c r="F147" s="148">
        <v>659791.16</v>
      </c>
      <c r="G147" s="112">
        <f t="shared" si="11"/>
        <v>423.20000000006985</v>
      </c>
      <c r="H147" s="99">
        <f>G147+'21'!H147</f>
        <v>9607.1600000000326</v>
      </c>
      <c r="I147" s="140"/>
      <c r="J147" s="328">
        <f>H147/DAY(B2)</f>
        <v>436.68909090909239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'21'!F148</f>
        <v>716493.44</v>
      </c>
      <c r="F148" s="150">
        <v>716822.48</v>
      </c>
      <c r="G148" s="112">
        <f t="shared" si="11"/>
        <v>329.04000000003725</v>
      </c>
      <c r="H148" s="99">
        <f>G148+'21'!H148</f>
        <v>7957.7999999999302</v>
      </c>
      <c r="I148" s="124"/>
      <c r="J148" s="328">
        <f>H148/DAY(B2)</f>
        <v>361.71818181817866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'21'!F149</f>
        <v>77328.100000000006</v>
      </c>
      <c r="F149" s="146">
        <v>78018.91</v>
      </c>
      <c r="G149" s="112">
        <f t="shared" si="11"/>
        <v>690.80999999999767</v>
      </c>
      <c r="H149" s="99">
        <f>G149+'21'!H149</f>
        <v>14795.11</v>
      </c>
      <c r="I149" s="119"/>
      <c r="J149" s="328">
        <f>H149/DAY(B2)</f>
        <v>672.505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'21'!F150</f>
        <v>28671.35</v>
      </c>
      <c r="F150" s="233">
        <v>28883.62</v>
      </c>
      <c r="G150" s="112">
        <f t="shared" si="11"/>
        <v>212.27000000000044</v>
      </c>
      <c r="H150" s="99">
        <f>G150+'21'!H150</f>
        <v>4927.8299999999981</v>
      </c>
      <c r="I150" s="119"/>
      <c r="J150" s="328">
        <f>H150/DAY(B2)</f>
        <v>223.99227272727265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'21'!F151</f>
        <v>106565</v>
      </c>
      <c r="F151" s="233">
        <v>106827</v>
      </c>
      <c r="G151" s="112">
        <f t="shared" si="11"/>
        <v>262</v>
      </c>
      <c r="H151" s="99">
        <f>G151+'21'!H151</f>
        <v>6216</v>
      </c>
      <c r="I151" s="119"/>
      <c r="J151" s="328">
        <f>H151/DAY(B2)</f>
        <v>282.54545454545456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'21'!F152</f>
        <v>10397.450000000001</v>
      </c>
      <c r="F152" s="233">
        <v>10457.92</v>
      </c>
      <c r="G152" s="112">
        <f t="shared" si="11"/>
        <v>60.469999999999345</v>
      </c>
      <c r="H152" s="99">
        <f>G152+'21'!H152</f>
        <v>2388.8599999999997</v>
      </c>
      <c r="I152" s="119"/>
      <c r="J152" s="328">
        <f>H152/DAY(B2)</f>
        <v>108.58454545454543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3290.9900000000998</v>
      </c>
      <c r="H153" s="363"/>
      <c r="I153" s="119">
        <f>G153-(G38+G52)</f>
        <v>967.39000000009401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'21'!F155</f>
        <v>86712.02</v>
      </c>
      <c r="F155" s="374">
        <v>87404.25</v>
      </c>
      <c r="G155" s="112">
        <f t="shared" ref="G155:G158" si="12">F155-E155</f>
        <v>692.22999999999593</v>
      </c>
      <c r="H155" s="99">
        <f>G155+'21'!H155</f>
        <v>14633.75</v>
      </c>
      <c r="I155" s="364"/>
      <c r="J155" s="328">
        <f>H155/DAY(B2)</f>
        <v>665.1704545454545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'21'!F156</f>
        <v>7199.26</v>
      </c>
      <c r="F156" s="155">
        <v>7252.02</v>
      </c>
      <c r="G156" s="112">
        <f t="shared" si="12"/>
        <v>52.760000000000218</v>
      </c>
      <c r="H156" s="99">
        <f>G156+'21'!H156</f>
        <v>1194.7700000000004</v>
      </c>
      <c r="I156" s="165"/>
      <c r="J156" s="328">
        <f>H156/DAY(B2)</f>
        <v>54.307727272727291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'21'!F157</f>
        <v>12480.16</v>
      </c>
      <c r="F157" s="155">
        <v>12597.72</v>
      </c>
      <c r="G157" s="112">
        <f t="shared" si="12"/>
        <v>117.55999999999949</v>
      </c>
      <c r="H157" s="99">
        <f>G157+'21'!H157</f>
        <v>324.71999999999935</v>
      </c>
      <c r="I157" s="165"/>
      <c r="J157" s="328">
        <f>H157/DAY(B2)</f>
        <v>14.75999999999997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'21'!F158</f>
        <v>98</v>
      </c>
      <c r="F158" s="155">
        <v>98.41</v>
      </c>
      <c r="G158" s="112">
        <f t="shared" si="12"/>
        <v>0.40999999999999659</v>
      </c>
      <c r="H158" s="99">
        <f>G158+'21'!H158</f>
        <v>0.93999999999999773</v>
      </c>
      <c r="I158" s="165"/>
      <c r="J158" s="328">
        <f>H158/DAY(B2)</f>
        <v>4.2727272727272621E-2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474570</v>
      </c>
      <c r="F161" s="235">
        <v>474593.84</v>
      </c>
      <c r="G161" s="238">
        <f t="shared" ref="G161:G165" si="13">F161-E161</f>
        <v>23.840000000025611</v>
      </c>
      <c r="H161" s="99">
        <f>G161+'21'!H161</f>
        <v>753.11000000004424</v>
      </c>
      <c r="I161" s="236"/>
      <c r="J161" s="239">
        <f>H161/DAY(B2)</f>
        <v>34.23227272727474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91228.4</v>
      </c>
      <c r="F162" s="235">
        <v>91264.7</v>
      </c>
      <c r="G162" s="238">
        <f t="shared" si="13"/>
        <v>36.30000000000291</v>
      </c>
      <c r="H162" s="99">
        <f>G162+'21'!H162</f>
        <v>811.80000000000291</v>
      </c>
      <c r="I162" s="236"/>
      <c r="J162" s="239">
        <f>H162/DAY(B2)</f>
        <v>36.900000000000134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90578.7</v>
      </c>
      <c r="F163" s="235">
        <v>90750.2</v>
      </c>
      <c r="G163" s="238">
        <f t="shared" si="13"/>
        <v>171.5</v>
      </c>
      <c r="H163" s="99">
        <f>G163+'21'!H163</f>
        <v>3671.3999999999942</v>
      </c>
      <c r="I163" s="236"/>
      <c r="J163" s="239">
        <f>H163/DAY(B2)</f>
        <v>166.88181818181792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5078.6000000000004</v>
      </c>
      <c r="F164" s="235">
        <v>5093.3</v>
      </c>
      <c r="G164" s="238">
        <f t="shared" si="13"/>
        <v>14.699999999999818</v>
      </c>
      <c r="H164" s="99">
        <f>G164+'21'!H164</f>
        <v>280.90000000000055</v>
      </c>
      <c r="I164" s="236"/>
      <c r="J164" s="239">
        <f>H164/DAY(B2)</f>
        <v>12.768181818181843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30539.68</v>
      </c>
      <c r="F165" s="235">
        <v>30550.799999999999</v>
      </c>
      <c r="G165" s="238">
        <f t="shared" si="13"/>
        <v>11.119999999998981</v>
      </c>
      <c r="H165" s="99">
        <f>G165+'21'!H165</f>
        <v>195.29000000000087</v>
      </c>
      <c r="I165" s="236"/>
      <c r="J165" s="239">
        <f>H165/DAY(B2)</f>
        <v>8.876818181818221</v>
      </c>
    </row>
    <row r="166" spans="1:10" ht="21.95" customHeight="1">
      <c r="A166" s="938"/>
      <c r="B166" s="938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8"/>
      <c r="B167" s="938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8"/>
      <c r="B168" s="938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'21'!F173</f>
        <v>8351</v>
      </c>
      <c r="F173" s="155">
        <v>8351</v>
      </c>
      <c r="G173" s="155">
        <f>F173-E173</f>
        <v>0</v>
      </c>
      <c r="H173" s="99">
        <f>G173+'21'!H173</f>
        <v>87</v>
      </c>
      <c r="I173" s="155"/>
      <c r="J173" s="178">
        <f>H173/DAY(B2)</f>
        <v>3.9545454545454546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'21'!F174</f>
        <v>39782</v>
      </c>
      <c r="F174" s="157">
        <v>39798</v>
      </c>
      <c r="G174" s="155">
        <f t="shared" ref="G174:G175" si="14">F174-E174</f>
        <v>16</v>
      </c>
      <c r="H174" s="99">
        <f>G174+'21'!H174</f>
        <v>336</v>
      </c>
      <c r="I174" s="155"/>
      <c r="J174" s="178">
        <f>H174/DAY(B2)</f>
        <v>15.272727272727273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'21'!F175</f>
        <v>22782</v>
      </c>
      <c r="F175" s="155">
        <v>22794</v>
      </c>
      <c r="G175" s="155">
        <f t="shared" si="14"/>
        <v>12</v>
      </c>
      <c r="H175" s="99">
        <f>G175+'21'!H175</f>
        <v>272</v>
      </c>
      <c r="I175" s="155"/>
      <c r="J175" s="178">
        <f>H175/DAY(B2)</f>
        <v>12.363636363636363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G176+'21'!H176</f>
        <v>695</v>
      </c>
      <c r="I176" s="155"/>
      <c r="J176" s="178">
        <f>H176/DAY(B2)</f>
        <v>31.59090909090909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'21'!F178</f>
        <v>87683</v>
      </c>
      <c r="F178" s="155">
        <v>87768</v>
      </c>
      <c r="G178" s="155">
        <f>F178-E178</f>
        <v>85</v>
      </c>
      <c r="H178" s="99">
        <f>G178+'21'!H178</f>
        <v>2152</v>
      </c>
      <c r="I178" s="155"/>
      <c r="J178" s="178">
        <f>H178/DAY(B2)</f>
        <v>97.818181818181813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'21'!F179</f>
        <v>35727</v>
      </c>
      <c r="F179" s="155">
        <v>35732</v>
      </c>
      <c r="G179" s="155">
        <f t="shared" ref="G179:G180" si="15">F179-E179</f>
        <v>5</v>
      </c>
      <c r="H179" s="99">
        <f>G179+'21'!H179</f>
        <v>118</v>
      </c>
      <c r="I179" s="155"/>
      <c r="J179" s="178">
        <f>H179/DAY(B2)</f>
        <v>5.3636363636363633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'21'!F180</f>
        <v>6315</v>
      </c>
      <c r="F180" s="155">
        <v>6319</v>
      </c>
      <c r="G180" s="374">
        <f t="shared" si="15"/>
        <v>4</v>
      </c>
      <c r="H180" s="99">
        <f>G180+'21'!H180</f>
        <v>186</v>
      </c>
      <c r="I180" s="155"/>
      <c r="J180" s="178">
        <f>H180/DAY(B2)</f>
        <v>8.454545454545455</v>
      </c>
    </row>
    <row r="181" spans="1:10" ht="27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94</v>
      </c>
      <c r="H181" s="99">
        <f>G181+'21'!H181</f>
        <v>2456</v>
      </c>
      <c r="I181" s="155"/>
      <c r="J181" s="178">
        <f>H181/DAY(B2)</f>
        <v>111.63636363636364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'21'!F183</f>
        <v>16468</v>
      </c>
      <c r="F183" s="157">
        <v>16482</v>
      </c>
      <c r="G183" s="157">
        <f>F183-E183</f>
        <v>14</v>
      </c>
      <c r="H183" s="99">
        <f>G183+'21'!H183</f>
        <v>340</v>
      </c>
      <c r="I183" s="155"/>
      <c r="J183" s="178">
        <f>H183/DAY(B2)</f>
        <v>15.454545454545455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'21'!F184</f>
        <v>11209</v>
      </c>
      <c r="F184" s="157">
        <v>11211</v>
      </c>
      <c r="G184" s="157">
        <f t="shared" ref="G184:G185" si="16">F184-E184</f>
        <v>2</v>
      </c>
      <c r="H184" s="99">
        <f>G184+'21'!H184</f>
        <v>162</v>
      </c>
      <c r="I184" s="155"/>
      <c r="J184" s="178">
        <f>H184/DAY(B2)</f>
        <v>7.3636363636363633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16</v>
      </c>
      <c r="H186" s="99">
        <f>G186+'21'!H186</f>
        <v>502</v>
      </c>
      <c r="I186" s="157"/>
      <c r="J186" s="178">
        <f>H186/DAY(B2)</f>
        <v>22.818181818181817</v>
      </c>
    </row>
    <row r="187" spans="1:10" ht="25.5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226</v>
      </c>
      <c r="H187" s="99">
        <f>G187+'21'!H187</f>
        <v>5003</v>
      </c>
      <c r="I187" s="158"/>
      <c r="J187" s="179">
        <f>H187/DAY(B2)</f>
        <v>227.40909090909091</v>
      </c>
    </row>
    <row r="188" spans="1:10" ht="25.5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229</v>
      </c>
      <c r="H188" s="99">
        <f>G188+'21'!H188</f>
        <v>1826</v>
      </c>
      <c r="I188" s="158"/>
      <c r="J188" s="179">
        <f>H188/DAY(B2)</f>
        <v>83</v>
      </c>
    </row>
    <row r="189" spans="1:10" ht="25.5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94</v>
      </c>
      <c r="H189" s="99">
        <f>G189+'21'!H189</f>
        <v>435</v>
      </c>
      <c r="I189" s="158"/>
      <c r="J189" s="179">
        <f>H189/DAY(B2)</f>
        <v>19.772727272727273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00" zoomScale="50" zoomScaleNormal="80" zoomScaleSheetLayoutView="50" workbookViewId="0">
      <selection activeCell="A117" sqref="A117:XFD117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30.75" customHeight="1">
      <c r="A2" s="191" t="s">
        <v>354</v>
      </c>
      <c r="B2" s="262">
        <v>44674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599829.79</v>
      </c>
      <c r="F7" s="95">
        <v>630734.31000000006</v>
      </c>
      <c r="G7" s="112">
        <f>F7-E7</f>
        <v>30904.520000000019</v>
      </c>
      <c r="H7" s="99">
        <f>G7+'22'!H7</f>
        <v>644011.31000000006</v>
      </c>
      <c r="I7" s="113">
        <f>'1'!I7</f>
        <v>12000</v>
      </c>
      <c r="J7" s="175">
        <f>H7/DAY(B2)</f>
        <v>28000.491739130437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683783.03</v>
      </c>
      <c r="F8" s="114">
        <v>715431.43</v>
      </c>
      <c r="G8" s="115">
        <f>F8-E8</f>
        <v>31648.400000000023</v>
      </c>
      <c r="H8" s="99">
        <f>G8+'22'!H8</f>
        <v>657385.21000000008</v>
      </c>
      <c r="I8" s="116"/>
      <c r="J8" s="175">
        <f>H8/DAY(B2)</f>
        <v>28581.965652173916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1701065.9</v>
      </c>
      <c r="F9" s="470">
        <v>1723690.1</v>
      </c>
      <c r="G9" s="112">
        <f>F9-E9</f>
        <v>22624.200000000186</v>
      </c>
      <c r="H9" s="99">
        <f>G9+'22'!H9</f>
        <v>456015.10000000009</v>
      </c>
      <c r="I9" s="124">
        <f>I7-J7</f>
        <v>-16000.491739130437</v>
      </c>
      <c r="J9" s="175">
        <f>H9/DAY(B2)</f>
        <v>19826.743478260873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581007.43000000005</v>
      </c>
      <c r="F10" s="353">
        <v>588434.91</v>
      </c>
      <c r="G10" s="112">
        <f t="shared" ref="G10:G11" si="0">F10-E10</f>
        <v>7427.4799999999814</v>
      </c>
      <c r="H10" s="99">
        <f>G10+'22'!H10</f>
        <v>170159.44000000006</v>
      </c>
      <c r="I10" s="282"/>
      <c r="J10" s="175">
        <f>H10/DAY(B2)</f>
        <v>7398.2365217391334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30051.680000000168</v>
      </c>
      <c r="H13" s="99">
        <f>G13+'22'!H13</f>
        <v>626175.01000000013</v>
      </c>
      <c r="I13" s="120">
        <f>G7-G13</f>
        <v>852.83999999985099</v>
      </c>
      <c r="J13" s="175">
        <f>H13/DAY(B2)</f>
        <v>27225.000434782614</v>
      </c>
      <c r="K13" s="79"/>
      <c r="L13" s="66"/>
      <c r="N13" s="87"/>
      <c r="O13" s="71"/>
    </row>
    <row r="14" spans="1:15" ht="30.7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1994931.58</v>
      </c>
      <c r="F15" s="470">
        <v>1996049.72</v>
      </c>
      <c r="G15" s="112">
        <f>(F15-E15)</f>
        <v>1118.1399999998976</v>
      </c>
      <c r="H15" s="99">
        <f>G15+'22'!H15</f>
        <v>25112.719999999972</v>
      </c>
      <c r="I15" s="113">
        <f>'1'!I15</f>
        <v>800</v>
      </c>
      <c r="J15" s="175">
        <f>H15/DAY(B2)</f>
        <v>1091.8573913043467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-291.85739130434672</v>
      </c>
      <c r="J16" s="176"/>
      <c r="K16" s="79"/>
      <c r="L16" s="66"/>
      <c r="N16" s="87"/>
      <c r="O16" s="71"/>
    </row>
    <row r="17" spans="1:15" ht="30.7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4" t="s">
        <v>141</v>
      </c>
      <c r="B18" s="875"/>
      <c r="C18" s="876"/>
      <c r="D18" s="151" t="s">
        <v>142</v>
      </c>
      <c r="E18" s="95">
        <f>'22'!F18</f>
        <v>24</v>
      </c>
      <c r="F18" s="122">
        <v>24</v>
      </c>
      <c r="G18" s="119">
        <f>F18*10</f>
        <v>240</v>
      </c>
      <c r="H18" s="99">
        <f>G18+'22'!H18</f>
        <v>5690</v>
      </c>
      <c r="I18" s="113">
        <f>'1'!I18</f>
        <v>65</v>
      </c>
      <c r="J18" s="175">
        <f>H18/DAY(B2)</f>
        <v>247.39130434782609</v>
      </c>
      <c r="K18" s="79"/>
      <c r="L18" s="66"/>
      <c r="N18" s="87"/>
      <c r="O18" s="71"/>
    </row>
    <row r="19" spans="1:15" ht="30.75" customHeight="1">
      <c r="A19" s="874" t="s">
        <v>69</v>
      </c>
      <c r="B19" s="875"/>
      <c r="C19" s="876"/>
      <c r="D19" s="151" t="s">
        <v>142</v>
      </c>
      <c r="E19" s="95">
        <f>'22'!F19</f>
        <v>158054</v>
      </c>
      <c r="F19" s="122">
        <v>158105</v>
      </c>
      <c r="G19" s="112">
        <f t="shared" ref="G19" si="1">F19-E19</f>
        <v>51</v>
      </c>
      <c r="H19" s="99">
        <f>G19+'22'!H19</f>
        <v>1116</v>
      </c>
      <c r="I19" s="335"/>
      <c r="J19" s="175">
        <f>H19/DAY(B2)</f>
        <v>48.521739130434781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G20+'22'!H20</f>
        <v>6806</v>
      </c>
      <c r="I20" s="336">
        <f>I18-J20</f>
        <v>-230.91304347826087</v>
      </c>
      <c r="J20" s="175">
        <f>H20/DAY(B2)</f>
        <v>295.91304347826087</v>
      </c>
      <c r="K20" s="79"/>
      <c r="L20" s="66"/>
      <c r="N20" s="87"/>
      <c r="O20" s="71"/>
    </row>
    <row r="21" spans="1:15" ht="30.7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31648.400000000023</v>
      </c>
      <c r="F27" s="136">
        <v>9</v>
      </c>
      <c r="G27" s="137">
        <f>E27*F27</f>
        <v>284835.60000000021</v>
      </c>
      <c r="H27" s="99">
        <f>G27+'22'!H27</f>
        <v>5916466.8900000006</v>
      </c>
      <c r="I27" s="138"/>
      <c r="J27" s="175">
        <f>H27/DAY(B2)</f>
        <v>257237.69086956524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1118.1399999998976</v>
      </c>
      <c r="F28" s="136">
        <v>70</v>
      </c>
      <c r="G28" s="137">
        <f>E28*F28</f>
        <v>78269.799999992829</v>
      </c>
      <c r="H28" s="99">
        <f>G28+'22'!H28</f>
        <v>1698615.8599999975</v>
      </c>
      <c r="I28" s="140"/>
      <c r="J28" s="175">
        <f>H28/DAY(B2)</f>
        <v>73852.86347826077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G30+'22'!H30</f>
        <v>167846</v>
      </c>
      <c r="I30" s="140"/>
      <c r="J30" s="175">
        <f>H30/DAY(B2)</f>
        <v>7297.652173913043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G31+'22'!H31</f>
        <v>455200</v>
      </c>
      <c r="I31" s="140"/>
      <c r="J31" s="175">
        <f>H31/DAY(B2)</f>
        <v>19791.304347826088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390006.39999999304</v>
      </c>
      <c r="H32" s="99">
        <f>G32+'22'!H32</f>
        <v>8238128.7499999981</v>
      </c>
      <c r="I32" s="144"/>
      <c r="J32" s="175">
        <f>H32/DAY(B2)</f>
        <v>358179.51086956513</v>
      </c>
      <c r="K32" s="63"/>
      <c r="L32" s="89"/>
      <c r="N32" s="87"/>
      <c r="O32" s="71"/>
    </row>
    <row r="33" spans="1:15" ht="30.7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185709.25</v>
      </c>
      <c r="F35" s="145">
        <v>187758.07</v>
      </c>
      <c r="G35" s="112">
        <f t="shared" ref="G35:G46" si="3">F35-E35</f>
        <v>2048.820000000007</v>
      </c>
      <c r="H35" s="99">
        <f>G35+'22'!H35</f>
        <v>49478.860000000015</v>
      </c>
      <c r="I35" s="95"/>
      <c r="J35" s="175">
        <f>H35/DAY(B2)</f>
        <v>2151.2547826086961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122692.98</v>
      </c>
      <c r="F36" s="145">
        <v>123989</v>
      </c>
      <c r="G36" s="112">
        <f t="shared" si="3"/>
        <v>1296.0200000000041</v>
      </c>
      <c r="H36" s="99">
        <f>G36+'22'!H36</f>
        <v>23468.339999999997</v>
      </c>
      <c r="I36" s="95"/>
      <c r="J36" s="175">
        <f>H36/DAY(B2)</f>
        <v>1020.3626086956521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169051.45</v>
      </c>
      <c r="F37" s="145">
        <v>170913.19</v>
      </c>
      <c r="G37" s="112">
        <f t="shared" si="3"/>
        <v>1861.7399999999907</v>
      </c>
      <c r="H37" s="99">
        <f>G37+'22'!H37</f>
        <v>37988.170000000013</v>
      </c>
      <c r="I37" s="95"/>
      <c r="J37" s="175">
        <f>H37/DAY(B2)</f>
        <v>1651.6595652173919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224099.29</v>
      </c>
      <c r="F38" s="108">
        <v>226515.95</v>
      </c>
      <c r="G38" s="112">
        <f t="shared" si="3"/>
        <v>2416.6600000000035</v>
      </c>
      <c r="H38" s="99">
        <f>G38+'22'!H38</f>
        <v>56406.580000000016</v>
      </c>
      <c r="I38" s="95"/>
      <c r="J38" s="175">
        <f>H38/DAY(B2)</f>
        <v>2452.4600000000005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316166.93</v>
      </c>
      <c r="F39" s="145">
        <v>319323.73</v>
      </c>
      <c r="G39" s="112">
        <f t="shared" si="3"/>
        <v>3156.7999999999884</v>
      </c>
      <c r="H39" s="99">
        <f>G39+'22'!H39</f>
        <v>75170.299999999988</v>
      </c>
      <c r="I39" s="95"/>
      <c r="J39" s="175">
        <f>H39/DAY(B2)</f>
        <v>3268.2739130434779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59306.23</v>
      </c>
      <c r="F40" s="145">
        <v>59903.65</v>
      </c>
      <c r="G40" s="112">
        <f t="shared" si="3"/>
        <v>597.41999999999825</v>
      </c>
      <c r="H40" s="99">
        <f>G40+'22'!H40</f>
        <v>10751.79</v>
      </c>
      <c r="I40" s="95"/>
      <c r="J40" s="175">
        <f>H40/DAY(B2)</f>
        <v>467.46913043478264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1266.51</v>
      </c>
      <c r="G41" s="112">
        <f t="shared" si="3"/>
        <v>1203.51</v>
      </c>
      <c r="H41" s="99">
        <f>G41+'22'!H41</f>
        <v>1203.51</v>
      </c>
      <c r="I41" s="95"/>
      <c r="J41" s="175">
        <f>H41/DAY(B2)</f>
        <v>52.326521739130435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382700.35</v>
      </c>
      <c r="F42" s="145">
        <v>388368.33</v>
      </c>
      <c r="G42" s="112">
        <f t="shared" si="3"/>
        <v>5667.9800000000396</v>
      </c>
      <c r="H42" s="99">
        <f>G42+'22'!H42</f>
        <v>107011.08000000002</v>
      </c>
      <c r="I42" s="95"/>
      <c r="J42" s="175">
        <f>H42/DAY(B2)</f>
        <v>4652.6556521739139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329845.89</v>
      </c>
      <c r="F43" s="145">
        <v>333606.45</v>
      </c>
      <c r="G43" s="112">
        <f t="shared" si="3"/>
        <v>3760.5599999999977</v>
      </c>
      <c r="H43" s="99">
        <f>G43+'22'!H43</f>
        <v>74851.98000000001</v>
      </c>
      <c r="I43" s="95"/>
      <c r="J43" s="175">
        <f>H43/DAY(B2)</f>
        <v>3254.4339130434787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22009.510000000031</v>
      </c>
      <c r="H47" s="99">
        <f>G47+'22'!H47</f>
        <v>436330.60999999993</v>
      </c>
      <c r="I47" s="95"/>
      <c r="J47" s="175">
        <f>H47/DAY(B2)</f>
        <v>18970.89608695652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150579.29</v>
      </c>
      <c r="F49" s="145">
        <v>152453.89000000001</v>
      </c>
      <c r="G49" s="112">
        <f t="shared" ref="G49:G58" si="4">F49-E49</f>
        <v>1874.6000000000058</v>
      </c>
      <c r="H49" s="99">
        <f>G49+'22'!H49</f>
        <v>41951.690000000017</v>
      </c>
      <c r="I49" s="95"/>
      <c r="J49" s="175">
        <f>H49/DAY(B2)</f>
        <v>1823.9865217391311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161747.26999999999</v>
      </c>
      <c r="F50" s="145">
        <v>163150.6</v>
      </c>
      <c r="G50" s="112">
        <f t="shared" si="4"/>
        <v>1403.3300000000163</v>
      </c>
      <c r="H50" s="99">
        <f>G50+'22'!H50</f>
        <v>31940.459999999992</v>
      </c>
      <c r="I50" s="95"/>
      <c r="J50" s="175">
        <f>H50/DAY(B2)</f>
        <v>1388.7156521739128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46301.95</v>
      </c>
      <c r="F54" s="145">
        <v>46756.79</v>
      </c>
      <c r="G54" s="112">
        <f t="shared" si="4"/>
        <v>454.84000000000378</v>
      </c>
      <c r="H54" s="99">
        <f>G54+'22'!H54</f>
        <v>11085.730000000003</v>
      </c>
      <c r="I54" s="95"/>
      <c r="J54" s="175">
        <f>H54/DAY(B2)</f>
        <v>481.98826086956535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138906.9</v>
      </c>
      <c r="F55" s="145">
        <v>141834.63</v>
      </c>
      <c r="G55" s="112">
        <f t="shared" si="4"/>
        <v>2927.7300000000105</v>
      </c>
      <c r="H55" s="99">
        <f>G55+'22'!H55</f>
        <v>29353.600000000006</v>
      </c>
      <c r="I55" s="95"/>
      <c r="J55" s="175">
        <f>H55/DAY(B2)</f>
        <v>1276.2434782608698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107245.66</v>
      </c>
      <c r="F56" s="145">
        <v>107245.66</v>
      </c>
      <c r="G56" s="112">
        <f t="shared" si="4"/>
        <v>0</v>
      </c>
      <c r="H56" s="99">
        <f>G56+'22'!H56</f>
        <v>35627.98000000001</v>
      </c>
      <c r="I56" s="95"/>
      <c r="J56" s="175">
        <f>H56/DAY(B2)</f>
        <v>1549.0426086956527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23638.36</v>
      </c>
      <c r="F58" s="145">
        <v>23871.200000000001</v>
      </c>
      <c r="G58" s="112">
        <f t="shared" si="4"/>
        <v>232.84000000000015</v>
      </c>
      <c r="H58" s="99">
        <f>G58+'22'!H58</f>
        <v>5417</v>
      </c>
      <c r="I58" s="95"/>
      <c r="J58" s="175">
        <f>H58/DAY(B2)</f>
        <v>235.52173913043478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6893.3400000000365</v>
      </c>
      <c r="H59" s="99">
        <f>G59+'22'!H59</f>
        <v>155376.54</v>
      </c>
      <c r="I59" s="95">
        <f>G7-G60</f>
        <v>2001.669999999951</v>
      </c>
      <c r="J59" s="175">
        <f>H59/DAY(B2)</f>
        <v>6755.5017391304355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28902.850000000068</v>
      </c>
      <c r="H60" s="99">
        <f>G60+'22'!H60</f>
        <v>591707.15</v>
      </c>
      <c r="I60" s="95">
        <f>G13-G60</f>
        <v>1148.8300000001</v>
      </c>
      <c r="J60" s="175">
        <f>H60/DAY(B2)</f>
        <v>25726.397826086959</v>
      </c>
      <c r="K60" s="79"/>
      <c r="L60" s="66"/>
      <c r="N60" s="87"/>
      <c r="O60" s="71"/>
    </row>
    <row r="61" spans="1:15" s="68" customFormat="1" ht="30.75" customHeight="1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4" t="s">
        <v>198</v>
      </c>
      <c r="B62" s="875"/>
      <c r="C62" s="876"/>
      <c r="D62" s="151" t="s">
        <v>142</v>
      </c>
      <c r="E62" s="95">
        <f>'22'!F62</f>
        <v>282564</v>
      </c>
      <c r="F62" s="122">
        <v>282775</v>
      </c>
      <c r="G62" s="112">
        <f t="shared" ref="G62:G63" si="5">F62-E62</f>
        <v>211</v>
      </c>
      <c r="H62" s="99">
        <f>G62+'22'!H62</f>
        <v>4149</v>
      </c>
      <c r="I62" s="118"/>
      <c r="J62" s="175">
        <f>H62/DAY(B2)</f>
        <v>180.39130434782609</v>
      </c>
      <c r="K62" s="80"/>
      <c r="L62" s="66"/>
      <c r="N62" s="87"/>
      <c r="O62" s="71"/>
    </row>
    <row r="63" spans="1:15" ht="30.75" customHeight="1">
      <c r="A63" s="874" t="s">
        <v>199</v>
      </c>
      <c r="B63" s="875"/>
      <c r="C63" s="876"/>
      <c r="D63" s="151" t="s">
        <v>142</v>
      </c>
      <c r="E63" s="95">
        <f>'22'!F63</f>
        <v>226420</v>
      </c>
      <c r="F63" s="122">
        <v>226573</v>
      </c>
      <c r="G63" s="112">
        <f t="shared" si="5"/>
        <v>153</v>
      </c>
      <c r="H63" s="99">
        <f>G63+'22'!H63</f>
        <v>3492</v>
      </c>
      <c r="I63" s="118"/>
      <c r="J63" s="175">
        <f>H63/DAY(B2)</f>
        <v>151.82608695652175</v>
      </c>
      <c r="K63" s="69"/>
      <c r="L63" s="66"/>
      <c r="N63" s="87"/>
      <c r="O63" s="71"/>
    </row>
    <row r="64" spans="1:15" ht="30.75" customHeight="1">
      <c r="A64" s="871" t="s">
        <v>200</v>
      </c>
      <c r="B64" s="872"/>
      <c r="C64" s="873"/>
      <c r="D64" s="151"/>
      <c r="E64" s="95">
        <f>'22'!F64</f>
        <v>0</v>
      </c>
      <c r="F64" s="122"/>
      <c r="G64" s="112">
        <f>G62+G63</f>
        <v>364</v>
      </c>
      <c r="H64" s="99">
        <f>G64+'22'!H64</f>
        <v>7641</v>
      </c>
      <c r="I64" s="118"/>
      <c r="J64" s="175">
        <f>H64/DAY(B2)</f>
        <v>332.21739130434781</v>
      </c>
      <c r="K64" s="69"/>
      <c r="L64" s="66"/>
      <c r="N64" s="87"/>
      <c r="O64" s="71"/>
    </row>
    <row r="65" spans="1:15" ht="30.75" customHeight="1">
      <c r="A65" s="874" t="s">
        <v>201</v>
      </c>
      <c r="B65" s="875"/>
      <c r="C65" s="876"/>
      <c r="D65" s="151" t="s">
        <v>142</v>
      </c>
      <c r="E65" s="95">
        <f>'22'!F65</f>
        <v>443639</v>
      </c>
      <c r="F65" s="122">
        <v>443789</v>
      </c>
      <c r="G65" s="112">
        <f t="shared" ref="G65:G70" si="6">F65-E65</f>
        <v>150</v>
      </c>
      <c r="H65" s="99">
        <f>G65+'22'!H65</f>
        <v>2658</v>
      </c>
      <c r="I65" s="118"/>
      <c r="J65" s="175">
        <f>H65/DAY(B2)</f>
        <v>115.56521739130434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109442</v>
      </c>
      <c r="F66" s="122">
        <v>109459</v>
      </c>
      <c r="G66" s="112">
        <f t="shared" si="6"/>
        <v>17</v>
      </c>
      <c r="H66" s="99">
        <f>G66+'22'!H66</f>
        <v>389</v>
      </c>
      <c r="I66" s="118"/>
      <c r="J66" s="175">
        <f>H66/DAY(B2)</f>
        <v>16.913043478260871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110258</v>
      </c>
      <c r="F67" s="150">
        <v>110347</v>
      </c>
      <c r="G67" s="112">
        <f t="shared" si="6"/>
        <v>89</v>
      </c>
      <c r="H67" s="99">
        <f>G67+'22'!H67</f>
        <v>1754</v>
      </c>
      <c r="I67" s="118"/>
      <c r="J67" s="175">
        <f>H67/DAY(B2)</f>
        <v>76.260869565217391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161391</v>
      </c>
      <c r="F68" s="122">
        <v>161461</v>
      </c>
      <c r="G68" s="112">
        <f t="shared" si="6"/>
        <v>70</v>
      </c>
      <c r="H68" s="99">
        <f>G68+'22'!H68</f>
        <v>1052</v>
      </c>
      <c r="I68" s="118"/>
      <c r="J68" s="175">
        <f>H68/DAY(B2)</f>
        <v>45.739130434782609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11483</v>
      </c>
      <c r="F69" s="122">
        <v>11490</v>
      </c>
      <c r="G69" s="112">
        <f t="shared" si="6"/>
        <v>7</v>
      </c>
      <c r="H69" s="99">
        <f>G69+'22'!H69</f>
        <v>289</v>
      </c>
      <c r="I69" s="118"/>
      <c r="J69" s="175">
        <f>H69/DAY(B2)</f>
        <v>12.565217391304348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8928</v>
      </c>
      <c r="F70" s="150">
        <v>8937</v>
      </c>
      <c r="G70" s="112">
        <f t="shared" si="6"/>
        <v>9</v>
      </c>
      <c r="H70" s="99">
        <f>G70+'22'!H70</f>
        <v>209</v>
      </c>
      <c r="I70" s="118"/>
      <c r="J70" s="175">
        <f>H70/DAY(B2)</f>
        <v>9.0869565217391308</v>
      </c>
      <c r="K70" s="69"/>
      <c r="L70" s="66"/>
      <c r="N70" s="87"/>
      <c r="O70" s="71"/>
    </row>
    <row r="71" spans="1:15" ht="30.75" customHeight="1">
      <c r="A71" s="871" t="s">
        <v>208</v>
      </c>
      <c r="B71" s="872"/>
      <c r="C71" s="873"/>
      <c r="D71" s="152"/>
      <c r="E71" s="152"/>
      <c r="F71" s="152"/>
      <c r="G71" s="153">
        <f>SUM(G65:G70)</f>
        <v>342</v>
      </c>
      <c r="H71" s="99">
        <f>G71+'22'!H71</f>
        <v>6351</v>
      </c>
      <c r="I71" s="154"/>
      <c r="J71" s="175">
        <f>H71/DAY(B2)</f>
        <v>276.13043478260869</v>
      </c>
      <c r="K71" s="69"/>
      <c r="L71" s="66"/>
      <c r="N71" s="87"/>
      <c r="O71" s="71"/>
    </row>
    <row r="72" spans="1:15" s="88" customFormat="1" ht="30.7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4" t="s">
        <v>220</v>
      </c>
      <c r="B74" s="875"/>
      <c r="C74" s="876"/>
      <c r="D74" s="151" t="s">
        <v>139</v>
      </c>
      <c r="E74" s="95">
        <f>'22'!F74</f>
        <v>926237.98</v>
      </c>
      <c r="F74" s="117">
        <v>926556.34</v>
      </c>
      <c r="G74" s="112">
        <f t="shared" ref="G74:G78" si="7">F74-E74</f>
        <v>318.35999999998603</v>
      </c>
      <c r="H74" s="99">
        <f>G74+'22'!H74</f>
        <v>7231.8299999999581</v>
      </c>
      <c r="I74" s="154"/>
      <c r="J74" s="175">
        <f>H74/DAY(B2)</f>
        <v>314.42739130434603</v>
      </c>
      <c r="K74" s="69"/>
      <c r="L74" s="66"/>
      <c r="N74" s="87"/>
      <c r="O74" s="71"/>
    </row>
    <row r="75" spans="1:15" ht="30.75" customHeight="1">
      <c r="A75" s="874" t="s">
        <v>221</v>
      </c>
      <c r="B75" s="875"/>
      <c r="C75" s="87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8" t="s">
        <v>222</v>
      </c>
      <c r="B76" s="904"/>
      <c r="C76" s="905"/>
      <c r="D76" s="151" t="s">
        <v>139</v>
      </c>
      <c r="E76" s="95">
        <f>'22'!F76</f>
        <v>179163.69</v>
      </c>
      <c r="F76" s="123">
        <v>179285.1</v>
      </c>
      <c r="G76" s="112">
        <f t="shared" si="7"/>
        <v>121.41000000000349</v>
      </c>
      <c r="H76" s="99">
        <f>G76+'22'!H76</f>
        <v>2698.1000000000058</v>
      </c>
      <c r="I76" s="154"/>
      <c r="J76" s="175">
        <f>H76/DAY(B2)</f>
        <v>117.30869565217417</v>
      </c>
      <c r="K76" s="69"/>
      <c r="L76" s="66"/>
      <c r="N76" s="87"/>
      <c r="O76" s="71"/>
    </row>
    <row r="77" spans="1:15" ht="30.75" customHeight="1">
      <c r="A77" s="918" t="s">
        <v>223</v>
      </c>
      <c r="B77" s="904"/>
      <c r="C77" s="905"/>
      <c r="D77" s="151" t="s">
        <v>139</v>
      </c>
      <c r="E77" s="95">
        <f>'22'!F77</f>
        <v>45258.3</v>
      </c>
      <c r="F77" s="123">
        <v>45316</v>
      </c>
      <c r="G77" s="112">
        <f t="shared" si="7"/>
        <v>57.69999999999709</v>
      </c>
      <c r="H77" s="99">
        <f>G77+'22'!H77</f>
        <v>1153</v>
      </c>
      <c r="I77" s="154"/>
      <c r="J77" s="175">
        <f>H77/DAY(B2)</f>
        <v>50.130434782608695</v>
      </c>
      <c r="K77" s="69"/>
      <c r="L77" s="66"/>
      <c r="N77" s="87"/>
      <c r="O77" s="71"/>
    </row>
    <row r="78" spans="1:15" ht="30.75" customHeight="1">
      <c r="A78" s="918" t="s">
        <v>224</v>
      </c>
      <c r="B78" s="904"/>
      <c r="C78" s="905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1</v>
      </c>
      <c r="I78" s="118"/>
      <c r="J78" s="175">
        <f>H78/DAY(B2)</f>
        <v>4.3478260869565216E-2</v>
      </c>
      <c r="K78" s="69"/>
      <c r="L78" s="66"/>
      <c r="N78" s="87"/>
      <c r="O78" s="71"/>
    </row>
    <row r="79" spans="1:15" s="57" customFormat="1" ht="30.75" customHeight="1">
      <c r="A79" s="918" t="s">
        <v>225</v>
      </c>
      <c r="B79" s="904"/>
      <c r="C79" s="905"/>
      <c r="D79" s="151"/>
      <c r="E79" s="95">
        <f>'22'!F79</f>
        <v>0</v>
      </c>
      <c r="F79" s="123"/>
      <c r="G79" s="112">
        <f>G15-SUM(G74:G78)</f>
        <v>620.66999999991094</v>
      </c>
      <c r="H79" s="99">
        <f>G79+'22'!H79</f>
        <v>14028.790000000008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1118.1399999998976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94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94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41681.53</v>
      </c>
      <c r="G84" s="112">
        <f t="shared" si="8"/>
        <v>6.1299999999973807</v>
      </c>
      <c r="H84" s="99">
        <f>G84+'22'!H84</f>
        <v>6.5299999999988358</v>
      </c>
      <c r="I84" s="594"/>
      <c r="J84" s="175">
        <f>H84/DAY(B2)</f>
        <v>0.28391304347821028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3598.21</v>
      </c>
      <c r="F85" s="164">
        <v>3622.21</v>
      </c>
      <c r="G85" s="112">
        <f t="shared" si="8"/>
        <v>24</v>
      </c>
      <c r="H85" s="99">
        <f>G85+'22'!H85</f>
        <v>463.71000000000004</v>
      </c>
      <c r="I85" s="594"/>
      <c r="J85" s="175">
        <f>H85/DAY(B2)</f>
        <v>20.161304347826089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43900.26</v>
      </c>
      <c r="F86" s="164">
        <v>43919.19</v>
      </c>
      <c r="G86" s="112">
        <f t="shared" si="8"/>
        <v>18.930000000000291</v>
      </c>
      <c r="H86" s="99">
        <f>G86+'22'!H86</f>
        <v>198.79000000000087</v>
      </c>
      <c r="I86" s="594"/>
      <c r="J86" s="175">
        <f>H86/DAY(B2)</f>
        <v>8.6430434782609069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35329.06</v>
      </c>
      <c r="F87" s="164">
        <v>35329.06</v>
      </c>
      <c r="G87" s="112">
        <f t="shared" si="8"/>
        <v>0</v>
      </c>
      <c r="H87" s="99">
        <f>G87+'22'!H87</f>
        <v>248.70999999999913</v>
      </c>
      <c r="I87" s="594">
        <f>G84+G85+G86+G87</f>
        <v>49.059999999997672</v>
      </c>
      <c r="J87" s="175">
        <f>H87/DAY(B2)</f>
        <v>10.813478260869527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24174.69</v>
      </c>
      <c r="F88" s="164">
        <v>24182.32</v>
      </c>
      <c r="G88" s="112">
        <f t="shared" si="8"/>
        <v>7.6300000000010186</v>
      </c>
      <c r="H88" s="99">
        <f>G88+'22'!H88</f>
        <v>72.919999999998254</v>
      </c>
      <c r="I88" s="594"/>
      <c r="J88" s="175">
        <f>H88/DAY(B2)</f>
        <v>3.1704347826086199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26640.22</v>
      </c>
      <c r="F89" s="164">
        <v>26643.7</v>
      </c>
      <c r="G89" s="112">
        <f t="shared" si="8"/>
        <v>3.4799999999995634</v>
      </c>
      <c r="H89" s="99">
        <f>G89+'22'!H89</f>
        <v>171.90999999999985</v>
      </c>
      <c r="I89" s="594">
        <f>G88+G89</f>
        <v>11.110000000000582</v>
      </c>
      <c r="J89" s="175">
        <f>H89/DAY(B2)</f>
        <v>7.4743478260869498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71788.759999999995</v>
      </c>
      <c r="F90" s="164">
        <v>71799.94</v>
      </c>
      <c r="G90" s="112">
        <f t="shared" si="8"/>
        <v>11.180000000007567</v>
      </c>
      <c r="H90" s="99">
        <f>G90+'22'!H90</f>
        <v>226.83000000000175</v>
      </c>
      <c r="I90" s="594">
        <f>G90</f>
        <v>11.180000000007567</v>
      </c>
      <c r="J90" s="175">
        <f>H90/DAY(B2)</f>
        <v>9.862173913043554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3966.01</v>
      </c>
      <c r="F91" s="122">
        <v>3977.73</v>
      </c>
      <c r="G91" s="112">
        <f t="shared" si="8"/>
        <v>11.7199999999998</v>
      </c>
      <c r="H91" s="99">
        <f>G91+'22'!H91</f>
        <v>67.980000000000018</v>
      </c>
      <c r="I91" s="688"/>
      <c r="J91" s="175">
        <f>H91/DAY(B2)</f>
        <v>2.9556521739130441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5934.87</v>
      </c>
      <c r="F92" s="122">
        <v>5934.87</v>
      </c>
      <c r="G92" s="112">
        <f t="shared" si="8"/>
        <v>0</v>
      </c>
      <c r="H92" s="99">
        <f>G92+'22'!H92</f>
        <v>187.56999999999971</v>
      </c>
      <c r="I92" s="705">
        <f>G91+G92</f>
        <v>11.7199999999998</v>
      </c>
      <c r="J92" s="175">
        <f>H92/DAY(B2)</f>
        <v>8.1552173913043351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7683.9800000000105</v>
      </c>
      <c r="H94" s="99">
        <f>G94+'22'!H94</f>
        <v>166282.53000000003</v>
      </c>
      <c r="I94" s="118"/>
      <c r="J94" s="175">
        <f>H94/DAY(B2)</f>
        <v>7229.6752173913055</v>
      </c>
      <c r="K94" s="69"/>
      <c r="L94" s="66"/>
      <c r="O94" s="71"/>
    </row>
    <row r="95" spans="1:15" ht="30.7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0.24863612183589992</v>
      </c>
      <c r="H95" s="99">
        <f>G95+'22'!H95</f>
        <v>5.9416230101278815</v>
      </c>
      <c r="I95" s="167"/>
      <c r="J95" s="175">
        <f>H95/DAY(B2)</f>
        <v>0.25833143522295138</v>
      </c>
      <c r="K95" s="69"/>
      <c r="L95" s="66"/>
      <c r="O95" s="71"/>
    </row>
    <row r="96" spans="1:15" ht="30.7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9799.2200000000503</v>
      </c>
      <c r="H96" s="99">
        <f>G96+'22'!H96</f>
        <v>173196.17000000004</v>
      </c>
      <c r="I96" s="118"/>
      <c r="J96" s="175">
        <f>H96/DAY(B2)</f>
        <v>7530.2682608695668</v>
      </c>
      <c r="K96" s="69"/>
      <c r="L96" s="66"/>
      <c r="O96" s="71"/>
    </row>
    <row r="97" spans="1:15" ht="30.7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0.31708047884257851</v>
      </c>
      <c r="H97" s="99">
        <f>G97+'22'!H97</f>
        <v>6.1712525642675278</v>
      </c>
      <c r="I97" s="167"/>
      <c r="J97" s="175">
        <f>H97/DAY(B2)</f>
        <v>0.26831532888119686</v>
      </c>
      <c r="K97" s="69"/>
      <c r="L97" s="66"/>
      <c r="O97" s="71"/>
    </row>
    <row r="98" spans="1:15" ht="30.7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3156.7999999999884</v>
      </c>
      <c r="H98" s="99">
        <f>G98+'22'!H98</f>
        <v>75170.299999999988</v>
      </c>
      <c r="I98" s="168"/>
      <c r="J98" s="175">
        <f>H98/DAY(B2)</f>
        <v>3268.2739130434779</v>
      </c>
      <c r="K98" s="69"/>
      <c r="L98" s="66"/>
      <c r="O98" s="71"/>
    </row>
    <row r="99" spans="1:15" ht="30.7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0.102146870425426</v>
      </c>
      <c r="H99" s="99">
        <f>G99+'22'!H99</f>
        <v>2.6902758336469632</v>
      </c>
      <c r="I99" s="168"/>
      <c r="J99" s="175">
        <f>H99/DAY(B2)</f>
        <v>0.1169685145063897</v>
      </c>
      <c r="O99" s="71"/>
    </row>
    <row r="100" spans="1:15" ht="30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2416.6600000000035</v>
      </c>
      <c r="H100" s="99">
        <f>G100+'22'!H100</f>
        <v>56406.340000000018</v>
      </c>
      <c r="I100" s="118"/>
      <c r="J100" s="175">
        <f>H100/DAY(B2)</f>
        <v>2452.4495652173923</v>
      </c>
      <c r="K100" s="70"/>
      <c r="O100" s="71"/>
    </row>
    <row r="101" spans="1:15" ht="30.7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7.8197622871994193E-2</v>
      </c>
      <c r="H101" s="99">
        <f>G101+'22'!H101</f>
        <v>2.0181691403641597</v>
      </c>
      <c r="I101" s="168"/>
      <c r="J101" s="175">
        <f>H101/DAY(B2)</f>
        <v>8.7746484363659116E-2</v>
      </c>
      <c r="O101" s="71"/>
    </row>
    <row r="102" spans="1:15" ht="30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2699.3500000000204</v>
      </c>
      <c r="H102" s="99">
        <f>G102+'22'!H102</f>
        <v>55408.799999999988</v>
      </c>
      <c r="I102" s="168"/>
      <c r="J102" s="175">
        <f>H102/DAY(B2)</f>
        <v>2409.0782608695649</v>
      </c>
      <c r="O102" s="71"/>
    </row>
    <row r="103" spans="1:15" ht="30.7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8.7344828523465784E-2</v>
      </c>
      <c r="H103" s="99">
        <f>G103+'22'!H103</f>
        <v>1.976854921772546</v>
      </c>
      <c r="I103" s="118"/>
      <c r="J103" s="175">
        <f>H103/DAY(B2)</f>
        <v>8.5950213990110699E-2</v>
      </c>
      <c r="O103" s="71"/>
    </row>
    <row r="104" spans="1:15" ht="30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1861.7399999999907</v>
      </c>
      <c r="H104" s="99">
        <f>G104+'22'!H104</f>
        <v>37988.490000000013</v>
      </c>
      <c r="I104" s="118"/>
      <c r="J104" s="175">
        <f>H104/DAY(B2)</f>
        <v>1651.6734782608701</v>
      </c>
      <c r="O104" s="71"/>
    </row>
    <row r="105" spans="1:15" ht="30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6.0241673386287491E-2</v>
      </c>
      <c r="H105" s="99">
        <f>G105+'22'!H105</f>
        <v>1.3575744164443955</v>
      </c>
      <c r="I105" s="187"/>
      <c r="J105" s="188">
        <f>H105/DAY(B2)</f>
        <v>5.9024974628017195E-2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30.75" customHeight="1">
      <c r="A109" s="913"/>
      <c r="B109" s="913"/>
    </row>
    <row r="110" spans="1:15" ht="30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30.7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7" t="s">
        <v>252</v>
      </c>
      <c r="B112" s="908"/>
      <c r="C112" s="909"/>
      <c r="D112" s="146" t="s">
        <v>183</v>
      </c>
      <c r="E112" s="95">
        <v>0</v>
      </c>
      <c r="F112" s="237">
        <v>239</v>
      </c>
      <c r="G112" s="112">
        <f t="shared" ref="G112:G123" si="9">F112-E112</f>
        <v>239</v>
      </c>
      <c r="H112" s="99">
        <f>G112+'22'!H112</f>
        <v>2015.4700000000012</v>
      </c>
      <c r="I112" s="165"/>
      <c r="J112" s="328">
        <f>H112/DAY(B2)</f>
        <v>87.629130434782653</v>
      </c>
    </row>
    <row r="113" spans="1:18" ht="30.75" customHeight="1">
      <c r="A113" s="907" t="s">
        <v>253</v>
      </c>
      <c r="B113" s="908"/>
      <c r="C113" s="909"/>
      <c r="D113" s="146" t="s">
        <v>183</v>
      </c>
      <c r="E113" s="95">
        <v>0</v>
      </c>
      <c r="F113" s="237">
        <v>576</v>
      </c>
      <c r="G113" s="112">
        <f t="shared" si="9"/>
        <v>576</v>
      </c>
      <c r="H113" s="99">
        <f>G113+'22'!H113</f>
        <v>11497.789999999994</v>
      </c>
      <c r="I113" s="165"/>
      <c r="J113" s="328">
        <f>H113/DAY(B2)</f>
        <v>499.90391304347798</v>
      </c>
    </row>
    <row r="114" spans="1:18" ht="30.75" customHeight="1">
      <c r="A114" s="907" t="s">
        <v>254</v>
      </c>
      <c r="B114" s="908"/>
      <c r="C114" s="909"/>
      <c r="D114" s="146" t="s">
        <v>183</v>
      </c>
      <c r="E114" s="95">
        <v>0</v>
      </c>
      <c r="F114" s="237">
        <v>232</v>
      </c>
      <c r="G114" s="112">
        <f t="shared" si="9"/>
        <v>232</v>
      </c>
      <c r="H114" s="99">
        <f>G114+'22'!H114</f>
        <v>6332.1100000000006</v>
      </c>
      <c r="I114" s="165"/>
      <c r="J114" s="328">
        <f>H114/DAY(B2)</f>
        <v>275.30913043478262</v>
      </c>
    </row>
    <row r="115" spans="1:18" ht="30.75" customHeight="1">
      <c r="A115" s="907" t="s">
        <v>255</v>
      </c>
      <c r="B115" s="908"/>
      <c r="C115" s="909"/>
      <c r="D115" s="146" t="s">
        <v>183</v>
      </c>
      <c r="E115" s="95">
        <v>0</v>
      </c>
      <c r="F115" s="237">
        <v>59</v>
      </c>
      <c r="G115" s="112">
        <f t="shared" si="9"/>
        <v>59</v>
      </c>
      <c r="H115" s="99">
        <f>G115+'22'!H115</f>
        <v>536.23999999999978</v>
      </c>
      <c r="I115" s="165"/>
      <c r="J115" s="328">
        <f>H115/DAY(B2)</f>
        <v>23.314782608695644</v>
      </c>
    </row>
    <row r="116" spans="1:18" ht="30.75" customHeight="1">
      <c r="A116" s="925" t="s">
        <v>96</v>
      </c>
      <c r="B116" s="926"/>
      <c r="C116" s="927"/>
      <c r="D116" s="146" t="s">
        <v>183</v>
      </c>
      <c r="E116" s="95">
        <f>'22'!F116</f>
        <v>31973.35</v>
      </c>
      <c r="F116" s="237">
        <v>32373.59</v>
      </c>
      <c r="G116" s="112">
        <f t="shared" si="9"/>
        <v>400.2400000000016</v>
      </c>
      <c r="H116" s="99">
        <f>G116+'22'!H116</f>
        <v>9588.9700000000012</v>
      </c>
      <c r="I116" s="165"/>
      <c r="J116" s="328">
        <f>H116/DAY(B2)</f>
        <v>416.91173913043485</v>
      </c>
      <c r="Q116" s="907" t="s">
        <v>311</v>
      </c>
      <c r="R116" s="909"/>
    </row>
    <row r="117" spans="1:18" ht="30.75" customHeight="1">
      <c r="A117" s="925" t="s">
        <v>184</v>
      </c>
      <c r="B117" s="926"/>
      <c r="C117" s="927"/>
      <c r="D117" s="146" t="s">
        <v>183</v>
      </c>
      <c r="E117" s="95">
        <f>'22'!F117</f>
        <v>17730.12</v>
      </c>
      <c r="F117" s="237">
        <v>17820</v>
      </c>
      <c r="G117" s="112">
        <f t="shared" si="9"/>
        <v>89.880000000001019</v>
      </c>
      <c r="H117" s="99">
        <f>G117+'22'!H117</f>
        <v>4206.8269999999993</v>
      </c>
      <c r="I117" s="165"/>
      <c r="J117" s="328">
        <f>H117/DAY(B2)</f>
        <v>182.90552173913039</v>
      </c>
      <c r="Q117" s="907" t="s">
        <v>312</v>
      </c>
      <c r="R117" s="909"/>
    </row>
    <row r="118" spans="1:18" ht="30.75" customHeight="1">
      <c r="A118" s="902" t="s">
        <v>97</v>
      </c>
      <c r="B118" s="902"/>
      <c r="C118" s="902"/>
      <c r="D118" s="151" t="s">
        <v>183</v>
      </c>
      <c r="E118" s="95">
        <f>'22'!F118</f>
        <v>4752.82</v>
      </c>
      <c r="F118" s="237">
        <v>5277</v>
      </c>
      <c r="G118" s="112">
        <f t="shared" si="9"/>
        <v>524.18000000000029</v>
      </c>
      <c r="H118" s="99">
        <f>G118+'22'!H118</f>
        <v>12225.030000000028</v>
      </c>
      <c r="I118" s="165"/>
      <c r="J118" s="328">
        <f>H118/DAY(B2)</f>
        <v>531.52304347826214</v>
      </c>
      <c r="Q118" s="907" t="s">
        <v>311</v>
      </c>
      <c r="R118" s="909"/>
    </row>
    <row r="119" spans="1:18" ht="30.75" customHeight="1">
      <c r="A119" s="902" t="s">
        <v>98</v>
      </c>
      <c r="B119" s="902"/>
      <c r="C119" s="902"/>
      <c r="D119" s="151" t="s">
        <v>183</v>
      </c>
      <c r="E119" s="95">
        <f>'22'!F119</f>
        <v>2307.12</v>
      </c>
      <c r="F119" s="237">
        <v>2762.02</v>
      </c>
      <c r="G119" s="112">
        <f t="shared" si="9"/>
        <v>454.90000000000009</v>
      </c>
      <c r="H119" s="99">
        <f>G119+'22'!H119</f>
        <v>10082.629999999986</v>
      </c>
      <c r="I119" s="165"/>
      <c r="J119" s="328">
        <f>H119/DAY(B2)</f>
        <v>438.37521739130375</v>
      </c>
    </row>
    <row r="120" spans="1:18" ht="30.75" customHeight="1">
      <c r="A120" s="902" t="s">
        <v>99</v>
      </c>
      <c r="B120" s="902"/>
      <c r="C120" s="902"/>
      <c r="D120" s="151" t="s">
        <v>183</v>
      </c>
      <c r="E120" s="95">
        <f>'22'!F120</f>
        <v>3689.43</v>
      </c>
      <c r="F120" s="237">
        <v>4107.34</v>
      </c>
      <c r="G120" s="112">
        <f t="shared" si="9"/>
        <v>417.91000000000031</v>
      </c>
      <c r="H120" s="99">
        <f>G120+'22'!H120</f>
        <v>9453.5800000000054</v>
      </c>
      <c r="I120" s="165"/>
      <c r="J120" s="328">
        <f>H120/DAY(B2)</f>
        <v>411.02521739130458</v>
      </c>
    </row>
    <row r="121" spans="1:18" ht="30.75" customHeight="1">
      <c r="A121" s="902" t="s">
        <v>100</v>
      </c>
      <c r="B121" s="902"/>
      <c r="C121" s="902"/>
      <c r="D121" s="151" t="s">
        <v>183</v>
      </c>
      <c r="E121" s="95">
        <f>'22'!F121</f>
        <v>7193.75</v>
      </c>
      <c r="F121" s="237">
        <v>8006.9</v>
      </c>
      <c r="G121" s="112">
        <f t="shared" si="9"/>
        <v>813.14999999999964</v>
      </c>
      <c r="H121" s="99">
        <f>G121+'22'!H121</f>
        <v>18411.629999999983</v>
      </c>
      <c r="I121" s="165"/>
      <c r="J121" s="328">
        <f>H121/DAY(B2)</f>
        <v>800.50565217391227</v>
      </c>
    </row>
    <row r="122" spans="1:18" ht="30.75" customHeight="1">
      <c r="A122" s="902" t="s">
        <v>101</v>
      </c>
      <c r="B122" s="902"/>
      <c r="C122" s="902"/>
      <c r="D122" s="151" t="s">
        <v>183</v>
      </c>
      <c r="E122" s="95">
        <f>'22'!F122</f>
        <v>1842.33</v>
      </c>
      <c r="F122" s="237">
        <v>2083.5500000000002</v>
      </c>
      <c r="G122" s="112">
        <f t="shared" si="9"/>
        <v>241.22000000000025</v>
      </c>
      <c r="H122" s="99">
        <f>G122+'22'!H122</f>
        <v>4900.4099999999862</v>
      </c>
      <c r="I122" s="165"/>
      <c r="J122" s="328">
        <f>H122/DAY(B2)</f>
        <v>213.06130434782548</v>
      </c>
    </row>
    <row r="123" spans="1:18" ht="30.75" customHeight="1">
      <c r="A123" s="902" t="s">
        <v>102</v>
      </c>
      <c r="B123" s="902"/>
      <c r="C123" s="902"/>
      <c r="D123" s="151" t="s">
        <v>183</v>
      </c>
      <c r="E123" s="95">
        <v>0</v>
      </c>
      <c r="F123" s="237">
        <v>284</v>
      </c>
      <c r="G123" s="112">
        <f t="shared" si="9"/>
        <v>284</v>
      </c>
      <c r="H123" s="99">
        <f>G123+'22'!H123</f>
        <v>5885.5299999999988</v>
      </c>
      <c r="I123" s="165"/>
      <c r="J123" s="328">
        <f>H123/DAY(B2)</f>
        <v>255.89260869565211</v>
      </c>
    </row>
    <row r="124" spans="1:18" ht="30.75" customHeight="1">
      <c r="A124" s="932"/>
      <c r="B124" s="933"/>
      <c r="C124" s="934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4331.4800000000032</v>
      </c>
      <c r="H125" s="156"/>
      <c r="I125" s="327">
        <f>G125-(G39+G53)</f>
        <v>1174.6800000000148</v>
      </c>
      <c r="J125" s="327"/>
    </row>
    <row r="126" spans="1:18" ht="30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30.75" customHeight="1">
      <c r="A127" s="938"/>
      <c r="B127" s="938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7" t="s">
        <v>318</v>
      </c>
      <c r="B128" s="908"/>
      <c r="C128" s="909"/>
      <c r="D128" s="151" t="s">
        <v>183</v>
      </c>
      <c r="E128" s="95">
        <f>'22'!F128</f>
        <v>78346.539999999994</v>
      </c>
      <c r="F128" s="155">
        <v>78684.149999999994</v>
      </c>
      <c r="G128" s="112">
        <f t="shared" ref="G128:G134" si="10">F128-E128</f>
        <v>337.61000000000058</v>
      </c>
      <c r="H128" s="99">
        <f>G128+'22'!H128</f>
        <v>9767.9099999999889</v>
      </c>
      <c r="I128" s="165"/>
      <c r="J128" s="328">
        <f>H128/DAY(B2)</f>
        <v>424.69173913043431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48708.93</v>
      </c>
      <c r="F129" s="155">
        <v>48981.99</v>
      </c>
      <c r="G129" s="112">
        <f t="shared" si="10"/>
        <v>273.05999999999767</v>
      </c>
      <c r="H129" s="99">
        <f>G129+'22'!H129</f>
        <v>6870.9399999999951</v>
      </c>
      <c r="I129" s="165"/>
      <c r="J129" s="328">
        <f>H129/DAY(B2)</f>
        <v>298.73652173913024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91028.83</v>
      </c>
      <c r="F130" s="155">
        <v>91744.15</v>
      </c>
      <c r="G130" s="112">
        <f t="shared" si="10"/>
        <v>715.31999999999243</v>
      </c>
      <c r="H130" s="99">
        <f>G130+'22'!H130</f>
        <v>16082.199999999997</v>
      </c>
      <c r="I130" s="165"/>
      <c r="J130" s="328">
        <f>H130/DAY(B2)</f>
        <v>699.22608695652161</v>
      </c>
      <c r="N130" s="240"/>
      <c r="O130" s="241"/>
    </row>
    <row r="131" spans="1:15" ht="30.75" customHeight="1">
      <c r="A131" s="907" t="s">
        <v>321</v>
      </c>
      <c r="B131" s="908"/>
      <c r="C131" s="909"/>
      <c r="D131" s="151" t="s">
        <v>183</v>
      </c>
      <c r="E131" s="95">
        <f>'22'!F131</f>
        <v>28754.99</v>
      </c>
      <c r="F131" s="155">
        <v>28942.54</v>
      </c>
      <c r="G131" s="112">
        <f t="shared" si="10"/>
        <v>187.54999999999927</v>
      </c>
      <c r="H131" s="99">
        <f>G131+'22'!H131</f>
        <v>4510.0400000000009</v>
      </c>
      <c r="I131" s="165"/>
      <c r="J131" s="328">
        <f>H131/DAY(B2)</f>
        <v>196.08869565217395</v>
      </c>
      <c r="N131" s="240"/>
      <c r="O131" s="241"/>
    </row>
    <row r="132" spans="1:15" ht="30.75" customHeight="1">
      <c r="A132" s="907" t="s">
        <v>322</v>
      </c>
      <c r="B132" s="908"/>
      <c r="C132" s="909"/>
      <c r="D132" s="151" t="s">
        <v>183</v>
      </c>
      <c r="E132" s="95">
        <f>'22'!F132</f>
        <v>85287.43</v>
      </c>
      <c r="F132" s="155">
        <v>85729.86</v>
      </c>
      <c r="G132" s="112">
        <f t="shared" si="10"/>
        <v>442.43000000000757</v>
      </c>
      <c r="H132" s="99">
        <f>G132+'22'!H132</f>
        <v>10062.36</v>
      </c>
      <c r="I132" s="165"/>
      <c r="J132" s="328">
        <f>H132/DAY(B2)</f>
        <v>437.4939130434783</v>
      </c>
    </row>
    <row r="133" spans="1:15" ht="30.75" customHeight="1">
      <c r="A133" s="907" t="s">
        <v>360</v>
      </c>
      <c r="B133" s="908"/>
      <c r="C133" s="909"/>
      <c r="D133" s="151" t="s">
        <v>183</v>
      </c>
      <c r="E133" s="95">
        <f>'22'!F133</f>
        <v>165297.78</v>
      </c>
      <c r="F133" s="155">
        <v>166285.31</v>
      </c>
      <c r="G133" s="112">
        <f t="shared" si="10"/>
        <v>987.52999999999884</v>
      </c>
      <c r="H133" s="99">
        <f>G133+'22'!H133</f>
        <v>20903.320000000007</v>
      </c>
      <c r="I133" s="165"/>
      <c r="J133" s="328">
        <f>H133/DAY(B2)</f>
        <v>908.84000000000026</v>
      </c>
    </row>
    <row r="134" spans="1:15" ht="30.75" customHeight="1">
      <c r="A134" s="907" t="s">
        <v>340</v>
      </c>
      <c r="B134" s="908"/>
      <c r="C134" s="909"/>
      <c r="D134" s="151" t="s">
        <v>183</v>
      </c>
      <c r="E134" s="95">
        <f>'22'!F134</f>
        <v>26099.58</v>
      </c>
      <c r="F134" s="374">
        <v>26332.639999999999</v>
      </c>
      <c r="G134" s="112">
        <f t="shared" si="10"/>
        <v>233.05999999999767</v>
      </c>
      <c r="H134" s="99">
        <f>G134+'22'!H134</f>
        <v>5539.9599999999991</v>
      </c>
      <c r="I134" s="165"/>
      <c r="J134" s="328">
        <f>H134/DAY(B2)</f>
        <v>240.86782608695648</v>
      </c>
    </row>
    <row r="135" spans="1:15" ht="30.75" customHeight="1">
      <c r="A135" s="935" t="s">
        <v>196</v>
      </c>
      <c r="B135" s="936"/>
      <c r="C135" s="331"/>
      <c r="D135" s="151"/>
      <c r="E135" s="95"/>
      <c r="F135" s="466"/>
      <c r="G135" s="112">
        <f>SUM(G128:G134)</f>
        <v>3176.559999999994</v>
      </c>
      <c r="H135" s="99">
        <f>G135+'10'!H135</f>
        <v>34885.409999999974</v>
      </c>
      <c r="I135" s="327">
        <f>G135-(G35+G49)</f>
        <v>-746.86000000001877</v>
      </c>
      <c r="J135" s="328"/>
    </row>
    <row r="136" spans="1:15" ht="30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2" t="s">
        <v>185</v>
      </c>
      <c r="B138" s="902"/>
      <c r="C138" s="902"/>
      <c r="D138" s="151" t="s">
        <v>183</v>
      </c>
      <c r="E138" s="95">
        <f>'22'!F138</f>
        <v>877509</v>
      </c>
      <c r="F138" s="147">
        <v>877690</v>
      </c>
      <c r="G138" s="112">
        <f t="shared" ref="G138:G152" si="11">F138-E138</f>
        <v>181</v>
      </c>
      <c r="H138" s="99">
        <f>G138+'22'!H138</f>
        <v>3689</v>
      </c>
      <c r="I138" s="118"/>
      <c r="J138" s="328">
        <f>H138/DAY(B2)</f>
        <v>160.39130434782609</v>
      </c>
    </row>
    <row r="139" spans="1:15" ht="30.75" customHeight="1">
      <c r="A139" s="902" t="s">
        <v>186</v>
      </c>
      <c r="B139" s="902"/>
      <c r="C139" s="902"/>
      <c r="D139" s="151" t="s">
        <v>183</v>
      </c>
      <c r="E139" s="95">
        <f>'22'!F139</f>
        <v>893679</v>
      </c>
      <c r="F139" s="148">
        <v>893824</v>
      </c>
      <c r="G139" s="112">
        <f t="shared" si="11"/>
        <v>145</v>
      </c>
      <c r="H139" s="99">
        <f>G139+'22'!H139</f>
        <v>3506</v>
      </c>
      <c r="I139" s="118"/>
      <c r="J139" s="328">
        <f>H139/DAY(B2)</f>
        <v>152.43478260869566</v>
      </c>
    </row>
    <row r="140" spans="1:15" ht="30.75" customHeight="1">
      <c r="A140" s="902" t="s">
        <v>187</v>
      </c>
      <c r="B140" s="902"/>
      <c r="C140" s="902"/>
      <c r="D140" s="151" t="s">
        <v>183</v>
      </c>
      <c r="E140" s="95">
        <f>'22'!F140</f>
        <v>89030.399999999994</v>
      </c>
      <c r="F140" s="149">
        <v>89032</v>
      </c>
      <c r="G140" s="112">
        <f t="shared" si="11"/>
        <v>1.6000000000058208</v>
      </c>
      <c r="H140" s="99">
        <f>G140+'22'!H140</f>
        <v>42</v>
      </c>
      <c r="I140" s="118"/>
      <c r="J140" s="328">
        <f>H140/DAY(B2)</f>
        <v>1.826086956521739</v>
      </c>
    </row>
    <row r="141" spans="1:15" ht="30.75" customHeight="1">
      <c r="A141" s="906" t="s">
        <v>188</v>
      </c>
      <c r="B141" s="906"/>
      <c r="C141" s="906"/>
      <c r="D141" s="151" t="s">
        <v>183</v>
      </c>
      <c r="E141" s="95">
        <f>'22'!F141</f>
        <v>70123.66</v>
      </c>
      <c r="F141" s="149">
        <v>70331.41</v>
      </c>
      <c r="G141" s="112">
        <f t="shared" si="11"/>
        <v>207.75</v>
      </c>
      <c r="H141" s="99">
        <f>G141+'22'!H141</f>
        <v>4547.8800000000047</v>
      </c>
      <c r="I141" s="118"/>
      <c r="J141" s="328">
        <f>H141/DAY(B2)</f>
        <v>197.73391304347845</v>
      </c>
    </row>
    <row r="142" spans="1:15" ht="30.75" customHeight="1">
      <c r="A142" s="906" t="s">
        <v>189</v>
      </c>
      <c r="B142" s="906"/>
      <c r="C142" s="906"/>
      <c r="D142" s="151" t="s">
        <v>183</v>
      </c>
      <c r="E142" s="95">
        <f>'22'!F142</f>
        <v>26926.42</v>
      </c>
      <c r="F142" s="148">
        <v>26989.49</v>
      </c>
      <c r="G142" s="112">
        <f t="shared" si="11"/>
        <v>63.070000000003347</v>
      </c>
      <c r="H142" s="99">
        <f>G142+'22'!H142</f>
        <v>1493.0900000000001</v>
      </c>
      <c r="I142" s="140"/>
      <c r="J142" s="328">
        <f>H142/DAY(B2)</f>
        <v>64.916956521739138</v>
      </c>
    </row>
    <row r="143" spans="1:15" ht="30.75" customHeight="1">
      <c r="A143" s="902" t="s">
        <v>91</v>
      </c>
      <c r="B143" s="902"/>
      <c r="C143" s="902"/>
      <c r="D143" s="151" t="s">
        <v>183</v>
      </c>
      <c r="E143" s="95">
        <f>'22'!F143</f>
        <v>6179.16</v>
      </c>
      <c r="F143" s="149">
        <v>6210.37</v>
      </c>
      <c r="G143" s="112">
        <f t="shared" si="11"/>
        <v>31.210000000000036</v>
      </c>
      <c r="H143" s="99">
        <f>G143+'22'!H143</f>
        <v>649.65999999999985</v>
      </c>
      <c r="I143" s="140"/>
      <c r="J143" s="328">
        <f>H143/DAY(B2)</f>
        <v>28.246086956521733</v>
      </c>
    </row>
    <row r="144" spans="1:15" ht="30.75" customHeight="1">
      <c r="A144" s="906" t="s">
        <v>90</v>
      </c>
      <c r="B144" s="906"/>
      <c r="C144" s="906"/>
      <c r="D144" s="151" t="s">
        <v>183</v>
      </c>
      <c r="E144" s="95">
        <f>'22'!F144</f>
        <v>895330</v>
      </c>
      <c r="F144" s="149">
        <v>895536</v>
      </c>
      <c r="G144" s="112">
        <f t="shared" si="11"/>
        <v>206</v>
      </c>
      <c r="H144" s="99">
        <f>G144+'22'!H144</f>
        <v>5702</v>
      </c>
      <c r="I144" s="140"/>
      <c r="J144" s="328">
        <f>H144/DAY(B2)</f>
        <v>247.91304347826087</v>
      </c>
    </row>
    <row r="145" spans="1:10" ht="30.75" customHeight="1">
      <c r="A145" s="902" t="s">
        <v>190</v>
      </c>
      <c r="B145" s="902"/>
      <c r="C145" s="902"/>
      <c r="D145" s="152" t="s">
        <v>183</v>
      </c>
      <c r="E145" s="95">
        <f>'22'!F145</f>
        <v>5609.04</v>
      </c>
      <c r="F145" s="149">
        <v>5611.38</v>
      </c>
      <c r="G145" s="112">
        <f t="shared" si="11"/>
        <v>2.3400000000001455</v>
      </c>
      <c r="H145" s="99">
        <f>G145+'22'!H145</f>
        <v>54.980000000000473</v>
      </c>
      <c r="I145" s="140"/>
      <c r="J145" s="328">
        <f>H145/DAY(B2)</f>
        <v>2.390434782608716</v>
      </c>
    </row>
    <row r="146" spans="1:10" ht="30.75" customHeight="1">
      <c r="A146" s="903" t="s">
        <v>191</v>
      </c>
      <c r="B146" s="904"/>
      <c r="C146" s="905"/>
      <c r="D146" s="152" t="s">
        <v>183</v>
      </c>
      <c r="E146" s="95">
        <f>'22'!F146</f>
        <v>775150</v>
      </c>
      <c r="F146" s="148">
        <v>775651</v>
      </c>
      <c r="G146" s="112">
        <f t="shared" si="11"/>
        <v>501</v>
      </c>
      <c r="H146" s="99">
        <f>G146+'22'!H146</f>
        <v>11325</v>
      </c>
      <c r="I146" s="140"/>
      <c r="J146" s="328">
        <f>H146/DAY(B2)</f>
        <v>492.39130434782606</v>
      </c>
    </row>
    <row r="147" spans="1:10" ht="30.75" customHeight="1">
      <c r="A147" s="906" t="s">
        <v>192</v>
      </c>
      <c r="B147" s="906"/>
      <c r="C147" s="906"/>
      <c r="D147" s="152" t="s">
        <v>183</v>
      </c>
      <c r="E147" s="95">
        <f>'22'!F147</f>
        <v>659791.16</v>
      </c>
      <c r="F147" s="148">
        <v>660280</v>
      </c>
      <c r="G147" s="112">
        <f t="shared" si="11"/>
        <v>488.8399999999674</v>
      </c>
      <c r="H147" s="99">
        <f>G147+'22'!H147</f>
        <v>10096</v>
      </c>
      <c r="I147" s="140"/>
      <c r="J147" s="328">
        <f>H147/DAY(B2)</f>
        <v>438.95652173913044</v>
      </c>
    </row>
    <row r="148" spans="1:10" ht="30.75" customHeight="1">
      <c r="A148" s="898" t="s">
        <v>193</v>
      </c>
      <c r="B148" s="899"/>
      <c r="C148" s="900"/>
      <c r="D148" s="123" t="s">
        <v>130</v>
      </c>
      <c r="E148" s="95">
        <f>'22'!F148</f>
        <v>716822.48</v>
      </c>
      <c r="F148" s="150">
        <v>717265.52</v>
      </c>
      <c r="G148" s="112">
        <f t="shared" si="11"/>
        <v>443.04000000003725</v>
      </c>
      <c r="H148" s="99">
        <f>G148+'22'!H148</f>
        <v>8400.8399999999674</v>
      </c>
      <c r="I148" s="124"/>
      <c r="J148" s="328">
        <f>H148/DAY(B2)</f>
        <v>365.25391304347687</v>
      </c>
    </row>
    <row r="149" spans="1:10" ht="30.75" customHeight="1">
      <c r="A149" s="898" t="s">
        <v>336</v>
      </c>
      <c r="B149" s="899"/>
      <c r="C149" s="900"/>
      <c r="D149" s="227" t="s">
        <v>130</v>
      </c>
      <c r="E149" s="95">
        <f>'22'!F149</f>
        <v>78018.91</v>
      </c>
      <c r="F149" s="227">
        <v>78758.75</v>
      </c>
      <c r="G149" s="112">
        <f t="shared" si="11"/>
        <v>739.83999999999651</v>
      </c>
      <c r="H149" s="99">
        <f>G149+'22'!H149</f>
        <v>15534.949999999997</v>
      </c>
      <c r="I149" s="119"/>
      <c r="J149" s="328">
        <f>H149/DAY(B2)</f>
        <v>675.43260869565199</v>
      </c>
    </row>
    <row r="150" spans="1:10" ht="30.75" customHeight="1">
      <c r="A150" s="898" t="s">
        <v>337</v>
      </c>
      <c r="B150" s="899"/>
      <c r="C150" s="900"/>
      <c r="D150" s="117" t="s">
        <v>130</v>
      </c>
      <c r="E150" s="95">
        <f>'22'!F150</f>
        <v>28883.62</v>
      </c>
      <c r="F150" s="233">
        <v>29100.42</v>
      </c>
      <c r="G150" s="112">
        <f t="shared" si="11"/>
        <v>216.79999999999927</v>
      </c>
      <c r="H150" s="99">
        <f>G150+'22'!H150</f>
        <v>5144.6299999999974</v>
      </c>
      <c r="I150" s="119"/>
      <c r="J150" s="328">
        <f>H150/DAY(B2)</f>
        <v>223.6795652173912</v>
      </c>
    </row>
    <row r="151" spans="1:10" ht="30.75" customHeight="1">
      <c r="A151" s="898" t="s">
        <v>338</v>
      </c>
      <c r="B151" s="899"/>
      <c r="C151" s="900"/>
      <c r="D151" s="117" t="s">
        <v>130</v>
      </c>
      <c r="E151" s="95">
        <f>'22'!F151</f>
        <v>106827</v>
      </c>
      <c r="F151" s="233">
        <v>107123</v>
      </c>
      <c r="G151" s="112">
        <f t="shared" si="11"/>
        <v>296</v>
      </c>
      <c r="H151" s="99">
        <f>G151+'22'!H151</f>
        <v>6512</v>
      </c>
      <c r="I151" s="119"/>
      <c r="J151" s="328">
        <f>H151/DAY(B2)</f>
        <v>283.13043478260869</v>
      </c>
    </row>
    <row r="152" spans="1:10" ht="30.75" customHeight="1">
      <c r="A152" s="898" t="s">
        <v>339</v>
      </c>
      <c r="B152" s="899"/>
      <c r="C152" s="900"/>
      <c r="D152" s="117" t="s">
        <v>130</v>
      </c>
      <c r="E152" s="95">
        <f>'22'!F152</f>
        <v>10457.92</v>
      </c>
      <c r="F152" s="233">
        <v>10515.68</v>
      </c>
      <c r="G152" s="112">
        <f t="shared" si="11"/>
        <v>57.760000000000218</v>
      </c>
      <c r="H152" s="99">
        <f>G152+'22'!H152</f>
        <v>2446.62</v>
      </c>
      <c r="I152" s="119"/>
      <c r="J152" s="328">
        <f>H152/DAY(B2)</f>
        <v>106.37478260869565</v>
      </c>
    </row>
    <row r="153" spans="1:10" ht="30.7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3581.25000000001</v>
      </c>
      <c r="H153" s="363"/>
      <c r="I153" s="119">
        <f>G153-(G38+G52)</f>
        <v>1164.5900000000065</v>
      </c>
      <c r="J153" s="366"/>
    </row>
    <row r="154" spans="1:10" ht="30.7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30.75" customHeight="1">
      <c r="A155" s="906" t="s">
        <v>345</v>
      </c>
      <c r="B155" s="906"/>
      <c r="C155" s="906"/>
      <c r="D155" s="117" t="s">
        <v>130</v>
      </c>
      <c r="E155" s="95">
        <f>'22'!F155</f>
        <v>87404.25</v>
      </c>
      <c r="F155" s="374">
        <v>88126.03</v>
      </c>
      <c r="G155" s="112">
        <f t="shared" ref="G155:G158" si="12">F155-E155</f>
        <v>721.77999999999884</v>
      </c>
      <c r="H155" s="99">
        <f>G155+'22'!H155</f>
        <v>15355.529999999999</v>
      </c>
      <c r="I155" s="364"/>
      <c r="J155" s="161">
        <v>329</v>
      </c>
    </row>
    <row r="156" spans="1:10" ht="30.75" customHeight="1">
      <c r="A156" s="906" t="s">
        <v>347</v>
      </c>
      <c r="B156" s="906"/>
      <c r="C156" s="906"/>
      <c r="D156" s="117" t="s">
        <v>130</v>
      </c>
      <c r="E156" s="95">
        <f>'22'!F156</f>
        <v>7252.02</v>
      </c>
      <c r="F156" s="374">
        <v>7309</v>
      </c>
      <c r="G156" s="112">
        <f t="shared" si="12"/>
        <v>56.979999999999563</v>
      </c>
      <c r="H156" s="99">
        <f>G156+'22'!H156</f>
        <v>1251.75</v>
      </c>
      <c r="I156" s="165"/>
      <c r="J156" s="328">
        <f>H156/DAY(B2)</f>
        <v>54.423913043478258</v>
      </c>
    </row>
    <row r="157" spans="1:10" ht="30.75" customHeight="1">
      <c r="A157" s="898" t="s">
        <v>361</v>
      </c>
      <c r="B157" s="899"/>
      <c r="C157" s="900"/>
      <c r="D157" s="117" t="s">
        <v>130</v>
      </c>
      <c r="E157" s="95">
        <f>'22'!F157</f>
        <v>12597.72</v>
      </c>
      <c r="F157" s="95">
        <v>12726.04</v>
      </c>
      <c r="G157" s="112">
        <f t="shared" si="12"/>
        <v>128.32000000000153</v>
      </c>
      <c r="H157" s="99">
        <f>G157+'22'!H157</f>
        <v>453.04000000000087</v>
      </c>
      <c r="I157" s="165"/>
      <c r="J157" s="328">
        <f>H157/DAY(B2)</f>
        <v>19.697391304347864</v>
      </c>
    </row>
    <row r="158" spans="1:10" ht="30.75" customHeight="1">
      <c r="A158" s="898" t="s">
        <v>362</v>
      </c>
      <c r="B158" s="899"/>
      <c r="C158" s="900"/>
      <c r="D158" s="117" t="s">
        <v>130</v>
      </c>
      <c r="E158" s="95">
        <f>'22'!F158</f>
        <v>98.41</v>
      </c>
      <c r="F158" s="95">
        <v>100.19</v>
      </c>
      <c r="G158" s="112">
        <f t="shared" si="12"/>
        <v>1.7800000000000011</v>
      </c>
      <c r="H158" s="99">
        <f>G158+'22'!H158</f>
        <v>2.7199999999999989</v>
      </c>
      <c r="I158" s="165"/>
      <c r="J158" s="328">
        <f>H158/DAY(B2)</f>
        <v>0.11826086956521734</v>
      </c>
    </row>
    <row r="159" spans="1:10" ht="30.75" customHeight="1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474593.84</v>
      </c>
      <c r="F161" s="235">
        <v>474617.32</v>
      </c>
      <c r="G161" s="238">
        <f t="shared" ref="G161:G165" si="13">F161-E161</f>
        <v>23.479999999981374</v>
      </c>
      <c r="H161" s="99">
        <f>G161+'22'!H161</f>
        <v>776.59000000002561</v>
      </c>
      <c r="I161" s="236"/>
      <c r="J161" s="239">
        <f>H161/DAY(B2)</f>
        <v>33.764782608696763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91264.7</v>
      </c>
      <c r="F162" s="235">
        <v>91282.8</v>
      </c>
      <c r="G162" s="238">
        <f t="shared" si="13"/>
        <v>18.100000000005821</v>
      </c>
      <c r="H162" s="99">
        <f>G162+'22'!H162</f>
        <v>829.90000000000873</v>
      </c>
      <c r="I162" s="236"/>
      <c r="J162" s="239">
        <f>H162/DAY(B2)</f>
        <v>36.082608695652553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90750.2</v>
      </c>
      <c r="F163" s="235">
        <v>90899.3</v>
      </c>
      <c r="G163" s="238">
        <f t="shared" si="13"/>
        <v>149.10000000000582</v>
      </c>
      <c r="H163" s="99">
        <f>G163+'22'!H163</f>
        <v>3820.5</v>
      </c>
      <c r="I163" s="236"/>
      <c r="J163" s="239">
        <f>H163/DAY(B2)</f>
        <v>166.10869565217391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5093.3</v>
      </c>
      <c r="F164" s="235">
        <v>5103.7</v>
      </c>
      <c r="G164" s="238">
        <f t="shared" si="13"/>
        <v>10.399999999999636</v>
      </c>
      <c r="H164" s="99">
        <f>G164+'22'!H164</f>
        <v>291.30000000000018</v>
      </c>
      <c r="I164" s="236"/>
      <c r="J164" s="239">
        <f>H164/DAY(B2)</f>
        <v>12.665217391304356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30550.799999999999</v>
      </c>
      <c r="F165" s="235">
        <v>30556.58</v>
      </c>
      <c r="G165" s="238">
        <f t="shared" si="13"/>
        <v>5.7800000000024738</v>
      </c>
      <c r="H165" s="99">
        <f>G165+'22'!H165</f>
        <v>201.07000000000335</v>
      </c>
      <c r="I165" s="236"/>
      <c r="J165" s="239">
        <f>H165/DAY(B2)</f>
        <v>8.742173913043624</v>
      </c>
    </row>
    <row r="166" spans="1:10" ht="30.75" customHeight="1">
      <c r="A166" s="938"/>
      <c r="B166" s="938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8"/>
      <c r="B167" s="938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8"/>
      <c r="B168" s="938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30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6" t="s">
        <v>209</v>
      </c>
      <c r="B173" s="897"/>
      <c r="C173" s="333"/>
      <c r="D173" s="228" t="s">
        <v>142</v>
      </c>
      <c r="E173" s="95">
        <v>8229</v>
      </c>
      <c r="F173" s="155">
        <v>8235</v>
      </c>
      <c r="G173" s="155">
        <f>F173-E173</f>
        <v>6</v>
      </c>
      <c r="H173" s="99">
        <f>G173+'22'!H173</f>
        <v>93</v>
      </c>
      <c r="I173" s="155"/>
      <c r="J173" s="178">
        <f>H173/DAY(B2)</f>
        <v>4.0434782608695654</v>
      </c>
    </row>
    <row r="174" spans="1:10" ht="30.75" customHeight="1">
      <c r="A174" s="896" t="s">
        <v>75</v>
      </c>
      <c r="B174" s="897"/>
      <c r="C174" s="333"/>
      <c r="D174" s="228" t="s">
        <v>142</v>
      </c>
      <c r="E174" s="95">
        <f>'22'!F174</f>
        <v>39798</v>
      </c>
      <c r="F174" s="157">
        <v>39811</v>
      </c>
      <c r="G174" s="155">
        <f t="shared" ref="G174:G175" si="14">F174-E174</f>
        <v>13</v>
      </c>
      <c r="H174" s="99">
        <f>G174+'22'!H174</f>
        <v>349</v>
      </c>
      <c r="I174" s="155"/>
      <c r="J174" s="178">
        <f>H174/DAY(B2)</f>
        <v>15.173913043478262</v>
      </c>
    </row>
    <row r="175" spans="1:10" ht="30.75" customHeight="1">
      <c r="A175" s="896" t="s">
        <v>76</v>
      </c>
      <c r="B175" s="901"/>
      <c r="C175" s="897"/>
      <c r="D175" s="228" t="s">
        <v>142</v>
      </c>
      <c r="E175" s="95">
        <f>'22'!F175</f>
        <v>22794</v>
      </c>
      <c r="F175" s="155">
        <v>22807</v>
      </c>
      <c r="G175" s="155">
        <f t="shared" si="14"/>
        <v>13</v>
      </c>
      <c r="H175" s="99">
        <f>G175+'22'!H175</f>
        <v>285</v>
      </c>
      <c r="I175" s="155"/>
      <c r="J175" s="178">
        <f>H175/DAY(B2)</f>
        <v>12.391304347826088</v>
      </c>
    </row>
    <row r="176" spans="1:10" ht="30.75" customHeight="1">
      <c r="A176" s="935" t="s">
        <v>196</v>
      </c>
      <c r="B176" s="936"/>
      <c r="C176" s="401"/>
      <c r="D176" s="228"/>
      <c r="E176" s="95"/>
      <c r="F176" s="155"/>
      <c r="G176" s="155">
        <f>SUM(G173:G175)</f>
        <v>32</v>
      </c>
      <c r="H176" s="99">
        <f>G176+'22'!H176</f>
        <v>727</v>
      </c>
      <c r="I176" s="155"/>
      <c r="J176" s="178">
        <f>H176/DAY(B2)</f>
        <v>31.608695652173914</v>
      </c>
    </row>
    <row r="177" spans="1:10" ht="30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6" t="s">
        <v>210</v>
      </c>
      <c r="B178" s="897"/>
      <c r="C178" s="333"/>
      <c r="D178" s="228" t="s">
        <v>142</v>
      </c>
      <c r="E178" s="95">
        <f>'22'!F178</f>
        <v>87768</v>
      </c>
      <c r="F178" s="155">
        <v>87875</v>
      </c>
      <c r="G178" s="155">
        <f>F178-E178</f>
        <v>107</v>
      </c>
      <c r="H178" s="99">
        <f>G178+'22'!H178</f>
        <v>2259</v>
      </c>
      <c r="I178" s="155"/>
      <c r="J178" s="178">
        <f>H178/DAY(B2)</f>
        <v>98.217391304347828</v>
      </c>
    </row>
    <row r="179" spans="1:10" ht="30.75" customHeight="1">
      <c r="A179" s="896" t="s">
        <v>211</v>
      </c>
      <c r="B179" s="897"/>
      <c r="C179" s="333"/>
      <c r="D179" s="228" t="s">
        <v>142</v>
      </c>
      <c r="E179" s="95">
        <f>'22'!F179</f>
        <v>35732</v>
      </c>
      <c r="F179" s="155">
        <v>35739</v>
      </c>
      <c r="G179" s="155">
        <f t="shared" ref="G179:G180" si="15">F179-E179</f>
        <v>7</v>
      </c>
      <c r="H179" s="99">
        <f>G179+'22'!H179</f>
        <v>125</v>
      </c>
      <c r="I179" s="155"/>
      <c r="J179" s="178">
        <f>H179/DAY(B2)</f>
        <v>5.4347826086956523</v>
      </c>
    </row>
    <row r="180" spans="1:10" ht="30.75" customHeight="1">
      <c r="A180" s="896" t="s">
        <v>212</v>
      </c>
      <c r="B180" s="897"/>
      <c r="C180" s="333"/>
      <c r="D180" s="228" t="s">
        <v>142</v>
      </c>
      <c r="E180" s="95">
        <f>'22'!F180</f>
        <v>6319</v>
      </c>
      <c r="F180" s="155">
        <v>6328</v>
      </c>
      <c r="G180" s="155">
        <f t="shared" si="15"/>
        <v>9</v>
      </c>
      <c r="H180" s="99">
        <f>G180+'22'!H180</f>
        <v>195</v>
      </c>
      <c r="I180" s="155"/>
      <c r="J180" s="178">
        <f>H180/DAY(B2)</f>
        <v>8.4782608695652169</v>
      </c>
    </row>
    <row r="181" spans="1:10" ht="30.75" customHeight="1">
      <c r="A181" s="942" t="s">
        <v>108</v>
      </c>
      <c r="B181" s="943"/>
      <c r="C181" s="401"/>
      <c r="D181" s="228"/>
      <c r="E181" s="95"/>
      <c r="F181" s="155"/>
      <c r="G181" s="155">
        <f>SUM(G178:G180)</f>
        <v>123</v>
      </c>
      <c r="H181" s="99">
        <f>G181+'22'!H181</f>
        <v>2579</v>
      </c>
      <c r="I181" s="155"/>
      <c r="J181" s="178">
        <f>H181/DAY(B2)</f>
        <v>112.1304347826087</v>
      </c>
    </row>
    <row r="182" spans="1:10" ht="30.75" customHeight="1">
      <c r="A182" s="896" t="s">
        <v>213</v>
      </c>
      <c r="B182" s="89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6" t="s">
        <v>214</v>
      </c>
      <c r="B183" s="897"/>
      <c r="C183" s="334"/>
      <c r="D183" s="228" t="s">
        <v>142</v>
      </c>
      <c r="E183" s="95">
        <f>'22'!F183</f>
        <v>16482</v>
      </c>
      <c r="F183" s="157">
        <v>16492</v>
      </c>
      <c r="G183" s="157">
        <f>F183-E183</f>
        <v>10</v>
      </c>
      <c r="H183" s="99">
        <f>G183+'22'!H183</f>
        <v>350</v>
      </c>
      <c r="I183" s="155"/>
      <c r="J183" s="178">
        <f>H183/DAY(B2)</f>
        <v>15.217391304347826</v>
      </c>
    </row>
    <row r="184" spans="1:10" ht="30.75" customHeight="1">
      <c r="A184" s="896" t="s">
        <v>215</v>
      </c>
      <c r="B184" s="897"/>
      <c r="C184" s="334"/>
      <c r="D184" s="228" t="s">
        <v>142</v>
      </c>
      <c r="E184" s="95">
        <f>'22'!F184</f>
        <v>11211</v>
      </c>
      <c r="F184" s="157">
        <v>11217</v>
      </c>
      <c r="G184" s="157">
        <f t="shared" ref="G184:G185" si="16">F184-E184</f>
        <v>6</v>
      </c>
      <c r="H184" s="99">
        <f>G184+'22'!H184</f>
        <v>168</v>
      </c>
      <c r="I184" s="155"/>
      <c r="J184" s="178">
        <f>H184/DAY(B2)</f>
        <v>7.3043478260869561</v>
      </c>
    </row>
    <row r="185" spans="1:10" ht="30.75" customHeight="1">
      <c r="A185" s="896" t="s">
        <v>216</v>
      </c>
      <c r="B185" s="89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5" t="s">
        <v>196</v>
      </c>
      <c r="B186" s="936"/>
      <c r="C186" s="400"/>
      <c r="D186" s="229"/>
      <c r="E186" s="95"/>
      <c r="F186" s="157"/>
      <c r="G186" s="157">
        <f>SUM(G183:G185)</f>
        <v>16</v>
      </c>
      <c r="H186" s="99">
        <f>G186+'22'!H186</f>
        <v>518</v>
      </c>
      <c r="I186" s="157"/>
      <c r="J186" s="178">
        <f>H186/DAY(B2)</f>
        <v>22.521739130434781</v>
      </c>
    </row>
    <row r="187" spans="1:10" ht="30.75" customHeight="1">
      <c r="A187" s="946" t="s">
        <v>217</v>
      </c>
      <c r="B187" s="947"/>
      <c r="C187" s="333"/>
      <c r="D187" s="230" t="s">
        <v>142</v>
      </c>
      <c r="E187" s="95"/>
      <c r="F187" s="159"/>
      <c r="G187" s="378">
        <f>G62+G19</f>
        <v>262</v>
      </c>
      <c r="H187" s="99">
        <f>G187+'22'!H187</f>
        <v>5265</v>
      </c>
      <c r="I187" s="158"/>
      <c r="J187" s="179">
        <f>H187/DAY(B2)</f>
        <v>228.91304347826087</v>
      </c>
    </row>
    <row r="188" spans="1:10" ht="30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378">
        <f>G65+G66+G67+G69+G70</f>
        <v>272</v>
      </c>
      <c r="H188" s="99">
        <f>G188+'22'!H188</f>
        <v>2098</v>
      </c>
      <c r="I188" s="158"/>
      <c r="J188" s="179">
        <f>H188/DAY(B2)</f>
        <v>91.217391304347828</v>
      </c>
    </row>
    <row r="189" spans="1:10" ht="30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377">
        <f>G181</f>
        <v>123</v>
      </c>
      <c r="H189" s="99">
        <f>G189+'22'!H189</f>
        <v>558</v>
      </c>
      <c r="I189" s="158"/>
      <c r="J189" s="179">
        <f>H189/DAY(B2)</f>
        <v>24.260869565217391</v>
      </c>
    </row>
    <row r="190" spans="1:10" ht="30.75" customHeight="1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12" zoomScale="60" zoomScaleNormal="44" workbookViewId="0">
      <selection activeCell="F117" sqref="F117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349</v>
      </c>
      <c r="B2" s="262">
        <v>44675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630734.31000000006</v>
      </c>
      <c r="F7" s="95">
        <v>660727</v>
      </c>
      <c r="G7" s="112">
        <f>F7-E7</f>
        <v>29992.689999999944</v>
      </c>
      <c r="H7" s="99">
        <f>G7+'23'!H7</f>
        <v>674004</v>
      </c>
      <c r="I7" s="113">
        <f>'1'!I7</f>
        <v>12000</v>
      </c>
      <c r="J7" s="175">
        <f>H7/DAY(B2)</f>
        <v>28083.5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715431.43</v>
      </c>
      <c r="F8" s="114">
        <v>745977.9</v>
      </c>
      <c r="G8" s="115">
        <f>F8-E8</f>
        <v>30546.469999999972</v>
      </c>
      <c r="H8" s="99">
        <f>G8+'23'!H8</f>
        <v>687931.68</v>
      </c>
      <c r="I8" s="116"/>
      <c r="J8" s="175">
        <f>H8/DAY(B2)</f>
        <v>28663.820000000003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1723690.1</v>
      </c>
      <c r="F9" s="470">
        <v>1748608.3</v>
      </c>
      <c r="G9" s="112">
        <f>F9-E9</f>
        <v>24918.199999999953</v>
      </c>
      <c r="H9" s="99">
        <f>G9+'23'!H9</f>
        <v>480933.30000000005</v>
      </c>
      <c r="I9" s="124">
        <f>I7-J7</f>
        <v>-16083.5</v>
      </c>
      <c r="J9" s="175">
        <f>H9/DAY(B2)</f>
        <v>20038.887500000001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588434.91</v>
      </c>
      <c r="F10" s="353">
        <v>592635.87</v>
      </c>
      <c r="G10" s="112">
        <f t="shared" ref="G10:G12" si="0">F10-E10</f>
        <v>4200.9599999999627</v>
      </c>
      <c r="H10" s="99">
        <f>G10+'23'!H10</f>
        <v>174360.40000000002</v>
      </c>
      <c r="I10" s="282"/>
      <c r="J10" s="175">
        <f>H10/DAY(B2)</f>
        <v>7265.0166666666673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29119.159999999916</v>
      </c>
      <c r="H13" s="99">
        <f>G13+'23'!H13</f>
        <v>655294.17000000004</v>
      </c>
      <c r="I13" s="120">
        <f>G7-G13</f>
        <v>873.53000000002794</v>
      </c>
      <c r="J13" s="175">
        <f>H13/DAY(B2)</f>
        <v>27303.923750000002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1996049.72</v>
      </c>
      <c r="F15" s="470">
        <v>1997148.99</v>
      </c>
      <c r="G15" s="112">
        <f>(F15-E15)</f>
        <v>1099.2700000000186</v>
      </c>
      <c r="H15" s="99">
        <f>G15+'23'!H15</f>
        <v>26211.989999999991</v>
      </c>
      <c r="I15" s="113">
        <f>'1'!I15</f>
        <v>800</v>
      </c>
      <c r="J15" s="175">
        <f>H15/DAY(B2)</f>
        <v>1092.1662499999995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-292.16624999999954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'23'!F18</f>
        <v>24</v>
      </c>
      <c r="F18" s="122">
        <v>26</v>
      </c>
      <c r="G18" s="119">
        <f>F18*10</f>
        <v>260</v>
      </c>
      <c r="H18" s="99">
        <f>G18+'23'!H18</f>
        <v>5950</v>
      </c>
      <c r="I18" s="113">
        <f>'1'!I18</f>
        <v>65</v>
      </c>
      <c r="J18" s="175">
        <f>H18/DAY(B2)</f>
        <v>247.91666666666666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'23'!F19</f>
        <v>158105</v>
      </c>
      <c r="F19" s="122">
        <v>158152</v>
      </c>
      <c r="G19" s="112">
        <f t="shared" ref="G19" si="1">F19-E19</f>
        <v>47</v>
      </c>
      <c r="H19" s="99">
        <f>G19+'23'!H19</f>
        <v>1163</v>
      </c>
      <c r="I19" s="335"/>
      <c r="J19" s="175">
        <f>H19/DAY(B2)</f>
        <v>48.458333333333336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G20+'23'!H20</f>
        <v>7113</v>
      </c>
      <c r="I20" s="336">
        <f>I18-J20</f>
        <v>-231.375</v>
      </c>
      <c r="J20" s="175">
        <f>H20/DAY(B2)</f>
        <v>296.375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30546.469999999972</v>
      </c>
      <c r="F27" s="136">
        <v>9</v>
      </c>
      <c r="G27" s="137">
        <f>E27*F27</f>
        <v>274918.22999999975</v>
      </c>
      <c r="H27" s="99">
        <f>G27+'23'!H27</f>
        <v>6191385.1200000001</v>
      </c>
      <c r="I27" s="138"/>
      <c r="J27" s="175">
        <f>H27/DAY(B2)</f>
        <v>257974.38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1099.2700000000186</v>
      </c>
      <c r="F28" s="136">
        <v>52</v>
      </c>
      <c r="G28" s="137">
        <f>E28*F28</f>
        <v>57162.040000000969</v>
      </c>
      <c r="H28" s="99">
        <f>G28+'23'!H28</f>
        <v>1755777.8999999985</v>
      </c>
      <c r="I28" s="140"/>
      <c r="J28" s="175">
        <f>H28/DAY(B2)</f>
        <v>73157.412499999933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146</v>
      </c>
      <c r="G30" s="137">
        <f>E30*F30</f>
        <v>6862</v>
      </c>
      <c r="H30" s="99">
        <f>G30+'23'!H30</f>
        <v>174708</v>
      </c>
      <c r="I30" s="140"/>
      <c r="J30" s="175">
        <f>H30/DAY(B2)</f>
        <v>7279.5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G31+'23'!H31</f>
        <v>476000</v>
      </c>
      <c r="I31" s="140"/>
      <c r="J31" s="175">
        <f>H31/DAY(B2)</f>
        <v>19833.333333333332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359742.27000000072</v>
      </c>
      <c r="H32" s="99">
        <f>G32+'23'!H32</f>
        <v>8597871.0199999996</v>
      </c>
      <c r="I32" s="144"/>
      <c r="J32" s="175">
        <f>H32/DAY(B2)</f>
        <v>358244.6258333333</v>
      </c>
      <c r="K32" s="63"/>
      <c r="L32" s="89"/>
      <c r="N32" s="87"/>
      <c r="O32" s="71"/>
    </row>
    <row r="33" spans="1:15" ht="25.5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187758.07</v>
      </c>
      <c r="F35" s="145">
        <v>189839.07</v>
      </c>
      <c r="G35" s="112">
        <f t="shared" ref="G35:G46" si="3">F35-E35</f>
        <v>2081</v>
      </c>
      <c r="H35" s="99">
        <f>G35+'23'!H35</f>
        <v>51559.860000000015</v>
      </c>
      <c r="I35" s="95"/>
      <c r="J35" s="175">
        <f>H35/DAY(B2)</f>
        <v>2148.3275000000008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123989</v>
      </c>
      <c r="F36" s="145">
        <v>125261.27</v>
      </c>
      <c r="G36" s="112">
        <f t="shared" si="3"/>
        <v>1272.2700000000041</v>
      </c>
      <c r="H36" s="99">
        <f>G36+'23'!H36</f>
        <v>24740.61</v>
      </c>
      <c r="I36" s="95"/>
      <c r="J36" s="175">
        <f>H36/DAY(B2)</f>
        <v>1030.8587500000001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170913.19</v>
      </c>
      <c r="F37" s="145">
        <v>172648.59</v>
      </c>
      <c r="G37" s="112">
        <f t="shared" si="3"/>
        <v>1735.3999999999942</v>
      </c>
      <c r="H37" s="99">
        <f>G37+'23'!H37</f>
        <v>39723.570000000007</v>
      </c>
      <c r="I37" s="95"/>
      <c r="J37" s="175">
        <f>H37/DAY(B2)</f>
        <v>1655.1487500000003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226515.95</v>
      </c>
      <c r="F38" s="108">
        <v>228876.49</v>
      </c>
      <c r="G38" s="112">
        <f t="shared" si="3"/>
        <v>2360.539999999979</v>
      </c>
      <c r="H38" s="99">
        <f>G38+'23'!H38</f>
        <v>58767.119999999995</v>
      </c>
      <c r="I38" s="95"/>
      <c r="J38" s="175">
        <f>H38/DAY(B2)</f>
        <v>2448.6299999999997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319323.73</v>
      </c>
      <c r="F39" s="145">
        <v>322502.11</v>
      </c>
      <c r="G39" s="112">
        <f t="shared" si="3"/>
        <v>3178.3800000000047</v>
      </c>
      <c r="H39" s="99">
        <f>G39+'23'!H39</f>
        <v>78348.679999999993</v>
      </c>
      <c r="I39" s="95"/>
      <c r="J39" s="175">
        <f>H39/DAY(B2)</f>
        <v>3264.5283333333332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59903.65</v>
      </c>
      <c r="F40" s="145">
        <v>60430.35</v>
      </c>
      <c r="G40" s="112">
        <f t="shared" si="3"/>
        <v>526.69999999999709</v>
      </c>
      <c r="H40" s="99">
        <f>G40+'23'!H40</f>
        <v>11278.489999999998</v>
      </c>
      <c r="I40" s="95"/>
      <c r="J40" s="175">
        <f>H40/DAY(B2)</f>
        <v>469.93708333333325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1266.51</v>
      </c>
      <c r="F41" s="145">
        <v>5014.7</v>
      </c>
      <c r="G41" s="112">
        <f t="shared" si="3"/>
        <v>3748.1899999999996</v>
      </c>
      <c r="H41" s="99">
        <f>G41+'23'!H41</f>
        <v>4951.7</v>
      </c>
      <c r="I41" s="95"/>
      <c r="J41" s="175">
        <f>H41/DAY(B2)</f>
        <v>206.32083333333333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388368.33</v>
      </c>
      <c r="F42" s="145">
        <v>394159.11</v>
      </c>
      <c r="G42" s="112">
        <f t="shared" si="3"/>
        <v>5790.7799999999697</v>
      </c>
      <c r="H42" s="99">
        <f>G42+'23'!H42</f>
        <v>112801.85999999999</v>
      </c>
      <c r="I42" s="95"/>
      <c r="J42" s="175">
        <f>H42/DAY(B2)</f>
        <v>4700.0774999999994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333606.45</v>
      </c>
      <c r="F43" s="145">
        <v>337283.23</v>
      </c>
      <c r="G43" s="112">
        <f t="shared" si="3"/>
        <v>3676.7799999999697</v>
      </c>
      <c r="H43" s="99">
        <f>G43+'23'!H43</f>
        <v>78528.75999999998</v>
      </c>
      <c r="I43" s="95"/>
      <c r="J43" s="175">
        <f>H43/DAY(B2)</f>
        <v>3272.0316666666658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24370.039999999917</v>
      </c>
      <c r="H47" s="99">
        <f>G47+'23'!H47</f>
        <v>460700.64999999985</v>
      </c>
      <c r="I47" s="95"/>
      <c r="J47" s="175">
        <f>H47/DAY(B2)</f>
        <v>19195.860416666659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152453.89000000001</v>
      </c>
      <c r="F49" s="145">
        <v>154290.95000000001</v>
      </c>
      <c r="G49" s="112">
        <f t="shared" ref="G49:G58" si="4">F49-E49</f>
        <v>1837.0599999999977</v>
      </c>
      <c r="H49" s="99">
        <f>G49+'23'!H49</f>
        <v>43788.750000000015</v>
      </c>
      <c r="I49" s="95"/>
      <c r="J49" s="175">
        <f>H49/DAY(B2)</f>
        <v>1824.5312500000007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163150.6</v>
      </c>
      <c r="F50" s="145">
        <v>164506.87</v>
      </c>
      <c r="G50" s="112">
        <f t="shared" si="4"/>
        <v>1356.2699999999895</v>
      </c>
      <c r="H50" s="99">
        <f>G50+'23'!H50</f>
        <v>33296.729999999981</v>
      </c>
      <c r="I50" s="95"/>
      <c r="J50" s="175">
        <f>H50/DAY(B2)</f>
        <v>1387.3637499999993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10</v>
      </c>
      <c r="G52" s="112">
        <f t="shared" si="4"/>
        <v>0.24000000000000021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46756.79</v>
      </c>
      <c r="F54" s="145">
        <v>47221.9</v>
      </c>
      <c r="G54" s="112">
        <f t="shared" si="4"/>
        <v>465.11000000000058</v>
      </c>
      <c r="H54" s="99">
        <f>G54+'23'!H54</f>
        <v>11550.840000000004</v>
      </c>
      <c r="I54" s="95"/>
      <c r="J54" s="175">
        <f>H54/DAY(B2)</f>
        <v>481.28500000000014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141834.63</v>
      </c>
      <c r="F55" s="145">
        <v>142509.01</v>
      </c>
      <c r="G55" s="112">
        <f t="shared" si="4"/>
        <v>674.38000000000466</v>
      </c>
      <c r="H55" s="99">
        <f>G55+'23'!H55</f>
        <v>30027.98000000001</v>
      </c>
      <c r="I55" s="95"/>
      <c r="J55" s="175">
        <f>H55/DAY(B2)</f>
        <v>1251.1658333333337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107245.66</v>
      </c>
      <c r="F56" s="145">
        <v>107245.66</v>
      </c>
      <c r="G56" s="112">
        <f t="shared" si="4"/>
        <v>0</v>
      </c>
      <c r="H56" s="99">
        <f>G56+'23'!H56</f>
        <v>35627.98000000001</v>
      </c>
      <c r="I56" s="95"/>
      <c r="J56" s="175">
        <f>H56/DAY(B2)</f>
        <v>1484.4991666666672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23871.200000000001</v>
      </c>
      <c r="F58" s="145">
        <v>24111.7</v>
      </c>
      <c r="G58" s="112">
        <f t="shared" si="4"/>
        <v>240.5</v>
      </c>
      <c r="H58" s="99">
        <f>G58+'23'!H58</f>
        <v>5657.5</v>
      </c>
      <c r="I58" s="95"/>
      <c r="J58" s="175">
        <f>H58/DAY(B2)</f>
        <v>235.72916666666666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4573.5599999999922</v>
      </c>
      <c r="H59" s="99">
        <f>G59+'23'!H59</f>
        <v>159950.1</v>
      </c>
      <c r="I59" s="95">
        <f>G7-G60</f>
        <v>1049.0900000000329</v>
      </c>
      <c r="J59" s="175">
        <f>H59/DAY(B2)</f>
        <v>6664.5875000000005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28943.599999999911</v>
      </c>
      <c r="H60" s="99">
        <f>G60+'23'!H60</f>
        <v>620650.74999999988</v>
      </c>
      <c r="I60" s="95">
        <f>G13-G60</f>
        <v>175.56000000000495</v>
      </c>
      <c r="J60" s="175">
        <f>H60/DAY(B2)</f>
        <v>25860.447916666661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'23'!F62</f>
        <v>282775</v>
      </c>
      <c r="F62" s="122">
        <v>282971</v>
      </c>
      <c r="G62" s="112">
        <f t="shared" ref="G62:G63" si="5">F62-E62</f>
        <v>196</v>
      </c>
      <c r="H62" s="99">
        <f>G62+'23'!H62</f>
        <v>4345</v>
      </c>
      <c r="I62" s="118"/>
      <c r="J62" s="175">
        <f>H62/DAY(B2)</f>
        <v>181.04166666666666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'23'!F63</f>
        <v>226573</v>
      </c>
      <c r="F63" s="122">
        <v>226696</v>
      </c>
      <c r="G63" s="112">
        <f t="shared" si="5"/>
        <v>123</v>
      </c>
      <c r="H63" s="99">
        <f>G63+'23'!H63</f>
        <v>3615</v>
      </c>
      <c r="I63" s="118"/>
      <c r="J63" s="175">
        <f>H63/DAY(B2)</f>
        <v>150.625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'23'!F64</f>
        <v>0</v>
      </c>
      <c r="F64" s="122"/>
      <c r="G64" s="112">
        <f>G62+G63</f>
        <v>319</v>
      </c>
      <c r="H64" s="99">
        <f>G64+'23'!H64</f>
        <v>7960</v>
      </c>
      <c r="I64" s="118"/>
      <c r="J64" s="175">
        <f>H64/DAY(B2)</f>
        <v>331.66666666666669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'23'!F65</f>
        <v>443789</v>
      </c>
      <c r="F65" s="122">
        <v>443883</v>
      </c>
      <c r="G65" s="112">
        <f t="shared" ref="G65:G70" si="6">F65-E65</f>
        <v>94</v>
      </c>
      <c r="H65" s="99">
        <f>G65+'23'!H65</f>
        <v>2752</v>
      </c>
      <c r="I65" s="118"/>
      <c r="J65" s="175">
        <f>H65/DAY(B2)</f>
        <v>114.66666666666667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109459</v>
      </c>
      <c r="F66" s="122">
        <v>109479</v>
      </c>
      <c r="G66" s="112">
        <f t="shared" si="6"/>
        <v>20</v>
      </c>
      <c r="H66" s="99">
        <f>G66+'23'!H66</f>
        <v>409</v>
      </c>
      <c r="I66" s="118"/>
      <c r="J66" s="175">
        <f>H66/DAY(B2)</f>
        <v>17.041666666666668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110347</v>
      </c>
      <c r="F67" s="122">
        <v>110430</v>
      </c>
      <c r="G67" s="112">
        <f t="shared" si="6"/>
        <v>83</v>
      </c>
      <c r="H67" s="99">
        <f>G67+'23'!H67</f>
        <v>1837</v>
      </c>
      <c r="I67" s="118"/>
      <c r="J67" s="175">
        <f>H67/DAY(B2)</f>
        <v>76.541666666666671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161461</v>
      </c>
      <c r="F68" s="122">
        <v>161516</v>
      </c>
      <c r="G68" s="112">
        <f t="shared" si="6"/>
        <v>55</v>
      </c>
      <c r="H68" s="99">
        <f>G68+'23'!H68</f>
        <v>1107</v>
      </c>
      <c r="I68" s="118"/>
      <c r="J68" s="175">
        <f>H68/DAY(B2)</f>
        <v>46.125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11490</v>
      </c>
      <c r="F69" s="122">
        <v>11500</v>
      </c>
      <c r="G69" s="112">
        <f t="shared" si="6"/>
        <v>10</v>
      </c>
      <c r="H69" s="99">
        <f>G69+'23'!H69</f>
        <v>299</v>
      </c>
      <c r="I69" s="118"/>
      <c r="J69" s="175">
        <f>H69/DAY(B2)</f>
        <v>12.458333333333334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8937</v>
      </c>
      <c r="F70" s="122">
        <v>8954</v>
      </c>
      <c r="G70" s="112">
        <f t="shared" si="6"/>
        <v>17</v>
      </c>
      <c r="H70" s="99">
        <f>G70+'23'!H70</f>
        <v>226</v>
      </c>
      <c r="I70" s="118"/>
      <c r="J70" s="175">
        <f>H70/DAY(B2)</f>
        <v>9.4166666666666661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279</v>
      </c>
      <c r="H71" s="99">
        <f>G71+'23'!H71</f>
        <v>6630</v>
      </c>
      <c r="I71" s="154"/>
      <c r="J71" s="175">
        <f>H71/DAY(B2)</f>
        <v>276.25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'23'!F74</f>
        <v>926556.34</v>
      </c>
      <c r="F74" s="117">
        <v>926848.79</v>
      </c>
      <c r="G74" s="112">
        <f t="shared" ref="G74:G78" si="7">F74-E74</f>
        <v>292.45000000006985</v>
      </c>
      <c r="H74" s="99">
        <f>G74+'23'!H74</f>
        <v>7524.2800000000279</v>
      </c>
      <c r="I74" s="154"/>
      <c r="J74" s="175">
        <f>H74/DAY(B2)</f>
        <v>313.51166666666785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'23'!F76</f>
        <v>179285.1</v>
      </c>
      <c r="F76" s="123">
        <v>179428.9</v>
      </c>
      <c r="G76" s="112">
        <f t="shared" si="7"/>
        <v>143.79999999998836</v>
      </c>
      <c r="H76" s="99">
        <f>G76+'23'!H76</f>
        <v>2841.8999999999942</v>
      </c>
      <c r="I76" s="154"/>
      <c r="J76" s="175">
        <f>H76/DAY(B2)</f>
        <v>118.41249999999975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'23'!F77</f>
        <v>45316</v>
      </c>
      <c r="F77" s="123">
        <v>45366.2</v>
      </c>
      <c r="G77" s="112">
        <f t="shared" si="7"/>
        <v>50.19999999999709</v>
      </c>
      <c r="H77" s="99">
        <f>G77+'23'!H77</f>
        <v>1203.1999999999971</v>
      </c>
      <c r="I77" s="154"/>
      <c r="J77" s="175">
        <f>H77/DAY(B2)</f>
        <v>50.133333333333212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'23'!F78</f>
        <v>9564</v>
      </c>
      <c r="F78" s="123">
        <v>9563.4</v>
      </c>
      <c r="G78" s="112">
        <f t="shared" si="7"/>
        <v>-0.6000000000003638</v>
      </c>
      <c r="H78" s="99">
        <f>G78+'23'!H78</f>
        <v>0.3999999999996362</v>
      </c>
      <c r="I78" s="118"/>
      <c r="J78" s="175">
        <f>H78/DAY(B2)</f>
        <v>1.6666666666651508E-2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'23'!F79</f>
        <v>0</v>
      </c>
      <c r="F79" s="117"/>
      <c r="G79" s="112">
        <f>G15-SUM(G74:G78)</f>
        <v>613.41999999996369</v>
      </c>
      <c r="H79" s="99">
        <f>G79+'23'!H79</f>
        <v>14642.209999999972</v>
      </c>
      <c r="I79" s="118"/>
      <c r="J79" s="175">
        <f>H79/DAY(B2)</f>
        <v>610.0920833333322</v>
      </c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1099.2700000000186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41681.53</v>
      </c>
      <c r="F84" s="164">
        <v>41697.269999999997</v>
      </c>
      <c r="G84" s="112">
        <f t="shared" si="8"/>
        <v>15.739999999997963</v>
      </c>
      <c r="H84" s="99">
        <f>G84+'23'!H84</f>
        <v>22.269999999996799</v>
      </c>
      <c r="I84" s="594"/>
      <c r="J84" s="175">
        <f>H84/DAY(B2)</f>
        <v>0.92791666666653327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3622.21</v>
      </c>
      <c r="F85" s="164">
        <v>3645.4</v>
      </c>
      <c r="G85" s="112">
        <f t="shared" si="8"/>
        <v>23.190000000000055</v>
      </c>
      <c r="H85" s="99">
        <f>G85+'23'!H85</f>
        <v>486.90000000000009</v>
      </c>
      <c r="I85" s="594"/>
      <c r="J85" s="175">
        <f>H85/DAY(B2)</f>
        <v>20.287500000000005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43919.19</v>
      </c>
      <c r="F86" s="164">
        <v>43924.480000000003</v>
      </c>
      <c r="G86" s="112">
        <f t="shared" si="8"/>
        <v>5.2900000000008731</v>
      </c>
      <c r="H86" s="99">
        <f>G86+'23'!H86</f>
        <v>204.08000000000175</v>
      </c>
      <c r="I86" s="594"/>
      <c r="J86" s="175">
        <f>H86/DAY(B2)</f>
        <v>8.5033333333334067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35329.06</v>
      </c>
      <c r="F87" s="164">
        <v>35329.06</v>
      </c>
      <c r="G87" s="112">
        <f t="shared" si="8"/>
        <v>0</v>
      </c>
      <c r="H87" s="99">
        <f>G87+'23'!H87</f>
        <v>248.70999999999913</v>
      </c>
      <c r="I87" s="594">
        <f>G84+G85+G86+G87</f>
        <v>44.21999999999889</v>
      </c>
      <c r="J87" s="175">
        <f>H87/DAY(B2)</f>
        <v>10.36291666666663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24182.32</v>
      </c>
      <c r="F88" s="164">
        <v>24187.01</v>
      </c>
      <c r="G88" s="112">
        <f t="shared" si="8"/>
        <v>4.6899999999986903</v>
      </c>
      <c r="H88" s="99">
        <f>G88+'23'!H88</f>
        <v>77.609999999996944</v>
      </c>
      <c r="I88" s="594"/>
      <c r="J88" s="175">
        <f>H88/DAY(B2)</f>
        <v>3.2337499999998727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26643.7</v>
      </c>
      <c r="F89" s="164">
        <v>26651.01</v>
      </c>
      <c r="G89" s="112">
        <f t="shared" si="8"/>
        <v>7.3099999999976717</v>
      </c>
      <c r="H89" s="99">
        <f>G89+'23'!H89</f>
        <v>179.21999999999753</v>
      </c>
      <c r="I89" s="594">
        <f>G88+G89</f>
        <v>11.999999999996362</v>
      </c>
      <c r="J89" s="175">
        <f>H89/DAY(B2)</f>
        <v>7.4674999999998972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71799.94</v>
      </c>
      <c r="F90" s="164">
        <v>71805.789999999994</v>
      </c>
      <c r="G90" s="112">
        <f t="shared" si="8"/>
        <v>5.8499999999912689</v>
      </c>
      <c r="H90" s="99">
        <f>G90+'23'!H90</f>
        <v>232.67999999999302</v>
      </c>
      <c r="I90" s="594">
        <f>G90</f>
        <v>5.8499999999912689</v>
      </c>
      <c r="J90" s="175">
        <f>H90/DAY(B2)</f>
        <v>9.694999999999709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3977.73</v>
      </c>
      <c r="F91" s="122">
        <v>3988.51</v>
      </c>
      <c r="G91" s="112">
        <f t="shared" si="8"/>
        <v>10.7800000000002</v>
      </c>
      <c r="H91" s="99">
        <f>G91+'23'!H91</f>
        <v>78.760000000000218</v>
      </c>
      <c r="I91" s="688"/>
      <c r="J91" s="175">
        <f>H91/DAY(B2)</f>
        <v>3.2816666666666756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5934.87</v>
      </c>
      <c r="F92" s="122">
        <v>5934.87</v>
      </c>
      <c r="G92" s="112">
        <f t="shared" si="8"/>
        <v>0</v>
      </c>
      <c r="H92" s="99">
        <f>G92+'23'!H92</f>
        <v>187.56999999999971</v>
      </c>
      <c r="I92" s="705">
        <f>G91+G92</f>
        <v>10.7800000000002</v>
      </c>
      <c r="J92" s="175">
        <f>H92/DAY(B2)</f>
        <v>7.8154166666666542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7594.8399999999674</v>
      </c>
      <c r="H94" s="99">
        <f>G94+'23'!H94</f>
        <v>173877.37</v>
      </c>
      <c r="I94" s="118"/>
      <c r="J94" s="175">
        <f>H94/DAY(B2)</f>
        <v>7244.8904166666662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0.25322303534627877</v>
      </c>
      <c r="H95" s="99">
        <f>G95+'23'!H95</f>
        <v>6.1948460454741605</v>
      </c>
      <c r="I95" s="167"/>
      <c r="J95" s="175">
        <f>H95/DAY(B2)</f>
        <v>0.25811858522809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10213.349999999973</v>
      </c>
      <c r="H96" s="99">
        <f>G96+'23'!H96</f>
        <v>183409.52000000002</v>
      </c>
      <c r="I96" s="118"/>
      <c r="J96" s="175">
        <f>H96/DAY(B2)</f>
        <v>7642.0633333333344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0.34052797531665191</v>
      </c>
      <c r="H97" s="99">
        <f>G97+'23'!H97</f>
        <v>6.5117805395841799</v>
      </c>
      <c r="I97" s="167"/>
      <c r="J97" s="175">
        <f>H97/DAY(B2)</f>
        <v>0.27132418914934081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3178.3800000000047</v>
      </c>
      <c r="H98" s="99">
        <f>G98+'23'!H98</f>
        <v>78348.679999999993</v>
      </c>
      <c r="I98" s="168"/>
      <c r="J98" s="175">
        <f>H98/DAY(B2)</f>
        <v>3264.5283333333332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0.1059718218005791</v>
      </c>
      <c r="H99" s="99">
        <f>G99+'23'!H99</f>
        <v>2.7962476554475422</v>
      </c>
      <c r="I99" s="168"/>
      <c r="J99" s="175">
        <f>H99/DAY(B2)</f>
        <v>0.11651031897698093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2360.7799999999788</v>
      </c>
      <c r="H100" s="99">
        <f>G100+'23'!H100</f>
        <v>58767.119999999995</v>
      </c>
      <c r="I100" s="118"/>
      <c r="J100" s="175">
        <f>H100/DAY(B2)</f>
        <v>2448.6299999999997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7.8711846119837309E-2</v>
      </c>
      <c r="H101" s="99">
        <f>G101+'23'!H101</f>
        <v>2.0968809864839972</v>
      </c>
      <c r="I101" s="168"/>
      <c r="J101" s="175">
        <f>H101/DAY(B2)</f>
        <v>8.7370041103499885E-2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2628.5399999999936</v>
      </c>
      <c r="H102" s="99">
        <f>G102+'23'!H102</f>
        <v>58037.339999999982</v>
      </c>
      <c r="I102" s="168"/>
      <c r="J102" s="175">
        <f>H102/DAY(B2)</f>
        <v>2418.2224999999994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8.7639354789450313E-2</v>
      </c>
      <c r="H103" s="99">
        <f>G103+'23'!H103</f>
        <v>2.0644942765619962</v>
      </c>
      <c r="I103" s="118"/>
      <c r="J103" s="175">
        <f>H103/DAY(B2)</f>
        <v>8.6020594856749844E-2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1735.3999999999942</v>
      </c>
      <c r="H104" s="99">
        <f>G104+'23'!H104</f>
        <v>39723.890000000007</v>
      </c>
      <c r="I104" s="118"/>
      <c r="J104" s="175">
        <f>H104/DAY(B2)</f>
        <v>1655.1620833333336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5.7860765406503964E-2</v>
      </c>
      <c r="H105" s="99">
        <f>G105+'23'!H105</f>
        <v>1.4154351818508994</v>
      </c>
      <c r="I105" s="187"/>
      <c r="J105" s="188">
        <f>H105/DAY(B2)</f>
        <v>5.8976465910454141E-2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'23'!F112</f>
        <v>239</v>
      </c>
      <c r="F112" s="237">
        <f>239+4</f>
        <v>243</v>
      </c>
      <c r="G112" s="112">
        <f t="shared" ref="G112:G123" si="9">F112-E112</f>
        <v>4</v>
      </c>
      <c r="H112" s="99">
        <f>G112+'23'!H112</f>
        <v>2019.4700000000012</v>
      </c>
      <c r="I112" s="165"/>
      <c r="J112" s="328">
        <f>H112/DAY(B2)</f>
        <v>84.144583333333387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'23'!F113</f>
        <v>576</v>
      </c>
      <c r="F113" s="237">
        <f>576+11.61</f>
        <v>587.61</v>
      </c>
      <c r="G113" s="112">
        <f t="shared" si="9"/>
        <v>11.610000000000014</v>
      </c>
      <c r="H113" s="99">
        <f>G113+'23'!H113</f>
        <v>11509.399999999994</v>
      </c>
      <c r="I113" s="165"/>
      <c r="J113" s="328">
        <f>H113/DAY(B2)</f>
        <v>479.55833333333311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'23'!F114</f>
        <v>232</v>
      </c>
      <c r="F114" s="237">
        <f>232+160</f>
        <v>392</v>
      </c>
      <c r="G114" s="112">
        <f t="shared" si="9"/>
        <v>160</v>
      </c>
      <c r="H114" s="99">
        <f>G114+'23'!H114</f>
        <v>6492.1100000000006</v>
      </c>
      <c r="I114" s="165"/>
      <c r="J114" s="328">
        <f>H114/DAY(B2)</f>
        <v>270.50458333333336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'23'!F115</f>
        <v>59</v>
      </c>
      <c r="F115" s="237">
        <f>59+1.37</f>
        <v>60.37</v>
      </c>
      <c r="G115" s="112">
        <f t="shared" si="9"/>
        <v>1.3699999999999974</v>
      </c>
      <c r="H115" s="99">
        <f>G115+'23'!H115</f>
        <v>537.60999999999979</v>
      </c>
      <c r="I115" s="165"/>
      <c r="J115" s="328">
        <f>H115/DAY(B2)</f>
        <v>22.400416666666658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'23'!F116</f>
        <v>32373.59</v>
      </c>
      <c r="F116" s="417">
        <v>32797</v>
      </c>
      <c r="G116" s="112">
        <f t="shared" si="9"/>
        <v>423.40999999999985</v>
      </c>
      <c r="H116" s="99">
        <f>G116+'23'!H116</f>
        <v>10012.380000000001</v>
      </c>
      <c r="I116" s="165"/>
      <c r="J116" s="328">
        <f>H116/DAY(B2)</f>
        <v>417.18250000000006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'23'!F117</f>
        <v>17820</v>
      </c>
      <c r="F117" s="237">
        <v>17950.669999999998</v>
      </c>
      <c r="G117" s="112">
        <f t="shared" si="9"/>
        <v>130.66999999999825</v>
      </c>
      <c r="H117" s="99">
        <f>G117+'23'!H117</f>
        <v>4337.4969999999976</v>
      </c>
      <c r="I117" s="165"/>
      <c r="J117" s="328">
        <f>H117/DAY(B2)</f>
        <v>180.72904166666657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'23'!F118</f>
        <v>5277</v>
      </c>
      <c r="F118" s="237">
        <v>5806.701</v>
      </c>
      <c r="G118" s="112">
        <f t="shared" si="9"/>
        <v>529.70100000000002</v>
      </c>
      <c r="H118" s="99">
        <f>G118+'23'!H118</f>
        <v>12754.731000000029</v>
      </c>
      <c r="I118" s="165"/>
      <c r="J118" s="328">
        <f>H118/DAY(B2)</f>
        <v>531.44712500000117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'23'!F119</f>
        <v>2762.02</v>
      </c>
      <c r="F119" s="237">
        <v>3210.24</v>
      </c>
      <c r="G119" s="112">
        <f t="shared" si="9"/>
        <v>448.2199999999998</v>
      </c>
      <c r="H119" s="99">
        <f>G119+'23'!H119</f>
        <v>10530.849999999986</v>
      </c>
      <c r="I119" s="165"/>
      <c r="J119" s="328">
        <f>H119/DAY(B2)</f>
        <v>438.78541666666609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'23'!F120</f>
        <v>4107.34</v>
      </c>
      <c r="F120" s="237">
        <v>4531.29</v>
      </c>
      <c r="G120" s="112">
        <f t="shared" si="9"/>
        <v>423.94999999999982</v>
      </c>
      <c r="H120" s="99">
        <f>G120+'23'!H120</f>
        <v>9877.5300000000061</v>
      </c>
      <c r="I120" s="165"/>
      <c r="J120" s="328">
        <f>H120/DAY(B2)</f>
        <v>411.56375000000025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'23'!F121</f>
        <v>8006.9</v>
      </c>
      <c r="F121" s="237">
        <v>8787.57</v>
      </c>
      <c r="G121" s="112">
        <f t="shared" si="9"/>
        <v>780.67000000000007</v>
      </c>
      <c r="H121" s="99">
        <f>G121+'23'!H121</f>
        <v>19192.299999999981</v>
      </c>
      <c r="I121" s="165"/>
      <c r="J121" s="328">
        <f>H121/DAY(B2)</f>
        <v>799.67916666666588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'23'!F122</f>
        <v>2083.5500000000002</v>
      </c>
      <c r="F122" s="237">
        <v>2283.71</v>
      </c>
      <c r="G122" s="112">
        <f t="shared" si="9"/>
        <v>200.15999999999985</v>
      </c>
      <c r="H122" s="99">
        <f>G122+'23'!H122</f>
        <v>5100.5699999999861</v>
      </c>
      <c r="I122" s="165"/>
      <c r="J122" s="328">
        <f>H122/DAY(B2)</f>
        <v>212.52374999999941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'23'!F123</f>
        <v>284</v>
      </c>
      <c r="F123" s="237">
        <f>284+5.81</f>
        <v>289.81</v>
      </c>
      <c r="G123" s="112">
        <f t="shared" si="9"/>
        <v>5.8100000000000023</v>
      </c>
      <c r="H123" s="99">
        <f>G123+'23'!H123</f>
        <v>5891.3399999999992</v>
      </c>
      <c r="I123" s="165"/>
      <c r="J123" s="328">
        <f>H123/DAY(B2)</f>
        <v>245.47249999999997</v>
      </c>
    </row>
    <row r="124" spans="1:18" ht="29.25" customHeight="1">
      <c r="A124" s="932"/>
      <c r="B124" s="933"/>
      <c r="C124" s="934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3119.5709999999976</v>
      </c>
      <c r="H125" s="156"/>
      <c r="I125" s="327">
        <f>G125-(G39+G53)</f>
        <v>-58.809000000007018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'23'!F128</f>
        <v>78684.149999999994</v>
      </c>
      <c r="F128" s="165">
        <v>79029.5</v>
      </c>
      <c r="G128" s="112">
        <f t="shared" ref="G128:G134" si="10">F128-E128</f>
        <v>345.35000000000582</v>
      </c>
      <c r="H128" s="99">
        <f>G128+'23'!H128</f>
        <v>10113.259999999995</v>
      </c>
      <c r="I128" s="165"/>
      <c r="J128" s="328">
        <f>H128/DAY(B2)</f>
        <v>421.3858333333331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48981.99</v>
      </c>
      <c r="F129" s="165">
        <v>49252.13</v>
      </c>
      <c r="G129" s="112">
        <f t="shared" si="10"/>
        <v>270.13999999999942</v>
      </c>
      <c r="H129" s="99">
        <f>G129+'23'!H129</f>
        <v>7141.0799999999945</v>
      </c>
      <c r="I129" s="165"/>
      <c r="J129" s="328">
        <f>H129/DAY(B2)</f>
        <v>297.54499999999979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91744.15</v>
      </c>
      <c r="F130" s="165">
        <v>92453.19</v>
      </c>
      <c r="G130" s="112">
        <f t="shared" si="10"/>
        <v>709.04000000000815</v>
      </c>
      <c r="H130" s="99">
        <f>G130+'23'!H130</f>
        <v>16791.240000000005</v>
      </c>
      <c r="I130" s="165"/>
      <c r="J130" s="328">
        <f>H130/DAY(B2)</f>
        <v>699.63500000000022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'23'!F131</f>
        <v>28942.54</v>
      </c>
      <c r="F131" s="165">
        <v>29175.5</v>
      </c>
      <c r="G131" s="112">
        <f t="shared" si="10"/>
        <v>232.95999999999913</v>
      </c>
      <c r="H131" s="99">
        <f>G131+'23'!H131</f>
        <v>4743</v>
      </c>
      <c r="I131" s="165"/>
      <c r="J131" s="328">
        <f>H131/DAY(B2)</f>
        <v>197.625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'23'!F132</f>
        <v>85729.86</v>
      </c>
      <c r="F132" s="165">
        <v>86164.5</v>
      </c>
      <c r="G132" s="112">
        <f t="shared" si="10"/>
        <v>434.63999999999942</v>
      </c>
      <c r="H132" s="99">
        <f>G132+'23'!H132</f>
        <v>10497</v>
      </c>
      <c r="I132" s="165"/>
      <c r="J132" s="328">
        <f>H132/DAY(B2)</f>
        <v>437.375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'23'!F133</f>
        <v>166285.31</v>
      </c>
      <c r="F133" s="165">
        <v>167237.96</v>
      </c>
      <c r="G133" s="112">
        <f t="shared" si="10"/>
        <v>952.64999999999418</v>
      </c>
      <c r="H133" s="99">
        <f>G133+'23'!H133</f>
        <v>21855.97</v>
      </c>
      <c r="I133" s="165"/>
      <c r="J133" s="328">
        <f>H133/DAY(B2)</f>
        <v>910.66541666666672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'23'!F134</f>
        <v>26332.639999999999</v>
      </c>
      <c r="F134" s="158">
        <v>26561.293000000001</v>
      </c>
      <c r="G134" s="112">
        <f t="shared" si="10"/>
        <v>228.65300000000207</v>
      </c>
      <c r="H134" s="99">
        <f>G134+'23'!H134</f>
        <v>5768.6130000000012</v>
      </c>
      <c r="I134" s="165"/>
      <c r="J134" s="328">
        <f>H134/DAY(B2)</f>
        <v>240.35887500000004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3173.4330000000082</v>
      </c>
      <c r="H135" s="99">
        <f>G135+'23'!H135</f>
        <v>38058.842999999979</v>
      </c>
      <c r="I135" s="327">
        <f>G135-(G35+G49)</f>
        <v>-744.62699999998949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'23'!F138</f>
        <v>877690</v>
      </c>
      <c r="F138" s="147">
        <v>877867</v>
      </c>
      <c r="G138" s="112">
        <f t="shared" ref="G138:G152" si="11">F138-E138</f>
        <v>177</v>
      </c>
      <c r="H138" s="99">
        <f>G138+'23'!H138</f>
        <v>3866</v>
      </c>
      <c r="I138" s="118"/>
      <c r="J138" s="328">
        <f>H138/DAY(B2)</f>
        <v>161.08333333333334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'23'!F139</f>
        <v>893824</v>
      </c>
      <c r="F139" s="148">
        <v>893967</v>
      </c>
      <c r="G139" s="112">
        <f t="shared" si="11"/>
        <v>143</v>
      </c>
      <c r="H139" s="99">
        <f>G139+'23'!H139</f>
        <v>3649</v>
      </c>
      <c r="I139" s="118"/>
      <c r="J139" s="328">
        <f>H139/DAY(B2)</f>
        <v>152.04166666666666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'23'!F140</f>
        <v>89032</v>
      </c>
      <c r="F140" s="149">
        <v>89032</v>
      </c>
      <c r="G140" s="112">
        <f t="shared" si="11"/>
        <v>0</v>
      </c>
      <c r="H140" s="99">
        <f>G140+'23'!H140</f>
        <v>42</v>
      </c>
      <c r="I140" s="118"/>
      <c r="J140" s="328">
        <f>H140/DAY(B2)</f>
        <v>1.75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'23'!F141</f>
        <v>70331.41</v>
      </c>
      <c r="F141" s="149">
        <v>70553.64</v>
      </c>
      <c r="G141" s="112">
        <f t="shared" si="11"/>
        <v>222.22999999999593</v>
      </c>
      <c r="H141" s="99">
        <f>G141+'23'!H141</f>
        <v>4770.1100000000006</v>
      </c>
      <c r="I141" s="118"/>
      <c r="J141" s="328">
        <f>H141/DAY(B2)</f>
        <v>198.75458333333336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'23'!F142</f>
        <v>26989.49</v>
      </c>
      <c r="F142" s="148">
        <v>27046.31</v>
      </c>
      <c r="G142" s="112">
        <f t="shared" si="11"/>
        <v>56.819999999999709</v>
      </c>
      <c r="H142" s="99">
        <f>G142+'23'!H142</f>
        <v>1549.9099999999999</v>
      </c>
      <c r="I142" s="140"/>
      <c r="J142" s="328">
        <f>H142/DAY(B2)</f>
        <v>64.579583333333332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'23'!F143</f>
        <v>6210.37</v>
      </c>
      <c r="F143" s="149">
        <v>6240.2</v>
      </c>
      <c r="G143" s="112">
        <f t="shared" si="11"/>
        <v>29.829999999999927</v>
      </c>
      <c r="H143" s="99">
        <f>G143+'23'!H143</f>
        <v>679.48999999999978</v>
      </c>
      <c r="I143" s="140"/>
      <c r="J143" s="328">
        <f>H143/DAY(B2)</f>
        <v>28.312083333333323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'23'!F144</f>
        <v>895536</v>
      </c>
      <c r="F144" s="149">
        <v>895751</v>
      </c>
      <c r="G144" s="112">
        <f t="shared" si="11"/>
        <v>215</v>
      </c>
      <c r="H144" s="99">
        <f>G144+'23'!H144</f>
        <v>5917</v>
      </c>
      <c r="I144" s="140"/>
      <c r="J144" s="328">
        <f>H144/DAY(B2)</f>
        <v>246.54166666666666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'23'!F145</f>
        <v>5611.38</v>
      </c>
      <c r="F145" s="149">
        <v>5614.87</v>
      </c>
      <c r="G145" s="112">
        <f t="shared" si="11"/>
        <v>3.4899999999997817</v>
      </c>
      <c r="H145" s="99">
        <f>G145+'23'!H145</f>
        <v>58.470000000000255</v>
      </c>
      <c r="I145" s="140"/>
      <c r="J145" s="328">
        <f>H145/DAY(B2)</f>
        <v>2.4362500000000105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'23'!F146</f>
        <v>775651</v>
      </c>
      <c r="F146" s="148">
        <v>776034</v>
      </c>
      <c r="G146" s="112">
        <f t="shared" si="11"/>
        <v>383</v>
      </c>
      <c r="H146" s="99">
        <f>G146+'23'!H146</f>
        <v>11708</v>
      </c>
      <c r="I146" s="140"/>
      <c r="J146" s="328">
        <f>H146/DAY(B2)</f>
        <v>487.83333333333331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'23'!F147</f>
        <v>660280</v>
      </c>
      <c r="F147" s="148">
        <v>660748.52</v>
      </c>
      <c r="G147" s="112">
        <f t="shared" si="11"/>
        <v>468.52000000001863</v>
      </c>
      <c r="H147" s="99">
        <f>G147+'23'!H147</f>
        <v>10564.520000000019</v>
      </c>
      <c r="I147" s="140"/>
      <c r="J147" s="328">
        <f>H147/DAY(B2)</f>
        <v>440.18833333333413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'23'!F148</f>
        <v>717265.52</v>
      </c>
      <c r="F148" s="150">
        <v>717743.84</v>
      </c>
      <c r="G148" s="112">
        <f t="shared" si="11"/>
        <v>478.31999999994878</v>
      </c>
      <c r="H148" s="99">
        <f>G148+'23'!H148</f>
        <v>8879.1599999999162</v>
      </c>
      <c r="I148" s="124"/>
      <c r="J148" s="328">
        <f>H148/DAY(B2)</f>
        <v>369.96499999999651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'23'!F149</f>
        <v>78758.75</v>
      </c>
      <c r="F149" s="146">
        <v>79477.47</v>
      </c>
      <c r="G149" s="112">
        <f t="shared" si="11"/>
        <v>718.72000000000116</v>
      </c>
      <c r="H149" s="99">
        <f>G149+'23'!H149</f>
        <v>16253.669999999998</v>
      </c>
      <c r="I149" s="119"/>
      <c r="J149" s="328">
        <f>H149/DAY(B2)</f>
        <v>677.23624999999993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'23'!F150</f>
        <v>29100.42</v>
      </c>
      <c r="F150" s="233">
        <v>29311.1</v>
      </c>
      <c r="G150" s="112">
        <f t="shared" si="11"/>
        <v>210.68000000000029</v>
      </c>
      <c r="H150" s="99">
        <f>G150+'23'!H150</f>
        <v>5355.3099999999977</v>
      </c>
      <c r="I150" s="119"/>
      <c r="J150" s="328">
        <f>H150/DAY(B2)</f>
        <v>223.13791666666657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'23'!F151</f>
        <v>107123</v>
      </c>
      <c r="F151" s="233">
        <v>107415</v>
      </c>
      <c r="G151" s="112">
        <f t="shared" si="11"/>
        <v>292</v>
      </c>
      <c r="H151" s="99">
        <f>G151+'23'!H151</f>
        <v>6804</v>
      </c>
      <c r="I151" s="119"/>
      <c r="J151" s="328">
        <f>H151/DAY(B2)</f>
        <v>283.5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'23'!F152</f>
        <v>10515.68</v>
      </c>
      <c r="F152" s="233">
        <v>10573.36</v>
      </c>
      <c r="G152" s="112">
        <f t="shared" si="11"/>
        <v>57.680000000000291</v>
      </c>
      <c r="H152" s="99">
        <f>G152+'23'!H152</f>
        <v>2504.3000000000002</v>
      </c>
      <c r="I152" s="119"/>
      <c r="J152" s="328">
        <f>H152/DAY(B2)</f>
        <v>104.34583333333335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3456.2899999999645</v>
      </c>
      <c r="H153" s="363"/>
      <c r="I153" s="119">
        <f>G153-(G38+G52)</f>
        <v>1095.5099999999857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'23'!F155</f>
        <v>88126.03</v>
      </c>
      <c r="F155" s="420">
        <v>88846</v>
      </c>
      <c r="G155" s="112">
        <f t="shared" ref="G155:G158" si="12">F155-E155</f>
        <v>719.97000000000116</v>
      </c>
      <c r="H155" s="99">
        <f>G155+'23'!H155</f>
        <v>16075.5</v>
      </c>
      <c r="I155" s="364"/>
      <c r="J155" s="328">
        <f>H155/DAY(B2)</f>
        <v>669.8125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'23'!F156</f>
        <v>7309</v>
      </c>
      <c r="F156" s="155">
        <v>7365</v>
      </c>
      <c r="G156" s="112">
        <f t="shared" si="12"/>
        <v>56</v>
      </c>
      <c r="H156" s="99">
        <f>G156+'23'!H156</f>
        <v>1307.75</v>
      </c>
      <c r="I156" s="165"/>
      <c r="J156" s="328">
        <f>H156/DAY(B2)</f>
        <v>54.489583333333336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'23'!F157</f>
        <v>12726.04</v>
      </c>
      <c r="F157" s="155">
        <v>12848.32</v>
      </c>
      <c r="G157" s="112">
        <f t="shared" si="12"/>
        <v>122.27999999999884</v>
      </c>
      <c r="H157" s="99">
        <f>G157+'23'!H157</f>
        <v>575.31999999999971</v>
      </c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f>'23'!F158</f>
        <v>100.19</v>
      </c>
      <c r="F158" s="155">
        <v>100.19</v>
      </c>
      <c r="G158" s="112">
        <f t="shared" si="12"/>
        <v>0</v>
      </c>
      <c r="H158" s="99">
        <f>G158+'23'!H158</f>
        <v>2.7199999999999989</v>
      </c>
      <c r="I158" s="165"/>
      <c r="J158" s="328"/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474617.32</v>
      </c>
      <c r="F161" s="235">
        <v>474641.64</v>
      </c>
      <c r="G161" s="238">
        <f t="shared" ref="G161:G165" si="13">F161-E161</f>
        <v>24.320000000006985</v>
      </c>
      <c r="H161" s="99">
        <f>G161+'23'!H161</f>
        <v>800.9100000000326</v>
      </c>
      <c r="I161" s="236"/>
      <c r="J161" s="239">
        <f>H161/DAY(B2)</f>
        <v>33.371250000001361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91282.8</v>
      </c>
      <c r="F162" s="235">
        <v>91294.1</v>
      </c>
      <c r="G162" s="238">
        <f t="shared" si="13"/>
        <v>11.30000000000291</v>
      </c>
      <c r="H162" s="99">
        <f>G162+'23'!H162</f>
        <v>841.20000000001164</v>
      </c>
      <c r="I162" s="236"/>
      <c r="J162" s="239">
        <f>H162/DAY(B2)</f>
        <v>35.050000000000487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90899.3</v>
      </c>
      <c r="F163" s="235">
        <v>91054.399999999994</v>
      </c>
      <c r="G163" s="238">
        <f t="shared" si="13"/>
        <v>155.09999999999127</v>
      </c>
      <c r="H163" s="99">
        <f>G163+'23'!H163</f>
        <v>3975.5999999999913</v>
      </c>
      <c r="I163" s="236"/>
      <c r="J163" s="239">
        <f>H163/DAY(B2)</f>
        <v>165.64999999999964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5103.7</v>
      </c>
      <c r="F164" s="235">
        <v>5113.5</v>
      </c>
      <c r="G164" s="238">
        <f t="shared" si="13"/>
        <v>9.8000000000001819</v>
      </c>
      <c r="H164" s="99">
        <f>G164+'23'!H164</f>
        <v>301.10000000000036</v>
      </c>
      <c r="I164" s="236"/>
      <c r="J164" s="239">
        <f>H164/DAY(B2)</f>
        <v>12.545833333333348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30556.58</v>
      </c>
      <c r="F165" s="235">
        <v>30560.86</v>
      </c>
      <c r="G165" s="238">
        <f t="shared" si="13"/>
        <v>4.2799999999988358</v>
      </c>
      <c r="H165" s="99">
        <f>G165+'23'!H165</f>
        <v>205.35000000000218</v>
      </c>
      <c r="I165" s="236"/>
      <c r="J165" s="239">
        <f>H165/DAY(B2)</f>
        <v>8.5562500000000909</v>
      </c>
    </row>
    <row r="166" spans="1:10" ht="26.25">
      <c r="A166" s="938"/>
      <c r="B166" s="938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1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6" t="s">
        <v>209</v>
      </c>
      <c r="B173" s="897"/>
      <c r="C173" s="333"/>
      <c r="D173" s="228" t="s">
        <v>142</v>
      </c>
      <c r="E173" s="95">
        <f>'23'!F173</f>
        <v>8235</v>
      </c>
      <c r="F173" s="155">
        <v>8235</v>
      </c>
      <c r="G173" s="155">
        <f>F173-E173</f>
        <v>0</v>
      </c>
      <c r="H173" s="99">
        <f>G173+'23'!H173</f>
        <v>93</v>
      </c>
      <c r="I173" s="155"/>
      <c r="J173" s="178">
        <f>H173/DAY(B2)</f>
        <v>3.875</v>
      </c>
    </row>
    <row r="174" spans="1:10" ht="27" customHeight="1">
      <c r="A174" s="896" t="s">
        <v>75</v>
      </c>
      <c r="B174" s="897"/>
      <c r="C174" s="333"/>
      <c r="D174" s="228" t="s">
        <v>142</v>
      </c>
      <c r="E174" s="95">
        <f>'23'!F174</f>
        <v>39811</v>
      </c>
      <c r="F174" s="157">
        <v>39840</v>
      </c>
      <c r="G174" s="155">
        <f t="shared" ref="G174:G175" si="14">F174-E174</f>
        <v>29</v>
      </c>
      <c r="H174" s="99">
        <f>G174+'23'!H174</f>
        <v>378</v>
      </c>
      <c r="I174" s="155"/>
      <c r="J174" s="178">
        <f>H174/DAY(B2)</f>
        <v>15.75</v>
      </c>
    </row>
    <row r="175" spans="1:10" ht="27" customHeight="1">
      <c r="A175" s="896" t="s">
        <v>76</v>
      </c>
      <c r="B175" s="901"/>
      <c r="C175" s="897"/>
      <c r="D175" s="228" t="s">
        <v>142</v>
      </c>
      <c r="E175" s="95">
        <f>'23'!F175</f>
        <v>22807</v>
      </c>
      <c r="F175" s="155">
        <v>22819</v>
      </c>
      <c r="G175" s="155">
        <f t="shared" si="14"/>
        <v>12</v>
      </c>
      <c r="H175" s="99">
        <f>G175+'23'!H175</f>
        <v>297</v>
      </c>
      <c r="I175" s="155"/>
      <c r="J175" s="178">
        <f>H175/DAY(B2)</f>
        <v>12.375</v>
      </c>
    </row>
    <row r="176" spans="1:10" ht="21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41</v>
      </c>
      <c r="H176" s="99">
        <f>G176+'23'!H176</f>
        <v>768</v>
      </c>
      <c r="I176" s="155"/>
      <c r="J176" s="178">
        <f>H176/DAY(B2)</f>
        <v>32</v>
      </c>
    </row>
    <row r="177" spans="1:10" ht="21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'23'!F178</f>
        <v>87875</v>
      </c>
      <c r="F178" s="155">
        <v>87982</v>
      </c>
      <c r="G178" s="155">
        <f>F178-E178</f>
        <v>107</v>
      </c>
      <c r="H178" s="99">
        <f>G178+'23'!H178</f>
        <v>2366</v>
      </c>
      <c r="I178" s="155"/>
      <c r="J178" s="178">
        <f>H178/DAY(B2)</f>
        <v>98.583333333333329</v>
      </c>
    </row>
    <row r="179" spans="1:10" ht="24" customHeight="1">
      <c r="A179" s="896" t="s">
        <v>211</v>
      </c>
      <c r="B179" s="897"/>
      <c r="C179" s="333"/>
      <c r="D179" s="228" t="s">
        <v>142</v>
      </c>
      <c r="E179" s="95">
        <f>'23'!F179</f>
        <v>35739</v>
      </c>
      <c r="F179" s="155">
        <v>35739</v>
      </c>
      <c r="G179" s="155">
        <f t="shared" ref="G179:G180" si="15">F179-E179</f>
        <v>0</v>
      </c>
      <c r="H179" s="99">
        <f>G179+'23'!H179</f>
        <v>125</v>
      </c>
      <c r="I179" s="155"/>
      <c r="J179" s="178">
        <f>H179/DAY(B2)</f>
        <v>5.208333333333333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'23'!F180</f>
        <v>6328</v>
      </c>
      <c r="F180" s="155">
        <v>6331</v>
      </c>
      <c r="G180" s="155">
        <f t="shared" si="15"/>
        <v>3</v>
      </c>
      <c r="H180" s="99">
        <f>G180+'23'!H180</f>
        <v>198</v>
      </c>
      <c r="I180" s="155"/>
      <c r="J180" s="178">
        <f>H180/DAY(B2)</f>
        <v>8.25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G181+'23'!H181</f>
        <v>2689</v>
      </c>
      <c r="I181" s="155"/>
      <c r="J181" s="178">
        <f>H181/DAY(B2)</f>
        <v>112.04166666666667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'23'!F183</f>
        <v>16492</v>
      </c>
      <c r="F183" s="157">
        <v>16504</v>
      </c>
      <c r="G183" s="157">
        <f>F183-E183</f>
        <v>12</v>
      </c>
      <c r="H183" s="99">
        <f>G183+'23'!H183</f>
        <v>362</v>
      </c>
      <c r="I183" s="155"/>
      <c r="J183" s="178">
        <f>H183/DAY(B2)</f>
        <v>15.083333333333334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'23'!F184</f>
        <v>11217</v>
      </c>
      <c r="F184" s="157">
        <v>11234</v>
      </c>
      <c r="G184" s="157">
        <f t="shared" ref="G184:G185" si="16">F184-E184</f>
        <v>17</v>
      </c>
      <c r="H184" s="99">
        <f>G184+'23'!H184</f>
        <v>185</v>
      </c>
      <c r="I184" s="155"/>
      <c r="J184" s="178">
        <f>H184/DAY(B2)</f>
        <v>7.708333333333333</v>
      </c>
    </row>
    <row r="185" spans="1:10" ht="26.25" customHeight="1">
      <c r="A185" s="896" t="s">
        <v>216</v>
      </c>
      <c r="B185" s="89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29</v>
      </c>
      <c r="H186" s="99">
        <f>G186+'23'!H186</f>
        <v>547</v>
      </c>
      <c r="I186" s="157"/>
      <c r="J186" s="178">
        <f>H186/DAY(B2)</f>
        <v>22.791666666666668</v>
      </c>
    </row>
    <row r="187" spans="1:10" ht="25.5">
      <c r="A187" s="946" t="s">
        <v>217</v>
      </c>
      <c r="B187" s="947"/>
      <c r="C187" s="333"/>
      <c r="D187" s="230" t="s">
        <v>142</v>
      </c>
      <c r="E187" s="95">
        <f>'23'!F187</f>
        <v>0</v>
      </c>
      <c r="F187" s="159"/>
      <c r="G187" s="378">
        <f>G62+G19</f>
        <v>243</v>
      </c>
      <c r="H187" s="99">
        <f>G187+'23'!H187</f>
        <v>5508</v>
      </c>
      <c r="I187" s="158"/>
      <c r="J187" s="179">
        <f>H187/DAY(B2)</f>
        <v>229.5</v>
      </c>
    </row>
    <row r="188" spans="1:10" ht="25.5">
      <c r="A188" s="946" t="s">
        <v>218</v>
      </c>
      <c r="B188" s="947"/>
      <c r="C188" s="333"/>
      <c r="D188" s="230" t="s">
        <v>142</v>
      </c>
      <c r="E188" s="95">
        <f>'23'!F188</f>
        <v>0</v>
      </c>
      <c r="F188" s="159"/>
      <c r="G188" s="378">
        <f>G65+G66+G67+G69+G70</f>
        <v>224</v>
      </c>
      <c r="H188" s="99">
        <f>G188+'23'!H188</f>
        <v>2322</v>
      </c>
      <c r="I188" s="158"/>
      <c r="J188" s="179">
        <f>H188/DAY(B2)</f>
        <v>96.75</v>
      </c>
    </row>
    <row r="189" spans="1:10" ht="25.5">
      <c r="A189" s="946" t="s">
        <v>219</v>
      </c>
      <c r="B189" s="947"/>
      <c r="C189" s="333"/>
      <c r="D189" s="230" t="s">
        <v>142</v>
      </c>
      <c r="E189" s="95">
        <f>'23'!F189</f>
        <v>0</v>
      </c>
      <c r="F189" s="157"/>
      <c r="G189" s="377">
        <f>G181</f>
        <v>110</v>
      </c>
      <c r="H189" s="99">
        <f>G189+'23'!H189</f>
        <v>668</v>
      </c>
      <c r="I189" s="158"/>
      <c r="J189" s="179">
        <f>H189/DAY(B2)</f>
        <v>27.833333333333332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00" zoomScale="55" zoomScaleNormal="49" zoomScaleSheetLayoutView="55" workbookViewId="0">
      <selection activeCell="F118" sqref="F118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355</v>
      </c>
      <c r="B2" s="262">
        <v>44645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660727</v>
      </c>
      <c r="F7" s="95">
        <v>688232</v>
      </c>
      <c r="G7" s="112">
        <f>F7-E7</f>
        <v>27505</v>
      </c>
      <c r="H7" s="99">
        <f>G7+'24'!H7</f>
        <v>701509</v>
      </c>
      <c r="I7" s="113">
        <f>'1'!I7</f>
        <v>12000</v>
      </c>
      <c r="J7" s="175">
        <f>H7/DAY(B2)</f>
        <v>28060.36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745977.9</v>
      </c>
      <c r="F8" s="114">
        <v>773882</v>
      </c>
      <c r="G8" s="115">
        <f>F8-E8</f>
        <v>27904.099999999977</v>
      </c>
      <c r="H8" s="99">
        <f>G8+'24'!H8</f>
        <v>715835.78</v>
      </c>
      <c r="I8" s="116"/>
      <c r="J8" s="175">
        <f>H8/DAY(B2)</f>
        <v>28633.431200000003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1748608.3</v>
      </c>
      <c r="F9" s="470">
        <v>1772305.5</v>
      </c>
      <c r="G9" s="112">
        <f>F9-E9</f>
        <v>23697.199999999953</v>
      </c>
      <c r="H9" s="99">
        <f>G9+'24'!H9</f>
        <v>504630.5</v>
      </c>
      <c r="I9" s="124">
        <f>I7-J7</f>
        <v>-16060.36</v>
      </c>
      <c r="J9" s="175">
        <f>H9/DAY(B2)</f>
        <v>20185.22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592635.87</v>
      </c>
      <c r="F10" s="353">
        <v>595627.91</v>
      </c>
      <c r="G10" s="112">
        <f t="shared" ref="G10:G12" si="0">F10-E10</f>
        <v>2992.0400000000373</v>
      </c>
      <c r="H10" s="99">
        <f>G10+'24'!H10</f>
        <v>177352.44000000006</v>
      </c>
      <c r="I10" s="282"/>
      <c r="J10" s="175">
        <f>H10/DAY(B2)</f>
        <v>7094.0976000000028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26689.239999999991</v>
      </c>
      <c r="H13" s="99">
        <f>G13+'24'!H13</f>
        <v>681983.41</v>
      </c>
      <c r="I13" s="120">
        <f>G7-G13</f>
        <v>815.76000000000931</v>
      </c>
      <c r="J13" s="175">
        <f>H13/DAY(B2)</f>
        <v>27279.3364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1997148.99</v>
      </c>
      <c r="F15" s="470">
        <v>1998241</v>
      </c>
      <c r="G15" s="112">
        <f>(F15-E15)</f>
        <v>1092.0100000000093</v>
      </c>
      <c r="H15" s="99">
        <f>G15+'24'!H15</f>
        <v>27304</v>
      </c>
      <c r="I15" s="113">
        <f>'1'!I15</f>
        <v>800</v>
      </c>
      <c r="J15" s="175">
        <f>H15/DAY(B2)</f>
        <v>1092.1600000000001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-292.16000000000008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'24'!F18</f>
        <v>26</v>
      </c>
      <c r="F18" s="122">
        <v>33</v>
      </c>
      <c r="G18" s="119">
        <f>F18*10</f>
        <v>330</v>
      </c>
      <c r="H18" s="99">
        <f>G18+'24'!H18</f>
        <v>6280</v>
      </c>
      <c r="I18" s="113">
        <f>'1'!I18</f>
        <v>65</v>
      </c>
      <c r="J18" s="175">
        <f>H18/DAY(B2)</f>
        <v>251.2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'24'!F19</f>
        <v>158152</v>
      </c>
      <c r="F19" s="122">
        <v>158203</v>
      </c>
      <c r="G19" s="112">
        <f t="shared" ref="G19" si="1">F19-E19</f>
        <v>51</v>
      </c>
      <c r="H19" s="99">
        <f>G19+'24'!H19</f>
        <v>1214</v>
      </c>
      <c r="I19" s="335"/>
      <c r="J19" s="175">
        <f>H19/DAY(B2)</f>
        <v>48.56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381</v>
      </c>
      <c r="H20" s="99">
        <f>G20+'24'!H20</f>
        <v>7494</v>
      </c>
      <c r="I20" s="336">
        <f>I18-J20</f>
        <v>-234.76</v>
      </c>
      <c r="J20" s="175">
        <f>H20/DAY(B2)</f>
        <v>299.76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27904.099999999977</v>
      </c>
      <c r="F27" s="136">
        <v>9</v>
      </c>
      <c r="G27" s="137">
        <f>E27*F27</f>
        <v>251136.89999999979</v>
      </c>
      <c r="H27" s="99">
        <f>G27+'24'!H27</f>
        <v>6442522.0199999996</v>
      </c>
      <c r="I27" s="138"/>
      <c r="J27" s="175">
        <f>H27/DAY(B2)</f>
        <v>257700.88079999998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1092.0100000000093</v>
      </c>
      <c r="F28" s="136">
        <v>52</v>
      </c>
      <c r="G28" s="137">
        <f>E28*F28</f>
        <v>56784.520000000484</v>
      </c>
      <c r="H28" s="99">
        <f>G28+'24'!H28</f>
        <v>1812562.419999999</v>
      </c>
      <c r="I28" s="140"/>
      <c r="J28" s="175">
        <f>H28/DAY(B2)</f>
        <v>72502.496799999964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G30+'24'!H30</f>
        <v>182154</v>
      </c>
      <c r="I30" s="140"/>
      <c r="J30" s="175">
        <f>H30/DAY(B2)</f>
        <v>7286.16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G31+'24'!H31</f>
        <v>502400</v>
      </c>
      <c r="I31" s="140"/>
      <c r="J31" s="175">
        <f>H31/DAY(B2)</f>
        <v>20096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341767.42000000027</v>
      </c>
      <c r="H32" s="99">
        <f>G32+'24'!H32</f>
        <v>8939638.4399999995</v>
      </c>
      <c r="I32" s="144"/>
      <c r="J32" s="175">
        <f>H32/DAY(B2)</f>
        <v>357585.53759999998</v>
      </c>
      <c r="K32" s="63"/>
      <c r="L32" s="89"/>
      <c r="N32" s="87"/>
      <c r="O32" s="71"/>
    </row>
    <row r="33" spans="1:15" ht="25.5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189839.07</v>
      </c>
      <c r="F35" s="145">
        <v>191970.69</v>
      </c>
      <c r="G35" s="112">
        <f t="shared" ref="G35:G46" si="3">F35-E35</f>
        <v>2131.6199999999953</v>
      </c>
      <c r="H35" s="99">
        <f>G35+'24'!H35</f>
        <v>53691.48000000001</v>
      </c>
      <c r="I35" s="95"/>
      <c r="J35" s="175">
        <f>H35/DAY(B2)</f>
        <v>2147.6592000000005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125261.27</v>
      </c>
      <c r="F36" s="145">
        <v>126196.4</v>
      </c>
      <c r="G36" s="112">
        <f t="shared" si="3"/>
        <v>935.1299999999901</v>
      </c>
      <c r="H36" s="99">
        <f>G36+'24'!H36</f>
        <v>25675.739999999991</v>
      </c>
      <c r="I36" s="95"/>
      <c r="J36" s="175">
        <f>H36/DAY(B2)</f>
        <v>1027.0295999999996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172648.59</v>
      </c>
      <c r="F37" s="145">
        <v>174410.65</v>
      </c>
      <c r="G37" s="112">
        <f t="shared" si="3"/>
        <v>1762.0599999999977</v>
      </c>
      <c r="H37" s="99">
        <f>G37+'24'!H37</f>
        <v>41485.630000000005</v>
      </c>
      <c r="I37" s="95"/>
      <c r="J37" s="175">
        <f>H37/DAY(B2)</f>
        <v>1659.4252000000001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228876.49</v>
      </c>
      <c r="F38" s="108">
        <v>231278.95</v>
      </c>
      <c r="G38" s="112">
        <f t="shared" si="3"/>
        <v>2402.460000000021</v>
      </c>
      <c r="H38" s="99">
        <f>G38+'24'!H38</f>
        <v>61169.580000000016</v>
      </c>
      <c r="I38" s="95"/>
      <c r="J38" s="175">
        <f>H38/DAY(B2)</f>
        <v>2446.7832000000008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322502.11</v>
      </c>
      <c r="F39" s="145">
        <v>325608.39</v>
      </c>
      <c r="G39" s="112">
        <f t="shared" si="3"/>
        <v>3106.2800000000279</v>
      </c>
      <c r="H39" s="99">
        <f>G39+'24'!H39</f>
        <v>81454.960000000021</v>
      </c>
      <c r="I39" s="95"/>
      <c r="J39" s="175">
        <f>H39/DAY(B2)</f>
        <v>3258.1984000000007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60430.35</v>
      </c>
      <c r="F40" s="145">
        <v>61118.400000000001</v>
      </c>
      <c r="G40" s="112">
        <f t="shared" si="3"/>
        <v>688.05000000000291</v>
      </c>
      <c r="H40" s="99">
        <f>G40+'24'!H40</f>
        <v>11966.54</v>
      </c>
      <c r="I40" s="95"/>
      <c r="J40" s="175">
        <f>H40/DAY(B2)</f>
        <v>478.66160000000002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5014.7</v>
      </c>
      <c r="F41" s="145">
        <v>8476.6</v>
      </c>
      <c r="G41" s="112">
        <f t="shared" si="3"/>
        <v>3461.9000000000005</v>
      </c>
      <c r="H41" s="99">
        <f>G41+'24'!H41</f>
        <v>8413.6</v>
      </c>
      <c r="I41" s="95"/>
      <c r="J41" s="175">
        <f>H41/DAY(B2)</f>
        <v>336.54400000000004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394159.11</v>
      </c>
      <c r="F42" s="145">
        <v>399463.27</v>
      </c>
      <c r="G42" s="112">
        <f t="shared" si="3"/>
        <v>5304.1600000000326</v>
      </c>
      <c r="H42" s="99">
        <f>G42+'24'!H42</f>
        <v>118106.02000000002</v>
      </c>
      <c r="I42" s="95"/>
      <c r="J42" s="175">
        <f>H42/DAY(B2)</f>
        <v>4724.2408000000005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337283.23</v>
      </c>
      <c r="F43" s="145">
        <v>340758.63</v>
      </c>
      <c r="G43" s="112">
        <f t="shared" si="3"/>
        <v>3475.4000000000233</v>
      </c>
      <c r="H43" s="99">
        <f>G43+'24'!H43</f>
        <v>82004.160000000003</v>
      </c>
      <c r="I43" s="95"/>
      <c r="J43" s="175">
        <f>H43/DAY(B2)</f>
        <v>3280.1664000000001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23267.060000000092</v>
      </c>
      <c r="H47" s="99">
        <f>G47+'24'!H47</f>
        <v>483967.70999999996</v>
      </c>
      <c r="I47" s="95"/>
      <c r="J47" s="175">
        <f>H47/DAY(B2)</f>
        <v>19358.7084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154290.95000000001</v>
      </c>
      <c r="F49" s="145">
        <v>156134.81</v>
      </c>
      <c r="G49" s="112">
        <f t="shared" ref="G49:G58" si="4">F49-E49</f>
        <v>1843.859999999986</v>
      </c>
      <c r="H49" s="99">
        <f>G49+'24'!H49</f>
        <v>45632.61</v>
      </c>
      <c r="I49" s="95"/>
      <c r="J49" s="175">
        <f>H49/DAY(B2)</f>
        <v>1825.3044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164506.87</v>
      </c>
      <c r="F50" s="145">
        <v>165595.35</v>
      </c>
      <c r="G50" s="112">
        <f t="shared" si="4"/>
        <v>1088.4800000000105</v>
      </c>
      <c r="H50" s="99">
        <f>G50+'24'!H50</f>
        <v>34385.209999999992</v>
      </c>
      <c r="I50" s="95"/>
      <c r="J50" s="175">
        <f>H50/DAY(B2)</f>
        <v>1375.4083999999996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47221.9</v>
      </c>
      <c r="F54" s="145">
        <v>47704.83</v>
      </c>
      <c r="G54" s="112">
        <f t="shared" si="4"/>
        <v>482.93000000000029</v>
      </c>
      <c r="H54" s="99">
        <f>G54+'24'!H54</f>
        <v>12033.770000000004</v>
      </c>
      <c r="I54" s="95"/>
      <c r="J54" s="175">
        <f>H54/DAY(B2)</f>
        <v>481.35080000000016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142509.01</v>
      </c>
      <c r="F55" s="145">
        <v>142509.01</v>
      </c>
      <c r="G55" s="112">
        <f t="shared" si="4"/>
        <v>0</v>
      </c>
      <c r="H55" s="99">
        <f>G55+'24'!H55</f>
        <v>30027.98000000001</v>
      </c>
      <c r="I55" s="95"/>
      <c r="J55" s="175">
        <f>H55/DAY(B2)</f>
        <v>1201.1192000000003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107245.66</v>
      </c>
      <c r="F56" s="145">
        <v>107245.66</v>
      </c>
      <c r="G56" s="112">
        <f t="shared" si="4"/>
        <v>0</v>
      </c>
      <c r="H56" s="99">
        <f>G56+'24'!H56</f>
        <v>35627.98000000001</v>
      </c>
      <c r="I56" s="95"/>
      <c r="J56" s="175">
        <f>H56/DAY(B2)</f>
        <v>1425.1192000000003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24111.7</v>
      </c>
      <c r="F58" s="145">
        <v>24349.56</v>
      </c>
      <c r="G58" s="112">
        <f t="shared" si="4"/>
        <v>237.86000000000058</v>
      </c>
      <c r="H58" s="99">
        <f>G58+'24'!H58</f>
        <v>5895.3600000000006</v>
      </c>
      <c r="I58" s="95"/>
      <c r="J58" s="175">
        <f>H58/DAY(B2)</f>
        <v>235.81440000000003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3653.1299999999974</v>
      </c>
      <c r="H59" s="99">
        <f>G59+'24'!H59</f>
        <v>163603.23000000001</v>
      </c>
      <c r="I59" s="95">
        <f>G7-G60</f>
        <v>584.80999999991036</v>
      </c>
      <c r="J59" s="175">
        <f>H59/DAY(B2)</f>
        <v>6544.1292000000003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26920.19000000009</v>
      </c>
      <c r="H60" s="99">
        <f>G60+'24'!H60</f>
        <v>647570.93999999994</v>
      </c>
      <c r="I60" s="95">
        <f>G13-G60</f>
        <v>-230.95000000009895</v>
      </c>
      <c r="J60" s="175">
        <f>H60/DAY(B2)</f>
        <v>25902.837599999999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'24'!F62</f>
        <v>282971</v>
      </c>
      <c r="F62" s="122">
        <v>283163</v>
      </c>
      <c r="G62" s="112">
        <f t="shared" ref="G62:G63" si="5">F62-E62</f>
        <v>192</v>
      </c>
      <c r="H62" s="99">
        <f>G62+'24'!H62</f>
        <v>4537</v>
      </c>
      <c r="I62" s="118"/>
      <c r="J62" s="175">
        <f>H62/DAY(B2)</f>
        <v>181.48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'24'!F63</f>
        <v>226696</v>
      </c>
      <c r="F63" s="122">
        <v>226828</v>
      </c>
      <c r="G63" s="112">
        <f t="shared" si="5"/>
        <v>132</v>
      </c>
      <c r="H63" s="99">
        <f>G63+'24'!H63</f>
        <v>3747</v>
      </c>
      <c r="I63" s="118"/>
      <c r="J63" s="175">
        <f>H63/DAY(B2)</f>
        <v>149.88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'24'!F64</f>
        <v>0</v>
      </c>
      <c r="F64" s="122"/>
      <c r="G64" s="112">
        <f>G62+G63</f>
        <v>324</v>
      </c>
      <c r="H64" s="99">
        <f>G64+'24'!H64</f>
        <v>8284</v>
      </c>
      <c r="I64" s="118"/>
      <c r="J64" s="175">
        <f>H64/DAY(B2)</f>
        <v>331.36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'24'!F65</f>
        <v>443883</v>
      </c>
      <c r="F65" s="122">
        <v>443999</v>
      </c>
      <c r="G65" s="112">
        <f t="shared" ref="G65:G70" si="6">F65-E65</f>
        <v>116</v>
      </c>
      <c r="H65" s="99">
        <f>G65+'24'!H65</f>
        <v>2868</v>
      </c>
      <c r="I65" s="118"/>
      <c r="J65" s="175">
        <f>H65/DAY(B2)</f>
        <v>114.72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109479</v>
      </c>
      <c r="F66" s="122">
        <v>109494</v>
      </c>
      <c r="G66" s="112">
        <f t="shared" si="6"/>
        <v>15</v>
      </c>
      <c r="H66" s="99">
        <f>G66+'24'!H66</f>
        <v>424</v>
      </c>
      <c r="I66" s="118"/>
      <c r="J66" s="175">
        <f>H66/DAY(B2)</f>
        <v>16.96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110430</v>
      </c>
      <c r="F67" s="122">
        <v>110510</v>
      </c>
      <c r="G67" s="112">
        <f t="shared" si="6"/>
        <v>80</v>
      </c>
      <c r="H67" s="99">
        <f>G67+'24'!H67</f>
        <v>1917</v>
      </c>
      <c r="I67" s="118"/>
      <c r="J67" s="175">
        <f>H67/DAY(B2)</f>
        <v>76.680000000000007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161516</v>
      </c>
      <c r="F68" s="122">
        <v>161593</v>
      </c>
      <c r="G68" s="112">
        <v>73</v>
      </c>
      <c r="H68" s="99">
        <f>G68+'24'!H68</f>
        <v>1180</v>
      </c>
      <c r="I68" s="118"/>
      <c r="J68" s="175">
        <f>H68/DAY(B2)</f>
        <v>47.2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11500</v>
      </c>
      <c r="F69" s="122">
        <v>11525</v>
      </c>
      <c r="G69" s="112">
        <f t="shared" si="6"/>
        <v>25</v>
      </c>
      <c r="H69" s="99">
        <f>G69+'24'!H69</f>
        <v>324</v>
      </c>
      <c r="I69" s="118"/>
      <c r="J69" s="175">
        <f>H69/DAY(B2)</f>
        <v>12.96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8954</v>
      </c>
      <c r="F70" s="122">
        <v>8962</v>
      </c>
      <c r="G70" s="112">
        <f t="shared" si="6"/>
        <v>8</v>
      </c>
      <c r="H70" s="99">
        <f>G70+'24'!H70</f>
        <v>234</v>
      </c>
      <c r="I70" s="118"/>
      <c r="J70" s="175">
        <f>H70/DAY(B2)</f>
        <v>9.36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317</v>
      </c>
      <c r="H71" s="99">
        <f>G71+'24'!H71</f>
        <v>6947</v>
      </c>
      <c r="I71" s="154"/>
      <c r="J71" s="175">
        <f>H71/DAY(B2)</f>
        <v>277.88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'24'!F74</f>
        <v>926848.79</v>
      </c>
      <c r="F74" s="410">
        <v>927176.9</v>
      </c>
      <c r="G74" s="236">
        <f t="shared" ref="G74:G78" si="7">F74-E74</f>
        <v>328.10999999998603</v>
      </c>
      <c r="H74" s="99">
        <f>G74+'24'!H74</f>
        <v>7852.390000000014</v>
      </c>
      <c r="I74" s="154"/>
      <c r="J74" s="175">
        <f>H74/DAY(B2)</f>
        <v>314.09560000000056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'24'!F76</f>
        <v>179428.9</v>
      </c>
      <c r="F76" s="410">
        <v>179537</v>
      </c>
      <c r="G76" s="236">
        <f t="shared" si="7"/>
        <v>108.10000000000582</v>
      </c>
      <c r="H76" s="99">
        <f>G76+'24'!H76</f>
        <v>2950</v>
      </c>
      <c r="I76" s="154"/>
      <c r="J76" s="175">
        <f>H76/DAY(B2)</f>
        <v>118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'24'!F77</f>
        <v>45366.2</v>
      </c>
      <c r="F77" s="410">
        <v>45410</v>
      </c>
      <c r="G77" s="236">
        <f t="shared" si="7"/>
        <v>43.80000000000291</v>
      </c>
      <c r="H77" s="99">
        <f>G77+'24'!H77</f>
        <v>1247</v>
      </c>
      <c r="I77" s="154"/>
      <c r="J77" s="175">
        <f>H77/DAY(B2)</f>
        <v>49.88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'24'!F78</f>
        <v>9563.4</v>
      </c>
      <c r="F78" s="410">
        <v>9563</v>
      </c>
      <c r="G78" s="236">
        <f t="shared" si="7"/>
        <v>-0.3999999999996362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'24'!F79</f>
        <v>0</v>
      </c>
      <c r="F79" s="117"/>
      <c r="G79" s="112">
        <f>G15-SUM(G74:G78)</f>
        <v>612.40000000001419</v>
      </c>
      <c r="H79" s="99">
        <f>G79+'24'!H79</f>
        <v>15254.609999999986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1092.0100000000093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41697.269999999997</v>
      </c>
      <c r="F84" s="164">
        <v>41714</v>
      </c>
      <c r="G84" s="236">
        <f t="shared" si="8"/>
        <v>16.730000000003201</v>
      </c>
      <c r="H84" s="99">
        <f>G84+'24'!H84</f>
        <v>39</v>
      </c>
      <c r="I84" s="594"/>
      <c r="J84" s="175">
        <f>H84/DAY(B2)</f>
        <v>1.56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3645.4</v>
      </c>
      <c r="F85" s="164">
        <v>3669.03</v>
      </c>
      <c r="G85" s="112">
        <f t="shared" si="8"/>
        <v>23.630000000000109</v>
      </c>
      <c r="H85" s="99">
        <f>G85+'24'!H85</f>
        <v>510.5300000000002</v>
      </c>
      <c r="I85" s="594"/>
      <c r="J85" s="175">
        <f>H85/DAY(B2)</f>
        <v>20.42120000000001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43924.480000000003</v>
      </c>
      <c r="F86" s="164">
        <v>43924.480000000003</v>
      </c>
      <c r="G86" s="112">
        <f t="shared" si="8"/>
        <v>0</v>
      </c>
      <c r="H86" s="99">
        <f>G86+'24'!H86</f>
        <v>204.08000000000175</v>
      </c>
      <c r="I86" s="594"/>
      <c r="J86" s="175">
        <f>H86/DAY(B2)</f>
        <v>8.1632000000000691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35329.06</v>
      </c>
      <c r="F87" s="164">
        <v>35329</v>
      </c>
      <c r="G87" s="112">
        <f t="shared" si="8"/>
        <v>-5.9999999997671694E-2</v>
      </c>
      <c r="H87" s="99">
        <f>G87+'24'!H87</f>
        <v>248.65000000000146</v>
      </c>
      <c r="I87" s="594">
        <f>G84+G85+G86+G87</f>
        <v>40.300000000005639</v>
      </c>
      <c r="J87" s="175">
        <f>H87/DAY(B2)</f>
        <v>9.9460000000000583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24187.01</v>
      </c>
      <c r="F88" s="164">
        <v>24187.01</v>
      </c>
      <c r="G88" s="112">
        <f t="shared" si="8"/>
        <v>0</v>
      </c>
      <c r="H88" s="99">
        <f>G88+'24'!H88</f>
        <v>77.609999999996944</v>
      </c>
      <c r="I88" s="594"/>
      <c r="J88" s="175">
        <f>H88/DAY(B2)</f>
        <v>3.1043999999998779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26651.01</v>
      </c>
      <c r="F89" s="164">
        <v>26661.35</v>
      </c>
      <c r="G89" s="112">
        <f t="shared" si="8"/>
        <v>10.340000000000146</v>
      </c>
      <c r="H89" s="99">
        <f>G89+'24'!H89</f>
        <v>189.55999999999767</v>
      </c>
      <c r="I89" s="594">
        <f>G88+G89</f>
        <v>10.340000000000146</v>
      </c>
      <c r="J89" s="175">
        <f>H89/DAY(B2)</f>
        <v>7.5823999999999065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71805.789999999994</v>
      </c>
      <c r="F90" s="164">
        <v>71816.399999999994</v>
      </c>
      <c r="G90" s="112">
        <f t="shared" si="8"/>
        <v>10.610000000000582</v>
      </c>
      <c r="H90" s="99">
        <f>G90+'24'!H90</f>
        <v>243.2899999999936</v>
      </c>
      <c r="I90" s="594">
        <f>G90</f>
        <v>10.610000000000582</v>
      </c>
      <c r="J90" s="175">
        <f>H90/DAY(B2)</f>
        <v>9.7315999999997445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3988.51</v>
      </c>
      <c r="F91" s="122">
        <v>4000.56</v>
      </c>
      <c r="G91" s="112">
        <f t="shared" si="8"/>
        <v>12.049999999999727</v>
      </c>
      <c r="H91" s="99">
        <f>G91+'24'!H91</f>
        <v>90.809999999999945</v>
      </c>
      <c r="I91" s="688"/>
      <c r="J91" s="175">
        <f>H91/DAY(B2)</f>
        <v>3.6323999999999979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5934.87</v>
      </c>
      <c r="F92" s="122">
        <v>5934.87</v>
      </c>
      <c r="G92" s="112">
        <f t="shared" si="8"/>
        <v>0</v>
      </c>
      <c r="H92" s="99">
        <f>G92+'24'!H92</f>
        <v>187.56999999999971</v>
      </c>
      <c r="I92" s="705">
        <f>G91+G92</f>
        <v>12.049999999999727</v>
      </c>
      <c r="J92" s="175">
        <f>H92/DAY(B2)</f>
        <v>7.5027999999999881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7450.8800000000047</v>
      </c>
      <c r="H94" s="99">
        <f>G94+'24'!H94</f>
        <v>181328.25</v>
      </c>
      <c r="I94" s="118"/>
      <c r="J94" s="175">
        <f>H94/DAY(B2)</f>
        <v>7253.13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0.27089183784766424</v>
      </c>
      <c r="H95" s="99">
        <f>G95+'24'!H95</f>
        <v>6.4657378833218244</v>
      </c>
      <c r="I95" s="167"/>
      <c r="J95" s="175">
        <f>H95/DAY(B2)</f>
        <v>0.25862951533287298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8766.0600000000341</v>
      </c>
      <c r="H96" s="99">
        <f>G96+'24'!H96</f>
        <v>192175.58000000005</v>
      </c>
      <c r="I96" s="118"/>
      <c r="J96" s="175">
        <f>H96/DAY(B2)</f>
        <v>7687.0232000000015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0.31870787129612921</v>
      </c>
      <c r="H97" s="99">
        <f>G97+'24'!H97</f>
        <v>6.8304884108803092</v>
      </c>
      <c r="I97" s="167"/>
      <c r="J97" s="175">
        <f>H97/DAY(B2)</f>
        <v>0.27321953643521235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3106.2800000000279</v>
      </c>
      <c r="H98" s="99">
        <f>G98+'24'!H98</f>
        <v>81454.960000000021</v>
      </c>
      <c r="I98" s="168"/>
      <c r="J98" s="175">
        <f>H98/DAY(B2)</f>
        <v>3258.1984000000007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0.11293510270859945</v>
      </c>
      <c r="H99" s="99">
        <f>G99+'24'!H99</f>
        <v>2.9091827581561418</v>
      </c>
      <c r="I99" s="168"/>
      <c r="J99" s="175">
        <f>H99/DAY(B2)</f>
        <v>0.11636731032624567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2402.460000000021</v>
      </c>
      <c r="H100" s="99">
        <f>G100+'24'!H100</f>
        <v>61169.580000000016</v>
      </c>
      <c r="I100" s="118"/>
      <c r="J100" s="175">
        <f>H100/DAY(B2)</f>
        <v>2446.7832000000008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8.7346300672605737E-2</v>
      </c>
      <c r="H101" s="99">
        <f>G101+'24'!H101</f>
        <v>2.1842272871566029</v>
      </c>
      <c r="I101" s="168"/>
      <c r="J101" s="175">
        <f>H101/DAY(B2)</f>
        <v>8.7369091486264108E-2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2023.6100000000006</v>
      </c>
      <c r="H102" s="99">
        <f>G102+'24'!H102</f>
        <v>60060.949999999983</v>
      </c>
      <c r="I102" s="168"/>
      <c r="J102" s="175">
        <f>H102/DAY(B2)</f>
        <v>2402.4379999999992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7.3572441374295611E-2</v>
      </c>
      <c r="H103" s="99">
        <f>G103+'24'!H103</f>
        <v>2.138066717936292</v>
      </c>
      <c r="I103" s="118"/>
      <c r="J103" s="175">
        <f>H103/DAY(B2)</f>
        <v>8.5522668717451678E-2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1762.0599999999977</v>
      </c>
      <c r="H104" s="99">
        <f>G104+'24'!H104</f>
        <v>41485.950000000004</v>
      </c>
      <c r="I104" s="118"/>
      <c r="J104" s="175">
        <f>H104/DAY(B2)</f>
        <v>1659.4380000000001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6.4063261225231691E-2</v>
      </c>
      <c r="H105" s="99">
        <f>G105+'24'!H105</f>
        <v>1.4794984430761311</v>
      </c>
      <c r="I105" s="187"/>
      <c r="J105" s="188">
        <f>H105/DAY(B2)</f>
        <v>5.9179937723045244E-2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'24'!F112</f>
        <v>243</v>
      </c>
      <c r="F112" s="237">
        <f>7+243</f>
        <v>250</v>
      </c>
      <c r="G112" s="112">
        <f t="shared" ref="G112:G123" si="9">F112-E112</f>
        <v>7</v>
      </c>
      <c r="H112" s="99">
        <f>G112+'24'!H112</f>
        <v>2026.4700000000012</v>
      </c>
      <c r="I112" s="165"/>
      <c r="J112" s="328">
        <f>H112/DAY(B2)</f>
        <v>81.058800000000048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'24'!F113</f>
        <v>587.61</v>
      </c>
      <c r="F113" s="237">
        <f>17.53+587.61</f>
        <v>605.14</v>
      </c>
      <c r="G113" s="112">
        <f t="shared" si="9"/>
        <v>17.529999999999973</v>
      </c>
      <c r="H113" s="99">
        <f>G113+'24'!H113</f>
        <v>11526.929999999995</v>
      </c>
      <c r="I113" s="165"/>
      <c r="J113" s="328">
        <f>H113/DAY(B2)</f>
        <v>461.07719999999978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'24'!F114</f>
        <v>392</v>
      </c>
      <c r="F114" s="237">
        <f>25+392</f>
        <v>417</v>
      </c>
      <c r="G114" s="112">
        <f t="shared" si="9"/>
        <v>25</v>
      </c>
      <c r="H114" s="99">
        <f>G114+'24'!H114</f>
        <v>6517.1100000000006</v>
      </c>
      <c r="I114" s="165"/>
      <c r="J114" s="328">
        <f>H114/DAY(B2)</f>
        <v>260.68440000000004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'24'!F115</f>
        <v>60.37</v>
      </c>
      <c r="F115" s="237">
        <f>1+60.37</f>
        <v>61.37</v>
      </c>
      <c r="G115" s="112">
        <f t="shared" si="9"/>
        <v>1</v>
      </c>
      <c r="H115" s="99">
        <f>G115+'24'!H115</f>
        <v>538.60999999999979</v>
      </c>
      <c r="I115" s="165"/>
      <c r="J115" s="328">
        <f>H115/DAY(B2)</f>
        <v>21.544399999999992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'24'!F116</f>
        <v>32797</v>
      </c>
      <c r="F116" s="237">
        <v>33145.97</v>
      </c>
      <c r="G116" s="112">
        <f t="shared" si="9"/>
        <v>348.97000000000116</v>
      </c>
      <c r="H116" s="99">
        <f>G116+'24'!H116</f>
        <v>10361.350000000002</v>
      </c>
      <c r="I116" s="165"/>
      <c r="J116" s="328">
        <f>H116/DAY(B2)</f>
        <v>414.45400000000006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'24'!F117</f>
        <v>17950.669999999998</v>
      </c>
      <c r="F117" s="237">
        <v>18193</v>
      </c>
      <c r="G117" s="112">
        <f t="shared" si="9"/>
        <v>242.33000000000175</v>
      </c>
      <c r="H117" s="99">
        <f>G117+'24'!H117</f>
        <v>4579.8269999999993</v>
      </c>
      <c r="I117" s="165"/>
      <c r="J117" s="328">
        <f>H117/DAY(B2)</f>
        <v>183.19307999999998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'24'!F118</f>
        <v>5806.701</v>
      </c>
      <c r="F118" s="237">
        <v>6327.33</v>
      </c>
      <c r="G118" s="112">
        <f t="shared" si="9"/>
        <v>520.62899999999991</v>
      </c>
      <c r="H118" s="99">
        <f>G118+'24'!H118</f>
        <v>13275.36000000003</v>
      </c>
      <c r="I118" s="165"/>
      <c r="J118" s="328">
        <f>H118/DAY(B2)</f>
        <v>531.01440000000116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'24'!F119</f>
        <v>3210.24</v>
      </c>
      <c r="F119" s="237">
        <v>3677.5</v>
      </c>
      <c r="G119" s="112">
        <f t="shared" si="9"/>
        <v>467.26000000000022</v>
      </c>
      <c r="H119" s="99">
        <f>G119+'24'!H119</f>
        <v>10998.109999999986</v>
      </c>
      <c r="I119" s="165"/>
      <c r="J119" s="328">
        <f>H119/DAY(B2)</f>
        <v>439.92439999999942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'24'!F120</f>
        <v>4531.29</v>
      </c>
      <c r="F120" s="237">
        <v>4966.8</v>
      </c>
      <c r="G120" s="112">
        <f t="shared" si="9"/>
        <v>435.51000000000022</v>
      </c>
      <c r="H120" s="99">
        <f>G120+'24'!H120</f>
        <v>10313.040000000006</v>
      </c>
      <c r="I120" s="165"/>
      <c r="J120" s="328">
        <f>H120/DAY(B2)</f>
        <v>412.52160000000026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'24'!F121</f>
        <v>8787.57</v>
      </c>
      <c r="F121" s="237">
        <v>9468.27</v>
      </c>
      <c r="G121" s="112">
        <f t="shared" si="9"/>
        <v>680.70000000000073</v>
      </c>
      <c r="H121" s="99">
        <f>G121+'24'!H121</f>
        <v>19872.999999999982</v>
      </c>
      <c r="I121" s="165"/>
      <c r="J121" s="328">
        <f>H121/DAY(B2)</f>
        <v>794.91999999999928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'24'!F122</f>
        <v>2283.71</v>
      </c>
      <c r="F122" s="237">
        <v>2500.9499999999998</v>
      </c>
      <c r="G122" s="112">
        <f t="shared" si="9"/>
        <v>217.23999999999978</v>
      </c>
      <c r="H122" s="99">
        <f>G122+'24'!H122</f>
        <v>5317.8099999999858</v>
      </c>
      <c r="I122" s="165"/>
      <c r="J122" s="328">
        <f>H122/DAY(B2)</f>
        <v>212.71239999999943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'24'!F123</f>
        <v>289.81</v>
      </c>
      <c r="F123" s="237">
        <f>8+289.81</f>
        <v>297.81</v>
      </c>
      <c r="G123" s="112">
        <f t="shared" si="9"/>
        <v>8</v>
      </c>
      <c r="H123" s="99">
        <f>G123+'24'!H123</f>
        <v>5899.3399999999992</v>
      </c>
      <c r="I123" s="165"/>
      <c r="J123" s="328">
        <f>H123/DAY(B2)</f>
        <v>235.97359999999998</v>
      </c>
    </row>
    <row r="124" spans="1:18" ht="29.25" customHeight="1">
      <c r="A124" s="932"/>
      <c r="B124" s="933"/>
      <c r="C124" s="934"/>
      <c r="D124" s="165"/>
      <c r="E124" s="165"/>
      <c r="F124" s="165"/>
      <c r="G124" s="327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2971.1690000000035</v>
      </c>
      <c r="H125" s="156"/>
      <c r="I125" s="327">
        <f>G125-(G39+G53)</f>
        <v>-135.11100000002443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'24'!F128</f>
        <v>79029.5</v>
      </c>
      <c r="F128" s="155">
        <v>79406.23</v>
      </c>
      <c r="G128" s="112">
        <f t="shared" ref="G128:G134" si="10">F128-E128</f>
        <v>376.72999999999593</v>
      </c>
      <c r="H128" s="99">
        <f>G128+'24'!H128</f>
        <v>10489.989999999991</v>
      </c>
      <c r="I128" s="165"/>
      <c r="J128" s="328">
        <f>H128/DAY(B2)</f>
        <v>419.59959999999961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49252.13</v>
      </c>
      <c r="F129" s="155">
        <v>49552.63</v>
      </c>
      <c r="G129" s="112">
        <f t="shared" si="10"/>
        <v>300.5</v>
      </c>
      <c r="H129" s="99">
        <f>G129+'24'!H129</f>
        <v>7441.5799999999945</v>
      </c>
      <c r="I129" s="165"/>
      <c r="J129" s="328">
        <f>H129/DAY(B2)</f>
        <v>297.66319999999979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92453.19</v>
      </c>
      <c r="F130" s="155">
        <v>93184.6</v>
      </c>
      <c r="G130" s="112">
        <f t="shared" si="10"/>
        <v>731.41000000000349</v>
      </c>
      <c r="H130" s="99">
        <f>G130+'24'!H130</f>
        <v>17522.650000000009</v>
      </c>
      <c r="I130" s="165"/>
      <c r="J130" s="328">
        <f>H130/DAY(B2)</f>
        <v>700.9060000000004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'24'!F131</f>
        <v>29175.5</v>
      </c>
      <c r="F131" s="155">
        <v>29401.69</v>
      </c>
      <c r="G131" s="112">
        <f t="shared" si="10"/>
        <v>226.18999999999869</v>
      </c>
      <c r="H131" s="99">
        <f>G131+'24'!H131</f>
        <v>4969.1899999999987</v>
      </c>
      <c r="I131" s="165"/>
      <c r="J131" s="328">
        <f>H131/DAY(B2)</f>
        <v>198.76759999999996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'24'!F132</f>
        <v>86164.5</v>
      </c>
      <c r="F132" s="155">
        <v>86614.8</v>
      </c>
      <c r="G132" s="112">
        <f t="shared" si="10"/>
        <v>450.30000000000291</v>
      </c>
      <c r="H132" s="99">
        <f>G132+'24'!H132</f>
        <v>10947.300000000003</v>
      </c>
      <c r="I132" s="165"/>
      <c r="J132" s="328">
        <f>H132/DAY(B2)</f>
        <v>437.89200000000011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'24'!F133</f>
        <v>167237.96</v>
      </c>
      <c r="F133" s="155">
        <v>168158.59</v>
      </c>
      <c r="G133" s="112">
        <f t="shared" si="10"/>
        <v>920.63000000000466</v>
      </c>
      <c r="H133" s="99">
        <f>G133+'24'!H133</f>
        <v>22776.600000000006</v>
      </c>
      <c r="I133" s="165"/>
      <c r="J133" s="328">
        <f>H133/DAY(B2)</f>
        <v>911.06400000000019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'24'!F134</f>
        <v>26561.293000000001</v>
      </c>
      <c r="F134" s="157">
        <v>26797.05</v>
      </c>
      <c r="G134" s="112">
        <f t="shared" si="10"/>
        <v>235.75699999999779</v>
      </c>
      <c r="H134" s="99">
        <f>G134+'24'!H134</f>
        <v>6004.369999999999</v>
      </c>
      <c r="I134" s="165"/>
      <c r="J134" s="328">
        <f>H134/DAY(B2)</f>
        <v>240.17479999999995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3241.5170000000035</v>
      </c>
      <c r="H135" s="99">
        <f>G135+'23'!H135</f>
        <v>38126.926999999981</v>
      </c>
      <c r="I135" s="327">
        <f>G135-(G35+G49)</f>
        <v>-733.96299999997791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'24'!F138</f>
        <v>877867</v>
      </c>
      <c r="F138" s="147">
        <v>878022</v>
      </c>
      <c r="G138" s="112">
        <f t="shared" ref="G138:G152" si="11">F138-E138</f>
        <v>155</v>
      </c>
      <c r="H138" s="99">
        <f>G138+'24'!H138</f>
        <v>4021</v>
      </c>
      <c r="I138" s="118"/>
      <c r="J138" s="328">
        <f>H138/DAY(B2)</f>
        <v>160.84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'24'!F139</f>
        <v>893967</v>
      </c>
      <c r="F139" s="148">
        <v>894114</v>
      </c>
      <c r="G139" s="112">
        <f t="shared" si="11"/>
        <v>147</v>
      </c>
      <c r="H139" s="99">
        <f>G139+'24'!H139</f>
        <v>3796</v>
      </c>
      <c r="I139" s="118"/>
      <c r="J139" s="328">
        <f>H139/DAY(B2)</f>
        <v>151.84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'24'!F140</f>
        <v>89032</v>
      </c>
      <c r="F140" s="149">
        <v>89032</v>
      </c>
      <c r="G140" s="112">
        <f t="shared" si="11"/>
        <v>0</v>
      </c>
      <c r="H140" s="99">
        <f>G140+'24'!H140</f>
        <v>42</v>
      </c>
      <c r="I140" s="118"/>
      <c r="J140" s="328">
        <f>H140/DAY(B2)</f>
        <v>1.68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'24'!F141</f>
        <v>70553.64</v>
      </c>
      <c r="F141" s="149">
        <v>70751.199999999997</v>
      </c>
      <c r="G141" s="112">
        <f t="shared" si="11"/>
        <v>197.55999999999767</v>
      </c>
      <c r="H141" s="99">
        <f>G141+'24'!H141</f>
        <v>4967.6699999999983</v>
      </c>
      <c r="I141" s="118"/>
      <c r="J141" s="328">
        <f>H141/DAY(B2)</f>
        <v>198.70679999999993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'24'!F142</f>
        <v>27046.31</v>
      </c>
      <c r="F142" s="148">
        <v>27115.9</v>
      </c>
      <c r="G142" s="112">
        <f t="shared" si="11"/>
        <v>69.590000000000146</v>
      </c>
      <c r="H142" s="99">
        <f>G142+'24'!H142</f>
        <v>1619.5</v>
      </c>
      <c r="I142" s="140"/>
      <c r="J142" s="328">
        <f>H142/DAY(B2)</f>
        <v>64.78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'24'!F143</f>
        <v>6240.2</v>
      </c>
      <c r="F143" s="149">
        <v>6267.05</v>
      </c>
      <c r="G143" s="112">
        <f t="shared" si="11"/>
        <v>26.850000000000364</v>
      </c>
      <c r="H143" s="99">
        <f>G143+'24'!H143</f>
        <v>706.34000000000015</v>
      </c>
      <c r="I143" s="140"/>
      <c r="J143" s="328">
        <f>H143/DAY(B2)</f>
        <v>28.253600000000006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'24'!F144</f>
        <v>895751</v>
      </c>
      <c r="F144" s="149">
        <v>895965</v>
      </c>
      <c r="G144" s="112">
        <f t="shared" si="11"/>
        <v>214</v>
      </c>
      <c r="H144" s="99">
        <f>G144+'24'!H144</f>
        <v>6131</v>
      </c>
      <c r="I144" s="140"/>
      <c r="J144" s="328">
        <f>H144/DAY(B2)</f>
        <v>245.24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'24'!F145</f>
        <v>5614.87</v>
      </c>
      <c r="F145" s="149">
        <v>5618.35</v>
      </c>
      <c r="G145" s="112">
        <f t="shared" si="11"/>
        <v>3.4800000000004729</v>
      </c>
      <c r="H145" s="99">
        <f>G145+'24'!H145</f>
        <v>61.950000000000728</v>
      </c>
      <c r="I145" s="140"/>
      <c r="J145" s="328">
        <f>H145/DAY(B2)</f>
        <v>2.4780000000000291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'24'!F146</f>
        <v>776034</v>
      </c>
      <c r="F146" s="148">
        <v>776354</v>
      </c>
      <c r="G146" s="112">
        <f t="shared" si="11"/>
        <v>320</v>
      </c>
      <c r="H146" s="99">
        <f>G146+'24'!H146</f>
        <v>12028</v>
      </c>
      <c r="I146" s="140"/>
      <c r="J146" s="328">
        <f>H146/DAY(B2)</f>
        <v>481.12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'24'!F147</f>
        <v>660748.52</v>
      </c>
      <c r="F147" s="148">
        <v>661147.56000000006</v>
      </c>
      <c r="G147" s="112">
        <f t="shared" si="11"/>
        <v>399.04000000003725</v>
      </c>
      <c r="H147" s="99">
        <f>G147+'24'!H147</f>
        <v>10963.560000000056</v>
      </c>
      <c r="I147" s="140"/>
      <c r="J147" s="328">
        <f>H147/DAY(B2)</f>
        <v>438.54240000000226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'24'!F148</f>
        <v>717743.84</v>
      </c>
      <c r="F148" s="164">
        <v>718009.84</v>
      </c>
      <c r="G148" s="112">
        <f t="shared" si="11"/>
        <v>266</v>
      </c>
      <c r="H148" s="99">
        <f>G148+'24'!H148</f>
        <v>9145.1599999999162</v>
      </c>
      <c r="I148" s="124"/>
      <c r="J148" s="328">
        <f>H148/DAY(B2)</f>
        <v>365.80639999999664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'24'!F149</f>
        <v>79477.47</v>
      </c>
      <c r="F149" s="146">
        <v>80200.03</v>
      </c>
      <c r="G149" s="112">
        <f t="shared" si="11"/>
        <v>722.55999999999767</v>
      </c>
      <c r="H149" s="99">
        <f>G149+'24'!H149</f>
        <v>16976.229999999996</v>
      </c>
      <c r="I149" s="119"/>
      <c r="J149" s="328">
        <f>H149/DAY(B2)</f>
        <v>679.04919999999981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'24'!F150</f>
        <v>29311.1</v>
      </c>
      <c r="F150" s="233">
        <v>29527.49</v>
      </c>
      <c r="G150" s="112">
        <f t="shared" si="11"/>
        <v>216.39000000000306</v>
      </c>
      <c r="H150" s="99">
        <f>G150+'24'!H150</f>
        <v>5571.7000000000007</v>
      </c>
      <c r="I150" s="119"/>
      <c r="J150" s="328">
        <f>H150/DAY(B2)</f>
        <v>222.86800000000002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'24'!F151</f>
        <v>107415</v>
      </c>
      <c r="F151" s="233">
        <v>107695</v>
      </c>
      <c r="G151" s="112">
        <f t="shared" si="11"/>
        <v>280</v>
      </c>
      <c r="H151" s="99">
        <f>G151+'24'!H151</f>
        <v>7084</v>
      </c>
      <c r="I151" s="119"/>
      <c r="J151" s="328">
        <f>H151/DAY(B2)</f>
        <v>283.36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'24'!F152</f>
        <v>10573.36</v>
      </c>
      <c r="F152" s="233">
        <v>10628.6</v>
      </c>
      <c r="G152" s="112">
        <f t="shared" si="11"/>
        <v>55.239999999999782</v>
      </c>
      <c r="H152" s="99">
        <f>G152+'24'!H152</f>
        <v>2559.54</v>
      </c>
      <c r="I152" s="119"/>
      <c r="J152" s="328">
        <f>H152/DAY(B2)</f>
        <v>102.38159999999999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3072.7100000000364</v>
      </c>
      <c r="H153" s="363"/>
      <c r="I153" s="119">
        <f>G153-(G38+G52)</f>
        <v>670.25000000001546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'24'!F155</f>
        <v>88846</v>
      </c>
      <c r="F155" s="364">
        <v>89567</v>
      </c>
      <c r="G155" s="112">
        <f t="shared" ref="G155:G158" si="12">F155-E155</f>
        <v>721</v>
      </c>
      <c r="H155" s="99">
        <f>G155+'24'!H155</f>
        <v>16796.5</v>
      </c>
      <c r="I155" s="364"/>
      <c r="J155" s="328">
        <f>H155/DAY(B2)</f>
        <v>671.86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'24'!F156</f>
        <v>7365</v>
      </c>
      <c r="F156" s="155">
        <v>7420</v>
      </c>
      <c r="G156" s="112">
        <f t="shared" si="12"/>
        <v>55</v>
      </c>
      <c r="H156" s="99">
        <f>G156+'24'!H156</f>
        <v>1362.75</v>
      </c>
      <c r="I156" s="165"/>
      <c r="J156" s="328">
        <f>H156/DAY(B2)</f>
        <v>54.51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'24'!F157</f>
        <v>12848.32</v>
      </c>
      <c r="F157" s="155">
        <v>12966.55</v>
      </c>
      <c r="G157" s="112">
        <f t="shared" si="12"/>
        <v>118.22999999999956</v>
      </c>
      <c r="H157" s="99">
        <f>G157+'24'!H157</f>
        <v>693.54999999999927</v>
      </c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f>'24'!F158</f>
        <v>100.19</v>
      </c>
      <c r="F158" s="155">
        <v>100.19</v>
      </c>
      <c r="G158" s="112">
        <f t="shared" si="12"/>
        <v>0</v>
      </c>
      <c r="H158" s="99">
        <f>G158+'24'!H158</f>
        <v>2.7199999999999989</v>
      </c>
      <c r="I158" s="165"/>
      <c r="J158" s="328"/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474641.64</v>
      </c>
      <c r="F161" s="235">
        <v>474662</v>
      </c>
      <c r="G161" s="238">
        <f t="shared" ref="G161:G165" si="13">F161-E161</f>
        <v>20.35999999998603</v>
      </c>
      <c r="H161" s="99">
        <f>G161+'24'!H161</f>
        <v>821.27000000001863</v>
      </c>
      <c r="I161" s="236"/>
      <c r="J161" s="239">
        <f>H161/DAY(B2)</f>
        <v>32.850800000000746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91294.1</v>
      </c>
      <c r="F162" s="235">
        <v>91335.9</v>
      </c>
      <c r="G162" s="238">
        <f t="shared" si="13"/>
        <v>41.799999999988358</v>
      </c>
      <c r="H162" s="99">
        <f>G162+'24'!H162</f>
        <v>883</v>
      </c>
      <c r="I162" s="236"/>
      <c r="J162" s="239">
        <f>H162/DAY(B2)</f>
        <v>35.32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91054.399999999994</v>
      </c>
      <c r="F163" s="235">
        <v>91199</v>
      </c>
      <c r="G163" s="238">
        <f t="shared" si="13"/>
        <v>144.60000000000582</v>
      </c>
      <c r="H163" s="99">
        <f>G163+'24'!H163</f>
        <v>4120.1999999999971</v>
      </c>
      <c r="I163" s="236"/>
      <c r="J163" s="239">
        <f>H163/DAY(B2)</f>
        <v>164.80799999999988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5113.5</v>
      </c>
      <c r="F164" s="235">
        <v>5125</v>
      </c>
      <c r="G164" s="238">
        <f t="shared" si="13"/>
        <v>11.5</v>
      </c>
      <c r="H164" s="99">
        <f>G164+'24'!H164</f>
        <v>312.60000000000036</v>
      </c>
      <c r="I164" s="236"/>
      <c r="J164" s="239">
        <f>H164/DAY(B2)</f>
        <v>12.504000000000014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30560.86</v>
      </c>
      <c r="F165" s="235">
        <v>30573.200000000001</v>
      </c>
      <c r="G165" s="238">
        <f t="shared" si="13"/>
        <v>12.340000000000146</v>
      </c>
      <c r="H165" s="99">
        <f>G165+'24'!H165</f>
        <v>217.69000000000233</v>
      </c>
      <c r="I165" s="236"/>
      <c r="J165" s="239">
        <f>H165/DAY(B2)</f>
        <v>8.7076000000000935</v>
      </c>
    </row>
    <row r="166" spans="1:10" ht="26.25">
      <c r="A166" s="938"/>
      <c r="B166" s="938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1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6" t="s">
        <v>209</v>
      </c>
      <c r="B173" s="897"/>
      <c r="C173" s="333"/>
      <c r="D173" s="228" t="s">
        <v>142</v>
      </c>
      <c r="E173" s="95">
        <f>'24'!F173</f>
        <v>8235</v>
      </c>
      <c r="F173" s="155">
        <v>8238</v>
      </c>
      <c r="G173" s="155">
        <f>F173-E173</f>
        <v>3</v>
      </c>
      <c r="H173" s="99">
        <f>G173+'24'!H173</f>
        <v>96</v>
      </c>
      <c r="I173" s="155"/>
      <c r="J173" s="178">
        <f>H173/DAY(B2)</f>
        <v>3.84</v>
      </c>
    </row>
    <row r="174" spans="1:10" ht="27.75" customHeight="1">
      <c r="A174" s="896" t="s">
        <v>75</v>
      </c>
      <c r="B174" s="897"/>
      <c r="C174" s="333"/>
      <c r="D174" s="228" t="s">
        <v>142</v>
      </c>
      <c r="E174" s="95">
        <f>'24'!F174</f>
        <v>39840</v>
      </c>
      <c r="F174" s="157">
        <v>39855</v>
      </c>
      <c r="G174" s="155">
        <f t="shared" ref="G174:G175" si="14">F174-E174</f>
        <v>15</v>
      </c>
      <c r="H174" s="99">
        <f>G174+'24'!H174</f>
        <v>393</v>
      </c>
      <c r="I174" s="155"/>
      <c r="J174" s="178">
        <f>H174/DAY(B2)</f>
        <v>15.72</v>
      </c>
    </row>
    <row r="175" spans="1:10" ht="21.75" customHeight="1">
      <c r="A175" s="896" t="s">
        <v>76</v>
      </c>
      <c r="B175" s="901"/>
      <c r="C175" s="897"/>
      <c r="D175" s="228" t="s">
        <v>142</v>
      </c>
      <c r="E175" s="95">
        <f>'24'!F175</f>
        <v>22819</v>
      </c>
      <c r="F175" s="155">
        <v>22831</v>
      </c>
      <c r="G175" s="155">
        <f t="shared" si="14"/>
        <v>12</v>
      </c>
      <c r="H175" s="99">
        <f>G175+'24'!H175</f>
        <v>309</v>
      </c>
      <c r="I175" s="155"/>
      <c r="J175" s="178">
        <f>H175/DAY(B2)</f>
        <v>12.36</v>
      </c>
    </row>
    <row r="176" spans="1:10" ht="23.2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798</v>
      </c>
      <c r="I176" s="155"/>
      <c r="J176" s="178">
        <f>H176/DAY(B2)</f>
        <v>31.92</v>
      </c>
    </row>
    <row r="177" spans="1:10" ht="21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'24'!F178</f>
        <v>87982</v>
      </c>
      <c r="F178" s="155">
        <v>88090</v>
      </c>
      <c r="G178" s="155">
        <f>F178-E178</f>
        <v>108</v>
      </c>
      <c r="H178" s="99">
        <f>G178+'24'!H178</f>
        <v>2474</v>
      </c>
      <c r="I178" s="155"/>
      <c r="J178" s="178">
        <f>H178/DAY(B2)</f>
        <v>98.96</v>
      </c>
    </row>
    <row r="179" spans="1:10" ht="24" customHeight="1">
      <c r="A179" s="896" t="s">
        <v>211</v>
      </c>
      <c r="B179" s="897"/>
      <c r="C179" s="333"/>
      <c r="D179" s="228" t="s">
        <v>142</v>
      </c>
      <c r="E179" s="95">
        <f>'24'!F179</f>
        <v>35739</v>
      </c>
      <c r="F179" s="155">
        <v>35765</v>
      </c>
      <c r="G179" s="155">
        <f t="shared" ref="G179:G180" si="15">F179-E179</f>
        <v>26</v>
      </c>
      <c r="H179" s="99">
        <f>G179+'24'!H179</f>
        <v>151</v>
      </c>
      <c r="I179" s="155"/>
      <c r="J179" s="178">
        <f>H179/DAY(B2)</f>
        <v>6.04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'24'!F180</f>
        <v>6331</v>
      </c>
      <c r="F180" s="155">
        <v>6335</v>
      </c>
      <c r="G180" s="155">
        <f t="shared" si="15"/>
        <v>4</v>
      </c>
      <c r="H180" s="99">
        <f>G180+'24'!H180</f>
        <v>202</v>
      </c>
      <c r="I180" s="155"/>
      <c r="J180" s="178">
        <f>H180/DAY(B2)</f>
        <v>8.08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138</v>
      </c>
      <c r="H181" s="99">
        <f>G181+'24'!H181</f>
        <v>2827</v>
      </c>
      <c r="I181" s="155"/>
      <c r="J181" s="178">
        <f>H181/DAY(B2)</f>
        <v>113.08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'24'!F183</f>
        <v>16504</v>
      </c>
      <c r="F183" s="157">
        <v>16534</v>
      </c>
      <c r="G183" s="157">
        <f>F183-E183</f>
        <v>30</v>
      </c>
      <c r="H183" s="99">
        <f>G183+'24'!H183</f>
        <v>392</v>
      </c>
      <c r="I183" s="155"/>
      <c r="J183" s="178">
        <f>H183/DAY(B2)</f>
        <v>15.68</v>
      </c>
    </row>
    <row r="184" spans="1:10" ht="30.75" customHeight="1">
      <c r="A184" s="896" t="s">
        <v>215</v>
      </c>
      <c r="B184" s="897"/>
      <c r="C184" s="334"/>
      <c r="D184" s="228" t="s">
        <v>142</v>
      </c>
      <c r="E184" s="95">
        <f>'24'!F184</f>
        <v>11234</v>
      </c>
      <c r="F184" s="157">
        <v>11238</v>
      </c>
      <c r="G184" s="157">
        <f t="shared" ref="G184:G185" si="16">F184-E184</f>
        <v>4</v>
      </c>
      <c r="H184" s="99">
        <f>G184+'24'!H184</f>
        <v>189</v>
      </c>
      <c r="I184" s="155"/>
      <c r="J184" s="178">
        <f>H184/DAY(B2)</f>
        <v>7.56</v>
      </c>
    </row>
    <row r="185" spans="1:10" ht="23.25" customHeight="1">
      <c r="A185" s="896" t="s">
        <v>216</v>
      </c>
      <c r="B185" s="89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>
        <v>0</v>
      </c>
      <c r="G186" s="157">
        <f>SUM(G183:G185)</f>
        <v>34</v>
      </c>
      <c r="H186" s="99">
        <f>G186+'24'!H186</f>
        <v>581</v>
      </c>
      <c r="I186" s="157"/>
      <c r="J186" s="178">
        <f>H186/DAY(B2)</f>
        <v>23.24</v>
      </c>
    </row>
    <row r="187" spans="1:10" ht="25.5">
      <c r="A187" s="946" t="s">
        <v>217</v>
      </c>
      <c r="B187" s="947"/>
      <c r="C187" s="333"/>
      <c r="D187" s="228" t="s">
        <v>142</v>
      </c>
      <c r="E187" s="95">
        <f>'24'!F187</f>
        <v>0</v>
      </c>
      <c r="F187" s="159"/>
      <c r="G187" s="378">
        <f>G62+G19</f>
        <v>243</v>
      </c>
      <c r="H187" s="99">
        <f>G187+'24'!H187</f>
        <v>5751</v>
      </c>
      <c r="I187" s="158"/>
      <c r="J187" s="179">
        <f>H187/DAY(B2)</f>
        <v>230.04</v>
      </c>
    </row>
    <row r="188" spans="1:10" ht="25.5">
      <c r="A188" s="946" t="s">
        <v>218</v>
      </c>
      <c r="B188" s="947"/>
      <c r="C188" s="333"/>
      <c r="D188" s="230" t="s">
        <v>142</v>
      </c>
      <c r="E188" s="95">
        <f>'24'!F188</f>
        <v>0</v>
      </c>
      <c r="F188" s="159"/>
      <c r="G188" s="378">
        <f>G65+G66+G67+G69+G70</f>
        <v>244</v>
      </c>
      <c r="H188" s="99">
        <f>G188+'24'!H188</f>
        <v>2566</v>
      </c>
      <c r="I188" s="158"/>
      <c r="J188" s="179">
        <f>H188/DAY(B2)</f>
        <v>102.64</v>
      </c>
    </row>
    <row r="189" spans="1:10" ht="25.5">
      <c r="A189" s="946" t="s">
        <v>219</v>
      </c>
      <c r="B189" s="947"/>
      <c r="C189" s="333"/>
      <c r="D189" s="230" t="s">
        <v>142</v>
      </c>
      <c r="E189" s="95">
        <f>'24'!F189</f>
        <v>0</v>
      </c>
      <c r="F189" s="157"/>
      <c r="G189" s="377">
        <f>G181</f>
        <v>138</v>
      </c>
      <c r="H189" s="99">
        <f>G189+'24'!H189</f>
        <v>806</v>
      </c>
      <c r="I189" s="158"/>
      <c r="J189" s="179">
        <f>H189/DAY(B2)</f>
        <v>32.24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91" zoomScale="60" workbookViewId="0">
      <selection activeCell="G40" sqref="G4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349</v>
      </c>
      <c r="B2" s="262">
        <v>44677</v>
      </c>
      <c r="C2" s="348" t="s">
        <v>67</v>
      </c>
      <c r="D2" s="218">
        <v>1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6" t="s">
        <v>119</v>
      </c>
      <c r="F3" s="887"/>
      <c r="G3" s="43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688232</v>
      </c>
      <c r="F7" s="95">
        <v>715541</v>
      </c>
      <c r="G7" s="433">
        <f>F7-E7</f>
        <v>27309</v>
      </c>
      <c r="H7" s="99">
        <f>G7+'25'!H7</f>
        <v>728818</v>
      </c>
      <c r="I7" s="113">
        <f>'1'!I7</f>
        <v>12000</v>
      </c>
      <c r="J7" s="175">
        <f>H7/DAY(B2)</f>
        <v>28031.461538461539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773882</v>
      </c>
      <c r="F8" s="114">
        <v>801570</v>
      </c>
      <c r="G8" s="434">
        <f>F8-E8</f>
        <v>27688</v>
      </c>
      <c r="H8" s="99">
        <f>G8+'25'!H8</f>
        <v>743523.78</v>
      </c>
      <c r="I8" s="116"/>
      <c r="J8" s="175">
        <f>H8/DAY(B2)</f>
        <v>28597.068461538463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1772305.5</v>
      </c>
      <c r="F9" s="470">
        <v>1795884.1</v>
      </c>
      <c r="G9" s="433">
        <f>F9-E9</f>
        <v>23578.600000000093</v>
      </c>
      <c r="H9" s="99">
        <f>G9+'25'!H9</f>
        <v>528209.10000000009</v>
      </c>
      <c r="I9" s="124">
        <f>I7-J7</f>
        <v>-16031.461538461539</v>
      </c>
      <c r="J9" s="175">
        <f>H9/DAY(B2)</f>
        <v>20315.734615384619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595627.91</v>
      </c>
      <c r="F10" s="353">
        <v>598556.55000000005</v>
      </c>
      <c r="G10" s="433">
        <f t="shared" ref="G10:G12" si="0">F10-E10</f>
        <v>2928.640000000014</v>
      </c>
      <c r="H10" s="99">
        <f>G10+'25'!H10</f>
        <v>180281.08000000007</v>
      </c>
      <c r="I10" s="282"/>
      <c r="J10" s="175">
        <f>H10/DAY(B2)</f>
        <v>6933.887692307695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3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3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5">
        <f>G9+G10+G11+G12</f>
        <v>26507.240000000107</v>
      </c>
      <c r="H13" s="99">
        <f>G13+'25'!H13</f>
        <v>708490.65000000014</v>
      </c>
      <c r="I13" s="120">
        <f>G7-G13</f>
        <v>801.7599999998929</v>
      </c>
      <c r="J13" s="175">
        <f>H13/DAY(B2)</f>
        <v>27249.640384615392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'25'!F15</f>
        <v>1998241</v>
      </c>
      <c r="F15" s="470">
        <v>1999357</v>
      </c>
      <c r="G15" s="433">
        <f>(F15-E15)</f>
        <v>1116</v>
      </c>
      <c r="H15" s="99">
        <f>G15+'25'!H15</f>
        <v>28420</v>
      </c>
      <c r="I15" s="113">
        <f>'1'!I15</f>
        <v>800</v>
      </c>
      <c r="J15" s="175">
        <f>H15/DAY(B2)</f>
        <v>1093.0769230769231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3"/>
      <c r="H16" s="124"/>
      <c r="I16" s="120">
        <f>I15-J15</f>
        <v>-293.07692307692309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'25'!F18</f>
        <v>33</v>
      </c>
      <c r="F18" s="164">
        <v>28</v>
      </c>
      <c r="G18" s="435">
        <f>F18*10</f>
        <v>280</v>
      </c>
      <c r="H18" s="99">
        <f>G18+'25'!H18</f>
        <v>6560</v>
      </c>
      <c r="I18" s="113">
        <f>'1'!I18</f>
        <v>65</v>
      </c>
      <c r="J18" s="175">
        <f>H18/DAY(B2)</f>
        <v>252.30769230769232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'25'!F19</f>
        <v>158203</v>
      </c>
      <c r="F19" s="122">
        <v>158251</v>
      </c>
      <c r="G19" s="433">
        <f t="shared" ref="G19" si="1">F19-E19</f>
        <v>48</v>
      </c>
      <c r="H19" s="99">
        <f>G19+'25'!H19</f>
        <v>1262</v>
      </c>
      <c r="I19" s="335"/>
      <c r="J19" s="175">
        <f>H19/DAY(B2)</f>
        <v>48.53846153846154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7">
        <f>G18+G19</f>
        <v>328</v>
      </c>
      <c r="H20" s="99">
        <f>G20+'25'!H20</f>
        <v>7822</v>
      </c>
      <c r="I20" s="336">
        <f>I18-J20</f>
        <v>-235.84615384615387</v>
      </c>
      <c r="J20" s="175">
        <f>H20/DAY(B2)</f>
        <v>300.84615384615387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5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5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5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27688</v>
      </c>
      <c r="F27" s="136">
        <v>9</v>
      </c>
      <c r="G27" s="440">
        <f>E27*F27</f>
        <v>249192</v>
      </c>
      <c r="H27" s="99">
        <f>G27+'25'!H27</f>
        <v>6691714.0199999996</v>
      </c>
      <c r="I27" s="138"/>
      <c r="J27" s="175">
        <f>H27/DAY(B2)</f>
        <v>257373.61615384615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1116</v>
      </c>
      <c r="F28" s="136">
        <v>70</v>
      </c>
      <c r="G28" s="440">
        <f>E28*F28</f>
        <v>78120</v>
      </c>
      <c r="H28" s="99">
        <f>G28+'25'!H28</f>
        <v>1890682.419999999</v>
      </c>
      <c r="I28" s="140"/>
      <c r="J28" s="175">
        <f>H28/DAY(B2)</f>
        <v>72718.554615384579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440">
        <f>E30*F30</f>
        <v>7248</v>
      </c>
      <c r="H30" s="99">
        <f>G30+'25'!H30</f>
        <v>189402</v>
      </c>
      <c r="I30" s="140"/>
      <c r="J30" s="175">
        <f>H30/DAY(B2)</f>
        <v>7284.6923076923076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40">
        <f>E31*F31</f>
        <v>22400</v>
      </c>
      <c r="H31" s="99">
        <f>G31+'25'!H31</f>
        <v>524800</v>
      </c>
      <c r="I31" s="140"/>
      <c r="J31" s="175">
        <f>H31/DAY(B2)</f>
        <v>20184.615384615383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1">
        <f>G27+G28+G29+G30+G31</f>
        <v>356960</v>
      </c>
      <c r="H32" s="99">
        <f>G32+'25'!H32</f>
        <v>9296598.4399999995</v>
      </c>
      <c r="I32" s="144"/>
      <c r="J32" s="175">
        <f>H32/DAY(B2)</f>
        <v>357561.47846153844</v>
      </c>
      <c r="K32" s="63"/>
      <c r="L32" s="89"/>
      <c r="N32" s="87"/>
      <c r="O32" s="71"/>
    </row>
    <row r="33" spans="1:15" ht="25.5">
      <c r="A33" s="891" t="s">
        <v>331</v>
      </c>
      <c r="B33" s="892"/>
      <c r="C33" s="892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191970.69</v>
      </c>
      <c r="F35" s="145">
        <v>194028.89</v>
      </c>
      <c r="G35" s="433">
        <f t="shared" ref="G35:G46" si="3">F35-E35</f>
        <v>2058.2000000000116</v>
      </c>
      <c r="H35" s="99">
        <f>G35+'25'!H35</f>
        <v>55749.680000000022</v>
      </c>
      <c r="I35" s="95"/>
      <c r="J35" s="175">
        <f>H35/DAY(B2)</f>
        <v>2144.2184615384622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126196.4</v>
      </c>
      <c r="F36" s="145">
        <v>127293.85</v>
      </c>
      <c r="G36" s="433">
        <f t="shared" si="3"/>
        <v>1097.4500000000116</v>
      </c>
      <c r="H36" s="99">
        <f>G36+'25'!H36</f>
        <v>26773.190000000002</v>
      </c>
      <c r="I36" s="95"/>
      <c r="J36" s="175">
        <f>H36/DAY(B2)</f>
        <v>1029.738076923077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174410.65</v>
      </c>
      <c r="F37" s="145">
        <v>176113.63</v>
      </c>
      <c r="G37" s="433">
        <f t="shared" si="3"/>
        <v>1702.9800000000105</v>
      </c>
      <c r="H37" s="99">
        <f>G37+'25'!H37</f>
        <v>43188.610000000015</v>
      </c>
      <c r="I37" s="95"/>
      <c r="J37" s="175">
        <f>H37/DAY(B2)</f>
        <v>1661.1003846153851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231278.95</v>
      </c>
      <c r="F38" s="108">
        <v>233719.05</v>
      </c>
      <c r="G38" s="433">
        <f t="shared" si="3"/>
        <v>2440.0999999999767</v>
      </c>
      <c r="H38" s="99">
        <f>G38+'25'!H38</f>
        <v>63609.679999999993</v>
      </c>
      <c r="I38" s="95"/>
      <c r="J38" s="175">
        <f>H38/DAY(B2)</f>
        <v>2446.5261538461536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325608.39</v>
      </c>
      <c r="F39" s="145">
        <v>328480.33</v>
      </c>
      <c r="G39" s="433">
        <f t="shared" si="3"/>
        <v>2871.9400000000023</v>
      </c>
      <c r="H39" s="99">
        <f>G39+'25'!H39</f>
        <v>84326.900000000023</v>
      </c>
      <c r="I39" s="95"/>
      <c r="J39" s="175">
        <f>H39/DAY(B2)</f>
        <v>3243.3423076923086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61118.400000000001</v>
      </c>
      <c r="F40" s="145">
        <v>61882.5</v>
      </c>
      <c r="G40" s="433">
        <f t="shared" si="3"/>
        <v>764.09999999999854</v>
      </c>
      <c r="H40" s="99">
        <f>G40+'25'!H40</f>
        <v>12730.64</v>
      </c>
      <c r="I40" s="95"/>
      <c r="J40" s="175">
        <f>H40/DAY(B2)</f>
        <v>489.64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8476.6</v>
      </c>
      <c r="F41" s="145">
        <v>11897.9</v>
      </c>
      <c r="G41" s="433">
        <f t="shared" si="3"/>
        <v>3421.2999999999993</v>
      </c>
      <c r="H41" s="99">
        <f>G41+'25'!H41</f>
        <v>11834.9</v>
      </c>
      <c r="I41" s="95"/>
      <c r="J41" s="175">
        <f>H41/DAY(B2)</f>
        <v>455.18846153846152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399463.27</v>
      </c>
      <c r="F42" s="145">
        <v>405100.47</v>
      </c>
      <c r="G42" s="433">
        <f t="shared" si="3"/>
        <v>5637.1999999999534</v>
      </c>
      <c r="H42" s="99">
        <f>G42+'25'!H42</f>
        <v>123743.21999999997</v>
      </c>
      <c r="I42" s="95"/>
      <c r="J42" s="175">
        <f>H42/DAY(B2)</f>
        <v>4759.3546153846146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340758.63</v>
      </c>
      <c r="F43" s="145">
        <v>344069.43</v>
      </c>
      <c r="G43" s="433">
        <f t="shared" si="3"/>
        <v>3310.7999999999884</v>
      </c>
      <c r="H43" s="99">
        <f>G43+'25'!H43</f>
        <v>85314.959999999992</v>
      </c>
      <c r="I43" s="95"/>
      <c r="J43" s="175">
        <f>H43/DAY(B2)</f>
        <v>3281.3446153846153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3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3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3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23304.069999999952</v>
      </c>
      <c r="H47" s="99">
        <f>G47+'25'!H47</f>
        <v>507271.77999999991</v>
      </c>
      <c r="I47" s="95"/>
      <c r="J47" s="175">
        <f>H47/DAY(B2)</f>
        <v>19510.453076923073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156134.81</v>
      </c>
      <c r="F49" s="145">
        <v>157897.81</v>
      </c>
      <c r="G49" s="433">
        <f t="shared" ref="G49:G58" si="4">F49-E49</f>
        <v>1763</v>
      </c>
      <c r="H49" s="99">
        <f>G49+'25'!H49</f>
        <v>47395.61</v>
      </c>
      <c r="I49" s="95"/>
      <c r="J49" s="175">
        <f>H49/DAY(B2)</f>
        <v>1822.908076923077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165595.35</v>
      </c>
      <c r="F50" s="145">
        <v>166694.20000000001</v>
      </c>
      <c r="G50" s="433">
        <f t="shared" si="4"/>
        <v>1098.8500000000058</v>
      </c>
      <c r="H50" s="99">
        <f>G50+'25'!H50</f>
        <v>35484.06</v>
      </c>
      <c r="I50" s="95"/>
      <c r="J50" s="175">
        <f>H50/DAY(B2)</f>
        <v>1364.7715384615383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3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3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3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47704.83</v>
      </c>
      <c r="F54" s="424">
        <v>48179.7</v>
      </c>
      <c r="G54" s="433">
        <f t="shared" si="4"/>
        <v>474.86999999999534</v>
      </c>
      <c r="H54" s="99">
        <f>G54+'25'!H54</f>
        <v>12508.64</v>
      </c>
      <c r="I54" s="95"/>
      <c r="J54" s="175">
        <f>H54/DAY(B2)</f>
        <v>481.10153846153844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142509.01</v>
      </c>
      <c r="F55" s="145">
        <v>142509.01</v>
      </c>
      <c r="G55" s="433">
        <f t="shared" si="4"/>
        <v>0</v>
      </c>
      <c r="H55" s="99">
        <f>G55+'25'!H55</f>
        <v>30027.98000000001</v>
      </c>
      <c r="I55" s="95"/>
      <c r="J55" s="175">
        <f>H55/DAY(B2)</f>
        <v>1154.9223076923081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107245.66</v>
      </c>
      <c r="F56" s="145">
        <v>107245.66</v>
      </c>
      <c r="G56" s="433">
        <f t="shared" si="4"/>
        <v>0</v>
      </c>
      <c r="H56" s="99">
        <f>G56+'25'!H56</f>
        <v>35627.98000000001</v>
      </c>
      <c r="I56" s="95"/>
      <c r="J56" s="175">
        <f>H56/DAY(B2)</f>
        <v>1370.3069230769236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433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24349.56</v>
      </c>
      <c r="F58" s="145">
        <v>24591.360000000001</v>
      </c>
      <c r="G58" s="433">
        <f t="shared" si="4"/>
        <v>241.79999999999927</v>
      </c>
      <c r="H58" s="99">
        <f>G58+'25'!H58</f>
        <v>6137.16</v>
      </c>
      <c r="I58" s="95"/>
      <c r="J58" s="175">
        <f>H58/DAY(B2)</f>
        <v>236.04461538461538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3578.5200000000004</v>
      </c>
      <c r="H59" s="99">
        <f>G59+'25'!H59</f>
        <v>167181.75</v>
      </c>
      <c r="I59" s="95">
        <f>G7-G60</f>
        <v>426.41000000004715</v>
      </c>
      <c r="J59" s="175">
        <f>H59/DAY(B2)</f>
        <v>6430.0673076923076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5">
        <f>G47+G59</f>
        <v>26882.589999999953</v>
      </c>
      <c r="H60" s="99">
        <f>G60+'25'!H60</f>
        <v>674453.52999999991</v>
      </c>
      <c r="I60" s="95">
        <f>G13-G60</f>
        <v>-375.34999999984575</v>
      </c>
      <c r="J60" s="175">
        <f>H60/DAY(B2)</f>
        <v>25940.520384615382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'25'!F62</f>
        <v>283163</v>
      </c>
      <c r="F62" s="122">
        <v>283340</v>
      </c>
      <c r="G62" s="433">
        <f t="shared" ref="G62:G63" si="5">F62-E62</f>
        <v>177</v>
      </c>
      <c r="H62" s="99">
        <f>G62+'25'!H62</f>
        <v>4714</v>
      </c>
      <c r="I62" s="118"/>
      <c r="J62" s="175">
        <f>H62/DAY(B2)</f>
        <v>181.30769230769232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'25'!F63</f>
        <v>226828</v>
      </c>
      <c r="F63" s="122">
        <v>226951</v>
      </c>
      <c r="G63" s="433">
        <f t="shared" si="5"/>
        <v>123</v>
      </c>
      <c r="H63" s="99">
        <f>G63+'25'!H63</f>
        <v>3870</v>
      </c>
      <c r="I63" s="118"/>
      <c r="J63" s="175">
        <f>H63/DAY(B2)</f>
        <v>148.84615384615384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'25'!F64</f>
        <v>0</v>
      </c>
      <c r="F64" s="122"/>
      <c r="G64" s="433">
        <f>G62+G63</f>
        <v>300</v>
      </c>
      <c r="H64" s="99">
        <f>G64+'25'!H64</f>
        <v>8584</v>
      </c>
      <c r="I64" s="118"/>
      <c r="J64" s="175">
        <f>H64/DAY(B2)</f>
        <v>330.15384615384613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'25'!F65</f>
        <v>443999</v>
      </c>
      <c r="F65" s="122">
        <v>444131</v>
      </c>
      <c r="G65" s="433">
        <f t="shared" ref="G65:G70" si="6">F65-E65</f>
        <v>132</v>
      </c>
      <c r="H65" s="99">
        <f>G65+'25'!H65</f>
        <v>3000</v>
      </c>
      <c r="I65" s="118"/>
      <c r="J65" s="175">
        <f>H65/DAY(B2)</f>
        <v>115.38461538461539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109494</v>
      </c>
      <c r="F66" s="122">
        <v>109508</v>
      </c>
      <c r="G66" s="433">
        <f t="shared" si="6"/>
        <v>14</v>
      </c>
      <c r="H66" s="99">
        <f>G66+'25'!H66</f>
        <v>438</v>
      </c>
      <c r="I66" s="118"/>
      <c r="J66" s="175">
        <f>H66/DAY(B2)</f>
        <v>16.846153846153847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110510</v>
      </c>
      <c r="F67" s="164">
        <v>110590</v>
      </c>
      <c r="G67" s="433">
        <f t="shared" si="6"/>
        <v>80</v>
      </c>
      <c r="H67" s="99">
        <f>G67+'25'!H67</f>
        <v>1997</v>
      </c>
      <c r="I67" s="118"/>
      <c r="J67" s="175">
        <f>H67/DAY(B2)</f>
        <v>76.807692307692307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161593</v>
      </c>
      <c r="F68" s="122">
        <v>161646</v>
      </c>
      <c r="G68" s="433">
        <f t="shared" si="6"/>
        <v>53</v>
      </c>
      <c r="H68" s="99">
        <f>G68+'25'!H68</f>
        <v>1233</v>
      </c>
      <c r="I68" s="118"/>
      <c r="J68" s="175">
        <f>H68/DAY(B2)</f>
        <v>47.42307692307692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11525</v>
      </c>
      <c r="F69" s="122">
        <v>11553</v>
      </c>
      <c r="G69" s="433">
        <f t="shared" si="6"/>
        <v>28</v>
      </c>
      <c r="H69" s="99">
        <f>G69+'25'!H69</f>
        <v>352</v>
      </c>
      <c r="I69" s="118"/>
      <c r="J69" s="175">
        <f>H69/DAY(B2)</f>
        <v>13.538461538461538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8962</v>
      </c>
      <c r="F70" s="122">
        <v>8969</v>
      </c>
      <c r="G70" s="433">
        <f t="shared" si="6"/>
        <v>7</v>
      </c>
      <c r="H70" s="99">
        <f>G70+'25'!H70</f>
        <v>241</v>
      </c>
      <c r="I70" s="118"/>
      <c r="J70" s="175">
        <f>H70/DAY(B2)</f>
        <v>9.2692307692307701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445">
        <f>SUM(G65:G70)</f>
        <v>314</v>
      </c>
      <c r="H71" s="99">
        <f>G71+'25'!H71</f>
        <v>7261</v>
      </c>
      <c r="I71" s="154"/>
      <c r="J71" s="175">
        <f>H71/DAY(B2)</f>
        <v>279.26923076923077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'25'!F74</f>
        <v>927176.9</v>
      </c>
      <c r="F74" s="123">
        <v>927483</v>
      </c>
      <c r="G74" s="433">
        <f t="shared" ref="G74:G78" si="7">F74-E74</f>
        <v>306.09999999997672</v>
      </c>
      <c r="H74" s="99">
        <f>G74+'25'!H74</f>
        <v>8158.4899999999907</v>
      </c>
      <c r="I74" s="154"/>
      <c r="J74" s="175">
        <f>H74/DAY(B2)</f>
        <v>313.78807692307657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'25'!F75</f>
        <v>73586.8</v>
      </c>
      <c r="F75" s="123">
        <v>73586.8</v>
      </c>
      <c r="G75" s="433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'25'!F76</f>
        <v>179537</v>
      </c>
      <c r="F76" s="123">
        <v>179659</v>
      </c>
      <c r="G76" s="433">
        <f t="shared" si="7"/>
        <v>122</v>
      </c>
      <c r="H76" s="99">
        <f>G76+'25'!H76</f>
        <v>3072</v>
      </c>
      <c r="I76" s="154"/>
      <c r="J76" s="175">
        <f>H76/DAY(B2)</f>
        <v>118.15384615384616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'25'!F77</f>
        <v>45410</v>
      </c>
      <c r="F77" s="123">
        <v>45466</v>
      </c>
      <c r="G77" s="433">
        <f t="shared" si="7"/>
        <v>56</v>
      </c>
      <c r="H77" s="99">
        <f>G77+'25'!H77</f>
        <v>1303</v>
      </c>
      <c r="I77" s="154"/>
      <c r="J77" s="175">
        <f>H77/DAY(B2)</f>
        <v>50.115384615384613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'25'!F78</f>
        <v>9563</v>
      </c>
      <c r="F78" s="123">
        <v>9563.4</v>
      </c>
      <c r="G78" s="433">
        <f t="shared" si="7"/>
        <v>0.3999999999996362</v>
      </c>
      <c r="H78" s="99">
        <f>G78+'25'!H78</f>
        <v>0.3999999999996362</v>
      </c>
      <c r="I78" s="118"/>
      <c r="J78" s="175">
        <f>H78/DAY(B2)</f>
        <v>1.5384615384601393E-2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'25'!F79</f>
        <v>0</v>
      </c>
      <c r="F79" s="117"/>
      <c r="G79" s="433">
        <f>G15-SUM(G74:G78)</f>
        <v>631.50000000002365</v>
      </c>
      <c r="H79" s="99">
        <f>G79+'25'!H79</f>
        <v>15886.11000000001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433">
        <f>SUM(G74:G79)</f>
        <v>1116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44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3">
        <f t="shared" ref="G82:G92" si="8">F82-E82</f>
        <v>0</v>
      </c>
      <c r="H82" s="99">
        <f>G82+'25'!H82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3">
        <f t="shared" si="8"/>
        <v>0</v>
      </c>
      <c r="H83" s="99">
        <f>G83+'25'!H83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41714</v>
      </c>
      <c r="F84" s="164">
        <v>41729.300000000003</v>
      </c>
      <c r="G84" s="433">
        <f t="shared" si="8"/>
        <v>15.30000000000291</v>
      </c>
      <c r="H84" s="99">
        <f>G84+'25'!H84</f>
        <v>54.30000000000291</v>
      </c>
      <c r="I84" s="594"/>
      <c r="J84" s="175">
        <f>H84/DAY(B2)</f>
        <v>2.0884615384616505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3669.03</v>
      </c>
      <c r="F85" s="164">
        <v>3693.4</v>
      </c>
      <c r="G85" s="433">
        <f t="shared" si="8"/>
        <v>24.369999999999891</v>
      </c>
      <c r="H85" s="99">
        <f>G85+'25'!H85</f>
        <v>534.90000000000009</v>
      </c>
      <c r="I85" s="594"/>
      <c r="J85" s="175">
        <f>H85/DAY(B2)</f>
        <v>20.573076923076925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43924.480000000003</v>
      </c>
      <c r="F86" s="164">
        <v>43924.480000000003</v>
      </c>
      <c r="G86" s="433">
        <f t="shared" si="8"/>
        <v>0</v>
      </c>
      <c r="H86" s="99">
        <f>G86+'25'!H86</f>
        <v>204.08000000000175</v>
      </c>
      <c r="I86" s="594"/>
      <c r="J86" s="175">
        <f>H86/DAY(B2)</f>
        <v>7.8492307692308367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35329</v>
      </c>
      <c r="F87" s="164">
        <v>35329</v>
      </c>
      <c r="G87" s="433">
        <f t="shared" si="8"/>
        <v>0</v>
      </c>
      <c r="H87" s="99">
        <f>G87+'25'!H87</f>
        <v>248.65000000000146</v>
      </c>
      <c r="I87" s="594">
        <f>G84+G85+G86+G87</f>
        <v>39.670000000002801</v>
      </c>
      <c r="J87" s="175">
        <f>H87/DAY(B2)</f>
        <v>9.5634615384615937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24187.01</v>
      </c>
      <c r="F88" s="164">
        <v>24187.01</v>
      </c>
      <c r="G88" s="433">
        <f t="shared" si="8"/>
        <v>0</v>
      </c>
      <c r="H88" s="99">
        <f>G88+'25'!H88</f>
        <v>77.609999999996944</v>
      </c>
      <c r="I88" s="594"/>
      <c r="J88" s="175">
        <f>H88/DAY(B2)</f>
        <v>2.9849999999998826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26661.35</v>
      </c>
      <c r="F89" s="164">
        <v>26671.599999999999</v>
      </c>
      <c r="G89" s="433">
        <f t="shared" si="8"/>
        <v>10.25</v>
      </c>
      <c r="H89" s="99">
        <f>G89+'25'!H89</f>
        <v>199.80999999999767</v>
      </c>
      <c r="I89" s="594">
        <f>G88+G89</f>
        <v>10.25</v>
      </c>
      <c r="J89" s="175">
        <f>H89/DAY(B2)</f>
        <v>7.6849999999999108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71816.399999999994</v>
      </c>
      <c r="F90" s="164">
        <v>71825.86</v>
      </c>
      <c r="G90" s="433">
        <f t="shared" si="8"/>
        <v>9.4600000000064028</v>
      </c>
      <c r="H90" s="99">
        <f>G90+'25'!H90</f>
        <v>252.75</v>
      </c>
      <c r="I90" s="594">
        <f>G90</f>
        <v>9.4600000000064028</v>
      </c>
      <c r="J90" s="175">
        <f>H90/DAY(B2)</f>
        <v>9.7211538461538467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4000.56</v>
      </c>
      <c r="F91" s="122">
        <v>4011.55</v>
      </c>
      <c r="G91" s="433">
        <f t="shared" si="8"/>
        <v>10.990000000000236</v>
      </c>
      <c r="H91" s="99">
        <f>G91+'25'!H91</f>
        <v>101.80000000000018</v>
      </c>
      <c r="I91" s="688"/>
      <c r="J91" s="175">
        <f>H91/DAY(B2)</f>
        <v>3.9153846153846223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5934.87</v>
      </c>
      <c r="F92" s="122">
        <v>5934.87</v>
      </c>
      <c r="G92" s="433">
        <f t="shared" si="8"/>
        <v>0</v>
      </c>
      <c r="H92" s="99">
        <f>G92+'25'!H92</f>
        <v>187.56999999999971</v>
      </c>
      <c r="I92" s="705">
        <f>G91+G92</f>
        <v>10.990000000000236</v>
      </c>
      <c r="J92" s="175">
        <f>H92/DAY(B2)</f>
        <v>7.2142307692307579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448">
        <f>G35+G43+G49+G57</f>
        <v>7132</v>
      </c>
      <c r="H94" s="99">
        <f>G94+'25'!H94</f>
        <v>188460.25</v>
      </c>
      <c r="I94" s="118"/>
      <c r="J94" s="175">
        <f>H94/DAY(B2)</f>
        <v>7248.4711538461543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449">
        <f>G94/G7</f>
        <v>0.26115932476472958</v>
      </c>
      <c r="H95" s="99">
        <f>G95+'25'!H95</f>
        <v>6.7268972080865543</v>
      </c>
      <c r="I95" s="167"/>
      <c r="J95" s="175">
        <f>H95/DAY(B2)</f>
        <v>0.25872681569563671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448">
        <f>G41+G42+G55+G56</f>
        <v>9058.4999999999527</v>
      </c>
      <c r="H96" s="99">
        <f>G96+'25'!H96</f>
        <v>201234.08</v>
      </c>
      <c r="I96" s="118"/>
      <c r="J96" s="175">
        <f>H96/DAY(B2)</f>
        <v>7739.7723076923075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449">
        <f>G96/G7</f>
        <v>0.33170383390091007</v>
      </c>
      <c r="H97" s="99">
        <f>G97+'25'!H97</f>
        <v>7.1621922447812194</v>
      </c>
      <c r="I97" s="167"/>
      <c r="J97" s="175">
        <f>H97/DAY(B2)</f>
        <v>0.27546893249158538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448">
        <f>G39+G53</f>
        <v>2871.9400000000023</v>
      </c>
      <c r="H98" s="99">
        <f>G98+'25'!H98</f>
        <v>84326.900000000023</v>
      </c>
      <c r="I98" s="168"/>
      <c r="J98" s="175">
        <f>H98/DAY(B2)</f>
        <v>3243.3423076923086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449">
        <f>G98/G7</f>
        <v>0.10516459775165705</v>
      </c>
      <c r="H99" s="99">
        <f>G99+'25'!H99</f>
        <v>3.0143473559077987</v>
      </c>
      <c r="I99" s="168"/>
      <c r="J99" s="175">
        <f>H99/DAY(B2)</f>
        <v>0.11593643676568456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448">
        <f>G38+G52</f>
        <v>2440.0999999999767</v>
      </c>
      <c r="H100" s="99">
        <f>G100+'25'!H100</f>
        <v>63609.679999999993</v>
      </c>
      <c r="I100" s="118"/>
      <c r="J100" s="175">
        <f>H100/DAY(B2)</f>
        <v>2446.5261538461536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449">
        <f>G100/G7</f>
        <v>8.9351495843860151E-2</v>
      </c>
      <c r="H101" s="99">
        <f>G101+'25'!H101</f>
        <v>2.2735787830004632</v>
      </c>
      <c r="I101" s="168"/>
      <c r="J101" s="175">
        <f>H101/DAY(B2)</f>
        <v>8.7445337807710119E-2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448">
        <f>G36+G50</f>
        <v>2196.3000000000175</v>
      </c>
      <c r="H102" s="99">
        <f>G102+'25'!H102</f>
        <v>62257.25</v>
      </c>
      <c r="I102" s="168"/>
      <c r="J102" s="175">
        <f>H102/DAY(B2)</f>
        <v>2394.5096153846152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449">
        <f>G102/G7</f>
        <v>8.0424036032077983E-2</v>
      </c>
      <c r="H103" s="99">
        <f>G103+'25'!H103</f>
        <v>2.21849075396837</v>
      </c>
      <c r="I103" s="118"/>
      <c r="J103" s="175">
        <f>H103/DAY(B2)</f>
        <v>8.5326567460321925E-2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448">
        <f>G37+G51</f>
        <v>1702.9800000000105</v>
      </c>
      <c r="H104" s="99">
        <f>G104+'25'!H104</f>
        <v>43188.930000000015</v>
      </c>
      <c r="I104" s="118"/>
      <c r="J104" s="175">
        <f>H104/DAY(B2)</f>
        <v>1661.1126923076929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450">
        <f>G104/G7</f>
        <v>6.2359661650005879E-2</v>
      </c>
      <c r="H105" s="99">
        <f>G105+'25'!H105</f>
        <v>1.541858104726137</v>
      </c>
      <c r="I105" s="187"/>
      <c r="J105" s="188">
        <f>H105/DAY(B2)</f>
        <v>5.9302234797159119E-2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453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'25'!F112</f>
        <v>250</v>
      </c>
      <c r="F112" s="237">
        <f>250+9</f>
        <v>259</v>
      </c>
      <c r="G112" s="433">
        <f t="shared" ref="G112:G123" si="9">F112-E112</f>
        <v>9</v>
      </c>
      <c r="H112" s="99">
        <f>G112+'25'!H112</f>
        <v>2035.4700000000012</v>
      </c>
      <c r="I112" s="165"/>
      <c r="J112" s="328">
        <f>H112/DAY(B2)</f>
        <v>78.287307692307735</v>
      </c>
    </row>
    <row r="113" spans="1:18" ht="25.5">
      <c r="A113" s="907" t="s">
        <v>253</v>
      </c>
      <c r="B113" s="908"/>
      <c r="C113" s="909"/>
      <c r="D113" s="146" t="s">
        <v>183</v>
      </c>
      <c r="E113" s="95">
        <f>'25'!F113</f>
        <v>605.14</v>
      </c>
      <c r="F113" s="237">
        <f>605.14+23</f>
        <v>628.14</v>
      </c>
      <c r="G113" s="433">
        <f t="shared" si="9"/>
        <v>23</v>
      </c>
      <c r="H113" s="99">
        <f>G113+'25'!H113</f>
        <v>11549.929999999995</v>
      </c>
      <c r="I113" s="165"/>
      <c r="J113" s="328">
        <f>H113/DAY(B2)</f>
        <v>444.22807692307674</v>
      </c>
    </row>
    <row r="114" spans="1:18" ht="25.5">
      <c r="A114" s="907" t="s">
        <v>254</v>
      </c>
      <c r="B114" s="908"/>
      <c r="C114" s="909"/>
      <c r="D114" s="146" t="s">
        <v>183</v>
      </c>
      <c r="E114" s="95">
        <f>'25'!F114</f>
        <v>417</v>
      </c>
      <c r="F114" s="237">
        <f>417+34</f>
        <v>451</v>
      </c>
      <c r="G114" s="433">
        <f t="shared" si="9"/>
        <v>34</v>
      </c>
      <c r="H114" s="99">
        <f>G114+'25'!H114</f>
        <v>6551.1100000000006</v>
      </c>
      <c r="I114" s="165"/>
      <c r="J114" s="328">
        <f>H114/DAY(B2)</f>
        <v>251.96576923076924</v>
      </c>
    </row>
    <row r="115" spans="1:18" ht="25.5">
      <c r="A115" s="907" t="s">
        <v>255</v>
      </c>
      <c r="B115" s="908"/>
      <c r="C115" s="909"/>
      <c r="D115" s="146" t="s">
        <v>183</v>
      </c>
      <c r="E115" s="95">
        <f>'25'!F115</f>
        <v>61.37</v>
      </c>
      <c r="F115" s="237">
        <f>61.37+9.96</f>
        <v>71.33</v>
      </c>
      <c r="G115" s="433">
        <f t="shared" si="9"/>
        <v>9.9600000000000009</v>
      </c>
      <c r="H115" s="99">
        <f>G115+'25'!H115</f>
        <v>548.56999999999982</v>
      </c>
      <c r="I115" s="165"/>
      <c r="J115" s="328">
        <f>H115/DAY(B2)</f>
        <v>21.098846153846146</v>
      </c>
    </row>
    <row r="116" spans="1:18" ht="25.5">
      <c r="A116" s="925" t="s">
        <v>96</v>
      </c>
      <c r="B116" s="926"/>
      <c r="C116" s="927"/>
      <c r="D116" s="146" t="s">
        <v>183</v>
      </c>
      <c r="E116" s="95">
        <f>'25'!F116</f>
        <v>33145.97</v>
      </c>
      <c r="F116" s="237">
        <v>33478.85</v>
      </c>
      <c r="G116" s="433">
        <f t="shared" si="9"/>
        <v>332.87999999999738</v>
      </c>
      <c r="H116" s="99">
        <f>G116+'25'!H116</f>
        <v>10694.23</v>
      </c>
      <c r="I116" s="165"/>
      <c r="J116" s="328">
        <f>H116/DAY(B2)</f>
        <v>411.31653846153847</v>
      </c>
      <c r="Q116" s="907" t="s">
        <v>311</v>
      </c>
      <c r="R116" s="909"/>
    </row>
    <row r="117" spans="1:18" ht="25.5">
      <c r="A117" s="925" t="s">
        <v>184</v>
      </c>
      <c r="B117" s="926"/>
      <c r="C117" s="927"/>
      <c r="D117" s="146" t="s">
        <v>183</v>
      </c>
      <c r="E117" s="406">
        <f>'25'!F117</f>
        <v>18193</v>
      </c>
      <c r="F117" s="417">
        <v>18269</v>
      </c>
      <c r="G117" s="522">
        <f t="shared" si="9"/>
        <v>76</v>
      </c>
      <c r="H117" s="99">
        <f>G117+'25'!H117</f>
        <v>4655.8269999999993</v>
      </c>
      <c r="I117" s="165"/>
      <c r="J117" s="328">
        <f>H117/DAY(B2)</f>
        <v>179.07026923076921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'25'!F118</f>
        <v>6327.33</v>
      </c>
      <c r="F118" s="237">
        <v>6835.12</v>
      </c>
      <c r="G118" s="433">
        <f t="shared" si="9"/>
        <v>507.78999999999996</v>
      </c>
      <c r="H118" s="99">
        <f>G118+'25'!H118</f>
        <v>13783.150000000031</v>
      </c>
      <c r="I118" s="165"/>
      <c r="J118" s="328">
        <f>H118/DAY(B2)</f>
        <v>530.12115384615504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'25'!F119</f>
        <v>3677.5</v>
      </c>
      <c r="F119" s="237">
        <v>4133.26</v>
      </c>
      <c r="G119" s="433">
        <f t="shared" si="9"/>
        <v>455.76000000000022</v>
      </c>
      <c r="H119" s="99">
        <f>G119+'25'!H119</f>
        <v>11453.869999999986</v>
      </c>
      <c r="I119" s="165"/>
      <c r="J119" s="328">
        <f>H119/DAY(B2)</f>
        <v>440.53346153846098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'25'!F120</f>
        <v>4966.8</v>
      </c>
      <c r="F120" s="237">
        <v>5392</v>
      </c>
      <c r="G120" s="433">
        <f t="shared" si="9"/>
        <v>425.19999999999982</v>
      </c>
      <c r="H120" s="99">
        <f>G120+'25'!H120</f>
        <v>10738.240000000005</v>
      </c>
      <c r="I120" s="165"/>
      <c r="J120" s="328">
        <f>H120/DAY(B2)</f>
        <v>413.00923076923095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'25'!F121</f>
        <v>9468.27</v>
      </c>
      <c r="F121" s="237">
        <v>9961.7999999999993</v>
      </c>
      <c r="G121" s="433">
        <f t="shared" si="9"/>
        <v>493.52999999999884</v>
      </c>
      <c r="H121" s="99">
        <f>G121+'25'!H121</f>
        <v>20366.529999999981</v>
      </c>
      <c r="I121" s="165"/>
      <c r="J121" s="328">
        <f>H121/DAY(B2)</f>
        <v>783.3280769230762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'25'!F122</f>
        <v>2500.9499999999998</v>
      </c>
      <c r="F122" s="237">
        <v>2739.1</v>
      </c>
      <c r="G122" s="433">
        <f t="shared" si="9"/>
        <v>238.15000000000009</v>
      </c>
      <c r="H122" s="99">
        <f>G122+'25'!H122</f>
        <v>5555.9599999999864</v>
      </c>
      <c r="I122" s="165"/>
      <c r="J122" s="328">
        <f>H122/DAY(B2)</f>
        <v>213.69076923076869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'25'!F123</f>
        <v>297.81</v>
      </c>
      <c r="F123" s="237">
        <f>297.81+11.9</f>
        <v>309.70999999999998</v>
      </c>
      <c r="G123" s="433">
        <f t="shared" si="9"/>
        <v>11.899999999999977</v>
      </c>
      <c r="H123" s="99">
        <f>G123+'25'!H123</f>
        <v>5911.2399999999989</v>
      </c>
      <c r="I123" s="165"/>
      <c r="J123" s="328">
        <f>H123/DAY(B2)</f>
        <v>227.35538461538457</v>
      </c>
    </row>
    <row r="124" spans="1:18" ht="25.5">
      <c r="A124" s="932"/>
      <c r="B124" s="933"/>
      <c r="C124" s="934"/>
      <c r="D124" s="165"/>
      <c r="E124" s="95">
        <f>'25'!F124</f>
        <v>0</v>
      </c>
      <c r="F124" s="165"/>
      <c r="G124" s="453"/>
      <c r="H124" s="156"/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454">
        <f>SUM(G112:G124)</f>
        <v>2617.1699999999964</v>
      </c>
      <c r="H125" s="156"/>
      <c r="I125" s="327">
        <f>G125-(G39+G53)</f>
        <v>-254.77000000000589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454"/>
      <c r="H127" s="99">
        <f>G127+'25'!H127</f>
        <v>0</v>
      </c>
      <c r="I127" s="165"/>
      <c r="J127" s="328">
        <f>H127/DAY(B2)</f>
        <v>0</v>
      </c>
    </row>
    <row r="128" spans="1:18" ht="25.5">
      <c r="A128" s="907" t="s">
        <v>318</v>
      </c>
      <c r="B128" s="908"/>
      <c r="C128" s="909"/>
      <c r="D128" s="151" t="s">
        <v>183</v>
      </c>
      <c r="E128" s="95">
        <f>'25'!F128</f>
        <v>79406.23</v>
      </c>
      <c r="F128" s="165">
        <v>79809.899999999994</v>
      </c>
      <c r="G128" s="433">
        <f t="shared" ref="G128:G134" si="10">F128-E128</f>
        <v>403.66999999999825</v>
      </c>
      <c r="H128" s="99">
        <f>G128+'25'!H128</f>
        <v>10893.659999999989</v>
      </c>
      <c r="I128" s="165"/>
      <c r="J128" s="328">
        <f>H128/DAY(B2)</f>
        <v>418.98692307692266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49552.63</v>
      </c>
      <c r="F129" s="165">
        <v>49839.12</v>
      </c>
      <c r="G129" s="433">
        <f t="shared" si="10"/>
        <v>286.49000000000524</v>
      </c>
      <c r="H129" s="99">
        <f>G129+'25'!H129</f>
        <v>7728.07</v>
      </c>
      <c r="I129" s="165"/>
      <c r="J129" s="328">
        <f>H129/DAY(B2)</f>
        <v>297.23346153846154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93184.6</v>
      </c>
      <c r="F130" s="165">
        <v>93849.9</v>
      </c>
      <c r="G130" s="433">
        <f t="shared" si="10"/>
        <v>665.29999999998836</v>
      </c>
      <c r="H130" s="99">
        <f>G130+'25'!H130</f>
        <v>18187.949999999997</v>
      </c>
      <c r="I130" s="165"/>
      <c r="J130" s="328">
        <f>H130/DAY(B2)</f>
        <v>699.53653846153838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'25'!F131</f>
        <v>29401.69</v>
      </c>
      <c r="F131" s="165">
        <v>29611.97</v>
      </c>
      <c r="G131" s="433">
        <f t="shared" si="10"/>
        <v>210.28000000000247</v>
      </c>
      <c r="H131" s="99">
        <f>G131+'25'!H131</f>
        <v>5179.4700000000012</v>
      </c>
      <c r="I131" s="165"/>
      <c r="J131" s="328">
        <f>H131/DAY(B2)</f>
        <v>199.21038461538467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'25'!F132</f>
        <v>86614.8</v>
      </c>
      <c r="F132" s="165">
        <v>87059.12</v>
      </c>
      <c r="G132" s="433">
        <f t="shared" si="10"/>
        <v>444.31999999999243</v>
      </c>
      <c r="H132" s="99">
        <f>G132+'25'!H132</f>
        <v>11391.619999999995</v>
      </c>
      <c r="I132" s="165"/>
      <c r="J132" s="328">
        <f>H132/DAY(B2)</f>
        <v>438.13923076923061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'25'!F133</f>
        <v>168158.59</v>
      </c>
      <c r="F133" s="165">
        <v>169026.75</v>
      </c>
      <c r="G133" s="433">
        <f t="shared" si="10"/>
        <v>868.16000000000349</v>
      </c>
      <c r="H133" s="99">
        <f>G133+'25'!H133</f>
        <v>23644.760000000009</v>
      </c>
      <c r="I133" s="165"/>
      <c r="J133" s="328">
        <f>H133/DAY(B2)</f>
        <v>909.41384615384652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'25'!F134</f>
        <v>26797.05</v>
      </c>
      <c r="F134" s="165">
        <v>27029.96</v>
      </c>
      <c r="G134" s="433">
        <f t="shared" si="10"/>
        <v>232.90999999999985</v>
      </c>
      <c r="H134" s="99">
        <f>G134+'25'!H134</f>
        <v>6237.2799999999988</v>
      </c>
      <c r="I134" s="165"/>
      <c r="J134" s="328">
        <f>H134/DAY(B2)</f>
        <v>239.89538461538456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433">
        <f>SUM(G128:G134)</f>
        <v>3111.1299999999901</v>
      </c>
      <c r="H135" s="99">
        <f>G135+'23'!H135</f>
        <v>37996.539999999964</v>
      </c>
      <c r="I135" s="327">
        <f>G135-(G35+G49)</f>
        <v>-710.07000000002154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'25'!F138</f>
        <v>878022</v>
      </c>
      <c r="F138" s="147">
        <v>878166</v>
      </c>
      <c r="G138" s="433">
        <f t="shared" ref="G138:G152" si="11">F138-E138</f>
        <v>144</v>
      </c>
      <c r="H138" s="99">
        <f>G138+'25'!H138</f>
        <v>4165</v>
      </c>
      <c r="I138" s="118"/>
      <c r="J138" s="328">
        <f>H138/DAY(B2)</f>
        <v>160.19230769230768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'25'!F139</f>
        <v>894114</v>
      </c>
      <c r="F139" s="148">
        <v>894258</v>
      </c>
      <c r="G139" s="433">
        <f t="shared" si="11"/>
        <v>144</v>
      </c>
      <c r="H139" s="99">
        <f>G139+'25'!H139</f>
        <v>3940</v>
      </c>
      <c r="I139" s="118"/>
      <c r="J139" s="328">
        <f>H139/DAY(B2)</f>
        <v>151.53846153846155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'25'!F140</f>
        <v>89032</v>
      </c>
      <c r="F140" s="148">
        <v>89032</v>
      </c>
      <c r="G140" s="433">
        <f t="shared" si="11"/>
        <v>0</v>
      </c>
      <c r="H140" s="99">
        <f>G140+'25'!H140</f>
        <v>42</v>
      </c>
      <c r="I140" s="118"/>
      <c r="J140" s="328">
        <f>H140/DAY(B2)</f>
        <v>1.6153846153846154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'25'!F141</f>
        <v>70751.199999999997</v>
      </c>
      <c r="F141" s="148">
        <v>70948.2</v>
      </c>
      <c r="G141" s="433">
        <f t="shared" si="11"/>
        <v>197</v>
      </c>
      <c r="H141" s="99">
        <f>G141+'25'!H141</f>
        <v>5164.6699999999983</v>
      </c>
      <c r="I141" s="118"/>
      <c r="J141" s="328">
        <f>H141/DAY(B2)</f>
        <v>198.64115384615377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'25'!F142</f>
        <v>27115.9</v>
      </c>
      <c r="F142" s="148">
        <v>27184.799999999999</v>
      </c>
      <c r="G142" s="433">
        <f t="shared" si="11"/>
        <v>68.899999999997817</v>
      </c>
      <c r="H142" s="99">
        <f>G142+'25'!H142</f>
        <v>1688.3999999999978</v>
      </c>
      <c r="I142" s="140"/>
      <c r="J142" s="328">
        <f>H142/DAY(B2)</f>
        <v>64.938461538461453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'25'!F143</f>
        <v>6267.05</v>
      </c>
      <c r="F143" s="148">
        <v>6297.96</v>
      </c>
      <c r="G143" s="433">
        <f t="shared" si="11"/>
        <v>30.909999999999854</v>
      </c>
      <c r="H143" s="99">
        <f>G143+'25'!H143</f>
        <v>737.25</v>
      </c>
      <c r="I143" s="140"/>
      <c r="J143" s="328">
        <f>H143/DAY(B2)</f>
        <v>28.35576923076923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'25'!F144</f>
        <v>895965</v>
      </c>
      <c r="F144" s="148">
        <v>896230</v>
      </c>
      <c r="G144" s="433">
        <f t="shared" si="11"/>
        <v>265</v>
      </c>
      <c r="H144" s="99">
        <f>G144+'25'!H144</f>
        <v>6396</v>
      </c>
      <c r="I144" s="140"/>
      <c r="J144" s="328">
        <f>H144/DAY(B2)</f>
        <v>246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'25'!F145</f>
        <v>5618.35</v>
      </c>
      <c r="F145" s="148">
        <v>5620.59</v>
      </c>
      <c r="G145" s="433">
        <f t="shared" si="11"/>
        <v>2.2399999999997817</v>
      </c>
      <c r="H145" s="99">
        <f>G145+'25'!H145</f>
        <v>64.190000000000509</v>
      </c>
      <c r="I145" s="140"/>
      <c r="J145" s="328">
        <f>H145/DAY(B2)</f>
        <v>2.4688461538461732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'25'!F146</f>
        <v>776354</v>
      </c>
      <c r="F146" s="148">
        <v>776439</v>
      </c>
      <c r="G146" s="433">
        <f t="shared" si="11"/>
        <v>85</v>
      </c>
      <c r="H146" s="99">
        <f>G146+'25'!H146</f>
        <v>12113</v>
      </c>
      <c r="I146" s="140"/>
      <c r="J146" s="328">
        <f>H146/DAY(B2)</f>
        <v>465.88461538461536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'25'!F147</f>
        <v>661147.56000000006</v>
      </c>
      <c r="F147" s="148">
        <v>661592</v>
      </c>
      <c r="G147" s="433">
        <f t="shared" si="11"/>
        <v>444.43999999994412</v>
      </c>
      <c r="H147" s="99">
        <f>G147+'25'!H147</f>
        <v>11408</v>
      </c>
      <c r="I147" s="140"/>
      <c r="J147" s="328">
        <f>H147/DAY(B2)</f>
        <v>438.76923076923077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'25'!F148</f>
        <v>718009.84</v>
      </c>
      <c r="F148" s="164">
        <v>718340</v>
      </c>
      <c r="G148" s="433">
        <f t="shared" si="11"/>
        <v>330.1600000000326</v>
      </c>
      <c r="H148" s="99">
        <f>G148+'25'!H148</f>
        <v>9475.3199999999488</v>
      </c>
      <c r="I148" s="124"/>
      <c r="J148" s="328">
        <f>H148/DAY(B2)</f>
        <v>364.43538461538265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'25'!F149</f>
        <v>80200.03</v>
      </c>
      <c r="F149" s="416">
        <v>80918</v>
      </c>
      <c r="G149" s="433">
        <f t="shared" si="11"/>
        <v>717.97000000000116</v>
      </c>
      <c r="H149" s="99">
        <f>G149+'25'!H149</f>
        <v>17694.199999999997</v>
      </c>
      <c r="I149" s="119"/>
      <c r="J149" s="328">
        <f>H149/DAY(B2)</f>
        <v>680.54615384615374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'25'!F150</f>
        <v>29527.49</v>
      </c>
      <c r="F150" s="233">
        <v>29739.200000000001</v>
      </c>
      <c r="G150" s="433">
        <f t="shared" si="11"/>
        <v>211.70999999999913</v>
      </c>
      <c r="H150" s="99">
        <f>G150+'25'!H150</f>
        <v>5783.41</v>
      </c>
      <c r="I150" s="119"/>
      <c r="J150" s="328">
        <f>H150/DAY(B2)</f>
        <v>222.43884615384616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'25'!F151</f>
        <v>107695</v>
      </c>
      <c r="F151" s="233">
        <v>107999</v>
      </c>
      <c r="G151" s="433">
        <f t="shared" si="11"/>
        <v>304</v>
      </c>
      <c r="H151" s="99">
        <f>G151+'25'!H151</f>
        <v>7388</v>
      </c>
      <c r="I151" s="119"/>
      <c r="J151" s="328">
        <f>H151/DAY(B2)</f>
        <v>284.15384615384613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'25'!F152</f>
        <v>10628.6</v>
      </c>
      <c r="F152" s="233">
        <v>10683.27</v>
      </c>
      <c r="G152" s="433">
        <f t="shared" si="11"/>
        <v>54.670000000000073</v>
      </c>
      <c r="H152" s="99">
        <f>G152+'25'!H152</f>
        <v>2614.21</v>
      </c>
      <c r="I152" s="119"/>
      <c r="J152" s="328">
        <f>H152/DAY(B2)</f>
        <v>100.54653846153846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455">
        <f>SUM(G138:G152)</f>
        <v>2999.9999999999745</v>
      </c>
      <c r="H153" s="363"/>
      <c r="I153" s="119">
        <f>G153-(G38+G52)</f>
        <v>559.89999999999782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'25'!F155</f>
        <v>89567</v>
      </c>
      <c r="F155" s="760">
        <v>90129.87</v>
      </c>
      <c r="G155" s="433">
        <f t="shared" ref="G155:G158" si="12">F155-E155</f>
        <v>562.86999999999534</v>
      </c>
      <c r="H155" s="99">
        <f>G155+'25'!H155</f>
        <v>17359.369999999995</v>
      </c>
      <c r="I155" s="364"/>
      <c r="J155" s="328">
        <f>H155/DAY(B2)</f>
        <v>667.6680769230768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'25'!F156</f>
        <v>7420</v>
      </c>
      <c r="F156" s="157">
        <v>7476.46</v>
      </c>
      <c r="G156" s="433">
        <f t="shared" si="12"/>
        <v>56.460000000000036</v>
      </c>
      <c r="H156" s="99">
        <f>G156+'25'!H156</f>
        <v>1419.21</v>
      </c>
      <c r="I156" s="165"/>
      <c r="J156" s="328">
        <f>H156/DAY(B2)</f>
        <v>54.585000000000001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'25'!F157</f>
        <v>12966.55</v>
      </c>
      <c r="F157" s="155">
        <v>13073.22</v>
      </c>
      <c r="G157" s="433">
        <f t="shared" si="12"/>
        <v>106.67000000000007</v>
      </c>
      <c r="H157" s="99">
        <f>G157+'25'!H157</f>
        <v>800.21999999999935</v>
      </c>
      <c r="I157" s="165"/>
      <c r="J157" s="328">
        <f>H157/DAY(B2)</f>
        <v>30.777692307692284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'25'!F158</f>
        <v>100.19</v>
      </c>
      <c r="F158" s="155">
        <v>100.19</v>
      </c>
      <c r="G158" s="433">
        <f t="shared" si="12"/>
        <v>0</v>
      </c>
      <c r="H158" s="99">
        <f>G158+'25'!H158</f>
        <v>2.7199999999999989</v>
      </c>
      <c r="I158" s="165"/>
      <c r="J158" s="328">
        <f>H158/DAY(B2)</f>
        <v>0.10461538461538457</v>
      </c>
    </row>
    <row r="159" spans="1:10" ht="25.5">
      <c r="A159" s="957"/>
      <c r="B159" s="958"/>
      <c r="C159" s="959"/>
      <c r="D159" s="117"/>
      <c r="E159" s="95"/>
      <c r="F159" s="165"/>
      <c r="G159" s="433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474662</v>
      </c>
      <c r="F161" s="235">
        <v>474687</v>
      </c>
      <c r="G161" s="456">
        <f t="shared" ref="G161:G165" si="13">F161-E161</f>
        <v>25</v>
      </c>
      <c r="H161" s="99">
        <f>G161+'25'!H161</f>
        <v>846.27000000001863</v>
      </c>
      <c r="I161" s="236"/>
      <c r="J161" s="239">
        <f>H161/DAY(B2)</f>
        <v>32.548846153846867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91335.9</v>
      </c>
      <c r="F162" s="235">
        <v>91383</v>
      </c>
      <c r="G162" s="456">
        <f t="shared" si="13"/>
        <v>47.100000000005821</v>
      </c>
      <c r="H162" s="99">
        <f>G162+'25'!H162</f>
        <v>930.10000000000582</v>
      </c>
      <c r="I162" s="236"/>
      <c r="J162" s="239">
        <f>H162/DAY(B2)</f>
        <v>35.773076923077149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91199</v>
      </c>
      <c r="F163" s="235">
        <v>91339.3</v>
      </c>
      <c r="G163" s="456">
        <f t="shared" si="13"/>
        <v>140.30000000000291</v>
      </c>
      <c r="H163" s="99">
        <f>G163+'25'!H163</f>
        <v>4260.5</v>
      </c>
      <c r="I163" s="236"/>
      <c r="J163" s="239">
        <f>H163/DAY(B2)</f>
        <v>163.86538461538461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5125</v>
      </c>
      <c r="F164" s="235">
        <v>5135.2</v>
      </c>
      <c r="G164" s="456">
        <f t="shared" si="13"/>
        <v>10.199999999999818</v>
      </c>
      <c r="H164" s="99">
        <f>G164+'25'!H164</f>
        <v>322.80000000000018</v>
      </c>
      <c r="I164" s="236"/>
      <c r="J164" s="239">
        <f>H164/DAY(B2)</f>
        <v>12.415384615384623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30573.200000000001</v>
      </c>
      <c r="F165" s="235">
        <v>30585</v>
      </c>
      <c r="G165" s="456">
        <f t="shared" si="13"/>
        <v>11.799999999999272</v>
      </c>
      <c r="H165" s="99">
        <f>G165+'25'!H165</f>
        <v>229.4900000000016</v>
      </c>
      <c r="I165" s="236"/>
      <c r="J165" s="239">
        <f>H165/DAY(B2)</f>
        <v>8.8265384615385223</v>
      </c>
    </row>
    <row r="166" spans="1:10" ht="26.25">
      <c r="A166" s="938"/>
      <c r="B166" s="938"/>
      <c r="C166" s="246"/>
      <c r="D166" s="244" t="s">
        <v>180</v>
      </c>
      <c r="E166" s="95">
        <f>'25'!F166</f>
        <v>0</v>
      </c>
      <c r="F166" s="165"/>
      <c r="G166" s="453"/>
      <c r="H166" s="99">
        <f>G166+'25'!H166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'25'!F167</f>
        <v>0</v>
      </c>
      <c r="F167" s="165"/>
      <c r="G167" s="453"/>
      <c r="H167" s="99">
        <f>G167+'25'!H167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'25'!F168</f>
        <v>0</v>
      </c>
      <c r="F168" s="165"/>
      <c r="G168" s="453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457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'25'!F173</f>
        <v>8238</v>
      </c>
      <c r="F173" s="155">
        <v>8240</v>
      </c>
      <c r="G173" s="457">
        <f>F173-E173</f>
        <v>2</v>
      </c>
      <c r="H173" s="99">
        <f>G173+'25'!H173</f>
        <v>98</v>
      </c>
      <c r="I173" s="155"/>
      <c r="J173" s="178">
        <f>H173/DAY(B2)</f>
        <v>3.7692307692307692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'25'!F174</f>
        <v>39855</v>
      </c>
      <c r="F174" s="157">
        <v>39871</v>
      </c>
      <c r="G174" s="457">
        <f t="shared" ref="G174:G175" si="14">F174-E174</f>
        <v>16</v>
      </c>
      <c r="H174" s="99">
        <f>G174+'25'!H174</f>
        <v>409</v>
      </c>
      <c r="I174" s="155"/>
      <c r="J174" s="178">
        <f>H174/DAY(B2)</f>
        <v>15.73076923076923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'25'!F175</f>
        <v>22831</v>
      </c>
      <c r="F175" s="155">
        <v>22842</v>
      </c>
      <c r="G175" s="457">
        <f t="shared" si="14"/>
        <v>11</v>
      </c>
      <c r="H175" s="99">
        <f>G175+'25'!H175</f>
        <v>320</v>
      </c>
      <c r="I175" s="155"/>
      <c r="J175" s="178">
        <f>H175/DAY(B2)</f>
        <v>12.307692307692308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457">
        <f>SUM(G173:G175)</f>
        <v>29</v>
      </c>
      <c r="H176" s="99">
        <f>G176+'25'!H176</f>
        <v>827</v>
      </c>
      <c r="I176" s="155"/>
      <c r="J176" s="178">
        <f>H176/DAY(B2)</f>
        <v>31.807692307692307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457"/>
      <c r="H177" s="99">
        <f>G177+'25'!H177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'25'!F178</f>
        <v>88090</v>
      </c>
      <c r="F178" s="155">
        <v>88220</v>
      </c>
      <c r="G178" s="457">
        <f>F178-E178</f>
        <v>130</v>
      </c>
      <c r="H178" s="99">
        <f>G178+'25'!H178</f>
        <v>2604</v>
      </c>
      <c r="I178" s="155"/>
      <c r="J178" s="178">
        <f>H178/DAY(B2)</f>
        <v>100.15384615384616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'25'!F179</f>
        <v>35765</v>
      </c>
      <c r="F179" s="155">
        <v>35768</v>
      </c>
      <c r="G179" s="457">
        <f t="shared" ref="G179:G180" si="15">F179-E179</f>
        <v>3</v>
      </c>
      <c r="H179" s="99">
        <f>G179+'25'!H179</f>
        <v>154</v>
      </c>
      <c r="I179" s="155"/>
      <c r="J179" s="178">
        <f>H179/DAY(B2)</f>
        <v>5.9230769230769234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'25'!F180</f>
        <v>6335</v>
      </c>
      <c r="F180" s="155">
        <v>6342</v>
      </c>
      <c r="G180" s="457">
        <f t="shared" si="15"/>
        <v>7</v>
      </c>
      <c r="H180" s="99">
        <f>G180+'25'!H180</f>
        <v>209</v>
      </c>
      <c r="I180" s="155"/>
      <c r="J180" s="178">
        <f>H180/DAY(B2)</f>
        <v>8.0384615384615383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457">
        <f>SUM(G178:G180)</f>
        <v>140</v>
      </c>
      <c r="H181" s="99">
        <f>G181+'25'!H181</f>
        <v>2967</v>
      </c>
      <c r="I181" s="155"/>
      <c r="J181" s="178">
        <f>H181/DAY(B2)</f>
        <v>114.11538461538461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457"/>
      <c r="H182" s="99">
        <f>G182+'25'!H182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'25'!F183</f>
        <v>16534</v>
      </c>
      <c r="F183" s="157">
        <v>16565</v>
      </c>
      <c r="G183" s="458">
        <f>F183-E183</f>
        <v>31</v>
      </c>
      <c r="H183" s="99">
        <f>G183+'25'!H183</f>
        <v>423</v>
      </c>
      <c r="I183" s="155"/>
      <c r="J183" s="178">
        <f>H183/DAY(B2)</f>
        <v>16.26923076923077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'25'!F184</f>
        <v>11238</v>
      </c>
      <c r="F184" s="157">
        <v>11245</v>
      </c>
      <c r="G184" s="458">
        <f t="shared" ref="G184:G185" si="16">F184-E184</f>
        <v>7</v>
      </c>
      <c r="H184" s="99">
        <f>G184+'25'!H184</f>
        <v>196</v>
      </c>
      <c r="I184" s="155"/>
      <c r="J184" s="178">
        <f>H184/DAY(B2)</f>
        <v>7.5384615384615383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'25'!F185</f>
        <v>0</v>
      </c>
      <c r="F185" s="157"/>
      <c r="G185" s="458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458">
        <f>SUM(G183:G185)</f>
        <v>38</v>
      </c>
      <c r="H186" s="99">
        <f>G186+'25'!H186</f>
        <v>619</v>
      </c>
      <c r="I186" s="157"/>
      <c r="J186" s="178">
        <f>H186/DAY(B2)</f>
        <v>23.807692307692307</v>
      </c>
    </row>
    <row r="187" spans="1:10" ht="25.5">
      <c r="A187" s="946" t="s">
        <v>217</v>
      </c>
      <c r="B187" s="947"/>
      <c r="C187" s="333"/>
      <c r="D187" s="228" t="s">
        <v>142</v>
      </c>
      <c r="E187" s="95">
        <f>'25'!F187</f>
        <v>0</v>
      </c>
      <c r="F187" s="159"/>
      <c r="G187" s="459">
        <f>G62+G19</f>
        <v>225</v>
      </c>
      <c r="H187" s="99">
        <f>G187+'25'!H187</f>
        <v>5976</v>
      </c>
      <c r="I187" s="158"/>
      <c r="J187" s="179">
        <f>H187/DAY(B2)</f>
        <v>229.84615384615384</v>
      </c>
    </row>
    <row r="188" spans="1:10" ht="25.5">
      <c r="A188" s="946" t="s">
        <v>218</v>
      </c>
      <c r="B188" s="947"/>
      <c r="C188" s="333"/>
      <c r="D188" s="228" t="s">
        <v>142</v>
      </c>
      <c r="E188" s="95">
        <f>'25'!F188</f>
        <v>0</v>
      </c>
      <c r="F188" s="159"/>
      <c r="G188" s="459">
        <f>G65+G66+G67+G69+G70</f>
        <v>261</v>
      </c>
      <c r="H188" s="99">
        <f>G188+'25'!H188</f>
        <v>2827</v>
      </c>
      <c r="I188" s="158"/>
      <c r="J188" s="179">
        <f>H188/DAY(B2)</f>
        <v>108.73076923076923</v>
      </c>
    </row>
    <row r="189" spans="1:10" ht="25.5">
      <c r="A189" s="946" t="s">
        <v>219</v>
      </c>
      <c r="B189" s="947"/>
      <c r="C189" s="333"/>
      <c r="D189" s="228" t="s">
        <v>142</v>
      </c>
      <c r="E189" s="95">
        <f>'25'!F189</f>
        <v>0</v>
      </c>
      <c r="F189" s="157"/>
      <c r="G189" s="459">
        <f>G181</f>
        <v>140</v>
      </c>
      <c r="H189" s="99">
        <f>G189+'25'!H189</f>
        <v>946</v>
      </c>
      <c r="I189" s="158"/>
      <c r="J189" s="179">
        <f>H189/DAY(B2)</f>
        <v>36.384615384615387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759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7" sqref="F7:F1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303</v>
      </c>
      <c r="B2" s="262">
        <v>44678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715541</v>
      </c>
      <c r="F7" s="95">
        <v>742889</v>
      </c>
      <c r="G7" s="112">
        <f>F7-E7</f>
        <v>27348</v>
      </c>
      <c r="H7" s="99">
        <f>G7+'26'!H7</f>
        <v>756166</v>
      </c>
      <c r="I7" s="113">
        <f>'1'!I7</f>
        <v>12000</v>
      </c>
      <c r="J7" s="175">
        <f>H7/DAY(B2)</f>
        <v>28006.14814814815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801570</v>
      </c>
      <c r="F8" s="114">
        <v>829330</v>
      </c>
      <c r="G8" s="115">
        <f>F8-E8</f>
        <v>27760</v>
      </c>
      <c r="H8" s="99">
        <f>G8+'26'!H8</f>
        <v>771283.78</v>
      </c>
      <c r="I8" s="116"/>
      <c r="J8" s="175">
        <f>H8/DAY(B2)</f>
        <v>28566.065925925926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1795884.1</v>
      </c>
      <c r="F9" s="470">
        <v>1819514</v>
      </c>
      <c r="G9" s="112">
        <f>F9-E9</f>
        <v>23629.899999999907</v>
      </c>
      <c r="H9" s="99">
        <f>G9+'26'!H9</f>
        <v>551839</v>
      </c>
      <c r="I9" s="124">
        <f>I7-J7</f>
        <v>-16006.14814814815</v>
      </c>
      <c r="J9" s="175">
        <f>H9/DAY(B2)</f>
        <v>20438.481481481482</v>
      </c>
      <c r="K9" s="79">
        <f>K8-100</f>
        <v>1715817</v>
      </c>
      <c r="L9" s="66"/>
      <c r="N9" s="87"/>
      <c r="O9" s="71">
        <f>G8-G7</f>
        <v>412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598556.55000000005</v>
      </c>
      <c r="F10" s="353">
        <v>601463</v>
      </c>
      <c r="G10" s="112">
        <f t="shared" ref="G10:G12" si="0">F10-E10</f>
        <v>2906.4499999999534</v>
      </c>
      <c r="H10" s="99">
        <f>G10+'26'!H10</f>
        <v>183187.53000000003</v>
      </c>
      <c r="I10" s="282"/>
      <c r="J10" s="175">
        <f>H10/DAY(B2)</f>
        <v>6784.7233333333343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26536.34999999986</v>
      </c>
      <c r="H13" s="99">
        <f>G13+'26'!H13</f>
        <v>735027</v>
      </c>
      <c r="I13" s="120">
        <f>G7-G13</f>
        <v>811.6500000001397</v>
      </c>
      <c r="J13" s="175">
        <f>H13/DAY(B2)</f>
        <v>27223.222222222223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'26'!F15</f>
        <v>1999357</v>
      </c>
      <c r="F15" s="470">
        <v>2000418</v>
      </c>
      <c r="G15" s="112">
        <f>(F15-E15)</f>
        <v>1061</v>
      </c>
      <c r="H15" s="99">
        <f>G15+'26'!H15</f>
        <v>29481</v>
      </c>
      <c r="I15" s="113">
        <f>'1'!I15</f>
        <v>800</v>
      </c>
      <c r="J15" s="175">
        <f>H15/DAY(B2)</f>
        <v>1091.8888888888889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-291.88888888888891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'26'!F18</f>
        <v>28</v>
      </c>
      <c r="F18" s="122">
        <v>23</v>
      </c>
      <c r="G18" s="119">
        <f>F18*10</f>
        <v>230</v>
      </c>
      <c r="H18" s="99">
        <f>G18+'26'!H18</f>
        <v>6790</v>
      </c>
      <c r="I18" s="113">
        <f>'1'!I18</f>
        <v>65</v>
      </c>
      <c r="J18" s="175">
        <f>H18/DAY(B2)</f>
        <v>251.4814814814815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'26'!F19</f>
        <v>158251</v>
      </c>
      <c r="F19" s="122">
        <v>158301</v>
      </c>
      <c r="G19" s="112">
        <f t="shared" ref="G19" si="1">F19-E19</f>
        <v>50</v>
      </c>
      <c r="H19" s="99">
        <f>G19+'26'!H19</f>
        <v>1312</v>
      </c>
      <c r="I19" s="335"/>
      <c r="J19" s="175">
        <f>H19/DAY(B2)</f>
        <v>48.592592592592595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G20+'26'!H20</f>
        <v>8102</v>
      </c>
      <c r="I20" s="336">
        <f>I18-J20</f>
        <v>-235.07407407407408</v>
      </c>
      <c r="J20" s="175">
        <f>H20/DAY(B2)</f>
        <v>300.07407407407408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27760</v>
      </c>
      <c r="F27" s="136">
        <v>9</v>
      </c>
      <c r="G27" s="137">
        <f>E27*F27</f>
        <v>249840</v>
      </c>
      <c r="H27" s="99">
        <f>G27+'26'!H27</f>
        <v>6941554.0199999996</v>
      </c>
      <c r="I27" s="138"/>
      <c r="J27" s="175">
        <f>H27/DAY(B2)</f>
        <v>257094.59333333332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1061</v>
      </c>
      <c r="F28" s="136">
        <v>70</v>
      </c>
      <c r="G28" s="137">
        <f>E28*F28</f>
        <v>74270</v>
      </c>
      <c r="H28" s="99">
        <f>G28+'26'!H28</f>
        <v>1964952.419999999</v>
      </c>
      <c r="I28" s="140"/>
      <c r="J28" s="175">
        <f>H28/DAY(B2)</f>
        <v>72776.015555555525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196952</v>
      </c>
      <c r="I30" s="140"/>
      <c r="J30" s="175">
        <f>H30/DAY(B2)</f>
        <v>7294.5185185185182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G31+'26'!H31</f>
        <v>543200</v>
      </c>
      <c r="I31" s="140"/>
      <c r="J31" s="175">
        <f>H31/DAY(B2)</f>
        <v>20118.518518518518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350060</v>
      </c>
      <c r="H32" s="99">
        <f>G32+'26'!H32</f>
        <v>9646658.4399999995</v>
      </c>
      <c r="I32" s="144"/>
      <c r="J32" s="175">
        <f>H32/DAY(B2)</f>
        <v>357283.64592592593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194028.89</v>
      </c>
      <c r="F35" s="145">
        <v>196098</v>
      </c>
      <c r="G35" s="112">
        <f t="shared" ref="G35:G46" si="3">F35-E35</f>
        <v>2069.109999999986</v>
      </c>
      <c r="H35" s="99">
        <f>G35+'26'!H35</f>
        <v>57818.790000000008</v>
      </c>
      <c r="I35" s="95"/>
      <c r="J35" s="175">
        <f>H35/DAY(B2)</f>
        <v>2141.436666666667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127293.85</v>
      </c>
      <c r="F36" s="145">
        <v>128352</v>
      </c>
      <c r="G36" s="112">
        <f t="shared" si="3"/>
        <v>1058.1499999999942</v>
      </c>
      <c r="H36" s="99">
        <f>G36+'26'!H36</f>
        <v>27831.339999999997</v>
      </c>
      <c r="I36" s="95"/>
      <c r="J36" s="175">
        <f>H36/DAY(B2)</f>
        <v>1030.7903703703703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176113.63</v>
      </c>
      <c r="F37" s="145">
        <v>177865</v>
      </c>
      <c r="G37" s="112">
        <f t="shared" si="3"/>
        <v>1751.3699999999953</v>
      </c>
      <c r="H37" s="99">
        <f>G37+'26'!H37</f>
        <v>44939.98000000001</v>
      </c>
      <c r="I37" s="95"/>
      <c r="J37" s="175">
        <f>H37/DAY(B2)</f>
        <v>1664.4437037037042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233719.05</v>
      </c>
      <c r="F38" s="108">
        <v>236179</v>
      </c>
      <c r="G38" s="112">
        <f t="shared" si="3"/>
        <v>2459.9500000000116</v>
      </c>
      <c r="H38" s="99">
        <f>G38+'26'!H38</f>
        <v>66069.63</v>
      </c>
      <c r="I38" s="95"/>
      <c r="J38" s="175">
        <f>H38/DAY(B2)</f>
        <v>2447.0233333333335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328480.33</v>
      </c>
      <c r="F39" s="145">
        <v>331340</v>
      </c>
      <c r="G39" s="112">
        <f t="shared" si="3"/>
        <v>2859.6699999999837</v>
      </c>
      <c r="H39" s="99">
        <f>G39+'26'!H39</f>
        <v>87186.57</v>
      </c>
      <c r="I39" s="95"/>
      <c r="J39" s="175">
        <f>H39/DAY(B2)</f>
        <v>3229.1322222222225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61882.5</v>
      </c>
      <c r="F40" s="145">
        <v>62655</v>
      </c>
      <c r="G40" s="112">
        <f t="shared" si="3"/>
        <v>772.5</v>
      </c>
      <c r="H40" s="99">
        <f>G40+'26'!H40</f>
        <v>13503.14</v>
      </c>
      <c r="I40" s="95"/>
      <c r="J40" s="175">
        <f>H40/DAY(B2)</f>
        <v>500.1162962962963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11897.9</v>
      </c>
      <c r="F41" s="145">
        <v>15324</v>
      </c>
      <c r="G41" s="112">
        <f t="shared" si="3"/>
        <v>3426.1000000000004</v>
      </c>
      <c r="H41" s="99">
        <f>G41+'26'!H41</f>
        <v>15261</v>
      </c>
      <c r="I41" s="95"/>
      <c r="J41" s="175">
        <f>H41/DAY(B2)</f>
        <v>565.22222222222217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405100.47</v>
      </c>
      <c r="F42" s="145">
        <v>410808</v>
      </c>
      <c r="G42" s="112">
        <f t="shared" si="3"/>
        <v>5707.5300000000279</v>
      </c>
      <c r="H42" s="99">
        <f>G42+'26'!H42</f>
        <v>129450.75</v>
      </c>
      <c r="I42" s="95"/>
      <c r="J42" s="175">
        <f>H42/DAY(B2)</f>
        <v>4794.4722222222226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344069.43</v>
      </c>
      <c r="F43" s="145">
        <v>347365</v>
      </c>
      <c r="G43" s="112">
        <f t="shared" si="3"/>
        <v>3295.570000000007</v>
      </c>
      <c r="H43" s="99">
        <f>G43+'26'!H43</f>
        <v>88610.53</v>
      </c>
      <c r="I43" s="95"/>
      <c r="J43" s="175">
        <f>H43/DAY(B2)</f>
        <v>3281.8714814814816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23399.950000000004</v>
      </c>
      <c r="H47" s="99">
        <f>G47+'26'!H47</f>
        <v>530671.72999999986</v>
      </c>
      <c r="I47" s="95"/>
      <c r="J47" s="175">
        <f>H47/DAY(B2)</f>
        <v>19654.508518518513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157897.81</v>
      </c>
      <c r="F49" s="145">
        <v>159662</v>
      </c>
      <c r="G49" s="112">
        <f t="shared" ref="G49:G58" si="4">F49-E49</f>
        <v>1764.1900000000023</v>
      </c>
      <c r="H49" s="99">
        <f>G49+'26'!H49</f>
        <v>49159.8</v>
      </c>
      <c r="I49" s="95"/>
      <c r="J49" s="175">
        <f>H49/DAY(B2)</f>
        <v>1820.7333333333333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166694.20000000001</v>
      </c>
      <c r="F50" s="145">
        <v>167800</v>
      </c>
      <c r="G50" s="112">
        <f t="shared" si="4"/>
        <v>1105.7999999999884</v>
      </c>
      <c r="H50" s="99">
        <f>G50+'26'!H50</f>
        <v>36589.859999999986</v>
      </c>
      <c r="I50" s="95"/>
      <c r="J50" s="175">
        <f>H50/DAY(B2)</f>
        <v>1355.1799999999994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48179.7</v>
      </c>
      <c r="F54" s="145">
        <v>48654</v>
      </c>
      <c r="G54" s="112">
        <f t="shared" si="4"/>
        <v>474.30000000000291</v>
      </c>
      <c r="H54" s="99">
        <f>G54+'26'!H54</f>
        <v>12982.940000000002</v>
      </c>
      <c r="I54" s="95"/>
      <c r="J54" s="175">
        <f>H54/DAY(B2)</f>
        <v>480.8496296296297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142509.01</v>
      </c>
      <c r="F55" s="145">
        <v>142509</v>
      </c>
      <c r="G55" s="112">
        <f t="shared" si="4"/>
        <v>-1.0000000009313226E-2</v>
      </c>
      <c r="H55" s="99">
        <f>G55+'26'!H55</f>
        <v>30027.97</v>
      </c>
      <c r="I55" s="95"/>
      <c r="J55" s="175">
        <f>H55/DAY(B2)</f>
        <v>1112.1470370370371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107245.66</v>
      </c>
      <c r="F56" s="145">
        <v>107246</v>
      </c>
      <c r="G56" s="112">
        <f t="shared" si="4"/>
        <v>0.33999999999650754</v>
      </c>
      <c r="H56" s="99">
        <f>G56+'26'!H56</f>
        <v>35628.320000000007</v>
      </c>
      <c r="I56" s="95"/>
      <c r="J56" s="175">
        <f>H56/DAY(B2)</f>
        <v>1319.5674074074077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24591.360000000001</v>
      </c>
      <c r="F58" s="145">
        <v>24807</v>
      </c>
      <c r="G58" s="112">
        <f t="shared" si="4"/>
        <v>215.63999999999942</v>
      </c>
      <c r="H58" s="99">
        <f>G58+'26'!H58</f>
        <v>6352.7999999999993</v>
      </c>
      <c r="I58" s="95"/>
      <c r="J58" s="175">
        <f>H58/DAY(B2)</f>
        <v>235.28888888888886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3560.2599999999802</v>
      </c>
      <c r="H59" s="99">
        <f>G59+'26'!H59</f>
        <v>170742.00999999998</v>
      </c>
      <c r="I59" s="95">
        <f>G7-G60</f>
        <v>387.79000000001543</v>
      </c>
      <c r="J59" s="175">
        <f>H59/DAY(B2)</f>
        <v>6323.778148148147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26960.209999999985</v>
      </c>
      <c r="H60" s="99">
        <f>G60+'26'!H60</f>
        <v>701413.73999999987</v>
      </c>
      <c r="I60" s="95">
        <f>G13-G60</f>
        <v>-423.86000000012427</v>
      </c>
      <c r="J60" s="175">
        <f>H60/DAY(B2)</f>
        <v>25978.286666666663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'26'!F62</f>
        <v>283340</v>
      </c>
      <c r="F62" s="122">
        <v>283502</v>
      </c>
      <c r="G62" s="112">
        <f t="shared" ref="G62:G63" si="5">F62-E62</f>
        <v>162</v>
      </c>
      <c r="H62" s="99">
        <f>G62+'26'!H62</f>
        <v>4876</v>
      </c>
      <c r="I62" s="118"/>
      <c r="J62" s="175">
        <f>H62/DAY(B2)</f>
        <v>180.59259259259258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'26'!F63</f>
        <v>226951</v>
      </c>
      <c r="F63" s="122">
        <v>227097</v>
      </c>
      <c r="G63" s="112">
        <f t="shared" si="5"/>
        <v>146</v>
      </c>
      <c r="H63" s="99">
        <f>G63+'26'!H63</f>
        <v>4016</v>
      </c>
      <c r="I63" s="118"/>
      <c r="J63" s="175">
        <f>H63/DAY(B2)</f>
        <v>148.74074074074073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'26'!F64</f>
        <v>0</v>
      </c>
      <c r="F64" s="122"/>
      <c r="G64" s="112">
        <f>G62+G63</f>
        <v>308</v>
      </c>
      <c r="H64" s="99">
        <f>G64+'26'!H64</f>
        <v>8892</v>
      </c>
      <c r="I64" s="118"/>
      <c r="J64" s="175">
        <f>H64/DAY(B2)</f>
        <v>329.33333333333331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'26'!F65</f>
        <v>444131</v>
      </c>
      <c r="F65" s="122">
        <v>444247</v>
      </c>
      <c r="G65" s="112">
        <f t="shared" ref="G65:G70" si="6">F65-E65</f>
        <v>116</v>
      </c>
      <c r="H65" s="99">
        <f>G65+'26'!H65</f>
        <v>3116</v>
      </c>
      <c r="I65" s="118"/>
      <c r="J65" s="175">
        <f>H65/DAY(B2)</f>
        <v>115.4074074074074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109508</v>
      </c>
      <c r="F66" s="122">
        <v>109520</v>
      </c>
      <c r="G66" s="112">
        <f t="shared" si="6"/>
        <v>12</v>
      </c>
      <c r="H66" s="99">
        <f>G66+'26'!H66</f>
        <v>450</v>
      </c>
      <c r="I66" s="118"/>
      <c r="J66" s="175">
        <f>H66/DAY(B2)</f>
        <v>16.666666666666668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110590</v>
      </c>
      <c r="F67" s="122">
        <v>110668</v>
      </c>
      <c r="G67" s="112">
        <f t="shared" si="6"/>
        <v>78</v>
      </c>
      <c r="H67" s="99">
        <f>G67+'26'!H67</f>
        <v>2075</v>
      </c>
      <c r="I67" s="118"/>
      <c r="J67" s="175">
        <f>H67/DAY(B2)</f>
        <v>76.851851851851848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161646</v>
      </c>
      <c r="F68" s="122">
        <v>161701</v>
      </c>
      <c r="G68" s="112">
        <f t="shared" si="6"/>
        <v>55</v>
      </c>
      <c r="H68" s="99">
        <f>G68+'26'!H68</f>
        <v>1288</v>
      </c>
      <c r="I68" s="118"/>
      <c r="J68" s="175">
        <f>H68/DAY(B2)</f>
        <v>47.703703703703702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11553</v>
      </c>
      <c r="F69" s="122">
        <v>11569</v>
      </c>
      <c r="G69" s="112">
        <f t="shared" si="6"/>
        <v>16</v>
      </c>
      <c r="H69" s="99">
        <f>G69+'26'!H69</f>
        <v>368</v>
      </c>
      <c r="I69" s="118"/>
      <c r="J69" s="175">
        <f>H69/DAY(B2)</f>
        <v>13.62962962962963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8969</v>
      </c>
      <c r="F70" s="122">
        <v>8978</v>
      </c>
      <c r="G70" s="112">
        <f t="shared" si="6"/>
        <v>9</v>
      </c>
      <c r="H70" s="99">
        <f>G70+'26'!H70</f>
        <v>250</v>
      </c>
      <c r="I70" s="118"/>
      <c r="J70" s="175">
        <f>H70/DAY(B2)</f>
        <v>9.2592592592592595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286</v>
      </c>
      <c r="H71" s="99">
        <f>G71+'26'!H71</f>
        <v>7547</v>
      </c>
      <c r="I71" s="154"/>
      <c r="J71" s="175">
        <f>H71/DAY(B2)</f>
        <v>279.51851851851853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'26'!F74</f>
        <v>927483</v>
      </c>
      <c r="F74" s="117">
        <v>927800</v>
      </c>
      <c r="G74" s="112">
        <f t="shared" ref="G74:G78" si="7">F74-E74</f>
        <v>317</v>
      </c>
      <c r="H74" s="99">
        <f>G74+'26'!H74</f>
        <v>8475.4899999999907</v>
      </c>
      <c r="I74" s="154"/>
      <c r="J74" s="175">
        <f>H74/DAY(B2)</f>
        <v>313.90703703703667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'26'!F76</f>
        <v>179659</v>
      </c>
      <c r="F76" s="123">
        <v>179780</v>
      </c>
      <c r="G76" s="112">
        <f t="shared" si="7"/>
        <v>121</v>
      </c>
      <c r="H76" s="99">
        <f>G76+'26'!H76</f>
        <v>3193</v>
      </c>
      <c r="I76" s="154"/>
      <c r="J76" s="175">
        <f>H76/DAY(B2)</f>
        <v>118.25925925925925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'26'!F77</f>
        <v>45466</v>
      </c>
      <c r="F77" s="123">
        <v>45512</v>
      </c>
      <c r="G77" s="112">
        <f t="shared" si="7"/>
        <v>46</v>
      </c>
      <c r="H77" s="99">
        <f>G77+'26'!H77</f>
        <v>1349</v>
      </c>
      <c r="I77" s="154"/>
      <c r="J77" s="175">
        <f>H77/DAY(B2)</f>
        <v>49.962962962962962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'26'!F78</f>
        <v>9563.4</v>
      </c>
      <c r="F78" s="123">
        <v>9563</v>
      </c>
      <c r="G78" s="112">
        <f t="shared" si="7"/>
        <v>-0.3999999999996362</v>
      </c>
      <c r="H78" s="99">
        <f>G78+'26'!H78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'26'!F79</f>
        <v>0</v>
      </c>
      <c r="F79" s="123"/>
      <c r="G79" s="112">
        <f>G15-SUM(G74:G78)</f>
        <v>577.39999999999964</v>
      </c>
      <c r="H79" s="99">
        <f>G79+'26'!H79</f>
        <v>16463.510000000009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1061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41729.300000000003</v>
      </c>
      <c r="F84" s="164">
        <v>41744</v>
      </c>
      <c r="G84" s="112">
        <f t="shared" si="8"/>
        <v>14.69999999999709</v>
      </c>
      <c r="H84" s="99">
        <f>G84+'26'!H84</f>
        <v>69</v>
      </c>
      <c r="I84" s="594"/>
      <c r="J84" s="175">
        <f>H84/DAY(B2)</f>
        <v>2.5555555555555554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3693.4</v>
      </c>
      <c r="F85" s="164">
        <v>3717</v>
      </c>
      <c r="G85" s="112">
        <f t="shared" si="8"/>
        <v>23.599999999999909</v>
      </c>
      <c r="H85" s="99">
        <f>G85+'26'!H85</f>
        <v>558.5</v>
      </c>
      <c r="I85" s="594"/>
      <c r="J85" s="175">
        <f>H85/DAY(B2)</f>
        <v>20.685185185185187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43924.480000000003</v>
      </c>
      <c r="F86" s="164">
        <v>43924.480000000003</v>
      </c>
      <c r="G86" s="112">
        <f t="shared" si="8"/>
        <v>0</v>
      </c>
      <c r="H86" s="99">
        <f>G86+'26'!H86</f>
        <v>204.08000000000175</v>
      </c>
      <c r="I86" s="594"/>
      <c r="J86" s="175">
        <f>H86/DAY(B2)</f>
        <v>7.558518518518583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35329</v>
      </c>
      <c r="F87" s="164">
        <v>35329</v>
      </c>
      <c r="G87" s="112">
        <f t="shared" si="8"/>
        <v>0</v>
      </c>
      <c r="H87" s="99">
        <f>G87+'26'!H87</f>
        <v>248.65000000000146</v>
      </c>
      <c r="I87" s="594">
        <f>G84+G85+G86+G87</f>
        <v>38.299999999996999</v>
      </c>
      <c r="J87" s="175">
        <f>H87/DAY(B2)</f>
        <v>9.2092592592593139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24187.01</v>
      </c>
      <c r="F88" s="164">
        <v>24187</v>
      </c>
      <c r="G88" s="112">
        <f t="shared" si="8"/>
        <v>-9.9999999983992893E-3</v>
      </c>
      <c r="H88" s="99">
        <f>G88+'26'!H88</f>
        <v>77.599999999998545</v>
      </c>
      <c r="I88" s="594"/>
      <c r="J88" s="175">
        <f>H88/DAY(B2)</f>
        <v>2.87407407407402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26671.599999999999</v>
      </c>
      <c r="F89" s="164">
        <v>26680.59</v>
      </c>
      <c r="G89" s="112">
        <f t="shared" si="8"/>
        <v>8.9900000000016007</v>
      </c>
      <c r="H89" s="99">
        <f>G89+'26'!H89</f>
        <v>208.79999999999927</v>
      </c>
      <c r="I89" s="594">
        <f>G88+G89</f>
        <v>8.9800000000032014</v>
      </c>
      <c r="J89" s="175">
        <f>H89/DAY(B2)</f>
        <v>7.7333333333333067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71825.86</v>
      </c>
      <c r="F90" s="164">
        <v>71835.39</v>
      </c>
      <c r="G90" s="112">
        <f t="shared" si="8"/>
        <v>9.5299999999988358</v>
      </c>
      <c r="H90" s="99">
        <v>23</v>
      </c>
      <c r="I90" s="594">
        <f>G90</f>
        <v>9.5299999999988358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4011.55</v>
      </c>
      <c r="F91" s="122">
        <v>4023.5</v>
      </c>
      <c r="G91" s="112">
        <f t="shared" si="8"/>
        <v>11.949999999999818</v>
      </c>
      <c r="H91" s="99">
        <f>G91+'26'!H91</f>
        <v>113.75</v>
      </c>
      <c r="I91" s="688"/>
      <c r="J91" s="175">
        <f>H91/DAY(B2)</f>
        <v>4.2129629629629628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5934.87</v>
      </c>
      <c r="F92" s="122">
        <v>5934.87</v>
      </c>
      <c r="G92" s="112">
        <f t="shared" si="8"/>
        <v>0</v>
      </c>
      <c r="H92" s="99">
        <f>G92+'26'!H92</f>
        <v>187.56999999999971</v>
      </c>
      <c r="I92" s="705">
        <f>G91+G92</f>
        <v>11.949999999999818</v>
      </c>
      <c r="J92" s="175">
        <f>H92/DAY(B2)</f>
        <v>6.9470370370370267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7128.8699999999953</v>
      </c>
      <c r="H94" s="99">
        <f>G94+'26'!H94</f>
        <v>195589.12</v>
      </c>
      <c r="I94" s="118"/>
      <c r="J94" s="175">
        <f>H94/DAY(B2)</f>
        <v>7244.0414814814812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0.26067244405440965</v>
      </c>
      <c r="H95" s="99">
        <f>G95+'26'!H95</f>
        <v>6.987569652140964</v>
      </c>
      <c r="I95" s="167"/>
      <c r="J95" s="175">
        <f>H95/DAY(B2)</f>
        <v>0.25879887600522089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9133.9600000000155</v>
      </c>
      <c r="H96" s="99">
        <f>G96+'26'!H96</f>
        <v>210368.04</v>
      </c>
      <c r="I96" s="118"/>
      <c r="J96" s="175">
        <f>H96/DAY(B2)</f>
        <v>7791.4088888888891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0.33399005411730348</v>
      </c>
      <c r="H97" s="99">
        <f>G97+'26'!H97</f>
        <v>7.4961822988985229</v>
      </c>
      <c r="I97" s="167"/>
      <c r="J97" s="175">
        <f>H97/DAY(B2)</f>
        <v>0.27763638144068603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2859.6699999999837</v>
      </c>
      <c r="H98" s="99">
        <f>G98+'26'!H98</f>
        <v>87186.57</v>
      </c>
      <c r="I98" s="168"/>
      <c r="J98" s="175">
        <f>H98/DAY(B2)</f>
        <v>3229.1322222222225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0.10456596460435805</v>
      </c>
      <c r="H99" s="99">
        <f>G99+'26'!H99</f>
        <v>3.1189133205121569</v>
      </c>
      <c r="I99" s="168"/>
      <c r="J99" s="175">
        <f>H99/DAY(B2)</f>
        <v>0.11551530816711691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2459.9500000000116</v>
      </c>
      <c r="H100" s="99">
        <f>G100+'26'!H100</f>
        <v>66069.63</v>
      </c>
      <c r="I100" s="118"/>
      <c r="J100" s="175">
        <f>H100/DAY(B2)</f>
        <v>2447.0233333333335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8.9949904929062879E-2</v>
      </c>
      <c r="H101" s="99">
        <f>G101+'26'!H101</f>
        <v>2.3635286879295263</v>
      </c>
      <c r="I101" s="168"/>
      <c r="J101" s="175">
        <f>H101/DAY(B2)</f>
        <v>8.753809955294542E-2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2163.9499999999825</v>
      </c>
      <c r="H102" s="99">
        <f>G102+'26'!H102</f>
        <v>64421.199999999983</v>
      </c>
      <c r="I102" s="168"/>
      <c r="J102" s="175">
        <f>H102/DAY(B2)</f>
        <v>2385.9703703703699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7.9126444346935151E-2</v>
      </c>
      <c r="H103" s="99">
        <f>G103+'26'!H103</f>
        <v>2.2976171983153053</v>
      </c>
      <c r="I103" s="118"/>
      <c r="J103" s="175">
        <f>H103/DAY(B2)</f>
        <v>8.5096933270937231E-2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1751.3699999999953</v>
      </c>
      <c r="H104" s="99">
        <f>G104+'26'!H104</f>
        <v>44940.30000000001</v>
      </c>
      <c r="I104" s="118"/>
      <c r="J104" s="175">
        <f>H104/DAY(B2)</f>
        <v>1664.455555555556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6.4040149188240289E-2</v>
      </c>
      <c r="H105" s="99">
        <f>G105+'26'!H105</f>
        <v>1.6058982539143773</v>
      </c>
      <c r="I105" s="187"/>
      <c r="J105" s="188">
        <f>H105/DAY(B2)</f>
        <v>5.9477713107939902E-2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f>'26'!F112</f>
        <v>259</v>
      </c>
      <c r="F112" s="237">
        <v>344</v>
      </c>
      <c r="G112" s="112">
        <f t="shared" ref="G112:G123" si="9">F112-E112</f>
        <v>85</v>
      </c>
      <c r="H112" s="99">
        <f>G112+'26'!H112</f>
        <v>2120.4700000000012</v>
      </c>
      <c r="I112" s="165"/>
      <c r="J112" s="328">
        <f>H112/DAY(B2)</f>
        <v>78.535925925925966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f>'26'!F113</f>
        <v>628.14</v>
      </c>
      <c r="F113" s="237">
        <v>1012</v>
      </c>
      <c r="G113" s="112">
        <f t="shared" si="9"/>
        <v>383.86</v>
      </c>
      <c r="H113" s="99">
        <f>G113+'26'!H113</f>
        <v>11933.789999999995</v>
      </c>
      <c r="I113" s="165"/>
      <c r="J113" s="328">
        <f>H113/DAY(B2)</f>
        <v>441.99222222222204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f>'26'!F114</f>
        <v>451</v>
      </c>
      <c r="F114" s="237">
        <v>730</v>
      </c>
      <c r="G114" s="112">
        <f t="shared" si="9"/>
        <v>279</v>
      </c>
      <c r="H114" s="99">
        <f>G114+'26'!H114</f>
        <v>6830.1100000000006</v>
      </c>
      <c r="I114" s="165"/>
      <c r="J114" s="328">
        <f>H114/DAY(B2)</f>
        <v>252.96703703703704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f>'26'!F115</f>
        <v>71.33</v>
      </c>
      <c r="F115" s="237">
        <v>101</v>
      </c>
      <c r="G115" s="112">
        <f t="shared" si="9"/>
        <v>29.67</v>
      </c>
      <c r="H115" s="99">
        <f>G115+'26'!H115</f>
        <v>578.23999999999978</v>
      </c>
      <c r="I115" s="165"/>
      <c r="J115" s="328">
        <f>H115/DAY(B2)</f>
        <v>21.416296296296288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'26'!F116</f>
        <v>33478.85</v>
      </c>
      <c r="F116" s="237">
        <v>33807</v>
      </c>
      <c r="G116" s="112">
        <f t="shared" si="9"/>
        <v>328.15000000000146</v>
      </c>
      <c r="H116" s="99">
        <f>G116+'26'!H116</f>
        <v>11022.380000000001</v>
      </c>
      <c r="I116" s="165"/>
      <c r="J116" s="328">
        <f>H116/DAY(B2)</f>
        <v>408.23629629629636</v>
      </c>
      <c r="Q116" s="907" t="s">
        <v>311</v>
      </c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'26'!F117</f>
        <v>18269</v>
      </c>
      <c r="F117" s="237">
        <v>18434</v>
      </c>
      <c r="G117" s="112">
        <f t="shared" si="9"/>
        <v>165</v>
      </c>
      <c r="H117" s="99">
        <f>G117+'26'!H117</f>
        <v>4820.8269999999993</v>
      </c>
      <c r="I117" s="165"/>
      <c r="J117" s="328">
        <f>H117/DAY(B2)</f>
        <v>178.54914814814813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'26'!F118</f>
        <v>6835.12</v>
      </c>
      <c r="F118" s="237">
        <v>7363</v>
      </c>
      <c r="G118" s="112">
        <f t="shared" si="9"/>
        <v>527.88000000000011</v>
      </c>
      <c r="H118" s="99">
        <f>G118+'26'!H118</f>
        <v>14311.030000000032</v>
      </c>
      <c r="I118" s="165"/>
      <c r="J118" s="328">
        <f>H118/DAY(B2)</f>
        <v>530.03814814814928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'26'!F119</f>
        <v>4133.26</v>
      </c>
      <c r="F119" s="237">
        <v>4577</v>
      </c>
      <c r="G119" s="112">
        <f t="shared" si="9"/>
        <v>443.73999999999978</v>
      </c>
      <c r="H119" s="99">
        <f>G119+'26'!H119</f>
        <v>11897.609999999986</v>
      </c>
      <c r="I119" s="165"/>
      <c r="J119" s="328">
        <f>H119/DAY(B2)</f>
        <v>440.65222222222172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'26'!F120</f>
        <v>5392</v>
      </c>
      <c r="F120" s="237">
        <v>5819</v>
      </c>
      <c r="G120" s="112">
        <f t="shared" si="9"/>
        <v>427</v>
      </c>
      <c r="H120" s="99">
        <f>G120+'26'!H120</f>
        <v>11165.240000000005</v>
      </c>
      <c r="I120" s="165"/>
      <c r="J120" s="328">
        <f>H120/DAY(B2)</f>
        <v>413.52740740740762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'26'!F121</f>
        <v>9961.7999999999993</v>
      </c>
      <c r="F121" s="237">
        <v>10397</v>
      </c>
      <c r="G121" s="112">
        <f t="shared" si="9"/>
        <v>435.20000000000073</v>
      </c>
      <c r="H121" s="99">
        <f>G121+'26'!H121</f>
        <v>20801.729999999981</v>
      </c>
      <c r="I121" s="165"/>
      <c r="J121" s="328">
        <f>H121/DAY(B2)</f>
        <v>770.43444444444378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'26'!F122</f>
        <v>2739.1</v>
      </c>
      <c r="F122" s="237">
        <v>2979</v>
      </c>
      <c r="G122" s="112">
        <f t="shared" si="9"/>
        <v>239.90000000000009</v>
      </c>
      <c r="H122" s="99">
        <f>G122+'26'!H122</f>
        <v>5795.859999999986</v>
      </c>
      <c r="I122" s="165"/>
      <c r="J122" s="328">
        <f>H122/DAY(B2)</f>
        <v>214.66148148148096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f>'26'!F123</f>
        <v>309.70999999999998</v>
      </c>
      <c r="F123" s="237">
        <v>512</v>
      </c>
      <c r="G123" s="112">
        <f t="shared" si="9"/>
        <v>202.29000000000002</v>
      </c>
      <c r="H123" s="99">
        <f>G123+'26'!H123</f>
        <v>6113.5299999999988</v>
      </c>
      <c r="I123" s="165"/>
      <c r="J123" s="328">
        <f>H123/DAY(B2)</f>
        <v>226.427037037037</v>
      </c>
    </row>
    <row r="124" spans="1:18" ht="29.25" customHeight="1">
      <c r="A124" s="932"/>
      <c r="B124" s="933"/>
      <c r="C124" s="934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3546.6900000000019</v>
      </c>
      <c r="H125" s="156"/>
      <c r="I125" s="327">
        <f>G125-(G39+G53)</f>
        <v>687.02000000001817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'26'!F128</f>
        <v>79809.899999999994</v>
      </c>
      <c r="F128" s="155">
        <v>80190</v>
      </c>
      <c r="G128" s="112">
        <f t="shared" ref="G128:G134" si="10">F128-E128</f>
        <v>380.10000000000582</v>
      </c>
      <c r="H128" s="99">
        <f>G128+'26'!H128</f>
        <v>11273.759999999995</v>
      </c>
      <c r="I128" s="165"/>
      <c r="J128" s="328">
        <f>H128/DAY(B2)</f>
        <v>417.54666666666645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49839.12</v>
      </c>
      <c r="F129" s="155">
        <v>50130</v>
      </c>
      <c r="G129" s="112">
        <f t="shared" si="10"/>
        <v>290.87999999999738</v>
      </c>
      <c r="H129" s="99">
        <f>G129+'26'!H129</f>
        <v>8018.9499999999971</v>
      </c>
      <c r="I129" s="165"/>
      <c r="J129" s="328">
        <f>H129/DAY(B2)</f>
        <v>296.99814814814806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93849.9</v>
      </c>
      <c r="F130" s="155">
        <v>94551</v>
      </c>
      <c r="G130" s="112">
        <f t="shared" si="10"/>
        <v>701.10000000000582</v>
      </c>
      <c r="H130" s="99">
        <f>G130+'26'!H130</f>
        <v>18889.050000000003</v>
      </c>
      <c r="I130" s="165"/>
      <c r="J130" s="328">
        <f>H130/DAY(B2)</f>
        <v>699.59444444444455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'26'!F131</f>
        <v>29611.97</v>
      </c>
      <c r="F131" s="155">
        <v>29825</v>
      </c>
      <c r="G131" s="112">
        <f t="shared" si="10"/>
        <v>213.02999999999884</v>
      </c>
      <c r="H131" s="99">
        <f>G131+'26'!H131</f>
        <v>5392.5</v>
      </c>
      <c r="I131" s="165"/>
      <c r="J131" s="328">
        <f>H131/DAY(B2)</f>
        <v>199.72222222222223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'26'!F132</f>
        <v>87059.12</v>
      </c>
      <c r="F132" s="155">
        <v>87499</v>
      </c>
      <c r="G132" s="112">
        <f t="shared" si="10"/>
        <v>439.88000000000466</v>
      </c>
      <c r="H132" s="99">
        <f>G132+'26'!H132</f>
        <v>11831.5</v>
      </c>
      <c r="I132" s="165"/>
      <c r="J132" s="328">
        <f>H132/DAY(B2)</f>
        <v>438.2037037037037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'26'!F133</f>
        <v>169026.75</v>
      </c>
      <c r="F133" s="155">
        <v>169889</v>
      </c>
      <c r="G133" s="112">
        <f t="shared" si="10"/>
        <v>862.25</v>
      </c>
      <c r="H133" s="99">
        <f>G133+'26'!H133</f>
        <v>24507.010000000009</v>
      </c>
      <c r="I133" s="165"/>
      <c r="J133" s="328">
        <f>H133/DAY(B2)</f>
        <v>907.6670370370374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'26'!F134</f>
        <v>27029.96</v>
      </c>
      <c r="F134" s="155">
        <v>27262</v>
      </c>
      <c r="G134" s="112">
        <f t="shared" si="10"/>
        <v>232.04000000000087</v>
      </c>
      <c r="H134" s="99">
        <f>G134+'26'!H134</f>
        <v>6469.32</v>
      </c>
      <c r="I134" s="165"/>
      <c r="J134" s="328">
        <f>H134/DAY(B2)</f>
        <v>239.60444444444443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3119.2800000000134</v>
      </c>
      <c r="H135" s="99">
        <f>G135+'23'!H135</f>
        <v>38004.689999999988</v>
      </c>
      <c r="I135" s="327">
        <f>G135-(G35+G49)</f>
        <v>-714.01999999997497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'26'!F138</f>
        <v>878166</v>
      </c>
      <c r="F138" s="147">
        <v>878335</v>
      </c>
      <c r="G138" s="112">
        <f t="shared" ref="G138:G152" si="11">F138-E138</f>
        <v>169</v>
      </c>
      <c r="H138" s="99">
        <f>G138+'26'!H138</f>
        <v>4334</v>
      </c>
      <c r="I138" s="118"/>
      <c r="J138" s="328">
        <f>H138/DAY(B2)</f>
        <v>160.5185185185185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'26'!F139</f>
        <v>894258</v>
      </c>
      <c r="F139" s="148">
        <v>894414</v>
      </c>
      <c r="G139" s="112">
        <f t="shared" si="11"/>
        <v>156</v>
      </c>
      <c r="H139" s="99">
        <f>G139+'26'!H139</f>
        <v>4096</v>
      </c>
      <c r="I139" s="118"/>
      <c r="J139" s="328">
        <f>H139/DAY(B2)</f>
        <v>151.7037037037037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'26'!F140</f>
        <v>89032</v>
      </c>
      <c r="F140" s="149">
        <v>89032</v>
      </c>
      <c r="G140" s="112">
        <f t="shared" si="11"/>
        <v>0</v>
      </c>
      <c r="H140" s="99">
        <f>G140+'26'!H140</f>
        <v>42</v>
      </c>
      <c r="I140" s="118"/>
      <c r="J140" s="328">
        <f>H140/DAY(B2)</f>
        <v>1.5555555555555556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'26'!F141</f>
        <v>70948.2</v>
      </c>
      <c r="F141" s="149">
        <v>71138</v>
      </c>
      <c r="G141" s="112">
        <f t="shared" si="11"/>
        <v>189.80000000000291</v>
      </c>
      <c r="H141" s="99">
        <f>G141+'26'!H141</f>
        <v>5354.4700000000012</v>
      </c>
      <c r="I141" s="118"/>
      <c r="J141" s="328">
        <f>H141/DAY(B2)</f>
        <v>198.31370370370374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'26'!F142</f>
        <v>27184.799999999999</v>
      </c>
      <c r="F142" s="148">
        <v>27253</v>
      </c>
      <c r="G142" s="112">
        <f t="shared" si="11"/>
        <v>68.200000000000728</v>
      </c>
      <c r="H142" s="99">
        <f>G142+'26'!H142</f>
        <v>1756.5999999999985</v>
      </c>
      <c r="I142" s="140"/>
      <c r="J142" s="328">
        <f>H142/DAY(B2)</f>
        <v>65.059259259259207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'26'!F143</f>
        <v>6297.96</v>
      </c>
      <c r="F143" s="149">
        <v>6325</v>
      </c>
      <c r="G143" s="112">
        <f t="shared" si="11"/>
        <v>27.039999999999964</v>
      </c>
      <c r="H143" s="99">
        <f>G143+'26'!H143</f>
        <v>764.29</v>
      </c>
      <c r="I143" s="140"/>
      <c r="J143" s="328">
        <f>H143/DAY(B2)</f>
        <v>28.307037037037034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'26'!F144</f>
        <v>896230</v>
      </c>
      <c r="F144" s="149">
        <v>896489</v>
      </c>
      <c r="G144" s="112">
        <f t="shared" si="11"/>
        <v>259</v>
      </c>
      <c r="H144" s="99">
        <f>G144+'26'!H144</f>
        <v>6655</v>
      </c>
      <c r="I144" s="140"/>
      <c r="J144" s="328">
        <f>H144/DAY(B2)</f>
        <v>246.4814814814815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'26'!F145</f>
        <v>5620.59</v>
      </c>
      <c r="F145" s="149">
        <v>5621</v>
      </c>
      <c r="G145" s="112">
        <f t="shared" si="11"/>
        <v>0.40999999999985448</v>
      </c>
      <c r="H145" s="99">
        <f>G145+'26'!H145</f>
        <v>64.600000000000364</v>
      </c>
      <c r="I145" s="140"/>
      <c r="J145" s="328">
        <f>H145/DAY(B2)</f>
        <v>2.3925925925926061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'26'!F146</f>
        <v>776439</v>
      </c>
      <c r="F146" s="148">
        <v>776447</v>
      </c>
      <c r="G146" s="112">
        <f t="shared" si="11"/>
        <v>8</v>
      </c>
      <c r="H146" s="99">
        <f>G146+'26'!H146</f>
        <v>12121</v>
      </c>
      <c r="I146" s="140"/>
      <c r="J146" s="328">
        <f>H146/DAY(B2)</f>
        <v>448.92592592592592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'26'!F147</f>
        <v>661592</v>
      </c>
      <c r="F147" s="148">
        <v>662004</v>
      </c>
      <c r="G147" s="112">
        <f t="shared" si="11"/>
        <v>412</v>
      </c>
      <c r="H147" s="99">
        <f>G147+'26'!H147</f>
        <v>11820</v>
      </c>
      <c r="I147" s="140"/>
      <c r="J147" s="328">
        <f>H147/DAY(B2)</f>
        <v>437.77777777777777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'26'!F148</f>
        <v>718340</v>
      </c>
      <c r="F148" s="150">
        <v>718720</v>
      </c>
      <c r="G148" s="112">
        <f t="shared" si="11"/>
        <v>380</v>
      </c>
      <c r="H148" s="99">
        <f>G148+'26'!H148</f>
        <v>9855.3199999999488</v>
      </c>
      <c r="I148" s="124"/>
      <c r="J148" s="328">
        <f>H148/DAY(B2)</f>
        <v>365.01185185184994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'26'!F149</f>
        <v>80918</v>
      </c>
      <c r="F149" s="146">
        <v>81574</v>
      </c>
      <c r="G149" s="112">
        <f t="shared" si="11"/>
        <v>656</v>
      </c>
      <c r="H149" s="99">
        <f>G149+'26'!H149</f>
        <v>18350.199999999997</v>
      </c>
      <c r="I149" s="119"/>
      <c r="J149" s="328">
        <f>H149/DAY(B2)</f>
        <v>679.63703703703698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'26'!F150</f>
        <v>29739.200000000001</v>
      </c>
      <c r="F150" s="233">
        <v>29948</v>
      </c>
      <c r="G150" s="112">
        <f t="shared" si="11"/>
        <v>208.79999999999927</v>
      </c>
      <c r="H150" s="99">
        <f>G150+'26'!H150</f>
        <v>5992.2099999999991</v>
      </c>
      <c r="I150" s="119"/>
      <c r="J150" s="328">
        <f>H150/DAY(B2)</f>
        <v>221.93370370370369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'26'!F151</f>
        <v>107999</v>
      </c>
      <c r="F151" s="233">
        <v>108300</v>
      </c>
      <c r="G151" s="112">
        <f t="shared" si="11"/>
        <v>301</v>
      </c>
      <c r="H151" s="99">
        <f>G151+'26'!H151</f>
        <v>7689</v>
      </c>
      <c r="I151" s="119"/>
      <c r="J151" s="328">
        <f>H151/DAY(B2)</f>
        <v>284.77777777777777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'26'!F152</f>
        <v>10683.27</v>
      </c>
      <c r="F152" s="233">
        <v>10802</v>
      </c>
      <c r="G152" s="112">
        <f t="shared" si="11"/>
        <v>118.72999999999956</v>
      </c>
      <c r="H152" s="99">
        <f>G152+'26'!H152</f>
        <v>2732.9399999999996</v>
      </c>
      <c r="I152" s="119"/>
      <c r="J152" s="328">
        <f>H152/DAY(B2)</f>
        <v>101.21999999999998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2953.9800000000023</v>
      </c>
      <c r="H153" s="363"/>
      <c r="I153" s="119">
        <f>G153-(G38+G52)</f>
        <v>494.02999999999065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'26'!F155</f>
        <v>90129.87</v>
      </c>
      <c r="F155" s="389">
        <v>90736</v>
      </c>
      <c r="G155" s="112">
        <f t="shared" ref="G155:G158" si="12">F155-E155</f>
        <v>606.13000000000466</v>
      </c>
      <c r="H155" s="99">
        <f>G155+'26'!H155</f>
        <v>17965.5</v>
      </c>
      <c r="I155" s="364"/>
      <c r="J155" s="328">
        <f>H155/DAY(B2)</f>
        <v>665.38888888888891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'26'!F156</f>
        <v>7476.46</v>
      </c>
      <c r="F156" s="155">
        <v>7526</v>
      </c>
      <c r="G156" s="112">
        <f t="shared" si="12"/>
        <v>49.539999999999964</v>
      </c>
      <c r="H156" s="99">
        <f>G156+'26'!H156</f>
        <v>1468.75</v>
      </c>
      <c r="I156" s="165"/>
      <c r="J156" s="328">
        <f>H156/DAY(B2)</f>
        <v>54.398148148148145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'26'!F157</f>
        <v>13073.22</v>
      </c>
      <c r="F157" s="155">
        <v>13175</v>
      </c>
      <c r="G157" s="112">
        <f t="shared" si="12"/>
        <v>101.78000000000065</v>
      </c>
      <c r="H157" s="99">
        <f>G157+'26'!H157</f>
        <v>902</v>
      </c>
      <c r="I157" s="165"/>
      <c r="J157" s="328">
        <f>H157/DAY(B2)</f>
        <v>33.407407407407405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'26'!F158</f>
        <v>100.19</v>
      </c>
      <c r="F158" s="155">
        <v>103</v>
      </c>
      <c r="G158" s="112">
        <f t="shared" si="12"/>
        <v>2.8100000000000023</v>
      </c>
      <c r="H158" s="99">
        <f>G158+'26'!H158</f>
        <v>5.5300000000000011</v>
      </c>
      <c r="I158" s="165"/>
      <c r="J158" s="328">
        <f>H158/DAY(B2)</f>
        <v>0.20481481481481487</v>
      </c>
    </row>
    <row r="159" spans="1:10" ht="25.5">
      <c r="A159" s="957"/>
      <c r="B159" s="958"/>
      <c r="C159" s="959"/>
      <c r="D159" s="117"/>
      <c r="E159" s="95"/>
      <c r="F159" s="15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474687</v>
      </c>
      <c r="F161" s="235">
        <v>474711</v>
      </c>
      <c r="G161" s="238">
        <f t="shared" ref="G161:G165" si="13">F161-E161</f>
        <v>24</v>
      </c>
      <c r="H161" s="99">
        <f>G161+'26'!H161</f>
        <v>870.27000000001863</v>
      </c>
      <c r="I161" s="236"/>
      <c r="J161" s="239">
        <f>H161/DAY(B2)</f>
        <v>32.232222222222909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91383</v>
      </c>
      <c r="F162" s="235">
        <v>91427</v>
      </c>
      <c r="G162" s="238">
        <f t="shared" si="13"/>
        <v>44</v>
      </c>
      <c r="H162" s="99">
        <f>G162+'26'!H162</f>
        <v>974.10000000000582</v>
      </c>
      <c r="I162" s="236"/>
      <c r="J162" s="239">
        <f>H162/DAY(B2)</f>
        <v>36.077777777777996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91339.3</v>
      </c>
      <c r="F163" s="235">
        <v>91504</v>
      </c>
      <c r="G163" s="238">
        <f t="shared" si="13"/>
        <v>164.69999999999709</v>
      </c>
      <c r="H163" s="99">
        <f>G163+'26'!H163</f>
        <v>4425.1999999999971</v>
      </c>
      <c r="I163" s="236"/>
      <c r="J163" s="239">
        <f>H163/DAY(B2)</f>
        <v>163.89629629629619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5135.2</v>
      </c>
      <c r="F164" s="235">
        <v>5146</v>
      </c>
      <c r="G164" s="238">
        <f t="shared" si="13"/>
        <v>10.800000000000182</v>
      </c>
      <c r="H164" s="99">
        <f>G164+'26'!H164</f>
        <v>333.60000000000036</v>
      </c>
      <c r="I164" s="236"/>
      <c r="J164" s="239">
        <f>H164/DAY(B2)</f>
        <v>12.355555555555569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30585</v>
      </c>
      <c r="F165" s="235">
        <v>30597</v>
      </c>
      <c r="G165" s="238">
        <f t="shared" si="13"/>
        <v>12</v>
      </c>
      <c r="H165" s="99">
        <f>G165+'26'!H165</f>
        <v>241.4900000000016</v>
      </c>
      <c r="I165" s="236"/>
      <c r="J165" s="239">
        <f>H165/DAY(B2)</f>
        <v>8.944074074074134</v>
      </c>
    </row>
    <row r="166" spans="1:10" ht="26.25">
      <c r="A166" s="938"/>
      <c r="B166" s="938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'26'!F173</f>
        <v>8240</v>
      </c>
      <c r="F173" s="155">
        <v>8240</v>
      </c>
      <c r="G173" s="155">
        <f>F173-E173</f>
        <v>0</v>
      </c>
      <c r="H173" s="99">
        <f>G173+'26'!H173</f>
        <v>98</v>
      </c>
      <c r="I173" s="155"/>
      <c r="J173" s="178">
        <f>H173/DAY(B2)</f>
        <v>3.6296296296296298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'26'!F174</f>
        <v>39871</v>
      </c>
      <c r="F174" s="157">
        <v>39884</v>
      </c>
      <c r="G174" s="155">
        <f t="shared" ref="G174:G175" si="14">F174-E174</f>
        <v>13</v>
      </c>
      <c r="H174" s="99">
        <f>G174+'26'!H174</f>
        <v>422</v>
      </c>
      <c r="I174" s="155"/>
      <c r="J174" s="178">
        <f>H174/DAY(B2)</f>
        <v>15.62962962962963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'26'!F175</f>
        <v>22842</v>
      </c>
      <c r="F175" s="155">
        <v>22853</v>
      </c>
      <c r="G175" s="155">
        <f t="shared" si="14"/>
        <v>11</v>
      </c>
      <c r="H175" s="99">
        <f>G175+'26'!H175</f>
        <v>331</v>
      </c>
      <c r="I175" s="155"/>
      <c r="J175" s="178">
        <f>H175/DAY(B2)</f>
        <v>12.25925925925926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851</v>
      </c>
      <c r="I176" s="155"/>
      <c r="J176" s="178">
        <f>H176/DAY(B2)</f>
        <v>31.518518518518519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'26'!F178</f>
        <v>88220</v>
      </c>
      <c r="F178" s="155">
        <v>88327</v>
      </c>
      <c r="G178" s="155">
        <f>F178-E178</f>
        <v>107</v>
      </c>
      <c r="H178" s="99">
        <f>G178+'26'!H178</f>
        <v>2711</v>
      </c>
      <c r="I178" s="155"/>
      <c r="J178" s="178">
        <f>H178/DAY(B2)</f>
        <v>100.4074074074074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'26'!F179</f>
        <v>35768</v>
      </c>
      <c r="F179" s="155">
        <v>35772</v>
      </c>
      <c r="G179" s="155">
        <f t="shared" ref="G179:G180" si="15">F179-E179</f>
        <v>4</v>
      </c>
      <c r="H179" s="99">
        <f>G179+'26'!H179</f>
        <v>158</v>
      </c>
      <c r="I179" s="155"/>
      <c r="J179" s="178">
        <f>H179/DAY(B2)</f>
        <v>5.8518518518518521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'26'!F180</f>
        <v>6342</v>
      </c>
      <c r="F180" s="155">
        <v>6350</v>
      </c>
      <c r="G180" s="155">
        <f t="shared" si="15"/>
        <v>8</v>
      </c>
      <c r="H180" s="99">
        <f>G180+'26'!H180</f>
        <v>217</v>
      </c>
      <c r="I180" s="155"/>
      <c r="J180" s="178">
        <f>H180/DAY(B2)</f>
        <v>8.0370370370370363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119</v>
      </c>
      <c r="H181" s="99">
        <f>G181+'26'!H181</f>
        <v>3086</v>
      </c>
      <c r="I181" s="155"/>
      <c r="J181" s="178">
        <f>H181/DAY(B2)</f>
        <v>114.29629629629629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'26'!F183</f>
        <v>16565</v>
      </c>
      <c r="F183" s="157">
        <v>16585</v>
      </c>
      <c r="G183" s="157">
        <f>F183-E183</f>
        <v>20</v>
      </c>
      <c r="H183" s="99">
        <f>G183+'26'!H183</f>
        <v>443</v>
      </c>
      <c r="I183" s="155"/>
      <c r="J183" s="178">
        <f>H183/DAY(B2)</f>
        <v>16.407407407407408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'26'!F184</f>
        <v>11245</v>
      </c>
      <c r="F184" s="157">
        <v>11257</v>
      </c>
      <c r="G184" s="157">
        <f t="shared" ref="G184:G185" si="16">F184-E184</f>
        <v>12</v>
      </c>
      <c r="H184" s="99">
        <f>G184+'26'!H184</f>
        <v>208</v>
      </c>
      <c r="I184" s="155"/>
      <c r="J184" s="178">
        <f>H184/DAY(B2)</f>
        <v>7.7037037037037033</v>
      </c>
    </row>
    <row r="185" spans="1:10" ht="25.5" customHeight="1">
      <c r="A185" s="896" t="s">
        <v>216</v>
      </c>
      <c r="B185" s="89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32</v>
      </c>
      <c r="H186" s="99">
        <f>G186+'26'!H186</f>
        <v>651</v>
      </c>
      <c r="I186" s="157"/>
      <c r="J186" s="178">
        <f>H186/DAY(B2)</f>
        <v>24.111111111111111</v>
      </c>
    </row>
    <row r="187" spans="1:10" ht="25.5">
      <c r="A187" s="946" t="s">
        <v>217</v>
      </c>
      <c r="B187" s="947"/>
      <c r="C187" s="333"/>
      <c r="D187" s="228" t="s">
        <v>142</v>
      </c>
      <c r="E187" s="95">
        <f>'26'!F187</f>
        <v>0</v>
      </c>
      <c r="F187" s="159"/>
      <c r="G187" s="378">
        <f>G62+G19</f>
        <v>212</v>
      </c>
      <c r="H187" s="99">
        <f>G187+'26'!H187</f>
        <v>6188</v>
      </c>
      <c r="I187" s="158"/>
      <c r="J187" s="179">
        <f>H187/DAY(B2)</f>
        <v>229.18518518518519</v>
      </c>
    </row>
    <row r="188" spans="1:10" ht="25.5">
      <c r="A188" s="946" t="s">
        <v>218</v>
      </c>
      <c r="B188" s="947"/>
      <c r="C188" s="333"/>
      <c r="D188" s="228" t="s">
        <v>142</v>
      </c>
      <c r="E188" s="95">
        <f>'26'!F188</f>
        <v>0</v>
      </c>
      <c r="F188" s="159"/>
      <c r="G188" s="378">
        <f>G65+G66+G67+G69+G70</f>
        <v>231</v>
      </c>
      <c r="H188" s="99">
        <f>G188+'26'!H188</f>
        <v>3058</v>
      </c>
      <c r="I188" s="158"/>
      <c r="J188" s="179">
        <f>H188/DAY(B2)</f>
        <v>113.25925925925925</v>
      </c>
    </row>
    <row r="189" spans="1:10" ht="25.5">
      <c r="A189" s="946" t="s">
        <v>219</v>
      </c>
      <c r="B189" s="947"/>
      <c r="C189" s="333"/>
      <c r="D189" s="230" t="s">
        <v>142</v>
      </c>
      <c r="E189" s="95">
        <f>'26'!F189</f>
        <v>0</v>
      </c>
      <c r="F189" s="157"/>
      <c r="G189" s="377">
        <f>G181</f>
        <v>119</v>
      </c>
      <c r="H189" s="99">
        <f>G189+'26'!H189</f>
        <v>1065</v>
      </c>
      <c r="I189" s="158"/>
      <c r="J189" s="179">
        <f>H189/DAY(B2)</f>
        <v>39.444444444444443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22" zoomScale="55" zoomScaleNormal="80" zoomScaleSheetLayoutView="55" workbookViewId="0">
      <selection activeCell="F156" sqref="F1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303</v>
      </c>
      <c r="B2" s="262">
        <v>44679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742889</v>
      </c>
      <c r="F7" s="95">
        <v>771205</v>
      </c>
      <c r="G7" s="112">
        <f>F7-E7</f>
        <v>28316</v>
      </c>
      <c r="H7" s="99">
        <f>G7+'27'!H7</f>
        <v>784482</v>
      </c>
      <c r="I7" s="113">
        <f>'1'!I7</f>
        <v>12000</v>
      </c>
      <c r="J7" s="175">
        <f>H7/DAY(B2)</f>
        <v>28017.214285714286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829330</v>
      </c>
      <c r="F8" s="114">
        <v>858101</v>
      </c>
      <c r="G8" s="115">
        <f>F8-E8</f>
        <v>28771</v>
      </c>
      <c r="H8" s="99">
        <f>G8+'27'!H8</f>
        <v>800054.78</v>
      </c>
      <c r="I8" s="116"/>
      <c r="J8" s="175">
        <f>H8/DAY(B2)</f>
        <v>28573.385000000002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28571</v>
      </c>
    </row>
    <row r="9" spans="1:15" ht="26.25">
      <c r="A9" s="199" t="s">
        <v>132</v>
      </c>
      <c r="B9" s="200"/>
      <c r="C9" s="200"/>
      <c r="D9" s="151" t="s">
        <v>130</v>
      </c>
      <c r="E9" s="470">
        <v>1819514</v>
      </c>
      <c r="F9" s="470">
        <v>1843760</v>
      </c>
      <c r="G9" s="112">
        <f>F9-E9</f>
        <v>24246</v>
      </c>
      <c r="H9" s="99">
        <f>G9+'27'!H9</f>
        <v>576085</v>
      </c>
      <c r="I9" s="124">
        <f>I7-J7</f>
        <v>-16017.214285714286</v>
      </c>
      <c r="J9" s="175">
        <f>H9/DAY(B2)</f>
        <v>20574.464285714286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353">
        <v>601463</v>
      </c>
      <c r="F10" s="353">
        <v>604702</v>
      </c>
      <c r="G10" s="112">
        <f t="shared" ref="G10:G12" si="0">F10-E10</f>
        <v>3239</v>
      </c>
      <c r="H10" s="99">
        <f>G10+'27'!H10</f>
        <v>186426.53000000003</v>
      </c>
      <c r="I10" s="282"/>
      <c r="J10" s="175">
        <f>H10/DAY(B2)</f>
        <v>6658.090357142858</v>
      </c>
      <c r="K10" s="79"/>
      <c r="L10" s="66"/>
      <c r="N10" s="87"/>
      <c r="O10" s="71">
        <f>F7-O8</f>
        <v>742634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-255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27485</v>
      </c>
      <c r="H13" s="99">
        <f>G13+'27'!H13</f>
        <v>762512</v>
      </c>
      <c r="I13" s="120">
        <f>G7-G13</f>
        <v>831</v>
      </c>
      <c r="J13" s="175">
        <f>H13/DAY(B2)</f>
        <v>27232.571428571428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'27'!F15</f>
        <v>2000418</v>
      </c>
      <c r="F15" s="470">
        <v>2001525</v>
      </c>
      <c r="G15" s="112">
        <f>(F15-E15)</f>
        <v>1107</v>
      </c>
      <c r="H15" s="99">
        <f>G15+'27'!H15</f>
        <v>30588</v>
      </c>
      <c r="I15" s="113">
        <f>'1'!I15</f>
        <v>800</v>
      </c>
      <c r="J15" s="175">
        <f>H15/DAY(B2)</f>
        <v>1092.4285714285713</v>
      </c>
      <c r="K15" s="79"/>
      <c r="L15" s="66"/>
      <c r="N15" s="87"/>
      <c r="O15" s="71">
        <f>G8-200</f>
        <v>28571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-292.42857142857133</v>
      </c>
      <c r="J16" s="176"/>
      <c r="K16" s="79"/>
      <c r="L16" s="66"/>
      <c r="N16" s="87"/>
      <c r="O16" s="71"/>
    </row>
    <row r="17" spans="1:16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4" t="s">
        <v>141</v>
      </c>
      <c r="B18" s="875"/>
      <c r="C18" s="876"/>
      <c r="D18" s="151" t="s">
        <v>142</v>
      </c>
      <c r="E18" s="95">
        <f>'27'!F18</f>
        <v>23</v>
      </c>
      <c r="F18" s="122">
        <v>26</v>
      </c>
      <c r="G18" s="119">
        <f>F18*10</f>
        <v>260</v>
      </c>
      <c r="H18" s="99">
        <f>G18+'27'!H18</f>
        <v>7050</v>
      </c>
      <c r="I18" s="113">
        <f>'1'!I18</f>
        <v>65</v>
      </c>
      <c r="J18" s="175">
        <f>H18/DAY(B2)</f>
        <v>251.78571428571428</v>
      </c>
      <c r="K18" s="79"/>
      <c r="L18" s="66"/>
      <c r="N18" s="87"/>
      <c r="O18" s="71"/>
    </row>
    <row r="19" spans="1:16" ht="25.5">
      <c r="A19" s="874" t="s">
        <v>69</v>
      </c>
      <c r="B19" s="875"/>
      <c r="C19" s="876"/>
      <c r="D19" s="151" t="s">
        <v>142</v>
      </c>
      <c r="E19" s="95">
        <f>'27'!F19</f>
        <v>158301</v>
      </c>
      <c r="F19" s="122">
        <v>158354</v>
      </c>
      <c r="G19" s="112">
        <f t="shared" ref="G19" si="1">F19-E19</f>
        <v>53</v>
      </c>
      <c r="H19" s="99">
        <f>G19+'27'!H19</f>
        <v>1365</v>
      </c>
      <c r="I19" s="335"/>
      <c r="J19" s="175">
        <f>H19/DAY(B2)</f>
        <v>48.75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313</v>
      </c>
      <c r="H20" s="99">
        <f>G20+'27'!H20</f>
        <v>8415</v>
      </c>
      <c r="I20" s="336">
        <f>I18-J20</f>
        <v>-235.53571428571428</v>
      </c>
      <c r="J20" s="175">
        <f>H20/DAY(B2)</f>
        <v>300.53571428571428</v>
      </c>
      <c r="K20" s="79"/>
      <c r="L20" s="66"/>
      <c r="N20" s="87"/>
      <c r="O20" s="71"/>
    </row>
    <row r="21" spans="1:16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28771</v>
      </c>
      <c r="F27" s="136">
        <v>9</v>
      </c>
      <c r="G27" s="137">
        <f>E27*F27</f>
        <v>258939</v>
      </c>
      <c r="H27" s="99">
        <f>G27+'27'!H27</f>
        <v>7200493.0199999996</v>
      </c>
      <c r="I27" s="138"/>
      <c r="J27" s="175">
        <f>H27/DAY(B2)</f>
        <v>257160.465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1107</v>
      </c>
      <c r="F28" s="136">
        <v>70</v>
      </c>
      <c r="G28" s="137">
        <f>E28*F28</f>
        <v>77490</v>
      </c>
      <c r="H28" s="99">
        <f>G28+'27'!H28</f>
        <v>2042442.419999999</v>
      </c>
      <c r="I28" s="140"/>
      <c r="J28" s="175">
        <f>H28/DAY(B2)</f>
        <v>72944.372142857101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G30+'27'!H30</f>
        <v>204955</v>
      </c>
      <c r="I30" s="140"/>
      <c r="J30" s="175">
        <f>H30/DAY(B2)</f>
        <v>7319.8214285714284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G31+'27'!H31</f>
        <v>564000</v>
      </c>
      <c r="I31" s="140"/>
      <c r="J31" s="175">
        <f>H31/DAY(B2)</f>
        <v>20142.857142857141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365232</v>
      </c>
      <c r="H32" s="99">
        <f>G32+'27'!H32</f>
        <v>10011890.439999999</v>
      </c>
      <c r="I32" s="144"/>
      <c r="J32" s="175">
        <f>H32/DAY(B2)</f>
        <v>357567.51571428572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196098</v>
      </c>
      <c r="F35" s="145">
        <v>198234</v>
      </c>
      <c r="G35" s="112">
        <f t="shared" ref="G35:G46" si="3">F35-E35</f>
        <v>2136</v>
      </c>
      <c r="H35" s="99">
        <f>G35+'27'!H35</f>
        <v>59954.790000000008</v>
      </c>
      <c r="I35" s="95"/>
      <c r="J35" s="175">
        <f>H35/DAY(B2)</f>
        <v>2141.2425000000003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128352</v>
      </c>
      <c r="F36" s="145">
        <v>129238</v>
      </c>
      <c r="G36" s="112">
        <f t="shared" si="3"/>
        <v>886</v>
      </c>
      <c r="H36" s="99">
        <f>G36+'27'!H36</f>
        <v>28717.339999999997</v>
      </c>
      <c r="I36" s="95"/>
      <c r="J36" s="175">
        <f>H36/DAY(B2)</f>
        <v>1025.6192857142855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177865</v>
      </c>
      <c r="F37" s="145">
        <v>179593</v>
      </c>
      <c r="G37" s="112">
        <f t="shared" si="3"/>
        <v>1728</v>
      </c>
      <c r="H37" s="99">
        <f>G37+'27'!H37</f>
        <v>46667.98000000001</v>
      </c>
      <c r="I37" s="95"/>
      <c r="J37" s="175">
        <f>H37/DAY(B2)</f>
        <v>1666.7135714285719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236179</v>
      </c>
      <c r="F38" s="108">
        <v>238553</v>
      </c>
      <c r="G38" s="112">
        <f t="shared" si="3"/>
        <v>2374</v>
      </c>
      <c r="H38" s="99">
        <f>G38+'27'!H38</f>
        <v>68443.63</v>
      </c>
      <c r="I38" s="95"/>
      <c r="J38" s="175">
        <f>H38/DAY(B2)</f>
        <v>2444.4153571428574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331340</v>
      </c>
      <c r="F39" s="145">
        <v>334239</v>
      </c>
      <c r="G39" s="112">
        <f t="shared" si="3"/>
        <v>2899</v>
      </c>
      <c r="H39" s="99">
        <f>G39+'27'!H39</f>
        <v>90085.57</v>
      </c>
      <c r="I39" s="95"/>
      <c r="J39" s="175">
        <f>H39/DAY(B2)</f>
        <v>3217.3417857142858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62655</v>
      </c>
      <c r="F40" s="145">
        <v>63415</v>
      </c>
      <c r="G40" s="112">
        <f t="shared" si="3"/>
        <v>760</v>
      </c>
      <c r="H40" s="99">
        <f>G40+'27'!H40</f>
        <v>14263.14</v>
      </c>
      <c r="I40" s="95"/>
      <c r="J40" s="175">
        <f>H40/DAY(B2)</f>
        <v>509.39785714285711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15324</v>
      </c>
      <c r="F41" s="145">
        <v>21333</v>
      </c>
      <c r="G41" s="112">
        <f t="shared" si="3"/>
        <v>6009</v>
      </c>
      <c r="H41" s="99">
        <f>G41+'27'!H41</f>
        <v>21270</v>
      </c>
      <c r="I41" s="95"/>
      <c r="J41" s="175">
        <f>H41/DAY(B2)</f>
        <v>759.64285714285711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410808</v>
      </c>
      <c r="F42" s="145">
        <v>414786</v>
      </c>
      <c r="G42" s="112">
        <f t="shared" si="3"/>
        <v>3978</v>
      </c>
      <c r="H42" s="99">
        <f>G42+'27'!H42</f>
        <v>133428.75</v>
      </c>
      <c r="I42" s="95"/>
      <c r="J42" s="175">
        <f>H42/DAY(B2)</f>
        <v>4765.3125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347365</v>
      </c>
      <c r="F43" s="145">
        <v>350671</v>
      </c>
      <c r="G43" s="112">
        <f t="shared" si="3"/>
        <v>3306</v>
      </c>
      <c r="H43" s="99">
        <f>G43+'27'!H43</f>
        <v>91916.53</v>
      </c>
      <c r="I43" s="95"/>
      <c r="J43" s="175">
        <f>H43/DAY(B2)</f>
        <v>3282.7332142857144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24076</v>
      </c>
      <c r="H47" s="99">
        <f>G47+'27'!H47</f>
        <v>554747.72999999986</v>
      </c>
      <c r="I47" s="95"/>
      <c r="J47" s="175">
        <f>H47/DAY(B2)</f>
        <v>19812.418928571424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159662</v>
      </c>
      <c r="F49" s="145">
        <v>161469</v>
      </c>
      <c r="G49" s="112">
        <f t="shared" ref="G49:G58" si="4">F49-E49</f>
        <v>1807</v>
      </c>
      <c r="H49" s="99">
        <f>G49+'27'!H49</f>
        <v>50966.8</v>
      </c>
      <c r="I49" s="95"/>
      <c r="J49" s="175">
        <f>H49/DAY(B2)</f>
        <v>1820.2428571428572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167800</v>
      </c>
      <c r="F50" s="145">
        <v>169179</v>
      </c>
      <c r="G50" s="112">
        <f t="shared" si="4"/>
        <v>1379</v>
      </c>
      <c r="H50" s="99">
        <f>G50+'27'!H50</f>
        <v>37968.859999999986</v>
      </c>
      <c r="I50" s="95"/>
      <c r="J50" s="175">
        <f>H50/DAY(B2)</f>
        <v>1356.0307142857139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48654</v>
      </c>
      <c r="F54" s="145">
        <v>49135</v>
      </c>
      <c r="G54" s="112">
        <f t="shared" si="4"/>
        <v>481</v>
      </c>
      <c r="H54" s="99">
        <f>G54+'27'!H54</f>
        <v>13463.940000000002</v>
      </c>
      <c r="I54" s="95"/>
      <c r="J54" s="175">
        <f>H54/DAY(B2)</f>
        <v>480.85500000000008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142509</v>
      </c>
      <c r="F55" s="145">
        <v>142509</v>
      </c>
      <c r="G55" s="112">
        <f t="shared" si="4"/>
        <v>0</v>
      </c>
      <c r="H55" s="99">
        <f>G55+'27'!H55</f>
        <v>30027.97</v>
      </c>
      <c r="I55" s="95"/>
      <c r="J55" s="175">
        <f>H55/DAY(B2)</f>
        <v>1072.4275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107246</v>
      </c>
      <c r="F56" s="145">
        <v>107246</v>
      </c>
      <c r="G56" s="112">
        <f t="shared" si="4"/>
        <v>0</v>
      </c>
      <c r="H56" s="99">
        <f>G56+'27'!H56</f>
        <v>35628.320000000007</v>
      </c>
      <c r="I56" s="95"/>
      <c r="J56" s="175">
        <f>H56/DAY(B2)</f>
        <v>1272.4400000000003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24807</v>
      </c>
      <c r="F58" s="145">
        <v>25037</v>
      </c>
      <c r="G58" s="112">
        <f t="shared" si="4"/>
        <v>230</v>
      </c>
      <c r="H58" s="99">
        <f>G58+'27'!H58</f>
        <v>6582.7999999999993</v>
      </c>
      <c r="I58" s="95"/>
      <c r="J58" s="175">
        <f>H58/DAY(B2)</f>
        <v>235.09999999999997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3897</v>
      </c>
      <c r="H59" s="99">
        <f>G59+'27'!H59</f>
        <v>174639.00999999998</v>
      </c>
      <c r="I59" s="95">
        <f>G7-G60</f>
        <v>343</v>
      </c>
      <c r="J59" s="175">
        <f>H59/DAY(B2)</f>
        <v>6237.1074999999992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27973</v>
      </c>
      <c r="H60" s="99">
        <f>G60+'27'!H60</f>
        <v>729386.73999999987</v>
      </c>
      <c r="I60" s="95">
        <f>G13-G60</f>
        <v>-488</v>
      </c>
      <c r="J60" s="175">
        <f>H60/DAY(B2)</f>
        <v>26049.526428571426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'27'!F62</f>
        <v>283502</v>
      </c>
      <c r="F62" s="122">
        <v>283668</v>
      </c>
      <c r="G62" s="112">
        <f t="shared" ref="G62:G63" si="5">F62-E62</f>
        <v>166</v>
      </c>
      <c r="H62" s="99">
        <f>G62+'27'!H62</f>
        <v>5042</v>
      </c>
      <c r="I62" s="118"/>
      <c r="J62" s="175">
        <f>H62/DAY(B2)</f>
        <v>180.07142857142858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'27'!F63</f>
        <v>227097</v>
      </c>
      <c r="F63" s="122">
        <v>227204</v>
      </c>
      <c r="G63" s="112">
        <f t="shared" si="5"/>
        <v>107</v>
      </c>
      <c r="H63" s="99">
        <f>G63+'27'!H63</f>
        <v>4123</v>
      </c>
      <c r="I63" s="118"/>
      <c r="J63" s="175">
        <f>H63/DAY(B2)</f>
        <v>147.25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'27'!F64</f>
        <v>0</v>
      </c>
      <c r="F64" s="122">
        <v>0</v>
      </c>
      <c r="G64" s="112">
        <f>G62+G63</f>
        <v>273</v>
      </c>
      <c r="H64" s="99">
        <f>G64+'27'!H64</f>
        <v>9165</v>
      </c>
      <c r="I64" s="118"/>
      <c r="J64" s="175">
        <f>H64/DAY(B2)</f>
        <v>327.32142857142856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'27'!F65</f>
        <v>444247</v>
      </c>
      <c r="F65" s="122">
        <v>444363</v>
      </c>
      <c r="G65" s="112">
        <f t="shared" ref="G65:G70" si="6">F65-E65</f>
        <v>116</v>
      </c>
      <c r="H65" s="99">
        <f>G65+'27'!H65</f>
        <v>3232</v>
      </c>
      <c r="I65" s="118"/>
      <c r="J65" s="175">
        <f>H65/DAY(B2)</f>
        <v>115.42857142857143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109520</v>
      </c>
      <c r="F66" s="122">
        <v>109537</v>
      </c>
      <c r="G66" s="112">
        <f t="shared" si="6"/>
        <v>17</v>
      </c>
      <c r="H66" s="99">
        <f>G66+'27'!H66</f>
        <v>467</v>
      </c>
      <c r="I66" s="118"/>
      <c r="J66" s="175">
        <f>H66/DAY(B2)</f>
        <v>16.678571428571427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110668</v>
      </c>
      <c r="F67" s="122">
        <v>110745</v>
      </c>
      <c r="G67" s="112">
        <f t="shared" si="6"/>
        <v>77</v>
      </c>
      <c r="H67" s="99">
        <f>G67+'27'!H67</f>
        <v>2152</v>
      </c>
      <c r="I67" s="118"/>
      <c r="J67" s="175">
        <f>H67/DAY(B2)</f>
        <v>76.857142857142861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161701</v>
      </c>
      <c r="F68" s="122">
        <v>161744</v>
      </c>
      <c r="G68" s="112">
        <f t="shared" si="6"/>
        <v>43</v>
      </c>
      <c r="H68" s="99">
        <f>G68+'27'!H68</f>
        <v>1331</v>
      </c>
      <c r="I68" s="118"/>
      <c r="J68" s="175">
        <f>H68/DAY(B2)</f>
        <v>47.535714285714285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11569</v>
      </c>
      <c r="F69" s="122">
        <v>11576</v>
      </c>
      <c r="G69" s="112">
        <f t="shared" si="6"/>
        <v>7</v>
      </c>
      <c r="H69" s="99">
        <f>G69+'27'!H69</f>
        <v>375</v>
      </c>
      <c r="I69" s="118"/>
      <c r="J69" s="175">
        <f>H69/DAY(B2)</f>
        <v>13.392857142857142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8978</v>
      </c>
      <c r="F70" s="122">
        <v>8985</v>
      </c>
      <c r="G70" s="112">
        <f t="shared" si="6"/>
        <v>7</v>
      </c>
      <c r="H70" s="99">
        <f>G70+'27'!H70</f>
        <v>257</v>
      </c>
      <c r="I70" s="118"/>
      <c r="J70" s="175">
        <f>H70/DAY(B2)</f>
        <v>9.1785714285714288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267</v>
      </c>
      <c r="H71" s="99">
        <f>G71+'27'!H71</f>
        <v>7814</v>
      </c>
      <c r="I71" s="154"/>
      <c r="J71" s="175">
        <f>H71/DAY(B2)</f>
        <v>279.07142857142856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'27'!F74</f>
        <v>927800</v>
      </c>
      <c r="F74" s="117">
        <v>928129</v>
      </c>
      <c r="G74" s="112">
        <f t="shared" ref="G74:G78" si="7">F74-E74</f>
        <v>329</v>
      </c>
      <c r="H74" s="99">
        <f>G74+'27'!H74</f>
        <v>8804.4899999999907</v>
      </c>
      <c r="I74" s="154"/>
      <c r="J74" s="175">
        <f>H74/DAY(B2)</f>
        <v>314.44607142857109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'27'!F76</f>
        <v>179780</v>
      </c>
      <c r="F76" s="123">
        <v>179898</v>
      </c>
      <c r="G76" s="112">
        <f t="shared" si="7"/>
        <v>118</v>
      </c>
      <c r="H76" s="99">
        <f>G76+'27'!H76</f>
        <v>3311</v>
      </c>
      <c r="I76" s="154"/>
      <c r="J76" s="175">
        <f>H76/DAY(B2)</f>
        <v>118.25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'27'!F77</f>
        <v>45512</v>
      </c>
      <c r="F77" s="123">
        <v>45565</v>
      </c>
      <c r="G77" s="112">
        <f t="shared" si="7"/>
        <v>53</v>
      </c>
      <c r="H77" s="99">
        <f>G77+'27'!H77</f>
        <v>1402</v>
      </c>
      <c r="I77" s="154"/>
      <c r="J77" s="175">
        <f>H77/DAY(B2)</f>
        <v>50.071428571428569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'27'!F79</f>
        <v>0</v>
      </c>
      <c r="F79" s="123"/>
      <c r="G79" s="112">
        <f>G15-SUM(G74:G78)</f>
        <v>607</v>
      </c>
      <c r="H79" s="99">
        <f>G79+'27'!H79</f>
        <v>17070.510000000009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1107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41744</v>
      </c>
      <c r="F84" s="164">
        <v>41768</v>
      </c>
      <c r="G84" s="112">
        <f t="shared" si="8"/>
        <v>24</v>
      </c>
      <c r="H84" s="99">
        <f>G84+'27'!H84</f>
        <v>93</v>
      </c>
      <c r="I84" s="594"/>
      <c r="J84" s="175">
        <f>H84/DAY(B2)</f>
        <v>3.3214285714285716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3717</v>
      </c>
      <c r="F85" s="164">
        <v>3734</v>
      </c>
      <c r="G85" s="236">
        <f t="shared" si="8"/>
        <v>17</v>
      </c>
      <c r="H85" s="99">
        <f>G85+'27'!H85</f>
        <v>575.5</v>
      </c>
      <c r="I85" s="594"/>
      <c r="J85" s="175">
        <f>H85/DAY(B2)</f>
        <v>20.553571428571427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43924.480000000003</v>
      </c>
      <c r="F86" s="164">
        <v>43924</v>
      </c>
      <c r="G86" s="112">
        <f t="shared" si="8"/>
        <v>-0.48000000000320142</v>
      </c>
      <c r="H86" s="99">
        <f>G86+'27'!H86</f>
        <v>203.59999999999854</v>
      </c>
      <c r="I86" s="594"/>
      <c r="J86" s="175">
        <f>H86/DAY(B2)</f>
        <v>7.2714285714285198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35329</v>
      </c>
      <c r="F87" s="164">
        <v>35329</v>
      </c>
      <c r="G87" s="112">
        <f t="shared" si="8"/>
        <v>0</v>
      </c>
      <c r="H87" s="99">
        <f>G87+'27'!H87</f>
        <v>248.65000000000146</v>
      </c>
      <c r="I87" s="594">
        <f>G84+G85+G86+G87</f>
        <v>40.519999999996799</v>
      </c>
      <c r="J87" s="175">
        <f>H87/DAY(B2)</f>
        <v>8.8803571428571946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24187</v>
      </c>
      <c r="F88" s="164">
        <v>24188.17</v>
      </c>
      <c r="G88" s="112">
        <f t="shared" si="8"/>
        <v>1.1699999999982538</v>
      </c>
      <c r="H88" s="99">
        <f>G88+'27'!H88</f>
        <v>78.769999999996799</v>
      </c>
      <c r="I88" s="594"/>
      <c r="J88" s="175">
        <f>H88/DAY(B2)</f>
        <v>2.8132142857141713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26680.59</v>
      </c>
      <c r="F89" s="164">
        <v>26690.66</v>
      </c>
      <c r="G89" s="112">
        <f t="shared" si="8"/>
        <v>10.069999999999709</v>
      </c>
      <c r="H89" s="99">
        <f>G89+'27'!H89</f>
        <v>218.86999999999898</v>
      </c>
      <c r="I89" s="594">
        <f>G88+G89</f>
        <v>11.239999999997963</v>
      </c>
      <c r="J89" s="175">
        <f>H89/DAY(B2)</f>
        <v>7.816785714285678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71835.39</v>
      </c>
      <c r="F90" s="164">
        <v>71845.350000000006</v>
      </c>
      <c r="G90" s="112">
        <f t="shared" si="8"/>
        <v>9.9600000000064028</v>
      </c>
      <c r="H90" s="99">
        <f>G90+'27'!H90</f>
        <v>32.960000000006403</v>
      </c>
      <c r="I90" s="594">
        <f>G90</f>
        <v>9.9600000000064028</v>
      </c>
      <c r="J90" s="175">
        <f>H90/DAY(B2)</f>
        <v>1.1771428571430858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4023.5</v>
      </c>
      <c r="F91" s="122">
        <v>4035.44</v>
      </c>
      <c r="G91" s="112">
        <f t="shared" si="8"/>
        <v>11.940000000000055</v>
      </c>
      <c r="H91" s="99">
        <f>G91+'27'!H91</f>
        <v>125.69000000000005</v>
      </c>
      <c r="I91" s="688"/>
      <c r="J91" s="175">
        <f>H91/DAY(B2)</f>
        <v>4.4889285714285734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5934.87</v>
      </c>
      <c r="F92" s="122">
        <v>5935.04</v>
      </c>
      <c r="G92" s="112">
        <f t="shared" si="8"/>
        <v>0.17000000000007276</v>
      </c>
      <c r="H92" s="99">
        <f>G92+'27'!H92</f>
        <v>187.73999999999978</v>
      </c>
      <c r="I92" s="705">
        <f>G91+G92</f>
        <v>12.110000000000127</v>
      </c>
      <c r="J92" s="175">
        <f>H92/DAY(B2)</f>
        <v>6.7049999999999921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7249</v>
      </c>
      <c r="H94" s="99">
        <f>G94+'27'!H94</f>
        <v>202838.12</v>
      </c>
      <c r="I94" s="118"/>
      <c r="J94" s="175">
        <f>H94/DAY(B2)</f>
        <v>7244.2185714285715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0.25600367283514619</v>
      </c>
      <c r="H95" s="99">
        <f>G95+'27'!H95</f>
        <v>7.2435733249761105</v>
      </c>
      <c r="I95" s="167"/>
      <c r="J95" s="175">
        <f>H95/DAY(B2)</f>
        <v>0.25869904732057536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9987</v>
      </c>
      <c r="H96" s="99">
        <f>G96+'27'!H96</f>
        <v>220355.04</v>
      </c>
      <c r="I96" s="118"/>
      <c r="J96" s="175">
        <f>H96/DAY(B2)</f>
        <v>7869.8228571428572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0.35269812120355981</v>
      </c>
      <c r="H97" s="99">
        <f>G97+'27'!H97</f>
        <v>7.8488804201020823</v>
      </c>
      <c r="I97" s="167"/>
      <c r="J97" s="175">
        <f>H97/DAY(B2)</f>
        <v>0.28031715786078865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2899</v>
      </c>
      <c r="H98" s="99">
        <f>G98+'27'!H98</f>
        <v>90085.57</v>
      </c>
      <c r="I98" s="168"/>
      <c r="J98" s="175">
        <f>H98/DAY(B2)</f>
        <v>3217.3417857142858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0.10238027970052267</v>
      </c>
      <c r="H99" s="99">
        <f>G99+'27'!H99</f>
        <v>3.2212936002126797</v>
      </c>
      <c r="I99" s="168"/>
      <c r="J99" s="175">
        <f>H99/DAY(B2)</f>
        <v>0.1150462000075957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2374</v>
      </c>
      <c r="H100" s="99">
        <f>G100+'27'!H100</f>
        <v>68443.63</v>
      </c>
      <c r="I100" s="118"/>
      <c r="J100" s="175">
        <f>H100/DAY(B2)</f>
        <v>2444.4153571428574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8.3839525356688802E-2</v>
      </c>
      <c r="H101" s="99">
        <f>G101+'27'!H101</f>
        <v>2.4473682132862149</v>
      </c>
      <c r="I101" s="168"/>
      <c r="J101" s="175">
        <f>H101/DAY(B2)</f>
        <v>8.740600761736482E-2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2265</v>
      </c>
      <c r="H102" s="99">
        <f>G102+'27'!H102</f>
        <v>66686.199999999983</v>
      </c>
      <c r="I102" s="168"/>
      <c r="J102" s="175">
        <f>H102/DAY(B2)</f>
        <v>2381.6499999999992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7.9990111597683294E-2</v>
      </c>
      <c r="H103" s="99">
        <f>G103+'27'!H103</f>
        <v>2.3776073099129884</v>
      </c>
      <c r="I103" s="118"/>
      <c r="J103" s="175">
        <f>H103/DAY(B2)</f>
        <v>8.4914546782606723E-2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1728</v>
      </c>
      <c r="H104" s="99">
        <f>G104+'27'!H104</f>
        <v>46668.30000000001</v>
      </c>
      <c r="I104" s="118"/>
      <c r="J104" s="175">
        <f>H104/DAY(B2)</f>
        <v>1666.7250000000004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6.1025568583133211E-2</v>
      </c>
      <c r="H105" s="99">
        <f>G105+'27'!H105</f>
        <v>1.6669238224975105</v>
      </c>
      <c r="I105" s="187"/>
      <c r="J105" s="188">
        <f>H105/DAY(B2)</f>
        <v>5.9532993660625373E-2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95">
        <v>0</v>
      </c>
      <c r="F112" s="237">
        <v>82</v>
      </c>
      <c r="G112" s="112">
        <f t="shared" ref="G112:G123" si="9">F112-E112</f>
        <v>82</v>
      </c>
      <c r="H112" s="99">
        <f>G112+'27'!H112</f>
        <v>2202.4700000000012</v>
      </c>
      <c r="I112" s="165"/>
      <c r="J112" s="328">
        <f>H112/DAY(B2)</f>
        <v>78.659642857142899</v>
      </c>
    </row>
    <row r="113" spans="1:18" ht="29.25" customHeight="1">
      <c r="A113" s="907" t="s">
        <v>253</v>
      </c>
      <c r="B113" s="908"/>
      <c r="C113" s="909"/>
      <c r="D113" s="146" t="s">
        <v>183</v>
      </c>
      <c r="E113" s="95">
        <v>0</v>
      </c>
      <c r="F113" s="237">
        <v>165</v>
      </c>
      <c r="G113" s="112">
        <f t="shared" si="9"/>
        <v>165</v>
      </c>
      <c r="H113" s="99">
        <f>G113+'27'!H113</f>
        <v>12098.789999999995</v>
      </c>
      <c r="I113" s="165"/>
      <c r="J113" s="328">
        <f>H113/DAY(B2)</f>
        <v>432.09964285714267</v>
      </c>
    </row>
    <row r="114" spans="1:18" ht="29.25" customHeight="1">
      <c r="A114" s="907" t="s">
        <v>254</v>
      </c>
      <c r="B114" s="908"/>
      <c r="C114" s="909"/>
      <c r="D114" s="146" t="s">
        <v>183</v>
      </c>
      <c r="E114" s="95">
        <v>0</v>
      </c>
      <c r="F114" s="237">
        <v>225</v>
      </c>
      <c r="G114" s="112">
        <f t="shared" si="9"/>
        <v>225</v>
      </c>
      <c r="H114" s="99">
        <f>G114+'27'!H114</f>
        <v>7055.1100000000006</v>
      </c>
      <c r="I114" s="165"/>
      <c r="J114" s="328">
        <f>H114/DAY(B2)</f>
        <v>251.96821428571431</v>
      </c>
    </row>
    <row r="115" spans="1:18" ht="29.25" customHeight="1">
      <c r="A115" s="907" t="s">
        <v>255</v>
      </c>
      <c r="B115" s="908"/>
      <c r="C115" s="909"/>
      <c r="D115" s="146" t="s">
        <v>183</v>
      </c>
      <c r="E115" s="95">
        <v>0</v>
      </c>
      <c r="F115" s="237">
        <v>178</v>
      </c>
      <c r="G115" s="112">
        <f t="shared" si="9"/>
        <v>178</v>
      </c>
      <c r="H115" s="99">
        <f>G115+'27'!H115</f>
        <v>756.23999999999978</v>
      </c>
      <c r="I115" s="165"/>
      <c r="J115" s="328">
        <f>H115/DAY(B2)</f>
        <v>27.008571428571422</v>
      </c>
    </row>
    <row r="116" spans="1:18" ht="29.25" customHeight="1">
      <c r="A116" s="925" t="s">
        <v>96</v>
      </c>
      <c r="B116" s="926"/>
      <c r="C116" s="927"/>
      <c r="D116" s="146" t="s">
        <v>183</v>
      </c>
      <c r="E116" s="95">
        <f>'27'!F116</f>
        <v>33807</v>
      </c>
      <c r="F116" s="237">
        <v>34114</v>
      </c>
      <c r="G116" s="112">
        <f t="shared" si="9"/>
        <v>307</v>
      </c>
      <c r="H116" s="99">
        <f>G116+'27'!H116</f>
        <v>11329.380000000001</v>
      </c>
      <c r="I116" s="165"/>
      <c r="J116" s="328">
        <f>H116/DAY(B2)</f>
        <v>404.62071428571431</v>
      </c>
      <c r="Q116" s="907"/>
      <c r="R116" s="909"/>
    </row>
    <row r="117" spans="1:18" ht="29.25" customHeight="1">
      <c r="A117" s="925" t="s">
        <v>184</v>
      </c>
      <c r="B117" s="926"/>
      <c r="C117" s="927"/>
      <c r="D117" s="146" t="s">
        <v>183</v>
      </c>
      <c r="E117" s="95">
        <f>'27'!F117</f>
        <v>18434</v>
      </c>
      <c r="F117" s="237">
        <v>18615</v>
      </c>
      <c r="G117" s="112">
        <f t="shared" si="9"/>
        <v>181</v>
      </c>
      <c r="H117" s="99">
        <f>G117+'27'!H117</f>
        <v>5001.8269999999993</v>
      </c>
      <c r="I117" s="165"/>
      <c r="J117" s="328">
        <f>H117/DAY(B2)</f>
        <v>178.63667857142855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95">
        <f>'27'!F118</f>
        <v>7363</v>
      </c>
      <c r="F118" s="237">
        <v>7934</v>
      </c>
      <c r="G118" s="112">
        <f t="shared" si="9"/>
        <v>571</v>
      </c>
      <c r="H118" s="99">
        <f>G118+'27'!H118</f>
        <v>14882.030000000032</v>
      </c>
      <c r="I118" s="165"/>
      <c r="J118" s="328">
        <f>H118/DAY(B2)</f>
        <v>531.50107142857257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95">
        <f>'27'!F119</f>
        <v>4577</v>
      </c>
      <c r="F119" s="237">
        <v>5007</v>
      </c>
      <c r="G119" s="112">
        <f t="shared" si="9"/>
        <v>430</v>
      </c>
      <c r="H119" s="99">
        <f>G119+'27'!H119</f>
        <v>12327.609999999986</v>
      </c>
      <c r="I119" s="165"/>
      <c r="J119" s="328">
        <f>H119/DAY(B2)</f>
        <v>440.27178571428522</v>
      </c>
    </row>
    <row r="120" spans="1:18" ht="25.5">
      <c r="A120" s="902" t="s">
        <v>99</v>
      </c>
      <c r="B120" s="902"/>
      <c r="C120" s="902"/>
      <c r="D120" s="151" t="s">
        <v>183</v>
      </c>
      <c r="E120" s="95">
        <f>'27'!F120</f>
        <v>5819</v>
      </c>
      <c r="F120" s="237">
        <v>6245</v>
      </c>
      <c r="G120" s="112">
        <f t="shared" si="9"/>
        <v>426</v>
      </c>
      <c r="H120" s="99">
        <f>G120+'27'!H120</f>
        <v>11591.240000000005</v>
      </c>
      <c r="I120" s="165"/>
      <c r="J120" s="328">
        <f>H120/DAY(B2)</f>
        <v>413.97285714285732</v>
      </c>
    </row>
    <row r="121" spans="1:18" ht="25.5">
      <c r="A121" s="902" t="s">
        <v>100</v>
      </c>
      <c r="B121" s="902"/>
      <c r="C121" s="902"/>
      <c r="D121" s="151" t="s">
        <v>183</v>
      </c>
      <c r="E121" s="95">
        <f>'27'!F121</f>
        <v>10397</v>
      </c>
      <c r="F121" s="237">
        <v>10893</v>
      </c>
      <c r="G121" s="112">
        <f t="shared" si="9"/>
        <v>496</v>
      </c>
      <c r="H121" s="99">
        <f>G121+'27'!H121</f>
        <v>21297.729999999981</v>
      </c>
      <c r="I121" s="165"/>
      <c r="J121" s="328">
        <f>H121/DAY(B2)</f>
        <v>760.63321428571362</v>
      </c>
    </row>
    <row r="122" spans="1:18" ht="25.5">
      <c r="A122" s="902" t="s">
        <v>101</v>
      </c>
      <c r="B122" s="902"/>
      <c r="C122" s="902"/>
      <c r="D122" s="151" t="s">
        <v>183</v>
      </c>
      <c r="E122" s="95">
        <f>'27'!F122</f>
        <v>2979</v>
      </c>
      <c r="F122" s="237">
        <v>3188</v>
      </c>
      <c r="G122" s="112">
        <f t="shared" si="9"/>
        <v>209</v>
      </c>
      <c r="H122" s="99">
        <f>G122+'27'!H122</f>
        <v>6004.859999999986</v>
      </c>
      <c r="I122" s="165"/>
      <c r="J122" s="328">
        <f>H122/DAY(B2)</f>
        <v>214.45928571428522</v>
      </c>
    </row>
    <row r="123" spans="1:18" ht="25.5">
      <c r="A123" s="902" t="s">
        <v>102</v>
      </c>
      <c r="B123" s="902"/>
      <c r="C123" s="902"/>
      <c r="D123" s="151" t="s">
        <v>183</v>
      </c>
      <c r="E123" s="95">
        <v>0</v>
      </c>
      <c r="F123" s="237">
        <v>329</v>
      </c>
      <c r="G123" s="112">
        <f t="shared" si="9"/>
        <v>329</v>
      </c>
      <c r="H123" s="99">
        <f>G123+'27'!H123</f>
        <v>6442.5299999999988</v>
      </c>
      <c r="I123" s="165"/>
      <c r="J123" s="328">
        <f>H123/DAY(B2)</f>
        <v>230.0903571428571</v>
      </c>
    </row>
    <row r="124" spans="1:18" ht="29.25" customHeight="1">
      <c r="A124" s="932"/>
      <c r="B124" s="933"/>
      <c r="C124" s="934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3599</v>
      </c>
      <c r="H125" s="156"/>
      <c r="I125" s="327">
        <f>G125-(G39+G53)</f>
        <v>700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7" t="s">
        <v>318</v>
      </c>
      <c r="B128" s="908"/>
      <c r="C128" s="909"/>
      <c r="D128" s="151" t="s">
        <v>183</v>
      </c>
      <c r="E128" s="95">
        <f>'27'!F128</f>
        <v>80190</v>
      </c>
      <c r="F128" s="165">
        <v>80594</v>
      </c>
      <c r="G128" s="112">
        <f t="shared" ref="G128:G134" si="10">F128-E128</f>
        <v>404</v>
      </c>
      <c r="H128" s="99">
        <f>G128+'27'!H128</f>
        <v>11677.759999999995</v>
      </c>
      <c r="I128" s="165"/>
      <c r="J128" s="328">
        <f>H128/DAY(B2)</f>
        <v>417.06285714285696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50130</v>
      </c>
      <c r="F129" s="165">
        <v>50450</v>
      </c>
      <c r="G129" s="112">
        <f t="shared" si="10"/>
        <v>320</v>
      </c>
      <c r="H129" s="99">
        <f>G129+'27'!H129</f>
        <v>8338.9499999999971</v>
      </c>
      <c r="I129" s="165"/>
      <c r="J129" s="328">
        <f>H129/DAY(B2)</f>
        <v>297.81964285714275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94551</v>
      </c>
      <c r="F130" s="165">
        <v>95252</v>
      </c>
      <c r="G130" s="112">
        <f t="shared" si="10"/>
        <v>701</v>
      </c>
      <c r="H130" s="99">
        <f>G130+'27'!H130</f>
        <v>19590.050000000003</v>
      </c>
      <c r="I130" s="165"/>
      <c r="J130" s="328">
        <f>H130/DAY(B2)</f>
        <v>699.64464285714291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'27'!F131</f>
        <v>29825</v>
      </c>
      <c r="F131" s="165">
        <v>30020</v>
      </c>
      <c r="G131" s="112">
        <f t="shared" si="10"/>
        <v>195</v>
      </c>
      <c r="H131" s="99">
        <f>G131+'27'!H131</f>
        <v>5587.5</v>
      </c>
      <c r="I131" s="165"/>
      <c r="J131" s="328">
        <f>H131/DAY(B2)</f>
        <v>199.55357142857142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'27'!F132</f>
        <v>87499</v>
      </c>
      <c r="F132" s="165">
        <v>87941</v>
      </c>
      <c r="G132" s="112">
        <f t="shared" si="10"/>
        <v>442</v>
      </c>
      <c r="H132" s="99">
        <f>G132+'27'!H132</f>
        <v>12273.5</v>
      </c>
      <c r="I132" s="165"/>
      <c r="J132" s="328">
        <f>H132/DAY(B2)</f>
        <v>438.33928571428572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'27'!F133</f>
        <v>169889</v>
      </c>
      <c r="F133" s="165">
        <v>170761</v>
      </c>
      <c r="G133" s="112">
        <f t="shared" si="10"/>
        <v>872</v>
      </c>
      <c r="H133" s="99">
        <f>G133+'27'!H133</f>
        <v>25379.010000000009</v>
      </c>
      <c r="I133" s="165"/>
      <c r="J133" s="328">
        <f>H133/DAY(B2)</f>
        <v>906.39321428571463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'27'!F134</f>
        <v>27262</v>
      </c>
      <c r="F134" s="158">
        <v>27508</v>
      </c>
      <c r="G134" s="112">
        <f t="shared" si="10"/>
        <v>246</v>
      </c>
      <c r="H134" s="99">
        <f>G134+'27'!H134</f>
        <v>6715.32</v>
      </c>
      <c r="I134" s="165"/>
      <c r="J134" s="328">
        <f>H134/DAY(B2)</f>
        <v>239.83285714285714</v>
      </c>
    </row>
    <row r="135" spans="1:15" ht="25.5">
      <c r="A135" s="935" t="s">
        <v>196</v>
      </c>
      <c r="B135" s="936"/>
      <c r="C135" s="331"/>
      <c r="D135" s="151"/>
      <c r="E135" s="95"/>
      <c r="F135" s="165"/>
      <c r="G135" s="112">
        <f>SUM(G128:G134)</f>
        <v>3180</v>
      </c>
      <c r="H135" s="99">
        <f>G135+'23'!H135</f>
        <v>38065.409999999974</v>
      </c>
      <c r="I135" s="327">
        <f>G135-(G35+G49)</f>
        <v>-763</v>
      </c>
      <c r="J135" s="328">
        <f>H135/DAY(B2)</f>
        <v>1359.4789285714276</v>
      </c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'27'!F138</f>
        <v>878335</v>
      </c>
      <c r="F138" s="147">
        <v>878489</v>
      </c>
      <c r="G138" s="112">
        <f t="shared" ref="G138:G152" si="11">F138-E138</f>
        <v>154</v>
      </c>
      <c r="H138" s="99">
        <f>G138+'27'!H138</f>
        <v>4488</v>
      </c>
      <c r="I138" s="118"/>
      <c r="J138" s="328">
        <f>H138/DAY(B2)</f>
        <v>160.28571428571428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'27'!F139</f>
        <v>894414</v>
      </c>
      <c r="F139" s="148">
        <v>894511</v>
      </c>
      <c r="G139" s="112">
        <f t="shared" si="11"/>
        <v>97</v>
      </c>
      <c r="H139" s="99">
        <f>G139+'27'!H139</f>
        <v>4193</v>
      </c>
      <c r="I139" s="118"/>
      <c r="J139" s="328">
        <f>H139/DAY(B2)</f>
        <v>149.75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v>101</v>
      </c>
      <c r="F140" s="149">
        <v>112</v>
      </c>
      <c r="G140" s="112">
        <f t="shared" si="11"/>
        <v>11</v>
      </c>
      <c r="H140" s="99">
        <f>G140+'27'!H140</f>
        <v>53</v>
      </c>
      <c r="I140" s="118"/>
      <c r="J140" s="328">
        <f>H140/DAY(B2)</f>
        <v>1.8928571428571428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'27'!F141</f>
        <v>71138</v>
      </c>
      <c r="F141" s="149">
        <v>71339</v>
      </c>
      <c r="G141" s="112">
        <f t="shared" si="11"/>
        <v>201</v>
      </c>
      <c r="H141" s="99">
        <f>G141+'27'!H141</f>
        <v>5555.4700000000012</v>
      </c>
      <c r="I141" s="118"/>
      <c r="J141" s="328">
        <f>H141/DAY(B2)</f>
        <v>198.4096428571429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'27'!F142</f>
        <v>27253</v>
      </c>
      <c r="F142" s="148">
        <v>27322</v>
      </c>
      <c r="G142" s="112">
        <f t="shared" si="11"/>
        <v>69</v>
      </c>
      <c r="H142" s="99">
        <f>G142+'27'!H142</f>
        <v>1825.5999999999985</v>
      </c>
      <c r="I142" s="140"/>
      <c r="J142" s="328">
        <f>H142/DAY(B2)</f>
        <v>65.199999999999946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'27'!F143</f>
        <v>6325</v>
      </c>
      <c r="F143" s="149">
        <v>6356</v>
      </c>
      <c r="G143" s="112">
        <f t="shared" si="11"/>
        <v>31</v>
      </c>
      <c r="H143" s="99">
        <f>G143+'27'!H143</f>
        <v>795.29</v>
      </c>
      <c r="I143" s="140"/>
      <c r="J143" s="328">
        <f>H143/DAY(B2)</f>
        <v>28.403214285714284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'27'!F144</f>
        <v>896489</v>
      </c>
      <c r="F144" s="149">
        <v>896726</v>
      </c>
      <c r="G144" s="112">
        <f t="shared" si="11"/>
        <v>237</v>
      </c>
      <c r="H144" s="99">
        <f>G144+'27'!H144</f>
        <v>6892</v>
      </c>
      <c r="I144" s="140"/>
      <c r="J144" s="328">
        <f>H144/DAY(B2)</f>
        <v>246.14285714285714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'27'!F145</f>
        <v>5621</v>
      </c>
      <c r="F145" s="149">
        <v>5623</v>
      </c>
      <c r="G145" s="112">
        <f t="shared" si="11"/>
        <v>2</v>
      </c>
      <c r="H145" s="99">
        <f>G145+'27'!H145</f>
        <v>66.600000000000364</v>
      </c>
      <c r="I145" s="140"/>
      <c r="J145" s="328">
        <f>H145/DAY(B2)</f>
        <v>2.3785714285714414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'27'!F146</f>
        <v>776447</v>
      </c>
      <c r="F146" s="148">
        <v>776454</v>
      </c>
      <c r="G146" s="112">
        <f t="shared" si="11"/>
        <v>7</v>
      </c>
      <c r="H146" s="99">
        <f>G146+'27'!H146</f>
        <v>12128</v>
      </c>
      <c r="I146" s="140"/>
      <c r="J146" s="328">
        <f>H146/DAY(B2)</f>
        <v>433.14285714285717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'27'!F147</f>
        <v>662004</v>
      </c>
      <c r="F147" s="148">
        <v>662375</v>
      </c>
      <c r="G147" s="112">
        <f t="shared" si="11"/>
        <v>371</v>
      </c>
      <c r="H147" s="99">
        <f>G147+'27'!H147</f>
        <v>12191</v>
      </c>
      <c r="I147" s="140"/>
      <c r="J147" s="328">
        <f>H147/DAY(B2)</f>
        <v>435.39285714285717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'27'!F148</f>
        <v>718720</v>
      </c>
      <c r="F148" s="150">
        <v>719054</v>
      </c>
      <c r="G148" s="112">
        <f t="shared" si="11"/>
        <v>334</v>
      </c>
      <c r="H148" s="99">
        <f>G148+'27'!H148</f>
        <v>10189.319999999949</v>
      </c>
      <c r="I148" s="124"/>
      <c r="J148" s="328">
        <f>H148/DAY(B2)</f>
        <v>363.9042857142839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'27'!F149</f>
        <v>81574</v>
      </c>
      <c r="F149" s="146">
        <v>82180</v>
      </c>
      <c r="G149" s="112">
        <f t="shared" si="11"/>
        <v>606</v>
      </c>
      <c r="H149" s="99">
        <f>G149+'27'!H149</f>
        <v>18956.199999999997</v>
      </c>
      <c r="I149" s="119"/>
      <c r="J149" s="328">
        <f>H149/DAY(B2)</f>
        <v>677.00714285714275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'27'!F150</f>
        <v>29948</v>
      </c>
      <c r="F150" s="233">
        <v>30164</v>
      </c>
      <c r="G150" s="112">
        <f t="shared" si="11"/>
        <v>216</v>
      </c>
      <c r="H150" s="99">
        <f>G150+'27'!H150</f>
        <v>6208.2099999999991</v>
      </c>
      <c r="I150" s="119"/>
      <c r="J150" s="328">
        <f>H150/DAY(B2)</f>
        <v>221.72178571428569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'27'!F151</f>
        <v>108300</v>
      </c>
      <c r="F151" s="233">
        <v>108560</v>
      </c>
      <c r="G151" s="112">
        <f t="shared" si="11"/>
        <v>260</v>
      </c>
      <c r="H151" s="99">
        <f>G151+'27'!H151</f>
        <v>7949</v>
      </c>
      <c r="I151" s="119"/>
      <c r="J151" s="328">
        <f>H151/DAY(B2)</f>
        <v>283.89285714285717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'27'!F152</f>
        <v>10802</v>
      </c>
      <c r="F152" s="233">
        <v>10926</v>
      </c>
      <c r="G152" s="112">
        <f t="shared" si="11"/>
        <v>124</v>
      </c>
      <c r="H152" s="99">
        <f>G152+'27'!H152</f>
        <v>2856.9399999999996</v>
      </c>
      <c r="I152" s="119"/>
      <c r="J152" s="328">
        <f>H152/DAY(B2)</f>
        <v>102.03357142857142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2720</v>
      </c>
      <c r="H153" s="363"/>
      <c r="I153" s="119">
        <f>G153-(G38+G52)</f>
        <v>346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527">
        <f>'27'!F155</f>
        <v>90736</v>
      </c>
      <c r="F155" s="528">
        <v>91384</v>
      </c>
      <c r="G155" s="112">
        <f t="shared" ref="G155:G158" si="12">F155-E155</f>
        <v>648</v>
      </c>
      <c r="H155" s="99">
        <f>G155+'27'!H155</f>
        <v>18613.5</v>
      </c>
      <c r="I155" s="364"/>
      <c r="J155" s="328">
        <f>H155/DAY(B2)</f>
        <v>664.76785714285711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'27'!F156</f>
        <v>7526</v>
      </c>
      <c r="F156" s="155">
        <v>7580</v>
      </c>
      <c r="G156" s="112">
        <f t="shared" si="12"/>
        <v>54</v>
      </c>
      <c r="H156" s="99">
        <f>G156+'27'!H156</f>
        <v>1522.75</v>
      </c>
      <c r="I156" s="165"/>
      <c r="J156" s="328">
        <f>H156/DAY(B2)</f>
        <v>54.383928571428569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'27'!F157</f>
        <v>13175</v>
      </c>
      <c r="F157" s="157">
        <v>13283</v>
      </c>
      <c r="G157" s="112">
        <f t="shared" si="12"/>
        <v>108</v>
      </c>
      <c r="H157" s="99"/>
      <c r="I157" s="165"/>
      <c r="J157" s="328"/>
    </row>
    <row r="158" spans="1:10" ht="25.5">
      <c r="A158" s="898" t="s">
        <v>362</v>
      </c>
      <c r="B158" s="899"/>
      <c r="C158" s="900"/>
      <c r="D158" s="117" t="s">
        <v>130</v>
      </c>
      <c r="E158" s="95">
        <f>'27'!F158</f>
        <v>103</v>
      </c>
      <c r="F158" s="155">
        <v>104</v>
      </c>
      <c r="G158" s="112">
        <f t="shared" si="12"/>
        <v>1</v>
      </c>
      <c r="H158" s="99"/>
      <c r="I158" s="165"/>
      <c r="J158" s="328"/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474711</v>
      </c>
      <c r="F161" s="235">
        <v>474736</v>
      </c>
      <c r="G161" s="238">
        <f t="shared" ref="G161:G165" si="13">F161-E161</f>
        <v>25</v>
      </c>
      <c r="H161" s="99">
        <f>G161+'27'!H161</f>
        <v>895.27000000001863</v>
      </c>
      <c r="I161" s="236"/>
      <c r="J161" s="239">
        <f>H161/DAY(B2)</f>
        <v>31.973928571429237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91427</v>
      </c>
      <c r="F162" s="235">
        <v>91468</v>
      </c>
      <c r="G162" s="238">
        <f t="shared" si="13"/>
        <v>41</v>
      </c>
      <c r="H162" s="99">
        <f>G162+'27'!H162</f>
        <v>1015.1000000000058</v>
      </c>
      <c r="I162" s="236"/>
      <c r="J162" s="239">
        <f>H162/DAY(B2)</f>
        <v>36.25357142857164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91504</v>
      </c>
      <c r="F163" s="235">
        <v>91690</v>
      </c>
      <c r="G163" s="238">
        <f t="shared" si="13"/>
        <v>186</v>
      </c>
      <c r="H163" s="99">
        <f>G163+'27'!H163</f>
        <v>4611.1999999999971</v>
      </c>
      <c r="I163" s="236"/>
      <c r="J163" s="239">
        <f>H163/DAY(B2)</f>
        <v>164.68571428571417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5146</v>
      </c>
      <c r="F164" s="235">
        <v>5159</v>
      </c>
      <c r="G164" s="238">
        <f t="shared" si="13"/>
        <v>13</v>
      </c>
      <c r="H164" s="99">
        <f>G164+'27'!H164</f>
        <v>346.60000000000036</v>
      </c>
      <c r="I164" s="236"/>
      <c r="J164" s="239">
        <f>H164/DAY(B2)</f>
        <v>12.378571428571442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30597</v>
      </c>
      <c r="F165" s="235">
        <v>30610</v>
      </c>
      <c r="G165" s="238">
        <f t="shared" si="13"/>
        <v>13</v>
      </c>
      <c r="H165" s="99">
        <f>G165+'27'!H165</f>
        <v>254.4900000000016</v>
      </c>
      <c r="I165" s="236"/>
      <c r="J165" s="239">
        <f>H165/DAY(B2)</f>
        <v>9.0889285714286281</v>
      </c>
    </row>
    <row r="166" spans="1:10" ht="26.25">
      <c r="A166" s="938"/>
      <c r="B166" s="938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'27'!F173</f>
        <v>8240</v>
      </c>
      <c r="F173" s="155">
        <v>8261</v>
      </c>
      <c r="G173" s="155">
        <f>F173-E173</f>
        <v>21</v>
      </c>
      <c r="H173" s="99">
        <f>G173+'27'!H173</f>
        <v>119</v>
      </c>
      <c r="I173" s="155"/>
      <c r="J173" s="178">
        <f>H173/DAY(B2)</f>
        <v>4.25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'27'!F174</f>
        <v>39884</v>
      </c>
      <c r="F174" s="157">
        <v>39899</v>
      </c>
      <c r="G174" s="155">
        <f t="shared" ref="G174:G175" si="14">F174-E174</f>
        <v>15</v>
      </c>
      <c r="H174" s="99">
        <f>G174+'27'!H174</f>
        <v>437</v>
      </c>
      <c r="I174" s="155"/>
      <c r="J174" s="178">
        <f>H174/DAY(B2)</f>
        <v>15.607142857142858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'27'!F175</f>
        <v>22853</v>
      </c>
      <c r="F175" s="155">
        <v>22866</v>
      </c>
      <c r="G175" s="155">
        <f t="shared" si="14"/>
        <v>13</v>
      </c>
      <c r="H175" s="99">
        <f>G175+'27'!H175</f>
        <v>344</v>
      </c>
      <c r="I175" s="155"/>
      <c r="J175" s="178">
        <f>H175/DAY(B2)</f>
        <v>12.285714285714286</v>
      </c>
    </row>
    <row r="176" spans="1:10" ht="25.5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49</v>
      </c>
      <c r="H176" s="99">
        <f>G176+'27'!H176</f>
        <v>900</v>
      </c>
      <c r="I176" s="155"/>
      <c r="J176" s="178">
        <f>H176/DAY(B2)</f>
        <v>32.142857142857146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'27'!F178</f>
        <v>88327</v>
      </c>
      <c r="F178" s="155">
        <v>88411</v>
      </c>
      <c r="G178" s="155">
        <f>F178-E178</f>
        <v>84</v>
      </c>
      <c r="H178" s="99">
        <f>G178+'27'!H178</f>
        <v>2795</v>
      </c>
      <c r="I178" s="155"/>
      <c r="J178" s="178">
        <f>H178/DAY(B2)</f>
        <v>99.821428571428569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'27'!F179</f>
        <v>35772</v>
      </c>
      <c r="F179" s="155">
        <v>35772</v>
      </c>
      <c r="G179" s="155">
        <f t="shared" ref="G179:G180" si="15">F179-E179</f>
        <v>0</v>
      </c>
      <c r="H179" s="99">
        <f>G179+'27'!H179</f>
        <v>158</v>
      </c>
      <c r="I179" s="155"/>
      <c r="J179" s="178">
        <f>H179/DAY(B2)</f>
        <v>5.6428571428571432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'27'!F180</f>
        <v>6350</v>
      </c>
      <c r="F180" s="155">
        <v>6363</v>
      </c>
      <c r="G180" s="155">
        <f t="shared" si="15"/>
        <v>13</v>
      </c>
      <c r="H180" s="99">
        <f>G180+'27'!H180</f>
        <v>230</v>
      </c>
      <c r="I180" s="155"/>
      <c r="J180" s="178">
        <f>H180/DAY(B2)</f>
        <v>8.2142857142857135</v>
      </c>
    </row>
    <row r="181" spans="1:10" ht="25.5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97</v>
      </c>
      <c r="H181" s="99">
        <f>G181+'27'!H181</f>
        <v>3183</v>
      </c>
      <c r="I181" s="155"/>
      <c r="J181" s="178">
        <f>H181/DAY(B2)</f>
        <v>113.67857142857143</v>
      </c>
    </row>
    <row r="182" spans="1:10" ht="25.5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'27'!F183</f>
        <v>16585</v>
      </c>
      <c r="F183" s="157">
        <v>16594</v>
      </c>
      <c r="G183" s="157">
        <f>F183-E183</f>
        <v>9</v>
      </c>
      <c r="H183" s="99">
        <f>G183+'27'!H183</f>
        <v>452</v>
      </c>
      <c r="I183" s="155"/>
      <c r="J183" s="178">
        <f>H183/DAY(B2)</f>
        <v>16.142857142857142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'27'!F184</f>
        <v>11257</v>
      </c>
      <c r="F184" s="157">
        <v>11262</v>
      </c>
      <c r="G184" s="157">
        <f t="shared" ref="G184:G185" si="16">F184-E184</f>
        <v>5</v>
      </c>
      <c r="H184" s="99">
        <f>G184+'27'!H184</f>
        <v>213</v>
      </c>
      <c r="I184" s="155"/>
      <c r="J184" s="178">
        <f>H184/DAY(B2)</f>
        <v>7.6071428571428568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14</v>
      </c>
      <c r="H186" s="99">
        <f>G186+'27'!H186</f>
        <v>665</v>
      </c>
      <c r="I186" s="157"/>
      <c r="J186" s="178">
        <f>H186/DAY(B2)</f>
        <v>23.75</v>
      </c>
    </row>
    <row r="187" spans="1:10" ht="25.5">
      <c r="A187" s="946" t="s">
        <v>217</v>
      </c>
      <c r="B187" s="947"/>
      <c r="C187" s="333"/>
      <c r="D187" s="230" t="s">
        <v>142</v>
      </c>
      <c r="E187" s="95">
        <f>'27'!F187</f>
        <v>0</v>
      </c>
      <c r="F187" s="159"/>
      <c r="G187" s="378">
        <f>G62+G19</f>
        <v>219</v>
      </c>
      <c r="H187" s="99">
        <f>G187+'27'!H187</f>
        <v>6407</v>
      </c>
      <c r="I187" s="158"/>
      <c r="J187" s="179">
        <f>H187/DAY(B2)</f>
        <v>228.82142857142858</v>
      </c>
    </row>
    <row r="188" spans="1:10" ht="25.5">
      <c r="A188" s="946" t="s">
        <v>218</v>
      </c>
      <c r="B188" s="947"/>
      <c r="C188" s="333"/>
      <c r="D188" s="230" t="s">
        <v>142</v>
      </c>
      <c r="E188" s="95">
        <f>'27'!F188</f>
        <v>0</v>
      </c>
      <c r="F188" s="159"/>
      <c r="G188" s="378">
        <f>G65+G66+G67+G69+G70</f>
        <v>224</v>
      </c>
      <c r="H188" s="99">
        <f>G188+'27'!H188</f>
        <v>3282</v>
      </c>
      <c r="I188" s="158"/>
      <c r="J188" s="179">
        <f>H188/DAY(B2)</f>
        <v>117.21428571428571</v>
      </c>
    </row>
    <row r="189" spans="1:10" ht="25.5">
      <c r="A189" s="946" t="s">
        <v>219</v>
      </c>
      <c r="B189" s="947"/>
      <c r="C189" s="333"/>
      <c r="D189" s="230" t="s">
        <v>142</v>
      </c>
      <c r="E189" s="95">
        <f>'27'!F189</f>
        <v>0</v>
      </c>
      <c r="F189" s="157"/>
      <c r="G189" s="377">
        <f>G181</f>
        <v>97</v>
      </c>
      <c r="H189" s="99">
        <f>G189+'27'!H189</f>
        <v>1162</v>
      </c>
      <c r="I189" s="158"/>
      <c r="J189" s="179">
        <f>H189/DAY(B2)</f>
        <v>41.5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7" zoomScale="55" zoomScaleNormal="78" zoomScaleSheetLayoutView="55" workbookViewId="0">
      <selection activeCell="F27" sqref="F27: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359</v>
      </c>
      <c r="B2" s="262">
        <v>44680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771205</v>
      </c>
      <c r="F7" s="95">
        <v>801190</v>
      </c>
      <c r="G7" s="112">
        <f>F7-E7</f>
        <v>29985</v>
      </c>
      <c r="H7" s="99">
        <f>G7+'28'!H7</f>
        <v>814467</v>
      </c>
      <c r="I7" s="113">
        <f>'1'!I7</f>
        <v>12000</v>
      </c>
      <c r="J7" s="175">
        <f>H7/DAY(B2)</f>
        <v>28085.068965517243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858101</v>
      </c>
      <c r="F8" s="114">
        <v>888604</v>
      </c>
      <c r="G8" s="115">
        <f>F8-E8</f>
        <v>30503</v>
      </c>
      <c r="H8" s="99">
        <f>G8+'28'!H8</f>
        <v>830557.78</v>
      </c>
      <c r="I8" s="116"/>
      <c r="J8" s="175">
        <f>H8/DAY(B2)</f>
        <v>28639.923448275862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1843760</v>
      </c>
      <c r="F9" s="470">
        <v>1869320</v>
      </c>
      <c r="G9" s="112">
        <f>F9-E9</f>
        <v>25560</v>
      </c>
      <c r="H9" s="99">
        <f>G9+'28'!H9</f>
        <v>601645</v>
      </c>
      <c r="I9" s="124">
        <f>I7-J7</f>
        <v>-16085.068965517243</v>
      </c>
      <c r="J9" s="175">
        <f>H9/DAY(B2)</f>
        <v>20746.379310344826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604702</v>
      </c>
      <c r="F10" s="353">
        <v>608220</v>
      </c>
      <c r="G10" s="112">
        <f t="shared" ref="G10:G12" si="0">F10-E10</f>
        <v>3518</v>
      </c>
      <c r="H10" s="99">
        <f>G10+'28'!H10</f>
        <v>189944.53000000003</v>
      </c>
      <c r="I10" s="282"/>
      <c r="J10" s="175">
        <f>H10/DAY(B2)</f>
        <v>6549.8113793103457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29078</v>
      </c>
      <c r="H13" s="99">
        <f>G13+'28'!H13</f>
        <v>791590</v>
      </c>
      <c r="I13" s="120">
        <f>G7-G13</f>
        <v>907</v>
      </c>
      <c r="J13" s="175">
        <f>H13/DAY(B2)</f>
        <v>27296.206896551725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2001525</v>
      </c>
      <c r="F15" s="470">
        <v>2002621</v>
      </c>
      <c r="G15" s="112">
        <f>(F15-E15)</f>
        <v>1096</v>
      </c>
      <c r="H15" s="99">
        <f>G15+'28'!H15</f>
        <v>31684</v>
      </c>
      <c r="I15" s="113">
        <f>'1'!I15</f>
        <v>800</v>
      </c>
      <c r="J15" s="175">
        <f>H15/DAY(B2)</f>
        <v>1092.5517241379309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-292.55172413793093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95">
        <f>'28'!F18</f>
        <v>26</v>
      </c>
      <c r="F18" s="122">
        <v>26</v>
      </c>
      <c r="G18" s="119">
        <f>F18*10</f>
        <v>260</v>
      </c>
      <c r="H18" s="99">
        <f>G18+'28'!H18</f>
        <v>7310</v>
      </c>
      <c r="I18" s="113">
        <f>'1'!I18</f>
        <v>65</v>
      </c>
      <c r="J18" s="175">
        <f>H18/DAY(B2)</f>
        <v>252.06896551724137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95">
        <f>'28'!F19</f>
        <v>158354</v>
      </c>
      <c r="F19" s="122">
        <v>158405</v>
      </c>
      <c r="G19" s="112">
        <f t="shared" ref="G19" si="1">F19-E19</f>
        <v>51</v>
      </c>
      <c r="H19" s="99">
        <f>G19+'28'!H19</f>
        <v>1416</v>
      </c>
      <c r="I19" s="335"/>
      <c r="J19" s="175">
        <f>H19/DAY(B2)</f>
        <v>48.827586206896555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G20+'28'!H20</f>
        <v>8726</v>
      </c>
      <c r="I20" s="336">
        <f>I18-J20</f>
        <v>-235.89655172413791</v>
      </c>
      <c r="J20" s="175">
        <f>H20/DAY(B2)</f>
        <v>300.89655172413791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30503</v>
      </c>
      <c r="F27" s="136">
        <v>9</v>
      </c>
      <c r="G27" s="137">
        <f>E27*F27</f>
        <v>274527</v>
      </c>
      <c r="H27" s="99">
        <f>G27+'28'!H27</f>
        <v>7475020.0199999996</v>
      </c>
      <c r="I27" s="138"/>
      <c r="J27" s="175">
        <f>H27/DAY(B2)</f>
        <v>257759.31103448273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1096</v>
      </c>
      <c r="F28" s="136">
        <v>70</v>
      </c>
      <c r="G28" s="137">
        <f>E28*F28</f>
        <v>76720</v>
      </c>
      <c r="H28" s="99">
        <f>G28+'28'!H28</f>
        <v>2119162.419999999</v>
      </c>
      <c r="I28" s="140"/>
      <c r="J28" s="175">
        <f>H28/DAY(B2)</f>
        <v>73074.566206896518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G30+'28'!H30</f>
        <v>212656</v>
      </c>
      <c r="I30" s="140"/>
      <c r="J30" s="175">
        <f>H30/DAY(B2)</f>
        <v>7332.9655172413795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584800</v>
      </c>
      <c r="I31" s="140"/>
      <c r="J31" s="175">
        <f>H31/DAY(B2)</f>
        <v>20165.517241379312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379748</v>
      </c>
      <c r="H32" s="99">
        <f>G32+'28'!H32</f>
        <v>10391638.439999999</v>
      </c>
      <c r="I32" s="144"/>
      <c r="J32" s="175">
        <f>H32/DAY(B2)</f>
        <v>358332.36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198234</v>
      </c>
      <c r="F35" s="145">
        <v>200522</v>
      </c>
      <c r="G35" s="112">
        <f t="shared" ref="G35:G46" si="3">F35-E35</f>
        <v>2288</v>
      </c>
      <c r="H35" s="99">
        <f>G35+'28'!H35</f>
        <v>62242.790000000008</v>
      </c>
      <c r="I35" s="95"/>
      <c r="J35" s="175">
        <f>H35/DAY(B2)</f>
        <v>2146.303103448276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129238</v>
      </c>
      <c r="F36" s="145">
        <v>130448</v>
      </c>
      <c r="G36" s="112">
        <f t="shared" si="3"/>
        <v>1210</v>
      </c>
      <c r="H36" s="99">
        <f>G36+'28'!H36</f>
        <v>29927.339999999997</v>
      </c>
      <c r="I36" s="95"/>
      <c r="J36" s="175">
        <f>H36/DAY(B2)</f>
        <v>1031.9772413793103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179593</v>
      </c>
      <c r="F37" s="145">
        <v>181319</v>
      </c>
      <c r="G37" s="112">
        <f t="shared" si="3"/>
        <v>1726</v>
      </c>
      <c r="H37" s="99">
        <f>G37+'28'!H37</f>
        <v>48393.98000000001</v>
      </c>
      <c r="I37" s="95"/>
      <c r="J37" s="175">
        <f>H37/DAY(B2)</f>
        <v>1668.7579310344831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238553</v>
      </c>
      <c r="F38" s="108">
        <v>240952</v>
      </c>
      <c r="G38" s="112">
        <f t="shared" si="3"/>
        <v>2399</v>
      </c>
      <c r="H38" s="99">
        <f>G38+'28'!H38</f>
        <v>70842.63</v>
      </c>
      <c r="I38" s="95"/>
      <c r="J38" s="175">
        <f>H38/DAY(B2)</f>
        <v>2442.8493103448277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334239</v>
      </c>
      <c r="F39" s="145">
        <v>337088</v>
      </c>
      <c r="G39" s="112">
        <f t="shared" si="3"/>
        <v>2849</v>
      </c>
      <c r="H39" s="99">
        <f>G39+'28'!H39</f>
        <v>92934.57</v>
      </c>
      <c r="I39" s="95"/>
      <c r="J39" s="175">
        <f>H39/DAY(B2)</f>
        <v>3204.6403448275864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63415</v>
      </c>
      <c r="F40" s="145">
        <v>64163</v>
      </c>
      <c r="G40" s="112">
        <f t="shared" si="3"/>
        <v>748</v>
      </c>
      <c r="H40" s="99">
        <f>G40+'28'!H40</f>
        <v>15011.14</v>
      </c>
      <c r="I40" s="95"/>
      <c r="J40" s="175">
        <f>H40/DAY(B2)</f>
        <v>517.62551724137927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21333</v>
      </c>
      <c r="F41" s="145">
        <v>27378</v>
      </c>
      <c r="G41" s="112">
        <f t="shared" si="3"/>
        <v>6045</v>
      </c>
      <c r="H41" s="99">
        <f>G41+'28'!H41</f>
        <v>27315</v>
      </c>
      <c r="I41" s="95"/>
      <c r="J41" s="175">
        <f>H41/DAY(B2)</f>
        <v>941.89655172413791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414786</v>
      </c>
      <c r="F42" s="145">
        <v>419528</v>
      </c>
      <c r="G42" s="112">
        <f t="shared" si="3"/>
        <v>4742</v>
      </c>
      <c r="H42" s="99">
        <f>G42+'28'!H42</f>
        <v>138170.75</v>
      </c>
      <c r="I42" s="95"/>
      <c r="J42" s="175">
        <f>H42/DAY(B2)</f>
        <v>4764.5086206896549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350671</v>
      </c>
      <c r="F43" s="145">
        <v>354111</v>
      </c>
      <c r="G43" s="112">
        <f t="shared" si="3"/>
        <v>3440</v>
      </c>
      <c r="H43" s="99">
        <f>G43+'28'!H43</f>
        <v>95356.53</v>
      </c>
      <c r="I43" s="95"/>
      <c r="J43" s="175">
        <f>H43/DAY(B2)</f>
        <v>3288.1562068965518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25447</v>
      </c>
      <c r="H47" s="99">
        <f>G47+'28'!H47</f>
        <v>580194.72999999986</v>
      </c>
      <c r="I47" s="95"/>
      <c r="J47" s="175">
        <f>H47/DAY(B2)</f>
        <v>20006.714827586202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161469</v>
      </c>
      <c r="F49" s="145">
        <v>163296</v>
      </c>
      <c r="G49" s="112">
        <f t="shared" ref="G49:G58" si="4">F49-E49</f>
        <v>1827</v>
      </c>
      <c r="H49" s="99">
        <f>G49+'28'!H49</f>
        <v>52793.8</v>
      </c>
      <c r="I49" s="95"/>
      <c r="J49" s="175">
        <f>H49/DAY(B2)</f>
        <v>1820.4758620689656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169179</v>
      </c>
      <c r="F50" s="145">
        <v>170825</v>
      </c>
      <c r="G50" s="112">
        <f t="shared" si="4"/>
        <v>1646</v>
      </c>
      <c r="H50" s="99">
        <f>G50+'28'!H50</f>
        <v>39614.859999999986</v>
      </c>
      <c r="I50" s="95"/>
      <c r="J50" s="175">
        <f>H50/DAY(B2)</f>
        <v>1366.0296551724134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49135</v>
      </c>
      <c r="F54" s="145">
        <v>49603</v>
      </c>
      <c r="G54" s="112">
        <f t="shared" si="4"/>
        <v>468</v>
      </c>
      <c r="H54" s="99">
        <f>G54+'28'!H54</f>
        <v>13931.940000000002</v>
      </c>
      <c r="I54" s="95"/>
      <c r="J54" s="175">
        <f>H54/DAY(B2)</f>
        <v>480.41172413793112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142509</v>
      </c>
      <c r="F55" s="145">
        <v>142509</v>
      </c>
      <c r="G55" s="112">
        <f t="shared" si="4"/>
        <v>0</v>
      </c>
      <c r="H55" s="99">
        <f>G55+'28'!H55</f>
        <v>30027.97</v>
      </c>
      <c r="I55" s="95"/>
      <c r="J55" s="175">
        <f>H55/DAY(B2)</f>
        <v>1035.4472413793103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107246</v>
      </c>
      <c r="F56" s="145">
        <v>107246</v>
      </c>
      <c r="G56" s="112">
        <f t="shared" si="4"/>
        <v>0</v>
      </c>
      <c r="H56" s="99">
        <f>G56+'28'!H56</f>
        <v>35628.320000000007</v>
      </c>
      <c r="I56" s="95"/>
      <c r="J56" s="175">
        <f>H56/DAY(B2)</f>
        <v>1228.5627586206899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25037</v>
      </c>
      <c r="F58" s="145">
        <v>25257</v>
      </c>
      <c r="G58" s="112">
        <f t="shared" si="4"/>
        <v>220</v>
      </c>
      <c r="H58" s="99">
        <f>G58+'28'!H58</f>
        <v>6802.7999999999993</v>
      </c>
      <c r="I58" s="95"/>
      <c r="J58" s="175">
        <f>H58/DAY(B2)</f>
        <v>234.57931034482755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4161</v>
      </c>
      <c r="H59" s="99">
        <f>G59+'28'!H59</f>
        <v>178800.00999999998</v>
      </c>
      <c r="I59" s="95">
        <f>G7-G60</f>
        <v>377</v>
      </c>
      <c r="J59" s="175">
        <f>H59/DAY(B2)</f>
        <v>6165.5175862068954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29608</v>
      </c>
      <c r="H60" s="99">
        <f>G60+'28'!H60</f>
        <v>758994.73999999987</v>
      </c>
      <c r="I60" s="95">
        <f>G13-G60</f>
        <v>-530</v>
      </c>
      <c r="J60" s="175">
        <f>H60/DAY(B2)</f>
        <v>26172.232413793099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95">
        <f>'28'!F62</f>
        <v>283668</v>
      </c>
      <c r="F62" s="122">
        <v>283837</v>
      </c>
      <c r="G62" s="112">
        <f t="shared" ref="G62:G63" si="5">F62-E62</f>
        <v>169</v>
      </c>
      <c r="H62" s="99">
        <f>G62+'28'!H62</f>
        <v>5211</v>
      </c>
      <c r="I62" s="118"/>
      <c r="J62" s="175">
        <f>H62/DAY(B2)</f>
        <v>179.68965517241378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95">
        <f>'28'!F63</f>
        <v>227204</v>
      </c>
      <c r="F63" s="122">
        <v>227348</v>
      </c>
      <c r="G63" s="112">
        <f t="shared" si="5"/>
        <v>144</v>
      </c>
      <c r="H63" s="99">
        <f>G63+'28'!H63</f>
        <v>4267</v>
      </c>
      <c r="I63" s="118"/>
      <c r="J63" s="175">
        <f>H63/DAY(B2)</f>
        <v>147.13793103448276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95">
        <f>'28'!F64</f>
        <v>0</v>
      </c>
      <c r="F64" s="122"/>
      <c r="G64" s="112">
        <f>G62+G63</f>
        <v>313</v>
      </c>
      <c r="H64" s="99">
        <f>G64+'28'!H64</f>
        <v>9478</v>
      </c>
      <c r="I64" s="118"/>
      <c r="J64" s="175">
        <f>H64/DAY(B2)</f>
        <v>326.82758620689657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95">
        <f>'28'!F65</f>
        <v>444363</v>
      </c>
      <c r="F65" s="122">
        <v>444475</v>
      </c>
      <c r="G65" s="112">
        <f t="shared" ref="G65:G70" si="6">F65-E65</f>
        <v>112</v>
      </c>
      <c r="H65" s="99">
        <f>G65+'28'!H65</f>
        <v>3344</v>
      </c>
      <c r="I65" s="118"/>
      <c r="J65" s="175">
        <f>H65/DAY(B2)</f>
        <v>115.31034482758621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109537</v>
      </c>
      <c r="F66" s="122">
        <v>109555</v>
      </c>
      <c r="G66" s="112">
        <f t="shared" si="6"/>
        <v>18</v>
      </c>
      <c r="H66" s="99">
        <f>G66+'28'!H66</f>
        <v>485</v>
      </c>
      <c r="I66" s="118"/>
      <c r="J66" s="175">
        <f>H66/DAY(B2)</f>
        <v>16.724137931034484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110745</v>
      </c>
      <c r="F67" s="122">
        <v>110821</v>
      </c>
      <c r="G67" s="112">
        <f t="shared" si="6"/>
        <v>76</v>
      </c>
      <c r="H67" s="99">
        <f>G67+'28'!H67</f>
        <v>2228</v>
      </c>
      <c r="I67" s="118"/>
      <c r="J67" s="175">
        <f>H67/DAY(B2)</f>
        <v>76.827586206896555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161744</v>
      </c>
      <c r="F68" s="122">
        <v>161759</v>
      </c>
      <c r="G68" s="112">
        <f t="shared" si="6"/>
        <v>15</v>
      </c>
      <c r="H68" s="99">
        <f>G68+'28'!H68</f>
        <v>1346</v>
      </c>
      <c r="I68" s="118"/>
      <c r="J68" s="175">
        <f>H68/DAY(B2)</f>
        <v>46.413793103448278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11576</v>
      </c>
      <c r="F69" s="122">
        <v>11590</v>
      </c>
      <c r="G69" s="112">
        <f t="shared" si="6"/>
        <v>14</v>
      </c>
      <c r="H69" s="99">
        <f>G69+'28'!H69</f>
        <v>389</v>
      </c>
      <c r="I69" s="118"/>
      <c r="J69" s="175">
        <f>H69/DAY(B2)</f>
        <v>13.413793103448276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8985</v>
      </c>
      <c r="F70" s="122">
        <v>8993</v>
      </c>
      <c r="G70" s="112">
        <f t="shared" si="6"/>
        <v>8</v>
      </c>
      <c r="H70" s="99">
        <f>G70+'28'!H70</f>
        <v>265</v>
      </c>
      <c r="I70" s="118"/>
      <c r="J70" s="175">
        <f>H70/DAY(B2)</f>
        <v>9.137931034482758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95">
        <f>'28'!F71</f>
        <v>0</v>
      </c>
      <c r="F71" s="152"/>
      <c r="G71" s="153">
        <f>SUM(G65:G70)</f>
        <v>243</v>
      </c>
      <c r="H71" s="99">
        <f>G71+'28'!H71</f>
        <v>8057</v>
      </c>
      <c r="I71" s="154"/>
      <c r="J71" s="175">
        <f>H71/DAY(B2)</f>
        <v>277.82758620689657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95">
        <f>'28'!F74</f>
        <v>928129</v>
      </c>
      <c r="F74" s="117">
        <v>928446</v>
      </c>
      <c r="G74" s="112">
        <f t="shared" ref="G74:G78" si="7">F74-E74</f>
        <v>317</v>
      </c>
      <c r="H74" s="99">
        <f>G74+'28'!H74</f>
        <v>9121.4899999999907</v>
      </c>
      <c r="I74" s="154"/>
      <c r="J74" s="175">
        <f>H74/DAY(B2)</f>
        <v>314.53413793103414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95">
        <f>'28'!F76</f>
        <v>179898</v>
      </c>
      <c r="F76" s="123">
        <v>180041</v>
      </c>
      <c r="G76" s="112">
        <f t="shared" si="7"/>
        <v>143</v>
      </c>
      <c r="H76" s="99">
        <f>G76+'28'!H76</f>
        <v>3454</v>
      </c>
      <c r="I76" s="154"/>
      <c r="J76" s="175">
        <f>H76/DAY(B2)</f>
        <v>119.10344827586206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95">
        <f>'28'!F77</f>
        <v>45565</v>
      </c>
      <c r="F77" s="123">
        <v>45622</v>
      </c>
      <c r="G77" s="112">
        <f t="shared" si="7"/>
        <v>57</v>
      </c>
      <c r="H77" s="99">
        <f>G77+'28'!H77</f>
        <v>1459</v>
      </c>
      <c r="I77" s="154"/>
      <c r="J77" s="175">
        <f>H77/DAY(B2)</f>
        <v>50.310344827586206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95">
        <f>'28'!F79</f>
        <v>0</v>
      </c>
      <c r="F79" s="117"/>
      <c r="G79" s="112">
        <f>G15-SUM(G74:G78)</f>
        <v>579</v>
      </c>
      <c r="H79" s="99">
        <f>G79+'28'!H79</f>
        <v>17649.510000000009</v>
      </c>
      <c r="I79" s="118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1096</v>
      </c>
      <c r="H80" s="99"/>
      <c r="I80" s="118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94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41768</v>
      </c>
      <c r="F84" s="164">
        <v>41792</v>
      </c>
      <c r="G84" s="112">
        <f t="shared" si="8"/>
        <v>24</v>
      </c>
      <c r="H84" s="99">
        <f>G84+'28'!H84</f>
        <v>117</v>
      </c>
      <c r="I84" s="594"/>
      <c r="J84" s="175">
        <f>H84/DAY(B2)</f>
        <v>4.0344827586206895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3734</v>
      </c>
      <c r="F85" s="164">
        <v>3752.58</v>
      </c>
      <c r="G85" s="112">
        <f t="shared" si="8"/>
        <v>18.579999999999927</v>
      </c>
      <c r="H85" s="99">
        <f>G85+'28'!H85</f>
        <v>594.07999999999993</v>
      </c>
      <c r="I85" s="594"/>
      <c r="J85" s="175">
        <f>H85/DAY(B2)</f>
        <v>20.485517241379309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43924</v>
      </c>
      <c r="F86" s="164">
        <v>43924</v>
      </c>
      <c r="G86" s="112">
        <f t="shared" si="8"/>
        <v>0</v>
      </c>
      <c r="H86" s="99">
        <f>G86+'28'!H86</f>
        <v>203.59999999999854</v>
      </c>
      <c r="I86" s="594"/>
      <c r="J86" s="175">
        <f>H86/DAY(B2)</f>
        <v>7.0206896551723634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35329</v>
      </c>
      <c r="F87" s="164">
        <v>35329</v>
      </c>
      <c r="G87" s="112">
        <f t="shared" si="8"/>
        <v>0</v>
      </c>
      <c r="H87" s="99">
        <f>G87+'28'!H87</f>
        <v>248.65000000000146</v>
      </c>
      <c r="I87" s="594">
        <f>G84+G85+G86+G87</f>
        <v>42.579999999999927</v>
      </c>
      <c r="J87" s="175">
        <f>H87/DAY(B2)</f>
        <v>8.5741379310345334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24188.17</v>
      </c>
      <c r="F88" s="164">
        <v>24188</v>
      </c>
      <c r="G88" s="112">
        <f t="shared" si="8"/>
        <v>-0.16999999999825377</v>
      </c>
      <c r="H88" s="99">
        <f>G88+'28'!H88</f>
        <v>78.599999999998545</v>
      </c>
      <c r="I88" s="594"/>
      <c r="J88" s="175">
        <f>H88/DAY(B2)</f>
        <v>2.7103448275861566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26690.66</v>
      </c>
      <c r="F89" s="164">
        <v>26699</v>
      </c>
      <c r="G89" s="112">
        <f t="shared" si="8"/>
        <v>8.3400000000001455</v>
      </c>
      <c r="H89" s="99">
        <f>G89+'28'!H89</f>
        <v>227.20999999999913</v>
      </c>
      <c r="I89" s="594">
        <f>G88+G89</f>
        <v>8.1700000000018917</v>
      </c>
      <c r="J89" s="175">
        <f>H89/DAY(B2)</f>
        <v>7.8348275862068668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71845.350000000006</v>
      </c>
      <c r="F90" s="164">
        <v>71854</v>
      </c>
      <c r="G90" s="112">
        <f t="shared" si="8"/>
        <v>8.6499999999941792</v>
      </c>
      <c r="H90" s="99">
        <f>G90+'28'!H90</f>
        <v>41.610000000000582</v>
      </c>
      <c r="I90" s="594">
        <f>G90</f>
        <v>8.6499999999941792</v>
      </c>
      <c r="J90" s="175">
        <f>H90/DAY(B2)</f>
        <v>1.4348275862069166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4035.44</v>
      </c>
      <c r="F91" s="122">
        <v>4047</v>
      </c>
      <c r="G91" s="112">
        <f t="shared" si="8"/>
        <v>11.559999999999945</v>
      </c>
      <c r="H91" s="99">
        <f>G91+'28'!H91</f>
        <v>137.25</v>
      </c>
      <c r="I91" s="688"/>
      <c r="J91" s="175">
        <f>H91/DAY(B2)</f>
        <v>4.7327586206896548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5935.04</v>
      </c>
      <c r="F92" s="122">
        <v>5935</v>
      </c>
      <c r="G92" s="112">
        <f t="shared" si="8"/>
        <v>-3.999999999996362E-2</v>
      </c>
      <c r="H92" s="99">
        <f>G92+'28'!H92</f>
        <v>187.69999999999982</v>
      </c>
      <c r="I92" s="705">
        <f>G91+G92</f>
        <v>11.519999999999982</v>
      </c>
      <c r="J92" s="175">
        <f>H92/DAY(B2)</f>
        <v>6.472413793103442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7555</v>
      </c>
      <c r="H94" s="99">
        <f>G94+'28'!H94</f>
        <v>210393.12</v>
      </c>
      <c r="I94" s="118"/>
      <c r="J94" s="175">
        <f>H94/DAY(B2)</f>
        <v>7254.9351724137932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0.25195931298982827</v>
      </c>
      <c r="H95" s="99">
        <f>G95+'28'!H95</f>
        <v>7.4955326379659386</v>
      </c>
      <c r="I95" s="167"/>
      <c r="J95" s="175">
        <f>H95/DAY(B2)</f>
        <v>0.25846664268848063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10787</v>
      </c>
      <c r="H96" s="99">
        <f>G96+'28'!H96</f>
        <v>231142.04</v>
      </c>
      <c r="I96" s="118"/>
      <c r="J96" s="175">
        <f>H96/DAY(B2)</f>
        <v>7970.4151724137937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0.35974653993663497</v>
      </c>
      <c r="H97" s="99">
        <f>G97+'28'!H97</f>
        <v>8.2086269600387176</v>
      </c>
      <c r="I97" s="167"/>
      <c r="J97" s="175">
        <f>H97/DAY(B2)</f>
        <v>0.28305610207030063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2849</v>
      </c>
      <c r="H98" s="99">
        <f>G98+'28'!H98</f>
        <v>92934.57</v>
      </c>
      <c r="I98" s="168"/>
      <c r="J98" s="175">
        <f>H98/DAY(B2)</f>
        <v>3204.6403448275864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9.5014173753543443E-2</v>
      </c>
      <c r="H99" s="99">
        <f>G99+'28'!H99</f>
        <v>3.3163077739662232</v>
      </c>
      <c r="I99" s="168"/>
      <c r="J99" s="175">
        <f>H99/DAY(B2)</f>
        <v>0.11435544048159391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2399</v>
      </c>
      <c r="H100" s="99">
        <f>G100+'28'!H100</f>
        <v>70842.63</v>
      </c>
      <c r="I100" s="118"/>
      <c r="J100" s="175">
        <f>H100/DAY(B2)</f>
        <v>2442.8493103448277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8.0006670001667501E-2</v>
      </c>
      <c r="H101" s="99">
        <f>G101+'28'!H101</f>
        <v>2.5273748832878824</v>
      </c>
      <c r="I101" s="168"/>
      <c r="J101" s="175">
        <f>H101/DAY(B2)</f>
        <v>8.7150858044409737E-2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2856</v>
      </c>
      <c r="H102" s="99">
        <f>G102+'28'!H102</f>
        <v>69542.199999999983</v>
      </c>
      <c r="I102" s="168"/>
      <c r="J102" s="175">
        <f>H102/DAY(B2)</f>
        <v>2398.0068965517235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9.5247623811905949E-2</v>
      </c>
      <c r="H103" s="99">
        <f>G103+'28'!H103</f>
        <v>2.4728549337248942</v>
      </c>
      <c r="I103" s="118"/>
      <c r="J103" s="175">
        <f>H103/DAY(B2)</f>
        <v>8.5270859783617037E-2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1726</v>
      </c>
      <c r="H104" s="99">
        <f>G104+'28'!H104</f>
        <v>48394.30000000001</v>
      </c>
      <c r="I104" s="118"/>
      <c r="J104" s="175">
        <f>H104/DAY(B2)</f>
        <v>1668.7689655172417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5.75621143905286E-2</v>
      </c>
      <c r="H105" s="99">
        <f>G105+'28'!H105</f>
        <v>1.724485936888039</v>
      </c>
      <c r="I105" s="187"/>
      <c r="J105" s="188">
        <f>H105/DAY(B2)</f>
        <v>5.9465032306484103E-2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25.5">
      <c r="A112" s="907" t="s">
        <v>252</v>
      </c>
      <c r="B112" s="908"/>
      <c r="C112" s="909"/>
      <c r="D112" s="146" t="s">
        <v>183</v>
      </c>
      <c r="E112" s="237">
        <f>'28'!F112</f>
        <v>82</v>
      </c>
      <c r="F112" s="237">
        <v>162</v>
      </c>
      <c r="G112" s="112">
        <f t="shared" ref="G112" si="9">F112-E112</f>
        <v>80</v>
      </c>
      <c r="H112" s="99">
        <f>G112+'28'!H112</f>
        <v>2282.4700000000012</v>
      </c>
      <c r="I112" s="165"/>
      <c r="J112" s="328">
        <f>H112/DAY(B2)</f>
        <v>78.705862068965558</v>
      </c>
    </row>
    <row r="113" spans="1:18" ht="25.5">
      <c r="A113" s="907" t="s">
        <v>253</v>
      </c>
      <c r="B113" s="908"/>
      <c r="C113" s="909"/>
      <c r="D113" s="146" t="s">
        <v>183</v>
      </c>
      <c r="E113" s="237">
        <f>'28'!F113</f>
        <v>165</v>
      </c>
      <c r="F113" s="237">
        <v>322</v>
      </c>
      <c r="G113" s="112">
        <f t="shared" ref="G113:G123" si="10">F113-E113</f>
        <v>157</v>
      </c>
      <c r="H113" s="99">
        <f>G113+'28'!H113</f>
        <v>12255.789999999995</v>
      </c>
      <c r="I113" s="165"/>
      <c r="J113" s="328">
        <f>H113/DAY(B2)</f>
        <v>422.61344827586191</v>
      </c>
    </row>
    <row r="114" spans="1:18" ht="25.5">
      <c r="A114" s="907" t="s">
        <v>254</v>
      </c>
      <c r="B114" s="908"/>
      <c r="C114" s="909"/>
      <c r="D114" s="146" t="s">
        <v>183</v>
      </c>
      <c r="E114" s="237">
        <f>'28'!F114</f>
        <v>225</v>
      </c>
      <c r="F114" s="237">
        <v>441</v>
      </c>
      <c r="G114" s="112">
        <f t="shared" si="10"/>
        <v>216</v>
      </c>
      <c r="H114" s="99">
        <f>G114+'28'!H114</f>
        <v>7271.1100000000006</v>
      </c>
      <c r="I114" s="165"/>
      <c r="J114" s="328">
        <f>H114/DAY(B2)</f>
        <v>250.72793103448276</v>
      </c>
    </row>
    <row r="115" spans="1:18" ht="25.5">
      <c r="A115" s="907" t="s">
        <v>255</v>
      </c>
      <c r="B115" s="908"/>
      <c r="C115" s="909"/>
      <c r="D115" s="146" t="s">
        <v>183</v>
      </c>
      <c r="E115" s="237">
        <f>'28'!F115</f>
        <v>178</v>
      </c>
      <c r="F115" s="237">
        <v>347</v>
      </c>
      <c r="G115" s="112">
        <f t="shared" si="10"/>
        <v>169</v>
      </c>
      <c r="H115" s="99">
        <f>G115+'28'!H115</f>
        <v>925.23999999999978</v>
      </c>
      <c r="I115" s="165"/>
      <c r="J115" s="328">
        <f>H115/DAY(B2)</f>
        <v>31.904827586206888</v>
      </c>
    </row>
    <row r="116" spans="1:18" ht="25.5">
      <c r="A116" s="925" t="s">
        <v>96</v>
      </c>
      <c r="B116" s="926"/>
      <c r="C116" s="927"/>
      <c r="D116" s="146" t="s">
        <v>183</v>
      </c>
      <c r="E116" s="237">
        <f>'28'!F116</f>
        <v>34114</v>
      </c>
      <c r="F116" s="237">
        <v>34414</v>
      </c>
      <c r="G116" s="112">
        <f t="shared" si="10"/>
        <v>300</v>
      </c>
      <c r="H116" s="99">
        <f>G116+'28'!H116</f>
        <v>11629.380000000001</v>
      </c>
      <c r="I116" s="165"/>
      <c r="J116" s="328">
        <f>H116/DAY(B2)</f>
        <v>401.0131034482759</v>
      </c>
      <c r="Q116" s="907" t="s">
        <v>311</v>
      </c>
      <c r="R116" s="909"/>
    </row>
    <row r="117" spans="1:18" ht="25.5">
      <c r="A117" s="925" t="s">
        <v>184</v>
      </c>
      <c r="B117" s="926"/>
      <c r="C117" s="927"/>
      <c r="D117" s="146" t="s">
        <v>183</v>
      </c>
      <c r="E117" s="237">
        <f>'28'!F117</f>
        <v>18615</v>
      </c>
      <c r="F117" s="237">
        <v>18776</v>
      </c>
      <c r="G117" s="112">
        <f t="shared" si="10"/>
        <v>161</v>
      </c>
      <c r="H117" s="99">
        <f>G117+'28'!H117</f>
        <v>5162.8269999999993</v>
      </c>
      <c r="I117" s="165"/>
      <c r="J117" s="328">
        <f>H117/DAY(B2)</f>
        <v>178.02851724137929</v>
      </c>
      <c r="Q117" s="907" t="s">
        <v>312</v>
      </c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237">
        <f>'28'!F118</f>
        <v>7934</v>
      </c>
      <c r="F118" s="237">
        <v>8500</v>
      </c>
      <c r="G118" s="112">
        <f t="shared" si="10"/>
        <v>566</v>
      </c>
      <c r="H118" s="99">
        <f>G118+'28'!H118</f>
        <v>15448.030000000032</v>
      </c>
      <c r="I118" s="165"/>
      <c r="J118" s="328">
        <f>H118/DAY(B2)</f>
        <v>532.69068965517351</v>
      </c>
      <c r="Q118" s="907" t="s">
        <v>311</v>
      </c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237">
        <f>'28'!F119</f>
        <v>5007</v>
      </c>
      <c r="F119" s="237">
        <v>5441</v>
      </c>
      <c r="G119" s="112">
        <f t="shared" si="10"/>
        <v>434</v>
      </c>
      <c r="H119" s="99">
        <f>G119+'28'!H119</f>
        <v>12761.609999999986</v>
      </c>
      <c r="I119" s="165"/>
      <c r="J119" s="328">
        <f>H119/DAY(B2)</f>
        <v>440.05551724137882</v>
      </c>
    </row>
    <row r="120" spans="1:18" ht="25.5">
      <c r="A120" s="902" t="s">
        <v>99</v>
      </c>
      <c r="B120" s="902"/>
      <c r="C120" s="902"/>
      <c r="D120" s="151" t="s">
        <v>183</v>
      </c>
      <c r="E120" s="237">
        <f>'28'!F120</f>
        <v>6245</v>
      </c>
      <c r="F120" s="237">
        <v>6681</v>
      </c>
      <c r="G120" s="112">
        <f t="shared" si="10"/>
        <v>436</v>
      </c>
      <c r="H120" s="99">
        <f>G120+'28'!H120</f>
        <v>12027.240000000005</v>
      </c>
      <c r="I120" s="165"/>
      <c r="J120" s="328">
        <f>H120/DAY(B2)</f>
        <v>414.7324137931036</v>
      </c>
    </row>
    <row r="121" spans="1:18" ht="25.5">
      <c r="A121" s="902" t="s">
        <v>100</v>
      </c>
      <c r="B121" s="902"/>
      <c r="C121" s="902"/>
      <c r="D121" s="151" t="s">
        <v>183</v>
      </c>
      <c r="E121" s="237">
        <f>'28'!F121</f>
        <v>10893</v>
      </c>
      <c r="F121" s="237">
        <v>11274</v>
      </c>
      <c r="G121" s="112">
        <f t="shared" si="10"/>
        <v>381</v>
      </c>
      <c r="H121" s="99">
        <f>G121+'28'!H121</f>
        <v>21678.729999999981</v>
      </c>
      <c r="I121" s="165"/>
      <c r="J121" s="328">
        <f>H121/DAY(B2)</f>
        <v>747.54241379310281</v>
      </c>
    </row>
    <row r="122" spans="1:18" ht="25.5">
      <c r="A122" s="902" t="s">
        <v>101</v>
      </c>
      <c r="B122" s="902"/>
      <c r="C122" s="902"/>
      <c r="D122" s="151" t="s">
        <v>183</v>
      </c>
      <c r="E122" s="237">
        <f>'28'!F122</f>
        <v>3188</v>
      </c>
      <c r="F122" s="237">
        <v>3374</v>
      </c>
      <c r="G122" s="112">
        <f t="shared" si="10"/>
        <v>186</v>
      </c>
      <c r="H122" s="99">
        <f>G122+'28'!H122</f>
        <v>6190.859999999986</v>
      </c>
      <c r="I122" s="165"/>
      <c r="J122" s="328">
        <f>H122/DAY(B2)</f>
        <v>213.47793103448228</v>
      </c>
    </row>
    <row r="123" spans="1:18" ht="25.5">
      <c r="A123" s="902" t="s">
        <v>102</v>
      </c>
      <c r="B123" s="902"/>
      <c r="C123" s="902"/>
      <c r="D123" s="151" t="s">
        <v>183</v>
      </c>
      <c r="E123" s="237">
        <f>'28'!F123</f>
        <v>329</v>
      </c>
      <c r="F123" s="237">
        <v>644</v>
      </c>
      <c r="G123" s="112">
        <f t="shared" si="10"/>
        <v>315</v>
      </c>
      <c r="H123" s="99">
        <f>G123+'28'!H123</f>
        <v>6757.5299999999988</v>
      </c>
      <c r="I123" s="165"/>
      <c r="J123" s="328">
        <f>H123/DAY(B2)</f>
        <v>233.01827586206892</v>
      </c>
    </row>
    <row r="124" spans="1:18" ht="25.5">
      <c r="A124" s="932"/>
      <c r="B124" s="933"/>
      <c r="C124" s="934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5" t="s">
        <v>196</v>
      </c>
      <c r="B125" s="936"/>
      <c r="C125" s="245"/>
      <c r="D125" s="307"/>
      <c r="E125" s="308"/>
      <c r="F125" s="308"/>
      <c r="G125" s="309">
        <f>SUM(G112:G124)</f>
        <v>3401</v>
      </c>
      <c r="H125" s="156"/>
      <c r="I125" s="327">
        <f>G125-(G39+G53)</f>
        <v>552</v>
      </c>
      <c r="J125" s="327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7" t="s">
        <v>318</v>
      </c>
      <c r="B128" s="908"/>
      <c r="C128" s="909"/>
      <c r="D128" s="151" t="s">
        <v>183</v>
      </c>
      <c r="E128" s="95">
        <f>'28'!F128</f>
        <v>80594</v>
      </c>
      <c r="F128" s="165">
        <v>80987</v>
      </c>
      <c r="G128" s="112">
        <f t="shared" ref="G128:G134" si="11">F128-E128</f>
        <v>393</v>
      </c>
      <c r="H128" s="99">
        <f>G128+'28'!H128</f>
        <v>12070.759999999995</v>
      </c>
      <c r="I128" s="165"/>
      <c r="J128" s="328">
        <f>H128/DAY(B2)</f>
        <v>416.2331034482757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50450</v>
      </c>
      <c r="F129" s="165">
        <v>50785</v>
      </c>
      <c r="G129" s="112">
        <f t="shared" si="11"/>
        <v>335</v>
      </c>
      <c r="H129" s="99">
        <f>G129+'28'!H129</f>
        <v>8673.9499999999971</v>
      </c>
      <c r="I129" s="165"/>
      <c r="J129" s="328">
        <f>H129/DAY(B2)</f>
        <v>299.10172413793094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95252</v>
      </c>
      <c r="F130" s="761">
        <v>95967</v>
      </c>
      <c r="G130" s="112">
        <f t="shared" si="11"/>
        <v>715</v>
      </c>
      <c r="H130" s="99">
        <f>G130+'28'!H130</f>
        <v>20305.050000000003</v>
      </c>
      <c r="I130" s="165"/>
      <c r="J130" s="328">
        <f>H130/DAY(B2)</f>
        <v>700.17413793103458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95">
        <f>'28'!F131</f>
        <v>30020</v>
      </c>
      <c r="F131" s="165">
        <v>30223</v>
      </c>
      <c r="G131" s="112">
        <f t="shared" si="11"/>
        <v>203</v>
      </c>
      <c r="H131" s="99">
        <f>G131+'28'!H131</f>
        <v>5790.5</v>
      </c>
      <c r="I131" s="165"/>
      <c r="J131" s="328">
        <f>H131/DAY(B2)</f>
        <v>199.67241379310346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95">
        <f>'28'!F132</f>
        <v>87941</v>
      </c>
      <c r="F132" s="165">
        <v>88405</v>
      </c>
      <c r="G132" s="112">
        <f t="shared" si="11"/>
        <v>464</v>
      </c>
      <c r="H132" s="99">
        <f>G132+'28'!H132</f>
        <v>12737.5</v>
      </c>
      <c r="I132" s="165"/>
      <c r="J132" s="328">
        <f>H132/DAY(B2)</f>
        <v>439.22413793103448</v>
      </c>
    </row>
    <row r="133" spans="1:15" ht="25.5">
      <c r="A133" s="907" t="s">
        <v>360</v>
      </c>
      <c r="B133" s="908"/>
      <c r="C133" s="909"/>
      <c r="D133" s="151" t="s">
        <v>183</v>
      </c>
      <c r="E133" s="95">
        <f>'28'!F133</f>
        <v>170761</v>
      </c>
      <c r="F133" s="165">
        <v>171604</v>
      </c>
      <c r="G133" s="112">
        <f t="shared" si="11"/>
        <v>843</v>
      </c>
      <c r="H133" s="99">
        <f>G133+'28'!H133</f>
        <v>26222.010000000009</v>
      </c>
      <c r="I133" s="165"/>
      <c r="J133" s="328">
        <f>H133/DAY(B2)</f>
        <v>904.20724137931063</v>
      </c>
    </row>
    <row r="134" spans="1:15" ht="25.5">
      <c r="A134" s="907" t="s">
        <v>340</v>
      </c>
      <c r="B134" s="908"/>
      <c r="C134" s="909"/>
      <c r="D134" s="151" t="s">
        <v>183</v>
      </c>
      <c r="E134" s="95">
        <f>'28'!F134</f>
        <v>27508</v>
      </c>
      <c r="F134" s="165">
        <v>27766</v>
      </c>
      <c r="G134" s="112">
        <f t="shared" si="11"/>
        <v>258</v>
      </c>
      <c r="H134" s="99">
        <f>G134+'28'!H134</f>
        <v>6973.32</v>
      </c>
      <c r="I134" s="165"/>
      <c r="J134" s="328">
        <f>H134/DAY(B2)</f>
        <v>240.45931034482757</v>
      </c>
    </row>
    <row r="135" spans="1:15" ht="25.5">
      <c r="A135" s="935" t="s">
        <v>196</v>
      </c>
      <c r="B135" s="936"/>
      <c r="C135" s="331"/>
      <c r="D135" s="151"/>
      <c r="E135" s="95"/>
      <c r="F135" s="165" t="s">
        <v>367</v>
      </c>
      <c r="G135" s="112">
        <f>SUM(G127:G134)</f>
        <v>3211</v>
      </c>
      <c r="H135" s="99">
        <f>G135+'23'!H135</f>
        <v>38096.409999999974</v>
      </c>
      <c r="I135" s="327">
        <f>G135-(G35+G49)</f>
        <v>-904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2" t="s">
        <v>185</v>
      </c>
      <c r="B138" s="902"/>
      <c r="C138" s="902"/>
      <c r="D138" s="151" t="s">
        <v>183</v>
      </c>
      <c r="E138" s="95">
        <f>'28'!F138</f>
        <v>878489</v>
      </c>
      <c r="F138" s="147">
        <v>878643</v>
      </c>
      <c r="G138" s="112">
        <f t="shared" ref="G138:G151" si="12">F138-E138</f>
        <v>154</v>
      </c>
      <c r="H138" s="99">
        <f>G138+'28'!H138</f>
        <v>4642</v>
      </c>
      <c r="I138" s="118"/>
      <c r="J138" s="328">
        <f>H138/DAY(B2)</f>
        <v>160.06896551724137</v>
      </c>
    </row>
    <row r="139" spans="1:15" ht="25.5">
      <c r="A139" s="902" t="s">
        <v>186</v>
      </c>
      <c r="B139" s="902"/>
      <c r="C139" s="902"/>
      <c r="D139" s="151" t="s">
        <v>183</v>
      </c>
      <c r="E139" s="95">
        <f>'28'!F139</f>
        <v>894511</v>
      </c>
      <c r="F139" s="148">
        <v>894731</v>
      </c>
      <c r="G139" s="112">
        <f t="shared" si="12"/>
        <v>220</v>
      </c>
      <c r="H139" s="99">
        <f>G139+'28'!H139</f>
        <v>4413</v>
      </c>
      <c r="I139" s="118"/>
      <c r="J139" s="328">
        <f>H139/DAY(B2)</f>
        <v>152.17241379310346</v>
      </c>
    </row>
    <row r="140" spans="1:15" ht="25.5">
      <c r="A140" s="902" t="s">
        <v>187</v>
      </c>
      <c r="B140" s="902"/>
      <c r="C140" s="902"/>
      <c r="D140" s="151" t="s">
        <v>183</v>
      </c>
      <c r="E140" s="95">
        <f>'28'!F140</f>
        <v>112</v>
      </c>
      <c r="F140" s="149">
        <v>124</v>
      </c>
      <c r="G140" s="112">
        <f t="shared" si="12"/>
        <v>12</v>
      </c>
      <c r="H140" s="99">
        <f>G140+'28'!H140</f>
        <v>65</v>
      </c>
      <c r="I140" s="118"/>
      <c r="J140" s="328">
        <f>H140/DAY(B2)</f>
        <v>2.2413793103448274</v>
      </c>
    </row>
    <row r="141" spans="1:15" ht="25.5">
      <c r="A141" s="906" t="s">
        <v>188</v>
      </c>
      <c r="B141" s="906"/>
      <c r="C141" s="906"/>
      <c r="D141" s="151" t="s">
        <v>183</v>
      </c>
      <c r="E141" s="95">
        <f>'28'!F141</f>
        <v>71339</v>
      </c>
      <c r="F141" s="149">
        <v>71551</v>
      </c>
      <c r="G141" s="112">
        <f t="shared" si="12"/>
        <v>212</v>
      </c>
      <c r="H141" s="99">
        <f>G141+'28'!H141</f>
        <v>5767.4700000000012</v>
      </c>
      <c r="I141" s="118"/>
      <c r="J141" s="328">
        <f>H141/DAY(B2)</f>
        <v>198.87827586206902</v>
      </c>
    </row>
    <row r="142" spans="1:15" ht="25.5">
      <c r="A142" s="906" t="s">
        <v>189</v>
      </c>
      <c r="B142" s="906"/>
      <c r="C142" s="906"/>
      <c r="D142" s="151" t="s">
        <v>183</v>
      </c>
      <c r="E142" s="95">
        <f>'28'!F142</f>
        <v>27322</v>
      </c>
      <c r="F142" s="148">
        <v>27392</v>
      </c>
      <c r="G142" s="112">
        <f t="shared" si="12"/>
        <v>70</v>
      </c>
      <c r="H142" s="99">
        <f>G142+'28'!H142</f>
        <v>1895.5999999999985</v>
      </c>
      <c r="I142" s="140"/>
      <c r="J142" s="328">
        <f>H142/DAY(B2)</f>
        <v>65.365517241379266</v>
      </c>
    </row>
    <row r="143" spans="1:15" ht="25.5">
      <c r="A143" s="902" t="s">
        <v>91</v>
      </c>
      <c r="B143" s="902"/>
      <c r="C143" s="902"/>
      <c r="D143" s="151" t="s">
        <v>183</v>
      </c>
      <c r="E143" s="95">
        <f>'28'!F143</f>
        <v>6356</v>
      </c>
      <c r="F143" s="149">
        <v>6390</v>
      </c>
      <c r="G143" s="112">
        <f t="shared" si="12"/>
        <v>34</v>
      </c>
      <c r="H143" s="99">
        <f>G143+'28'!H143</f>
        <v>829.29</v>
      </c>
      <c r="I143" s="140"/>
      <c r="J143" s="328">
        <f>H143/DAY(B2)</f>
        <v>28.596206896551724</v>
      </c>
    </row>
    <row r="144" spans="1:15" ht="25.5">
      <c r="A144" s="906" t="s">
        <v>90</v>
      </c>
      <c r="B144" s="906"/>
      <c r="C144" s="906"/>
      <c r="D144" s="151" t="s">
        <v>183</v>
      </c>
      <c r="E144" s="95">
        <f>'28'!F144</f>
        <v>896726</v>
      </c>
      <c r="F144" s="149">
        <v>896977</v>
      </c>
      <c r="G144" s="112">
        <f t="shared" si="12"/>
        <v>251</v>
      </c>
      <c r="H144" s="99">
        <f>G144+'28'!H144</f>
        <v>7143</v>
      </c>
      <c r="I144" s="140"/>
      <c r="J144" s="328">
        <f>H144/DAY(B2)</f>
        <v>246.31034482758622</v>
      </c>
    </row>
    <row r="145" spans="1:10" ht="25.5">
      <c r="A145" s="902" t="s">
        <v>190</v>
      </c>
      <c r="B145" s="902"/>
      <c r="C145" s="902"/>
      <c r="D145" s="152" t="s">
        <v>183</v>
      </c>
      <c r="E145" s="95">
        <f>'28'!F145</f>
        <v>5623</v>
      </c>
      <c r="F145" s="149">
        <v>5626</v>
      </c>
      <c r="G145" s="112">
        <f t="shared" si="12"/>
        <v>3</v>
      </c>
      <c r="H145" s="99">
        <f>G145+'28'!H145</f>
        <v>69.600000000000364</v>
      </c>
      <c r="I145" s="140"/>
      <c r="J145" s="328">
        <f>H145/DAY(B2)</f>
        <v>2.4000000000000123</v>
      </c>
    </row>
    <row r="146" spans="1:10" ht="25.5">
      <c r="A146" s="903" t="s">
        <v>191</v>
      </c>
      <c r="B146" s="904"/>
      <c r="C146" s="905"/>
      <c r="D146" s="152" t="s">
        <v>183</v>
      </c>
      <c r="E146" s="95">
        <f>'28'!F146</f>
        <v>776454</v>
      </c>
      <c r="F146" s="148">
        <v>776454</v>
      </c>
      <c r="G146" s="112">
        <f t="shared" si="12"/>
        <v>0</v>
      </c>
      <c r="H146" s="99">
        <f>G146+'28'!H146</f>
        <v>12128</v>
      </c>
      <c r="I146" s="140"/>
      <c r="J146" s="328">
        <f>H146/DAY(B2)</f>
        <v>418.20689655172413</v>
      </c>
    </row>
    <row r="147" spans="1:10" ht="25.5">
      <c r="A147" s="906" t="s">
        <v>192</v>
      </c>
      <c r="B147" s="906"/>
      <c r="C147" s="906"/>
      <c r="D147" s="152" t="s">
        <v>183</v>
      </c>
      <c r="E147" s="95">
        <f>'28'!F147</f>
        <v>662375</v>
      </c>
      <c r="F147" s="148">
        <v>662776</v>
      </c>
      <c r="G147" s="112">
        <f t="shared" si="12"/>
        <v>401</v>
      </c>
      <c r="H147" s="99">
        <f>G147+'28'!H147</f>
        <v>12592</v>
      </c>
      <c r="I147" s="140"/>
      <c r="J147" s="328">
        <f>H147/DAY(B2)</f>
        <v>434.20689655172413</v>
      </c>
    </row>
    <row r="148" spans="1:10" ht="25.5">
      <c r="A148" s="898" t="s">
        <v>193</v>
      </c>
      <c r="B148" s="899"/>
      <c r="C148" s="900"/>
      <c r="D148" s="123" t="s">
        <v>130</v>
      </c>
      <c r="E148" s="95">
        <f>'28'!F148</f>
        <v>719054</v>
      </c>
      <c r="F148" s="150">
        <v>719550</v>
      </c>
      <c r="G148" s="112">
        <f t="shared" si="12"/>
        <v>496</v>
      </c>
      <c r="H148" s="99">
        <f>G148+'28'!H148</f>
        <v>10685.319999999949</v>
      </c>
      <c r="I148" s="124"/>
      <c r="J148" s="328">
        <f>H148/DAY(B2)</f>
        <v>368.45931034482584</v>
      </c>
    </row>
    <row r="149" spans="1:10" ht="25.5">
      <c r="A149" s="898" t="s">
        <v>336</v>
      </c>
      <c r="B149" s="899"/>
      <c r="C149" s="900"/>
      <c r="D149" s="227" t="s">
        <v>130</v>
      </c>
      <c r="E149" s="95">
        <f>'28'!F149</f>
        <v>82180</v>
      </c>
      <c r="F149" s="146">
        <v>82762</v>
      </c>
      <c r="G149" s="112">
        <f t="shared" si="12"/>
        <v>582</v>
      </c>
      <c r="H149" s="99">
        <f>G149+'28'!H149</f>
        <v>19538.199999999997</v>
      </c>
      <c r="I149" s="119"/>
      <c r="J149" s="328">
        <f>H149/DAY(B2)</f>
        <v>673.73103448275856</v>
      </c>
    </row>
    <row r="150" spans="1:10" ht="25.5">
      <c r="A150" s="898" t="s">
        <v>337</v>
      </c>
      <c r="B150" s="899"/>
      <c r="C150" s="900"/>
      <c r="D150" s="117" t="s">
        <v>130</v>
      </c>
      <c r="E150" s="95">
        <f>'28'!F150</f>
        <v>30164</v>
      </c>
      <c r="F150" s="233">
        <v>30375</v>
      </c>
      <c r="G150" s="112">
        <f t="shared" si="12"/>
        <v>211</v>
      </c>
      <c r="H150" s="99">
        <f>G150+'28'!H150</f>
        <v>6419.2099999999991</v>
      </c>
      <c r="I150" s="119"/>
      <c r="J150" s="328">
        <f>H150/DAY(B2)</f>
        <v>221.35206896551722</v>
      </c>
    </row>
    <row r="151" spans="1:10" ht="25.5">
      <c r="A151" s="898" t="s">
        <v>338</v>
      </c>
      <c r="B151" s="899"/>
      <c r="C151" s="900"/>
      <c r="D151" s="117" t="s">
        <v>130</v>
      </c>
      <c r="E151" s="95">
        <f>'28'!F151</f>
        <v>108560</v>
      </c>
      <c r="F151" s="233">
        <v>108877</v>
      </c>
      <c r="G151" s="112">
        <f t="shared" si="12"/>
        <v>317</v>
      </c>
      <c r="H151" s="99">
        <f>G151+'28'!H151</f>
        <v>8266</v>
      </c>
      <c r="I151" s="119"/>
      <c r="J151" s="328">
        <f>H151/DAY(B2)</f>
        <v>285.0344827586207</v>
      </c>
    </row>
    <row r="152" spans="1:10" ht="25.5">
      <c r="A152" s="898" t="s">
        <v>339</v>
      </c>
      <c r="B152" s="899"/>
      <c r="C152" s="900"/>
      <c r="D152" s="117" t="s">
        <v>130</v>
      </c>
      <c r="E152" s="95">
        <f>'28'!F152</f>
        <v>10926</v>
      </c>
      <c r="F152" s="233">
        <v>11028</v>
      </c>
      <c r="G152" s="112">
        <f>F152-E152</f>
        <v>102</v>
      </c>
      <c r="H152" s="99">
        <f>G152+'28'!H152</f>
        <v>2958.9399999999996</v>
      </c>
      <c r="I152" s="119"/>
      <c r="J152" s="328">
        <f>H152/DAY(B2)</f>
        <v>102.03241379310343</v>
      </c>
    </row>
    <row r="153" spans="1:10" ht="25.5">
      <c r="A153" s="935" t="s">
        <v>196</v>
      </c>
      <c r="B153" s="936"/>
      <c r="C153" s="365"/>
      <c r="D153" s="358"/>
      <c r="E153" s="360"/>
      <c r="F153" s="361"/>
      <c r="G153" s="362">
        <f>SUM(G138:G152)</f>
        <v>3065</v>
      </c>
      <c r="H153" s="363"/>
      <c r="I153" s="119">
        <f>G153-(G38+G52)</f>
        <v>666</v>
      </c>
      <c r="J153" s="366"/>
    </row>
    <row r="154" spans="1:10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27.75">
      <c r="A155" s="906" t="s">
        <v>345</v>
      </c>
      <c r="B155" s="906"/>
      <c r="C155" s="906"/>
      <c r="D155" s="117" t="s">
        <v>130</v>
      </c>
      <c r="E155" s="95">
        <f>'28'!F155</f>
        <v>91384</v>
      </c>
      <c r="F155" s="389">
        <v>92062</v>
      </c>
      <c r="G155" s="112">
        <f t="shared" ref="G155:G158" si="13">F155-E155</f>
        <v>678</v>
      </c>
      <c r="H155" s="99">
        <f>G155+'28'!H155</f>
        <v>19291.5</v>
      </c>
      <c r="I155" s="364"/>
      <c r="J155" s="328">
        <f>H155/DAY(B2)</f>
        <v>665.22413793103453</v>
      </c>
    </row>
    <row r="156" spans="1:10" ht="25.5">
      <c r="A156" s="906" t="s">
        <v>347</v>
      </c>
      <c r="B156" s="906"/>
      <c r="C156" s="906"/>
      <c r="D156" s="117" t="s">
        <v>130</v>
      </c>
      <c r="E156" s="95">
        <f>'28'!F156</f>
        <v>7580</v>
      </c>
      <c r="F156" s="155">
        <v>7631</v>
      </c>
      <c r="G156" s="112">
        <f t="shared" si="13"/>
        <v>51</v>
      </c>
      <c r="H156" s="99">
        <f>G156+'28'!H156</f>
        <v>1573.75</v>
      </c>
      <c r="I156" s="165"/>
      <c r="J156" s="328">
        <f>H156/DAY(B2)</f>
        <v>54.267241379310342</v>
      </c>
    </row>
    <row r="157" spans="1:10" ht="25.5">
      <c r="A157" s="898" t="s">
        <v>361</v>
      </c>
      <c r="B157" s="899"/>
      <c r="C157" s="900"/>
      <c r="D157" s="117" t="s">
        <v>130</v>
      </c>
      <c r="E157" s="95">
        <f>'28'!F157</f>
        <v>13283</v>
      </c>
      <c r="F157" s="155">
        <v>13380</v>
      </c>
      <c r="G157" s="112">
        <f t="shared" si="13"/>
        <v>97</v>
      </c>
      <c r="H157" s="99">
        <f>G157+'28'!H157</f>
        <v>97</v>
      </c>
      <c r="I157" s="165"/>
      <c r="J157" s="328">
        <f>H157/DAY(B2)</f>
        <v>3.3448275862068964</v>
      </c>
    </row>
    <row r="158" spans="1:10" ht="25.5">
      <c r="A158" s="898" t="s">
        <v>362</v>
      </c>
      <c r="B158" s="899"/>
      <c r="C158" s="900"/>
      <c r="D158" s="117" t="s">
        <v>130</v>
      </c>
      <c r="E158" s="95">
        <f>'28'!F158</f>
        <v>104</v>
      </c>
      <c r="F158" s="155">
        <v>105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5.5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474736</v>
      </c>
      <c r="F161" s="235">
        <v>474760</v>
      </c>
      <c r="G161" s="238">
        <f t="shared" ref="G161:G165" si="14">F161-E161</f>
        <v>24</v>
      </c>
      <c r="H161" s="99">
        <f>G161+'28'!H161</f>
        <v>919.27000000001863</v>
      </c>
      <c r="I161" s="236"/>
      <c r="J161" s="239">
        <f>H161/DAY(B2)</f>
        <v>31.698965517242023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91468</v>
      </c>
      <c r="F162" s="235">
        <v>91509</v>
      </c>
      <c r="G162" s="238">
        <f t="shared" si="14"/>
        <v>41</v>
      </c>
      <c r="H162" s="99">
        <f>G162+'28'!H162</f>
        <v>1056.1000000000058</v>
      </c>
      <c r="I162" s="236"/>
      <c r="J162" s="239">
        <f>H162/DAY(B2)</f>
        <v>36.417241379310546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91690</v>
      </c>
      <c r="F163" s="235">
        <v>91868</v>
      </c>
      <c r="G163" s="238">
        <f t="shared" si="14"/>
        <v>178</v>
      </c>
      <c r="H163" s="99">
        <f>G163+'28'!H163</f>
        <v>4789.1999999999971</v>
      </c>
      <c r="I163" s="236"/>
      <c r="J163" s="239">
        <f>H163/DAY(B2)</f>
        <v>165.14482758620679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5159</v>
      </c>
      <c r="F164" s="235">
        <v>5171</v>
      </c>
      <c r="G164" s="238">
        <f t="shared" si="14"/>
        <v>12</v>
      </c>
      <c r="H164" s="99">
        <f>G164+'28'!H164</f>
        <v>358.60000000000036</v>
      </c>
      <c r="I164" s="236"/>
      <c r="J164" s="239">
        <f>H164/DAY(B2)</f>
        <v>12.365517241379322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30610</v>
      </c>
      <c r="F165" s="235">
        <v>30622</v>
      </c>
      <c r="G165" s="238">
        <f t="shared" si="14"/>
        <v>12</v>
      </c>
      <c r="H165" s="99">
        <f>G165+'28'!H165</f>
        <v>266.4900000000016</v>
      </c>
      <c r="I165" s="236"/>
      <c r="J165" s="239">
        <f>H165/DAY(B2)</f>
        <v>9.189310344827641</v>
      </c>
    </row>
    <row r="166" spans="1:10" ht="26.25">
      <c r="A166" s="938"/>
      <c r="B166" s="938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95">
        <f>'28'!F173</f>
        <v>8261</v>
      </c>
      <c r="F173" s="155">
        <v>8261</v>
      </c>
      <c r="G173" s="155">
        <f>F173-E173</f>
        <v>0</v>
      </c>
      <c r="H173" s="99">
        <f>G173+'28'!H173</f>
        <v>119</v>
      </c>
      <c r="I173" s="155"/>
      <c r="J173" s="178">
        <f>H173/DAY(B2)</f>
        <v>4.1034482758620694</v>
      </c>
    </row>
    <row r="174" spans="1:10" ht="25.5">
      <c r="A174" s="896" t="s">
        <v>75</v>
      </c>
      <c r="B174" s="897"/>
      <c r="C174" s="333"/>
      <c r="D174" s="228" t="s">
        <v>142</v>
      </c>
      <c r="E174" s="95">
        <f>'28'!F174</f>
        <v>39899</v>
      </c>
      <c r="F174" s="157">
        <v>39914</v>
      </c>
      <c r="G174" s="155">
        <f t="shared" ref="G174:G175" si="15">F174-E174</f>
        <v>15</v>
      </c>
      <c r="H174" s="99">
        <f>G174+'28'!H174</f>
        <v>452</v>
      </c>
      <c r="I174" s="155"/>
      <c r="J174" s="178">
        <f>H174/DAY(B2)</f>
        <v>15.586206896551724</v>
      </c>
    </row>
    <row r="175" spans="1:10" ht="25.5">
      <c r="A175" s="896" t="s">
        <v>76</v>
      </c>
      <c r="B175" s="901"/>
      <c r="C175" s="897"/>
      <c r="D175" s="228" t="s">
        <v>142</v>
      </c>
      <c r="E175" s="95">
        <f>'28'!F175</f>
        <v>22866</v>
      </c>
      <c r="F175" s="155">
        <v>22878</v>
      </c>
      <c r="G175" s="155">
        <f t="shared" si="15"/>
        <v>12</v>
      </c>
      <c r="H175" s="99">
        <f>G175+'28'!H175</f>
        <v>356</v>
      </c>
      <c r="I175" s="155"/>
      <c r="J175" s="178">
        <f>H175/DAY(B2)</f>
        <v>12.275862068965518</v>
      </c>
    </row>
    <row r="176" spans="1:10" ht="25.5">
      <c r="A176" s="935" t="s">
        <v>196</v>
      </c>
      <c r="B176" s="936"/>
      <c r="C176" s="401"/>
      <c r="D176" s="228"/>
      <c r="E176" s="95"/>
      <c r="F176" s="155"/>
      <c r="G176" s="155">
        <f>SUM(G173:G175)</f>
        <v>27</v>
      </c>
      <c r="H176" s="99">
        <f>G176+'28'!H176</f>
        <v>927</v>
      </c>
      <c r="I176" s="155"/>
      <c r="J176" s="178">
        <f>H176/DAY(B2)</f>
        <v>31.96551724137931</v>
      </c>
    </row>
    <row r="177" spans="1:10" ht="25.5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95">
        <f>'28'!F178</f>
        <v>88411</v>
      </c>
      <c r="F178" s="155">
        <v>88517</v>
      </c>
      <c r="G178" s="155">
        <f>F178-E178</f>
        <v>106</v>
      </c>
      <c r="H178" s="99">
        <f>G178+'28'!H178</f>
        <v>2901</v>
      </c>
      <c r="I178" s="155"/>
      <c r="J178" s="178">
        <f>H178/DAY(B2)</f>
        <v>100.03448275862068</v>
      </c>
    </row>
    <row r="179" spans="1:10" ht="25.5">
      <c r="A179" s="896" t="s">
        <v>211</v>
      </c>
      <c r="B179" s="897"/>
      <c r="C179" s="333"/>
      <c r="D179" s="228" t="s">
        <v>142</v>
      </c>
      <c r="E179" s="95">
        <f>'28'!F179</f>
        <v>35772</v>
      </c>
      <c r="F179" s="155">
        <v>35773</v>
      </c>
      <c r="G179" s="155">
        <f t="shared" ref="G179:G180" si="16">F179-E179</f>
        <v>1</v>
      </c>
      <c r="H179" s="99">
        <f>G179+'28'!H179</f>
        <v>159</v>
      </c>
      <c r="I179" s="155"/>
      <c r="J179" s="178">
        <f>H179/DAY(B2)</f>
        <v>5.4827586206896548</v>
      </c>
    </row>
    <row r="180" spans="1:10" ht="25.5">
      <c r="A180" s="896" t="s">
        <v>212</v>
      </c>
      <c r="B180" s="897"/>
      <c r="C180" s="333"/>
      <c r="D180" s="228" t="s">
        <v>142</v>
      </c>
      <c r="E180" s="95">
        <f>'28'!F180</f>
        <v>6363</v>
      </c>
      <c r="F180" s="155">
        <v>6368</v>
      </c>
      <c r="G180" s="155">
        <f t="shared" si="16"/>
        <v>5</v>
      </c>
      <c r="H180" s="99">
        <f>G180+'28'!H180</f>
        <v>235</v>
      </c>
      <c r="I180" s="155"/>
      <c r="J180" s="178">
        <f>H180/DAY(B2)</f>
        <v>8.1034482758620694</v>
      </c>
    </row>
    <row r="181" spans="1:10" ht="25.5">
      <c r="A181" s="942" t="s">
        <v>108</v>
      </c>
      <c r="B181" s="943"/>
      <c r="C181" s="401"/>
      <c r="D181" s="228"/>
      <c r="E181" s="95"/>
      <c r="F181" s="155"/>
      <c r="G181" s="155">
        <f>SUM(G178:G180)</f>
        <v>112</v>
      </c>
      <c r="H181" s="99">
        <f>G181+'28'!H181</f>
        <v>3295</v>
      </c>
      <c r="I181" s="155"/>
      <c r="J181" s="178">
        <f>H181/DAY(B2)</f>
        <v>113.62068965517241</v>
      </c>
    </row>
    <row r="182" spans="1:10" ht="25.5">
      <c r="A182" s="896" t="s">
        <v>213</v>
      </c>
      <c r="B182" s="89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95">
        <f>'28'!F183</f>
        <v>16594</v>
      </c>
      <c r="F183" s="157">
        <v>16609</v>
      </c>
      <c r="G183" s="157">
        <f>F183-E183</f>
        <v>15</v>
      </c>
      <c r="H183" s="99">
        <f>G183+'28'!H183</f>
        <v>467</v>
      </c>
      <c r="I183" s="155"/>
      <c r="J183" s="178">
        <f>H183/DAY(B2)</f>
        <v>16.103448275862068</v>
      </c>
    </row>
    <row r="184" spans="1:10" ht="25.5">
      <c r="A184" s="896" t="s">
        <v>215</v>
      </c>
      <c r="B184" s="897"/>
      <c r="C184" s="334"/>
      <c r="D184" s="228" t="s">
        <v>142</v>
      </c>
      <c r="E184" s="95">
        <f>'28'!F184</f>
        <v>11262</v>
      </c>
      <c r="F184" s="157">
        <v>11268</v>
      </c>
      <c r="G184" s="157">
        <f t="shared" ref="G184:G185" si="17">F184-E184</f>
        <v>6</v>
      </c>
      <c r="H184" s="99">
        <f>G184+'28'!H184</f>
        <v>219</v>
      </c>
      <c r="I184" s="155"/>
      <c r="J184" s="178">
        <f>H184/DAY(B2)</f>
        <v>7.5517241379310347</v>
      </c>
    </row>
    <row r="185" spans="1:10" ht="25.5">
      <c r="A185" s="896" t="s">
        <v>216</v>
      </c>
      <c r="B185" s="89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9"/>
      <c r="E186" s="95"/>
      <c r="F186" s="157"/>
      <c r="G186" s="157">
        <f>SUM(G183:G185)</f>
        <v>21</v>
      </c>
      <c r="H186" s="99">
        <f>G186+'28'!H186</f>
        <v>686</v>
      </c>
      <c r="I186" s="157"/>
      <c r="J186" s="178">
        <f>H186/DAY(B2)</f>
        <v>23.655172413793103</v>
      </c>
    </row>
    <row r="187" spans="1:10" ht="25.5">
      <c r="A187" s="946" t="s">
        <v>217</v>
      </c>
      <c r="B187" s="947"/>
      <c r="C187" s="333"/>
      <c r="D187" s="230" t="s">
        <v>142</v>
      </c>
      <c r="E187" s="95">
        <f>'28'!F187</f>
        <v>0</v>
      </c>
      <c r="F187" s="159"/>
      <c r="G187" s="467">
        <f>G62+G19</f>
        <v>220</v>
      </c>
      <c r="H187" s="99">
        <f>G187+'28'!H187</f>
        <v>6627</v>
      </c>
      <c r="I187" s="158"/>
      <c r="J187" s="179">
        <f>H187/DAY(B2)</f>
        <v>228.51724137931035</v>
      </c>
    </row>
    <row r="188" spans="1:10" ht="25.5">
      <c r="A188" s="946" t="s">
        <v>218</v>
      </c>
      <c r="B188" s="947"/>
      <c r="C188" s="333"/>
      <c r="D188" s="230" t="s">
        <v>142</v>
      </c>
      <c r="E188" s="95">
        <f>'28'!F188</f>
        <v>0</v>
      </c>
      <c r="F188" s="159"/>
      <c r="G188" s="467">
        <f>G65+G66+G67+G69+G70</f>
        <v>228</v>
      </c>
      <c r="H188" s="99">
        <f>G188+'28'!H188</f>
        <v>3510</v>
      </c>
      <c r="I188" s="158"/>
      <c r="J188" s="179">
        <f>H188/DAY(B2)</f>
        <v>121.03448275862068</v>
      </c>
    </row>
    <row r="189" spans="1:10" ht="25.5">
      <c r="A189" s="946" t="s">
        <v>219</v>
      </c>
      <c r="B189" s="947"/>
      <c r="C189" s="333"/>
      <c r="D189" s="230" t="s">
        <v>142</v>
      </c>
      <c r="E189" s="95">
        <f>'28'!F189</f>
        <v>0</v>
      </c>
      <c r="F189" s="157"/>
      <c r="G189" s="417">
        <f>G181</f>
        <v>112</v>
      </c>
      <c r="H189" s="99">
        <f>G189+'28'!H189</f>
        <v>1274</v>
      </c>
      <c r="I189" s="158"/>
      <c r="J189" s="179">
        <f>H189/DAY(B2)</f>
        <v>43.931034482758619</v>
      </c>
    </row>
    <row r="190" spans="1:10" ht="25.5">
      <c r="A190" s="940"/>
      <c r="B190" s="941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H8" sqref="H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30.75" customHeight="1">
      <c r="A2" s="191" t="s">
        <v>303</v>
      </c>
      <c r="B2" s="262">
        <v>44681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32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801190</v>
      </c>
      <c r="F7" s="95">
        <v>831051</v>
      </c>
      <c r="G7" s="112">
        <f>F7-E7</f>
        <v>29861</v>
      </c>
      <c r="H7" s="99">
        <f>G7+'29'!H7</f>
        <v>844328</v>
      </c>
      <c r="I7" s="113">
        <f>'1'!I7</f>
        <v>12000</v>
      </c>
      <c r="J7" s="175">
        <f>H7/DAY(B2)</f>
        <v>28144.266666666666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888604</v>
      </c>
      <c r="F8" s="114">
        <v>919123</v>
      </c>
      <c r="G8" s="112">
        <f>F8-E8</f>
        <v>30519</v>
      </c>
      <c r="H8" s="99">
        <f>G8+'29'!H8</f>
        <v>861076.78</v>
      </c>
      <c r="I8" s="116"/>
      <c r="J8" s="175">
        <f>H8/DAY(B2)</f>
        <v>28702.559333333335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1869320</v>
      </c>
      <c r="F9" s="470">
        <v>1891035</v>
      </c>
      <c r="G9" s="357">
        <f>F9-E9</f>
        <v>21715</v>
      </c>
      <c r="H9" s="99">
        <f>G9+'29'!H9</f>
        <v>623360</v>
      </c>
      <c r="I9" s="124">
        <f>I7-J7</f>
        <v>-16144.266666666666</v>
      </c>
      <c r="J9" s="175">
        <f>H9/DAY(B2)</f>
        <v>20778.666666666668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608220</v>
      </c>
      <c r="F10" s="353">
        <v>615536</v>
      </c>
      <c r="G10" s="112">
        <f t="shared" ref="G10:G12" si="0">F10-E10</f>
        <v>7316</v>
      </c>
      <c r="H10" s="99">
        <f>G10+'29'!H10</f>
        <v>197260.53000000003</v>
      </c>
      <c r="I10" s="282"/>
      <c r="J10" s="175">
        <f>H10/DAY(B2)</f>
        <v>6575.3510000000006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29031</v>
      </c>
      <c r="H13" s="99">
        <f>G13+'29'!H13</f>
        <v>820621</v>
      </c>
      <c r="I13" s="120">
        <f>G7-G13</f>
        <v>830</v>
      </c>
      <c r="J13" s="175">
        <f>H13/DAY(B2)</f>
        <v>27354.033333333333</v>
      </c>
      <c r="K13" s="79"/>
      <c r="L13" s="66"/>
      <c r="N13" s="87"/>
      <c r="O13" s="71"/>
    </row>
    <row r="14" spans="1:15" ht="30.75" customHeight="1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2002621</v>
      </c>
      <c r="F15" s="470">
        <v>2003727</v>
      </c>
      <c r="G15" s="112">
        <f>(F15-E15)</f>
        <v>1106</v>
      </c>
      <c r="H15" s="99">
        <f>G15+'29'!H15</f>
        <v>32790</v>
      </c>
      <c r="I15" s="113">
        <f>'1'!I15</f>
        <v>800</v>
      </c>
      <c r="J15" s="175">
        <f>H15/DAY(B2)</f>
        <v>1093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-293</v>
      </c>
      <c r="J16" s="176"/>
      <c r="K16" s="79"/>
      <c r="L16" s="66"/>
      <c r="N16" s="87"/>
      <c r="O16" s="71"/>
    </row>
    <row r="17" spans="1:15" ht="30.75" customHeight="1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4" t="s">
        <v>141</v>
      </c>
      <c r="B18" s="875"/>
      <c r="C18" s="876"/>
      <c r="D18" s="151" t="s">
        <v>142</v>
      </c>
      <c r="E18" s="95">
        <f>'29'!F18</f>
        <v>26</v>
      </c>
      <c r="F18" s="122">
        <v>33</v>
      </c>
      <c r="G18" s="119">
        <f>F18*10</f>
        <v>330</v>
      </c>
      <c r="H18" s="99">
        <f>G18+'29'!H18</f>
        <v>7640</v>
      </c>
      <c r="I18" s="113">
        <f>'1'!I18</f>
        <v>65</v>
      </c>
      <c r="J18" s="175">
        <f>H18/DAY(B2)</f>
        <v>254.66666666666666</v>
      </c>
      <c r="K18" s="79"/>
      <c r="L18" s="66"/>
      <c r="N18" s="87"/>
      <c r="O18" s="71"/>
    </row>
    <row r="19" spans="1:15" ht="30.75" customHeight="1">
      <c r="A19" s="874" t="s">
        <v>69</v>
      </c>
      <c r="B19" s="875"/>
      <c r="C19" s="876"/>
      <c r="D19" s="151" t="s">
        <v>142</v>
      </c>
      <c r="E19" s="95">
        <f>'29'!F19</f>
        <v>158405</v>
      </c>
      <c r="F19" s="122">
        <v>158454</v>
      </c>
      <c r="G19" s="112">
        <f t="shared" ref="G19" si="1">F19-E19</f>
        <v>49</v>
      </c>
      <c r="H19" s="99">
        <f>G19+'29'!H19</f>
        <v>1465</v>
      </c>
      <c r="I19" s="335"/>
      <c r="J19" s="175">
        <f>H19/DAY(B2)</f>
        <v>48.833333333333336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379</v>
      </c>
      <c r="H20" s="99">
        <f>G20+'29'!H20</f>
        <v>9105</v>
      </c>
      <c r="I20" s="336">
        <f>I18-J20</f>
        <v>-238.5</v>
      </c>
      <c r="J20" s="175">
        <f>H20/DAY(B2)</f>
        <v>303.5</v>
      </c>
      <c r="K20" s="79"/>
      <c r="L20" s="66"/>
      <c r="N20" s="87"/>
      <c r="O20" s="71"/>
    </row>
    <row r="21" spans="1:15" ht="30.75" customHeight="1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30519</v>
      </c>
      <c r="F27" s="136">
        <v>9</v>
      </c>
      <c r="G27" s="137">
        <f>E27*F27</f>
        <v>274671</v>
      </c>
      <c r="H27" s="99">
        <f>G27+'29'!H27</f>
        <v>7749691.0199999996</v>
      </c>
      <c r="I27" s="138"/>
      <c r="J27" s="175">
        <f>H27/DAY(B2)</f>
        <v>258323.03399999999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1106</v>
      </c>
      <c r="F28" s="136">
        <v>70</v>
      </c>
      <c r="G28" s="137">
        <f>E28*F28</f>
        <v>77420</v>
      </c>
      <c r="H28" s="99">
        <f>G28+'29'!H28</f>
        <v>2196582.419999999</v>
      </c>
      <c r="I28" s="140"/>
      <c r="J28" s="175">
        <f>H28/DAY(B2)</f>
        <v>73219.413999999961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G30+'29'!H30</f>
        <v>220055</v>
      </c>
      <c r="I30" s="140"/>
      <c r="J30" s="175">
        <f>H30/DAY(B2)</f>
        <v>7335.166666666667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G31+'29'!H31</f>
        <v>611200</v>
      </c>
      <c r="I31" s="140"/>
      <c r="J31" s="175">
        <f>H31/DAY(B2)</f>
        <v>20373.333333333332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385890</v>
      </c>
      <c r="H32" s="99">
        <f>G32+'29'!H32</f>
        <v>10777528.439999999</v>
      </c>
      <c r="I32" s="144"/>
      <c r="J32" s="175">
        <f>H32/DAY(B2)</f>
        <v>359250.94799999997</v>
      </c>
      <c r="K32" s="63"/>
      <c r="L32" s="89"/>
      <c r="N32" s="87"/>
      <c r="O32" s="71"/>
    </row>
    <row r="33" spans="1:15" ht="30.75" customHeight="1">
      <c r="A33" s="891" t="s">
        <v>331</v>
      </c>
      <c r="B33" s="892"/>
      <c r="C33" s="89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200522</v>
      </c>
      <c r="F35" s="145">
        <v>202885</v>
      </c>
      <c r="G35" s="112">
        <f t="shared" ref="G35:G46" si="3">F35-E35</f>
        <v>2363</v>
      </c>
      <c r="H35" s="99">
        <f>G35+'29'!H35</f>
        <v>64605.790000000008</v>
      </c>
      <c r="I35" s="95"/>
      <c r="J35" s="175">
        <f>H35/DAY(B2)</f>
        <v>2153.5263333333337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130448</v>
      </c>
      <c r="F36" s="145">
        <v>131579</v>
      </c>
      <c r="G36" s="112">
        <f t="shared" si="3"/>
        <v>1131</v>
      </c>
      <c r="H36" s="99">
        <f>G36+'29'!H36</f>
        <v>31058.339999999997</v>
      </c>
      <c r="I36" s="95"/>
      <c r="J36" s="175">
        <f>H36/DAY(B2)</f>
        <v>1035.2779999999998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181319</v>
      </c>
      <c r="F37" s="145">
        <v>183125</v>
      </c>
      <c r="G37" s="112">
        <f t="shared" si="3"/>
        <v>1806</v>
      </c>
      <c r="H37" s="99">
        <f>G37+'29'!H37</f>
        <v>50199.98000000001</v>
      </c>
      <c r="I37" s="95"/>
      <c r="J37" s="175">
        <f>H37/DAY(B2)</f>
        <v>1673.3326666666669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240952</v>
      </c>
      <c r="F38" s="108">
        <v>243452</v>
      </c>
      <c r="G38" s="112">
        <f t="shared" si="3"/>
        <v>2500</v>
      </c>
      <c r="H38" s="99">
        <f>G38+'29'!H38</f>
        <v>73342.63</v>
      </c>
      <c r="I38" s="95"/>
      <c r="J38" s="175">
        <f>H38/DAY(B2)</f>
        <v>2444.7543333333333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337088</v>
      </c>
      <c r="F39" s="145">
        <v>339988</v>
      </c>
      <c r="G39" s="112">
        <f t="shared" si="3"/>
        <v>2900</v>
      </c>
      <c r="H39" s="99">
        <f>G39+'29'!H39</f>
        <v>95834.57</v>
      </c>
      <c r="I39" s="95"/>
      <c r="J39" s="175">
        <f>H39/DAY(B2)</f>
        <v>3194.4856666666669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64163</v>
      </c>
      <c r="F40" s="145">
        <v>64877</v>
      </c>
      <c r="G40" s="112">
        <f t="shared" si="3"/>
        <v>714</v>
      </c>
      <c r="H40" s="99">
        <f>G40+'29'!H40</f>
        <v>15725.14</v>
      </c>
      <c r="I40" s="95"/>
      <c r="J40" s="175">
        <f>H40/DAY(B2)</f>
        <v>524.17133333333334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27378</v>
      </c>
      <c r="F41" s="145">
        <v>27693</v>
      </c>
      <c r="G41" s="112">
        <f t="shared" si="3"/>
        <v>315</v>
      </c>
      <c r="H41" s="99">
        <f>G41+'29'!H41</f>
        <v>27630</v>
      </c>
      <c r="I41" s="95"/>
      <c r="J41" s="175">
        <f>H41/DAY(B2)</f>
        <v>921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419528</v>
      </c>
      <c r="F42" s="145">
        <v>425801</v>
      </c>
      <c r="G42" s="112">
        <f t="shared" si="3"/>
        <v>6273</v>
      </c>
      <c r="H42" s="99">
        <f>G42+'29'!H42</f>
        <v>144443.75</v>
      </c>
      <c r="I42" s="95"/>
      <c r="J42" s="175">
        <f>H42/DAY(B2)</f>
        <v>4814.791666666667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354111</v>
      </c>
      <c r="F43" s="145">
        <v>357519</v>
      </c>
      <c r="G43" s="112">
        <f t="shared" si="3"/>
        <v>3408</v>
      </c>
      <c r="H43" s="99">
        <f>G43+'29'!H43</f>
        <v>98764.53</v>
      </c>
      <c r="I43" s="95"/>
      <c r="J43" s="175">
        <f>H43/DAY(B2)</f>
        <v>3292.1509999999998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21410</v>
      </c>
      <c r="H47" s="99">
        <f>G47+'29'!H47</f>
        <v>601604.72999999986</v>
      </c>
      <c r="I47" s="95"/>
      <c r="J47" s="175">
        <f>H47/DAY(B2)</f>
        <v>20053.490999999995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163296</v>
      </c>
      <c r="F49" s="145">
        <v>165170</v>
      </c>
      <c r="G49" s="112">
        <f t="shared" ref="G49:G58" si="4">F49-E49</f>
        <v>1874</v>
      </c>
      <c r="H49" s="99">
        <f>G49+'29'!H49</f>
        <v>54667.8</v>
      </c>
      <c r="I49" s="95"/>
      <c r="J49" s="175">
        <f>H49/DAY(B2)</f>
        <v>1822.26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170825</v>
      </c>
      <c r="F50" s="145">
        <v>172607</v>
      </c>
      <c r="G50" s="112">
        <f t="shared" si="4"/>
        <v>1782</v>
      </c>
      <c r="H50" s="99">
        <f>G50+'29'!H50</f>
        <v>41396.859999999986</v>
      </c>
      <c r="I50" s="95"/>
      <c r="J50" s="175">
        <f>H50/DAY(B2)</f>
        <v>1379.8953333333329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9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49603</v>
      </c>
      <c r="F54" s="419">
        <v>50083</v>
      </c>
      <c r="G54" s="112">
        <f t="shared" si="4"/>
        <v>480</v>
      </c>
      <c r="H54" s="99">
        <f>G54+'29'!H54</f>
        <v>14411.940000000002</v>
      </c>
      <c r="I54" s="95"/>
      <c r="J54" s="175">
        <f>H54/DAY(B2)</f>
        <v>480.39800000000008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142509</v>
      </c>
      <c r="F55" s="419">
        <v>144967</v>
      </c>
      <c r="G55" s="112">
        <f t="shared" si="4"/>
        <v>2458</v>
      </c>
      <c r="H55" s="99">
        <f>G55+'29'!H55</f>
        <v>32485.97</v>
      </c>
      <c r="I55" s="95"/>
      <c r="J55" s="175">
        <f>H55/DAY(B2)</f>
        <v>1082.8656666666668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9">
        <v>107246</v>
      </c>
      <c r="G56" s="112">
        <f t="shared" si="4"/>
        <v>0</v>
      </c>
      <c r="H56" s="99">
        <f>G56+'29'!H56</f>
        <v>35628.320000000007</v>
      </c>
      <c r="I56" s="95"/>
      <c r="J56" s="175">
        <f>H56/DAY(B2)</f>
        <v>1187.6106666666669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419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25257</v>
      </c>
      <c r="F58" s="419">
        <v>25493</v>
      </c>
      <c r="G58" s="112">
        <f t="shared" si="4"/>
        <v>236</v>
      </c>
      <c r="H58" s="99">
        <f>G58+'29'!H58</f>
        <v>7038.7999999999993</v>
      </c>
      <c r="I58" s="95"/>
      <c r="J58" s="175">
        <f>H58/DAY(B2)</f>
        <v>234.62666666666664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6829.68</v>
      </c>
      <c r="H59" s="99">
        <f>G59+'29'!H59</f>
        <v>185629.68999999997</v>
      </c>
      <c r="I59" s="95">
        <f>G7-G60</f>
        <v>1621.3199999999997</v>
      </c>
      <c r="J59" s="175">
        <f>H59/DAY(B2)</f>
        <v>6187.6563333333324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28239.68</v>
      </c>
      <c r="H60" s="99">
        <f>G60+'29'!H60</f>
        <v>787234.41999999993</v>
      </c>
      <c r="I60" s="95">
        <f>G13-G60</f>
        <v>791.31999999999971</v>
      </c>
      <c r="J60" s="175">
        <f>H60/DAY(B2)</f>
        <v>26241.147333333331</v>
      </c>
      <c r="K60" s="79"/>
      <c r="L60" s="66"/>
      <c r="N60" s="87"/>
      <c r="O60" s="71"/>
    </row>
    <row r="61" spans="1:15" s="68" customFormat="1" ht="30.75" customHeight="1">
      <c r="A61" s="893" t="s">
        <v>332</v>
      </c>
      <c r="B61" s="894"/>
      <c r="C61" s="895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4" t="s">
        <v>198</v>
      </c>
      <c r="B62" s="875"/>
      <c r="C62" s="876"/>
      <c r="D62" s="151" t="s">
        <v>142</v>
      </c>
      <c r="E62" s="95">
        <f>'29'!F62</f>
        <v>283837</v>
      </c>
      <c r="F62" s="150">
        <v>284009</v>
      </c>
      <c r="G62" s="112">
        <f t="shared" ref="G62:G63" si="5">F62-E62</f>
        <v>172</v>
      </c>
      <c r="H62" s="99">
        <f>G62+'29'!H62</f>
        <v>5383</v>
      </c>
      <c r="I62" s="118"/>
      <c r="J62" s="175">
        <f>H62/DAY(B2)</f>
        <v>179.43333333333334</v>
      </c>
      <c r="K62" s="80"/>
      <c r="L62" s="66"/>
      <c r="N62" s="87"/>
      <c r="O62" s="71"/>
    </row>
    <row r="63" spans="1:15" ht="30.75" customHeight="1">
      <c r="A63" s="874" t="s">
        <v>199</v>
      </c>
      <c r="B63" s="875"/>
      <c r="C63" s="876"/>
      <c r="D63" s="151" t="s">
        <v>142</v>
      </c>
      <c r="E63" s="95">
        <f>'29'!F63</f>
        <v>227348</v>
      </c>
      <c r="F63" s="150">
        <v>227479</v>
      </c>
      <c r="G63" s="112">
        <f t="shared" si="5"/>
        <v>131</v>
      </c>
      <c r="H63" s="99">
        <f>G63+'29'!H63</f>
        <v>4398</v>
      </c>
      <c r="I63" s="118"/>
      <c r="J63" s="175">
        <f>H63/DAY(B2)</f>
        <v>146.6</v>
      </c>
      <c r="K63" s="69"/>
      <c r="L63" s="66"/>
      <c r="N63" s="87"/>
      <c r="O63" s="71"/>
    </row>
    <row r="64" spans="1:15" ht="30.75" customHeight="1">
      <c r="A64" s="871" t="s">
        <v>200</v>
      </c>
      <c r="B64" s="872"/>
      <c r="C64" s="873"/>
      <c r="D64" s="151"/>
      <c r="E64" s="95">
        <f>'29'!F64</f>
        <v>0</v>
      </c>
      <c r="F64" s="150"/>
      <c r="G64" s="112">
        <f>G62+G63</f>
        <v>303</v>
      </c>
      <c r="H64" s="99">
        <f>G64+'29'!H64</f>
        <v>9781</v>
      </c>
      <c r="I64" s="118"/>
      <c r="J64" s="175">
        <f>H64/DAY(B2)</f>
        <v>326.03333333333336</v>
      </c>
      <c r="K64" s="69"/>
      <c r="L64" s="66"/>
      <c r="N64" s="87"/>
      <c r="O64" s="71"/>
    </row>
    <row r="65" spans="1:15" ht="30.75" customHeight="1">
      <c r="A65" s="874" t="s">
        <v>201</v>
      </c>
      <c r="B65" s="875"/>
      <c r="C65" s="876"/>
      <c r="D65" s="151" t="s">
        <v>142</v>
      </c>
      <c r="E65" s="95">
        <f>'29'!F65</f>
        <v>444475</v>
      </c>
      <c r="F65" s="150">
        <v>444592</v>
      </c>
      <c r="G65" s="112">
        <f t="shared" ref="G65:G70" si="6">F65-E65</f>
        <v>117</v>
      </c>
      <c r="H65" s="99">
        <f>G65+'29'!H65</f>
        <v>3461</v>
      </c>
      <c r="I65" s="118"/>
      <c r="J65" s="175">
        <f>H65/DAY(B2)</f>
        <v>115.36666666666666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109555</v>
      </c>
      <c r="F66" s="150">
        <v>109581</v>
      </c>
      <c r="G66" s="112">
        <f t="shared" si="6"/>
        <v>26</v>
      </c>
      <c r="H66" s="99">
        <f>G66+'29'!H66</f>
        <v>511</v>
      </c>
      <c r="I66" s="118"/>
      <c r="J66" s="175">
        <f>H66/DAY(B2)</f>
        <v>17.033333333333335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110821</v>
      </c>
      <c r="F67" s="150">
        <v>110900</v>
      </c>
      <c r="G67" s="112">
        <f t="shared" si="6"/>
        <v>79</v>
      </c>
      <c r="H67" s="99">
        <f>G67+'29'!H67</f>
        <v>2307</v>
      </c>
      <c r="I67" s="118"/>
      <c r="J67" s="175">
        <f>H67/DAY(B2)</f>
        <v>76.900000000000006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161759</v>
      </c>
      <c r="F68" s="150">
        <v>161784</v>
      </c>
      <c r="G68" s="112">
        <f t="shared" si="6"/>
        <v>25</v>
      </c>
      <c r="H68" s="99">
        <f>G68+'29'!H68</f>
        <v>1371</v>
      </c>
      <c r="I68" s="118"/>
      <c r="J68" s="175">
        <f>H68/DAY(B2)</f>
        <v>45.7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11590</v>
      </c>
      <c r="F69" s="150">
        <v>11598</v>
      </c>
      <c r="G69" s="112">
        <f t="shared" si="6"/>
        <v>8</v>
      </c>
      <c r="H69" s="99">
        <f>G69+'29'!H69</f>
        <v>397</v>
      </c>
      <c r="I69" s="118"/>
      <c r="J69" s="175">
        <f>H69/DAY(B2)</f>
        <v>13.233333333333333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8993</v>
      </c>
      <c r="F70" s="150">
        <v>9001</v>
      </c>
      <c r="G70" s="112">
        <f t="shared" si="6"/>
        <v>8</v>
      </c>
      <c r="H70" s="99">
        <f>G70+'29'!H70</f>
        <v>273</v>
      </c>
      <c r="I70" s="118"/>
      <c r="J70" s="175">
        <f>H70/DAY(B2)</f>
        <v>9.1</v>
      </c>
      <c r="K70" s="69"/>
      <c r="L70" s="66"/>
      <c r="N70" s="87"/>
      <c r="O70" s="71"/>
    </row>
    <row r="71" spans="1:15" ht="30.75" customHeight="1">
      <c r="A71" s="871" t="s">
        <v>208</v>
      </c>
      <c r="B71" s="872"/>
      <c r="C71" s="873"/>
      <c r="D71" s="152"/>
      <c r="E71" s="152"/>
      <c r="F71" s="152"/>
      <c r="G71" s="153">
        <f>SUM(G65:G70)</f>
        <v>263</v>
      </c>
      <c r="H71" s="99">
        <f>G71+'29'!H71</f>
        <v>8320</v>
      </c>
      <c r="I71" s="154"/>
      <c r="J71" s="175">
        <f>H71/DAY(B2)</f>
        <v>277.33333333333331</v>
      </c>
      <c r="K71" s="69"/>
      <c r="L71" s="66"/>
      <c r="N71" s="87"/>
      <c r="O71" s="71"/>
    </row>
    <row r="72" spans="1:15" s="88" customFormat="1" ht="30.75" customHeight="1">
      <c r="A72" s="917"/>
      <c r="B72" s="90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4" t="s">
        <v>220</v>
      </c>
      <c r="B74" s="875"/>
      <c r="C74" s="876"/>
      <c r="D74" s="151" t="s">
        <v>139</v>
      </c>
      <c r="E74" s="95">
        <f>'29'!F74</f>
        <v>928446</v>
      </c>
      <c r="F74" s="123">
        <v>928777</v>
      </c>
      <c r="G74" s="112">
        <f t="shared" ref="G74:G78" si="7">F74-E74</f>
        <v>331</v>
      </c>
      <c r="H74" s="99">
        <f>G74+'29'!H74</f>
        <v>9452.4899999999907</v>
      </c>
      <c r="I74" s="154"/>
      <c r="J74" s="175">
        <f>H74/DAY(B2)</f>
        <v>315.08299999999969</v>
      </c>
      <c r="K74" s="69"/>
      <c r="L74" s="66"/>
      <c r="N74" s="87"/>
      <c r="O74" s="71"/>
    </row>
    <row r="75" spans="1:15" ht="30.75" customHeight="1">
      <c r="A75" s="874" t="s">
        <v>221</v>
      </c>
      <c r="B75" s="875"/>
      <c r="C75" s="87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8" t="s">
        <v>222</v>
      </c>
      <c r="B76" s="904"/>
      <c r="C76" s="905"/>
      <c r="D76" s="151" t="s">
        <v>139</v>
      </c>
      <c r="E76" s="95">
        <f>'29'!F76</f>
        <v>180041</v>
      </c>
      <c r="F76" s="123">
        <v>180154</v>
      </c>
      <c r="G76" s="112">
        <f t="shared" si="7"/>
        <v>113</v>
      </c>
      <c r="H76" s="99">
        <f>G76+'29'!H76</f>
        <v>3567</v>
      </c>
      <c r="I76" s="154"/>
      <c r="J76" s="175">
        <f>H76/DAY(B2)</f>
        <v>118.9</v>
      </c>
      <c r="K76" s="69"/>
      <c r="L76" s="66"/>
      <c r="N76" s="87"/>
      <c r="O76" s="71"/>
    </row>
    <row r="77" spans="1:15" ht="30.75" customHeight="1">
      <c r="A77" s="918" t="s">
        <v>223</v>
      </c>
      <c r="B77" s="904"/>
      <c r="C77" s="905"/>
      <c r="D77" s="151" t="s">
        <v>139</v>
      </c>
      <c r="E77" s="95">
        <f>'29'!F77</f>
        <v>45622</v>
      </c>
      <c r="F77" s="123">
        <v>45674</v>
      </c>
      <c r="G77" s="112">
        <f t="shared" si="7"/>
        <v>52</v>
      </c>
      <c r="H77" s="99">
        <f>G77+'29'!H77</f>
        <v>1511</v>
      </c>
      <c r="I77" s="154"/>
      <c r="J77" s="175">
        <f>H77/DAY(B2)</f>
        <v>50.366666666666667</v>
      </c>
      <c r="K77" s="69"/>
      <c r="L77" s="66"/>
      <c r="N77" s="87"/>
      <c r="O77" s="71"/>
    </row>
    <row r="78" spans="1:15" ht="30.75" customHeight="1">
      <c r="A78" s="918" t="s">
        <v>224</v>
      </c>
      <c r="B78" s="904"/>
      <c r="C78" s="905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0.3999999999996362</v>
      </c>
      <c r="I78" s="118"/>
      <c r="J78" s="175">
        <f>H78/DAY(B2)</f>
        <v>1.3333333333321207E-2</v>
      </c>
      <c r="K78" s="69"/>
      <c r="L78" s="66"/>
      <c r="N78" s="87"/>
      <c r="O78" s="71"/>
    </row>
    <row r="79" spans="1:15" s="57" customFormat="1" ht="30.75" customHeight="1">
      <c r="A79" s="918" t="s">
        <v>225</v>
      </c>
      <c r="B79" s="904"/>
      <c r="C79" s="905"/>
      <c r="D79" s="151"/>
      <c r="E79" s="95">
        <f>'29'!F79</f>
        <v>0</v>
      </c>
      <c r="F79" s="117"/>
      <c r="G79" s="112">
        <f>G15-SUM(G74:G78)</f>
        <v>609.60000000000036</v>
      </c>
      <c r="H79" s="99">
        <f>G79+'29'!H79</f>
        <v>18259.110000000008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1" t="s">
        <v>329</v>
      </c>
      <c r="B80" s="872"/>
      <c r="C80" s="873"/>
      <c r="D80" s="151"/>
      <c r="E80" s="117"/>
      <c r="F80" s="117"/>
      <c r="G80" s="112">
        <f>SUM(G74:G79)</f>
        <v>1106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94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94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41792</v>
      </c>
      <c r="F84" s="164">
        <v>41792</v>
      </c>
      <c r="G84" s="112">
        <f t="shared" si="8"/>
        <v>0</v>
      </c>
      <c r="H84" s="99">
        <f>G84+'29'!H84</f>
        <v>117</v>
      </c>
      <c r="I84" s="594"/>
      <c r="J84" s="175">
        <f>H84/DAY(B2)</f>
        <v>3.9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3752.58</v>
      </c>
      <c r="F85" s="150">
        <v>3777</v>
      </c>
      <c r="G85" s="112">
        <f t="shared" si="8"/>
        <v>24.420000000000073</v>
      </c>
      <c r="H85" s="99">
        <f>G85+'29'!H85</f>
        <v>618.5</v>
      </c>
      <c r="I85" s="594"/>
      <c r="J85" s="175">
        <f>H85/DAY(B2)</f>
        <v>20.616666666666667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43924</v>
      </c>
      <c r="F86" s="164">
        <v>43939</v>
      </c>
      <c r="G86" s="112">
        <f t="shared" si="8"/>
        <v>15</v>
      </c>
      <c r="H86" s="99">
        <f>G86+'29'!H86</f>
        <v>218.59999999999854</v>
      </c>
      <c r="I86" s="594"/>
      <c r="J86" s="175">
        <f>H86/DAY(B2)</f>
        <v>7.2866666666666182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248.65000000000146</v>
      </c>
      <c r="I87" s="568">
        <f>G84+G85+G86+G87</f>
        <v>39.420000000000073</v>
      </c>
      <c r="J87" s="175">
        <f>H87/DAY(B2)</f>
        <v>8.288333333333382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24188</v>
      </c>
      <c r="F88" s="164">
        <v>24188.12</v>
      </c>
      <c r="G88" s="112">
        <f t="shared" si="8"/>
        <v>0.11999999999898137</v>
      </c>
      <c r="H88" s="99">
        <f>G88+'29'!H88</f>
        <v>78.719999999997526</v>
      </c>
      <c r="I88" s="568"/>
      <c r="J88" s="175">
        <f>H88/DAY(B2)</f>
        <v>2.6239999999999175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26699</v>
      </c>
      <c r="F89" s="164">
        <v>26709.22</v>
      </c>
      <c r="G89" s="112">
        <f t="shared" si="8"/>
        <v>10.220000000001164</v>
      </c>
      <c r="H89" s="99">
        <f>G89+'29'!H89</f>
        <v>237.43000000000029</v>
      </c>
      <c r="I89" s="568">
        <f>G88+G89</f>
        <v>10.340000000000146</v>
      </c>
      <c r="J89" s="175">
        <f>H89/DAY(B2)</f>
        <v>7.9143333333333432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71854</v>
      </c>
      <c r="F90" s="164">
        <v>71863.53</v>
      </c>
      <c r="G90" s="112">
        <f t="shared" si="8"/>
        <v>9.5299999999988358</v>
      </c>
      <c r="H90" s="99">
        <f>G90+'29'!H90</f>
        <v>51.139999999999418</v>
      </c>
      <c r="I90" s="568">
        <f>G90</f>
        <v>9.5299999999988358</v>
      </c>
      <c r="J90" s="175">
        <f>H90/DAY(B2)</f>
        <v>1.7046666666666472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4047</v>
      </c>
      <c r="F91" s="122">
        <v>4059.24</v>
      </c>
      <c r="G91" s="112">
        <f t="shared" si="8"/>
        <v>12.239999999999782</v>
      </c>
      <c r="H91" s="99">
        <f>G91+'29'!H91</f>
        <v>149.48999999999978</v>
      </c>
      <c r="I91" s="762"/>
      <c r="J91" s="175">
        <f>H91/DAY(B2)</f>
        <v>4.9829999999999925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5935</v>
      </c>
      <c r="F92" s="122">
        <v>5935</v>
      </c>
      <c r="G92" s="112">
        <f t="shared" si="8"/>
        <v>0</v>
      </c>
      <c r="H92" s="99">
        <f>G92+'29'!H92</f>
        <v>187.69999999999982</v>
      </c>
      <c r="I92" s="763">
        <f>G91+G92</f>
        <v>12.239999999999782</v>
      </c>
      <c r="J92" s="175">
        <f>H92/DAY(B2)</f>
        <v>6.2566666666666606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7645</v>
      </c>
      <c r="H94" s="99">
        <f>G94+'29'!H94</f>
        <v>218038.12</v>
      </c>
      <c r="I94" s="118"/>
      <c r="J94" s="175">
        <f>H94/DAY(B2)</f>
        <v>7267.9373333333333</v>
      </c>
      <c r="K94" s="69"/>
      <c r="L94" s="66"/>
      <c r="O94" s="71"/>
    </row>
    <row r="95" spans="1:15" ht="30.75" customHeight="1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0.2560195572820736</v>
      </c>
      <c r="H95" s="99">
        <f>G95+'29'!H95</f>
        <v>7.7515521952480118</v>
      </c>
      <c r="I95" s="167"/>
      <c r="J95" s="175">
        <f>H95/DAY(B2)</f>
        <v>0.2583850731749337</v>
      </c>
      <c r="K95" s="69"/>
      <c r="L95" s="66"/>
      <c r="O95" s="71"/>
    </row>
    <row r="96" spans="1:15" ht="30.75" customHeight="1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9046</v>
      </c>
      <c r="H96" s="99">
        <f>G96+'29'!H96</f>
        <v>240188.04</v>
      </c>
      <c r="I96" s="118"/>
      <c r="J96" s="175">
        <f>H96/DAY(B2)</f>
        <v>8006.268</v>
      </c>
      <c r="K96" s="69"/>
      <c r="L96" s="66"/>
      <c r="O96" s="71"/>
    </row>
    <row r="97" spans="1:15" ht="30.75" customHeight="1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0.30293694116071129</v>
      </c>
      <c r="H97" s="99">
        <f>G97+'29'!H97</f>
        <v>8.5115639011994286</v>
      </c>
      <c r="I97" s="167"/>
      <c r="J97" s="175">
        <f>H97/DAY(B2)</f>
        <v>0.28371879670664762</v>
      </c>
      <c r="K97" s="69"/>
      <c r="L97" s="66"/>
      <c r="O97" s="71"/>
    </row>
    <row r="98" spans="1:15" ht="30.75" customHeight="1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2900</v>
      </c>
      <c r="H98" s="99">
        <f>G98+'29'!H98</f>
        <v>95834.57</v>
      </c>
      <c r="I98" s="168"/>
      <c r="J98" s="175">
        <f>H98/DAY(B2)</f>
        <v>3194.4856666666669</v>
      </c>
      <c r="K98" s="69"/>
      <c r="L98" s="66"/>
      <c r="O98" s="71"/>
    </row>
    <row r="99" spans="1:15" ht="30.75" customHeight="1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9.7116640434010915E-2</v>
      </c>
      <c r="H99" s="99">
        <f>G99+'29'!H99</f>
        <v>3.4134244144002341</v>
      </c>
      <c r="I99" s="168"/>
      <c r="J99" s="175">
        <f>H99/DAY(B2)</f>
        <v>0.11378081381334114</v>
      </c>
      <c r="O99" s="71"/>
    </row>
    <row r="100" spans="1:15" ht="30.75" customHeight="1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2500</v>
      </c>
      <c r="H100" s="99">
        <f>G100+'29'!H100</f>
        <v>73342.63</v>
      </c>
      <c r="I100" s="118"/>
      <c r="J100" s="175">
        <f>H100/DAY(B2)</f>
        <v>2444.7543333333333</v>
      </c>
      <c r="K100" s="70"/>
      <c r="O100" s="71"/>
    </row>
    <row r="101" spans="1:15" ht="30.75" customHeight="1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8.3721241753457687E-2</v>
      </c>
      <c r="H101" s="99">
        <f>G101+'29'!H101</f>
        <v>2.6110961250413403</v>
      </c>
      <c r="I101" s="168"/>
      <c r="J101" s="175">
        <f>H101/DAY(B2)</f>
        <v>8.7036537501378006E-2</v>
      </c>
      <c r="O101" s="71"/>
    </row>
    <row r="102" spans="1:15" ht="30.75" customHeight="1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2913</v>
      </c>
      <c r="H102" s="99">
        <f>G102+'29'!H102</f>
        <v>72455.199999999983</v>
      </c>
      <c r="I102" s="168"/>
      <c r="J102" s="175">
        <f>H102/DAY(B2)</f>
        <v>2415.1733333333327</v>
      </c>
      <c r="O102" s="71"/>
    </row>
    <row r="103" spans="1:15" ht="30.75" customHeight="1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9.7551990891128898E-2</v>
      </c>
      <c r="H103" s="99">
        <f>G103+'29'!H103</f>
        <v>2.570406924616023</v>
      </c>
      <c r="I103" s="118"/>
      <c r="J103" s="175">
        <f>H103/DAY(B2)</f>
        <v>8.5680230820534095E-2</v>
      </c>
      <c r="O103" s="71"/>
    </row>
    <row r="104" spans="1:15" ht="30.75" customHeight="1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1805.68</v>
      </c>
      <c r="H104" s="99">
        <f>G104+'29'!H104</f>
        <v>50199.98000000001</v>
      </c>
      <c r="I104" s="118"/>
      <c r="J104" s="175">
        <f>H104/DAY(B2)</f>
        <v>1673.3326666666669</v>
      </c>
      <c r="O104" s="71"/>
    </row>
    <row r="105" spans="1:15" ht="30.75" customHeight="1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6.0469508723753396E-2</v>
      </c>
      <c r="H105" s="99">
        <f>G105+'29'!H105</f>
        <v>1.7849554456117924</v>
      </c>
      <c r="I105" s="187"/>
      <c r="J105" s="188">
        <f>H105/DAY(B2)</f>
        <v>5.9498514853726411E-2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30.75" customHeight="1">
      <c r="A109" s="913"/>
      <c r="B109" s="913"/>
    </row>
    <row r="110" spans="1:15" ht="30.75" customHeight="1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30.75" customHeight="1">
      <c r="A111" s="932"/>
      <c r="B111" s="933"/>
      <c r="C111" s="93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7" t="s">
        <v>252</v>
      </c>
      <c r="B112" s="908"/>
      <c r="C112" s="909"/>
      <c r="D112" s="146" t="s">
        <v>183</v>
      </c>
      <c r="E112" s="95">
        <f>'29'!F112</f>
        <v>162</v>
      </c>
      <c r="F112" s="237">
        <v>243</v>
      </c>
      <c r="G112" s="112">
        <f t="shared" ref="G112:G123" si="9">F112-E112</f>
        <v>81</v>
      </c>
      <c r="H112" s="99">
        <f>G112+'29'!H112</f>
        <v>2363.4700000000012</v>
      </c>
      <c r="I112" s="165"/>
      <c r="J112" s="328">
        <f>H112/DAY(B2)</f>
        <v>78.782333333333369</v>
      </c>
    </row>
    <row r="113" spans="1:18" ht="30.75" customHeight="1">
      <c r="A113" s="907" t="s">
        <v>253</v>
      </c>
      <c r="B113" s="908"/>
      <c r="C113" s="909"/>
      <c r="D113" s="146" t="s">
        <v>183</v>
      </c>
      <c r="E113" s="95">
        <f>'29'!F113</f>
        <v>322</v>
      </c>
      <c r="F113" s="237">
        <v>482</v>
      </c>
      <c r="G113" s="112">
        <f t="shared" si="9"/>
        <v>160</v>
      </c>
      <c r="H113" s="99">
        <f>G113+'29'!H113</f>
        <v>12415.789999999995</v>
      </c>
      <c r="I113" s="165"/>
      <c r="J113" s="328">
        <f>H113/DAY(B2)</f>
        <v>413.8596666666665</v>
      </c>
    </row>
    <row r="114" spans="1:18" ht="30.75" customHeight="1">
      <c r="A114" s="907" t="s">
        <v>254</v>
      </c>
      <c r="B114" s="908"/>
      <c r="C114" s="909"/>
      <c r="D114" s="146" t="s">
        <v>183</v>
      </c>
      <c r="E114" s="95">
        <f>'29'!F114</f>
        <v>441</v>
      </c>
      <c r="F114" s="237">
        <v>664</v>
      </c>
      <c r="G114" s="112">
        <f t="shared" si="9"/>
        <v>223</v>
      </c>
      <c r="H114" s="99">
        <f>G114+'29'!H114</f>
        <v>7494.1100000000006</v>
      </c>
      <c r="I114" s="165"/>
      <c r="J114" s="328">
        <f>H114/DAY(B2)</f>
        <v>249.80366666666669</v>
      </c>
    </row>
    <row r="115" spans="1:18" ht="30.75" customHeight="1">
      <c r="A115" s="907" t="s">
        <v>255</v>
      </c>
      <c r="B115" s="908"/>
      <c r="C115" s="909"/>
      <c r="D115" s="146" t="s">
        <v>183</v>
      </c>
      <c r="E115" s="95">
        <f>'29'!F115</f>
        <v>347</v>
      </c>
      <c r="F115" s="237">
        <v>511</v>
      </c>
      <c r="G115" s="112">
        <f t="shared" si="9"/>
        <v>164</v>
      </c>
      <c r="H115" s="99">
        <f>G115+'29'!H115</f>
        <v>1089.2399999999998</v>
      </c>
      <c r="I115" s="165"/>
      <c r="J115" s="328">
        <f>H115/DAY(B2)</f>
        <v>36.307999999999993</v>
      </c>
    </row>
    <row r="116" spans="1:18" ht="30.75" customHeight="1">
      <c r="A116" s="925" t="s">
        <v>96</v>
      </c>
      <c r="B116" s="926"/>
      <c r="C116" s="927"/>
      <c r="D116" s="146" t="s">
        <v>183</v>
      </c>
      <c r="E116" s="95">
        <f>'29'!F116</f>
        <v>34414</v>
      </c>
      <c r="F116" s="237">
        <v>34666</v>
      </c>
      <c r="G116" s="112">
        <f t="shared" si="9"/>
        <v>252</v>
      </c>
      <c r="H116" s="99">
        <f>G116+'29'!H116</f>
        <v>11881.380000000001</v>
      </c>
      <c r="I116" s="165"/>
      <c r="J116" s="328">
        <f>H116/DAY(B2)</f>
        <v>396.04600000000005</v>
      </c>
      <c r="Q116" s="907" t="s">
        <v>311</v>
      </c>
      <c r="R116" s="909"/>
    </row>
    <row r="117" spans="1:18" ht="30.75" customHeight="1">
      <c r="A117" s="925" t="s">
        <v>184</v>
      </c>
      <c r="B117" s="926"/>
      <c r="C117" s="927"/>
      <c r="D117" s="146" t="s">
        <v>183</v>
      </c>
      <c r="E117" s="95">
        <f>'29'!F117</f>
        <v>18776</v>
      </c>
      <c r="F117" s="237">
        <v>18936</v>
      </c>
      <c r="G117" s="112">
        <f t="shared" si="9"/>
        <v>160</v>
      </c>
      <c r="H117" s="99">
        <f>G117+'29'!H117</f>
        <v>5322.8269999999993</v>
      </c>
      <c r="I117" s="165"/>
      <c r="J117" s="328">
        <f>H117/DAY(B2)</f>
        <v>177.42756666666665</v>
      </c>
      <c r="Q117" s="907" t="s">
        <v>312</v>
      </c>
      <c r="R117" s="909"/>
    </row>
    <row r="118" spans="1:18" ht="30.75" customHeight="1">
      <c r="A118" s="902" t="s">
        <v>97</v>
      </c>
      <c r="B118" s="902"/>
      <c r="C118" s="902"/>
      <c r="D118" s="151" t="s">
        <v>183</v>
      </c>
      <c r="E118" s="95">
        <f>'29'!F118</f>
        <v>8500</v>
      </c>
      <c r="F118" s="237">
        <v>9063</v>
      </c>
      <c r="G118" s="112">
        <f t="shared" si="9"/>
        <v>563</v>
      </c>
      <c r="H118" s="99">
        <f>G118+'29'!H118</f>
        <v>16011.030000000032</v>
      </c>
      <c r="I118" s="165"/>
      <c r="J118" s="328">
        <f>H118/DAY(B2)</f>
        <v>533.70100000000105</v>
      </c>
      <c r="Q118" s="907" t="s">
        <v>311</v>
      </c>
      <c r="R118" s="909"/>
    </row>
    <row r="119" spans="1:18" ht="30.75" customHeight="1">
      <c r="A119" s="902" t="s">
        <v>98</v>
      </c>
      <c r="B119" s="902"/>
      <c r="C119" s="902"/>
      <c r="D119" s="151" t="s">
        <v>183</v>
      </c>
      <c r="E119" s="95">
        <f>'29'!F119</f>
        <v>5441</v>
      </c>
      <c r="F119" s="237">
        <v>5903</v>
      </c>
      <c r="G119" s="112">
        <f t="shared" si="9"/>
        <v>462</v>
      </c>
      <c r="H119" s="99">
        <f>G119+'29'!H119</f>
        <v>13223.609999999986</v>
      </c>
      <c r="I119" s="165"/>
      <c r="J119" s="328">
        <f>H119/DAY(B2)</f>
        <v>440.78699999999952</v>
      </c>
    </row>
    <row r="120" spans="1:18" ht="30.75" customHeight="1">
      <c r="A120" s="902" t="s">
        <v>99</v>
      </c>
      <c r="B120" s="902"/>
      <c r="C120" s="902"/>
      <c r="D120" s="151" t="s">
        <v>183</v>
      </c>
      <c r="E120" s="95">
        <f>'29'!F120</f>
        <v>6681</v>
      </c>
      <c r="F120" s="237">
        <v>7135</v>
      </c>
      <c r="G120" s="112">
        <f t="shared" si="9"/>
        <v>454</v>
      </c>
      <c r="H120" s="99">
        <f>G120+'29'!H120</f>
        <v>12481.240000000005</v>
      </c>
      <c r="I120" s="165"/>
      <c r="J120" s="328">
        <f>H120/DAY(B2)</f>
        <v>416.04133333333351</v>
      </c>
    </row>
    <row r="121" spans="1:18" ht="30.75" customHeight="1">
      <c r="A121" s="902" t="s">
        <v>100</v>
      </c>
      <c r="B121" s="902"/>
      <c r="C121" s="902"/>
      <c r="D121" s="151" t="s">
        <v>183</v>
      </c>
      <c r="E121" s="95">
        <f>'29'!F121</f>
        <v>11274</v>
      </c>
      <c r="F121" s="237">
        <v>11727</v>
      </c>
      <c r="G121" s="112">
        <f t="shared" si="9"/>
        <v>453</v>
      </c>
      <c r="H121" s="99">
        <f>G121+'29'!H121</f>
        <v>22131.729999999981</v>
      </c>
      <c r="I121" s="165"/>
      <c r="J121" s="328">
        <f>H121/DAY(B2)</f>
        <v>737.72433333333277</v>
      </c>
    </row>
    <row r="122" spans="1:18" ht="30.75" customHeight="1">
      <c r="A122" s="902" t="s">
        <v>101</v>
      </c>
      <c r="B122" s="902"/>
      <c r="C122" s="902"/>
      <c r="D122" s="151" t="s">
        <v>183</v>
      </c>
      <c r="E122" s="95">
        <f>'29'!F122</f>
        <v>3374</v>
      </c>
      <c r="F122" s="237">
        <v>3564</v>
      </c>
      <c r="G122" s="112">
        <f t="shared" si="9"/>
        <v>190</v>
      </c>
      <c r="H122" s="99">
        <f>G122+'29'!H122</f>
        <v>6380.859999999986</v>
      </c>
      <c r="I122" s="165"/>
      <c r="J122" s="328">
        <f>H122/DAY(B2)</f>
        <v>212.69533333333285</v>
      </c>
    </row>
    <row r="123" spans="1:18" ht="30.75" customHeight="1">
      <c r="A123" s="902" t="s">
        <v>102</v>
      </c>
      <c r="B123" s="902"/>
      <c r="C123" s="902"/>
      <c r="D123" s="151" t="s">
        <v>183</v>
      </c>
      <c r="E123" s="95">
        <f>'29'!F123</f>
        <v>644</v>
      </c>
      <c r="F123" s="237">
        <v>967</v>
      </c>
      <c r="G123" s="112">
        <f t="shared" si="9"/>
        <v>323</v>
      </c>
      <c r="H123" s="99">
        <f>G123+'29'!H123</f>
        <v>7080.5299999999988</v>
      </c>
      <c r="I123" s="165"/>
      <c r="J123" s="328">
        <f>H123/DAY(B2)</f>
        <v>236.01766666666663</v>
      </c>
    </row>
    <row r="124" spans="1:18" ht="30.75" customHeight="1">
      <c r="A124" s="932"/>
      <c r="B124" s="933"/>
      <c r="C124" s="934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5" t="s">
        <v>196</v>
      </c>
      <c r="B125" s="936"/>
      <c r="C125" s="245"/>
      <c r="D125" s="307"/>
      <c r="E125" s="308"/>
      <c r="F125" s="308"/>
      <c r="G125" s="309">
        <f>SUM(G112:G124)</f>
        <v>3485</v>
      </c>
      <c r="H125" s="156"/>
      <c r="I125" s="327">
        <f>G125-(G39+G53)</f>
        <v>585</v>
      </c>
      <c r="J125" s="327"/>
    </row>
    <row r="126" spans="1:18" ht="30.75" customHeight="1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30.75" customHeight="1">
      <c r="A127" s="938"/>
      <c r="B127" s="938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7" t="s">
        <v>318</v>
      </c>
      <c r="B128" s="908"/>
      <c r="C128" s="909"/>
      <c r="D128" s="151" t="s">
        <v>183</v>
      </c>
      <c r="E128" s="95">
        <f>'29'!F128</f>
        <v>80987</v>
      </c>
      <c r="F128" s="165">
        <v>81415</v>
      </c>
      <c r="G128" s="112">
        <f t="shared" ref="G128:G134" si="10">F128-E128</f>
        <v>428</v>
      </c>
      <c r="H128" s="99">
        <f>G128+'29'!H128</f>
        <v>12498.759999999995</v>
      </c>
      <c r="I128" s="165"/>
      <c r="J128" s="328">
        <f>H128/DAY(B2)</f>
        <v>416.62533333333317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50785</v>
      </c>
      <c r="F129" s="165">
        <v>51072</v>
      </c>
      <c r="G129" s="112">
        <f t="shared" si="10"/>
        <v>287</v>
      </c>
      <c r="H129" s="99">
        <f>G129+'29'!H129</f>
        <v>8960.9499999999971</v>
      </c>
      <c r="I129" s="165"/>
      <c r="J129" s="328">
        <f>H129/DAY(B2)</f>
        <v>298.69833333333321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95967</v>
      </c>
      <c r="F130" s="165">
        <v>96646</v>
      </c>
      <c r="G130" s="112">
        <f t="shared" si="10"/>
        <v>679</v>
      </c>
      <c r="H130" s="99">
        <f>G130+'29'!H130</f>
        <v>20984.050000000003</v>
      </c>
      <c r="I130" s="165"/>
      <c r="J130" s="328">
        <f>H130/DAY(B2)</f>
        <v>699.46833333333348</v>
      </c>
      <c r="N130" s="240"/>
      <c r="O130" s="241"/>
    </row>
    <row r="131" spans="1:15" ht="30.75" customHeight="1">
      <c r="A131" s="907" t="s">
        <v>321</v>
      </c>
      <c r="B131" s="908"/>
      <c r="C131" s="909"/>
      <c r="D131" s="151" t="s">
        <v>183</v>
      </c>
      <c r="E131" s="95">
        <f>'29'!F131</f>
        <v>30223</v>
      </c>
      <c r="F131" s="165">
        <v>30435</v>
      </c>
      <c r="G131" s="112">
        <f t="shared" si="10"/>
        <v>212</v>
      </c>
      <c r="H131" s="99">
        <f>G131+'29'!H131</f>
        <v>6002.5</v>
      </c>
      <c r="I131" s="165"/>
      <c r="J131" s="328">
        <f>H131/DAY(B2)</f>
        <v>200.08333333333334</v>
      </c>
      <c r="N131" s="240"/>
      <c r="O131" s="241"/>
    </row>
    <row r="132" spans="1:15" ht="30.75" customHeight="1">
      <c r="A132" s="907" t="s">
        <v>322</v>
      </c>
      <c r="B132" s="908"/>
      <c r="C132" s="909"/>
      <c r="D132" s="151" t="s">
        <v>183</v>
      </c>
      <c r="E132" s="120">
        <f>'29'!F132</f>
        <v>88405</v>
      </c>
      <c r="F132" s="466">
        <v>88937</v>
      </c>
      <c r="G132" s="112">
        <f t="shared" si="10"/>
        <v>532</v>
      </c>
      <c r="H132" s="99">
        <f>G132+'29'!H132</f>
        <v>13269.5</v>
      </c>
      <c r="I132" s="165"/>
      <c r="J132" s="328">
        <f>H132/DAY(B2)</f>
        <v>442.31666666666666</v>
      </c>
    </row>
    <row r="133" spans="1:15" ht="30.75" customHeight="1">
      <c r="A133" s="907" t="s">
        <v>360</v>
      </c>
      <c r="B133" s="908"/>
      <c r="C133" s="909"/>
      <c r="D133" s="151" t="s">
        <v>183</v>
      </c>
      <c r="E133" s="95">
        <f>'29'!F133</f>
        <v>171604</v>
      </c>
      <c r="F133" s="165">
        <v>172446</v>
      </c>
      <c r="G133" s="112">
        <f t="shared" si="10"/>
        <v>842</v>
      </c>
      <c r="H133" s="99">
        <f>G133+'29'!H133</f>
        <v>27064.010000000009</v>
      </c>
      <c r="I133" s="165"/>
      <c r="J133" s="328">
        <f>H133/DAY(B2)</f>
        <v>902.13366666666695</v>
      </c>
    </row>
    <row r="134" spans="1:15" ht="30.75" customHeight="1">
      <c r="A134" s="907" t="s">
        <v>340</v>
      </c>
      <c r="B134" s="908"/>
      <c r="C134" s="909"/>
      <c r="D134" s="151" t="s">
        <v>183</v>
      </c>
      <c r="E134" s="95">
        <f>'29'!F134</f>
        <v>27766</v>
      </c>
      <c r="F134" s="468">
        <v>28093</v>
      </c>
      <c r="G134" s="112">
        <f t="shared" si="10"/>
        <v>327</v>
      </c>
      <c r="H134" s="99">
        <f>G134+'29'!H134</f>
        <v>7300.32</v>
      </c>
      <c r="I134" s="165"/>
      <c r="J134" s="328">
        <f>H134/DAY(B2)</f>
        <v>243.34399999999999</v>
      </c>
    </row>
    <row r="135" spans="1:15" ht="30.75" customHeight="1">
      <c r="A135" s="935" t="s">
        <v>196</v>
      </c>
      <c r="B135" s="936"/>
      <c r="C135" s="331"/>
      <c r="D135" s="151"/>
      <c r="E135" s="95"/>
      <c r="F135" s="165"/>
      <c r="G135" s="112">
        <f>SUM(G128:G134)</f>
        <v>3307</v>
      </c>
      <c r="H135" s="99">
        <f>G135+'23'!H135</f>
        <v>38192.409999999974</v>
      </c>
      <c r="I135" s="327">
        <f>G135-(G35+G49)</f>
        <v>-930</v>
      </c>
      <c r="J135" s="328">
        <f>H135/DAY(B2)</f>
        <v>1273.0803333333324</v>
      </c>
    </row>
    <row r="136" spans="1:15" ht="30.75" customHeight="1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2" t="s">
        <v>185</v>
      </c>
      <c r="B138" s="902"/>
      <c r="C138" s="902"/>
      <c r="D138" s="151" t="s">
        <v>183</v>
      </c>
      <c r="E138" s="95">
        <f>'29'!F138</f>
        <v>878643</v>
      </c>
      <c r="F138" s="147">
        <v>878784</v>
      </c>
      <c r="G138" s="112">
        <f t="shared" ref="G138:G152" si="11">F138-E138</f>
        <v>141</v>
      </c>
      <c r="H138" s="99">
        <f>G138+'29'!H138</f>
        <v>4783</v>
      </c>
      <c r="I138" s="118"/>
      <c r="J138" s="328">
        <f>H138/DAY(B2)</f>
        <v>159.43333333333334</v>
      </c>
    </row>
    <row r="139" spans="1:15" ht="30.75" customHeight="1">
      <c r="A139" s="902" t="s">
        <v>186</v>
      </c>
      <c r="B139" s="902"/>
      <c r="C139" s="902"/>
      <c r="D139" s="151" t="s">
        <v>183</v>
      </c>
      <c r="E139" s="95">
        <f>'29'!F139</f>
        <v>894731</v>
      </c>
      <c r="F139" s="148">
        <v>894866</v>
      </c>
      <c r="G139" s="112">
        <f t="shared" si="11"/>
        <v>135</v>
      </c>
      <c r="H139" s="99">
        <f>G139+'29'!H139</f>
        <v>4548</v>
      </c>
      <c r="I139" s="118"/>
      <c r="J139" s="328">
        <f>H139/DAY(B2)</f>
        <v>151.6</v>
      </c>
    </row>
    <row r="140" spans="1:15" ht="30.75" customHeight="1">
      <c r="A140" s="902" t="s">
        <v>187</v>
      </c>
      <c r="B140" s="902"/>
      <c r="C140" s="902"/>
      <c r="D140" s="151" t="s">
        <v>183</v>
      </c>
      <c r="E140" s="95">
        <f>'29'!F140</f>
        <v>124</v>
      </c>
      <c r="F140" s="149">
        <v>135</v>
      </c>
      <c r="G140" s="112">
        <f t="shared" si="11"/>
        <v>11</v>
      </c>
      <c r="H140" s="99">
        <f>G140+'29'!H140</f>
        <v>76</v>
      </c>
      <c r="I140" s="118"/>
      <c r="J140" s="328">
        <f>H140/DAY(B2)</f>
        <v>2.5333333333333332</v>
      </c>
    </row>
    <row r="141" spans="1:15" ht="30.75" customHeight="1">
      <c r="A141" s="906" t="s">
        <v>188</v>
      </c>
      <c r="B141" s="906"/>
      <c r="C141" s="906"/>
      <c r="D141" s="151" t="s">
        <v>183</v>
      </c>
      <c r="E141" s="95">
        <f>'29'!F141</f>
        <v>71551</v>
      </c>
      <c r="F141" s="149">
        <v>71774</v>
      </c>
      <c r="G141" s="112">
        <f t="shared" si="11"/>
        <v>223</v>
      </c>
      <c r="H141" s="99">
        <f>G141+'29'!H141</f>
        <v>5990.4700000000012</v>
      </c>
      <c r="I141" s="118"/>
      <c r="J141" s="328">
        <f>H141/DAY(B2)</f>
        <v>199.68233333333336</v>
      </c>
    </row>
    <row r="142" spans="1:15" ht="30.75" customHeight="1">
      <c r="A142" s="906" t="s">
        <v>189</v>
      </c>
      <c r="B142" s="906"/>
      <c r="C142" s="906"/>
      <c r="D142" s="151" t="s">
        <v>183</v>
      </c>
      <c r="E142" s="95">
        <f>'29'!F142</f>
        <v>27392</v>
      </c>
      <c r="F142" s="148">
        <v>27466</v>
      </c>
      <c r="G142" s="112">
        <f t="shared" si="11"/>
        <v>74</v>
      </c>
      <c r="H142" s="99">
        <f>G142+'29'!H142</f>
        <v>1969.5999999999985</v>
      </c>
      <c r="I142" s="140"/>
      <c r="J142" s="328">
        <f>H142/DAY(B2)</f>
        <v>65.653333333333279</v>
      </c>
    </row>
    <row r="143" spans="1:15" ht="30.75" customHeight="1">
      <c r="A143" s="902" t="s">
        <v>91</v>
      </c>
      <c r="B143" s="902"/>
      <c r="C143" s="902"/>
      <c r="D143" s="151" t="s">
        <v>183</v>
      </c>
      <c r="E143" s="95">
        <f>'29'!F143</f>
        <v>6390</v>
      </c>
      <c r="F143" s="149">
        <v>6417</v>
      </c>
      <c r="G143" s="112">
        <f t="shared" si="11"/>
        <v>27</v>
      </c>
      <c r="H143" s="99">
        <f>G143+'29'!H143</f>
        <v>856.29</v>
      </c>
      <c r="I143" s="140"/>
      <c r="J143" s="328">
        <f>H143/DAY(B2)</f>
        <v>28.542999999999999</v>
      </c>
    </row>
    <row r="144" spans="1:15" ht="30.75" customHeight="1">
      <c r="A144" s="906" t="s">
        <v>90</v>
      </c>
      <c r="B144" s="906"/>
      <c r="C144" s="906"/>
      <c r="D144" s="151" t="s">
        <v>183</v>
      </c>
      <c r="E144" s="95">
        <f>'29'!F144</f>
        <v>896977</v>
      </c>
      <c r="F144" s="149">
        <v>897233</v>
      </c>
      <c r="G144" s="112">
        <f t="shared" si="11"/>
        <v>256</v>
      </c>
      <c r="H144" s="99">
        <f>G144+'29'!H144</f>
        <v>7399</v>
      </c>
      <c r="I144" s="140"/>
      <c r="J144" s="328">
        <f>H144/DAY(B2)</f>
        <v>246.63333333333333</v>
      </c>
    </row>
    <row r="145" spans="1:10" ht="30.75" customHeight="1">
      <c r="A145" s="902" t="s">
        <v>190</v>
      </c>
      <c r="B145" s="902"/>
      <c r="C145" s="902"/>
      <c r="D145" s="152" t="s">
        <v>183</v>
      </c>
      <c r="E145" s="95">
        <f>'29'!F145</f>
        <v>5626</v>
      </c>
      <c r="F145" s="149">
        <v>5628</v>
      </c>
      <c r="G145" s="112">
        <f t="shared" si="11"/>
        <v>2</v>
      </c>
      <c r="H145" s="99">
        <f>G145+'29'!H145</f>
        <v>71.600000000000364</v>
      </c>
      <c r="I145" s="140"/>
      <c r="J145" s="328">
        <f>H145/DAY(B2)</f>
        <v>2.3866666666666787</v>
      </c>
    </row>
    <row r="146" spans="1:10" ht="30.75" customHeight="1">
      <c r="A146" s="903" t="s">
        <v>191</v>
      </c>
      <c r="B146" s="904"/>
      <c r="C146" s="905"/>
      <c r="D146" s="152" t="s">
        <v>183</v>
      </c>
      <c r="E146" s="95">
        <f>'29'!F146</f>
        <v>776454</v>
      </c>
      <c r="F146" s="148">
        <v>776454</v>
      </c>
      <c r="G146" s="112">
        <f t="shared" si="11"/>
        <v>0</v>
      </c>
      <c r="H146" s="99">
        <f>G146+'29'!H146</f>
        <v>12128</v>
      </c>
      <c r="I146" s="140"/>
      <c r="J146" s="328">
        <f>H146/DAY(B2)</f>
        <v>404.26666666666665</v>
      </c>
    </row>
    <row r="147" spans="1:10" ht="30.75" customHeight="1">
      <c r="A147" s="906" t="s">
        <v>192</v>
      </c>
      <c r="B147" s="906"/>
      <c r="C147" s="906"/>
      <c r="D147" s="152" t="s">
        <v>183</v>
      </c>
      <c r="E147" s="95">
        <f>'29'!F147</f>
        <v>662776</v>
      </c>
      <c r="F147" s="148">
        <v>663228</v>
      </c>
      <c r="G147" s="112">
        <f t="shared" si="11"/>
        <v>452</v>
      </c>
      <c r="H147" s="99">
        <f>G147+'29'!H147</f>
        <v>13044</v>
      </c>
      <c r="I147" s="140"/>
      <c r="J147" s="328">
        <f>H147/DAY(B2)</f>
        <v>434.8</v>
      </c>
    </row>
    <row r="148" spans="1:10" ht="30.75" customHeight="1">
      <c r="A148" s="898" t="s">
        <v>193</v>
      </c>
      <c r="B148" s="899"/>
      <c r="C148" s="900"/>
      <c r="D148" s="123" t="s">
        <v>130</v>
      </c>
      <c r="E148" s="95">
        <f>'29'!F148</f>
        <v>719550</v>
      </c>
      <c r="F148" s="150">
        <v>719916</v>
      </c>
      <c r="G148" s="112">
        <f t="shared" si="11"/>
        <v>366</v>
      </c>
      <c r="H148" s="99">
        <f>G148+'29'!H148</f>
        <v>11051.319999999949</v>
      </c>
      <c r="I148" s="124"/>
      <c r="J148" s="328">
        <f>H148/DAY(B2)</f>
        <v>368.37733333333165</v>
      </c>
    </row>
    <row r="149" spans="1:10" ht="30.75" customHeight="1">
      <c r="A149" s="898" t="s">
        <v>336</v>
      </c>
      <c r="B149" s="899"/>
      <c r="C149" s="900"/>
      <c r="D149" s="227" t="s">
        <v>130</v>
      </c>
      <c r="E149" s="95">
        <f>'29'!F149</f>
        <v>82762</v>
      </c>
      <c r="F149" s="146">
        <v>83388</v>
      </c>
      <c r="G149" s="112">
        <f t="shared" si="11"/>
        <v>626</v>
      </c>
      <c r="H149" s="99">
        <f>G149+'29'!H149</f>
        <v>20164.199999999997</v>
      </c>
      <c r="I149" s="119"/>
      <c r="J149" s="328">
        <f>H149/DAY(B2)</f>
        <v>672.13999999999987</v>
      </c>
    </row>
    <row r="150" spans="1:10" ht="30.75" customHeight="1">
      <c r="A150" s="898" t="s">
        <v>337</v>
      </c>
      <c r="B150" s="899"/>
      <c r="C150" s="900"/>
      <c r="D150" s="117" t="s">
        <v>130</v>
      </c>
      <c r="E150" s="95">
        <f>'29'!F150</f>
        <v>30375</v>
      </c>
      <c r="F150" s="233">
        <v>30587</v>
      </c>
      <c r="G150" s="112">
        <f t="shared" si="11"/>
        <v>212</v>
      </c>
      <c r="H150" s="99">
        <f>G150+'29'!H150</f>
        <v>6631.2099999999991</v>
      </c>
      <c r="I150" s="119"/>
      <c r="J150" s="328">
        <f>H150/DAY(B2)</f>
        <v>221.04033333333331</v>
      </c>
    </row>
    <row r="151" spans="1:10" ht="30.75" customHeight="1">
      <c r="A151" s="898" t="s">
        <v>338</v>
      </c>
      <c r="B151" s="899"/>
      <c r="C151" s="900"/>
      <c r="D151" s="117" t="s">
        <v>130</v>
      </c>
      <c r="E151" s="95">
        <f>'29'!F151</f>
        <v>108877</v>
      </c>
      <c r="F151" s="233">
        <v>109228</v>
      </c>
      <c r="G151" s="112">
        <f t="shared" si="11"/>
        <v>351</v>
      </c>
      <c r="H151" s="99">
        <f>G151+'29'!H151</f>
        <v>8617</v>
      </c>
      <c r="I151" s="119"/>
      <c r="J151" s="328">
        <f>H151/DAY(B2)</f>
        <v>287.23333333333335</v>
      </c>
    </row>
    <row r="152" spans="1:10" ht="30.75" customHeight="1">
      <c r="A152" s="898" t="s">
        <v>339</v>
      </c>
      <c r="B152" s="899"/>
      <c r="C152" s="900"/>
      <c r="D152" s="117" t="s">
        <v>130</v>
      </c>
      <c r="E152" s="95">
        <f>'29'!F152</f>
        <v>11028</v>
      </c>
      <c r="F152" s="233">
        <v>11156</v>
      </c>
      <c r="G152" s="112">
        <f t="shared" si="11"/>
        <v>128</v>
      </c>
      <c r="H152" s="99">
        <f>G152+'29'!H152</f>
        <v>3086.9399999999996</v>
      </c>
      <c r="I152" s="119"/>
      <c r="J152" s="328">
        <f>H152/DAY(B2)</f>
        <v>102.89799999999998</v>
      </c>
    </row>
    <row r="153" spans="1:10" ht="30.75" customHeight="1">
      <c r="A153" s="935" t="s">
        <v>196</v>
      </c>
      <c r="B153" s="936"/>
      <c r="C153" s="365"/>
      <c r="D153" s="358"/>
      <c r="E153" s="360"/>
      <c r="F153" s="361"/>
      <c r="G153" s="362">
        <f>SUM(G138:G152)</f>
        <v>3004</v>
      </c>
      <c r="H153" s="363"/>
      <c r="I153" s="119">
        <f>G153-(G38+G52)</f>
        <v>504</v>
      </c>
      <c r="J153" s="366"/>
    </row>
    <row r="154" spans="1:10" ht="30.75" customHeight="1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0" ht="30.75" customHeight="1">
      <c r="A155" s="906" t="s">
        <v>345</v>
      </c>
      <c r="B155" s="906"/>
      <c r="C155" s="906"/>
      <c r="D155" s="117" t="s">
        <v>130</v>
      </c>
      <c r="E155" s="95">
        <f>'29'!F155</f>
        <v>92062</v>
      </c>
      <c r="F155" s="374">
        <v>92732</v>
      </c>
      <c r="G155" s="112">
        <f t="shared" ref="G155:G158" si="12">F155-E155</f>
        <v>670</v>
      </c>
      <c r="H155" s="99">
        <f>G155+'29'!H155</f>
        <v>19961.5</v>
      </c>
      <c r="I155" s="364"/>
      <c r="J155" s="328">
        <f>H155/DAY(B2)</f>
        <v>665.38333333333333</v>
      </c>
    </row>
    <row r="156" spans="1:10" ht="30.75" customHeight="1">
      <c r="A156" s="906" t="s">
        <v>347</v>
      </c>
      <c r="B156" s="906"/>
      <c r="C156" s="906"/>
      <c r="D156" s="117" t="s">
        <v>130</v>
      </c>
      <c r="E156" s="95">
        <f>'29'!F156</f>
        <v>7631</v>
      </c>
      <c r="F156" s="155">
        <v>7691</v>
      </c>
      <c r="G156" s="112">
        <f t="shared" si="12"/>
        <v>60</v>
      </c>
      <c r="H156" s="99">
        <f>G156+'29'!H156</f>
        <v>1633.75</v>
      </c>
      <c r="I156" s="165"/>
      <c r="J156" s="328">
        <f>H156/DAY(B2)</f>
        <v>54.458333333333336</v>
      </c>
    </row>
    <row r="157" spans="1:10" ht="30.75" customHeight="1">
      <c r="A157" s="898" t="s">
        <v>361</v>
      </c>
      <c r="B157" s="899"/>
      <c r="C157" s="900"/>
      <c r="D157" s="117" t="s">
        <v>130</v>
      </c>
      <c r="E157" s="95">
        <f>'29'!F157</f>
        <v>13380</v>
      </c>
      <c r="F157" s="155">
        <v>13496</v>
      </c>
      <c r="G157" s="112">
        <f t="shared" si="12"/>
        <v>116</v>
      </c>
      <c r="H157" s="99">
        <f>G157+'29'!H157</f>
        <v>213</v>
      </c>
      <c r="I157" s="165"/>
      <c r="J157" s="328">
        <f>H157/DAY(B2)</f>
        <v>7.1</v>
      </c>
    </row>
    <row r="158" spans="1:10" ht="30.75" customHeight="1">
      <c r="A158" s="898" t="s">
        <v>362</v>
      </c>
      <c r="B158" s="899"/>
      <c r="C158" s="900"/>
      <c r="D158" s="117" t="s">
        <v>130</v>
      </c>
      <c r="E158" s="95">
        <f>'29'!F158</f>
        <v>105</v>
      </c>
      <c r="F158" s="155">
        <v>113</v>
      </c>
      <c r="G158" s="112">
        <f t="shared" si="12"/>
        <v>8</v>
      </c>
      <c r="H158" s="99">
        <f>G158+'29'!H158</f>
        <v>9</v>
      </c>
      <c r="I158" s="165"/>
      <c r="J158" s="328">
        <f>H158/DAY(B2)</f>
        <v>0.3</v>
      </c>
    </row>
    <row r="159" spans="1:10" ht="30.75" customHeight="1">
      <c r="A159" s="957"/>
      <c r="B159" s="958"/>
      <c r="C159" s="95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474760</v>
      </c>
      <c r="F161" s="235">
        <v>474783</v>
      </c>
      <c r="G161" s="238">
        <f t="shared" ref="G161:G165" si="13">F161-E161</f>
        <v>23</v>
      </c>
      <c r="H161" s="99">
        <f>G161+'29'!H161</f>
        <v>942.27000000001863</v>
      </c>
      <c r="I161" s="236"/>
      <c r="J161" s="239">
        <f>H161/DAY(B2)</f>
        <v>31.409000000000621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91509</v>
      </c>
      <c r="F162" s="235">
        <v>91547</v>
      </c>
      <c r="G162" s="238">
        <f t="shared" si="13"/>
        <v>38</v>
      </c>
      <c r="H162" s="99">
        <f>G162+'29'!H162</f>
        <v>1094.1000000000058</v>
      </c>
      <c r="I162" s="236"/>
      <c r="J162" s="239">
        <f>H162/DAY(B2)</f>
        <v>36.470000000000191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91868</v>
      </c>
      <c r="F163" s="235">
        <v>92036</v>
      </c>
      <c r="G163" s="238">
        <f t="shared" si="13"/>
        <v>168</v>
      </c>
      <c r="H163" s="99">
        <f>G163+'29'!H163</f>
        <v>4957.1999999999971</v>
      </c>
      <c r="I163" s="236"/>
      <c r="J163" s="239">
        <f>H163/DAY(B2)</f>
        <v>165.2399999999999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5171</v>
      </c>
      <c r="F164" s="235">
        <v>5182</v>
      </c>
      <c r="G164" s="238">
        <f t="shared" si="13"/>
        <v>11</v>
      </c>
      <c r="H164" s="99">
        <f>G164+'29'!H164</f>
        <v>369.60000000000036</v>
      </c>
      <c r="I164" s="236"/>
      <c r="J164" s="239">
        <f>H164/DAY(B2)</f>
        <v>12.320000000000013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30622</v>
      </c>
      <c r="F165" s="235">
        <v>30634</v>
      </c>
      <c r="G165" s="238">
        <f t="shared" si="13"/>
        <v>12</v>
      </c>
      <c r="H165" s="99">
        <f>G165+'29'!H165</f>
        <v>278.4900000000016</v>
      </c>
      <c r="I165" s="236"/>
      <c r="J165" s="239">
        <f>H165/DAY(B2)</f>
        <v>9.2830000000000528</v>
      </c>
    </row>
    <row r="166" spans="1:10" ht="30.75" customHeight="1">
      <c r="A166" s="938"/>
      <c r="B166" s="938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8"/>
      <c r="B167" s="938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8"/>
      <c r="B168" s="938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30.75" customHeight="1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6" t="s">
        <v>209</v>
      </c>
      <c r="B173" s="897"/>
      <c r="C173" s="333"/>
      <c r="D173" s="228" t="s">
        <v>142</v>
      </c>
      <c r="E173" s="95">
        <f>'29'!F173</f>
        <v>8261</v>
      </c>
      <c r="F173" s="155">
        <v>8261</v>
      </c>
      <c r="G173" s="155">
        <f>F173-E173</f>
        <v>0</v>
      </c>
      <c r="H173" s="99">
        <f>G173+'29'!H173</f>
        <v>119</v>
      </c>
      <c r="I173" s="155"/>
      <c r="J173" s="178">
        <f>H173/DAY(B2)</f>
        <v>3.9666666666666668</v>
      </c>
    </row>
    <row r="174" spans="1:10" ht="30.75" customHeight="1">
      <c r="A174" s="896" t="s">
        <v>75</v>
      </c>
      <c r="B174" s="897"/>
      <c r="C174" s="333"/>
      <c r="D174" s="228" t="s">
        <v>142</v>
      </c>
      <c r="E174" s="95">
        <f>'29'!F174</f>
        <v>39914</v>
      </c>
      <c r="F174" s="157">
        <v>39928</v>
      </c>
      <c r="G174" s="155">
        <f t="shared" ref="G174:G175" si="14">F174-E174</f>
        <v>14</v>
      </c>
      <c r="H174" s="99">
        <f>G174+'29'!H174</f>
        <v>466</v>
      </c>
      <c r="I174" s="155"/>
      <c r="J174" s="178">
        <f>H174/DAY(B2)</f>
        <v>15.533333333333333</v>
      </c>
    </row>
    <row r="175" spans="1:10" ht="30.75" customHeight="1">
      <c r="A175" s="896" t="s">
        <v>76</v>
      </c>
      <c r="B175" s="901"/>
      <c r="C175" s="897"/>
      <c r="D175" s="228" t="s">
        <v>142</v>
      </c>
      <c r="E175" s="95">
        <f>'29'!F175</f>
        <v>22878</v>
      </c>
      <c r="F175" s="155">
        <v>22889</v>
      </c>
      <c r="G175" s="155">
        <f t="shared" si="14"/>
        <v>11</v>
      </c>
      <c r="H175" s="99">
        <f>G175+'29'!H175</f>
        <v>367</v>
      </c>
      <c r="I175" s="155"/>
      <c r="J175" s="178">
        <f>H175/DAY(B2)</f>
        <v>12.233333333333333</v>
      </c>
    </row>
    <row r="176" spans="1:10" ht="30.75" customHeight="1">
      <c r="A176" s="935" t="s">
        <v>196</v>
      </c>
      <c r="B176" s="936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G176+'29'!H176</f>
        <v>952</v>
      </c>
      <c r="I176" s="155"/>
      <c r="J176" s="178">
        <f>H176/DAY(B2)</f>
        <v>31.733333333333334</v>
      </c>
    </row>
    <row r="177" spans="1:10" ht="30.75" customHeight="1">
      <c r="A177" s="896" t="s">
        <v>77</v>
      </c>
      <c r="B177" s="89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6" t="s">
        <v>210</v>
      </c>
      <c r="B178" s="897"/>
      <c r="C178" s="333"/>
      <c r="D178" s="228" t="s">
        <v>142</v>
      </c>
      <c r="E178" s="95">
        <f>'29'!F178</f>
        <v>88517</v>
      </c>
      <c r="F178" s="155">
        <v>88603</v>
      </c>
      <c r="G178" s="155">
        <f>F178-E178</f>
        <v>86</v>
      </c>
      <c r="H178" s="99">
        <f>G178+'29'!H178</f>
        <v>2987</v>
      </c>
      <c r="I178" s="155"/>
      <c r="J178" s="178">
        <f>H178/DAY(B2)</f>
        <v>99.566666666666663</v>
      </c>
    </row>
    <row r="179" spans="1:10" ht="30.75" customHeight="1">
      <c r="A179" s="896" t="s">
        <v>211</v>
      </c>
      <c r="B179" s="897"/>
      <c r="C179" s="333"/>
      <c r="D179" s="228" t="s">
        <v>142</v>
      </c>
      <c r="E179" s="95">
        <f>'29'!F179</f>
        <v>35773</v>
      </c>
      <c r="F179" s="155">
        <v>35773</v>
      </c>
      <c r="G179" s="155">
        <f t="shared" ref="G179:G180" si="15">F179-E179</f>
        <v>0</v>
      </c>
      <c r="H179" s="99">
        <f>G179+'29'!H179</f>
        <v>159</v>
      </c>
      <c r="I179" s="155"/>
      <c r="J179" s="178">
        <f>H179/DAY(B2)</f>
        <v>5.3</v>
      </c>
    </row>
    <row r="180" spans="1:10" ht="30.75" customHeight="1">
      <c r="A180" s="896" t="s">
        <v>212</v>
      </c>
      <c r="B180" s="897"/>
      <c r="C180" s="333"/>
      <c r="D180" s="228" t="s">
        <v>142</v>
      </c>
      <c r="E180" s="95">
        <f>'29'!F180</f>
        <v>6368</v>
      </c>
      <c r="F180" s="155">
        <v>6389</v>
      </c>
      <c r="G180" s="155">
        <f t="shared" si="15"/>
        <v>21</v>
      </c>
      <c r="H180" s="99">
        <f>G180+'29'!H180</f>
        <v>256</v>
      </c>
      <c r="I180" s="155"/>
      <c r="J180" s="178">
        <f>H180/DAY(B2)</f>
        <v>8.5333333333333332</v>
      </c>
    </row>
    <row r="181" spans="1:10" ht="30.75" customHeight="1">
      <c r="A181" s="942" t="s">
        <v>108</v>
      </c>
      <c r="B181" s="943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G181+'29'!H181</f>
        <v>3402</v>
      </c>
      <c r="I181" s="155"/>
      <c r="J181" s="178">
        <f>H181/DAY(B2)</f>
        <v>113.4</v>
      </c>
    </row>
    <row r="182" spans="1:10" ht="30.75" customHeight="1">
      <c r="A182" s="896" t="s">
        <v>213</v>
      </c>
      <c r="B182" s="89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6" t="s">
        <v>214</v>
      </c>
      <c r="B183" s="897"/>
      <c r="C183" s="334"/>
      <c r="D183" s="228" t="s">
        <v>142</v>
      </c>
      <c r="E183" s="95">
        <f>'29'!F183</f>
        <v>16609</v>
      </c>
      <c r="F183" s="157">
        <v>16622</v>
      </c>
      <c r="G183" s="157">
        <f>F183-E183</f>
        <v>13</v>
      </c>
      <c r="H183" s="99">
        <f>G183+'29'!H183</f>
        <v>480</v>
      </c>
      <c r="I183" s="155"/>
      <c r="J183" s="178">
        <f>H183/DAY(B2)</f>
        <v>16</v>
      </c>
    </row>
    <row r="184" spans="1:10" ht="30.75" customHeight="1">
      <c r="A184" s="896" t="s">
        <v>215</v>
      </c>
      <c r="B184" s="897"/>
      <c r="C184" s="334"/>
      <c r="D184" s="228" t="s">
        <v>142</v>
      </c>
      <c r="E184" s="95">
        <f>'29'!F184</f>
        <v>11268</v>
      </c>
      <c r="F184" s="157">
        <v>11274</v>
      </c>
      <c r="G184" s="157">
        <f t="shared" ref="G184:G185" si="16">F184-E184</f>
        <v>6</v>
      </c>
      <c r="H184" s="99">
        <f>G184+'29'!H184</f>
        <v>225</v>
      </c>
      <c r="I184" s="155"/>
      <c r="J184" s="178">
        <f>H184/DAY(B2)</f>
        <v>7.5</v>
      </c>
    </row>
    <row r="185" spans="1:10" ht="30.75" customHeight="1">
      <c r="A185" s="896" t="s">
        <v>216</v>
      </c>
      <c r="B185" s="89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5" t="s">
        <v>196</v>
      </c>
      <c r="B186" s="93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G186+'29'!H186</f>
        <v>705</v>
      </c>
      <c r="I186" s="157"/>
      <c r="J186" s="178">
        <f>H186/DAY(B2)</f>
        <v>23.5</v>
      </c>
    </row>
    <row r="187" spans="1:10" ht="30.75" customHeight="1">
      <c r="A187" s="946" t="s">
        <v>217</v>
      </c>
      <c r="B187" s="947"/>
      <c r="C187" s="333"/>
      <c r="D187" s="228" t="s">
        <v>142</v>
      </c>
      <c r="E187" s="95"/>
      <c r="F187" s="159"/>
      <c r="G187" s="159">
        <f>G62+G19</f>
        <v>221</v>
      </c>
      <c r="H187" s="99">
        <f>G187+'29'!H187</f>
        <v>6848</v>
      </c>
      <c r="I187" s="158"/>
      <c r="J187" s="179">
        <f>H187/DAY(B2)</f>
        <v>228.26666666666668</v>
      </c>
    </row>
    <row r="188" spans="1:10" ht="30.75" customHeight="1">
      <c r="A188" s="946" t="s">
        <v>218</v>
      </c>
      <c r="B188" s="947"/>
      <c r="C188" s="333"/>
      <c r="D188" s="230" t="s">
        <v>142</v>
      </c>
      <c r="E188" s="95"/>
      <c r="F188" s="159"/>
      <c r="G188" s="159">
        <f>G65+G66+G67+G69+G70</f>
        <v>238</v>
      </c>
      <c r="H188" s="99">
        <f>G188+'29'!H188</f>
        <v>3748</v>
      </c>
      <c r="I188" s="158"/>
      <c r="J188" s="179">
        <f>H188/DAY(B2)</f>
        <v>124.93333333333334</v>
      </c>
    </row>
    <row r="189" spans="1:10" ht="30.75" customHeight="1">
      <c r="A189" s="946" t="s">
        <v>219</v>
      </c>
      <c r="B189" s="947"/>
      <c r="C189" s="333"/>
      <c r="D189" s="230" t="s">
        <v>142</v>
      </c>
      <c r="E189" s="95"/>
      <c r="F189" s="157"/>
      <c r="G189" s="157">
        <f>G181</f>
        <v>107</v>
      </c>
      <c r="H189" s="99">
        <f>G189+'29'!H189</f>
        <v>1381</v>
      </c>
      <c r="I189" s="158"/>
      <c r="J189" s="179">
        <f>H189/DAY(B2)</f>
        <v>46.033333333333331</v>
      </c>
    </row>
    <row r="190" spans="1:10" ht="30.75" customHeight="1">
      <c r="A190" s="940"/>
      <c r="B190" s="941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61" zoomScale="55" zoomScaleNormal="75" zoomScaleSheetLayoutView="55" workbookViewId="0">
      <selection activeCell="I82" sqref="I82:I9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5" s="57" customFormat="1" ht="23.25">
      <c r="A2" s="191" t="s">
        <v>349</v>
      </c>
      <c r="B2" s="262">
        <v>44652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24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4" t="s">
        <v>129</v>
      </c>
      <c r="B7" s="995"/>
      <c r="C7" s="996"/>
      <c r="D7" s="151" t="s">
        <v>130</v>
      </c>
      <c r="E7" s="95">
        <v>986723</v>
      </c>
      <c r="F7" s="95">
        <f>E7+26000</f>
        <v>1012723</v>
      </c>
      <c r="G7" s="112">
        <f>F7-E7</f>
        <v>26000</v>
      </c>
      <c r="H7" s="99">
        <f>G7+'30'!H7</f>
        <v>870328</v>
      </c>
      <c r="I7" s="113">
        <f>'1'!I7</f>
        <v>12000</v>
      </c>
      <c r="J7" s="175">
        <f>H7/DAY(B2)</f>
        <v>870328</v>
      </c>
      <c r="K7" s="172">
        <v>1375467</v>
      </c>
      <c r="L7" s="66"/>
      <c r="N7" s="87">
        <f>F7-'3'!E7</f>
        <v>972019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58046.22</v>
      </c>
      <c r="F8" s="114">
        <f>E8+26000</f>
        <v>84046.22</v>
      </c>
      <c r="G8" s="115">
        <f>F8-E8</f>
        <v>26000</v>
      </c>
      <c r="H8" s="99">
        <f>G8+'30'!H8</f>
        <v>887076.78</v>
      </c>
      <c r="I8" s="116"/>
      <c r="J8" s="175">
        <f>H8/DAY(B2)</f>
        <v>887076.78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997" t="s">
        <v>132</v>
      </c>
      <c r="B9" s="998"/>
      <c r="C9" s="999"/>
      <c r="D9" s="151" t="s">
        <v>130</v>
      </c>
      <c r="E9" s="470">
        <v>1267675</v>
      </c>
      <c r="F9" s="470">
        <v>1267675</v>
      </c>
      <c r="G9" s="112">
        <f>F9-E9</f>
        <v>0</v>
      </c>
      <c r="H9" s="99">
        <f>G9+'30'!H9</f>
        <v>623360</v>
      </c>
      <c r="I9" s="124">
        <f>I7-J7</f>
        <v>-858328</v>
      </c>
      <c r="J9" s="175">
        <f>H9/DAY(B2)</f>
        <v>623360</v>
      </c>
      <c r="K9" s="79">
        <f>K8-100</f>
        <v>1715817</v>
      </c>
      <c r="L9" s="66"/>
      <c r="N9" s="87"/>
      <c r="O9" s="71"/>
    </row>
    <row r="10" spans="1:15" ht="25.5">
      <c r="A10" s="994" t="s">
        <v>133</v>
      </c>
      <c r="B10" s="995"/>
      <c r="C10" s="996"/>
      <c r="D10" s="151" t="s">
        <v>130</v>
      </c>
      <c r="E10" s="353">
        <v>418275.47</v>
      </c>
      <c r="F10" s="353">
        <v>418275.47</v>
      </c>
      <c r="G10" s="112">
        <f t="shared" ref="G10:G12" si="0">F10-E10</f>
        <v>0</v>
      </c>
      <c r="H10" s="99">
        <f>G10+'30'!H10</f>
        <v>197260.53000000003</v>
      </c>
      <c r="I10" s="120"/>
      <c r="J10" s="175">
        <f>H10/DAY(B2)</f>
        <v>197260.53000000003</v>
      </c>
      <c r="K10" s="79"/>
      <c r="L10" s="66"/>
      <c r="N10" s="87"/>
      <c r="O10" s="71"/>
    </row>
    <row r="11" spans="1:15" ht="25.5">
      <c r="A11" s="994" t="s">
        <v>134</v>
      </c>
      <c r="B11" s="995"/>
      <c r="C11" s="996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4" t="s">
        <v>135</v>
      </c>
      <c r="B12" s="995"/>
      <c r="C12" s="996"/>
      <c r="D12" s="151" t="s">
        <v>130</v>
      </c>
      <c r="E12" s="117"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0</v>
      </c>
      <c r="H13" s="99">
        <f>G13+'30'!H13</f>
        <v>820621</v>
      </c>
      <c r="I13" s="120">
        <f>G7-G13</f>
        <v>26000</v>
      </c>
      <c r="J13" s="175">
        <f>H13/DAY(B2)</f>
        <v>820621</v>
      </c>
      <c r="K13" s="79"/>
      <c r="L13" s="66"/>
      <c r="N13" s="87"/>
      <c r="O13" s="71"/>
    </row>
    <row r="14" spans="1:15" ht="26.25">
      <c r="A14" s="883" t="s">
        <v>137</v>
      </c>
      <c r="B14" s="884"/>
      <c r="C14" s="88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4" t="s">
        <v>138</v>
      </c>
      <c r="B15" s="875"/>
      <c r="C15" s="876"/>
      <c r="D15" s="151" t="s">
        <v>139</v>
      </c>
      <c r="E15" s="470">
        <v>1970937</v>
      </c>
      <c r="F15" s="470">
        <v>1970937</v>
      </c>
      <c r="G15" s="112">
        <f>(F15-E15)</f>
        <v>0</v>
      </c>
      <c r="H15" s="99">
        <f>G15+'30'!H15</f>
        <v>32790</v>
      </c>
      <c r="I15" s="113">
        <f>'1'!I15</f>
        <v>800</v>
      </c>
      <c r="J15" s="175">
        <f>H15/DAY(B2)</f>
        <v>32790</v>
      </c>
      <c r="K15" s="79"/>
      <c r="L15" s="66"/>
      <c r="N15" s="87"/>
      <c r="O15" s="71"/>
    </row>
    <row r="16" spans="1:15" ht="21.95" customHeight="1">
      <c r="A16" s="991"/>
      <c r="B16" s="992"/>
      <c r="C16" s="993"/>
      <c r="D16" s="152"/>
      <c r="E16" s="123"/>
      <c r="F16" s="123"/>
      <c r="G16" s="112"/>
      <c r="H16" s="124"/>
      <c r="I16" s="120">
        <f>I15-J15</f>
        <v>-31990</v>
      </c>
      <c r="J16" s="176"/>
      <c r="K16" s="79"/>
      <c r="L16" s="66"/>
      <c r="N16" s="87"/>
      <c r="O16" s="71"/>
    </row>
    <row r="17" spans="1:15" ht="26.25">
      <c r="A17" s="883" t="s">
        <v>140</v>
      </c>
      <c r="B17" s="884"/>
      <c r="C17" s="88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4" t="s">
        <v>141</v>
      </c>
      <c r="B18" s="875"/>
      <c r="C18" s="876"/>
      <c r="D18" s="151" t="s">
        <v>142</v>
      </c>
      <c r="E18" s="164">
        <v>22</v>
      </c>
      <c r="F18" s="164">
        <v>22</v>
      </c>
      <c r="G18" s="119">
        <f>F18*10</f>
        <v>220</v>
      </c>
      <c r="H18" s="99">
        <f>G18+'30'!H18</f>
        <v>7860</v>
      </c>
      <c r="I18" s="113">
        <f>'1'!I18</f>
        <v>65</v>
      </c>
      <c r="J18" s="175">
        <f>H18/DAY(B2)</f>
        <v>7860</v>
      </c>
      <c r="K18" s="79"/>
      <c r="L18" s="66"/>
      <c r="N18" s="87"/>
      <c r="O18" s="71"/>
    </row>
    <row r="19" spans="1:15" ht="25.5">
      <c r="A19" s="874" t="s">
        <v>69</v>
      </c>
      <c r="B19" s="875"/>
      <c r="C19" s="876"/>
      <c r="D19" s="151" t="s">
        <v>142</v>
      </c>
      <c r="E19" s="122">
        <v>156989</v>
      </c>
      <c r="F19" s="122">
        <v>156989</v>
      </c>
      <c r="G19" s="112">
        <f t="shared" ref="G19" si="1">F19-E19</f>
        <v>0</v>
      </c>
      <c r="H19" s="99">
        <f>G19+'30'!H19</f>
        <v>1465</v>
      </c>
      <c r="I19" s="123"/>
      <c r="J19" s="175">
        <f>H19/DAY(B2)</f>
        <v>1465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G20+'30'!H20</f>
        <v>9325</v>
      </c>
      <c r="I20" s="336">
        <f>I18-J20</f>
        <v>-9260</v>
      </c>
      <c r="J20" s="175">
        <f>H20/DAY(B2)</f>
        <v>9325</v>
      </c>
      <c r="K20" s="79"/>
      <c r="L20" s="66"/>
      <c r="N20" s="87"/>
      <c r="O20" s="71"/>
    </row>
    <row r="21" spans="1:15" ht="26.25">
      <c r="A21" s="883" t="s">
        <v>144</v>
      </c>
      <c r="B21" s="884"/>
      <c r="C21" s="88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8" t="s">
        <v>149</v>
      </c>
      <c r="B25" s="889"/>
      <c r="C25" s="89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6">
        <v>9</v>
      </c>
      <c r="F27" s="136">
        <v>9</v>
      </c>
      <c r="G27" s="137">
        <f>E27*F27</f>
        <v>81</v>
      </c>
      <c r="H27" s="99">
        <f>G27+'30'!H27</f>
        <v>7749772.0199999996</v>
      </c>
      <c r="I27" s="138"/>
      <c r="J27" s="175">
        <f>H27/DAY(B2)</f>
        <v>7749772.0199999996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6">
        <v>52</v>
      </c>
      <c r="F28" s="136">
        <v>52</v>
      </c>
      <c r="G28" s="137">
        <f>E28*F28</f>
        <v>2704</v>
      </c>
      <c r="H28" s="99">
        <f>G28+'30'!H28</f>
        <v>2199286.419999999</v>
      </c>
      <c r="I28" s="530"/>
      <c r="J28" s="175">
        <f>H28/DAY(B2)</f>
        <v>2199286.419999999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36">
        <v>69</v>
      </c>
      <c r="F29" s="136">
        <v>69</v>
      </c>
      <c r="G29" s="137">
        <f>E29*F29</f>
        <v>4761</v>
      </c>
      <c r="H29" s="99">
        <f>G29+'30'!H29</f>
        <v>4761</v>
      </c>
      <c r="I29" s="530"/>
      <c r="J29" s="175">
        <f>H29/DAY(B2)</f>
        <v>4761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36">
        <v>146</v>
      </c>
      <c r="F30" s="136">
        <v>146</v>
      </c>
      <c r="G30" s="137">
        <f>E30*F30</f>
        <v>21316</v>
      </c>
      <c r="H30" s="99">
        <f>G30+'30'!H30</f>
        <v>241371</v>
      </c>
      <c r="I30" s="530"/>
      <c r="J30" s="175">
        <f>H30/DAY(B2)</f>
        <v>241371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36">
        <v>80</v>
      </c>
      <c r="F31" s="136">
        <v>80</v>
      </c>
      <c r="G31" s="137">
        <f>E31*F31</f>
        <v>6400</v>
      </c>
      <c r="H31" s="99">
        <f>G31+'30'!H31</f>
        <v>617600</v>
      </c>
      <c r="I31" s="530"/>
      <c r="J31" s="175">
        <f>H31/DAY(B2)</f>
        <v>617600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35262</v>
      </c>
      <c r="H32" s="99">
        <f>G32+'30'!H32</f>
        <v>10812790.439999999</v>
      </c>
      <c r="I32" s="144"/>
      <c r="J32" s="175">
        <f>H32/DAY(B2)</f>
        <v>10812790.439999999</v>
      </c>
      <c r="K32" s="63"/>
      <c r="L32" s="89"/>
      <c r="N32" s="87"/>
      <c r="O32" s="71"/>
    </row>
    <row r="33" spans="1:15" ht="25.5" customHeight="1">
      <c r="A33" s="891" t="s">
        <v>331</v>
      </c>
      <c r="B33" s="892"/>
      <c r="C33" s="892"/>
      <c r="D33" s="337"/>
      <c r="E33" s="531"/>
      <c r="F33" s="531"/>
      <c r="G33" s="531"/>
      <c r="H33" s="531"/>
      <c r="I33" s="531"/>
      <c r="J33" s="532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138279.21</v>
      </c>
      <c r="F35" s="145">
        <v>138279.21</v>
      </c>
      <c r="G35" s="112">
        <f t="shared" ref="G35:G46" si="3">F35-E35</f>
        <v>0</v>
      </c>
      <c r="H35" s="99">
        <f>G35+'30'!H35</f>
        <v>64605.790000000008</v>
      </c>
      <c r="I35" s="95"/>
      <c r="J35" s="175">
        <f>H35/DAY(B2)</f>
        <v>64605.790000000008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100520.66</v>
      </c>
      <c r="F36" s="145">
        <v>100520.66</v>
      </c>
      <c r="G36" s="112">
        <f t="shared" si="3"/>
        <v>0</v>
      </c>
      <c r="H36" s="99">
        <f>G36+'30'!H36</f>
        <v>31058.339999999997</v>
      </c>
      <c r="I36" s="95"/>
      <c r="J36" s="175">
        <f>H36/DAY(B2)</f>
        <v>31058.339999999997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132925.01999999999</v>
      </c>
      <c r="F37" s="145">
        <v>132925.01999999999</v>
      </c>
      <c r="G37" s="112">
        <f t="shared" si="3"/>
        <v>0</v>
      </c>
      <c r="H37" s="99">
        <f>G37+'30'!H37</f>
        <v>50199.98000000001</v>
      </c>
      <c r="I37" s="95"/>
      <c r="J37" s="175">
        <f>H37/DAY(B2)</f>
        <v>50199.98000000001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170109.37</v>
      </c>
      <c r="F38" s="108">
        <v>170109.37</v>
      </c>
      <c r="G38" s="112">
        <f t="shared" si="3"/>
        <v>0</v>
      </c>
      <c r="H38" s="99">
        <f>G38+'30'!H38</f>
        <v>73342.63</v>
      </c>
      <c r="I38" s="95"/>
      <c r="J38" s="175">
        <f>H38/DAY(B2)</f>
        <v>73342.63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244153.43</v>
      </c>
      <c r="F39" s="145">
        <v>244153.43</v>
      </c>
      <c r="G39" s="112">
        <f t="shared" si="3"/>
        <v>0</v>
      </c>
      <c r="H39" s="99">
        <f>G39+'30'!H39</f>
        <v>95834.57</v>
      </c>
      <c r="I39" s="95"/>
      <c r="J39" s="175">
        <f>H39/DAY(B2)</f>
        <v>95834.57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49151.86</v>
      </c>
      <c r="F40" s="145">
        <v>49151.86</v>
      </c>
      <c r="G40" s="112">
        <f t="shared" si="3"/>
        <v>0</v>
      </c>
      <c r="H40" s="99">
        <f>G40+'30'!H40</f>
        <v>15725.14</v>
      </c>
      <c r="I40" s="95"/>
      <c r="J40" s="175">
        <f>H40/DAY(B2)</f>
        <v>15725.14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G41+'30'!H41</f>
        <v>27630</v>
      </c>
      <c r="I41" s="95"/>
      <c r="J41" s="175">
        <f>H41/DAY(B2)</f>
        <v>27630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281357.25</v>
      </c>
      <c r="F42" s="145">
        <v>281357.25</v>
      </c>
      <c r="G42" s="112">
        <f t="shared" si="3"/>
        <v>0</v>
      </c>
      <c r="H42" s="99">
        <f>G42+'30'!H42</f>
        <v>144443.75</v>
      </c>
      <c r="I42" s="95"/>
      <c r="J42" s="175">
        <f>H42/DAY(B2)</f>
        <v>144443.75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258754.47</v>
      </c>
      <c r="F43" s="145">
        <v>258754.47</v>
      </c>
      <c r="G43" s="112">
        <f t="shared" si="3"/>
        <v>0</v>
      </c>
      <c r="H43" s="99">
        <f>G43+'30'!H43</f>
        <v>98764.53</v>
      </c>
      <c r="I43" s="95"/>
      <c r="J43" s="175">
        <f>H43/DAY(B2)</f>
        <v>98764.53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G47+'30'!H47</f>
        <v>601604.72999999986</v>
      </c>
      <c r="I47" s="95"/>
      <c r="J47" s="175">
        <f>H47/DAY(B2)</f>
        <v>601604.72999999986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110502.2</v>
      </c>
      <c r="F49" s="145">
        <v>110502.2</v>
      </c>
      <c r="G49" s="112">
        <f t="shared" ref="G49:G58" si="4">F49-E49</f>
        <v>0</v>
      </c>
      <c r="H49" s="99">
        <f>G49+'30'!H49</f>
        <v>54667.8</v>
      </c>
      <c r="I49" s="95"/>
      <c r="J49" s="175">
        <f>H49/DAY(B2)</f>
        <v>54667.8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131210.14000000001</v>
      </c>
      <c r="F50" s="145">
        <v>131210.14000000001</v>
      </c>
      <c r="G50" s="112">
        <f t="shared" si="4"/>
        <v>0</v>
      </c>
      <c r="H50" s="99">
        <f>G50+'30'!H50</f>
        <v>41396.859999999986</v>
      </c>
      <c r="I50" s="95"/>
      <c r="J50" s="175">
        <f>H50/DAY(B2)</f>
        <v>41396.859999999986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v>35671.06</v>
      </c>
      <c r="F54" s="145">
        <v>35671.06</v>
      </c>
      <c r="G54" s="112">
        <f t="shared" si="4"/>
        <v>0</v>
      </c>
      <c r="H54" s="99">
        <f>G54+'30'!H54</f>
        <v>14411.940000000002</v>
      </c>
      <c r="I54" s="95"/>
      <c r="J54" s="175">
        <f>H54/DAY(B2)</f>
        <v>14411.940000000002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v>112481.03</v>
      </c>
      <c r="F55" s="145">
        <v>112481.03</v>
      </c>
      <c r="G55" s="112">
        <f t="shared" si="4"/>
        <v>0</v>
      </c>
      <c r="H55" s="99">
        <f>G55+'30'!H55</f>
        <v>32485.97</v>
      </c>
      <c r="I55" s="95"/>
      <c r="J55" s="175">
        <f>H55/DAY(B2)</f>
        <v>32485.97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v>71617.679999999993</v>
      </c>
      <c r="F56" s="145">
        <v>71617.679999999993</v>
      </c>
      <c r="G56" s="112">
        <f t="shared" si="4"/>
        <v>0</v>
      </c>
      <c r="H56" s="99">
        <f>G56+'30'!H56</f>
        <v>35628.320000000007</v>
      </c>
      <c r="I56" s="95"/>
      <c r="J56" s="175">
        <f>H56/DAY(B2)</f>
        <v>35628.320000000007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v>18454.2</v>
      </c>
      <c r="F58" s="145">
        <v>18454.2</v>
      </c>
      <c r="G58" s="112">
        <f t="shared" si="4"/>
        <v>0</v>
      </c>
      <c r="H58" s="99">
        <f>G58+'30'!H58</f>
        <v>7038.7999999999993</v>
      </c>
      <c r="I58" s="95"/>
      <c r="J58" s="175">
        <f>H58/DAY(B2)</f>
        <v>7038.7999999999993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185629.68999999997</v>
      </c>
      <c r="I59" s="95">
        <f>G7-G60</f>
        <v>26000</v>
      </c>
      <c r="J59" s="175">
        <f>H59/DAY(B2)</f>
        <v>185629.68999999997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G60+'30'!H60</f>
        <v>787234.41999999993</v>
      </c>
      <c r="I60" s="95">
        <f>G13-G60</f>
        <v>0</v>
      </c>
      <c r="J60" s="175">
        <f>H60/DAY(B2)</f>
        <v>787234.41999999993</v>
      </c>
      <c r="K60" s="79"/>
      <c r="L60" s="66"/>
      <c r="N60" s="87"/>
      <c r="O60" s="71"/>
    </row>
    <row r="61" spans="1:15" s="68" customFormat="1" ht="26.25">
      <c r="A61" s="893" t="s">
        <v>332</v>
      </c>
      <c r="B61" s="894"/>
      <c r="C61" s="89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4" t="s">
        <v>198</v>
      </c>
      <c r="B62" s="875"/>
      <c r="C62" s="876"/>
      <c r="D62" s="151" t="s">
        <v>142</v>
      </c>
      <c r="E62" s="122">
        <v>278626</v>
      </c>
      <c r="F62" s="122">
        <v>278626</v>
      </c>
      <c r="G62" s="112">
        <f t="shared" ref="G62:G63" si="5">F62-E62</f>
        <v>0</v>
      </c>
      <c r="H62" s="99">
        <f>G62+'30'!H62</f>
        <v>5383</v>
      </c>
      <c r="I62" s="95"/>
      <c r="J62" s="175">
        <f>H62/DAY(B2)</f>
        <v>5383</v>
      </c>
      <c r="K62" s="80"/>
      <c r="L62" s="66"/>
      <c r="N62" s="87"/>
      <c r="O62" s="71"/>
    </row>
    <row r="63" spans="1:15" ht="25.5">
      <c r="A63" s="874" t="s">
        <v>199</v>
      </c>
      <c r="B63" s="875"/>
      <c r="C63" s="876"/>
      <c r="D63" s="151" t="s">
        <v>142</v>
      </c>
      <c r="E63" s="164">
        <v>223081</v>
      </c>
      <c r="F63" s="164">
        <v>223081</v>
      </c>
      <c r="G63" s="112">
        <f t="shared" si="5"/>
        <v>0</v>
      </c>
      <c r="H63" s="99">
        <f>G63+'30'!H63</f>
        <v>4398</v>
      </c>
      <c r="I63" s="95"/>
      <c r="J63" s="175">
        <f>H63/DAY(B2)</f>
        <v>4398</v>
      </c>
      <c r="K63" s="69"/>
      <c r="L63" s="66"/>
      <c r="N63" s="87"/>
      <c r="O63" s="71"/>
    </row>
    <row r="64" spans="1:15" ht="26.25">
      <c r="A64" s="871" t="s">
        <v>200</v>
      </c>
      <c r="B64" s="872"/>
      <c r="C64" s="873"/>
      <c r="D64" s="151"/>
      <c r="E64" s="122"/>
      <c r="F64" s="122"/>
      <c r="G64" s="112">
        <f>G62+G63</f>
        <v>0</v>
      </c>
      <c r="H64" s="99">
        <f>G64+'30'!H64</f>
        <v>9781</v>
      </c>
      <c r="I64" s="95"/>
      <c r="J64" s="175">
        <f>H64/DAY(B2)</f>
        <v>9781</v>
      </c>
      <c r="K64" s="69"/>
      <c r="L64" s="66"/>
      <c r="N64" s="87"/>
      <c r="O64" s="71"/>
    </row>
    <row r="65" spans="1:15" ht="25.5">
      <c r="A65" s="874" t="s">
        <v>201</v>
      </c>
      <c r="B65" s="875"/>
      <c r="C65" s="876"/>
      <c r="D65" s="151" t="s">
        <v>142</v>
      </c>
      <c r="E65" s="122">
        <v>441131</v>
      </c>
      <c r="F65" s="122">
        <v>441131</v>
      </c>
      <c r="G65" s="112">
        <f t="shared" ref="G65:G70" si="6">F65-E65</f>
        <v>0</v>
      </c>
      <c r="H65" s="99">
        <f>G65+'30'!H65</f>
        <v>3461</v>
      </c>
      <c r="I65" s="95"/>
      <c r="J65" s="175">
        <f>H65/DAY(B2)</f>
        <v>3461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22">
        <v>109070</v>
      </c>
      <c r="F66" s="122">
        <v>109070</v>
      </c>
      <c r="G66" s="112">
        <f t="shared" si="6"/>
        <v>0</v>
      </c>
      <c r="H66" s="99">
        <f>G66+'30'!H66</f>
        <v>511</v>
      </c>
      <c r="I66" s="95"/>
      <c r="J66" s="175">
        <f>H66/DAY(B2)</f>
        <v>511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22">
        <v>108593</v>
      </c>
      <c r="F67" s="122">
        <v>108593</v>
      </c>
      <c r="G67" s="112">
        <f t="shared" si="6"/>
        <v>0</v>
      </c>
      <c r="H67" s="99">
        <f>G67+'30'!H67</f>
        <v>2307</v>
      </c>
      <c r="I67" s="95"/>
      <c r="J67" s="175">
        <f>H67/DAY(B2)</f>
        <v>2307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22">
        <v>160409</v>
      </c>
      <c r="F68" s="122">
        <v>160409</v>
      </c>
      <c r="G68" s="112">
        <f t="shared" si="6"/>
        <v>0</v>
      </c>
      <c r="H68" s="99">
        <f>G68+'30'!H68</f>
        <v>1371</v>
      </c>
      <c r="I68" s="95"/>
      <c r="J68" s="175">
        <f>H68/DAY(B2)</f>
        <v>1371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22">
        <v>11201</v>
      </c>
      <c r="F69" s="122">
        <v>11201</v>
      </c>
      <c r="G69" s="112">
        <f t="shared" si="6"/>
        <v>0</v>
      </c>
      <c r="H69" s="99">
        <f>G69+'30'!H69</f>
        <v>397</v>
      </c>
      <c r="I69" s="95"/>
      <c r="J69" s="175">
        <f>H69/DAY(B2)</f>
        <v>397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22">
        <v>8728</v>
      </c>
      <c r="F70" s="122">
        <v>8728</v>
      </c>
      <c r="G70" s="112">
        <f t="shared" si="6"/>
        <v>0</v>
      </c>
      <c r="H70" s="99">
        <f>G70+'30'!H70</f>
        <v>273</v>
      </c>
      <c r="I70" s="95"/>
      <c r="J70" s="175">
        <f>H70/DAY(B2)</f>
        <v>273</v>
      </c>
      <c r="K70" s="69"/>
      <c r="L70" s="66"/>
      <c r="N70" s="87"/>
      <c r="O70" s="71"/>
    </row>
    <row r="71" spans="1:15" ht="26.25">
      <c r="A71" s="871" t="s">
        <v>208</v>
      </c>
      <c r="B71" s="872"/>
      <c r="C71" s="873"/>
      <c r="D71" s="152"/>
      <c r="E71" s="152"/>
      <c r="F71" s="152"/>
      <c r="G71" s="153">
        <f>SUM(G65:G70)</f>
        <v>0</v>
      </c>
      <c r="H71" s="99">
        <f>G71+'30'!H71</f>
        <v>8320</v>
      </c>
      <c r="I71" s="533"/>
      <c r="J71" s="175">
        <f>H71/DAY(B2)</f>
        <v>8320</v>
      </c>
      <c r="K71" s="69"/>
      <c r="L71" s="66"/>
      <c r="N71" s="87"/>
      <c r="O71" s="71"/>
    </row>
    <row r="72" spans="1:15" s="88" customFormat="1" ht="25.5">
      <c r="A72" s="917"/>
      <c r="B72" s="909"/>
      <c r="C72" s="347"/>
      <c r="D72" s="180"/>
      <c r="E72" s="412"/>
      <c r="F72" s="412"/>
      <c r="G72" s="412"/>
      <c r="H72" s="181"/>
      <c r="I72" s="412"/>
      <c r="J72" s="534"/>
      <c r="N72" s="87"/>
      <c r="O72" s="71"/>
    </row>
    <row r="73" spans="1:15" ht="26.25">
      <c r="A73" s="922" t="s">
        <v>333</v>
      </c>
      <c r="B73" s="923"/>
      <c r="C73" s="92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4" t="s">
        <v>220</v>
      </c>
      <c r="B74" s="875"/>
      <c r="C74" s="876"/>
      <c r="D74" s="151" t="s">
        <v>139</v>
      </c>
      <c r="E74" s="123">
        <v>919324.51</v>
      </c>
      <c r="F74" s="123">
        <v>919324.51</v>
      </c>
      <c r="G74" s="112">
        <f t="shared" ref="G74:G78" si="7">F74-E74</f>
        <v>0</v>
      </c>
      <c r="H74" s="99">
        <f>G74+'30'!H74</f>
        <v>9452.4899999999907</v>
      </c>
      <c r="I74" s="533"/>
      <c r="J74" s="175">
        <f>H74/DAY(B2)</f>
        <v>9452.4899999999907</v>
      </c>
      <c r="K74" s="69"/>
      <c r="L74" s="66"/>
      <c r="N74" s="87"/>
      <c r="O74" s="71"/>
    </row>
    <row r="75" spans="1:15" ht="25.5">
      <c r="A75" s="874" t="s">
        <v>221</v>
      </c>
      <c r="B75" s="875"/>
      <c r="C75" s="876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3"/>
      <c r="J75" s="175">
        <f>H75/DAY(B2)</f>
        <v>0</v>
      </c>
      <c r="K75" s="69"/>
      <c r="L75" s="66"/>
      <c r="N75" s="87"/>
      <c r="O75" s="71"/>
    </row>
    <row r="76" spans="1:15" ht="25.5">
      <c r="A76" s="918" t="s">
        <v>222</v>
      </c>
      <c r="B76" s="904"/>
      <c r="C76" s="905"/>
      <c r="D76" s="151" t="s">
        <v>139</v>
      </c>
      <c r="E76" s="123">
        <v>176587</v>
      </c>
      <c r="F76" s="123">
        <v>176587</v>
      </c>
      <c r="G76" s="112">
        <f t="shared" si="7"/>
        <v>0</v>
      </c>
      <c r="H76" s="99">
        <f>G76+'30'!H76</f>
        <v>3567</v>
      </c>
      <c r="I76" s="533"/>
      <c r="J76" s="175">
        <f>H76/DAY(B2)</f>
        <v>3567</v>
      </c>
      <c r="K76" s="69"/>
      <c r="L76" s="66"/>
      <c r="N76" s="87"/>
      <c r="O76" s="71"/>
    </row>
    <row r="77" spans="1:15" ht="25.5">
      <c r="A77" s="918" t="s">
        <v>223</v>
      </c>
      <c r="B77" s="904"/>
      <c r="C77" s="905"/>
      <c r="D77" s="151" t="s">
        <v>139</v>
      </c>
      <c r="E77" s="410">
        <v>44163</v>
      </c>
      <c r="F77" s="410">
        <v>44163</v>
      </c>
      <c r="G77" s="112">
        <f t="shared" si="7"/>
        <v>0</v>
      </c>
      <c r="H77" s="99">
        <f>G77+'30'!H77</f>
        <v>1511</v>
      </c>
      <c r="I77" s="533"/>
      <c r="J77" s="175">
        <f>H77/DAY(B2)</f>
        <v>1511</v>
      </c>
      <c r="K77" s="69"/>
      <c r="L77" s="66"/>
      <c r="N77" s="87"/>
      <c r="O77" s="71"/>
    </row>
    <row r="78" spans="1:15" ht="25.5">
      <c r="A78" s="918" t="s">
        <v>224</v>
      </c>
      <c r="B78" s="904"/>
      <c r="C78" s="905"/>
      <c r="D78" s="151" t="s">
        <v>139</v>
      </c>
      <c r="E78" s="410">
        <v>9563</v>
      </c>
      <c r="F78" s="410">
        <v>9563</v>
      </c>
      <c r="G78" s="112">
        <f t="shared" si="7"/>
        <v>0</v>
      </c>
      <c r="H78" s="99">
        <f>G78+'30'!H78</f>
        <v>0.3999999999996362</v>
      </c>
      <c r="I78" s="95"/>
      <c r="J78" s="175">
        <f>H78/DAY(B2)</f>
        <v>0.3999999999996362</v>
      </c>
      <c r="K78" s="69"/>
      <c r="L78" s="66"/>
      <c r="N78" s="87"/>
      <c r="O78" s="71"/>
    </row>
    <row r="79" spans="1:15" s="57" customFormat="1" ht="25.5">
      <c r="A79" s="918" t="s">
        <v>225</v>
      </c>
      <c r="B79" s="904"/>
      <c r="C79" s="905"/>
      <c r="D79" s="151"/>
      <c r="E79" s="123"/>
      <c r="F79" s="123"/>
      <c r="G79" s="112">
        <f>G15-SUM(G74:G78)</f>
        <v>0</v>
      </c>
      <c r="H79" s="99">
        <f>G79+'30'!H79</f>
        <v>18259.110000000008</v>
      </c>
      <c r="I79" s="95"/>
      <c r="J79" s="175"/>
      <c r="K79" s="59"/>
      <c r="L79" s="58"/>
      <c r="N79" s="87"/>
      <c r="O79" s="71"/>
    </row>
    <row r="80" spans="1:15" s="57" customFormat="1" ht="26.25">
      <c r="A80" s="871" t="s">
        <v>329</v>
      </c>
      <c r="B80" s="872"/>
      <c r="C80" s="873"/>
      <c r="D80" s="151"/>
      <c r="E80" s="117"/>
      <c r="F80" s="117"/>
      <c r="G80" s="112">
        <f>SUM(G74:G79)</f>
        <v>0</v>
      </c>
      <c r="H80" s="99"/>
      <c r="I80" s="95"/>
      <c r="J80" s="175"/>
      <c r="K80" s="59"/>
      <c r="L80" s="58"/>
      <c r="N80" s="87"/>
      <c r="O80" s="71"/>
    </row>
    <row r="81" spans="1:15" ht="25.5">
      <c r="A81" s="910" t="s">
        <v>226</v>
      </c>
      <c r="B81" s="911"/>
      <c r="C81" s="91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6002.5</v>
      </c>
      <c r="I82" s="594"/>
      <c r="J82" s="175">
        <f>H82/DAY(B2)</f>
        <v>6002.5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94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41675</v>
      </c>
      <c r="F84" s="164">
        <v>41675</v>
      </c>
      <c r="G84" s="112">
        <f t="shared" si="8"/>
        <v>0</v>
      </c>
      <c r="H84" s="99">
        <f>G84+'30'!H84</f>
        <v>117</v>
      </c>
      <c r="I84" s="594"/>
      <c r="J84" s="175">
        <f>H84/DAY(B2)</f>
        <v>117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64">
        <v>3158.5</v>
      </c>
      <c r="F85" s="164">
        <v>3158.5</v>
      </c>
      <c r="G85" s="112">
        <f t="shared" si="8"/>
        <v>0</v>
      </c>
      <c r="H85" s="99">
        <f>G85+'30'!H85</f>
        <v>618.5</v>
      </c>
      <c r="I85" s="594"/>
      <c r="J85" s="175">
        <f>H85/DAY(B2)</f>
        <v>618.5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43720.4</v>
      </c>
      <c r="F86" s="164">
        <v>43720.4</v>
      </c>
      <c r="G86" s="112">
        <f t="shared" si="8"/>
        <v>0</v>
      </c>
      <c r="H86" s="99">
        <f>G86+'30'!H86</f>
        <v>218.59999999999854</v>
      </c>
      <c r="I86" s="594"/>
      <c r="J86" s="175">
        <f>H86/DAY(B2)</f>
        <v>218.59999999999854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35080.35</v>
      </c>
      <c r="F87" s="164">
        <v>35080.35</v>
      </c>
      <c r="G87" s="112">
        <f t="shared" si="8"/>
        <v>0</v>
      </c>
      <c r="H87" s="99">
        <f>G87+'30'!H87</f>
        <v>248.65000000000146</v>
      </c>
      <c r="I87" s="594">
        <f>G84+G85+G86+G87</f>
        <v>0</v>
      </c>
      <c r="J87" s="175">
        <f>H87/DAY(B2)</f>
        <v>248.65000000000146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24109.4</v>
      </c>
      <c r="F88" s="164">
        <v>24109.4</v>
      </c>
      <c r="G88" s="112">
        <f t="shared" si="8"/>
        <v>0</v>
      </c>
      <c r="H88" s="99">
        <f>G88+'30'!H88</f>
        <v>78.719999999997526</v>
      </c>
      <c r="I88" s="594"/>
      <c r="J88" s="175">
        <f>H88/DAY(B2)</f>
        <v>78.719999999997526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26471.79</v>
      </c>
      <c r="F89" s="164">
        <v>26471.79</v>
      </c>
      <c r="G89" s="112">
        <f t="shared" si="8"/>
        <v>0</v>
      </c>
      <c r="H89" s="99">
        <f>G89+'30'!H89</f>
        <v>237.43000000000029</v>
      </c>
      <c r="I89" s="594">
        <f>G88+G89</f>
        <v>0</v>
      </c>
      <c r="J89" s="175">
        <f>H89/DAY(B2)</f>
        <v>237.43000000000029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71573.11</v>
      </c>
      <c r="F90" s="164">
        <v>71573.11</v>
      </c>
      <c r="G90" s="112">
        <f>F90-E90</f>
        <v>0</v>
      </c>
      <c r="H90" s="99">
        <f>G90+'30'!H90</f>
        <v>51.139999999999418</v>
      </c>
      <c r="I90" s="594">
        <f>G90</f>
        <v>0</v>
      </c>
      <c r="J90" s="175">
        <f>H90/DAY(B2)</f>
        <v>51.139999999999418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3909.75</v>
      </c>
      <c r="F91" s="122">
        <v>3909.75</v>
      </c>
      <c r="G91" s="112">
        <f t="shared" si="8"/>
        <v>0</v>
      </c>
      <c r="H91" s="99">
        <f>G91+'30'!H91</f>
        <v>149.48999999999978</v>
      </c>
      <c r="I91" s="688"/>
      <c r="J91" s="175">
        <f>H91/DAY(B2)</f>
        <v>149.48999999999978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5747.3</v>
      </c>
      <c r="F92" s="122">
        <v>5747.3</v>
      </c>
      <c r="G92" s="112">
        <f t="shared" si="8"/>
        <v>0</v>
      </c>
      <c r="H92" s="99">
        <f>G92+'30'!H92</f>
        <v>187.69999999999982</v>
      </c>
      <c r="I92" s="705">
        <f>G91+G92</f>
        <v>0</v>
      </c>
      <c r="J92" s="175">
        <f>H92/DAY(B2)</f>
        <v>187.69999999999982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4" t="s">
        <v>240</v>
      </c>
      <c r="B94" s="875"/>
      <c r="C94" s="876"/>
      <c r="D94" s="151" t="s">
        <v>130</v>
      </c>
      <c r="E94" s="151"/>
      <c r="F94" s="151"/>
      <c r="G94" s="99">
        <f>G35+G43+G49+G57</f>
        <v>0</v>
      </c>
      <c r="H94" s="99">
        <f>G94+'30'!H94</f>
        <v>218038.12</v>
      </c>
      <c r="I94" s="95"/>
      <c r="J94" s="175">
        <f>H94/DAY(B2)</f>
        <v>218038.12</v>
      </c>
      <c r="K94" s="69"/>
      <c r="L94" s="66"/>
      <c r="O94" s="71"/>
    </row>
    <row r="95" spans="1:15" ht="25.5">
      <c r="A95" s="874" t="s">
        <v>241</v>
      </c>
      <c r="B95" s="875"/>
      <c r="C95" s="876"/>
      <c r="D95" s="151" t="s">
        <v>23</v>
      </c>
      <c r="E95" s="146"/>
      <c r="F95" s="146"/>
      <c r="G95" s="166">
        <f>G94/G7</f>
        <v>0</v>
      </c>
      <c r="H95" s="99">
        <f>G95+'30'!H95</f>
        <v>7.7515521952480118</v>
      </c>
      <c r="I95" s="535"/>
      <c r="J95" s="175">
        <f>H95/DAY(B2)</f>
        <v>7.7515521952480118</v>
      </c>
      <c r="K95" s="69"/>
      <c r="L95" s="66"/>
      <c r="O95" s="71"/>
    </row>
    <row r="96" spans="1:15" ht="25.5">
      <c r="A96" s="874" t="s">
        <v>242</v>
      </c>
      <c r="B96" s="875"/>
      <c r="C96" s="876"/>
      <c r="D96" s="151" t="s">
        <v>130</v>
      </c>
      <c r="E96" s="95"/>
      <c r="F96" s="95"/>
      <c r="G96" s="99">
        <f>G41+G42+G55+G56</f>
        <v>0</v>
      </c>
      <c r="H96" s="99">
        <f>G96+'30'!H96</f>
        <v>240188.04</v>
      </c>
      <c r="I96" s="95"/>
      <c r="J96" s="175">
        <f>H96/DAY(B2)</f>
        <v>240188.04</v>
      </c>
      <c r="K96" s="69"/>
      <c r="L96" s="66"/>
      <c r="O96" s="71"/>
    </row>
    <row r="97" spans="1:15" ht="25.5">
      <c r="A97" s="874" t="s">
        <v>243</v>
      </c>
      <c r="B97" s="875"/>
      <c r="C97" s="876"/>
      <c r="D97" s="151" t="s">
        <v>23</v>
      </c>
      <c r="E97" s="95"/>
      <c r="F97" s="95"/>
      <c r="G97" s="166">
        <f>G96/G7</f>
        <v>0</v>
      </c>
      <c r="H97" s="99">
        <f>G97+'30'!H97</f>
        <v>8.5115639011994286</v>
      </c>
      <c r="I97" s="535"/>
      <c r="J97" s="175">
        <f>H97/DAY(B2)</f>
        <v>8.5115639011994286</v>
      </c>
      <c r="K97" s="69"/>
      <c r="L97" s="66"/>
      <c r="O97" s="71"/>
    </row>
    <row r="98" spans="1:15" ht="25.5">
      <c r="A98" s="874" t="s">
        <v>244</v>
      </c>
      <c r="B98" s="875"/>
      <c r="C98" s="876"/>
      <c r="D98" s="151" t="s">
        <v>130</v>
      </c>
      <c r="E98" s="95"/>
      <c r="F98" s="95"/>
      <c r="G98" s="99">
        <f>G39+G53</f>
        <v>0</v>
      </c>
      <c r="H98" s="99">
        <f>G98+'30'!H98</f>
        <v>95834.57</v>
      </c>
      <c r="I98" s="514"/>
      <c r="J98" s="175">
        <f>H98/DAY(B2)</f>
        <v>95834.57</v>
      </c>
      <c r="K98" s="69"/>
      <c r="L98" s="66"/>
      <c r="O98" s="71"/>
    </row>
    <row r="99" spans="1:15" ht="25.5">
      <c r="A99" s="874" t="s">
        <v>245</v>
      </c>
      <c r="B99" s="875"/>
      <c r="C99" s="876"/>
      <c r="D99" s="151" t="s">
        <v>23</v>
      </c>
      <c r="E99" s="95"/>
      <c r="F99" s="95"/>
      <c r="G99" s="166">
        <f>G98/G7</f>
        <v>0</v>
      </c>
      <c r="H99" s="99">
        <f>G99+'30'!H99</f>
        <v>3.4134244144002341</v>
      </c>
      <c r="I99" s="514"/>
      <c r="J99" s="175">
        <f>H99/DAY(B2)</f>
        <v>3.4134244144002341</v>
      </c>
      <c r="O99" s="71"/>
    </row>
    <row r="100" spans="1:15" ht="26.25">
      <c r="A100" s="874" t="s">
        <v>246</v>
      </c>
      <c r="B100" s="875"/>
      <c r="C100" s="876"/>
      <c r="D100" s="151" t="s">
        <v>180</v>
      </c>
      <c r="E100" s="95"/>
      <c r="F100" s="95"/>
      <c r="G100" s="99">
        <f>G38+G52</f>
        <v>0</v>
      </c>
      <c r="H100" s="99">
        <f>G100+'30'!H100</f>
        <v>73342.63</v>
      </c>
      <c r="I100" s="95"/>
      <c r="J100" s="175">
        <f>H100/DAY(B2)</f>
        <v>73342.63</v>
      </c>
      <c r="K100" s="70"/>
      <c r="O100" s="71"/>
    </row>
    <row r="101" spans="1:15" ht="25.5">
      <c r="A101" s="874" t="s">
        <v>247</v>
      </c>
      <c r="B101" s="875"/>
      <c r="C101" s="876"/>
      <c r="D101" s="151" t="s">
        <v>23</v>
      </c>
      <c r="E101" s="95"/>
      <c r="F101" s="95"/>
      <c r="G101" s="166">
        <f>G100/G7</f>
        <v>0</v>
      </c>
      <c r="H101" s="99">
        <f>G101+'30'!H101</f>
        <v>2.6110961250413403</v>
      </c>
      <c r="I101" s="514"/>
      <c r="J101" s="175">
        <f>H101/DAY(B2)</f>
        <v>2.6110961250413403</v>
      </c>
      <c r="O101" s="71"/>
    </row>
    <row r="102" spans="1:15" ht="25.5">
      <c r="A102" s="874" t="s">
        <v>248</v>
      </c>
      <c r="B102" s="875"/>
      <c r="C102" s="876"/>
      <c r="D102" s="151" t="s">
        <v>180</v>
      </c>
      <c r="E102" s="95"/>
      <c r="F102" s="95"/>
      <c r="G102" s="99">
        <f>G36+G50</f>
        <v>0</v>
      </c>
      <c r="H102" s="99">
        <f>G102+'30'!H102</f>
        <v>72455.199999999983</v>
      </c>
      <c r="I102" s="514"/>
      <c r="J102" s="175">
        <f>H102/DAY(B2)</f>
        <v>72455.199999999983</v>
      </c>
      <c r="O102" s="71"/>
    </row>
    <row r="103" spans="1:15" ht="25.5">
      <c r="A103" s="874" t="s">
        <v>249</v>
      </c>
      <c r="B103" s="875"/>
      <c r="C103" s="876"/>
      <c r="D103" s="151" t="s">
        <v>23</v>
      </c>
      <c r="E103" s="95"/>
      <c r="F103" s="95"/>
      <c r="G103" s="166">
        <f>G102/G7</f>
        <v>0</v>
      </c>
      <c r="H103" s="99">
        <f>G103+'30'!H103</f>
        <v>2.570406924616023</v>
      </c>
      <c r="I103" s="95"/>
      <c r="J103" s="175">
        <f>H103/DAY(B2)</f>
        <v>2.570406924616023</v>
      </c>
      <c r="O103" s="71"/>
    </row>
    <row r="104" spans="1:15" ht="25.5">
      <c r="A104" s="874" t="s">
        <v>250</v>
      </c>
      <c r="B104" s="875"/>
      <c r="C104" s="876"/>
      <c r="D104" s="151" t="s">
        <v>180</v>
      </c>
      <c r="E104" s="95"/>
      <c r="F104" s="95"/>
      <c r="G104" s="99">
        <f>G37+G51</f>
        <v>0</v>
      </c>
      <c r="H104" s="99">
        <f>G104+'30'!H104</f>
        <v>50199.98000000001</v>
      </c>
      <c r="I104" s="95"/>
      <c r="J104" s="175">
        <f>H104/DAY(B2)</f>
        <v>50199.98000000001</v>
      </c>
      <c r="O104" s="71"/>
    </row>
    <row r="105" spans="1:15" ht="26.25" thickBot="1">
      <c r="A105" s="914" t="s">
        <v>251</v>
      </c>
      <c r="B105" s="915"/>
      <c r="C105" s="916"/>
      <c r="D105" s="231" t="s">
        <v>23</v>
      </c>
      <c r="E105" s="185"/>
      <c r="F105" s="185"/>
      <c r="G105" s="186">
        <f>G104/G7</f>
        <v>0</v>
      </c>
      <c r="H105" s="99">
        <f>G105+'30'!H105</f>
        <v>1.7849554456117924</v>
      </c>
      <c r="I105" s="185"/>
      <c r="J105" s="188">
        <f>H105/DAY(B2)</f>
        <v>1.7849554456117924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8" t="s">
        <v>324</v>
      </c>
      <c r="B108" s="928"/>
      <c r="C108" s="928"/>
      <c r="D108" s="928"/>
      <c r="E108" s="928"/>
      <c r="F108" s="928"/>
      <c r="G108" s="928"/>
      <c r="H108" s="928"/>
      <c r="I108" s="928"/>
      <c r="J108" s="928"/>
    </row>
    <row r="109" spans="1:15" ht="26.25">
      <c r="A109" s="913"/>
      <c r="B109" s="913"/>
    </row>
    <row r="110" spans="1:15" ht="26.25">
      <c r="A110" s="929" t="s">
        <v>165</v>
      </c>
      <c r="B110" s="930"/>
      <c r="C110" s="930"/>
      <c r="D110" s="930"/>
      <c r="E110" s="930"/>
      <c r="F110" s="930"/>
      <c r="G110" s="930"/>
      <c r="H110" s="930"/>
      <c r="I110" s="930"/>
      <c r="J110" s="931"/>
    </row>
    <row r="111" spans="1:15" ht="25.5">
      <c r="A111" s="932"/>
      <c r="B111" s="933"/>
      <c r="C111" s="934"/>
      <c r="D111" s="165"/>
      <c r="E111" s="155"/>
      <c r="F111" s="155"/>
      <c r="G111" s="155"/>
      <c r="H111" s="156"/>
      <c r="I111" s="155"/>
      <c r="J111" s="156"/>
    </row>
    <row r="112" spans="1:15" ht="25.5">
      <c r="A112" s="907" t="s">
        <v>252</v>
      </c>
      <c r="B112" s="908"/>
      <c r="C112" s="909"/>
      <c r="D112" s="146" t="s">
        <v>183</v>
      </c>
      <c r="E112" s="237">
        <v>62143.53</v>
      </c>
      <c r="F112" s="237">
        <v>62143.53</v>
      </c>
      <c r="G112" s="112">
        <f t="shared" ref="G112:G123" si="9">F112-E112</f>
        <v>0</v>
      </c>
      <c r="H112" s="99">
        <f>G112+'30'!H112</f>
        <v>2363.4700000000012</v>
      </c>
      <c r="I112" s="155"/>
      <c r="J112" s="328">
        <f>H112/DAY(B2)</f>
        <v>2363.4700000000012</v>
      </c>
    </row>
    <row r="113" spans="1:18" ht="25.5">
      <c r="A113" s="907" t="s">
        <v>253</v>
      </c>
      <c r="B113" s="908"/>
      <c r="C113" s="909"/>
      <c r="D113" s="146" t="s">
        <v>183</v>
      </c>
      <c r="E113" s="237">
        <v>74255.600000000006</v>
      </c>
      <c r="F113" s="237">
        <v>74255.600000000006</v>
      </c>
      <c r="G113" s="112">
        <f t="shared" si="9"/>
        <v>0</v>
      </c>
      <c r="H113" s="99">
        <f>G113+'30'!H113</f>
        <v>12415.789999999995</v>
      </c>
      <c r="I113" s="155"/>
      <c r="J113" s="328">
        <f>H113/DAY(B2)</f>
        <v>12415.789999999995</v>
      </c>
    </row>
    <row r="114" spans="1:18" ht="25.5">
      <c r="A114" s="907" t="s">
        <v>254</v>
      </c>
      <c r="B114" s="908"/>
      <c r="C114" s="909"/>
      <c r="D114" s="146" t="s">
        <v>183</v>
      </c>
      <c r="E114" s="237">
        <v>50263</v>
      </c>
      <c r="F114" s="237">
        <v>50263</v>
      </c>
      <c r="G114" s="112">
        <f t="shared" si="9"/>
        <v>0</v>
      </c>
      <c r="H114" s="99">
        <f>G114+'30'!H114</f>
        <v>7494.1100000000006</v>
      </c>
      <c r="I114" s="155"/>
      <c r="J114" s="328">
        <f>H114/DAY(B2)</f>
        <v>7494.1100000000006</v>
      </c>
    </row>
    <row r="115" spans="1:18" ht="25.5">
      <c r="A115" s="907" t="s">
        <v>255</v>
      </c>
      <c r="B115" s="908"/>
      <c r="C115" s="909"/>
      <c r="D115" s="146" t="s">
        <v>183</v>
      </c>
      <c r="E115" s="237">
        <v>9828.51</v>
      </c>
      <c r="F115" s="237">
        <v>9828.51</v>
      </c>
      <c r="G115" s="112">
        <f t="shared" si="9"/>
        <v>0</v>
      </c>
      <c r="H115" s="99">
        <f>G115+'30'!H115</f>
        <v>1089.2399999999998</v>
      </c>
      <c r="I115" s="155"/>
      <c r="J115" s="328">
        <f>H115/DAY(B2)</f>
        <v>1089.2399999999998</v>
      </c>
    </row>
    <row r="116" spans="1:18" ht="25.5">
      <c r="A116" s="925" t="s">
        <v>96</v>
      </c>
      <c r="B116" s="926"/>
      <c r="C116" s="927"/>
      <c r="D116" s="146" t="s">
        <v>183</v>
      </c>
      <c r="E116" s="237">
        <v>22784.62</v>
      </c>
      <c r="F116" s="237">
        <v>22784.62</v>
      </c>
      <c r="G116" s="112">
        <f t="shared" si="9"/>
        <v>0</v>
      </c>
      <c r="H116" s="99">
        <f>G116+'30'!H116</f>
        <v>11881.380000000001</v>
      </c>
      <c r="I116" s="155"/>
      <c r="J116" s="328">
        <f>H116/DAY(B2)</f>
        <v>11881.380000000001</v>
      </c>
      <c r="Q116" s="907"/>
      <c r="R116" s="909"/>
    </row>
    <row r="117" spans="1:18" ht="25.5">
      <c r="A117" s="925" t="s">
        <v>184</v>
      </c>
      <c r="B117" s="926"/>
      <c r="C117" s="927"/>
      <c r="D117" s="146" t="s">
        <v>183</v>
      </c>
      <c r="E117" s="237">
        <v>13613.173000000001</v>
      </c>
      <c r="F117" s="237">
        <v>13613.173000000001</v>
      </c>
      <c r="G117" s="112">
        <f t="shared" si="9"/>
        <v>0</v>
      </c>
      <c r="H117" s="99">
        <f>G117+'30'!H117</f>
        <v>5322.8269999999993</v>
      </c>
      <c r="I117" s="155"/>
      <c r="J117" s="328">
        <f>H117/DAY(B2)</f>
        <v>5322.8269999999993</v>
      </c>
      <c r="Q117" s="907"/>
      <c r="R117" s="909"/>
    </row>
    <row r="118" spans="1:18" ht="25.5">
      <c r="A118" s="902" t="s">
        <v>97</v>
      </c>
      <c r="B118" s="902"/>
      <c r="C118" s="902"/>
      <c r="D118" s="151" t="s">
        <v>183</v>
      </c>
      <c r="E118" s="237">
        <v>280220.96999999997</v>
      </c>
      <c r="F118" s="237">
        <v>280220.96999999997</v>
      </c>
      <c r="G118" s="112">
        <f t="shared" si="9"/>
        <v>0</v>
      </c>
      <c r="H118" s="99">
        <f>G118+'30'!H118</f>
        <v>16011.030000000032</v>
      </c>
      <c r="I118" s="155"/>
      <c r="J118" s="328">
        <f>H118/DAY(B2)</f>
        <v>16011.030000000032</v>
      </c>
      <c r="Q118" s="907"/>
      <c r="R118" s="909"/>
    </row>
    <row r="119" spans="1:18" ht="25.5">
      <c r="A119" s="902" t="s">
        <v>98</v>
      </c>
      <c r="B119" s="902"/>
      <c r="C119" s="902"/>
      <c r="D119" s="151" t="s">
        <v>183</v>
      </c>
      <c r="E119" s="237">
        <v>283097.39</v>
      </c>
      <c r="F119" s="237">
        <v>283097.39</v>
      </c>
      <c r="G119" s="112">
        <f t="shared" si="9"/>
        <v>0</v>
      </c>
      <c r="H119" s="99">
        <f>G119+'30'!H119</f>
        <v>13223.609999999986</v>
      </c>
      <c r="I119" s="155"/>
      <c r="J119" s="328">
        <f>H119/DAY(B2)</f>
        <v>13223.609999999986</v>
      </c>
    </row>
    <row r="120" spans="1:18" ht="25.5">
      <c r="A120" s="902" t="s">
        <v>99</v>
      </c>
      <c r="B120" s="902"/>
      <c r="C120" s="902"/>
      <c r="D120" s="151" t="s">
        <v>183</v>
      </c>
      <c r="E120" s="237">
        <v>67724.759999999995</v>
      </c>
      <c r="F120" s="237">
        <v>67724.759999999995</v>
      </c>
      <c r="G120" s="112">
        <f t="shared" si="9"/>
        <v>0</v>
      </c>
      <c r="H120" s="99">
        <f>G120+'30'!H120</f>
        <v>12481.240000000005</v>
      </c>
      <c r="I120" s="155"/>
      <c r="J120" s="328">
        <f>H120/DAY(B2)</f>
        <v>12481.240000000005</v>
      </c>
    </row>
    <row r="121" spans="1:18" ht="25.5">
      <c r="A121" s="902" t="s">
        <v>100</v>
      </c>
      <c r="B121" s="902"/>
      <c r="C121" s="902"/>
      <c r="D121" s="151" t="s">
        <v>183</v>
      </c>
      <c r="E121" s="237">
        <v>442718.27</v>
      </c>
      <c r="F121" s="237">
        <v>442718.27</v>
      </c>
      <c r="G121" s="112">
        <f t="shared" si="9"/>
        <v>0</v>
      </c>
      <c r="H121" s="99">
        <f>G121+'30'!H121</f>
        <v>22131.729999999981</v>
      </c>
      <c r="I121" s="155"/>
      <c r="J121" s="328">
        <f>H121/DAY(B2)</f>
        <v>22131.729999999981</v>
      </c>
    </row>
    <row r="122" spans="1:18" ht="25.5">
      <c r="A122" s="902" t="s">
        <v>101</v>
      </c>
      <c r="B122" s="902"/>
      <c r="C122" s="902"/>
      <c r="D122" s="151" t="s">
        <v>183</v>
      </c>
      <c r="E122" s="237">
        <v>139308.14000000001</v>
      </c>
      <c r="F122" s="237">
        <v>139308.14000000001</v>
      </c>
      <c r="G122" s="112">
        <f t="shared" si="9"/>
        <v>0</v>
      </c>
      <c r="H122" s="99">
        <f>G122+'30'!H122</f>
        <v>6380.859999999986</v>
      </c>
      <c r="I122" s="155"/>
      <c r="J122" s="328">
        <f>H122/DAY(B2)</f>
        <v>6380.859999999986</v>
      </c>
    </row>
    <row r="123" spans="1:18" ht="25.5">
      <c r="A123" s="902" t="s">
        <v>348</v>
      </c>
      <c r="B123" s="902"/>
      <c r="C123" s="902"/>
      <c r="D123" s="151" t="s">
        <v>183</v>
      </c>
      <c r="E123" s="237">
        <v>169442</v>
      </c>
      <c r="F123" s="237">
        <v>169442</v>
      </c>
      <c r="G123" s="112">
        <f t="shared" si="9"/>
        <v>0</v>
      </c>
      <c r="H123" s="99">
        <f>G123+'30'!H123</f>
        <v>7080.5299999999988</v>
      </c>
      <c r="I123" s="155"/>
      <c r="J123" s="328">
        <f>H123/DAY(B2)</f>
        <v>7080.5299999999988</v>
      </c>
    </row>
    <row r="124" spans="1:18" ht="25.5">
      <c r="A124" s="932"/>
      <c r="B124" s="933"/>
      <c r="C124" s="934"/>
      <c r="D124" s="165"/>
      <c r="E124" s="155"/>
      <c r="F124" s="155"/>
      <c r="G124" s="156"/>
      <c r="H124" s="99">
        <f>G124+'30'!H124</f>
        <v>0</v>
      </c>
      <c r="I124" s="155"/>
      <c r="J124" s="156"/>
    </row>
    <row r="125" spans="1:18" ht="25.5">
      <c r="A125" s="935" t="s">
        <v>196</v>
      </c>
      <c r="B125" s="1000"/>
      <c r="C125" s="936"/>
      <c r="D125" s="307"/>
      <c r="E125" s="308"/>
      <c r="F125" s="308"/>
      <c r="G125" s="309">
        <f>SUM(G112:G124)</f>
        <v>0</v>
      </c>
      <c r="H125" s="156"/>
      <c r="I125" s="156">
        <f>G125-(G39+G53)</f>
        <v>0</v>
      </c>
      <c r="J125" s="156"/>
    </row>
    <row r="126" spans="1:18" ht="25.5">
      <c r="A126" s="937" t="s">
        <v>317</v>
      </c>
      <c r="B126" s="937"/>
      <c r="C126" s="937"/>
      <c r="D126" s="937"/>
      <c r="E126" s="937"/>
      <c r="F126" s="937"/>
      <c r="G126" s="937"/>
      <c r="H126" s="937"/>
      <c r="I126" s="937"/>
      <c r="J126" s="937"/>
    </row>
    <row r="127" spans="1:18" ht="25.5">
      <c r="A127" s="938"/>
      <c r="B127" s="938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7" t="s">
        <v>318</v>
      </c>
      <c r="B128" s="908"/>
      <c r="C128" s="909"/>
      <c r="D128" s="151" t="s">
        <v>183</v>
      </c>
      <c r="E128" s="155">
        <v>68916.240000000005</v>
      </c>
      <c r="F128" s="155">
        <v>68916.240000000005</v>
      </c>
      <c r="G128" s="112">
        <f t="shared" ref="G128:G134" si="10">F128-E128</f>
        <v>0</v>
      </c>
      <c r="H128" s="99">
        <f>G128+'30'!H128</f>
        <v>12498.759999999995</v>
      </c>
      <c r="I128" s="155"/>
      <c r="J128" s="328">
        <f>H128/DAY(B2)</f>
        <v>12498.759999999995</v>
      </c>
    </row>
    <row r="129" spans="1:15" ht="25.5">
      <c r="A129" s="329" t="s">
        <v>319</v>
      </c>
      <c r="B129" s="330"/>
      <c r="C129" s="331"/>
      <c r="D129" s="151" t="s">
        <v>183</v>
      </c>
      <c r="E129" s="155">
        <v>42111.05</v>
      </c>
      <c r="F129" s="155">
        <v>42111.05</v>
      </c>
      <c r="G129" s="112">
        <f t="shared" si="10"/>
        <v>0</v>
      </c>
      <c r="H129" s="99">
        <f>G129+'30'!H129</f>
        <v>8960.9499999999971</v>
      </c>
      <c r="I129" s="155"/>
      <c r="J129" s="328">
        <f>H129/DAY(B2)</f>
        <v>8960.9499999999971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426">
        <v>75661.95</v>
      </c>
      <c r="F130" s="426">
        <v>75661.95</v>
      </c>
      <c r="G130" s="756">
        <f t="shared" si="10"/>
        <v>0</v>
      </c>
      <c r="H130" s="99">
        <f>G130+'30'!H130</f>
        <v>20984.050000000003</v>
      </c>
      <c r="I130" s="155"/>
      <c r="J130" s="328">
        <f>H130/DAY(B2)</f>
        <v>20984.050000000003</v>
      </c>
      <c r="N130" s="240"/>
      <c r="O130" s="241"/>
    </row>
    <row r="131" spans="1:15" ht="25.5">
      <c r="A131" s="907" t="s">
        <v>321</v>
      </c>
      <c r="B131" s="908"/>
      <c r="C131" s="909"/>
      <c r="D131" s="151" t="s">
        <v>183</v>
      </c>
      <c r="E131" s="155">
        <v>24432.5</v>
      </c>
      <c r="F131" s="155">
        <v>24432.5</v>
      </c>
      <c r="G131" s="112">
        <f t="shared" si="10"/>
        <v>0</v>
      </c>
      <c r="H131" s="99">
        <f>G131+'30'!H131</f>
        <v>6002.5</v>
      </c>
      <c r="I131" s="155"/>
      <c r="J131" s="328">
        <f>H131/DAY(B2)</f>
        <v>6002.5</v>
      </c>
      <c r="N131" s="240"/>
      <c r="O131" s="241"/>
    </row>
    <row r="132" spans="1:15" ht="25.5">
      <c r="A132" s="907" t="s">
        <v>322</v>
      </c>
      <c r="B132" s="908"/>
      <c r="C132" s="909"/>
      <c r="D132" s="151" t="s">
        <v>183</v>
      </c>
      <c r="E132" s="155">
        <v>75667.5</v>
      </c>
      <c r="F132" s="155">
        <v>75667.5</v>
      </c>
      <c r="G132" s="112">
        <f t="shared" si="10"/>
        <v>0</v>
      </c>
      <c r="H132" s="99">
        <f>G132+'30'!H132</f>
        <v>13269.5</v>
      </c>
      <c r="I132" s="155"/>
      <c r="J132" s="328">
        <f>H132/DAY(B2)</f>
        <v>13269.5</v>
      </c>
    </row>
    <row r="133" spans="1:15" ht="25.5">
      <c r="A133" s="907" t="s">
        <v>360</v>
      </c>
      <c r="B133" s="908"/>
      <c r="C133" s="909"/>
      <c r="D133" s="151" t="s">
        <v>183</v>
      </c>
      <c r="E133" s="155">
        <v>145381.99</v>
      </c>
      <c r="F133" s="155">
        <v>145381.99</v>
      </c>
      <c r="G133" s="112">
        <f t="shared" si="10"/>
        <v>0</v>
      </c>
      <c r="H133" s="99">
        <f>G133+'30'!H133</f>
        <v>27064.010000000009</v>
      </c>
      <c r="I133" s="155"/>
      <c r="J133" s="328">
        <f>H133/DAY(B2)</f>
        <v>27064.010000000009</v>
      </c>
    </row>
    <row r="134" spans="1:15" ht="25.5">
      <c r="A134" s="907" t="s">
        <v>340</v>
      </c>
      <c r="B134" s="908"/>
      <c r="C134" s="909"/>
      <c r="D134" s="151" t="s">
        <v>183</v>
      </c>
      <c r="E134" s="155">
        <v>20792.68</v>
      </c>
      <c r="F134" s="155">
        <v>20792.68</v>
      </c>
      <c r="G134" s="112">
        <f t="shared" si="10"/>
        <v>0</v>
      </c>
      <c r="H134" s="99">
        <f>G134+'30'!H134</f>
        <v>7300.32</v>
      </c>
      <c r="I134" s="155"/>
      <c r="J134" s="328">
        <f>H134/DAY(B2)</f>
        <v>7300.32</v>
      </c>
    </row>
    <row r="135" spans="1:15" ht="25.5">
      <c r="A135" s="935" t="s">
        <v>196</v>
      </c>
      <c r="B135" s="1000"/>
      <c r="C135" s="936"/>
      <c r="D135" s="151"/>
      <c r="E135" s="155"/>
      <c r="F135" s="155"/>
      <c r="G135" s="112">
        <f>SUM(G128:G134)</f>
        <v>0</v>
      </c>
      <c r="H135" s="99">
        <f>G135+'23'!H135</f>
        <v>34885.409999999974</v>
      </c>
      <c r="I135" s="156">
        <f>G135-(G35+G49)</f>
        <v>0</v>
      </c>
      <c r="J135" s="328"/>
    </row>
    <row r="136" spans="1:15" ht="27.75">
      <c r="A136" s="939" t="s">
        <v>325</v>
      </c>
      <c r="B136" s="939"/>
      <c r="C136" s="939"/>
      <c r="D136" s="939"/>
      <c r="E136" s="939"/>
      <c r="F136" s="939"/>
      <c r="G136" s="939"/>
      <c r="H136" s="939"/>
      <c r="I136" s="939"/>
      <c r="J136" s="939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902" t="s">
        <v>185</v>
      </c>
      <c r="B138" s="902"/>
      <c r="C138" s="902"/>
      <c r="D138" s="151" t="s">
        <v>183</v>
      </c>
      <c r="E138" s="147">
        <v>874001</v>
      </c>
      <c r="F138" s="147">
        <v>874001</v>
      </c>
      <c r="G138" s="112">
        <f t="shared" ref="G138:G152" si="11">F138-E138</f>
        <v>0</v>
      </c>
      <c r="H138" s="99">
        <f>G138+'30'!H138</f>
        <v>4783</v>
      </c>
      <c r="I138" s="95"/>
      <c r="J138" s="328">
        <f>H138/DAY(B2)</f>
        <v>4783</v>
      </c>
    </row>
    <row r="139" spans="1:15" ht="25.5">
      <c r="A139" s="902" t="s">
        <v>186</v>
      </c>
      <c r="B139" s="902"/>
      <c r="C139" s="902"/>
      <c r="D139" s="151" t="s">
        <v>183</v>
      </c>
      <c r="E139" s="148">
        <v>890318</v>
      </c>
      <c r="F139" s="148">
        <v>890318</v>
      </c>
      <c r="G139" s="112">
        <f t="shared" si="11"/>
        <v>0</v>
      </c>
      <c r="H139" s="99">
        <f>G139+'30'!H139</f>
        <v>4548</v>
      </c>
      <c r="I139" s="95"/>
      <c r="J139" s="328">
        <f>H139/DAY(B2)</f>
        <v>4548</v>
      </c>
    </row>
    <row r="140" spans="1:15" ht="25.5">
      <c r="A140" s="902" t="s">
        <v>187</v>
      </c>
      <c r="B140" s="902"/>
      <c r="C140" s="902"/>
      <c r="D140" s="151" t="s">
        <v>183</v>
      </c>
      <c r="E140" s="149">
        <v>88990</v>
      </c>
      <c r="F140" s="149">
        <v>88990</v>
      </c>
      <c r="G140" s="112">
        <f t="shared" si="11"/>
        <v>0</v>
      </c>
      <c r="H140" s="99">
        <f>G140+'30'!H140</f>
        <v>76</v>
      </c>
      <c r="I140" s="95"/>
      <c r="J140" s="328">
        <f>H140/DAY(B2)</f>
        <v>76</v>
      </c>
    </row>
    <row r="141" spans="1:15" ht="25.5">
      <c r="A141" s="906" t="s">
        <v>188</v>
      </c>
      <c r="B141" s="906"/>
      <c r="C141" s="906"/>
      <c r="D141" s="151" t="s">
        <v>183</v>
      </c>
      <c r="E141" s="149">
        <v>65783.53</v>
      </c>
      <c r="F141" s="149">
        <v>65783.53</v>
      </c>
      <c r="G141" s="112">
        <f t="shared" si="11"/>
        <v>0</v>
      </c>
      <c r="H141" s="99">
        <f>G141+'30'!H141</f>
        <v>5990.4700000000012</v>
      </c>
      <c r="I141" s="95"/>
      <c r="J141" s="328">
        <f>H141/DAY(B2)</f>
        <v>5990.4700000000012</v>
      </c>
    </row>
    <row r="142" spans="1:15" ht="25.5">
      <c r="A142" s="906" t="s">
        <v>189</v>
      </c>
      <c r="B142" s="906"/>
      <c r="C142" s="906"/>
      <c r="D142" s="151" t="s">
        <v>183</v>
      </c>
      <c r="E142" s="148">
        <v>25496.400000000001</v>
      </c>
      <c r="F142" s="148">
        <v>25496.400000000001</v>
      </c>
      <c r="G142" s="112">
        <f t="shared" si="11"/>
        <v>0</v>
      </c>
      <c r="H142" s="99">
        <f>G142+'30'!H142</f>
        <v>1969.5999999999985</v>
      </c>
      <c r="I142" s="530"/>
      <c r="J142" s="328">
        <f>H142/DAY(B2)</f>
        <v>1969.5999999999985</v>
      </c>
    </row>
    <row r="143" spans="1:15" ht="25.5">
      <c r="A143" s="902" t="s">
        <v>91</v>
      </c>
      <c r="B143" s="902"/>
      <c r="C143" s="902"/>
      <c r="D143" s="151" t="s">
        <v>183</v>
      </c>
      <c r="E143" s="149">
        <v>5560.71</v>
      </c>
      <c r="F143" s="149">
        <v>5560.71</v>
      </c>
      <c r="G143" s="112">
        <f t="shared" si="11"/>
        <v>0</v>
      </c>
      <c r="H143" s="99">
        <f>G143+'30'!H143</f>
        <v>856.29</v>
      </c>
      <c r="I143" s="530"/>
      <c r="J143" s="328">
        <f>H143/DAY(B2)</f>
        <v>856.29</v>
      </c>
    </row>
    <row r="144" spans="1:15" ht="25.5">
      <c r="A144" s="906" t="s">
        <v>90</v>
      </c>
      <c r="B144" s="906"/>
      <c r="C144" s="906"/>
      <c r="D144" s="151" t="s">
        <v>183</v>
      </c>
      <c r="E144" s="149">
        <v>889834</v>
      </c>
      <c r="F144" s="149">
        <v>889834</v>
      </c>
      <c r="G144" s="112">
        <f t="shared" si="11"/>
        <v>0</v>
      </c>
      <c r="H144" s="99">
        <f>G144+'30'!H144</f>
        <v>7399</v>
      </c>
      <c r="I144" s="530"/>
      <c r="J144" s="328">
        <f>H144/DAY(B2)</f>
        <v>7399</v>
      </c>
    </row>
    <row r="145" spans="1:11" ht="25.5">
      <c r="A145" s="902" t="s">
        <v>190</v>
      </c>
      <c r="B145" s="902"/>
      <c r="C145" s="902"/>
      <c r="D145" s="152" t="s">
        <v>183</v>
      </c>
      <c r="E145" s="149">
        <v>5556.4</v>
      </c>
      <c r="F145" s="149">
        <v>5556.4</v>
      </c>
      <c r="G145" s="112">
        <f t="shared" si="11"/>
        <v>0</v>
      </c>
      <c r="H145" s="99">
        <f>G145+'30'!H145</f>
        <v>71.600000000000364</v>
      </c>
      <c r="I145" s="530"/>
      <c r="J145" s="328">
        <f>H145/DAY(B2)</f>
        <v>71.600000000000364</v>
      </c>
    </row>
    <row r="146" spans="1:11" ht="25.5">
      <c r="A146" s="903" t="s">
        <v>191</v>
      </c>
      <c r="B146" s="904"/>
      <c r="C146" s="905"/>
      <c r="D146" s="152" t="s">
        <v>183</v>
      </c>
      <c r="E146" s="148">
        <v>764326</v>
      </c>
      <c r="F146" s="148">
        <v>764326</v>
      </c>
      <c r="G146" s="112">
        <f t="shared" si="11"/>
        <v>0</v>
      </c>
      <c r="H146" s="99">
        <f>G146+'30'!H146</f>
        <v>12128</v>
      </c>
      <c r="I146" s="530"/>
      <c r="J146" s="328">
        <f>H146/DAY(B2)</f>
        <v>12128</v>
      </c>
    </row>
    <row r="147" spans="1:11" ht="25.5">
      <c r="A147" s="906" t="s">
        <v>192</v>
      </c>
      <c r="B147" s="906"/>
      <c r="C147" s="906"/>
      <c r="D147" s="152" t="s">
        <v>183</v>
      </c>
      <c r="E147" s="148">
        <v>650184</v>
      </c>
      <c r="F147" s="148">
        <v>650184</v>
      </c>
      <c r="G147" s="112">
        <f t="shared" si="11"/>
        <v>0</v>
      </c>
      <c r="H147" s="99">
        <f>G147+'30'!H147</f>
        <v>13044</v>
      </c>
      <c r="I147" s="530"/>
      <c r="J147" s="328">
        <f>H147/DAY(B2)</f>
        <v>13044</v>
      </c>
    </row>
    <row r="148" spans="1:11" ht="25.5">
      <c r="A148" s="898" t="s">
        <v>193</v>
      </c>
      <c r="B148" s="899"/>
      <c r="C148" s="900"/>
      <c r="D148" s="123" t="s">
        <v>130</v>
      </c>
      <c r="E148" s="150">
        <v>708864.68</v>
      </c>
      <c r="F148" s="150">
        <v>708864.68</v>
      </c>
      <c r="G148" s="112">
        <f t="shared" si="11"/>
        <v>0</v>
      </c>
      <c r="H148" s="99">
        <f>G148+'30'!H148</f>
        <v>11051.319999999949</v>
      </c>
      <c r="I148" s="124"/>
      <c r="J148" s="328">
        <f>H148/DAY(B2)</f>
        <v>11051.319999999949</v>
      </c>
    </row>
    <row r="149" spans="1:11" ht="25.5">
      <c r="A149" s="898" t="s">
        <v>336</v>
      </c>
      <c r="B149" s="899"/>
      <c r="C149" s="900"/>
      <c r="D149" s="227" t="s">
        <v>130</v>
      </c>
      <c r="E149" s="146">
        <v>63223.8</v>
      </c>
      <c r="F149" s="146">
        <v>63223.8</v>
      </c>
      <c r="G149" s="112">
        <f t="shared" si="11"/>
        <v>0</v>
      </c>
      <c r="H149" s="99">
        <f>G149+'30'!H149</f>
        <v>20164.199999999997</v>
      </c>
      <c r="I149" s="119"/>
      <c r="J149" s="328">
        <f>H149/DAY(B2)</f>
        <v>20164.199999999997</v>
      </c>
    </row>
    <row r="150" spans="1:11" ht="25.5">
      <c r="A150" s="898" t="s">
        <v>337</v>
      </c>
      <c r="B150" s="899"/>
      <c r="C150" s="900"/>
      <c r="D150" s="117" t="s">
        <v>130</v>
      </c>
      <c r="E150" s="233">
        <v>23955.79</v>
      </c>
      <c r="F150" s="233">
        <v>23955.79</v>
      </c>
      <c r="G150" s="112">
        <f t="shared" si="11"/>
        <v>0</v>
      </c>
      <c r="H150" s="99">
        <f>G150+'30'!H150</f>
        <v>6631.2099999999991</v>
      </c>
      <c r="I150" s="119"/>
      <c r="J150" s="328">
        <f>H150/DAY(B2)</f>
        <v>6631.2099999999991</v>
      </c>
    </row>
    <row r="151" spans="1:11" ht="25.5">
      <c r="A151" s="898" t="s">
        <v>338</v>
      </c>
      <c r="B151" s="899"/>
      <c r="C151" s="900"/>
      <c r="D151" s="117" t="s">
        <v>130</v>
      </c>
      <c r="E151" s="233">
        <v>100611</v>
      </c>
      <c r="F151" s="233">
        <v>100611</v>
      </c>
      <c r="G151" s="112">
        <f t="shared" si="11"/>
        <v>0</v>
      </c>
      <c r="H151" s="99">
        <f>G151+'30'!H151</f>
        <v>8617</v>
      </c>
      <c r="I151" s="119"/>
      <c r="J151" s="328">
        <f>H151/DAY(B2)</f>
        <v>8617</v>
      </c>
    </row>
    <row r="152" spans="1:11" ht="25.5">
      <c r="A152" s="898" t="s">
        <v>339</v>
      </c>
      <c r="B152" s="899"/>
      <c r="C152" s="900"/>
      <c r="D152" s="117" t="s">
        <v>130</v>
      </c>
      <c r="E152" s="233">
        <v>8069.06</v>
      </c>
      <c r="F152" s="233">
        <v>8069.06</v>
      </c>
      <c r="G152" s="112">
        <f t="shared" si="11"/>
        <v>0</v>
      </c>
      <c r="H152" s="99">
        <f>G152+'30'!H152</f>
        <v>3086.9399999999996</v>
      </c>
      <c r="I152" s="119"/>
      <c r="J152" s="328">
        <f>H152/DAY(B2)</f>
        <v>3086.9399999999996</v>
      </c>
    </row>
    <row r="153" spans="1:11" ht="25.5">
      <c r="A153" s="935" t="s">
        <v>196</v>
      </c>
      <c r="B153" s="1000"/>
      <c r="C153" s="936"/>
      <c r="D153" s="358"/>
      <c r="E153" s="361"/>
      <c r="F153" s="361"/>
      <c r="G153" s="362">
        <f>SUM(G138:G152)</f>
        <v>0</v>
      </c>
      <c r="H153" s="363"/>
      <c r="I153" s="119">
        <f>G153-(G38+G52)</f>
        <v>0</v>
      </c>
      <c r="J153" s="366"/>
    </row>
    <row r="154" spans="1:11" ht="27.75">
      <c r="A154" s="939" t="s">
        <v>344</v>
      </c>
      <c r="B154" s="939"/>
      <c r="C154" s="939"/>
      <c r="D154" s="939"/>
      <c r="E154" s="939"/>
      <c r="F154" s="939"/>
      <c r="G154" s="939"/>
      <c r="H154" s="939"/>
      <c r="I154" s="939"/>
      <c r="J154" s="939"/>
    </row>
    <row r="155" spans="1:11" ht="27.75">
      <c r="A155" s="906" t="s">
        <v>345</v>
      </c>
      <c r="B155" s="906"/>
      <c r="C155" s="906"/>
      <c r="D155" s="117" t="s">
        <v>130</v>
      </c>
      <c r="E155" s="389">
        <v>72770.5</v>
      </c>
      <c r="F155" s="389">
        <v>72770.5</v>
      </c>
      <c r="G155" s="112">
        <f t="shared" ref="G155:G158" si="12">F155-E155</f>
        <v>0</v>
      </c>
      <c r="H155" s="99">
        <f>G155+'30'!H155</f>
        <v>19961.5</v>
      </c>
      <c r="I155" s="364"/>
      <c r="J155" s="328">
        <f>H155/DAY(B2)</f>
        <v>19961.5</v>
      </c>
    </row>
    <row r="156" spans="1:11" ht="25.5">
      <c r="A156" s="906" t="s">
        <v>347</v>
      </c>
      <c r="B156" s="906"/>
      <c r="C156" s="906"/>
      <c r="D156" s="117" t="s">
        <v>130</v>
      </c>
      <c r="E156" s="155">
        <v>6057.25</v>
      </c>
      <c r="F156" s="155">
        <v>6057.25</v>
      </c>
      <c r="G156" s="112">
        <f t="shared" si="12"/>
        <v>0</v>
      </c>
      <c r="H156" s="99">
        <f>G156+'30'!H156</f>
        <v>1633.75</v>
      </c>
      <c r="I156" s="155"/>
      <c r="J156" s="328">
        <f>H156/DAY(B2)</f>
        <v>1633.75</v>
      </c>
    </row>
    <row r="157" spans="1:11" ht="25.5">
      <c r="A157" s="898" t="s">
        <v>361</v>
      </c>
      <c r="B157" s="899"/>
      <c r="C157" s="900"/>
      <c r="D157" s="117" t="s">
        <v>130</v>
      </c>
      <c r="E157" s="95">
        <v>10238.81</v>
      </c>
      <c r="F157" s="95">
        <v>10238.81</v>
      </c>
      <c r="G157" s="112">
        <f t="shared" si="12"/>
        <v>0</v>
      </c>
      <c r="H157" s="99">
        <f>G157+'30'!H157</f>
        <v>213</v>
      </c>
      <c r="I157" s="99"/>
      <c r="J157" s="155"/>
      <c r="K157" s="328"/>
    </row>
    <row r="158" spans="1:11" ht="25.5">
      <c r="A158" s="898" t="s">
        <v>362</v>
      </c>
      <c r="B158" s="899"/>
      <c r="C158" s="900"/>
      <c r="D158" s="117" t="s">
        <v>130</v>
      </c>
      <c r="E158" s="155">
        <v>94</v>
      </c>
      <c r="F158" s="155">
        <v>94</v>
      </c>
      <c r="G158" s="112">
        <f t="shared" si="12"/>
        <v>0</v>
      </c>
      <c r="H158" s="99">
        <f>G158+'30'!H158</f>
        <v>9</v>
      </c>
      <c r="I158" s="155"/>
      <c r="J158" s="328"/>
    </row>
    <row r="159" spans="1:11" ht="25.5">
      <c r="A159" s="957"/>
      <c r="B159" s="958"/>
      <c r="C159" s="959"/>
      <c r="D159" s="117"/>
      <c r="E159" s="155"/>
      <c r="F159" s="155"/>
      <c r="G159" s="112"/>
      <c r="H159" s="99"/>
      <c r="I159" s="155"/>
      <c r="J159" s="328"/>
    </row>
    <row r="160" spans="1:11" ht="27.75">
      <c r="A160" s="939" t="s">
        <v>326</v>
      </c>
      <c r="B160" s="939"/>
      <c r="C160" s="939"/>
      <c r="D160" s="939"/>
      <c r="E160" s="939"/>
      <c r="F160" s="939"/>
      <c r="G160" s="939"/>
      <c r="H160" s="939"/>
      <c r="I160" s="939"/>
      <c r="J160" s="939"/>
    </row>
    <row r="161" spans="1:10" ht="26.25">
      <c r="A161" s="242" t="s">
        <v>92</v>
      </c>
      <c r="B161" s="243"/>
      <c r="C161" s="243"/>
      <c r="D161" s="244" t="s">
        <v>180</v>
      </c>
      <c r="E161" s="235">
        <v>473840.73</v>
      </c>
      <c r="F161" s="235">
        <v>473840.73</v>
      </c>
      <c r="G161" s="238">
        <f t="shared" ref="G161:G165" si="13">F161-E161</f>
        <v>0</v>
      </c>
      <c r="H161" s="99">
        <f>G161+'30'!H161</f>
        <v>942.27000000001863</v>
      </c>
      <c r="I161" s="236"/>
      <c r="J161" s="239">
        <f>H161/DAY(B2)</f>
        <v>942.27000000001863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90452.9</v>
      </c>
      <c r="F162" s="235">
        <v>90452.9</v>
      </c>
      <c r="G162" s="238">
        <f t="shared" si="13"/>
        <v>0</v>
      </c>
      <c r="H162" s="99">
        <f>G162+'30'!H162</f>
        <v>1094.1000000000058</v>
      </c>
      <c r="I162" s="236"/>
      <c r="J162" s="239">
        <f>H162/DAY(B2)</f>
        <v>1094.1000000000058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87078.8</v>
      </c>
      <c r="F163" s="235">
        <v>87078.8</v>
      </c>
      <c r="G163" s="238">
        <f t="shared" si="13"/>
        <v>0</v>
      </c>
      <c r="H163" s="99">
        <f>G163+'30'!H163</f>
        <v>4957.1999999999971</v>
      </c>
      <c r="I163" s="236"/>
      <c r="J163" s="239">
        <f>H163/DAY(B2)</f>
        <v>4957.1999999999971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4812.3999999999996</v>
      </c>
      <c r="F164" s="235">
        <v>4812.3999999999996</v>
      </c>
      <c r="G164" s="238">
        <f t="shared" si="13"/>
        <v>0</v>
      </c>
      <c r="H164" s="99">
        <f>G164+'30'!H164</f>
        <v>369.60000000000036</v>
      </c>
      <c r="I164" s="236"/>
      <c r="J164" s="239">
        <f>H164/DAY(B2)</f>
        <v>369.60000000000036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30355.51</v>
      </c>
      <c r="F165" s="235">
        <v>30355.51</v>
      </c>
      <c r="G165" s="238">
        <f t="shared" si="13"/>
        <v>0</v>
      </c>
      <c r="H165" s="99">
        <f>G165+'30'!H165</f>
        <v>278.4900000000016</v>
      </c>
      <c r="I165" s="236"/>
      <c r="J165" s="239">
        <f>H165/DAY(B2)</f>
        <v>278.4900000000016</v>
      </c>
    </row>
    <row r="166" spans="1:10" ht="26.25">
      <c r="A166" s="938"/>
      <c r="B166" s="938"/>
      <c r="C166" s="246"/>
      <c r="D166" s="244" t="s">
        <v>180</v>
      </c>
      <c r="E166" s="15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8"/>
      <c r="B167" s="938"/>
      <c r="C167" s="246"/>
      <c r="D167" s="244" t="s">
        <v>180</v>
      </c>
      <c r="E167" s="15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8"/>
      <c r="B168" s="938"/>
      <c r="C168" s="246"/>
      <c r="D168" s="244" t="s">
        <v>180</v>
      </c>
      <c r="E168" s="15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8" t="s">
        <v>330</v>
      </c>
      <c r="B171" s="949"/>
      <c r="C171" s="949"/>
      <c r="D171" s="949"/>
      <c r="E171" s="949"/>
      <c r="F171" s="949"/>
      <c r="G171" s="949"/>
      <c r="H171" s="949"/>
      <c r="I171" s="949"/>
      <c r="J171" s="950"/>
    </row>
    <row r="172" spans="1:10" ht="25.5">
      <c r="A172" s="944"/>
      <c r="B172" s="94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6" t="s">
        <v>209</v>
      </c>
      <c r="B173" s="897"/>
      <c r="C173" s="333"/>
      <c r="D173" s="228" t="s">
        <v>142</v>
      </c>
      <c r="E173" s="426">
        <v>8264</v>
      </c>
      <c r="F173" s="426">
        <v>8264</v>
      </c>
      <c r="G173" s="155">
        <f>F173-E173</f>
        <v>0</v>
      </c>
      <c r="H173" s="99">
        <f>G173+'30'!H173</f>
        <v>119</v>
      </c>
      <c r="I173" s="155"/>
      <c r="J173" s="178">
        <f>H173/DAY(B2)</f>
        <v>119</v>
      </c>
    </row>
    <row r="174" spans="1:10" ht="25.5">
      <c r="A174" s="896" t="s">
        <v>75</v>
      </c>
      <c r="B174" s="897"/>
      <c r="C174" s="333"/>
      <c r="D174" s="228" t="s">
        <v>142</v>
      </c>
      <c r="E174" s="157">
        <v>39462</v>
      </c>
      <c r="F174" s="157">
        <v>39462</v>
      </c>
      <c r="G174" s="155">
        <f t="shared" ref="G174:G175" si="14">F174-E174</f>
        <v>0</v>
      </c>
      <c r="H174" s="99">
        <f>G174+'30'!H174</f>
        <v>466</v>
      </c>
      <c r="I174" s="155"/>
      <c r="J174" s="178">
        <f>H174/DAY(B2)</f>
        <v>466</v>
      </c>
    </row>
    <row r="175" spans="1:10" ht="25.5">
      <c r="A175" s="896" t="s">
        <v>76</v>
      </c>
      <c r="B175" s="901"/>
      <c r="C175" s="897"/>
      <c r="D175" s="228" t="s">
        <v>142</v>
      </c>
      <c r="E175" s="155">
        <v>22522</v>
      </c>
      <c r="F175" s="155">
        <v>22522</v>
      </c>
      <c r="G175" s="155">
        <f t="shared" si="14"/>
        <v>0</v>
      </c>
      <c r="H175" s="99">
        <f>G175+'30'!H175</f>
        <v>367</v>
      </c>
      <c r="I175" s="155"/>
      <c r="J175" s="178">
        <f>H175/DAY(B2)</f>
        <v>367</v>
      </c>
    </row>
    <row r="176" spans="1:10" ht="25.5">
      <c r="A176" s="935" t="s">
        <v>196</v>
      </c>
      <c r="B176" s="1000"/>
      <c r="C176" s="936"/>
      <c r="D176" s="228" t="s">
        <v>142</v>
      </c>
      <c r="E176" s="155"/>
      <c r="F176" s="155"/>
      <c r="G176" s="155">
        <f>SUM(G173:G175)</f>
        <v>0</v>
      </c>
      <c r="H176" s="99">
        <f>G176+'30'!H176</f>
        <v>952</v>
      </c>
      <c r="I176" s="155"/>
      <c r="J176" s="178">
        <f>H176/DAY(B2)</f>
        <v>952</v>
      </c>
    </row>
    <row r="177" spans="1:10" ht="25.5">
      <c r="A177" s="896" t="s">
        <v>77</v>
      </c>
      <c r="B177" s="897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6" t="s">
        <v>210</v>
      </c>
      <c r="B178" s="897"/>
      <c r="C178" s="333"/>
      <c r="D178" s="228" t="s">
        <v>142</v>
      </c>
      <c r="E178" s="155">
        <v>85616</v>
      </c>
      <c r="F178" s="155">
        <v>85616</v>
      </c>
      <c r="G178" s="155">
        <f>F178-E178</f>
        <v>0</v>
      </c>
      <c r="H178" s="99">
        <f>G178+'30'!H178</f>
        <v>2987</v>
      </c>
      <c r="I178" s="155"/>
      <c r="J178" s="178">
        <f>H178/DAY(B2)</f>
        <v>2987</v>
      </c>
    </row>
    <row r="179" spans="1:10" ht="25.5">
      <c r="A179" s="896" t="s">
        <v>211</v>
      </c>
      <c r="B179" s="897"/>
      <c r="C179" s="333"/>
      <c r="D179" s="228" t="s">
        <v>142</v>
      </c>
      <c r="E179" s="157">
        <v>35614</v>
      </c>
      <c r="F179" s="157">
        <v>35614</v>
      </c>
      <c r="G179" s="155">
        <f t="shared" ref="G179:G180" si="15">F179-E179</f>
        <v>0</v>
      </c>
      <c r="H179" s="99">
        <f>G179+'30'!H179</f>
        <v>159</v>
      </c>
      <c r="I179" s="155"/>
      <c r="J179" s="178">
        <f>H179/DAY(B2)</f>
        <v>159</v>
      </c>
    </row>
    <row r="180" spans="1:10" ht="25.5">
      <c r="A180" s="896" t="s">
        <v>212</v>
      </c>
      <c r="B180" s="897"/>
      <c r="C180" s="333"/>
      <c r="D180" s="228" t="s">
        <v>142</v>
      </c>
      <c r="E180" s="157">
        <v>6133</v>
      </c>
      <c r="F180" s="157">
        <v>6133</v>
      </c>
      <c r="G180" s="155">
        <f t="shared" si="15"/>
        <v>0</v>
      </c>
      <c r="H180" s="99">
        <f>G180+'30'!H180</f>
        <v>256</v>
      </c>
      <c r="I180" s="155"/>
      <c r="J180" s="178">
        <f>H180/DAY(B2)</f>
        <v>256</v>
      </c>
    </row>
    <row r="181" spans="1:10" ht="25.5">
      <c r="A181" s="942" t="s">
        <v>108</v>
      </c>
      <c r="B181" s="943"/>
      <c r="C181" s="401"/>
      <c r="D181" s="228" t="s">
        <v>142</v>
      </c>
      <c r="E181" s="157"/>
      <c r="F181" s="157"/>
      <c r="G181" s="155">
        <f>SUM(G178:G180)</f>
        <v>0</v>
      </c>
      <c r="H181" s="99">
        <f>G181+'30'!H181</f>
        <v>3402</v>
      </c>
      <c r="I181" s="155"/>
      <c r="J181" s="178">
        <f>H181/DAY(B2)</f>
        <v>3402</v>
      </c>
    </row>
    <row r="182" spans="1:10" ht="25.5">
      <c r="A182" s="896" t="s">
        <v>213</v>
      </c>
      <c r="B182" s="897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6" t="s">
        <v>214</v>
      </c>
      <c r="B183" s="897"/>
      <c r="C183" s="334"/>
      <c r="D183" s="228" t="s">
        <v>142</v>
      </c>
      <c r="E183" s="157">
        <v>16142</v>
      </c>
      <c r="F183" s="157">
        <v>16142</v>
      </c>
      <c r="G183" s="157">
        <f>F183-E183</f>
        <v>0</v>
      </c>
      <c r="H183" s="99">
        <f>G183+'30'!H183</f>
        <v>480</v>
      </c>
      <c r="I183" s="155"/>
      <c r="J183" s="178">
        <f>H183/DAY(B2)</f>
        <v>480</v>
      </c>
    </row>
    <row r="184" spans="1:10" ht="25.5">
      <c r="A184" s="896" t="s">
        <v>215</v>
      </c>
      <c r="B184" s="897"/>
      <c r="C184" s="334"/>
      <c r="D184" s="228" t="s">
        <v>142</v>
      </c>
      <c r="E184" s="157">
        <v>11049</v>
      </c>
      <c r="F184" s="157">
        <v>11049</v>
      </c>
      <c r="G184" s="157">
        <f t="shared" ref="G184:G185" si="16">F184-E184</f>
        <v>0</v>
      </c>
      <c r="H184" s="99">
        <f>G184+'30'!H184</f>
        <v>225</v>
      </c>
      <c r="I184" s="155"/>
      <c r="J184" s="178">
        <f>H184/DAY(B2)</f>
        <v>225</v>
      </c>
    </row>
    <row r="185" spans="1:10" ht="25.5">
      <c r="A185" s="896" t="s">
        <v>216</v>
      </c>
      <c r="B185" s="897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5" t="s">
        <v>196</v>
      </c>
      <c r="B186" s="936"/>
      <c r="C186" s="400"/>
      <c r="D186" s="228" t="s">
        <v>142</v>
      </c>
      <c r="E186" s="157"/>
      <c r="F186" s="157"/>
      <c r="G186" s="157">
        <f>SUM(G183:G185)</f>
        <v>0</v>
      </c>
      <c r="H186" s="99">
        <f>G186+'30'!H186</f>
        <v>705</v>
      </c>
      <c r="I186" s="157"/>
      <c r="J186" s="178">
        <f>H186/DAY(B2)</f>
        <v>705</v>
      </c>
    </row>
    <row r="187" spans="1:10" ht="25.5">
      <c r="A187" s="946" t="s">
        <v>217</v>
      </c>
      <c r="B187" s="947"/>
      <c r="C187" s="333"/>
      <c r="D187" s="230" t="s">
        <v>142</v>
      </c>
      <c r="E187" s="159"/>
      <c r="F187" s="159"/>
      <c r="G187" s="378">
        <f>G62+G19</f>
        <v>0</v>
      </c>
      <c r="H187" s="99">
        <f>G187+'30'!H187</f>
        <v>6848</v>
      </c>
      <c r="I187" s="157"/>
      <c r="J187" s="179">
        <f>H187/DAY(B2)</f>
        <v>6848</v>
      </c>
    </row>
    <row r="188" spans="1:10" ht="25.5">
      <c r="A188" s="946" t="s">
        <v>218</v>
      </c>
      <c r="B188" s="947"/>
      <c r="C188" s="333"/>
      <c r="D188" s="230" t="s">
        <v>142</v>
      </c>
      <c r="E188" s="159"/>
      <c r="F188" s="159"/>
      <c r="G188" s="378">
        <f>G65+G66+G67+G69+G70</f>
        <v>0</v>
      </c>
      <c r="H188" s="99">
        <f>G188+'30'!H188</f>
        <v>3748</v>
      </c>
      <c r="I188" s="157"/>
      <c r="J188" s="179">
        <f>H188/DAY(B2)</f>
        <v>3748</v>
      </c>
    </row>
    <row r="189" spans="1:10" ht="25.5">
      <c r="A189" s="946" t="s">
        <v>219</v>
      </c>
      <c r="B189" s="947"/>
      <c r="C189" s="333"/>
      <c r="D189" s="230" t="s">
        <v>142</v>
      </c>
      <c r="E189" s="157"/>
      <c r="F189" s="157"/>
      <c r="G189" s="529">
        <f>G181</f>
        <v>0</v>
      </c>
      <c r="H189" s="99">
        <f>G189+'30'!H189</f>
        <v>1381</v>
      </c>
      <c r="I189" s="157"/>
      <c r="J189" s="179">
        <f>H189/DAY(B2)</f>
        <v>1381</v>
      </c>
    </row>
    <row r="190" spans="1:10" ht="25.5">
      <c r="A190" s="940"/>
      <c r="B190" s="941"/>
      <c r="C190" s="399"/>
      <c r="D190" s="396"/>
      <c r="E190" s="415"/>
      <c r="F190" s="415"/>
      <c r="G190" s="415"/>
      <c r="H190" s="397"/>
      <c r="I190" s="415"/>
      <c r="J190" s="536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4"/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6" t="s">
        <v>6</v>
      </c>
      <c r="F2" s="766"/>
      <c r="G2" s="766"/>
      <c r="H2" s="772" t="s">
        <v>14</v>
      </c>
      <c r="I2" s="772"/>
      <c r="J2" s="772"/>
      <c r="K2" s="264" t="s">
        <v>15</v>
      </c>
      <c r="L2" s="772" t="s">
        <v>16</v>
      </c>
      <c r="M2" s="772"/>
      <c r="N2" s="772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85459</v>
      </c>
      <c r="E4" s="19">
        <f>'1'!G97</f>
        <v>0.2218684570709876</v>
      </c>
      <c r="F4" s="19">
        <f>'1'!F142</f>
        <v>25574</v>
      </c>
      <c r="G4" s="21">
        <f>E4*F4</f>
        <v>5674.0639211334365</v>
      </c>
      <c r="H4" s="19">
        <f>'1'!G68</f>
        <v>65</v>
      </c>
      <c r="I4" s="19">
        <f>'1'!G69</f>
        <v>8</v>
      </c>
      <c r="J4" s="19">
        <f>'1'!G70</f>
        <v>7</v>
      </c>
      <c r="K4" s="23">
        <f>H4+I4</f>
        <v>73</v>
      </c>
      <c r="L4" s="19">
        <f>'1'!G71</f>
        <v>314</v>
      </c>
      <c r="M4" s="19">
        <f>'1'!G72</f>
        <v>0</v>
      </c>
      <c r="N4" s="19">
        <v>0</v>
      </c>
      <c r="O4" s="23">
        <f>L4+M4+N4</f>
        <v>314</v>
      </c>
    </row>
    <row r="5" spans="1:15">
      <c r="A5" s="16">
        <v>2</v>
      </c>
      <c r="B5" s="26">
        <v>2</v>
      </c>
      <c r="C5" s="26"/>
      <c r="D5" s="19">
        <f>'2'!F8</f>
        <v>112791</v>
      </c>
      <c r="E5" s="19">
        <f>'2'!G96</f>
        <v>7149</v>
      </c>
      <c r="F5" s="19">
        <f>'2'!F123</f>
        <v>169955</v>
      </c>
      <c r="G5" s="21">
        <f t="shared" ref="G5:G18" si="0">E5*F5</f>
        <v>1215008295</v>
      </c>
      <c r="H5" s="19">
        <f>'2'!G68</f>
        <v>79</v>
      </c>
      <c r="I5" s="19">
        <f>'2'!G69</f>
        <v>26</v>
      </c>
      <c r="J5" s="19">
        <f>'2'!G70</f>
        <v>8</v>
      </c>
      <c r="K5" s="23">
        <f t="shared" ref="K5:K18" si="1">H5+I5</f>
        <v>105</v>
      </c>
      <c r="L5" s="19">
        <f>'2'!G71</f>
        <v>311</v>
      </c>
      <c r="M5" s="19">
        <f>'2'!G72</f>
        <v>0</v>
      </c>
      <c r="N5" s="19">
        <v>0</v>
      </c>
      <c r="O5" s="23">
        <f t="shared" ref="O5:O18" si="2">L5+M5+N5</f>
        <v>311</v>
      </c>
    </row>
    <row r="6" spans="1:15">
      <c r="A6" s="16">
        <v>3</v>
      </c>
      <c r="B6" s="26">
        <v>3</v>
      </c>
      <c r="C6" s="26"/>
      <c r="D6" s="19">
        <f>'4'!F8</f>
        <v>166689</v>
      </c>
      <c r="E6" s="19">
        <f>'3'!G96</f>
        <v>7071</v>
      </c>
      <c r="F6" s="19">
        <f>'3'!F123</f>
        <v>170214</v>
      </c>
      <c r="G6" s="21">
        <f t="shared" si="0"/>
        <v>1203583194</v>
      </c>
      <c r="H6" s="19">
        <f>'4'!G68</f>
        <v>46</v>
      </c>
      <c r="I6" s="19">
        <f>'4'!G69</f>
        <v>6</v>
      </c>
      <c r="J6" s="19">
        <f>'4'!G70</f>
        <v>6</v>
      </c>
      <c r="K6" s="23">
        <f t="shared" si="1"/>
        <v>52</v>
      </c>
      <c r="L6" s="19">
        <f>'4'!G71</f>
        <v>241</v>
      </c>
      <c r="M6" s="19">
        <f>'4'!G72</f>
        <v>0</v>
      </c>
      <c r="N6" s="19">
        <v>0</v>
      </c>
      <c r="O6" s="23">
        <f t="shared" si="2"/>
        <v>241</v>
      </c>
    </row>
    <row r="7" spans="1:15">
      <c r="A7" s="16">
        <v>4</v>
      </c>
      <c r="B7" s="27">
        <v>4</v>
      </c>
      <c r="C7" s="27"/>
      <c r="D7" s="19">
        <f>'3'!F8</f>
        <v>139759</v>
      </c>
      <c r="E7" s="19">
        <f>'4'!G96</f>
        <v>7153</v>
      </c>
      <c r="F7" s="19">
        <f>'1'!F142</f>
        <v>25574</v>
      </c>
      <c r="G7" s="21">
        <f t="shared" si="0"/>
        <v>182930822</v>
      </c>
      <c r="H7" s="19">
        <f>'3'!G68</f>
        <v>84</v>
      </c>
      <c r="I7" s="19">
        <f>'3'!G69</f>
        <v>27</v>
      </c>
      <c r="J7" s="19">
        <f>'3'!G70</f>
        <v>8</v>
      </c>
      <c r="K7" s="23">
        <f t="shared" si="1"/>
        <v>111</v>
      </c>
      <c r="L7" s="19">
        <f>'3'!G71</f>
        <v>321</v>
      </c>
      <c r="M7" s="19">
        <f>'3'!G72</f>
        <v>0</v>
      </c>
      <c r="N7" s="19">
        <v>0</v>
      </c>
      <c r="O7" s="23">
        <f t="shared" si="2"/>
        <v>321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25574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222311.07</v>
      </c>
      <c r="E9" s="19">
        <f>'6'!G96</f>
        <v>7849.890000000014</v>
      </c>
      <c r="F9" s="19">
        <f>'1'!F142</f>
        <v>25574</v>
      </c>
      <c r="G9" s="21">
        <f t="shared" si="0"/>
        <v>200753086.86000037</v>
      </c>
      <c r="H9" s="19">
        <f>'6'!G68</f>
        <v>49</v>
      </c>
      <c r="I9" s="19">
        <f>'6'!G69</f>
        <v>11</v>
      </c>
      <c r="J9" s="19">
        <f>'6'!G70</f>
        <v>7</v>
      </c>
      <c r="K9" s="23">
        <f t="shared" si="1"/>
        <v>60</v>
      </c>
      <c r="L9" s="19">
        <f>'6'!G71</f>
        <v>270</v>
      </c>
      <c r="M9" s="19">
        <f>'6'!G72</f>
        <v>0</v>
      </c>
      <c r="N9" s="19">
        <v>0</v>
      </c>
      <c r="O9" s="23">
        <f t="shared" si="2"/>
        <v>270</v>
      </c>
    </row>
    <row r="10" spans="1:15">
      <c r="A10" s="16">
        <v>7</v>
      </c>
      <c r="B10" s="26">
        <v>7</v>
      </c>
      <c r="C10" s="27"/>
      <c r="D10" s="19">
        <f>'7'!F8</f>
        <v>250780.75</v>
      </c>
      <c r="E10" s="19">
        <f>'7'!G96</f>
        <v>8007.3199999999924</v>
      </c>
      <c r="F10" s="19">
        <f>'1'!F142</f>
        <v>25574</v>
      </c>
      <c r="G10" s="21">
        <f t="shared" si="0"/>
        <v>204779201.6799998</v>
      </c>
      <c r="H10" s="19">
        <f>'7'!G68</f>
        <v>53</v>
      </c>
      <c r="I10" s="19">
        <f>'7'!G69</f>
        <v>14</v>
      </c>
      <c r="J10" s="19">
        <f>'7'!G70</f>
        <v>8</v>
      </c>
      <c r="K10" s="23">
        <f t="shared" si="1"/>
        <v>67</v>
      </c>
      <c r="L10" s="19">
        <f>'7'!G71</f>
        <v>260</v>
      </c>
      <c r="M10" s="19">
        <f>'7'!G72</f>
        <v>0</v>
      </c>
      <c r="N10" s="19">
        <v>0</v>
      </c>
      <c r="O10" s="23">
        <f t="shared" si="2"/>
        <v>260</v>
      </c>
    </row>
    <row r="11" spans="1:15">
      <c r="A11" s="16">
        <v>8</v>
      </c>
      <c r="B11" s="26">
        <v>8</v>
      </c>
      <c r="C11" s="18"/>
      <c r="D11" s="19">
        <f>'8'!F8</f>
        <v>279923.65000000002</v>
      </c>
      <c r="E11" s="19">
        <f>'8'!G96</f>
        <v>7852.0999999999622</v>
      </c>
      <c r="F11" s="19">
        <f>'1'!F142</f>
        <v>25574</v>
      </c>
      <c r="G11" s="21">
        <f t="shared" si="0"/>
        <v>200809605.39999902</v>
      </c>
      <c r="H11" s="19">
        <f>'8'!G68</f>
        <v>47</v>
      </c>
      <c r="I11" s="19">
        <f>'8'!G69</f>
        <v>11</v>
      </c>
      <c r="J11" s="19">
        <f>'8'!G70</f>
        <v>18</v>
      </c>
      <c r="K11" s="23">
        <f t="shared" si="1"/>
        <v>58</v>
      </c>
      <c r="L11" s="19">
        <f>'8'!G71</f>
        <v>288</v>
      </c>
      <c r="M11" s="19">
        <f>'8'!G72</f>
        <v>0</v>
      </c>
      <c r="N11" s="19">
        <v>0</v>
      </c>
      <c r="O11" s="23">
        <f t="shared" si="2"/>
        <v>288</v>
      </c>
    </row>
    <row r="12" spans="1:15">
      <c r="A12" s="16">
        <v>9</v>
      </c>
      <c r="B12" s="27">
        <v>9</v>
      </c>
      <c r="C12" s="26"/>
      <c r="D12" s="19">
        <f>'9'!F8</f>
        <v>309923.65000000002</v>
      </c>
      <c r="E12" s="19">
        <f>'9'!G96</f>
        <v>8851.9600000000355</v>
      </c>
      <c r="F12" s="19">
        <f>'1'!F142</f>
        <v>25574</v>
      </c>
      <c r="G12" s="21">
        <f t="shared" si="0"/>
        <v>226380025.04000092</v>
      </c>
      <c r="H12" s="19">
        <f>'9'!G68</f>
        <v>30</v>
      </c>
      <c r="I12" s="19">
        <f>'9'!G69</f>
        <v>20</v>
      </c>
      <c r="J12" s="19">
        <f>'9'!G70</f>
        <v>10</v>
      </c>
      <c r="K12" s="23">
        <f t="shared" si="1"/>
        <v>50</v>
      </c>
      <c r="L12" s="19">
        <f>'9'!G71</f>
        <v>251</v>
      </c>
      <c r="M12" s="19">
        <f>'9'!G72</f>
        <v>0</v>
      </c>
      <c r="N12" s="19">
        <v>0</v>
      </c>
      <c r="O12" s="23">
        <f t="shared" si="2"/>
        <v>251</v>
      </c>
    </row>
    <row r="13" spans="1:15">
      <c r="A13" s="16">
        <v>10</v>
      </c>
      <c r="B13" s="27">
        <v>10</v>
      </c>
      <c r="C13" s="26"/>
      <c r="D13" s="19">
        <f>'10'!F8</f>
        <v>341095.5</v>
      </c>
      <c r="E13" s="19">
        <f>'10'!G96</f>
        <v>8212.4899999999579</v>
      </c>
      <c r="F13" s="19">
        <f>'1'!F142</f>
        <v>25574</v>
      </c>
      <c r="G13" s="21">
        <f t="shared" si="0"/>
        <v>210026219.25999892</v>
      </c>
      <c r="H13" s="19">
        <f>'10'!G68</f>
        <v>44</v>
      </c>
      <c r="I13" s="19">
        <f>'10'!G69</f>
        <v>16</v>
      </c>
      <c r="J13" s="19">
        <f>'10'!G70</f>
        <v>7</v>
      </c>
      <c r="K13" s="23">
        <f t="shared" si="1"/>
        <v>60</v>
      </c>
      <c r="L13" s="19">
        <f>'10'!G71</f>
        <v>299</v>
      </c>
      <c r="M13" s="19">
        <f>'10'!G72</f>
        <v>0</v>
      </c>
      <c r="N13" s="19">
        <v>0</v>
      </c>
      <c r="O13" s="23">
        <f t="shared" si="2"/>
        <v>299</v>
      </c>
    </row>
    <row r="14" spans="1:15">
      <c r="A14" s="16">
        <v>11</v>
      </c>
      <c r="B14" s="17">
        <v>11</v>
      </c>
      <c r="C14" s="27"/>
      <c r="D14" s="19">
        <f>'11'!F8</f>
        <v>368046</v>
      </c>
      <c r="E14" s="19">
        <f>'11'!G96</f>
        <v>6189.9600000000064</v>
      </c>
      <c r="F14" s="19">
        <f>'1'!F142</f>
        <v>25574</v>
      </c>
      <c r="G14" s="21">
        <f t="shared" si="0"/>
        <v>158302037.04000017</v>
      </c>
      <c r="H14" s="19">
        <f>'11'!G68</f>
        <v>19</v>
      </c>
      <c r="I14" s="19">
        <f>'11'!G69</f>
        <v>17</v>
      </c>
      <c r="J14" s="19">
        <f>'11'!G70</f>
        <v>7</v>
      </c>
      <c r="K14" s="23">
        <f t="shared" si="1"/>
        <v>36</v>
      </c>
      <c r="L14" s="19">
        <f>'11'!G71</f>
        <v>256</v>
      </c>
      <c r="M14" s="19">
        <f>'11'!G72</f>
        <v>0</v>
      </c>
      <c r="N14" s="19">
        <v>0</v>
      </c>
      <c r="O14" s="23">
        <f t="shared" si="2"/>
        <v>256</v>
      </c>
    </row>
    <row r="15" spans="1:15">
      <c r="A15" s="16">
        <v>12</v>
      </c>
      <c r="B15" s="26">
        <v>12</v>
      </c>
      <c r="C15" s="27"/>
      <c r="D15" s="19">
        <f>'12'!F8</f>
        <v>396634</v>
      </c>
      <c r="E15" s="19">
        <f>'12'!G96</f>
        <v>8032.7500000000291</v>
      </c>
      <c r="F15" s="19">
        <f>'1'!F142</f>
        <v>25574</v>
      </c>
      <c r="G15" s="20">
        <f t="shared" si="0"/>
        <v>205429548.50000075</v>
      </c>
      <c r="H15" s="19">
        <f>'12'!G68</f>
        <v>48</v>
      </c>
      <c r="I15" s="19">
        <f>'12'!G69</f>
        <v>5</v>
      </c>
      <c r="J15" s="19">
        <f>'12'!G70</f>
        <v>14</v>
      </c>
      <c r="K15" s="23">
        <f t="shared" si="1"/>
        <v>53</v>
      </c>
      <c r="L15" s="19">
        <f>'12'!G71</f>
        <v>273</v>
      </c>
      <c r="M15" s="19">
        <f>'12'!G72</f>
        <v>0</v>
      </c>
      <c r="N15" s="19">
        <v>0</v>
      </c>
      <c r="O15" s="23">
        <f t="shared" si="2"/>
        <v>273</v>
      </c>
    </row>
    <row r="16" spans="1:15">
      <c r="A16" s="16">
        <v>13</v>
      </c>
      <c r="B16" s="26">
        <v>13</v>
      </c>
      <c r="C16" s="26"/>
      <c r="D16" s="19">
        <f>'13'!F8</f>
        <v>425734</v>
      </c>
      <c r="E16" s="19">
        <f>'13'!G96</f>
        <v>8137</v>
      </c>
      <c r="F16" s="19">
        <f>'1'!F142</f>
        <v>25574</v>
      </c>
      <c r="G16" s="20">
        <f t="shared" si="0"/>
        <v>208095638</v>
      </c>
      <c r="H16" s="19">
        <f>'13'!G68</f>
        <v>62</v>
      </c>
      <c r="I16" s="19">
        <f>'13'!G69</f>
        <v>11</v>
      </c>
      <c r="J16" s="19">
        <f>'13'!G70</f>
        <v>8</v>
      </c>
      <c r="K16" s="23">
        <f t="shared" si="1"/>
        <v>73</v>
      </c>
      <c r="L16" s="19">
        <f>'13'!G71</f>
        <v>299</v>
      </c>
      <c r="M16" s="19">
        <f>'13'!G72</f>
        <v>0</v>
      </c>
      <c r="N16" s="19">
        <v>0</v>
      </c>
      <c r="O16" s="23">
        <f t="shared" si="2"/>
        <v>299</v>
      </c>
    </row>
    <row r="17" spans="1:15">
      <c r="A17" s="16">
        <v>14</v>
      </c>
      <c r="B17" s="17">
        <v>14</v>
      </c>
      <c r="C17" s="27"/>
      <c r="D17" s="19">
        <f>'14'!F8</f>
        <v>456980</v>
      </c>
      <c r="E17" s="19">
        <f>'14'!G96</f>
        <v>8134</v>
      </c>
      <c r="F17" s="19">
        <f>'1'!F142</f>
        <v>25574</v>
      </c>
      <c r="G17" s="20">
        <f t="shared" si="0"/>
        <v>208018916</v>
      </c>
      <c r="H17" s="19">
        <f>'14'!G68</f>
        <v>27</v>
      </c>
      <c r="I17" s="19">
        <f>'14'!G69</f>
        <v>11</v>
      </c>
      <c r="J17" s="19">
        <f>'14'!G71</f>
        <v>250</v>
      </c>
      <c r="K17" s="23">
        <f t="shared" si="1"/>
        <v>38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485536</v>
      </c>
      <c r="E18" s="19">
        <f>'15'!G96</f>
        <v>7049.7</v>
      </c>
      <c r="F18" s="19">
        <f>'1'!F142</f>
        <v>25574</v>
      </c>
      <c r="G18" s="20">
        <f t="shared" si="0"/>
        <v>180289027.79999998</v>
      </c>
      <c r="H18" s="19">
        <f>'15'!G68</f>
        <v>20</v>
      </c>
      <c r="I18" s="19">
        <f>'15'!G69</f>
        <v>9</v>
      </c>
      <c r="J18" s="19">
        <f>'15'!G71</f>
        <v>253</v>
      </c>
      <c r="K18" s="23">
        <f t="shared" si="1"/>
        <v>29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7" t="s">
        <v>115</v>
      </c>
      <c r="B1" s="878"/>
      <c r="C1" s="878"/>
      <c r="D1" s="878"/>
      <c r="E1" s="878"/>
      <c r="F1" s="878"/>
      <c r="G1" s="878"/>
      <c r="H1" s="878"/>
      <c r="I1" s="878"/>
      <c r="J1" s="879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6" t="s">
        <v>119</v>
      </c>
      <c r="F3" s="887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80" t="s">
        <v>128</v>
      </c>
      <c r="B6" s="881"/>
      <c r="C6" s="882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844328</v>
      </c>
      <c r="I7" s="113">
        <f>'1'!I7</f>
        <v>12000</v>
      </c>
      <c r="J7" s="175">
        <f>H7/DAY(B2)</f>
        <v>27236.387096774193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861076.78</v>
      </c>
      <c r="I8" s="116"/>
      <c r="J8" s="175">
        <f>H8/DAY(B2)</f>
        <v>27776.670322580645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5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623360</v>
      </c>
      <c r="I9" s="124"/>
      <c r="J9" s="175">
        <f>H9/DAY(B2)</f>
        <v>20108.387096774193</v>
      </c>
      <c r="K9" s="79">
        <f>K8-100</f>
        <v>1715817</v>
      </c>
      <c r="L9" s="66"/>
      <c r="N9" s="87"/>
      <c r="O9" s="71"/>
      <c r="Q9" s="526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197260.53000000003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4"/>
      <c r="C14" s="524"/>
      <c r="D14" s="151"/>
      <c r="E14" s="95"/>
      <c r="F14" s="95"/>
      <c r="G14" s="119">
        <f>G9+G10+G11+G12</f>
        <v>0</v>
      </c>
      <c r="H14" s="99">
        <f>G14+'30'!H13</f>
        <v>820621</v>
      </c>
      <c r="I14" s="120">
        <f>G7-G14</f>
        <v>0</v>
      </c>
      <c r="J14" s="175">
        <f>H14/DAY(B2)</f>
        <v>26471.645161290322</v>
      </c>
      <c r="K14" s="79"/>
      <c r="L14" s="66"/>
      <c r="N14" s="87"/>
      <c r="O14" s="71"/>
    </row>
    <row r="15" spans="1:17" ht="33" customHeight="1">
      <c r="A15" s="883" t="s">
        <v>137</v>
      </c>
      <c r="B15" s="884"/>
      <c r="C15" s="885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33539</v>
      </c>
      <c r="I16" s="113">
        <f>'1'!I15</f>
        <v>800</v>
      </c>
      <c r="J16" s="175">
        <f>H16/DAY(B2)</f>
        <v>1081.9032258064517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-281.9032258064517</v>
      </c>
      <c r="J17" s="176"/>
      <c r="K17" s="79"/>
      <c r="L17" s="66"/>
      <c r="N17" s="87"/>
      <c r="O17" s="71"/>
    </row>
    <row r="18" spans="1:15" ht="33" customHeight="1">
      <c r="A18" s="883" t="s">
        <v>140</v>
      </c>
      <c r="B18" s="884"/>
      <c r="C18" s="885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4" t="s">
        <v>141</v>
      </c>
      <c r="B19" s="875"/>
      <c r="C19" s="876"/>
      <c r="D19" s="151" t="s">
        <v>142</v>
      </c>
      <c r="E19" s="95">
        <f>'30'!F18</f>
        <v>33</v>
      </c>
      <c r="F19" s="122">
        <v>14</v>
      </c>
      <c r="G19" s="119">
        <f>F19*10</f>
        <v>140</v>
      </c>
      <c r="H19" s="99">
        <f>G19+'30'!H18</f>
        <v>7780</v>
      </c>
      <c r="I19" s="113">
        <f>'1'!I18</f>
        <v>65</v>
      </c>
      <c r="J19" s="175">
        <f>H19/DAY(B2)</f>
        <v>250.96774193548387</v>
      </c>
      <c r="K19" s="79"/>
      <c r="L19" s="66"/>
      <c r="N19" s="87"/>
      <c r="O19" s="71"/>
    </row>
    <row r="20" spans="1:15" ht="33" customHeight="1">
      <c r="A20" s="874" t="s">
        <v>69</v>
      </c>
      <c r="B20" s="875"/>
      <c r="C20" s="876"/>
      <c r="D20" s="151" t="s">
        <v>142</v>
      </c>
      <c r="E20" s="95">
        <f>'30'!F19</f>
        <v>158454</v>
      </c>
      <c r="F20" s="122">
        <v>145338</v>
      </c>
      <c r="G20" s="112">
        <f t="shared" ref="G20" si="0">F20-E20</f>
        <v>-13116</v>
      </c>
      <c r="H20" s="99">
        <f>G20+'30'!H19</f>
        <v>-11651</v>
      </c>
      <c r="I20" s="335"/>
      <c r="J20" s="175">
        <f>H20/DAY(B2)</f>
        <v>-375.83870967741933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-12976</v>
      </c>
      <c r="H21" s="99">
        <f>G21+'30'!H20</f>
        <v>-3871</v>
      </c>
      <c r="I21" s="336">
        <f>I19-J21</f>
        <v>189.87096774193549</v>
      </c>
      <c r="J21" s="175">
        <f>H21/DAY(B2)</f>
        <v>-124.87096774193549</v>
      </c>
      <c r="K21" s="79"/>
      <c r="L21" s="66"/>
      <c r="N21" s="87"/>
      <c r="O21" s="71"/>
    </row>
    <row r="22" spans="1:15" ht="33" customHeight="1">
      <c r="A22" s="883" t="s">
        <v>144</v>
      </c>
      <c r="B22" s="884"/>
      <c r="C22" s="885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8" t="s">
        <v>149</v>
      </c>
      <c r="B26" s="889"/>
      <c r="C26" s="890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7749691.0199999996</v>
      </c>
      <c r="I28" s="138"/>
      <c r="J28" s="175">
        <f>H28/DAY(B2)</f>
        <v>249990.0329032258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2235530.419999999</v>
      </c>
      <c r="I29" s="140"/>
      <c r="J29" s="175">
        <f>H29/DAY(B2)</f>
        <v>72113.884516128994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-13116</v>
      </c>
      <c r="F31" s="136">
        <v>146</v>
      </c>
      <c r="G31" s="137">
        <f>E31*F31</f>
        <v>-1914936</v>
      </c>
      <c r="H31" s="99">
        <f>G31+'30'!H30</f>
        <v>-1694881</v>
      </c>
      <c r="I31" s="140"/>
      <c r="J31" s="175">
        <f>H31/DAY(B2)</f>
        <v>-54673.580645161288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622400</v>
      </c>
      <c r="I32" s="140"/>
      <c r="J32" s="175">
        <f>H32/DAY(B2)</f>
        <v>20077.419354838708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-1864788</v>
      </c>
      <c r="H33" s="99">
        <f>G33+'30'!H32</f>
        <v>8912740.4399999995</v>
      </c>
      <c r="I33" s="144"/>
      <c r="J33" s="175">
        <f>H33/DAY(B2)</f>
        <v>287507.75612903223</v>
      </c>
      <c r="K33" s="63"/>
      <c r="L33" s="89"/>
      <c r="N33" s="87"/>
      <c r="O33" s="71"/>
    </row>
    <row r="34" spans="1:15" ht="33" customHeight="1">
      <c r="A34" s="891" t="s">
        <v>331</v>
      </c>
      <c r="B34" s="892"/>
      <c r="C34" s="892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64605.790000000008</v>
      </c>
      <c r="I36" s="95"/>
      <c r="J36" s="175">
        <f>H36/DAY(B2)</f>
        <v>2084.057741935484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31726.339999999997</v>
      </c>
      <c r="I37" s="95"/>
      <c r="J37" s="175">
        <f>H37/DAY(B2)</f>
        <v>1023.430322580645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51362.98000000001</v>
      </c>
      <c r="I38" s="95"/>
      <c r="J38" s="175">
        <f>H38/DAY(B2)</f>
        <v>1656.8703225806455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75010.63</v>
      </c>
      <c r="I39" s="95"/>
      <c r="J39" s="175">
        <f>H39/DAY(B2)</f>
        <v>2419.6977419354839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99720.57</v>
      </c>
      <c r="I40" s="95"/>
      <c r="J40" s="175">
        <f>H40/DAY(B2)</f>
        <v>3216.7925806451617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16103.14</v>
      </c>
      <c r="I41" s="95"/>
      <c r="J41" s="175">
        <f>H41/DAY(B2)</f>
        <v>519.45612903225799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27630</v>
      </c>
      <c r="I42" s="95"/>
      <c r="J42" s="175">
        <f>H42/DAY(B2)</f>
        <v>891.29032258064512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149048.75</v>
      </c>
      <c r="I43" s="95"/>
      <c r="J43" s="175">
        <f>H43/DAY(B2)</f>
        <v>4808.0241935483873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101259.53</v>
      </c>
      <c r="I44" s="95"/>
      <c r="J44" s="175">
        <f>H44/DAY(B2)</f>
        <v>3266.4364516129031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616467.72999999986</v>
      </c>
      <c r="I48" s="95"/>
      <c r="J48" s="175">
        <f>H48/DAY(B2)</f>
        <v>19886.055806451608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165170</v>
      </c>
      <c r="F50" s="145">
        <v>419822</v>
      </c>
      <c r="G50" s="112">
        <f t="shared" ref="G50:G59" si="3">F50-E50</f>
        <v>254652</v>
      </c>
      <c r="H50" s="99">
        <f>G50+'30'!H49</f>
        <v>309319.8</v>
      </c>
      <c r="I50" s="95"/>
      <c r="J50" s="175">
        <f>H50/DAY(B2)</f>
        <v>9978.0580645161281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172607</v>
      </c>
      <c r="F51" s="145">
        <v>607298</v>
      </c>
      <c r="G51" s="112">
        <f t="shared" si="3"/>
        <v>434691</v>
      </c>
      <c r="H51" s="99">
        <f>G51+'30'!H50</f>
        <v>476087.86</v>
      </c>
      <c r="I51" s="95"/>
      <c r="J51" s="175">
        <f>H51/DAY(B2)</f>
        <v>15357.672903225806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50083</v>
      </c>
      <c r="F55" s="145">
        <v>14967</v>
      </c>
      <c r="G55" s="112">
        <f t="shared" si="3"/>
        <v>-35116</v>
      </c>
      <c r="H55" s="99">
        <f>G55+'30'!H54</f>
        <v>-20704.059999999998</v>
      </c>
      <c r="I55" s="95"/>
      <c r="J55" s="175">
        <f>H55/DAY(B2)</f>
        <v>-667.87290322580634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144967</v>
      </c>
      <c r="F56" s="145">
        <v>306268.99</v>
      </c>
      <c r="G56" s="112">
        <f t="shared" si="3"/>
        <v>161301.99</v>
      </c>
      <c r="H56" s="99">
        <f>G56+'30'!H55</f>
        <v>193787.96</v>
      </c>
      <c r="I56" s="95"/>
      <c r="J56" s="175">
        <f>H56/DAY(B2)</f>
        <v>6251.2245161290321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589401.32000000007</v>
      </c>
      <c r="I57" s="95"/>
      <c r="J57" s="175">
        <f>H57/DAY(B2)</f>
        <v>19012.945806451615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25493</v>
      </c>
      <c r="F59" s="145">
        <v>66014</v>
      </c>
      <c r="G59" s="112">
        <f t="shared" si="3"/>
        <v>40521</v>
      </c>
      <c r="H59" s="99">
        <f>G59+'30'!H58</f>
        <v>47559.8</v>
      </c>
      <c r="I59" s="95"/>
      <c r="J59" s="175">
        <f>H59/DAY(B2)</f>
        <v>1534.1870967741936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2535926.31</v>
      </c>
      <c r="H60" s="99">
        <f>G60+'30'!H59</f>
        <v>2721556</v>
      </c>
      <c r="I60" s="95">
        <f>G7-G61</f>
        <v>-2550789.31</v>
      </c>
      <c r="J60" s="175">
        <f>H60/DAY(B2)</f>
        <v>87792.129032258061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2550789.31</v>
      </c>
      <c r="H61" s="99">
        <f>G61+'30'!H60</f>
        <v>3338023.73</v>
      </c>
      <c r="I61" s="95">
        <f>G14-G61</f>
        <v>-2550789.31</v>
      </c>
      <c r="J61" s="175">
        <f>H61/DAY(B2)</f>
        <v>107678.18483870968</v>
      </c>
      <c r="K61" s="79"/>
      <c r="L61" s="66"/>
      <c r="N61" s="87"/>
      <c r="O61" s="71"/>
    </row>
    <row r="62" spans="1:15" s="68" customFormat="1" ht="33" customHeight="1">
      <c r="A62" s="893" t="s">
        <v>332</v>
      </c>
      <c r="B62" s="894"/>
      <c r="C62" s="895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4" t="s">
        <v>198</v>
      </c>
      <c r="B63" s="875"/>
      <c r="C63" s="87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4" t="s">
        <v>199</v>
      </c>
      <c r="B64" s="875"/>
      <c r="C64" s="87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415697.12</v>
      </c>
      <c r="I64" s="118"/>
      <c r="J64" s="175">
        <f>H64/DAY(B2)</f>
        <v>13409.584516129033</v>
      </c>
      <c r="K64" s="69"/>
      <c r="L64" s="66"/>
      <c r="N64" s="87"/>
      <c r="O64" s="71"/>
    </row>
    <row r="65" spans="1:15" ht="33" customHeight="1">
      <c r="A65" s="871" t="s">
        <v>200</v>
      </c>
      <c r="B65" s="872"/>
      <c r="C65" s="873"/>
      <c r="D65" s="151"/>
      <c r="E65" s="122"/>
      <c r="F65" s="122"/>
      <c r="G65" s="112">
        <f>G63+G64</f>
        <v>451111</v>
      </c>
      <c r="H65" s="99">
        <f>G65+'30'!H95</f>
        <v>451118.75155219523</v>
      </c>
      <c r="I65" s="118"/>
      <c r="J65" s="175">
        <f>H65/DAY(B2)</f>
        <v>14552.217792006299</v>
      </c>
      <c r="K65" s="69"/>
      <c r="L65" s="66"/>
      <c r="N65" s="87"/>
      <c r="O65" s="71"/>
    </row>
    <row r="66" spans="1:15" ht="33" customHeight="1">
      <c r="A66" s="874" t="s">
        <v>201</v>
      </c>
      <c r="B66" s="875"/>
      <c r="C66" s="87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661207.04000000004</v>
      </c>
      <c r="I66" s="118"/>
      <c r="J66" s="175">
        <f>H66/DAY(B2)</f>
        <v>21329.259354838712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104644.51156390119</v>
      </c>
      <c r="I67" s="118"/>
      <c r="J67" s="175">
        <f>H67/DAY(B2)</f>
        <v>3375.6294052871353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196204.57</v>
      </c>
      <c r="I68" s="118"/>
      <c r="J68" s="175">
        <f>H68/DAY(B2)</f>
        <v>6329.1796774193554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152138.41342441441</v>
      </c>
      <c r="I69" s="118"/>
      <c r="J69" s="175">
        <f>H69/DAY(B2)</f>
        <v>4907.6907556262713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81987.63</v>
      </c>
      <c r="I70" s="118"/>
      <c r="J70" s="175">
        <f>H70/DAY(B2)</f>
        <v>2644.7622580645161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6375.6110961250415</v>
      </c>
      <c r="I71" s="118"/>
      <c r="J71" s="175">
        <f>H71/DAY(B2)</f>
        <v>205.66487406854972</v>
      </c>
      <c r="K71" s="69"/>
      <c r="L71" s="66"/>
      <c r="N71" s="87"/>
      <c r="O71" s="71"/>
    </row>
    <row r="72" spans="1:15" ht="33" customHeight="1">
      <c r="A72" s="871" t="s">
        <v>208</v>
      </c>
      <c r="B72" s="872"/>
      <c r="C72" s="873"/>
      <c r="D72" s="152"/>
      <c r="E72" s="152"/>
      <c r="F72" s="152"/>
      <c r="G72" s="153">
        <f>SUM(G66:G71)</f>
        <v>793178</v>
      </c>
      <c r="H72" s="99">
        <f>G72+'30'!H102</f>
        <v>865633.2</v>
      </c>
      <c r="I72" s="154"/>
      <c r="J72" s="175">
        <f>H72/DAY(B2)</f>
        <v>27923.651612903224</v>
      </c>
      <c r="K72" s="69"/>
      <c r="L72" s="66"/>
      <c r="N72" s="87"/>
      <c r="O72" s="71"/>
    </row>
    <row r="73" spans="1:15" s="88" customFormat="1" ht="33" customHeight="1">
      <c r="A73" s="917"/>
      <c r="B73" s="909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2" t="s">
        <v>333</v>
      </c>
      <c r="B74" s="923"/>
      <c r="C74" s="924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4" t="s">
        <v>220</v>
      </c>
      <c r="B75" s="875"/>
      <c r="C75" s="87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4" t="s">
        <v>221</v>
      </c>
      <c r="B76" s="875"/>
      <c r="C76" s="87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8" t="s">
        <v>222</v>
      </c>
      <c r="B77" s="904"/>
      <c r="C77" s="905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8" t="s">
        <v>223</v>
      </c>
      <c r="B78" s="904"/>
      <c r="C78" s="905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8" t="s">
        <v>224</v>
      </c>
      <c r="B79" s="904"/>
      <c r="C79" s="905"/>
      <c r="D79" s="151" t="s">
        <v>139</v>
      </c>
      <c r="E79" s="95">
        <f>'30'!F128</f>
        <v>81415</v>
      </c>
      <c r="F79" s="232">
        <v>9180</v>
      </c>
      <c r="G79" s="112">
        <f t="shared" si="6"/>
        <v>-72235</v>
      </c>
      <c r="H79" s="99">
        <f>G79+'30'!H128</f>
        <v>-59736.240000000005</v>
      </c>
      <c r="I79" s="118"/>
      <c r="J79" s="175">
        <f>H79/DAY(B2)</f>
        <v>-1926.975483870968</v>
      </c>
      <c r="K79" s="69"/>
      <c r="L79" s="66"/>
      <c r="N79" s="87"/>
      <c r="O79" s="71"/>
    </row>
    <row r="80" spans="1:15" s="57" customFormat="1" ht="33" customHeight="1">
      <c r="A80" s="918" t="s">
        <v>225</v>
      </c>
      <c r="B80" s="904"/>
      <c r="C80" s="905"/>
      <c r="D80" s="151"/>
      <c r="E80" s="117"/>
      <c r="F80" s="117"/>
      <c r="G80" s="112">
        <f>G16-SUM(G75:G79)</f>
        <v>-1045657.3999999999</v>
      </c>
      <c r="H80" s="99">
        <f>G80+'30'!H129</f>
        <v>-1036696.45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71" t="s">
        <v>329</v>
      </c>
      <c r="B81" s="872"/>
      <c r="C81" s="873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10" t="s">
        <v>226</v>
      </c>
      <c r="B82" s="911"/>
      <c r="C82" s="912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30435</v>
      </c>
      <c r="F83" s="122"/>
      <c r="G83" s="112">
        <f t="shared" ref="G83:G93" si="7">F83-E83</f>
        <v>-30435</v>
      </c>
      <c r="H83" s="99">
        <f>G83+'30'!H131</f>
        <v>-24432.5</v>
      </c>
      <c r="I83" s="118"/>
      <c r="J83" s="175">
        <f>H83/DAY(B2)</f>
        <v>-788.14516129032256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88937</v>
      </c>
      <c r="F84" s="122"/>
      <c r="G84" s="112">
        <f t="shared" si="7"/>
        <v>-88937</v>
      </c>
      <c r="H84" s="99">
        <f>G84+'30'!H132</f>
        <v>-75667.5</v>
      </c>
      <c r="I84" s="118"/>
      <c r="J84" s="175">
        <f>H84/DAY(B2)</f>
        <v>-2440.8870967741937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172446</v>
      </c>
      <c r="F85" s="164">
        <v>40922</v>
      </c>
      <c r="G85" s="112">
        <f t="shared" si="7"/>
        <v>-131524</v>
      </c>
      <c r="H85" s="99">
        <f>G85+'30'!H133</f>
        <v>-104459.98999999999</v>
      </c>
      <c r="I85" s="118"/>
      <c r="J85" s="175">
        <f>H85/DAY(B2)</f>
        <v>-3369.6770967741932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28093</v>
      </c>
      <c r="F86" s="164">
        <v>856</v>
      </c>
      <c r="G86" s="112">
        <f t="shared" si="7"/>
        <v>-27237</v>
      </c>
      <c r="H86" s="99">
        <f>G86+'30'!H134</f>
        <v>-19936.68</v>
      </c>
      <c r="I86" s="118">
        <f>G83+G84+G85+G86</f>
        <v>-278133</v>
      </c>
      <c r="J86" s="175">
        <f>H86/DAY(B2)</f>
        <v>-643.11870967741936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81014.409999999974</v>
      </c>
      <c r="I87" s="118"/>
      <c r="J87" s="175">
        <f>H87/DAY(B2)</f>
        <v>2613.368064516128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878784</v>
      </c>
      <c r="F90" s="164">
        <v>25132.959999999999</v>
      </c>
      <c r="G90" s="112">
        <f t="shared" si="7"/>
        <v>-853651.04</v>
      </c>
      <c r="H90" s="99">
        <f>G90+'30'!H138</f>
        <v>-848868.04</v>
      </c>
      <c r="I90" s="118"/>
      <c r="J90" s="175">
        <f>H90/DAY(B2)</f>
        <v>-27382.84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894866</v>
      </c>
      <c r="F91" s="164">
        <v>70524.55</v>
      </c>
      <c r="G91" s="112">
        <f t="shared" si="7"/>
        <v>-824341.45</v>
      </c>
      <c r="H91" s="99">
        <f>G91+'30'!H139</f>
        <v>-819793.45</v>
      </c>
      <c r="I91" s="118">
        <f>G90+G91</f>
        <v>-1677992.49</v>
      </c>
      <c r="J91" s="175">
        <f>H91/DAY(B2)</f>
        <v>-26444.949999999997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135</v>
      </c>
      <c r="F92" s="122">
        <v>2627.98</v>
      </c>
      <c r="G92" s="112">
        <f t="shared" si="7"/>
        <v>2492.98</v>
      </c>
      <c r="H92" s="99">
        <f>G92+'30'!H140</f>
        <v>2568.98</v>
      </c>
      <c r="I92" s="165"/>
      <c r="J92" s="175">
        <f>H92/DAY(B2)</f>
        <v>82.870322580645166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71774</v>
      </c>
      <c r="F93" s="122">
        <v>4754</v>
      </c>
      <c r="G93" s="112">
        <f t="shared" si="7"/>
        <v>-67020</v>
      </c>
      <c r="H93" s="99">
        <f>G93+'30'!H141</f>
        <v>-61029.53</v>
      </c>
      <c r="I93" s="165"/>
      <c r="J93" s="175">
        <f>H93/DAY(B2)</f>
        <v>-1968.6945161290323</v>
      </c>
      <c r="O93" s="71"/>
    </row>
    <row r="94" spans="1:15" ht="33" customHeight="1">
      <c r="A94" s="919" t="s">
        <v>239</v>
      </c>
      <c r="B94" s="920"/>
      <c r="C94" s="921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4" t="s">
        <v>240</v>
      </c>
      <c r="B95" s="875"/>
      <c r="C95" s="876"/>
      <c r="D95" s="151" t="s">
        <v>130</v>
      </c>
      <c r="E95" s="151"/>
      <c r="F95" s="151"/>
      <c r="G95" s="99">
        <f>G36+G44+G50+G58</f>
        <v>264858</v>
      </c>
      <c r="H95" s="99">
        <f>G95+'30'!H143</f>
        <v>265714.28999999998</v>
      </c>
      <c r="I95" s="118"/>
      <c r="J95" s="175">
        <f>H95/DAY(B2)</f>
        <v>8571.4287096774187</v>
      </c>
      <c r="K95" s="69"/>
      <c r="L95" s="66"/>
      <c r="O95" s="71"/>
    </row>
    <row r="96" spans="1:15" ht="33" customHeight="1">
      <c r="A96" s="874" t="s">
        <v>241</v>
      </c>
      <c r="B96" s="875"/>
      <c r="C96" s="87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4" t="s">
        <v>242</v>
      </c>
      <c r="B97" s="875"/>
      <c r="C97" s="876"/>
      <c r="D97" s="151" t="s">
        <v>130</v>
      </c>
      <c r="E97" s="95"/>
      <c r="F97" s="95"/>
      <c r="G97" s="99">
        <f>G42+G43+G56+G57</f>
        <v>719679.99</v>
      </c>
      <c r="H97" s="99">
        <f>G97+'30'!H145</f>
        <v>719751.59</v>
      </c>
      <c r="I97" s="118"/>
      <c r="J97" s="175">
        <f>H97/DAY(B2)</f>
        <v>23217.79322580645</v>
      </c>
      <c r="K97" s="69"/>
      <c r="L97" s="66"/>
      <c r="O97" s="71"/>
    </row>
    <row r="98" spans="1:15" ht="33" customHeight="1">
      <c r="A98" s="874" t="s">
        <v>243</v>
      </c>
      <c r="B98" s="875"/>
      <c r="C98" s="87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4" t="s">
        <v>244</v>
      </c>
      <c r="B99" s="875"/>
      <c r="C99" s="876"/>
      <c r="D99" s="151" t="s">
        <v>130</v>
      </c>
      <c r="E99" s="95"/>
      <c r="F99" s="95"/>
      <c r="G99" s="99">
        <f>G40+G54</f>
        <v>438118</v>
      </c>
      <c r="H99" s="99">
        <f>G99+'30'!H147</f>
        <v>451162</v>
      </c>
      <c r="I99" s="168"/>
      <c r="J99" s="175">
        <f>H99/DAY(B2)</f>
        <v>14553.612903225807</v>
      </c>
      <c r="K99" s="69"/>
      <c r="L99" s="66"/>
      <c r="O99" s="71"/>
    </row>
    <row r="100" spans="1:15" ht="33" customHeight="1">
      <c r="A100" s="874" t="s">
        <v>245</v>
      </c>
      <c r="B100" s="875"/>
      <c r="C100" s="87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4" t="s">
        <v>246</v>
      </c>
      <c r="B101" s="875"/>
      <c r="C101" s="876"/>
      <c r="D101" s="151" t="s">
        <v>180</v>
      </c>
      <c r="E101" s="95"/>
      <c r="F101" s="95"/>
      <c r="G101" s="99">
        <f>G39+G53</f>
        <v>541264</v>
      </c>
      <c r="H101" s="99">
        <f>G101+'30'!H149</f>
        <v>561428.19999999995</v>
      </c>
      <c r="I101" s="118"/>
      <c r="J101" s="175">
        <f>H101/DAY(B2)</f>
        <v>18110.58709677419</v>
      </c>
      <c r="K101" s="70"/>
      <c r="O101" s="71"/>
    </row>
    <row r="102" spans="1:15" ht="33" customHeight="1">
      <c r="A102" s="874" t="s">
        <v>247</v>
      </c>
      <c r="B102" s="875"/>
      <c r="C102" s="87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4" t="s">
        <v>248</v>
      </c>
      <c r="B103" s="875"/>
      <c r="C103" s="876"/>
      <c r="D103" s="151" t="s">
        <v>180</v>
      </c>
      <c r="E103" s="95"/>
      <c r="F103" s="95"/>
      <c r="G103" s="99">
        <f>G37+G51</f>
        <v>435359</v>
      </c>
      <c r="H103" s="99">
        <f>G103+'30'!H156</f>
        <v>436992.75</v>
      </c>
      <c r="I103" s="168"/>
      <c r="J103" s="175">
        <f>H103/DAY(B2)</f>
        <v>14096.540322580646</v>
      </c>
      <c r="O103" s="71"/>
    </row>
    <row r="104" spans="1:15" ht="33" customHeight="1">
      <c r="A104" s="874" t="s">
        <v>249</v>
      </c>
      <c r="B104" s="875"/>
      <c r="C104" s="87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4" t="s">
        <v>250</v>
      </c>
      <c r="B105" s="875"/>
      <c r="C105" s="876"/>
      <c r="D105" s="151" t="s">
        <v>180</v>
      </c>
      <c r="E105" s="95"/>
      <c r="F105" s="95"/>
      <c r="G105" s="99">
        <f>G38+G52</f>
        <v>145727.32</v>
      </c>
      <c r="H105" s="99">
        <f>G105+'30'!H161</f>
        <v>146669.59000000003</v>
      </c>
      <c r="I105" s="118"/>
      <c r="J105" s="175">
        <f>H105/DAY(B2)</f>
        <v>4731.2770967741944</v>
      </c>
      <c r="O105" s="71"/>
    </row>
    <row r="106" spans="1:15" ht="33" customHeight="1" thickBot="1">
      <c r="A106" s="914" t="s">
        <v>251</v>
      </c>
      <c r="B106" s="915"/>
      <c r="C106" s="916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8" t="s">
        <v>324</v>
      </c>
      <c r="B109" s="928"/>
      <c r="C109" s="928"/>
      <c r="D109" s="928"/>
      <c r="E109" s="928"/>
      <c r="F109" s="928"/>
      <c r="G109" s="928"/>
      <c r="H109" s="928"/>
      <c r="I109" s="928"/>
      <c r="J109" s="928"/>
    </row>
    <row r="110" spans="1:15" ht="33" customHeight="1">
      <c r="A110" s="913"/>
      <c r="B110" s="913"/>
    </row>
    <row r="111" spans="1:15" ht="33" customHeight="1">
      <c r="A111" s="929" t="s">
        <v>165</v>
      </c>
      <c r="B111" s="930"/>
      <c r="C111" s="930"/>
      <c r="D111" s="930"/>
      <c r="E111" s="930"/>
      <c r="F111" s="930"/>
      <c r="G111" s="930"/>
      <c r="H111" s="930"/>
      <c r="I111" s="930"/>
      <c r="J111" s="931"/>
    </row>
    <row r="112" spans="1:15" ht="33" customHeight="1">
      <c r="A112" s="932"/>
      <c r="B112" s="933"/>
      <c r="C112" s="934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7" t="s">
        <v>252</v>
      </c>
      <c r="B113" s="908"/>
      <c r="C113" s="909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7" t="s">
        <v>253</v>
      </c>
      <c r="B114" s="908"/>
      <c r="C114" s="909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7" t="s">
        <v>254</v>
      </c>
      <c r="B115" s="908"/>
      <c r="C115" s="909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7" t="s">
        <v>255</v>
      </c>
      <c r="B116" s="908"/>
      <c r="C116" s="909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5" t="s">
        <v>96</v>
      </c>
      <c r="B117" s="926"/>
      <c r="C117" s="927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45052</v>
      </c>
      <c r="I117" s="165"/>
      <c r="J117" s="328" t="e">
        <f t="shared" si="9"/>
        <v>#DIV/0!</v>
      </c>
      <c r="Q117" s="907"/>
      <c r="R117" s="909"/>
    </row>
    <row r="118" spans="1:18" ht="33" customHeight="1">
      <c r="A118" s="925" t="s">
        <v>184</v>
      </c>
      <c r="B118" s="926"/>
      <c r="C118" s="927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45399</v>
      </c>
      <c r="I118" s="165"/>
      <c r="J118" s="328" t="e">
        <f t="shared" si="9"/>
        <v>#DIV/0!</v>
      </c>
      <c r="Q118" s="907"/>
      <c r="R118" s="909"/>
    </row>
    <row r="119" spans="1:18" ht="33" customHeight="1">
      <c r="A119" s="902" t="s">
        <v>97</v>
      </c>
      <c r="B119" s="902"/>
      <c r="C119" s="90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45300</v>
      </c>
      <c r="I119" s="165"/>
      <c r="J119" s="328" t="e">
        <f t="shared" si="9"/>
        <v>#DIV/0!</v>
      </c>
      <c r="Q119" s="907"/>
      <c r="R119" s="909"/>
    </row>
    <row r="120" spans="1:18" ht="33" customHeight="1">
      <c r="A120" s="902" t="s">
        <v>98</v>
      </c>
      <c r="B120" s="902"/>
      <c r="C120" s="90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45885</v>
      </c>
      <c r="I120" s="165"/>
      <c r="J120" s="328" t="e">
        <f t="shared" si="9"/>
        <v>#DIV/0!</v>
      </c>
    </row>
    <row r="121" spans="1:18" ht="33" customHeight="1">
      <c r="A121" s="902" t="s">
        <v>99</v>
      </c>
      <c r="B121" s="902"/>
      <c r="C121" s="90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902" t="s">
        <v>100</v>
      </c>
      <c r="B122" s="902"/>
      <c r="C122" s="90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47920</v>
      </c>
      <c r="I122" s="165"/>
      <c r="J122" s="328" t="e">
        <f t="shared" si="9"/>
        <v>#DIV/0!</v>
      </c>
    </row>
    <row r="123" spans="1:18" ht="33" customHeight="1">
      <c r="A123" s="902" t="s">
        <v>101</v>
      </c>
      <c r="B123" s="902"/>
      <c r="C123" s="90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45092</v>
      </c>
      <c r="I123" s="165"/>
      <c r="J123" s="328" t="e">
        <f t="shared" si="9"/>
        <v>#DIV/0!</v>
      </c>
    </row>
    <row r="124" spans="1:18" ht="33" customHeight="1">
      <c r="A124" s="902" t="s">
        <v>102</v>
      </c>
      <c r="B124" s="902"/>
      <c r="C124" s="90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45189</v>
      </c>
      <c r="I124" s="165"/>
      <c r="J124" s="328" t="e">
        <f t="shared" si="9"/>
        <v>#DIV/0!</v>
      </c>
    </row>
    <row r="125" spans="1:18" ht="33" customHeight="1">
      <c r="A125" s="932"/>
      <c r="B125" s="933"/>
      <c r="C125" s="934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8"/>
      <c r="B126" s="938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7" t="s">
        <v>317</v>
      </c>
      <c r="B127" s="937"/>
      <c r="C127" s="937"/>
      <c r="D127" s="937"/>
      <c r="E127" s="937"/>
      <c r="F127" s="937"/>
      <c r="G127" s="937"/>
      <c r="H127" s="937"/>
      <c r="I127" s="937"/>
      <c r="J127" s="937"/>
    </row>
    <row r="128" spans="1:18" ht="33" customHeight="1">
      <c r="A128" s="938"/>
      <c r="B128" s="938"/>
      <c r="C128" s="245"/>
      <c r="D128" s="307"/>
      <c r="E128" s="308"/>
      <c r="F128" s="308"/>
      <c r="G128" s="309"/>
      <c r="H128" s="99">
        <f>G128+'30'!H184</f>
        <v>225</v>
      </c>
      <c r="I128" s="165"/>
      <c r="J128" s="328" t="e">
        <f t="shared" ref="J128:J136" si="10">H128/DAY(B47)</f>
        <v>#DIV/0!</v>
      </c>
    </row>
    <row r="129" spans="1:15" ht="33" customHeight="1">
      <c r="A129" s="907" t="s">
        <v>318</v>
      </c>
      <c r="B129" s="908"/>
      <c r="C129" s="909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705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6848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7" t="s">
        <v>321</v>
      </c>
      <c r="B132" s="908"/>
      <c r="C132" s="909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3748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7" t="s">
        <v>322</v>
      </c>
      <c r="B133" s="908"/>
      <c r="C133" s="909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1381</v>
      </c>
      <c r="I133" s="165"/>
      <c r="J133" s="328" t="e">
        <f t="shared" si="10"/>
        <v>#DIV/0!</v>
      </c>
    </row>
    <row r="134" spans="1:15" ht="33" customHeight="1">
      <c r="A134" s="907" t="s">
        <v>323</v>
      </c>
      <c r="B134" s="908"/>
      <c r="C134" s="909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32"/>
      <c r="B135" s="933"/>
      <c r="C135" s="934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32"/>
      <c r="B136" s="933"/>
      <c r="C136" s="934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9" t="s">
        <v>325</v>
      </c>
      <c r="B137" s="939"/>
      <c r="C137" s="939"/>
      <c r="D137" s="939"/>
      <c r="E137" s="939"/>
      <c r="F137" s="939"/>
      <c r="G137" s="939"/>
      <c r="H137" s="939"/>
      <c r="I137" s="939"/>
      <c r="J137" s="939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902" t="s">
        <v>185</v>
      </c>
      <c r="B139" s="902"/>
      <c r="C139" s="90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902" t="s">
        <v>186</v>
      </c>
      <c r="B140" s="902"/>
      <c r="C140" s="90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902" t="s">
        <v>187</v>
      </c>
      <c r="B141" s="902"/>
      <c r="C141" s="90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6" t="s">
        <v>188</v>
      </c>
      <c r="B142" s="906"/>
      <c r="C142" s="906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6" t="s">
        <v>189</v>
      </c>
      <c r="B143" s="906"/>
      <c r="C143" s="906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902" t="s">
        <v>190</v>
      </c>
      <c r="B144" s="902"/>
      <c r="C144" s="90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3" t="s">
        <v>191</v>
      </c>
      <c r="B145" s="904"/>
      <c r="C145" s="905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6" t="s">
        <v>90</v>
      </c>
      <c r="B146" s="906"/>
      <c r="C146" s="906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6" t="s">
        <v>192</v>
      </c>
      <c r="B147" s="906"/>
      <c r="C147" s="906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6" t="s">
        <v>193</v>
      </c>
      <c r="B148" s="906"/>
      <c r="C148" s="906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6" t="s">
        <v>91</v>
      </c>
      <c r="B149" s="906"/>
      <c r="C149" s="906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6" t="s">
        <v>194</v>
      </c>
      <c r="B150" s="906"/>
      <c r="C150" s="906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9" t="s">
        <v>326</v>
      </c>
      <c r="B153" s="939"/>
      <c r="C153" s="939"/>
      <c r="D153" s="939"/>
      <c r="E153" s="939"/>
      <c r="F153" s="939"/>
      <c r="G153" s="939"/>
      <c r="H153" s="939"/>
      <c r="I153" s="939"/>
      <c r="J153" s="939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8" t="s">
        <v>328</v>
      </c>
      <c r="B159" s="938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8" t="s">
        <v>327</v>
      </c>
      <c r="B160" s="938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8" t="s">
        <v>328</v>
      </c>
      <c r="B161" s="938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8" t="s">
        <v>330</v>
      </c>
      <c r="B164" s="949"/>
      <c r="C164" s="949"/>
      <c r="D164" s="949"/>
      <c r="E164" s="949"/>
      <c r="F164" s="949"/>
      <c r="G164" s="949"/>
      <c r="H164" s="949"/>
      <c r="I164" s="949"/>
      <c r="J164" s="950"/>
    </row>
    <row r="165" spans="1:10" ht="33" customHeight="1">
      <c r="A165" s="944"/>
      <c r="B165" s="945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6" t="s">
        <v>209</v>
      </c>
      <c r="B166" s="89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6" t="s">
        <v>75</v>
      </c>
      <c r="B167" s="89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6" t="s">
        <v>76</v>
      </c>
      <c r="B168" s="901"/>
      <c r="C168" s="89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6" t="s">
        <v>196</v>
      </c>
      <c r="B169" s="89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6" t="s">
        <v>77</v>
      </c>
      <c r="B170" s="89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6" t="s">
        <v>210</v>
      </c>
      <c r="B171" s="89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6" t="s">
        <v>211</v>
      </c>
      <c r="B172" s="89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6" t="s">
        <v>212</v>
      </c>
      <c r="B173" s="89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6" t="s">
        <v>108</v>
      </c>
      <c r="B174" s="94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6" t="s">
        <v>213</v>
      </c>
      <c r="B175" s="89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6" t="s">
        <v>214</v>
      </c>
      <c r="B176" s="89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6" t="s">
        <v>215</v>
      </c>
      <c r="B177" s="89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6" t="s">
        <v>216</v>
      </c>
      <c r="B178" s="89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6" t="s">
        <v>196</v>
      </c>
      <c r="B179" s="89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6" t="s">
        <v>217</v>
      </c>
      <c r="B180" s="94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6" t="s">
        <v>218</v>
      </c>
      <c r="B181" s="94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6" t="s">
        <v>219</v>
      </c>
      <c r="B182" s="94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6"/>
      <c r="B183" s="94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2021-08-31T02:26:59Z</cp:lastPrinted>
  <dcterms:created xsi:type="dcterms:W3CDTF">2013-11-14T06:06:34Z</dcterms:created>
  <dcterms:modified xsi:type="dcterms:W3CDTF">2022-05-07T03:37:41Z</dcterms:modified>
</cp:coreProperties>
</file>