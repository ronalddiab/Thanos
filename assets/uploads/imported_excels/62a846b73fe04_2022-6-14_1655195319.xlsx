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 activeTab="2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8" i="3" l="1"/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<sst xmlns="http://schemas.openxmlformats.org/spreadsheetml/2006/main" count="606" uniqueCount="76">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</sst>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B143" workbookViewId="0">
      <selection activeCell="P160" sqref="P16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2"/>
      <c r="G166" s="4" t="str">
        <f>'Gas Water'!M169</f>
        <v/>
      </c>
      <c r="H166" s="132"/>
      <c r="I166" s="2" t="str">
        <f>'Gas Water'!L169</f>
        <v/>
      </c>
      <c r="J166" s="132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42" workbookViewId="0">
      <selection activeCell="I169" sqref="I169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4" t="s">
        <v>50</v>
      </c>
      <c r="Q21" s="165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6"/>
      <c r="Q22" s="167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4" t="s">
        <v>62</v>
      </c>
      <c r="Q49" s="165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6"/>
      <c r="Q50" s="167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4" t="s">
        <v>65</v>
      </c>
      <c r="Q81" s="165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6"/>
      <c r="Q82" s="167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4" t="s">
        <v>66</v>
      </c>
      <c r="Q111" s="165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6"/>
      <c r="Q112" s="167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4" t="s">
        <v>67</v>
      </c>
      <c r="Q142" s="165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6"/>
      <c r="Q143" s="167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/>
      <c r="E168" s="137"/>
      <c r="F168" s="138"/>
      <c r="G168" s="56"/>
      <c r="H168" s="56">
        <v>4140</v>
      </c>
      <c r="I168" s="56" t="str">
        <f t="shared" si="76"/>
        <v/>
      </c>
      <c r="J168" s="56" t="str">
        <f t="shared" si="77"/>
        <v/>
      </c>
      <c r="K168" s="57" t="str">
        <f t="shared" si="72"/>
        <v/>
      </c>
      <c r="L168" s="56" t="str">
        <f t="shared" si="73"/>
        <v/>
      </c>
      <c r="M168" s="57" t="str">
        <f t="shared" si="74"/>
        <v/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4" t="s">
        <v>68</v>
      </c>
      <c r="Q172" s="165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66"/>
      <c r="Q173" s="167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3.3053013055800717E-2</v>
      </c>
      <c r="Q175" s="66">
        <f>IF(L155="",0,+SUM(L155:L184)/SUM(I155:I184))</f>
        <v>3.3053013055800717E-2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68" t="s">
        <v>69</v>
      </c>
      <c r="Q203" s="169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66"/>
      <c r="Q204" s="167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68" t="s">
        <v>70</v>
      </c>
      <c r="Q234" s="169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66"/>
      <c r="Q235" s="167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4" t="s">
        <v>71</v>
      </c>
      <c r="Q264" s="165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66"/>
      <c r="Q265" s="167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4" t="s">
        <v>73</v>
      </c>
      <c r="Q295" s="165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66"/>
      <c r="Q296" s="167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4" t="s">
        <v>74</v>
      </c>
      <c r="Q325" s="165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66"/>
      <c r="Q326" s="167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4" t="s">
        <v>75</v>
      </c>
      <c r="Q356" s="165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66"/>
      <c r="Q357" s="167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abSelected="1" topLeftCell="B130" workbookViewId="0">
      <selection activeCell="Q162" sqref="Q162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3"/>
      <c r="C1" s="173"/>
      <c r="D1" s="173"/>
      <c r="E1" s="173"/>
      <c r="F1" s="173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0" t="s">
        <v>25</v>
      </c>
      <c r="O25" s="170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1"/>
      <c r="O26" s="171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2"/>
      <c r="O27" s="172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0" t="s">
        <v>27</v>
      </c>
      <c r="O29" s="170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2"/>
      <c r="O30" s="172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0" t="s">
        <v>25</v>
      </c>
      <c r="O53" s="170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1"/>
      <c r="O54" s="171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2"/>
      <c r="O55" s="172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0" t="s">
        <v>27</v>
      </c>
      <c r="O57" s="170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2"/>
      <c r="O58" s="172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0" t="s">
        <v>29</v>
      </c>
      <c r="O60" s="170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2"/>
      <c r="O61" s="172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0" t="s">
        <v>25</v>
      </c>
      <c r="O84" s="170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1"/>
      <c r="O85" s="171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2"/>
      <c r="O86" s="172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0" t="s">
        <v>27</v>
      </c>
      <c r="O88" s="170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2"/>
      <c r="O89" s="172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0" t="s">
        <v>29</v>
      </c>
      <c r="O91" s="170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2"/>
      <c r="O92" s="172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0" t="s">
        <v>25</v>
      </c>
      <c r="O114" s="170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1"/>
      <c r="O115" s="171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2"/>
      <c r="O116" s="172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0" t="s">
        <v>27</v>
      </c>
      <c r="O118" s="170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2"/>
      <c r="O119" s="172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0" t="s">
        <v>25</v>
      </c>
      <c r="O145" s="170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1"/>
      <c r="O146" s="171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2"/>
      <c r="O147" s="172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0" t="s">
        <v>27</v>
      </c>
      <c r="O149" s="170" t="s">
        <v>28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2"/>
      <c r="O150" s="172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26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70" t="s">
        <v>25</v>
      </c>
      <c r="O175" s="170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71"/>
      <c r="O176" s="171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72"/>
      <c r="O177" s="172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4191</v>
      </c>
      <c r="O178" s="30">
        <f>SUM(M156:M185)</f>
        <v>26473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70" t="s">
        <v>27</v>
      </c>
      <c r="O179" s="170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72"/>
      <c r="O180" s="172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>
        <f>AVERAGE(L156:L185)</f>
        <v>322.38461538461536</v>
      </c>
      <c r="O181" s="30">
        <f>AVERAGE(M156:M185)</f>
        <v>2036.3846153846155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0" t="s">
        <v>25</v>
      </c>
      <c r="O206" s="170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1"/>
      <c r="O207" s="171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2"/>
      <c r="O208" s="172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0" t="s">
        <v>27</v>
      </c>
      <c r="O210" s="170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2"/>
      <c r="O211" s="172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0" t="s">
        <v>25</v>
      </c>
      <c r="O237" s="170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1"/>
      <c r="O238" s="171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2"/>
      <c r="O239" s="172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0" t="s">
        <v>27</v>
      </c>
      <c r="O241" s="170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2"/>
      <c r="O242" s="172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0" t="s">
        <v>25</v>
      </c>
      <c r="O267" s="170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1"/>
      <c r="O268" s="171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2"/>
      <c r="O269" s="172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0" t="s">
        <v>27</v>
      </c>
      <c r="O271" s="170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2"/>
      <c r="O272" s="172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0" t="s">
        <v>25</v>
      </c>
      <c r="O298" s="170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1"/>
      <c r="O299" s="171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2"/>
      <c r="O300" s="172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0" t="s">
        <v>27</v>
      </c>
      <c r="O302" s="170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2"/>
      <c r="O303" s="172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0" t="s">
        <v>25</v>
      </c>
      <c r="O328" s="170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1"/>
      <c r="O329" s="171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2"/>
      <c r="O330" s="172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0" t="s">
        <v>27</v>
      </c>
      <c r="O332" s="170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2"/>
      <c r="O333" s="172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0" t="s">
        <v>25</v>
      </c>
      <c r="O359" s="170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1"/>
      <c r="O360" s="171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2"/>
      <c r="O361" s="172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0" t="s">
        <v>27</v>
      </c>
      <c r="O363" s="170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2"/>
      <c r="O364" s="172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d07fdfd0-8ece-48a6-a46c-61dc91b6cdb1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2022-06-14T08:27:37Z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