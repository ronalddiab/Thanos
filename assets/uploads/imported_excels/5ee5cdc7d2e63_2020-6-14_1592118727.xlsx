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E8" i="3" l="1"/>
  <c r="E5" i="3" l="1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E3" i="3" l="1"/>
  <c r="E4" i="3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AV7" i="6"/>
  <c r="E7" i="3" s="1"/>
  <c r="AV6" i="6"/>
  <c r="E6" i="3" s="1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<sst xmlns="http://schemas.openxmlformats.org/spreadsheetml/2006/main" count="296" uniqueCount="138">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</sst>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8" sqref="E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Submetering!E2+Submetering!F2+Submetering!G2+Submetering!H2-Submetering!AV2</f>
        <v>3660.0000000001937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Submetering!E3+Submetering!F3+Submetering!G3+Submetering!H3-Submetering!AV3</f>
        <v>3439.999999999568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Submetering!E4+Submetering!F4+Submetering!G4+Submetering!H4-Submetering!AV4</f>
        <v>3660.0000000002738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Submetering!E5+Submetering!F5+Submetering!G5+Submetering!H5-Submetering!AV5</f>
        <v>3589.9999999999218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Submetering!E6+Submetering!F6+Submetering!G6+Submetering!H6-Submetering!AV6</f>
        <v>3699.9999999997935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Submetering!E7+Submetering!F7+Submetering!G7+Submetering!H7-Submetering!AV7</f>
        <v>3780.0000000000227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Submetering!E9+Submetering!F9+Submetering!G9+Submetering!H9-Submetering!AV9</f>
        <v>3109.9999999994398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Submetering!E10+Submetering!F10+Submetering!G10+Submetering!H10-Submetering!AV10</f>
        <v>3440.0000000008999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Submetering!E11+Submetering!F11+Submetering!G11+Submetering!H11-Submetering!AV11</f>
        <v>3579.9999999998226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Submetering!E12+Submetering!F12+Submetering!G12+Submetering!H12-Submetering!AV12</f>
        <v>3209.999999999839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Submetering!E13+Submetering!F13+Submetering!G13+Submetering!H13-Submetering!AV13</f>
        <v>3559.9999999999491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Submetering!E14+Submetering!F14+Submetering!G14+Submetering!H14-Submetering!AV14</f>
        <v>3450.000000000191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 t="e">
        <f>Submetering!E15+Submetering!F15+Submetering!G15+Submetering!H15-Submetering!AV15</f>
        <v>#VALUE!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I1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 t="str">
        <f>'FS Desroches Daily'!D17</f>
        <v>0</v>
      </c>
      <c r="F15" s="33" t="str">
        <f>'FS Desroches Daily'!F17</f>
        <v>0</v>
      </c>
      <c r="G15" s="32" t="str">
        <f>'FS Desroches Daily'!H17</f>
        <v>0</v>
      </c>
      <c r="H15" s="33" t="str">
        <f>'FS Desroches Daily'!J17</f>
        <v>0</v>
      </c>
      <c r="I15" s="32" t="str">
        <f>'FS Desroches Daily'!L17</f>
        <v>0</v>
      </c>
      <c r="J15" s="33" t="str">
        <f>'FS Desroches Daily'!N17</f>
        <v/>
      </c>
      <c r="K15" s="13" t="str">
        <f>'FS Desroches Daily'!P17</f>
        <v/>
      </c>
      <c r="L15" s="32" t="str">
        <f>'FS Desroches Daily'!R17</f>
        <v/>
      </c>
      <c r="M15" s="32" t="str">
        <f>'FS Desroches Daily'!T17</f>
        <v/>
      </c>
      <c r="N15" s="32" t="str">
        <f>'FS Desroches Daily'!V17</f>
        <v/>
      </c>
      <c r="O15" s="32" t="str">
        <f>'FS Desroches Daily'!X17</f>
        <v/>
      </c>
      <c r="P15" s="32" t="str">
        <f>'FS Desroches Daily'!Z17</f>
        <v/>
      </c>
      <c r="Q15" s="32" t="str">
        <f>'FS Desroches Daily'!AB17</f>
        <v/>
      </c>
      <c r="R15" s="32" t="str">
        <f>'FS Desroches Daily'!AD17</f>
        <v/>
      </c>
      <c r="S15" s="32" t="str">
        <f>'FS Desroches Daily'!AF17</f>
        <v/>
      </c>
      <c r="T15" s="32" t="str">
        <f>'FS Desroches Daily'!AH17</f>
        <v/>
      </c>
      <c r="U15" s="36" t="str">
        <f>'FS Desroches Daily'!AJ17</f>
        <v/>
      </c>
      <c r="V15" s="36" t="str">
        <f>'FS Desroches Daily'!AL17</f>
        <v/>
      </c>
      <c r="W15" s="36" t="str">
        <f>'FS Desroches Daily'!AN17</f>
        <v/>
      </c>
      <c r="X15" s="36" t="str">
        <f>'FS Desroches Daily'!AP17</f>
        <v/>
      </c>
      <c r="Y15" s="36" t="str">
        <f>'FS Desroches Daily'!AR17</f>
        <v/>
      </c>
      <c r="Z15" s="36" t="str">
        <f>'FS Desroches Daily'!AT17</f>
        <v/>
      </c>
      <c r="AA15" s="36" t="str">
        <f>'FS Desroches Daily'!AT17</f>
        <v/>
      </c>
      <c r="AB15" s="36" t="str">
        <f>'FS Desroches Daily'!AV17</f>
        <v/>
      </c>
      <c r="AC15" s="36" t="str">
        <f>'FS Desroches Daily'!AZ17</f>
        <v/>
      </c>
      <c r="AD15" s="36" t="str">
        <f>'FS Desroches Daily'!BB17</f>
        <v/>
      </c>
      <c r="AE15" s="36" t="str">
        <f>'FS Desroches Daily'!BD17</f>
        <v/>
      </c>
      <c r="AF15" s="32" t="str">
        <f>'FS Desroches Daily'!BF17</f>
        <v/>
      </c>
      <c r="AG15" s="33" t="str">
        <f>'FS Desroches Daily'!BH17</f>
        <v/>
      </c>
      <c r="AH15" s="33" t="str">
        <f>'FS Desroches Daily'!BJ17</f>
        <v/>
      </c>
      <c r="AI15" s="33" t="str">
        <f>'FS Desroches Daily'!BL17</f>
        <v/>
      </c>
      <c r="AJ15" s="33" t="str">
        <f>'FS Desroches Daily'!BN17</f>
        <v/>
      </c>
      <c r="AK15" s="33" t="str">
        <f>'FS Desroches Daily'!BP17</f>
        <v/>
      </c>
      <c r="AL15" s="33" t="str">
        <f>'FS Desroches Daily'!BR17</f>
        <v/>
      </c>
      <c r="AM15" s="33" t="str">
        <f>'FS Desroches Daily'!BT17</f>
        <v/>
      </c>
      <c r="AN15" s="33" t="str">
        <f>'FS Desroches Daily'!BV17</f>
        <v/>
      </c>
      <c r="AO15" s="33" t="str">
        <f>'FS Desroches Daily'!BX17</f>
        <v/>
      </c>
      <c r="AP15" s="33" t="str">
        <f>'FS Desroches Daily'!BZ17</f>
        <v/>
      </c>
      <c r="AQ15" s="32" t="str">
        <f>'FS Desroches Daily'!CB17</f>
        <v/>
      </c>
      <c r="AR15" s="32" t="str">
        <f>'FS Desroches Daily'!CD17</f>
        <v/>
      </c>
      <c r="AS15" s="32" t="str">
        <f>'FS Desroches Daily'!CF17</f>
        <v/>
      </c>
      <c r="AT15" s="32" t="str">
        <f>'FS Desroches Daily'!CH17</f>
        <v/>
      </c>
      <c r="AU15" s="32" t="str">
        <f>'FS Desroches Daily'!CJ17</f>
        <v/>
      </c>
      <c r="AV15" s="32" t="str">
        <f>'FS Desroches Daily'!CL17</f>
        <v/>
      </c>
      <c r="AW15" s="32">
        <f>'FS Desroches Daily'!CM17</f>
        <v>0</v>
      </c>
      <c r="AX15" s="32" t="str">
        <f>IF(LPG!F22-LPG!F21&lt;0,"0",(LPG!F22-LPG!F21)*1.8315)</f>
        <v>0</v>
      </c>
      <c r="AY15" s="32" t="str">
        <f>IF(LPG!H22-LPG!H21&lt;0,"0",(LPG!H22-LPG!H21)*1.8315)</f>
        <v>0</v>
      </c>
      <c r="AZ15" s="32" t="str">
        <f>IF(LPG!J22-LPG!J21&lt;0,"0",(LPG!J22-LPG!J21)*1.8315)</f>
        <v>0</v>
      </c>
      <c r="BA15" s="32" t="str">
        <f>IF(LPG!M22-LPG!M21&lt;0,"0",(LPG!M22-LPG!M21)*1.8315)</f>
        <v>0</v>
      </c>
      <c r="BB15" s="32" t="str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8499.9999999999527</v>
      </c>
      <c r="F33" s="17">
        <f t="shared" ref="F33:BC33" si="1">SUM(F2:F32)</f>
        <v>7600.0000000000509</v>
      </c>
      <c r="G33" s="17">
        <f t="shared" si="1"/>
        <v>21100.00000000012</v>
      </c>
      <c r="H33" s="17">
        <f t="shared" si="1"/>
        <v>13000.00000000012</v>
      </c>
      <c r="I33" s="17">
        <f t="shared" si="1"/>
        <v>24700.000000000167</v>
      </c>
      <c r="J33" s="17">
        <f t="shared" si="1"/>
        <v>6099.9999999999945</v>
      </c>
      <c r="K33" s="17">
        <f t="shared" si="1"/>
        <v>11</v>
      </c>
      <c r="L33" s="17">
        <f t="shared" si="1"/>
        <v>54</v>
      </c>
      <c r="M33" s="17">
        <f t="shared" si="1"/>
        <v>2326</v>
      </c>
      <c r="N33" s="17">
        <f t="shared" si="1"/>
        <v>1349</v>
      </c>
      <c r="O33" s="17">
        <f t="shared" si="1"/>
        <v>979.99999999996135</v>
      </c>
      <c r="P33" s="17">
        <f t="shared" si="1"/>
        <v>5399.9999999998499</v>
      </c>
      <c r="Q33" s="17">
        <f t="shared" si="1"/>
        <v>920.00000000001592</v>
      </c>
      <c r="R33" s="17">
        <f t="shared" si="1"/>
        <v>1669.9999999999591</v>
      </c>
      <c r="S33" s="17">
        <f t="shared" si="1"/>
        <v>2080.0000000000409</v>
      </c>
      <c r="T33" s="17">
        <f t="shared" si="1"/>
        <v>15.799999999999955</v>
      </c>
      <c r="U33" s="36">
        <f t="shared" si="1"/>
        <v>2439.9999999999977</v>
      </c>
      <c r="V33" s="36">
        <f t="shared" si="1"/>
        <v>360.1700000000136</v>
      </c>
      <c r="W33" s="36">
        <f t="shared" si="1"/>
        <v>350.07999999999424</v>
      </c>
      <c r="X33" s="36">
        <f t="shared" si="1"/>
        <v>310.09000000000219</v>
      </c>
      <c r="Y33" s="36">
        <f t="shared" si="1"/>
        <v>480.00000000001819</v>
      </c>
      <c r="Z33" s="36">
        <f t="shared" si="1"/>
        <v>439.99999999999773</v>
      </c>
      <c r="AA33" s="36">
        <f t="shared" si="1"/>
        <v>439.99999999999773</v>
      </c>
      <c r="AB33" s="36">
        <f t="shared" si="1"/>
        <v>259.99999999999091</v>
      </c>
      <c r="AC33" s="36">
        <f t="shared" si="1"/>
        <v>330.00000000004093</v>
      </c>
      <c r="AD33" s="36">
        <f t="shared" si="1"/>
        <v>250</v>
      </c>
      <c r="AE33" s="36">
        <f t="shared" si="1"/>
        <v>180.00000000000682</v>
      </c>
      <c r="AF33" s="17">
        <f t="shared" si="1"/>
        <v>329</v>
      </c>
      <c r="AG33" s="33">
        <f t="shared" si="1"/>
        <v>329.99999999998408</v>
      </c>
      <c r="AH33" s="33">
        <f t="shared" si="1"/>
        <v>379.99999999999545</v>
      </c>
      <c r="AI33" s="33">
        <f t="shared" si="1"/>
        <v>349.99999999999432</v>
      </c>
      <c r="AJ33" s="33">
        <f t="shared" si="1"/>
        <v>359.99999999998522</v>
      </c>
      <c r="AK33" s="33">
        <f t="shared" si="1"/>
        <v>540.00000000002046</v>
      </c>
      <c r="AL33" s="33">
        <f t="shared" si="1"/>
        <v>138</v>
      </c>
      <c r="AM33" s="33">
        <f t="shared" si="1"/>
        <v>120.00000000000455</v>
      </c>
      <c r="AN33" s="33">
        <f t="shared" si="1"/>
        <v>270</v>
      </c>
      <c r="AO33" s="33">
        <f t="shared" si="1"/>
        <v>409.99999999999659</v>
      </c>
      <c r="AP33" s="33">
        <f t="shared" si="1"/>
        <v>363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716.79999999999563</v>
      </c>
      <c r="AU33" s="17">
        <f t="shared" si="1"/>
        <v>2634</v>
      </c>
      <c r="AV33" s="17">
        <f t="shared" si="1"/>
        <v>5040.0000000000773</v>
      </c>
      <c r="AW33" s="17">
        <f t="shared" si="1"/>
        <v>386.20000000000005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98.900999999999996</v>
      </c>
      <c r="BC33" s="17">
        <f t="shared" si="1"/>
        <v>0</v>
      </c>
    </row>
    <row r="35" spans="5:55" x14ac:dyDescent="0.25">
      <c r="E35" s="39">
        <f>E33/E37</f>
        <v>0.17918124710147793</v>
      </c>
      <c r="G35" s="30">
        <f>G33-M36</f>
        <v>17425.00000000012</v>
      </c>
      <c r="AE35" s="36">
        <f>SUM(U33:AE33)</f>
        <v>5840.3400000000602</v>
      </c>
      <c r="AG35" s="33">
        <f>SUM(AG33:AP33)</f>
        <v>3260.9999999999809</v>
      </c>
    </row>
    <row r="36" spans="5:55" x14ac:dyDescent="0.25">
      <c r="G36" s="30">
        <f>G35-633*14</f>
        <v>8563.0000000001201</v>
      </c>
      <c r="M36" s="30">
        <f>M33+N33</f>
        <v>3675</v>
      </c>
    </row>
    <row r="37" spans="5:55" x14ac:dyDescent="0.25">
      <c r="E37" s="17">
        <f>E33+F33+G33+H33+J33-633*14</f>
        <v>47438.00000000024</v>
      </c>
      <c r="G37" s="38">
        <f>M36/E37</f>
        <v>7.7469539187992362E-2</v>
      </c>
      <c r="M37" s="36">
        <f>AE35</f>
        <v>5840.3400000000602</v>
      </c>
    </row>
    <row r="38" spans="5:55" x14ac:dyDescent="0.25">
      <c r="L38" s="28">
        <f>M38/E37</f>
        <v>6.8742358446814034E-2</v>
      </c>
      <c r="M38" s="30">
        <f>AG35</f>
        <v>3260.9999999999809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zoomScale="60" zoomScaleNormal="60" workbookViewId="0">
      <pane ySplit="1" topLeftCell="A2" activePane="bottomLeft" state="frozen"/>
      <selection pane="bottomLeft" activeCell="CO16" sqref="CO16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/>
      <c r="D17" s="66" t="str">
        <f t="shared" si="0"/>
        <v>0</v>
      </c>
      <c r="E17" s="60"/>
      <c r="F17" s="66" t="str">
        <f t="shared" si="1"/>
        <v>0</v>
      </c>
      <c r="G17" s="60"/>
      <c r="H17" s="66" t="str">
        <f t="shared" si="2"/>
        <v>0</v>
      </c>
      <c r="I17" s="60"/>
      <c r="J17" s="66" t="str">
        <f t="shared" si="3"/>
        <v>0</v>
      </c>
      <c r="K17" s="60"/>
      <c r="L17" s="66" t="str">
        <f t="shared" si="4"/>
        <v>0</v>
      </c>
      <c r="M17" s="60"/>
      <c r="N17" s="66" t="str">
        <f t="shared" si="5"/>
        <v/>
      </c>
      <c r="O17" s="60"/>
      <c r="P17" s="69" t="str">
        <f t="shared" si="42"/>
        <v/>
      </c>
      <c r="Q17" s="60"/>
      <c r="R17" s="69" t="str">
        <f t="shared" si="6"/>
        <v/>
      </c>
      <c r="S17" s="60"/>
      <c r="T17" s="69" t="str">
        <f t="shared" si="7"/>
        <v/>
      </c>
      <c r="U17" s="60"/>
      <c r="V17" s="69" t="str">
        <f t="shared" si="8"/>
        <v/>
      </c>
      <c r="W17" s="60"/>
      <c r="X17" s="67" t="str">
        <f t="shared" si="9"/>
        <v/>
      </c>
      <c r="Y17" s="60"/>
      <c r="Z17" s="67" t="str">
        <f t="shared" si="10"/>
        <v/>
      </c>
      <c r="AA17" s="60"/>
      <c r="AB17" s="67" t="str">
        <f t="shared" si="11"/>
        <v/>
      </c>
      <c r="AC17" s="60"/>
      <c r="AD17" s="67" t="str">
        <f t="shared" si="12"/>
        <v/>
      </c>
      <c r="AE17" s="60"/>
      <c r="AF17" s="67" t="str">
        <f t="shared" si="13"/>
        <v/>
      </c>
      <c r="AG17" s="60"/>
      <c r="AH17" s="69" t="str">
        <f t="shared" si="14"/>
        <v/>
      </c>
      <c r="AI17" s="60"/>
      <c r="AJ17" s="67" t="str">
        <f t="shared" si="15"/>
        <v/>
      </c>
      <c r="AK17" s="60"/>
      <c r="AL17" s="67" t="str">
        <f t="shared" si="43"/>
        <v/>
      </c>
      <c r="AM17" s="60"/>
      <c r="AN17" s="67" t="str">
        <f t="shared" si="44"/>
        <v/>
      </c>
      <c r="AO17" s="60"/>
      <c r="AP17" s="67" t="str">
        <f t="shared" si="45"/>
        <v/>
      </c>
      <c r="AQ17" s="60"/>
      <c r="AR17" s="67" t="str">
        <f t="shared" si="16"/>
        <v/>
      </c>
      <c r="AS17" s="60"/>
      <c r="AT17" s="67" t="str">
        <f t="shared" si="17"/>
        <v/>
      </c>
      <c r="AU17" s="60"/>
      <c r="AV17" s="67" t="str">
        <f t="shared" si="18"/>
        <v/>
      </c>
      <c r="AW17" s="60"/>
      <c r="AX17" s="67" t="str">
        <f t="shared" si="19"/>
        <v/>
      </c>
      <c r="AY17" s="60"/>
      <c r="AZ17" s="67" t="str">
        <f t="shared" si="20"/>
        <v/>
      </c>
      <c r="BA17" s="60"/>
      <c r="BB17" s="67" t="str">
        <f t="shared" si="21"/>
        <v/>
      </c>
      <c r="BC17" s="60"/>
      <c r="BD17" s="67" t="str">
        <f t="shared" si="22"/>
        <v/>
      </c>
      <c r="BE17" s="61"/>
      <c r="BF17" s="69" t="str">
        <f t="shared" si="38"/>
        <v/>
      </c>
      <c r="BG17" s="62"/>
      <c r="BH17" s="67" t="str">
        <f t="shared" si="23"/>
        <v/>
      </c>
      <c r="BI17" s="62"/>
      <c r="BJ17" s="67" t="str">
        <f t="shared" si="39"/>
        <v/>
      </c>
      <c r="BK17" s="62"/>
      <c r="BL17" s="67" t="str">
        <f t="shared" si="24"/>
        <v/>
      </c>
      <c r="BM17" s="62"/>
      <c r="BN17" s="67" t="str">
        <f t="shared" si="25"/>
        <v/>
      </c>
      <c r="BO17" s="62"/>
      <c r="BP17" s="67" t="str">
        <f t="shared" si="26"/>
        <v/>
      </c>
      <c r="BQ17" s="62"/>
      <c r="BR17" s="67" t="str">
        <f t="shared" si="27"/>
        <v/>
      </c>
      <c r="BS17" s="62"/>
      <c r="BT17" s="67" t="str">
        <f t="shared" si="41"/>
        <v/>
      </c>
      <c r="BU17" s="62"/>
      <c r="BV17" s="67" t="str">
        <f t="shared" si="29"/>
        <v/>
      </c>
      <c r="BW17" s="62"/>
      <c r="BX17" s="67" t="str">
        <f t="shared" si="30"/>
        <v/>
      </c>
      <c r="BY17" s="62"/>
      <c r="BZ17" s="69" t="str">
        <f t="shared" si="31"/>
        <v/>
      </c>
      <c r="CA17" s="62"/>
      <c r="CB17" s="69" t="str">
        <f t="shared" si="32"/>
        <v/>
      </c>
      <c r="CC17" s="62"/>
      <c r="CD17" s="69" t="str">
        <f t="shared" si="33"/>
        <v/>
      </c>
      <c r="CE17" s="62"/>
      <c r="CF17" s="69" t="str">
        <f t="shared" si="34"/>
        <v/>
      </c>
      <c r="CG17" s="62"/>
      <c r="CH17" s="69" t="str">
        <f t="shared" si="35"/>
        <v/>
      </c>
      <c r="CI17" s="62"/>
      <c r="CJ17" s="69" t="str">
        <f t="shared" si="36"/>
        <v/>
      </c>
      <c r="CK17" s="62"/>
      <c r="CL17" s="66" t="str">
        <f t="shared" si="37"/>
        <v/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2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43"/>
        <v>0</v>
      </c>
      <c r="AM18" s="60"/>
      <c r="AN18" s="67">
        <f t="shared" si="44"/>
        <v>0</v>
      </c>
      <c r="AO18" s="60"/>
      <c r="AP18" s="67">
        <f t="shared" si="45"/>
        <v>0</v>
      </c>
      <c r="AQ18" s="60"/>
      <c r="AR18" s="67">
        <f t="shared" si="16"/>
        <v>0</v>
      </c>
      <c r="AS18" s="60"/>
      <c r="AT18" s="67">
        <f t="shared" si="17"/>
        <v>0</v>
      </c>
      <c r="AU18" s="60"/>
      <c r="AV18" s="67">
        <f t="shared" si="18"/>
        <v>0</v>
      </c>
      <c r="AW18" s="60"/>
      <c r="AX18" s="67">
        <f t="shared" si="19"/>
        <v>0</v>
      </c>
      <c r="AY18" s="60"/>
      <c r="AZ18" s="67">
        <f t="shared" si="20"/>
        <v>0</v>
      </c>
      <c r="BA18" s="60"/>
      <c r="BB18" s="67">
        <f t="shared" si="21"/>
        <v>0</v>
      </c>
      <c r="BC18" s="60"/>
      <c r="BD18" s="67">
        <f t="shared" si="22"/>
        <v>0</v>
      </c>
      <c r="BE18" s="61"/>
      <c r="BF18" s="69">
        <f t="shared" si="38"/>
        <v>0</v>
      </c>
      <c r="BG18" s="62"/>
      <c r="BH18" s="67">
        <f t="shared" si="23"/>
        <v>0</v>
      </c>
      <c r="BI18" s="62"/>
      <c r="BJ18" s="67">
        <f t="shared" si="39"/>
        <v>0</v>
      </c>
      <c r="BK18" s="62"/>
      <c r="BL18" s="67">
        <f t="shared" si="24"/>
        <v>0</v>
      </c>
      <c r="BM18" s="62"/>
      <c r="BN18" s="67">
        <f t="shared" si="25"/>
        <v>0</v>
      </c>
      <c r="BO18" s="62"/>
      <c r="BP18" s="67">
        <f t="shared" si="26"/>
        <v>0</v>
      </c>
      <c r="BQ18" s="62"/>
      <c r="BR18" s="67">
        <f t="shared" si="27"/>
        <v>0</v>
      </c>
      <c r="BS18" s="62"/>
      <c r="BT18" s="67">
        <f t="shared" si="41"/>
        <v>0</v>
      </c>
      <c r="BU18" s="62"/>
      <c r="BV18" s="67">
        <f t="shared" si="29"/>
        <v>0</v>
      </c>
      <c r="BW18" s="62"/>
      <c r="BX18" s="67">
        <f t="shared" si="30"/>
        <v>0</v>
      </c>
      <c r="BY18" s="62"/>
      <c r="BZ18" s="69">
        <f t="shared" si="31"/>
        <v>0</v>
      </c>
      <c r="CA18" s="62"/>
      <c r="CB18" s="69">
        <f t="shared" si="32"/>
        <v>0</v>
      </c>
      <c r="CC18" s="62"/>
      <c r="CD18" s="69">
        <f t="shared" si="33"/>
        <v>0</v>
      </c>
      <c r="CE18" s="62"/>
      <c r="CF18" s="69">
        <f t="shared" si="34"/>
        <v>0</v>
      </c>
      <c r="CG18" s="62"/>
      <c r="CH18" s="69">
        <f t="shared" si="35"/>
        <v>0</v>
      </c>
      <c r="CI18" s="62"/>
      <c r="CJ18" s="69">
        <f t="shared" si="36"/>
        <v>0</v>
      </c>
      <c r="CK18" s="62"/>
      <c r="CL18" s="66">
        <f t="shared" si="37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2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43"/>
        <v>0</v>
      </c>
      <c r="AM19" s="60"/>
      <c r="AN19" s="67">
        <f t="shared" si="44"/>
        <v>0</v>
      </c>
      <c r="AO19" s="60"/>
      <c r="AP19" s="67">
        <f t="shared" si="45"/>
        <v>0</v>
      </c>
      <c r="AQ19" s="60"/>
      <c r="AR19" s="67">
        <f t="shared" si="16"/>
        <v>0</v>
      </c>
      <c r="AS19" s="60"/>
      <c r="AT19" s="67">
        <f t="shared" si="17"/>
        <v>0</v>
      </c>
      <c r="AU19" s="60"/>
      <c r="AV19" s="67">
        <f t="shared" si="18"/>
        <v>0</v>
      </c>
      <c r="AW19" s="60"/>
      <c r="AX19" s="67">
        <f t="shared" si="19"/>
        <v>0</v>
      </c>
      <c r="AY19" s="60"/>
      <c r="AZ19" s="67">
        <f t="shared" si="20"/>
        <v>0</v>
      </c>
      <c r="BA19" s="60"/>
      <c r="BB19" s="67">
        <f t="shared" si="21"/>
        <v>0</v>
      </c>
      <c r="BC19" s="60"/>
      <c r="BD19" s="67">
        <f t="shared" si="22"/>
        <v>0</v>
      </c>
      <c r="BE19" s="61"/>
      <c r="BF19" s="69">
        <f t="shared" si="38"/>
        <v>0</v>
      </c>
      <c r="BG19" s="62"/>
      <c r="BH19" s="67">
        <f t="shared" si="23"/>
        <v>0</v>
      </c>
      <c r="BI19" s="62"/>
      <c r="BJ19" s="67">
        <f t="shared" si="39"/>
        <v>0</v>
      </c>
      <c r="BK19" s="62"/>
      <c r="BL19" s="67">
        <f t="shared" si="24"/>
        <v>0</v>
      </c>
      <c r="BM19" s="62"/>
      <c r="BN19" s="67">
        <f t="shared" si="25"/>
        <v>0</v>
      </c>
      <c r="BO19" s="62"/>
      <c r="BP19" s="67">
        <f t="shared" si="26"/>
        <v>0</v>
      </c>
      <c r="BQ19" s="62"/>
      <c r="BR19" s="67">
        <f t="shared" si="27"/>
        <v>0</v>
      </c>
      <c r="BS19" s="62"/>
      <c r="BT19" s="67">
        <f t="shared" si="41"/>
        <v>0</v>
      </c>
      <c r="BU19" s="62"/>
      <c r="BV19" s="67">
        <f t="shared" si="29"/>
        <v>0</v>
      </c>
      <c r="BW19" s="62"/>
      <c r="BX19" s="67">
        <f t="shared" si="30"/>
        <v>0</v>
      </c>
      <c r="BY19" s="62"/>
      <c r="BZ19" s="69">
        <f t="shared" si="31"/>
        <v>0</v>
      </c>
      <c r="CA19" s="62"/>
      <c r="CB19" s="69">
        <f t="shared" si="32"/>
        <v>0</v>
      </c>
      <c r="CC19" s="62"/>
      <c r="CD19" s="69">
        <f t="shared" si="33"/>
        <v>0</v>
      </c>
      <c r="CE19" s="62"/>
      <c r="CF19" s="69">
        <f t="shared" si="34"/>
        <v>0</v>
      </c>
      <c r="CG19" s="62"/>
      <c r="CH19" s="69">
        <f t="shared" si="35"/>
        <v>0</v>
      </c>
      <c r="CI19" s="62"/>
      <c r="CJ19" s="69">
        <f t="shared" si="36"/>
        <v>0</v>
      </c>
      <c r="CK19" s="62"/>
      <c r="CL19" s="66">
        <f t="shared" si="37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2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43"/>
        <v>0</v>
      </c>
      <c r="AM20" s="60"/>
      <c r="AN20" s="67">
        <f t="shared" si="44"/>
        <v>0</v>
      </c>
      <c r="AO20" s="60"/>
      <c r="AP20" s="67">
        <f t="shared" si="45"/>
        <v>0</v>
      </c>
      <c r="AQ20" s="60"/>
      <c r="AR20" s="67">
        <f t="shared" si="16"/>
        <v>0</v>
      </c>
      <c r="AS20" s="60"/>
      <c r="AT20" s="67">
        <f t="shared" si="17"/>
        <v>0</v>
      </c>
      <c r="AU20" s="60"/>
      <c r="AV20" s="67">
        <f t="shared" si="18"/>
        <v>0</v>
      </c>
      <c r="AW20" s="60"/>
      <c r="AX20" s="67">
        <f t="shared" si="19"/>
        <v>0</v>
      </c>
      <c r="AY20" s="60"/>
      <c r="AZ20" s="67">
        <f t="shared" si="20"/>
        <v>0</v>
      </c>
      <c r="BA20" s="60"/>
      <c r="BB20" s="67">
        <f t="shared" si="21"/>
        <v>0</v>
      </c>
      <c r="BC20" s="60"/>
      <c r="BD20" s="67">
        <f t="shared" si="22"/>
        <v>0</v>
      </c>
      <c r="BE20" s="61"/>
      <c r="BF20" s="69">
        <f t="shared" si="38"/>
        <v>0</v>
      </c>
      <c r="BG20" s="62"/>
      <c r="BH20" s="67">
        <f t="shared" si="23"/>
        <v>0</v>
      </c>
      <c r="BI20" s="62"/>
      <c r="BJ20" s="67">
        <f t="shared" si="39"/>
        <v>0</v>
      </c>
      <c r="BK20" s="62"/>
      <c r="BL20" s="67">
        <f t="shared" si="24"/>
        <v>0</v>
      </c>
      <c r="BM20" s="62"/>
      <c r="BN20" s="67">
        <f t="shared" si="25"/>
        <v>0</v>
      </c>
      <c r="BO20" s="62"/>
      <c r="BP20" s="67">
        <f t="shared" si="26"/>
        <v>0</v>
      </c>
      <c r="BQ20" s="62"/>
      <c r="BR20" s="67">
        <f t="shared" si="27"/>
        <v>0</v>
      </c>
      <c r="BS20" s="62"/>
      <c r="BT20" s="67">
        <f t="shared" si="41"/>
        <v>0</v>
      </c>
      <c r="BU20" s="62"/>
      <c r="BV20" s="67">
        <f t="shared" si="29"/>
        <v>0</v>
      </c>
      <c r="BW20" s="62"/>
      <c r="BX20" s="67">
        <f t="shared" si="30"/>
        <v>0</v>
      </c>
      <c r="BY20" s="62"/>
      <c r="BZ20" s="69">
        <f t="shared" si="31"/>
        <v>0</v>
      </c>
      <c r="CA20" s="62"/>
      <c r="CB20" s="69">
        <f t="shared" si="32"/>
        <v>0</v>
      </c>
      <c r="CC20" s="62"/>
      <c r="CD20" s="69">
        <f t="shared" si="33"/>
        <v>0</v>
      </c>
      <c r="CE20" s="62"/>
      <c r="CF20" s="69">
        <f t="shared" si="34"/>
        <v>0</v>
      </c>
      <c r="CG20" s="62"/>
      <c r="CH20" s="69">
        <f t="shared" si="35"/>
        <v>0</v>
      </c>
      <c r="CI20" s="62"/>
      <c r="CJ20" s="69">
        <f t="shared" si="36"/>
        <v>0</v>
      </c>
      <c r="CK20" s="62"/>
      <c r="CL20" s="66">
        <f t="shared" si="37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2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43"/>
        <v>0</v>
      </c>
      <c r="AM21" s="60"/>
      <c r="AN21" s="67">
        <f t="shared" si="44"/>
        <v>0</v>
      </c>
      <c r="AO21" s="60"/>
      <c r="AP21" s="67">
        <f t="shared" si="45"/>
        <v>0</v>
      </c>
      <c r="AQ21" s="60"/>
      <c r="AR21" s="67">
        <f t="shared" si="16"/>
        <v>0</v>
      </c>
      <c r="AS21" s="60"/>
      <c r="AT21" s="67">
        <f t="shared" si="17"/>
        <v>0</v>
      </c>
      <c r="AU21" s="60"/>
      <c r="AV21" s="67">
        <f t="shared" si="18"/>
        <v>0</v>
      </c>
      <c r="AW21" s="60"/>
      <c r="AX21" s="67">
        <f t="shared" si="19"/>
        <v>0</v>
      </c>
      <c r="AY21" s="60"/>
      <c r="AZ21" s="67">
        <f t="shared" si="20"/>
        <v>0</v>
      </c>
      <c r="BA21" s="60"/>
      <c r="BB21" s="67">
        <f t="shared" si="21"/>
        <v>0</v>
      </c>
      <c r="BC21" s="60"/>
      <c r="BD21" s="67">
        <f t="shared" si="22"/>
        <v>0</v>
      </c>
      <c r="BE21" s="61"/>
      <c r="BF21" s="69">
        <f t="shared" si="38"/>
        <v>0</v>
      </c>
      <c r="BG21" s="62"/>
      <c r="BH21" s="67">
        <f t="shared" si="23"/>
        <v>0</v>
      </c>
      <c r="BI21" s="62"/>
      <c r="BJ21" s="67">
        <f t="shared" si="39"/>
        <v>0</v>
      </c>
      <c r="BK21" s="62"/>
      <c r="BL21" s="67">
        <f t="shared" si="24"/>
        <v>0</v>
      </c>
      <c r="BM21" s="62"/>
      <c r="BN21" s="67">
        <f t="shared" si="25"/>
        <v>0</v>
      </c>
      <c r="BO21" s="62"/>
      <c r="BP21" s="67">
        <f t="shared" si="26"/>
        <v>0</v>
      </c>
      <c r="BQ21" s="62"/>
      <c r="BR21" s="67">
        <f t="shared" si="27"/>
        <v>0</v>
      </c>
      <c r="BS21" s="62"/>
      <c r="BT21" s="67">
        <f t="shared" si="41"/>
        <v>0</v>
      </c>
      <c r="BU21" s="62"/>
      <c r="BV21" s="67">
        <f t="shared" si="29"/>
        <v>0</v>
      </c>
      <c r="BW21" s="62"/>
      <c r="BX21" s="67">
        <f t="shared" si="30"/>
        <v>0</v>
      </c>
      <c r="BY21" s="62"/>
      <c r="BZ21" s="69">
        <f t="shared" si="31"/>
        <v>0</v>
      </c>
      <c r="CA21" s="62"/>
      <c r="CB21" s="69">
        <f t="shared" si="32"/>
        <v>0</v>
      </c>
      <c r="CC21" s="62"/>
      <c r="CD21" s="69">
        <f t="shared" si="33"/>
        <v>0</v>
      </c>
      <c r="CE21" s="62"/>
      <c r="CF21" s="69">
        <f t="shared" si="34"/>
        <v>0</v>
      </c>
      <c r="CG21" s="62"/>
      <c r="CH21" s="69">
        <f t="shared" si="35"/>
        <v>0</v>
      </c>
      <c r="CI21" s="62"/>
      <c r="CJ21" s="69">
        <f t="shared" si="36"/>
        <v>0</v>
      </c>
      <c r="CK21" s="62"/>
      <c r="CL21" s="66">
        <f t="shared" si="37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2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43"/>
        <v>0</v>
      </c>
      <c r="AM22" s="60"/>
      <c r="AN22" s="67">
        <f t="shared" si="44"/>
        <v>0</v>
      </c>
      <c r="AO22" s="60"/>
      <c r="AP22" s="67">
        <f t="shared" si="45"/>
        <v>0</v>
      </c>
      <c r="AQ22" s="60"/>
      <c r="AR22" s="67">
        <f t="shared" si="16"/>
        <v>0</v>
      </c>
      <c r="AS22" s="60"/>
      <c r="AT22" s="67">
        <f t="shared" si="17"/>
        <v>0</v>
      </c>
      <c r="AU22" s="60"/>
      <c r="AV22" s="67">
        <f t="shared" si="18"/>
        <v>0</v>
      </c>
      <c r="AW22" s="60"/>
      <c r="AX22" s="67">
        <f t="shared" si="19"/>
        <v>0</v>
      </c>
      <c r="AY22" s="60"/>
      <c r="AZ22" s="67">
        <f t="shared" si="20"/>
        <v>0</v>
      </c>
      <c r="BA22" s="60"/>
      <c r="BB22" s="67">
        <f t="shared" si="21"/>
        <v>0</v>
      </c>
      <c r="BC22" s="60"/>
      <c r="BD22" s="67">
        <f t="shared" si="22"/>
        <v>0</v>
      </c>
      <c r="BE22" s="61"/>
      <c r="BF22" s="69">
        <f t="shared" si="38"/>
        <v>0</v>
      </c>
      <c r="BG22" s="62"/>
      <c r="BH22" s="67">
        <f t="shared" si="23"/>
        <v>0</v>
      </c>
      <c r="BI22" s="62"/>
      <c r="BJ22" s="67">
        <f t="shared" si="39"/>
        <v>0</v>
      </c>
      <c r="BK22" s="62"/>
      <c r="BL22" s="67">
        <f t="shared" si="24"/>
        <v>0</v>
      </c>
      <c r="BM22" s="62"/>
      <c r="BN22" s="67">
        <f t="shared" si="25"/>
        <v>0</v>
      </c>
      <c r="BO22" s="62"/>
      <c r="BP22" s="67">
        <f t="shared" si="26"/>
        <v>0</v>
      </c>
      <c r="BQ22" s="62"/>
      <c r="BR22" s="67">
        <f t="shared" si="27"/>
        <v>0</v>
      </c>
      <c r="BS22" s="62"/>
      <c r="BT22" s="67">
        <f t="shared" si="41"/>
        <v>0</v>
      </c>
      <c r="BU22" s="62"/>
      <c r="BV22" s="67">
        <f t="shared" si="29"/>
        <v>0</v>
      </c>
      <c r="BW22" s="62"/>
      <c r="BX22" s="67">
        <f t="shared" si="30"/>
        <v>0</v>
      </c>
      <c r="BY22" s="62"/>
      <c r="BZ22" s="69">
        <f t="shared" si="31"/>
        <v>0</v>
      </c>
      <c r="CA22" s="62"/>
      <c r="CB22" s="69">
        <f t="shared" si="32"/>
        <v>0</v>
      </c>
      <c r="CC22" s="62"/>
      <c r="CD22" s="69">
        <f t="shared" si="33"/>
        <v>0</v>
      </c>
      <c r="CE22" s="62"/>
      <c r="CF22" s="69">
        <f t="shared" si="34"/>
        <v>0</v>
      </c>
      <c r="CG22" s="62"/>
      <c r="CH22" s="69">
        <f t="shared" si="35"/>
        <v>0</v>
      </c>
      <c r="CI22" s="62"/>
      <c r="CJ22" s="69">
        <f t="shared" si="36"/>
        <v>0</v>
      </c>
      <c r="CK22" s="62"/>
      <c r="CL22" s="66">
        <f t="shared" si="37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2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43"/>
        <v>0</v>
      </c>
      <c r="AM23" s="60"/>
      <c r="AN23" s="67">
        <f t="shared" si="44"/>
        <v>0</v>
      </c>
      <c r="AO23" s="60"/>
      <c r="AP23" s="67">
        <f t="shared" si="45"/>
        <v>0</v>
      </c>
      <c r="AQ23" s="60"/>
      <c r="AR23" s="67">
        <f t="shared" si="16"/>
        <v>0</v>
      </c>
      <c r="AS23" s="60"/>
      <c r="AT23" s="67">
        <f t="shared" si="17"/>
        <v>0</v>
      </c>
      <c r="AU23" s="60"/>
      <c r="AV23" s="67">
        <f t="shared" si="18"/>
        <v>0</v>
      </c>
      <c r="AW23" s="60"/>
      <c r="AX23" s="67">
        <f t="shared" si="19"/>
        <v>0</v>
      </c>
      <c r="AY23" s="60"/>
      <c r="AZ23" s="67">
        <f t="shared" si="20"/>
        <v>0</v>
      </c>
      <c r="BA23" s="60"/>
      <c r="BB23" s="67">
        <f t="shared" si="21"/>
        <v>0</v>
      </c>
      <c r="BC23" s="60"/>
      <c r="BD23" s="67">
        <f t="shared" si="22"/>
        <v>0</v>
      </c>
      <c r="BE23" s="61"/>
      <c r="BF23" s="69">
        <f t="shared" si="38"/>
        <v>0</v>
      </c>
      <c r="BG23" s="62"/>
      <c r="BH23" s="67">
        <f t="shared" si="23"/>
        <v>0</v>
      </c>
      <c r="BI23" s="62"/>
      <c r="BJ23" s="67">
        <f t="shared" si="39"/>
        <v>0</v>
      </c>
      <c r="BK23" s="62"/>
      <c r="BL23" s="67">
        <f t="shared" si="24"/>
        <v>0</v>
      </c>
      <c r="BM23" s="62"/>
      <c r="BN23" s="67">
        <f t="shared" si="25"/>
        <v>0</v>
      </c>
      <c r="BO23" s="62"/>
      <c r="BP23" s="67">
        <f t="shared" si="26"/>
        <v>0</v>
      </c>
      <c r="BQ23" s="62"/>
      <c r="BR23" s="67">
        <f t="shared" si="27"/>
        <v>0</v>
      </c>
      <c r="BS23" s="62"/>
      <c r="BT23" s="67">
        <f t="shared" si="41"/>
        <v>0</v>
      </c>
      <c r="BU23" s="62"/>
      <c r="BV23" s="67">
        <f t="shared" si="29"/>
        <v>0</v>
      </c>
      <c r="BW23" s="62"/>
      <c r="BX23" s="67">
        <f t="shared" si="30"/>
        <v>0</v>
      </c>
      <c r="BY23" s="62"/>
      <c r="BZ23" s="69">
        <f t="shared" si="31"/>
        <v>0</v>
      </c>
      <c r="CA23" s="62"/>
      <c r="CB23" s="69">
        <f t="shared" si="32"/>
        <v>0</v>
      </c>
      <c r="CC23" s="62"/>
      <c r="CD23" s="69">
        <f t="shared" si="33"/>
        <v>0</v>
      </c>
      <c r="CE23" s="62"/>
      <c r="CF23" s="69">
        <f t="shared" si="34"/>
        <v>0</v>
      </c>
      <c r="CG23" s="62"/>
      <c r="CH23" s="69">
        <f t="shared" si="35"/>
        <v>0</v>
      </c>
      <c r="CI23" s="62"/>
      <c r="CJ23" s="69">
        <f t="shared" si="36"/>
        <v>0</v>
      </c>
      <c r="CK23" s="62"/>
      <c r="CL23" s="66">
        <f t="shared" si="37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2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43"/>
        <v>0</v>
      </c>
      <c r="AM24" s="60"/>
      <c r="AN24" s="67">
        <f t="shared" si="44"/>
        <v>0</v>
      </c>
      <c r="AO24" s="60"/>
      <c r="AP24" s="67">
        <f t="shared" si="45"/>
        <v>0</v>
      </c>
      <c r="AQ24" s="60"/>
      <c r="AR24" s="67">
        <f t="shared" si="16"/>
        <v>0</v>
      </c>
      <c r="AS24" s="60"/>
      <c r="AT24" s="67">
        <f t="shared" si="17"/>
        <v>0</v>
      </c>
      <c r="AU24" s="60"/>
      <c r="AV24" s="67">
        <f t="shared" si="18"/>
        <v>0</v>
      </c>
      <c r="AW24" s="60"/>
      <c r="AX24" s="67">
        <f t="shared" si="19"/>
        <v>0</v>
      </c>
      <c r="AY24" s="60"/>
      <c r="AZ24" s="67">
        <f t="shared" si="20"/>
        <v>0</v>
      </c>
      <c r="BA24" s="60"/>
      <c r="BB24" s="67">
        <f t="shared" si="21"/>
        <v>0</v>
      </c>
      <c r="BC24" s="60"/>
      <c r="BD24" s="67">
        <f t="shared" si="22"/>
        <v>0</v>
      </c>
      <c r="BE24" s="61"/>
      <c r="BF24" s="69">
        <f t="shared" si="38"/>
        <v>0</v>
      </c>
      <c r="BG24" s="62"/>
      <c r="BH24" s="67">
        <f t="shared" si="23"/>
        <v>0</v>
      </c>
      <c r="BI24" s="62"/>
      <c r="BJ24" s="67">
        <f t="shared" si="39"/>
        <v>0</v>
      </c>
      <c r="BK24" s="62"/>
      <c r="BL24" s="67">
        <f t="shared" si="24"/>
        <v>0</v>
      </c>
      <c r="BM24" s="62"/>
      <c r="BN24" s="67">
        <f t="shared" si="25"/>
        <v>0</v>
      </c>
      <c r="BO24" s="62"/>
      <c r="BP24" s="67">
        <f t="shared" si="26"/>
        <v>0</v>
      </c>
      <c r="BQ24" s="62"/>
      <c r="BR24" s="67">
        <f t="shared" si="27"/>
        <v>0</v>
      </c>
      <c r="BS24" s="62"/>
      <c r="BT24" s="67">
        <f t="shared" si="41"/>
        <v>0</v>
      </c>
      <c r="BU24" s="62"/>
      <c r="BV24" s="67">
        <f t="shared" si="29"/>
        <v>0</v>
      </c>
      <c r="BW24" s="62"/>
      <c r="BX24" s="67">
        <f t="shared" si="30"/>
        <v>0</v>
      </c>
      <c r="BY24" s="62"/>
      <c r="BZ24" s="69">
        <f t="shared" si="31"/>
        <v>0</v>
      </c>
      <c r="CA24" s="62"/>
      <c r="CB24" s="69">
        <f t="shared" si="32"/>
        <v>0</v>
      </c>
      <c r="CC24" s="62"/>
      <c r="CD24" s="69">
        <f t="shared" si="33"/>
        <v>0</v>
      </c>
      <c r="CE24" s="62"/>
      <c r="CF24" s="69">
        <f t="shared" si="34"/>
        <v>0</v>
      </c>
      <c r="CG24" s="62"/>
      <c r="CH24" s="69">
        <f t="shared" si="35"/>
        <v>0</v>
      </c>
      <c r="CI24" s="62"/>
      <c r="CJ24" s="69">
        <f t="shared" si="36"/>
        <v>0</v>
      </c>
      <c r="CK24" s="62"/>
      <c r="CL24" s="66">
        <f t="shared" si="37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Q21" sqref="Q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2020-06-14T07:09:58Z</dcterms:modified>
</cp:coreProperties>
</file>