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C11" i="7" l="1"/>
  <c r="R24" i="9" l="1"/>
  <c r="R25" i="9"/>
  <c r="R26" i="9"/>
  <c r="R27" i="9"/>
  <c r="R28" i="9"/>
  <c r="R29" i="9"/>
  <c r="R30" i="9"/>
  <c r="R31" i="9"/>
  <c r="R32" i="9"/>
  <c r="Q24" i="9"/>
  <c r="Q25" i="9"/>
  <c r="Q26" i="9"/>
  <c r="Q27" i="9"/>
  <c r="Q28" i="9"/>
  <c r="Q29" i="9"/>
  <c r="Q30" i="9"/>
  <c r="Q31" i="9"/>
  <c r="Q32" i="9"/>
  <c r="P24" i="9"/>
  <c r="P25" i="9"/>
  <c r="P26" i="9"/>
  <c r="P27" i="9"/>
  <c r="P28" i="9"/>
  <c r="P29" i="9"/>
  <c r="P30" i="9"/>
  <c r="P31" i="9"/>
  <c r="P32" i="9"/>
  <c r="O24" i="9"/>
  <c r="O25" i="9"/>
  <c r="O26" i="9"/>
  <c r="O27" i="9"/>
  <c r="O28" i="9"/>
  <c r="O29" i="9"/>
  <c r="O30" i="9"/>
  <c r="O31" i="9"/>
  <c r="O32" i="9"/>
  <c r="N24" i="9"/>
  <c r="N25" i="9"/>
  <c r="N26" i="9"/>
  <c r="N27" i="9"/>
  <c r="N28" i="9"/>
  <c r="N29" i="9"/>
  <c r="N30" i="9"/>
  <c r="N31" i="9"/>
  <c r="M24" i="9"/>
  <c r="M25" i="9"/>
  <c r="M26" i="9"/>
  <c r="M27" i="9"/>
  <c r="M28" i="9"/>
  <c r="M29" i="9"/>
  <c r="M30" i="9"/>
  <c r="M31" i="9"/>
  <c r="M32" i="9"/>
  <c r="L24" i="9"/>
  <c r="L25" i="9"/>
  <c r="L26" i="9"/>
  <c r="L27" i="9"/>
  <c r="L28" i="9"/>
  <c r="L29" i="9"/>
  <c r="L30" i="9"/>
  <c r="L31" i="9"/>
  <c r="L32" i="9"/>
  <c r="K24" i="9"/>
  <c r="K25" i="9"/>
  <c r="K26" i="9"/>
  <c r="K27" i="9"/>
  <c r="K28" i="9"/>
  <c r="K29" i="9"/>
  <c r="K30" i="9"/>
  <c r="K31" i="9"/>
  <c r="K32" i="9"/>
  <c r="J24" i="9"/>
  <c r="J25" i="9"/>
  <c r="J26" i="9"/>
  <c r="J29" i="9"/>
  <c r="J30" i="9"/>
  <c r="J31" i="9"/>
  <c r="J32" i="9"/>
  <c r="I24" i="9"/>
  <c r="I25" i="9"/>
  <c r="I26" i="9"/>
  <c r="I27" i="9"/>
  <c r="I28" i="9"/>
  <c r="I29" i="9"/>
  <c r="I30" i="9"/>
  <c r="I31" i="9"/>
  <c r="I32" i="9"/>
  <c r="H24" i="9"/>
  <c r="H25" i="9"/>
  <c r="H26" i="9"/>
  <c r="H27" i="9"/>
  <c r="H28" i="9"/>
  <c r="H29" i="9"/>
  <c r="H30" i="9"/>
  <c r="H31" i="9"/>
  <c r="H32" i="9"/>
  <c r="G24" i="9"/>
  <c r="G25" i="9"/>
  <c r="G26" i="9"/>
  <c r="G27" i="9"/>
  <c r="G28" i="9"/>
  <c r="G29" i="9"/>
  <c r="G30" i="9"/>
  <c r="G31" i="9"/>
  <c r="G32" i="9"/>
  <c r="F24" i="9"/>
  <c r="F25" i="9"/>
  <c r="F26" i="9"/>
  <c r="F27" i="9"/>
  <c r="F28" i="9"/>
  <c r="F29" i="9"/>
  <c r="F30" i="9"/>
  <c r="F31" i="9"/>
  <c r="F32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J27" i="9" s="1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J28" i="9" s="1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8" i="7" l="1"/>
  <c r="R23" i="9"/>
  <c r="AW27" i="7"/>
  <c r="R22" i="9"/>
  <c r="G22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O26" i="7"/>
  <c r="N21" i="9"/>
  <c r="AK26" i="7"/>
  <c r="J21" i="9"/>
  <c r="AG26" i="7"/>
  <c r="F21" i="9"/>
  <c r="AR26" i="7"/>
  <c r="Q21" i="9"/>
  <c r="AL26" i="7"/>
  <c r="K21" i="9"/>
  <c r="AH26" i="7"/>
  <c r="G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<sst xmlns="http://schemas.openxmlformats.org/spreadsheetml/2006/main" count="128" uniqueCount="49">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</sst>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0" fillId="0" borderId="0" xfId="0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Submetering!R9</f>
        <v>704.84334199999989</v>
      </c>
      <c r="H9" s="11">
        <v>0.52800000000000002</v>
      </c>
      <c r="I9" s="12">
        <f>Hotel!B14</f>
        <v>129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47580</v>
      </c>
      <c r="F10" s="11">
        <v>5.0000000000000001E-3</v>
      </c>
      <c r="G10" s="12">
        <f>Submetering!R10</f>
        <v>689.70170199999995</v>
      </c>
      <c r="H10" s="11">
        <v>0.52800000000000002</v>
      </c>
      <c r="I10" s="12">
        <f>Hotel!B15</f>
        <v>166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45660</v>
      </c>
      <c r="F11" s="11">
        <v>5.0000000000000001E-3</v>
      </c>
      <c r="G11" s="12">
        <f>Submetering!R11</f>
        <v>674.56006200000002</v>
      </c>
      <c r="H11" s="11">
        <v>0.52800000000000002</v>
      </c>
      <c r="I11" s="12">
        <f>Hotel!B16</f>
        <v>117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45170</v>
      </c>
      <c r="F12" s="11">
        <v>5.0000000000000001E-3</v>
      </c>
      <c r="G12" s="12">
        <f>Submetering!R12</f>
        <v>831.27603600000009</v>
      </c>
      <c r="H12" s="11">
        <v>0.52800000000000002</v>
      </c>
      <c r="I12" s="12">
        <f>Hotel!B17</f>
        <v>96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46550</v>
      </c>
      <c r="F13" s="11">
        <v>5.0000000000000001E-3</v>
      </c>
      <c r="G13" s="12">
        <f>Submetering!R13</f>
        <v>647.30511000000001</v>
      </c>
      <c r="H13" s="11">
        <v>0.52800000000000002</v>
      </c>
      <c r="I13" s="12">
        <f>Hotel!B18</f>
        <v>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42910</v>
      </c>
      <c r="F14" s="11">
        <v>5.0000000000000001E-3</v>
      </c>
      <c r="G14" s="12">
        <f>Submetering!R14</f>
        <v>681.752341</v>
      </c>
      <c r="H14" s="11">
        <v>0.52800000000000002</v>
      </c>
      <c r="I14" s="12">
        <f>Hotel!B19</f>
        <v>14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37520</v>
      </c>
      <c r="F15" s="11">
        <v>5.0000000000000001E-3</v>
      </c>
      <c r="G15" s="12">
        <f>Submetering!R15</f>
        <v>546.23466299999995</v>
      </c>
      <c r="H15" s="11">
        <v>0.52800000000000002</v>
      </c>
      <c r="I15" s="12">
        <f>Hotel!B20</f>
        <v>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40560</v>
      </c>
      <c r="F16" s="11">
        <v>5.0000000000000001E-3</v>
      </c>
      <c r="G16" s="12">
        <f>Submetering!R16</f>
        <v>107.12710299999999</v>
      </c>
      <c r="H16" s="11">
        <v>0.52800000000000002</v>
      </c>
      <c r="I16" s="12">
        <f>Hotel!B21</f>
        <v>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43470</v>
      </c>
      <c r="F17" s="11">
        <v>5.0000000000000001E-3</v>
      </c>
      <c r="G17" s="12">
        <f>Submetering!R17</f>
        <v>565.540254</v>
      </c>
      <c r="H17" s="11">
        <v>0.52800000000000002</v>
      </c>
      <c r="I17" s="12">
        <f>Hotel!B22</f>
        <v>22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39080</v>
      </c>
      <c r="F18" s="11">
        <v>5.0000000000000001E-3</v>
      </c>
      <c r="G18" s="12">
        <f>Submetering!R18</f>
        <v>552.29131899999993</v>
      </c>
      <c r="H18" s="11">
        <v>0.52800000000000002</v>
      </c>
      <c r="I18" s="12">
        <f>Hotel!B23</f>
        <v>11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43490</v>
      </c>
      <c r="F19" s="11">
        <v>5.0000000000000001E-3</v>
      </c>
      <c r="G19" s="12">
        <f>Submetering!R19</f>
        <v>693.48711199999991</v>
      </c>
      <c r="H19" s="11">
        <v>0.52800000000000002</v>
      </c>
      <c r="I19" s="12">
        <f>Hotel!B24</f>
        <v>16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38569</v>
      </c>
      <c r="F20" s="11">
        <v>5.0000000000000001E-3</v>
      </c>
      <c r="G20" s="12">
        <f>Submetering!R20</f>
        <v>595.06645200000003</v>
      </c>
      <c r="H20" s="11">
        <v>0.52800000000000002</v>
      </c>
      <c r="I20" s="12">
        <f>Hotel!B25</f>
        <v>19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36781</v>
      </c>
      <c r="F21" s="11">
        <v>5.0000000000000001E-3</v>
      </c>
      <c r="G21" s="12">
        <f>Submetering!R21</f>
        <v>654.497389</v>
      </c>
      <c r="H21" s="11">
        <v>0.52800000000000002</v>
      </c>
      <c r="I21" s="12">
        <f>Hotel!B26</f>
        <v>26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41350</v>
      </c>
      <c r="F22" s="11">
        <v>5.0000000000000001E-3</v>
      </c>
      <c r="G22" s="12">
        <f>Submetering!R22</f>
        <v>670.39611100000002</v>
      </c>
      <c r="H22" s="11">
        <v>0.52800000000000002</v>
      </c>
      <c r="I22" s="12">
        <f>Hotel!B27</f>
        <v>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Hotel!AV14*0.00378541*100</f>
        <v>704.84334199999989</v>
      </c>
      <c r="S9" s="4">
        <f>Hotel!B14</f>
        <v>129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3690</v>
      </c>
      <c r="H10" s="4">
        <f>Hotel!T15</f>
        <v>1510</v>
      </c>
      <c r="I10" s="4">
        <f>Hotel!U15</f>
        <v>3940</v>
      </c>
      <c r="J10" s="4">
        <f>Hotel!V15</f>
        <v>2840</v>
      </c>
      <c r="K10" s="4">
        <f>Hotel!W15</f>
        <v>2280</v>
      </c>
      <c r="L10" s="4">
        <f>Hotel!X15</f>
        <v>3300</v>
      </c>
      <c r="M10" s="4">
        <f>Hotel!Y15</f>
        <v>4480</v>
      </c>
      <c r="N10" s="4">
        <f>Hotel!Z15</f>
        <v>2470</v>
      </c>
      <c r="O10" s="4">
        <f>Hotel!AA15</f>
        <v>3670</v>
      </c>
      <c r="P10" s="4">
        <f>Hotel!AB15</f>
        <v>6540</v>
      </c>
      <c r="Q10" s="4">
        <f>Hotel!AC15</f>
        <v>10420</v>
      </c>
      <c r="R10" s="4">
        <f>Hotel!AV15*0.00378541*100</f>
        <v>689.70170199999995</v>
      </c>
      <c r="S10" s="4">
        <f>Hotel!B15</f>
        <v>166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540</v>
      </c>
      <c r="F11" s="4">
        <f>Hotel!R16</f>
        <v>1810</v>
      </c>
      <c r="G11" s="4">
        <f>Hotel!S16</f>
        <v>3560</v>
      </c>
      <c r="H11" s="4">
        <f>Hotel!T16</f>
        <v>1480</v>
      </c>
      <c r="I11" s="4">
        <f>Hotel!U16</f>
        <v>4170</v>
      </c>
      <c r="J11" s="4">
        <f>Hotel!V16</f>
        <v>2760</v>
      </c>
      <c r="K11" s="4">
        <f>Hotel!W16</f>
        <v>2190</v>
      </c>
      <c r="L11" s="4">
        <f>Hotel!X16</f>
        <v>3090</v>
      </c>
      <c r="M11" s="4">
        <f>Hotel!Y16</f>
        <v>4210</v>
      </c>
      <c r="N11" s="4">
        <f>Hotel!Z16</f>
        <v>2320</v>
      </c>
      <c r="O11" s="4">
        <f>Hotel!AA16</f>
        <v>3600</v>
      </c>
      <c r="P11" s="4">
        <f>Hotel!AB16</f>
        <v>6300</v>
      </c>
      <c r="Q11" s="4">
        <f>Hotel!AC16</f>
        <v>9630</v>
      </c>
      <c r="R11" s="4">
        <f>Hotel!AV16*0.00378541*100</f>
        <v>674.56006200000002</v>
      </c>
      <c r="S11" s="4">
        <f>Hotel!B16</f>
        <v>117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540</v>
      </c>
      <c r="F12" s="4">
        <f>Hotel!R17</f>
        <v>1850</v>
      </c>
      <c r="G12" s="4">
        <f>Hotel!S17</f>
        <v>3410</v>
      </c>
      <c r="H12" s="4">
        <f>Hotel!T17</f>
        <v>1470</v>
      </c>
      <c r="I12" s="4">
        <f>Hotel!U17</f>
        <v>3900</v>
      </c>
      <c r="J12" s="4">
        <f>Hotel!V17</f>
        <v>2680</v>
      </c>
      <c r="K12" s="4">
        <f>Hotel!W17</f>
        <v>2220</v>
      </c>
      <c r="L12" s="4">
        <f>Hotel!X17</f>
        <v>2640</v>
      </c>
      <c r="M12" s="4">
        <f>Hotel!Y17</f>
        <v>4170</v>
      </c>
      <c r="N12" s="4">
        <f>Hotel!Z17</f>
        <v>2260</v>
      </c>
      <c r="O12" s="4">
        <f>Hotel!AA17</f>
        <v>3710</v>
      </c>
      <c r="P12" s="4">
        <f>Hotel!AB17</f>
        <v>6460</v>
      </c>
      <c r="Q12" s="4">
        <f>Hotel!AC17</f>
        <v>9860</v>
      </c>
      <c r="R12" s="4">
        <f>Hotel!AV17*0.00378541*100</f>
        <v>831.27603600000009</v>
      </c>
      <c r="S12" s="4">
        <f>Hotel!B17</f>
        <v>96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580</v>
      </c>
      <c r="F13" s="4">
        <f>Hotel!R18</f>
        <v>1980</v>
      </c>
      <c r="G13" s="4">
        <f>Hotel!S18</f>
        <v>3560</v>
      </c>
      <c r="H13" s="4">
        <f>Hotel!T18</f>
        <v>1560</v>
      </c>
      <c r="I13" s="4">
        <f>Hotel!U18</f>
        <v>3870</v>
      </c>
      <c r="J13" s="4">
        <f>Hotel!V18</f>
        <v>2710</v>
      </c>
      <c r="K13" s="4">
        <f>Hotel!W18</f>
        <v>2360</v>
      </c>
      <c r="L13" s="4">
        <f>Hotel!X18</f>
        <v>2600</v>
      </c>
      <c r="M13" s="4">
        <f>Hotel!Y18</f>
        <v>4200</v>
      </c>
      <c r="N13" s="4">
        <f>Hotel!Z18</f>
        <v>2320</v>
      </c>
      <c r="O13" s="4">
        <f>Hotel!AA18</f>
        <v>3190</v>
      </c>
      <c r="P13" s="4">
        <f>Hotel!AB18</f>
        <v>6810</v>
      </c>
      <c r="Q13" s="4">
        <f>Hotel!AC18</f>
        <v>10810</v>
      </c>
      <c r="R13" s="4">
        <f>Hotel!AV18*0.00378541*100</f>
        <v>647.30511000000001</v>
      </c>
      <c r="S13" s="4">
        <f>Hotel!B18</f>
        <v>32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570</v>
      </c>
      <c r="F14" s="4">
        <f>Hotel!R19</f>
        <v>1950</v>
      </c>
      <c r="G14" s="4">
        <f>Hotel!S19</f>
        <v>3410</v>
      </c>
      <c r="H14" s="4">
        <f>Hotel!T19</f>
        <v>1540</v>
      </c>
      <c r="I14" s="4">
        <f>Hotel!U19</f>
        <v>3330</v>
      </c>
      <c r="J14" s="4">
        <f>Hotel!V19</f>
        <v>2490</v>
      </c>
      <c r="K14" s="4">
        <f>Hotel!W19</f>
        <v>2310</v>
      </c>
      <c r="L14" s="4">
        <f>Hotel!X19</f>
        <v>2560</v>
      </c>
      <c r="M14" s="4">
        <f>Hotel!Y19</f>
        <v>3690</v>
      </c>
      <c r="N14" s="4">
        <f>Hotel!Z19</f>
        <v>2050</v>
      </c>
      <c r="O14" s="4">
        <f>Hotel!AA19</f>
        <v>2820</v>
      </c>
      <c r="P14" s="4">
        <f>Hotel!AB19</f>
        <v>6510</v>
      </c>
      <c r="Q14" s="4">
        <f>Hotel!AC19</f>
        <v>9680</v>
      </c>
      <c r="R14" s="4">
        <f>Hotel!AV19*0.00378541*100</f>
        <v>681.752341</v>
      </c>
      <c r="S14" s="4">
        <f>Hotel!B19</f>
        <v>14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510</v>
      </c>
      <c r="F15" s="4">
        <f>Hotel!R20</f>
        <v>1750</v>
      </c>
      <c r="G15" s="4">
        <f>Hotel!S20</f>
        <v>2930</v>
      </c>
      <c r="H15" s="4">
        <f>Hotel!T20</f>
        <v>1380</v>
      </c>
      <c r="I15" s="4">
        <f>Hotel!U20</f>
        <v>2630</v>
      </c>
      <c r="J15" s="4">
        <f>Hotel!V20</f>
        <v>2230</v>
      </c>
      <c r="K15" s="4">
        <f>Hotel!W20</f>
        <v>2080</v>
      </c>
      <c r="L15" s="4">
        <f>Hotel!X20</f>
        <v>1950</v>
      </c>
      <c r="M15" s="4">
        <f>Hotel!Y20</f>
        <v>3260</v>
      </c>
      <c r="N15" s="4">
        <f>Hotel!Z20</f>
        <v>1210</v>
      </c>
      <c r="O15" s="4">
        <f>Hotel!AA20</f>
        <v>2440</v>
      </c>
      <c r="P15" s="4">
        <f>Hotel!AB20</f>
        <v>5680</v>
      </c>
      <c r="Q15" s="4">
        <f>Hotel!AC20</f>
        <v>9470</v>
      </c>
      <c r="R15" s="4">
        <f>Hotel!AV20*0.00378541*100</f>
        <v>546.23466299999995</v>
      </c>
      <c r="S15" s="4">
        <f>Hotel!B20</f>
        <v>9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550</v>
      </c>
      <c r="F16" s="4">
        <f>Hotel!R21</f>
        <v>1880</v>
      </c>
      <c r="G16" s="4">
        <f>Hotel!S21</f>
        <v>3060</v>
      </c>
      <c r="H16" s="4">
        <f>Hotel!T21</f>
        <v>1490</v>
      </c>
      <c r="I16" s="4">
        <f>Hotel!U21</f>
        <v>2560</v>
      </c>
      <c r="J16" s="4">
        <f>Hotel!V21</f>
        <v>2450</v>
      </c>
      <c r="K16" s="4">
        <f>Hotel!W21</f>
        <v>2270</v>
      </c>
      <c r="L16" s="4">
        <f>Hotel!X21</f>
        <v>1890</v>
      </c>
      <c r="M16" s="4">
        <f>Hotel!Y21</f>
        <v>3390</v>
      </c>
      <c r="N16" s="4">
        <f>Hotel!Z21</f>
        <v>1290</v>
      </c>
      <c r="O16" s="4">
        <f>Hotel!AA21</f>
        <v>2570</v>
      </c>
      <c r="P16" s="4">
        <f>Hotel!AB21</f>
        <v>6200</v>
      </c>
      <c r="Q16" s="4">
        <f>Hotel!AC21</f>
        <v>10960</v>
      </c>
      <c r="R16" s="4">
        <f>Hotel!AV21*0.00378541*100</f>
        <v>107.12710299999999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580</v>
      </c>
      <c r="F17" s="4">
        <f>Hotel!R22</f>
        <v>2010</v>
      </c>
      <c r="G17" s="4">
        <f>Hotel!S22</f>
        <v>3400</v>
      </c>
      <c r="H17" s="4">
        <f>Hotel!T22</f>
        <v>1580</v>
      </c>
      <c r="I17" s="4">
        <f>Hotel!U22</f>
        <v>2680</v>
      </c>
      <c r="J17" s="4">
        <f>Hotel!V22</f>
        <v>2680</v>
      </c>
      <c r="K17" s="4">
        <f>Hotel!W22</f>
        <v>2380</v>
      </c>
      <c r="L17" s="4">
        <f>Hotel!X22</f>
        <v>1880</v>
      </c>
      <c r="M17" s="4">
        <f>Hotel!Y22</f>
        <v>3670</v>
      </c>
      <c r="N17" s="4">
        <f>Hotel!Z22</f>
        <v>1400</v>
      </c>
      <c r="O17" s="4">
        <f>Hotel!AA22</f>
        <v>2760</v>
      </c>
      <c r="P17" s="4">
        <f>Hotel!AB22</f>
        <v>6550</v>
      </c>
      <c r="Q17" s="4">
        <f>Hotel!AC22</f>
        <v>11900</v>
      </c>
      <c r="R17" s="4">
        <f>Hotel!AV22*0.00378541*100</f>
        <v>565.540254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530</v>
      </c>
      <c r="F18" s="4">
        <f>Hotel!R23</f>
        <v>1800</v>
      </c>
      <c r="G18" s="4">
        <f>Hotel!S23</f>
        <v>3170</v>
      </c>
      <c r="H18" s="4">
        <f>Hotel!T23</f>
        <v>1440</v>
      </c>
      <c r="I18" s="4">
        <f>Hotel!U23</f>
        <v>2400</v>
      </c>
      <c r="J18" s="4">
        <f>Hotel!V23</f>
        <v>2410</v>
      </c>
      <c r="K18" s="4">
        <f>Hotel!W23</f>
        <v>2170</v>
      </c>
      <c r="L18" s="4">
        <f>Hotel!X23</f>
        <v>1790</v>
      </c>
      <c r="M18" s="4">
        <f>Hotel!Y23</f>
        <v>3350</v>
      </c>
      <c r="N18" s="4">
        <f>Hotel!Z23</f>
        <v>1220</v>
      </c>
      <c r="O18" s="4">
        <f>Hotel!AA23</f>
        <v>2410</v>
      </c>
      <c r="P18" s="4">
        <f>Hotel!AB23</f>
        <v>5640</v>
      </c>
      <c r="Q18" s="4">
        <f>Hotel!AC23</f>
        <v>10750</v>
      </c>
      <c r="R18" s="4">
        <f>Hotel!AV23*0.00378541*100</f>
        <v>552.29131899999993</v>
      </c>
      <c r="S18" s="4">
        <f>Hotel!B23</f>
        <v>11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590</v>
      </c>
      <c r="F19" s="4">
        <f>Hotel!R24</f>
        <v>2020</v>
      </c>
      <c r="G19" s="4">
        <f>Hotel!S24</f>
        <v>3660</v>
      </c>
      <c r="H19" s="4">
        <f>Hotel!T24</f>
        <v>1610</v>
      </c>
      <c r="I19" s="4">
        <f>Hotel!U24</f>
        <v>2620</v>
      </c>
      <c r="J19" s="4">
        <f>Hotel!V24</f>
        <v>2660</v>
      </c>
      <c r="K19" s="4">
        <f>Hotel!W24</f>
        <v>2420</v>
      </c>
      <c r="L19" s="4">
        <f>Hotel!X24</f>
        <v>2160</v>
      </c>
      <c r="M19" s="4">
        <f>Hotel!Y24</f>
        <v>3720</v>
      </c>
      <c r="N19" s="4">
        <f>Hotel!Z24</f>
        <v>1430</v>
      </c>
      <c r="O19" s="4">
        <f>Hotel!AA24</f>
        <v>2930</v>
      </c>
      <c r="P19" s="4">
        <f>Hotel!AB24</f>
        <v>6110</v>
      </c>
      <c r="Q19" s="4">
        <f>Hotel!AC24</f>
        <v>11560</v>
      </c>
      <c r="R19" s="4">
        <f>Hotel!AV24*0.00378541*100</f>
        <v>693.48711199999991</v>
      </c>
      <c r="S19" s="4">
        <f>Hotel!B24</f>
        <v>16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520</v>
      </c>
      <c r="F20" s="4">
        <f>Hotel!R25</f>
        <v>1800</v>
      </c>
      <c r="G20" s="4">
        <f>Hotel!S25</f>
        <v>3410</v>
      </c>
      <c r="H20" s="4">
        <f>Hotel!T25</f>
        <v>1420</v>
      </c>
      <c r="I20" s="4">
        <f>Hotel!U25</f>
        <v>2330</v>
      </c>
      <c r="J20" s="4">
        <f>Hotel!V25</f>
        <v>2419</v>
      </c>
      <c r="K20" s="4">
        <f>Hotel!W25</f>
        <v>2140</v>
      </c>
      <c r="L20" s="4">
        <f>Hotel!X25</f>
        <v>1830</v>
      </c>
      <c r="M20" s="4">
        <f>Hotel!Y25</f>
        <v>3240</v>
      </c>
      <c r="N20" s="4">
        <f>Hotel!Z25</f>
        <v>1350</v>
      </c>
      <c r="O20" s="4">
        <f>Hotel!AA25</f>
        <v>2420</v>
      </c>
      <c r="P20" s="4">
        <f>Hotel!AB25</f>
        <v>5430</v>
      </c>
      <c r="Q20" s="4">
        <f>Hotel!AC25</f>
        <v>10260</v>
      </c>
      <c r="R20" s="4">
        <f>Hotel!AV25*0.00378541*100</f>
        <v>595.06645200000003</v>
      </c>
      <c r="S20" s="4">
        <f>Hotel!B25</f>
        <v>19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540</v>
      </c>
      <c r="F21" s="4">
        <f>Hotel!R26</f>
        <v>1840</v>
      </c>
      <c r="G21" s="4">
        <f>Hotel!S26</f>
        <v>3490</v>
      </c>
      <c r="H21" s="4">
        <f>Hotel!T26</f>
        <v>1460</v>
      </c>
      <c r="I21" s="4">
        <f>Hotel!U26</f>
        <v>2330</v>
      </c>
      <c r="J21" s="4">
        <f>Hotel!V26</f>
        <v>2471</v>
      </c>
      <c r="K21" s="4">
        <f>Hotel!W26</f>
        <v>2200</v>
      </c>
      <c r="L21" s="4">
        <f>Hotel!X26</f>
        <v>2020</v>
      </c>
      <c r="M21" s="4">
        <f>Hotel!Y26</f>
        <v>3230</v>
      </c>
      <c r="N21" s="4">
        <f>Hotel!Z26</f>
        <v>1410</v>
      </c>
      <c r="O21" s="4">
        <f>Hotel!AA26</f>
        <v>2420</v>
      </c>
      <c r="P21" s="4">
        <f>Hotel!AB26</f>
        <v>5610</v>
      </c>
      <c r="Q21" s="4">
        <f>Hotel!AC26</f>
        <v>7760</v>
      </c>
      <c r="R21" s="4">
        <f>Hotel!AV26*0.00378541*100</f>
        <v>654.497389</v>
      </c>
      <c r="S21" s="4">
        <f>Hotel!B26</f>
        <v>26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590</v>
      </c>
      <c r="F22" s="4">
        <f>Hotel!R27</f>
        <v>2010</v>
      </c>
      <c r="G22" s="4">
        <f>Hotel!S27</f>
        <v>3770</v>
      </c>
      <c r="H22" s="4">
        <f>Hotel!T27</f>
        <v>1610</v>
      </c>
      <c r="I22" s="4">
        <f>Hotel!U27</f>
        <v>2590</v>
      </c>
      <c r="J22" s="4">
        <f>Hotel!V27</f>
        <v>2780</v>
      </c>
      <c r="K22" s="4">
        <f>Hotel!W27</f>
        <v>2380</v>
      </c>
      <c r="L22" s="4">
        <f>Hotel!X27</f>
        <v>2250</v>
      </c>
      <c r="M22" s="4">
        <f>Hotel!Y27</f>
        <v>3740</v>
      </c>
      <c r="N22" s="4">
        <f>Hotel!Z27</f>
        <v>1620</v>
      </c>
      <c r="O22" s="4">
        <f>Hotel!AA27</f>
        <v>2880</v>
      </c>
      <c r="P22" s="4">
        <f>Hotel!AB27</f>
        <v>6230</v>
      </c>
      <c r="Q22" s="4">
        <f>Hotel!AC27</f>
        <v>8900</v>
      </c>
      <c r="R22" s="4">
        <f>Hotel!AV27*0.00378541*100</f>
        <v>670.39611100000002</v>
      </c>
      <c r="S22" s="4">
        <f>Hotel!B27</f>
        <v>15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4" zoomScale="93" zoomScaleNormal="93" workbookViewId="0">
      <selection activeCell="AW31" sqref="AW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53"/>
      <c r="Q14" s="37">
        <f t="shared" si="16"/>
        <v>530</v>
      </c>
      <c r="R14" s="37">
        <f t="shared" si="17"/>
        <v>1780</v>
      </c>
      <c r="S14" s="37">
        <f t="shared" si="15"/>
        <v>3390</v>
      </c>
      <c r="T14" s="37">
        <f t="shared" si="32"/>
        <v>1430</v>
      </c>
      <c r="U14" s="37">
        <f t="shared" si="32"/>
        <v>3670</v>
      </c>
      <c r="V14" s="37">
        <f t="shared" si="32"/>
        <v>2700</v>
      </c>
      <c r="W14" s="37">
        <f t="shared" si="32"/>
        <v>2140</v>
      </c>
      <c r="X14" s="37">
        <f t="shared" si="22"/>
        <v>2950</v>
      </c>
      <c r="Y14" s="37">
        <f t="shared" si="23"/>
        <v>3970</v>
      </c>
      <c r="Z14" s="37">
        <f>IF((L14-L13&lt;0), "0",L14-L13)</f>
        <v>2220</v>
      </c>
      <c r="AA14" s="37">
        <f t="shared" si="25"/>
        <v>3540</v>
      </c>
      <c r="AB14" s="37">
        <f t="shared" si="26"/>
        <v>6000</v>
      </c>
      <c r="AC14" s="37">
        <f t="shared" si="27"/>
        <v>7930</v>
      </c>
      <c r="AD14" s="35">
        <f t="shared" si="28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29"/>
        <v>211.25</v>
      </c>
      <c r="AU14" s="47">
        <v>546613</v>
      </c>
      <c r="AV14" s="37">
        <f t="shared" si="31"/>
        <v>1862</v>
      </c>
      <c r="AW14" s="35">
        <f t="shared" si="30"/>
        <v>3.7240000000000002</v>
      </c>
    </row>
    <row r="15" spans="1:49" x14ac:dyDescent="0.25">
      <c r="A15" s="23">
        <v>44295</v>
      </c>
      <c r="B15" s="40">
        <v>166</v>
      </c>
      <c r="C15" s="24">
        <v>6561390</v>
      </c>
      <c r="D15" s="24">
        <v>15220630</v>
      </c>
      <c r="E15" s="24">
        <v>2539220</v>
      </c>
      <c r="F15" s="24">
        <v>3380770</v>
      </c>
      <c r="G15" s="24">
        <v>10167850</v>
      </c>
      <c r="H15" s="24">
        <v>5338370</v>
      </c>
      <c r="I15" s="24">
        <v>4942380</v>
      </c>
      <c r="J15" s="24">
        <v>5739380</v>
      </c>
      <c r="K15" s="24">
        <v>8931220</v>
      </c>
      <c r="L15" s="24">
        <v>3696870</v>
      </c>
      <c r="M15" s="24">
        <v>7719260</v>
      </c>
      <c r="N15" s="24">
        <v>11628840</v>
      </c>
      <c r="O15" s="24">
        <v>16081380</v>
      </c>
      <c r="Q15" s="37">
        <f t="shared" si="16"/>
        <v>550</v>
      </c>
      <c r="R15" s="37">
        <f t="shared" si="17"/>
        <v>1890</v>
      </c>
      <c r="S15" s="37">
        <f t="shared" si="15"/>
        <v>3690</v>
      </c>
      <c r="T15" s="37">
        <f t="shared" si="18"/>
        <v>1510</v>
      </c>
      <c r="U15" s="37">
        <f t="shared" si="19"/>
        <v>3940</v>
      </c>
      <c r="V15" s="37">
        <f t="shared" si="20"/>
        <v>2840</v>
      </c>
      <c r="W15" s="37">
        <f t="shared" si="21"/>
        <v>2280</v>
      </c>
      <c r="X15" s="37">
        <f t="shared" si="22"/>
        <v>3300</v>
      </c>
      <c r="Y15" s="37">
        <f t="shared" si="23"/>
        <v>4480</v>
      </c>
      <c r="Z15" s="37">
        <f t="shared" si="24"/>
        <v>2470</v>
      </c>
      <c r="AA15" s="37">
        <f t="shared" si="25"/>
        <v>3670</v>
      </c>
      <c r="AB15" s="37">
        <f t="shared" si="26"/>
        <v>6540</v>
      </c>
      <c r="AC15" s="37">
        <f t="shared" si="27"/>
        <v>10420</v>
      </c>
      <c r="AD15" s="35">
        <f t="shared" si="28"/>
        <v>47580</v>
      </c>
      <c r="AF15" s="20">
        <f t="shared" si="1"/>
        <v>2.75</v>
      </c>
      <c r="AG15" s="20">
        <f t="shared" si="2"/>
        <v>9.4500000000000011</v>
      </c>
      <c r="AH15" s="20">
        <f t="shared" si="3"/>
        <v>18.45</v>
      </c>
      <c r="AI15" s="20">
        <f t="shared" si="4"/>
        <v>7.55</v>
      </c>
      <c r="AJ15" s="20">
        <f t="shared" si="5"/>
        <v>19.7</v>
      </c>
      <c r="AK15" s="20">
        <f t="shared" si="6"/>
        <v>14.200000000000001</v>
      </c>
      <c r="AL15" s="20">
        <f t="shared" si="7"/>
        <v>11.4</v>
      </c>
      <c r="AM15" s="20">
        <f t="shared" si="8"/>
        <v>16.5</v>
      </c>
      <c r="AN15" s="20">
        <f t="shared" si="9"/>
        <v>22.400000000000002</v>
      </c>
      <c r="AO15" s="20">
        <f t="shared" si="10"/>
        <v>12.35</v>
      </c>
      <c r="AP15" s="20">
        <f t="shared" si="11"/>
        <v>18.350000000000001</v>
      </c>
      <c r="AQ15" s="20">
        <f t="shared" si="12"/>
        <v>32.700000000000003</v>
      </c>
      <c r="AR15" s="20">
        <f t="shared" si="13"/>
        <v>52.1</v>
      </c>
      <c r="AS15" s="35">
        <f t="shared" si="29"/>
        <v>237.9</v>
      </c>
      <c r="AU15" s="47">
        <v>548435</v>
      </c>
      <c r="AV15" s="37">
        <f t="shared" si="31"/>
        <v>1822</v>
      </c>
      <c r="AW15" s="35">
        <f t="shared" si="30"/>
        <v>3.6440000000000001</v>
      </c>
    </row>
    <row r="16" spans="1:49" x14ac:dyDescent="0.25">
      <c r="A16" s="23">
        <v>44296</v>
      </c>
      <c r="B16" s="40">
        <v>117</v>
      </c>
      <c r="C16" s="24">
        <v>6561930</v>
      </c>
      <c r="D16" s="24">
        <v>15222440</v>
      </c>
      <c r="E16" s="24">
        <v>2542780</v>
      </c>
      <c r="F16" s="24">
        <v>3382250</v>
      </c>
      <c r="G16" s="24">
        <v>10172020</v>
      </c>
      <c r="H16" s="24">
        <v>5341130</v>
      </c>
      <c r="I16" s="24">
        <v>4944570</v>
      </c>
      <c r="J16" s="24">
        <v>5742470</v>
      </c>
      <c r="K16" s="24">
        <v>8935430</v>
      </c>
      <c r="L16" s="24">
        <v>3699190</v>
      </c>
      <c r="M16" s="24">
        <v>7722860</v>
      </c>
      <c r="N16" s="24">
        <v>11635140</v>
      </c>
      <c r="O16" s="24">
        <v>16091010</v>
      </c>
      <c r="Q16" s="37">
        <f t="shared" si="16"/>
        <v>540</v>
      </c>
      <c r="R16" s="37">
        <f t="shared" si="17"/>
        <v>1810</v>
      </c>
      <c r="S16" s="37">
        <f t="shared" si="15"/>
        <v>3560</v>
      </c>
      <c r="T16" s="37">
        <f t="shared" si="18"/>
        <v>1480</v>
      </c>
      <c r="U16" s="37">
        <f t="shared" si="19"/>
        <v>4170</v>
      </c>
      <c r="V16" s="37">
        <f t="shared" si="20"/>
        <v>2760</v>
      </c>
      <c r="W16" s="37">
        <f t="shared" si="21"/>
        <v>2190</v>
      </c>
      <c r="X16" s="37">
        <f t="shared" si="22"/>
        <v>3090</v>
      </c>
      <c r="Y16" s="37">
        <f t="shared" si="23"/>
        <v>4210</v>
      </c>
      <c r="Z16" s="37">
        <f t="shared" si="24"/>
        <v>2320</v>
      </c>
      <c r="AA16" s="37">
        <f t="shared" si="25"/>
        <v>3600</v>
      </c>
      <c r="AB16" s="37">
        <f t="shared" si="26"/>
        <v>6300</v>
      </c>
      <c r="AC16" s="37">
        <f t="shared" si="27"/>
        <v>9630</v>
      </c>
      <c r="AD16" s="35">
        <f t="shared" si="28"/>
        <v>45660</v>
      </c>
      <c r="AF16" s="20">
        <f t="shared" si="1"/>
        <v>2.7</v>
      </c>
      <c r="AG16" s="20">
        <f t="shared" si="2"/>
        <v>9.0500000000000007</v>
      </c>
      <c r="AH16" s="20">
        <f t="shared" si="3"/>
        <v>17.8</v>
      </c>
      <c r="AI16" s="20">
        <f t="shared" si="4"/>
        <v>7.4</v>
      </c>
      <c r="AJ16" s="20">
        <f t="shared" si="5"/>
        <v>20.85</v>
      </c>
      <c r="AK16" s="20">
        <f t="shared" si="6"/>
        <v>13.8</v>
      </c>
      <c r="AL16" s="20">
        <f t="shared" si="7"/>
        <v>10.950000000000001</v>
      </c>
      <c r="AM16" s="20">
        <f t="shared" si="8"/>
        <v>15.450000000000001</v>
      </c>
      <c r="AN16" s="20">
        <f t="shared" si="9"/>
        <v>21.05</v>
      </c>
      <c r="AO16" s="20">
        <f t="shared" si="10"/>
        <v>11.6</v>
      </c>
      <c r="AP16" s="20">
        <f t="shared" si="11"/>
        <v>18</v>
      </c>
      <c r="AQ16" s="20">
        <f t="shared" si="12"/>
        <v>31.5</v>
      </c>
      <c r="AR16" s="20">
        <f t="shared" si="13"/>
        <v>48.15</v>
      </c>
      <c r="AS16" s="35">
        <f t="shared" si="29"/>
        <v>228.3</v>
      </c>
      <c r="AU16" s="47">
        <v>550217</v>
      </c>
      <c r="AV16" s="37">
        <f t="shared" si="31"/>
        <v>1782</v>
      </c>
      <c r="AW16" s="35">
        <f t="shared" si="30"/>
        <v>3.5640000000000001</v>
      </c>
    </row>
    <row r="17" spans="1:49" x14ac:dyDescent="0.25">
      <c r="A17" s="23">
        <v>44297</v>
      </c>
      <c r="B17" s="40">
        <v>96</v>
      </c>
      <c r="C17" s="24">
        <v>6562470</v>
      </c>
      <c r="D17" s="24">
        <v>15224290</v>
      </c>
      <c r="E17" s="24">
        <v>2546190</v>
      </c>
      <c r="F17" s="24">
        <v>3383720</v>
      </c>
      <c r="G17" s="24">
        <v>10175920</v>
      </c>
      <c r="H17" s="24">
        <v>5343810</v>
      </c>
      <c r="I17" s="24">
        <v>4946790</v>
      </c>
      <c r="J17" s="24">
        <v>5745110</v>
      </c>
      <c r="K17" s="24">
        <v>8939600</v>
      </c>
      <c r="L17" s="24">
        <v>3701450</v>
      </c>
      <c r="M17" s="24">
        <v>7726570</v>
      </c>
      <c r="N17" s="24">
        <v>11641600</v>
      </c>
      <c r="O17" s="24">
        <v>16100870</v>
      </c>
      <c r="Q17" s="37">
        <f t="shared" si="16"/>
        <v>540</v>
      </c>
      <c r="R17" s="37">
        <f t="shared" si="17"/>
        <v>1850</v>
      </c>
      <c r="S17" s="37">
        <f t="shared" si="15"/>
        <v>3410</v>
      </c>
      <c r="T17" s="37">
        <f t="shared" si="18"/>
        <v>1470</v>
      </c>
      <c r="U17" s="37">
        <f t="shared" si="19"/>
        <v>3900</v>
      </c>
      <c r="V17" s="37">
        <f t="shared" si="20"/>
        <v>2680</v>
      </c>
      <c r="W17" s="37">
        <f t="shared" si="21"/>
        <v>2220</v>
      </c>
      <c r="X17" s="37">
        <f t="shared" si="22"/>
        <v>2640</v>
      </c>
      <c r="Y17" s="37">
        <f t="shared" si="23"/>
        <v>4170</v>
      </c>
      <c r="Z17" s="37">
        <f t="shared" si="24"/>
        <v>2260</v>
      </c>
      <c r="AA17" s="37">
        <f t="shared" si="25"/>
        <v>3710</v>
      </c>
      <c r="AB17" s="37">
        <f t="shared" si="26"/>
        <v>6460</v>
      </c>
      <c r="AC17" s="37">
        <f t="shared" si="27"/>
        <v>9860</v>
      </c>
      <c r="AD17" s="35">
        <f t="shared" si="28"/>
        <v>45170</v>
      </c>
      <c r="AF17" s="20">
        <f t="shared" si="1"/>
        <v>2.7</v>
      </c>
      <c r="AG17" s="20">
        <f t="shared" si="2"/>
        <v>9.25</v>
      </c>
      <c r="AH17" s="20">
        <f t="shared" si="3"/>
        <v>17.05</v>
      </c>
      <c r="AI17" s="20">
        <f t="shared" si="4"/>
        <v>7.3500000000000005</v>
      </c>
      <c r="AJ17" s="20">
        <f t="shared" si="5"/>
        <v>19.5</v>
      </c>
      <c r="AK17" s="20">
        <f t="shared" si="6"/>
        <v>13.4</v>
      </c>
      <c r="AL17" s="20">
        <f t="shared" si="7"/>
        <v>11.1</v>
      </c>
      <c r="AM17" s="20">
        <f t="shared" si="8"/>
        <v>13.200000000000001</v>
      </c>
      <c r="AN17" s="20">
        <f t="shared" si="9"/>
        <v>20.85</v>
      </c>
      <c r="AO17" s="20">
        <f t="shared" si="10"/>
        <v>11.3</v>
      </c>
      <c r="AP17" s="20">
        <f t="shared" si="11"/>
        <v>18.55</v>
      </c>
      <c r="AQ17" s="20">
        <f t="shared" si="12"/>
        <v>32.299999999999997</v>
      </c>
      <c r="AR17" s="20">
        <f t="shared" si="13"/>
        <v>49.300000000000004</v>
      </c>
      <c r="AS17" s="35">
        <f t="shared" si="29"/>
        <v>225.85000000000002</v>
      </c>
      <c r="AU17" s="47">
        <v>552413</v>
      </c>
      <c r="AV17" s="37">
        <f t="shared" si="31"/>
        <v>2196</v>
      </c>
      <c r="AW17" s="35">
        <f t="shared" si="30"/>
        <v>4.3920000000000003</v>
      </c>
    </row>
    <row r="18" spans="1:49" x14ac:dyDescent="0.25">
      <c r="A18" s="23">
        <v>44298</v>
      </c>
      <c r="B18" s="40">
        <v>32</v>
      </c>
      <c r="C18" s="24">
        <v>6563050</v>
      </c>
      <c r="D18" s="24">
        <v>15226270</v>
      </c>
      <c r="E18" s="24">
        <v>2549750</v>
      </c>
      <c r="F18" s="24">
        <v>3385280</v>
      </c>
      <c r="G18" s="24">
        <v>10179790</v>
      </c>
      <c r="H18" s="24">
        <v>5346520</v>
      </c>
      <c r="I18" s="24">
        <v>4949150</v>
      </c>
      <c r="J18" s="24">
        <v>5747710</v>
      </c>
      <c r="K18" s="24">
        <v>8943800</v>
      </c>
      <c r="L18" s="24">
        <v>3703770</v>
      </c>
      <c r="M18" s="24">
        <v>7729760</v>
      </c>
      <c r="N18" s="24">
        <v>11648410</v>
      </c>
      <c r="O18" s="24">
        <v>16111680</v>
      </c>
      <c r="Q18" s="37">
        <f t="shared" si="16"/>
        <v>580</v>
      </c>
      <c r="R18" s="37">
        <f t="shared" si="17"/>
        <v>1980</v>
      </c>
      <c r="S18" s="37">
        <f t="shared" si="15"/>
        <v>3560</v>
      </c>
      <c r="T18" s="37">
        <f t="shared" si="18"/>
        <v>1560</v>
      </c>
      <c r="U18" s="37">
        <f t="shared" si="19"/>
        <v>3870</v>
      </c>
      <c r="V18" s="37">
        <f t="shared" si="20"/>
        <v>2710</v>
      </c>
      <c r="W18" s="37">
        <f t="shared" si="21"/>
        <v>2360</v>
      </c>
      <c r="X18" s="37">
        <f t="shared" si="22"/>
        <v>2600</v>
      </c>
      <c r="Y18" s="37">
        <f t="shared" si="23"/>
        <v>4200</v>
      </c>
      <c r="Z18" s="37">
        <f t="shared" si="24"/>
        <v>2320</v>
      </c>
      <c r="AA18" s="37">
        <f t="shared" si="25"/>
        <v>3190</v>
      </c>
      <c r="AB18" s="37">
        <f t="shared" si="26"/>
        <v>6810</v>
      </c>
      <c r="AC18" s="37">
        <f t="shared" si="27"/>
        <v>10810</v>
      </c>
      <c r="AD18" s="35">
        <f t="shared" si="28"/>
        <v>46550</v>
      </c>
      <c r="AF18" s="20">
        <f t="shared" si="1"/>
        <v>2.9</v>
      </c>
      <c r="AG18" s="20">
        <f t="shared" si="2"/>
        <v>9.9</v>
      </c>
      <c r="AH18" s="20">
        <f t="shared" si="3"/>
        <v>17.8</v>
      </c>
      <c r="AI18" s="20">
        <f t="shared" si="4"/>
        <v>7.8</v>
      </c>
      <c r="AJ18" s="20">
        <f t="shared" si="5"/>
        <v>19.350000000000001</v>
      </c>
      <c r="AK18" s="20">
        <f t="shared" si="6"/>
        <v>13.55</v>
      </c>
      <c r="AL18" s="20">
        <f t="shared" si="7"/>
        <v>11.8</v>
      </c>
      <c r="AM18" s="20">
        <f t="shared" si="8"/>
        <v>13</v>
      </c>
      <c r="AN18" s="20">
        <f t="shared" si="9"/>
        <v>21</v>
      </c>
      <c r="AO18" s="20">
        <f t="shared" si="10"/>
        <v>11.6</v>
      </c>
      <c r="AP18" s="20">
        <f t="shared" si="11"/>
        <v>15.950000000000001</v>
      </c>
      <c r="AQ18" s="20">
        <f t="shared" si="12"/>
        <v>34.049999999999997</v>
      </c>
      <c r="AR18" s="20">
        <f t="shared" si="13"/>
        <v>54.050000000000004</v>
      </c>
      <c r="AS18" s="35">
        <f t="shared" si="29"/>
        <v>232.75</v>
      </c>
      <c r="AU18" s="47">
        <v>554123</v>
      </c>
      <c r="AV18" s="37">
        <f t="shared" si="31"/>
        <v>1710</v>
      </c>
      <c r="AW18" s="35">
        <f t="shared" si="30"/>
        <v>3.42</v>
      </c>
    </row>
    <row r="19" spans="1:49" x14ac:dyDescent="0.25">
      <c r="A19" s="23">
        <v>44299</v>
      </c>
      <c r="B19" s="40">
        <v>14</v>
      </c>
      <c r="C19" s="24">
        <v>6563620</v>
      </c>
      <c r="D19" s="24">
        <v>15228220</v>
      </c>
      <c r="E19" s="24">
        <v>2553160</v>
      </c>
      <c r="F19" s="24">
        <v>3386820</v>
      </c>
      <c r="G19" s="24">
        <v>10183120</v>
      </c>
      <c r="H19" s="24">
        <v>5349010</v>
      </c>
      <c r="I19" s="24">
        <v>4951460</v>
      </c>
      <c r="J19" s="24">
        <v>5750270</v>
      </c>
      <c r="K19" s="24">
        <v>8947490</v>
      </c>
      <c r="L19" s="24">
        <v>3705820</v>
      </c>
      <c r="M19" s="24">
        <v>7732580</v>
      </c>
      <c r="N19" s="24">
        <v>11654920</v>
      </c>
      <c r="O19" s="24">
        <v>16121360</v>
      </c>
      <c r="Q19" s="37">
        <f t="shared" si="16"/>
        <v>570</v>
      </c>
      <c r="R19" s="37">
        <f t="shared" si="17"/>
        <v>1950</v>
      </c>
      <c r="S19" s="37">
        <f t="shared" si="15"/>
        <v>3410</v>
      </c>
      <c r="T19" s="37">
        <f t="shared" si="18"/>
        <v>1540</v>
      </c>
      <c r="U19" s="37">
        <f t="shared" si="19"/>
        <v>3330</v>
      </c>
      <c r="V19" s="37">
        <f t="shared" si="20"/>
        <v>2490</v>
      </c>
      <c r="W19" s="37">
        <f t="shared" si="21"/>
        <v>2310</v>
      </c>
      <c r="X19" s="37">
        <f t="shared" si="22"/>
        <v>2560</v>
      </c>
      <c r="Y19" s="37">
        <f t="shared" si="23"/>
        <v>3690</v>
      </c>
      <c r="Z19" s="37">
        <f t="shared" si="24"/>
        <v>2050</v>
      </c>
      <c r="AA19" s="37">
        <f t="shared" si="25"/>
        <v>2820</v>
      </c>
      <c r="AB19" s="37">
        <f t="shared" si="26"/>
        <v>6510</v>
      </c>
      <c r="AC19" s="37">
        <f t="shared" si="27"/>
        <v>9680</v>
      </c>
      <c r="AD19" s="35">
        <f t="shared" si="28"/>
        <v>42910</v>
      </c>
      <c r="AF19" s="20">
        <f t="shared" si="1"/>
        <v>2.85</v>
      </c>
      <c r="AG19" s="20">
        <f t="shared" si="2"/>
        <v>9.75</v>
      </c>
      <c r="AH19" s="20">
        <f t="shared" si="3"/>
        <v>17.05</v>
      </c>
      <c r="AI19" s="20">
        <f t="shared" si="4"/>
        <v>7.7</v>
      </c>
      <c r="AJ19" s="20">
        <f t="shared" si="5"/>
        <v>16.649999999999999</v>
      </c>
      <c r="AK19" s="20">
        <f t="shared" si="6"/>
        <v>12.450000000000001</v>
      </c>
      <c r="AL19" s="20">
        <f t="shared" si="7"/>
        <v>11.55</v>
      </c>
      <c r="AM19" s="20">
        <f t="shared" si="8"/>
        <v>12.8</v>
      </c>
      <c r="AN19" s="20">
        <f t="shared" si="9"/>
        <v>18.45</v>
      </c>
      <c r="AO19" s="20">
        <f t="shared" si="10"/>
        <v>10.25</v>
      </c>
      <c r="AP19" s="20">
        <f t="shared" si="11"/>
        <v>14.1</v>
      </c>
      <c r="AQ19" s="20">
        <f t="shared" si="12"/>
        <v>32.549999999999997</v>
      </c>
      <c r="AR19" s="20">
        <f t="shared" si="13"/>
        <v>48.4</v>
      </c>
      <c r="AS19" s="35">
        <f t="shared" si="29"/>
        <v>214.54999999999998</v>
      </c>
      <c r="AU19" s="47">
        <v>555924</v>
      </c>
      <c r="AV19" s="37">
        <f t="shared" si="31"/>
        <v>1801</v>
      </c>
      <c r="AW19" s="35">
        <f t="shared" si="30"/>
        <v>3.6019999999999999</v>
      </c>
    </row>
    <row r="20" spans="1:49" x14ac:dyDescent="0.25">
      <c r="A20" s="23">
        <v>44300</v>
      </c>
      <c r="B20" s="40">
        <v>9</v>
      </c>
      <c r="C20" s="24">
        <v>6564130</v>
      </c>
      <c r="D20" s="24">
        <v>15229970</v>
      </c>
      <c r="E20" s="24">
        <v>2556090</v>
      </c>
      <c r="F20" s="24">
        <v>3388200</v>
      </c>
      <c r="G20" s="24">
        <v>10185750</v>
      </c>
      <c r="H20" s="24">
        <v>5351240</v>
      </c>
      <c r="I20" s="24">
        <v>4953540</v>
      </c>
      <c r="J20" s="24">
        <v>5752220</v>
      </c>
      <c r="K20" s="24">
        <v>8950750</v>
      </c>
      <c r="L20" s="24">
        <v>3707030</v>
      </c>
      <c r="M20" s="24">
        <v>7735020</v>
      </c>
      <c r="N20" s="24">
        <v>11660600</v>
      </c>
      <c r="O20" s="24">
        <v>16130830</v>
      </c>
      <c r="Q20" s="37">
        <f t="shared" si="16"/>
        <v>510</v>
      </c>
      <c r="R20" s="37">
        <f t="shared" si="17"/>
        <v>1750</v>
      </c>
      <c r="S20" s="37">
        <f t="shared" si="15"/>
        <v>2930</v>
      </c>
      <c r="T20" s="37">
        <f t="shared" si="18"/>
        <v>1380</v>
      </c>
      <c r="U20" s="37">
        <f t="shared" si="19"/>
        <v>2630</v>
      </c>
      <c r="V20" s="37">
        <f t="shared" si="20"/>
        <v>2230</v>
      </c>
      <c r="W20" s="37">
        <f t="shared" si="21"/>
        <v>2080</v>
      </c>
      <c r="X20" s="37">
        <f t="shared" si="22"/>
        <v>1950</v>
      </c>
      <c r="Y20" s="37">
        <f t="shared" si="23"/>
        <v>3260</v>
      </c>
      <c r="Z20" s="37">
        <f t="shared" si="24"/>
        <v>1210</v>
      </c>
      <c r="AA20" s="37">
        <f t="shared" si="25"/>
        <v>2440</v>
      </c>
      <c r="AB20" s="37">
        <f t="shared" si="26"/>
        <v>5680</v>
      </c>
      <c r="AC20" s="37">
        <f t="shared" si="27"/>
        <v>9470</v>
      </c>
      <c r="AD20" s="35">
        <f t="shared" si="28"/>
        <v>37520</v>
      </c>
      <c r="AF20" s="20">
        <f t="shared" si="1"/>
        <v>2.5500000000000003</v>
      </c>
      <c r="AG20" s="20">
        <f t="shared" si="2"/>
        <v>8.75</v>
      </c>
      <c r="AH20" s="20">
        <f t="shared" si="3"/>
        <v>14.65</v>
      </c>
      <c r="AI20" s="20">
        <f t="shared" si="4"/>
        <v>6.9</v>
      </c>
      <c r="AJ20" s="20">
        <f t="shared" si="5"/>
        <v>13.15</v>
      </c>
      <c r="AK20" s="20">
        <f t="shared" si="6"/>
        <v>11.15</v>
      </c>
      <c r="AL20" s="20">
        <f t="shared" si="7"/>
        <v>10.4</v>
      </c>
      <c r="AM20" s="20">
        <f t="shared" si="8"/>
        <v>9.75</v>
      </c>
      <c r="AN20" s="20">
        <f t="shared" si="9"/>
        <v>16.3</v>
      </c>
      <c r="AO20" s="20">
        <f t="shared" si="10"/>
        <v>6.05</v>
      </c>
      <c r="AP20" s="20">
        <f t="shared" si="11"/>
        <v>12.200000000000001</v>
      </c>
      <c r="AQ20" s="20">
        <f t="shared" si="12"/>
        <v>28.400000000000002</v>
      </c>
      <c r="AR20" s="20">
        <f t="shared" si="13"/>
        <v>47.35</v>
      </c>
      <c r="AS20" s="35">
        <f t="shared" si="29"/>
        <v>187.6</v>
      </c>
      <c r="AU20" s="47">
        <v>557367</v>
      </c>
      <c r="AV20" s="37">
        <f t="shared" si="31"/>
        <v>1443</v>
      </c>
      <c r="AW20" s="35">
        <f t="shared" si="30"/>
        <v>2.8860000000000001</v>
      </c>
    </row>
    <row r="21" spans="1:49" x14ac:dyDescent="0.25">
      <c r="A21" s="23">
        <v>44301</v>
      </c>
      <c r="B21" s="40">
        <v>21</v>
      </c>
      <c r="C21" s="24">
        <v>6564680</v>
      </c>
      <c r="D21" s="24">
        <v>15231850</v>
      </c>
      <c r="E21" s="24">
        <v>2559150</v>
      </c>
      <c r="F21" s="24">
        <v>3389690</v>
      </c>
      <c r="G21" s="24">
        <v>10188310</v>
      </c>
      <c r="H21" s="24">
        <v>5353690</v>
      </c>
      <c r="I21" s="24">
        <v>4955810</v>
      </c>
      <c r="J21" s="24">
        <v>5754110</v>
      </c>
      <c r="K21" s="24">
        <v>8954140</v>
      </c>
      <c r="L21" s="24">
        <v>3708320</v>
      </c>
      <c r="M21" s="24">
        <v>7737590</v>
      </c>
      <c r="N21" s="24">
        <v>11666800</v>
      </c>
      <c r="O21" s="24">
        <v>16141790</v>
      </c>
      <c r="Q21" s="37">
        <f t="shared" si="16"/>
        <v>550</v>
      </c>
      <c r="R21" s="37">
        <f t="shared" si="17"/>
        <v>1880</v>
      </c>
      <c r="S21" s="37">
        <f t="shared" si="15"/>
        <v>3060</v>
      </c>
      <c r="T21" s="37">
        <f t="shared" si="18"/>
        <v>1490</v>
      </c>
      <c r="U21" s="37">
        <f t="shared" si="19"/>
        <v>2560</v>
      </c>
      <c r="V21" s="37">
        <f t="shared" si="20"/>
        <v>2450</v>
      </c>
      <c r="W21" s="37">
        <f t="shared" si="21"/>
        <v>2270</v>
      </c>
      <c r="X21" s="37">
        <f t="shared" si="22"/>
        <v>1890</v>
      </c>
      <c r="Y21" s="37">
        <f t="shared" si="23"/>
        <v>3390</v>
      </c>
      <c r="Z21" s="37">
        <f t="shared" si="24"/>
        <v>1290</v>
      </c>
      <c r="AA21" s="37">
        <f t="shared" si="25"/>
        <v>2570</v>
      </c>
      <c r="AB21" s="37">
        <f t="shared" si="26"/>
        <v>6200</v>
      </c>
      <c r="AC21" s="37">
        <f t="shared" si="27"/>
        <v>10960</v>
      </c>
      <c r="AD21" s="35">
        <f t="shared" si="28"/>
        <v>40560</v>
      </c>
      <c r="AF21" s="20">
        <f t="shared" si="1"/>
        <v>2.75</v>
      </c>
      <c r="AG21" s="20">
        <f t="shared" si="2"/>
        <v>9.4</v>
      </c>
      <c r="AH21" s="20">
        <f t="shared" si="3"/>
        <v>15.3</v>
      </c>
      <c r="AI21" s="20">
        <f t="shared" si="4"/>
        <v>7.45</v>
      </c>
      <c r="AJ21" s="20">
        <f t="shared" si="5"/>
        <v>12.8</v>
      </c>
      <c r="AK21" s="20">
        <f t="shared" si="6"/>
        <v>12.25</v>
      </c>
      <c r="AL21" s="20">
        <f t="shared" si="7"/>
        <v>11.35</v>
      </c>
      <c r="AM21" s="20">
        <f t="shared" si="8"/>
        <v>9.4500000000000011</v>
      </c>
      <c r="AN21" s="20">
        <f t="shared" si="9"/>
        <v>16.95</v>
      </c>
      <c r="AO21" s="20">
        <f t="shared" si="10"/>
        <v>6.45</v>
      </c>
      <c r="AP21" s="20">
        <f t="shared" si="11"/>
        <v>12.85</v>
      </c>
      <c r="AQ21" s="20">
        <f t="shared" si="12"/>
        <v>31</v>
      </c>
      <c r="AR21" s="20">
        <f t="shared" si="13"/>
        <v>54.800000000000004</v>
      </c>
      <c r="AS21" s="35">
        <f t="shared" si="29"/>
        <v>202.8</v>
      </c>
      <c r="AU21" s="47">
        <v>557650</v>
      </c>
      <c r="AV21" s="37">
        <f t="shared" si="31"/>
        <v>283</v>
      </c>
      <c r="AW21" s="35">
        <f t="shared" si="30"/>
        <v>0.56600000000000006</v>
      </c>
    </row>
    <row r="22" spans="1:49" x14ac:dyDescent="0.25">
      <c r="A22" s="23">
        <v>44302</v>
      </c>
      <c r="B22" s="40">
        <v>22</v>
      </c>
      <c r="C22" s="24">
        <v>6565260</v>
      </c>
      <c r="D22" s="24">
        <v>15233860</v>
      </c>
      <c r="E22" s="24">
        <v>2562550</v>
      </c>
      <c r="F22" s="24">
        <v>3391270</v>
      </c>
      <c r="G22" s="24">
        <v>10190990</v>
      </c>
      <c r="H22" s="24">
        <v>5356370</v>
      </c>
      <c r="I22" s="24">
        <v>4958190</v>
      </c>
      <c r="J22" s="44">
        <v>5755990</v>
      </c>
      <c r="K22" s="24">
        <v>8957810</v>
      </c>
      <c r="L22" s="24">
        <v>3709720</v>
      </c>
      <c r="M22" s="24">
        <v>7740350</v>
      </c>
      <c r="N22" s="24">
        <v>11673350</v>
      </c>
      <c r="O22" s="44">
        <v>16153690</v>
      </c>
      <c r="Q22" s="37">
        <f t="shared" si="16"/>
        <v>580</v>
      </c>
      <c r="R22" s="37">
        <f t="shared" si="17"/>
        <v>2010</v>
      </c>
      <c r="S22" s="37">
        <f t="shared" si="15"/>
        <v>3400</v>
      </c>
      <c r="T22" s="37">
        <f t="shared" si="18"/>
        <v>1580</v>
      </c>
      <c r="U22" s="37">
        <f t="shared" si="19"/>
        <v>2680</v>
      </c>
      <c r="V22" s="37">
        <f t="shared" si="20"/>
        <v>2680</v>
      </c>
      <c r="W22" s="37">
        <f t="shared" si="21"/>
        <v>2380</v>
      </c>
      <c r="X22" s="37">
        <f t="shared" si="22"/>
        <v>1880</v>
      </c>
      <c r="Y22" s="37">
        <f t="shared" si="23"/>
        <v>3670</v>
      </c>
      <c r="Z22" s="37">
        <f t="shared" si="24"/>
        <v>1400</v>
      </c>
      <c r="AA22" s="37">
        <f t="shared" si="25"/>
        <v>2760</v>
      </c>
      <c r="AB22" s="37">
        <f t="shared" si="26"/>
        <v>6550</v>
      </c>
      <c r="AC22" s="37">
        <f t="shared" si="27"/>
        <v>11900</v>
      </c>
      <c r="AD22" s="35">
        <f t="shared" si="28"/>
        <v>43470</v>
      </c>
      <c r="AF22" s="20">
        <f t="shared" si="1"/>
        <v>2.9</v>
      </c>
      <c r="AG22" s="20">
        <f t="shared" si="2"/>
        <v>10.050000000000001</v>
      </c>
      <c r="AH22" s="20">
        <f t="shared" si="3"/>
        <v>17</v>
      </c>
      <c r="AI22" s="20">
        <f t="shared" si="4"/>
        <v>7.9</v>
      </c>
      <c r="AJ22" s="20">
        <f t="shared" si="5"/>
        <v>13.4</v>
      </c>
      <c r="AK22" s="20">
        <f t="shared" si="6"/>
        <v>13.4</v>
      </c>
      <c r="AL22" s="20">
        <f t="shared" si="7"/>
        <v>11.9</v>
      </c>
      <c r="AM22" s="20">
        <f t="shared" si="8"/>
        <v>9.4</v>
      </c>
      <c r="AN22" s="20">
        <f t="shared" si="9"/>
        <v>18.350000000000001</v>
      </c>
      <c r="AO22" s="20">
        <f t="shared" si="10"/>
        <v>7</v>
      </c>
      <c r="AP22" s="20">
        <f t="shared" si="11"/>
        <v>13.8</v>
      </c>
      <c r="AQ22" s="20">
        <f t="shared" si="12"/>
        <v>32.75</v>
      </c>
      <c r="AR22" s="20">
        <f t="shared" si="13"/>
        <v>59.5</v>
      </c>
      <c r="AS22" s="35">
        <f t="shared" si="29"/>
        <v>217.35000000000002</v>
      </c>
      <c r="AU22" s="47">
        <v>559144</v>
      </c>
      <c r="AV22" s="37">
        <f t="shared" si="31"/>
        <v>1494</v>
      </c>
      <c r="AW22" s="35">
        <f t="shared" si="30"/>
        <v>2.988</v>
      </c>
    </row>
    <row r="23" spans="1:49" x14ac:dyDescent="0.25">
      <c r="A23" s="23">
        <v>44303</v>
      </c>
      <c r="B23" s="40">
        <v>11</v>
      </c>
      <c r="C23" s="24">
        <v>6565790</v>
      </c>
      <c r="D23" s="24">
        <v>15235660</v>
      </c>
      <c r="E23" s="24">
        <v>2565720</v>
      </c>
      <c r="F23" s="24">
        <v>3392710</v>
      </c>
      <c r="G23" s="24">
        <v>10193390</v>
      </c>
      <c r="H23" s="24">
        <v>5358780</v>
      </c>
      <c r="I23" s="24">
        <v>4960360</v>
      </c>
      <c r="J23" s="24">
        <v>5757780</v>
      </c>
      <c r="K23" s="24">
        <v>8961160</v>
      </c>
      <c r="L23" s="24">
        <v>3710940</v>
      </c>
      <c r="M23" s="24">
        <v>7742760</v>
      </c>
      <c r="N23" s="24">
        <v>11678990</v>
      </c>
      <c r="O23" s="24">
        <v>16164440</v>
      </c>
      <c r="Q23" s="37">
        <f t="shared" si="16"/>
        <v>530</v>
      </c>
      <c r="R23" s="37">
        <f t="shared" si="17"/>
        <v>1800</v>
      </c>
      <c r="S23" s="37">
        <f t="shared" si="15"/>
        <v>3170</v>
      </c>
      <c r="T23" s="37">
        <f t="shared" si="18"/>
        <v>1440</v>
      </c>
      <c r="U23" s="37">
        <f t="shared" si="19"/>
        <v>2400</v>
      </c>
      <c r="V23" s="37">
        <f t="shared" si="20"/>
        <v>2410</v>
      </c>
      <c r="W23" s="37">
        <f t="shared" si="21"/>
        <v>2170</v>
      </c>
      <c r="X23" s="37">
        <f t="shared" si="22"/>
        <v>1790</v>
      </c>
      <c r="Y23" s="37">
        <f t="shared" si="23"/>
        <v>3350</v>
      </c>
      <c r="Z23" s="37">
        <f t="shared" si="24"/>
        <v>1220</v>
      </c>
      <c r="AA23" s="37">
        <f t="shared" si="25"/>
        <v>2410</v>
      </c>
      <c r="AB23" s="37">
        <f t="shared" si="26"/>
        <v>5640</v>
      </c>
      <c r="AC23" s="37">
        <f t="shared" si="27"/>
        <v>10750</v>
      </c>
      <c r="AD23" s="35">
        <f t="shared" si="28"/>
        <v>39080</v>
      </c>
      <c r="AF23" s="20">
        <f t="shared" si="1"/>
        <v>2.65</v>
      </c>
      <c r="AG23" s="20">
        <f t="shared" si="2"/>
        <v>9</v>
      </c>
      <c r="AH23" s="20">
        <f t="shared" si="3"/>
        <v>15.85</v>
      </c>
      <c r="AI23" s="20">
        <f t="shared" si="4"/>
        <v>7.2</v>
      </c>
      <c r="AJ23" s="20">
        <f t="shared" si="5"/>
        <v>12</v>
      </c>
      <c r="AK23" s="20">
        <f t="shared" si="6"/>
        <v>12.05</v>
      </c>
      <c r="AL23" s="20">
        <f t="shared" si="7"/>
        <v>10.85</v>
      </c>
      <c r="AM23" s="20">
        <f t="shared" si="8"/>
        <v>8.9500000000000011</v>
      </c>
      <c r="AN23" s="20">
        <f t="shared" si="9"/>
        <v>16.75</v>
      </c>
      <c r="AO23" s="20">
        <f t="shared" si="10"/>
        <v>6.1000000000000005</v>
      </c>
      <c r="AP23" s="20">
        <f t="shared" si="11"/>
        <v>12.05</v>
      </c>
      <c r="AQ23" s="20">
        <f t="shared" si="12"/>
        <v>28.2</v>
      </c>
      <c r="AR23" s="20">
        <f t="shared" si="13"/>
        <v>53.75</v>
      </c>
      <c r="AS23" s="35">
        <f t="shared" si="29"/>
        <v>195.39999999999998</v>
      </c>
      <c r="AU23" s="47">
        <v>560603</v>
      </c>
      <c r="AV23" s="37">
        <f t="shared" si="31"/>
        <v>1459</v>
      </c>
      <c r="AW23" s="35">
        <f t="shared" si="30"/>
        <v>2.9180000000000001</v>
      </c>
    </row>
    <row r="24" spans="1:49" x14ac:dyDescent="0.25">
      <c r="A24" s="23">
        <v>44304</v>
      </c>
      <c r="B24" s="40">
        <v>16</v>
      </c>
      <c r="C24" s="24">
        <v>6566380</v>
      </c>
      <c r="D24" s="24">
        <v>15237680</v>
      </c>
      <c r="E24" s="24">
        <v>2569380</v>
      </c>
      <c r="F24" s="24">
        <v>3394320</v>
      </c>
      <c r="G24" s="24">
        <v>10196010</v>
      </c>
      <c r="H24" s="24">
        <v>5361440</v>
      </c>
      <c r="I24" s="24">
        <v>4962780</v>
      </c>
      <c r="J24" s="24">
        <v>5759940</v>
      </c>
      <c r="K24" s="24">
        <v>8964880</v>
      </c>
      <c r="L24" s="24">
        <v>3712370</v>
      </c>
      <c r="M24" s="24">
        <v>7745690</v>
      </c>
      <c r="N24" s="24">
        <v>11685100</v>
      </c>
      <c r="O24" s="24">
        <v>16176000</v>
      </c>
      <c r="Q24" s="37">
        <f t="shared" si="16"/>
        <v>590</v>
      </c>
      <c r="R24" s="37">
        <f t="shared" si="17"/>
        <v>2020</v>
      </c>
      <c r="S24" s="37">
        <f t="shared" si="15"/>
        <v>3660</v>
      </c>
      <c r="T24" s="37">
        <f t="shared" si="18"/>
        <v>1610</v>
      </c>
      <c r="U24" s="37">
        <f t="shared" si="19"/>
        <v>2620</v>
      </c>
      <c r="V24" s="37">
        <f t="shared" si="20"/>
        <v>2660</v>
      </c>
      <c r="W24" s="37">
        <f t="shared" si="21"/>
        <v>2420</v>
      </c>
      <c r="X24" s="37">
        <f t="shared" si="22"/>
        <v>2160</v>
      </c>
      <c r="Y24" s="37">
        <f t="shared" si="23"/>
        <v>3720</v>
      </c>
      <c r="Z24" s="37">
        <f t="shared" si="24"/>
        <v>1430</v>
      </c>
      <c r="AA24" s="37">
        <f t="shared" si="25"/>
        <v>2930</v>
      </c>
      <c r="AB24" s="37">
        <f t="shared" si="26"/>
        <v>6110</v>
      </c>
      <c r="AC24" s="37">
        <f t="shared" si="27"/>
        <v>11560</v>
      </c>
      <c r="AD24" s="35">
        <f t="shared" si="28"/>
        <v>43490</v>
      </c>
      <c r="AF24" s="20">
        <f t="shared" si="1"/>
        <v>2.95</v>
      </c>
      <c r="AG24" s="20">
        <f t="shared" si="2"/>
        <v>10.1</v>
      </c>
      <c r="AH24" s="20">
        <f t="shared" si="3"/>
        <v>18.3</v>
      </c>
      <c r="AI24" s="20">
        <f t="shared" si="4"/>
        <v>8.0500000000000007</v>
      </c>
      <c r="AJ24" s="20">
        <f t="shared" si="5"/>
        <v>13.1</v>
      </c>
      <c r="AK24" s="20">
        <f t="shared" si="6"/>
        <v>13.3</v>
      </c>
      <c r="AL24" s="20">
        <f t="shared" si="7"/>
        <v>12.1</v>
      </c>
      <c r="AM24" s="20">
        <f t="shared" si="8"/>
        <v>10.8</v>
      </c>
      <c r="AN24" s="20">
        <f t="shared" si="9"/>
        <v>18.600000000000001</v>
      </c>
      <c r="AO24" s="20">
        <f t="shared" si="10"/>
        <v>7.15</v>
      </c>
      <c r="AP24" s="20">
        <f t="shared" si="11"/>
        <v>14.65</v>
      </c>
      <c r="AQ24" s="20">
        <f t="shared" si="12"/>
        <v>30.55</v>
      </c>
      <c r="AR24" s="20">
        <f t="shared" si="13"/>
        <v>57.800000000000004</v>
      </c>
      <c r="AS24" s="35">
        <f t="shared" si="29"/>
        <v>217.45000000000005</v>
      </c>
      <c r="AU24" s="47">
        <v>562435</v>
      </c>
      <c r="AV24" s="37">
        <f t="shared" si="31"/>
        <v>1832</v>
      </c>
      <c r="AW24" s="35">
        <f t="shared" si="30"/>
        <v>3.6640000000000001</v>
      </c>
    </row>
    <row r="25" spans="1:49" x14ac:dyDescent="0.25">
      <c r="A25" s="23">
        <v>44305</v>
      </c>
      <c r="B25" s="40">
        <v>19</v>
      </c>
      <c r="C25" s="24">
        <v>6566900</v>
      </c>
      <c r="D25" s="24">
        <v>15239480</v>
      </c>
      <c r="E25" s="24">
        <v>2572790</v>
      </c>
      <c r="F25" s="24">
        <v>3395740</v>
      </c>
      <c r="G25" s="24">
        <v>10198340</v>
      </c>
      <c r="H25" s="24">
        <v>5363859</v>
      </c>
      <c r="I25" s="24">
        <v>4964920</v>
      </c>
      <c r="J25" s="24">
        <v>5761770</v>
      </c>
      <c r="K25" s="24">
        <v>8968120</v>
      </c>
      <c r="L25" s="24">
        <v>3713720</v>
      </c>
      <c r="M25" s="24">
        <v>7748110</v>
      </c>
      <c r="N25" s="24">
        <v>11690530</v>
      </c>
      <c r="O25" s="24">
        <v>16186260</v>
      </c>
      <c r="P25" s="55"/>
      <c r="Q25" s="37">
        <f t="shared" ref="Q25:AC27" si="33">IF((C25-C24&lt;0), "0",C25-C24)</f>
        <v>520</v>
      </c>
      <c r="R25" s="37">
        <f t="shared" si="33"/>
        <v>1800</v>
      </c>
      <c r="S25" s="37">
        <f t="shared" si="33"/>
        <v>3410</v>
      </c>
      <c r="T25" s="37">
        <f t="shared" si="33"/>
        <v>1420</v>
      </c>
      <c r="U25" s="37">
        <f t="shared" si="33"/>
        <v>2330</v>
      </c>
      <c r="V25" s="37">
        <f t="shared" si="33"/>
        <v>2419</v>
      </c>
      <c r="W25" s="37">
        <f t="shared" si="33"/>
        <v>2140</v>
      </c>
      <c r="X25" s="37">
        <f t="shared" si="33"/>
        <v>1830</v>
      </c>
      <c r="Y25" s="37">
        <f t="shared" si="33"/>
        <v>3240</v>
      </c>
      <c r="Z25" s="37">
        <f t="shared" si="33"/>
        <v>1350</v>
      </c>
      <c r="AA25" s="37">
        <f t="shared" si="33"/>
        <v>2420</v>
      </c>
      <c r="AB25" s="37">
        <f t="shared" si="33"/>
        <v>5430</v>
      </c>
      <c r="AC25" s="37">
        <f t="shared" si="33"/>
        <v>10260</v>
      </c>
      <c r="AD25" s="35">
        <f t="shared" si="28"/>
        <v>38569</v>
      </c>
      <c r="AF25" s="20">
        <f t="shared" si="1"/>
        <v>2.6</v>
      </c>
      <c r="AG25" s="20">
        <f t="shared" si="2"/>
        <v>9</v>
      </c>
      <c r="AH25" s="20">
        <f t="shared" si="3"/>
        <v>17.05</v>
      </c>
      <c r="AI25" s="20">
        <f t="shared" si="4"/>
        <v>7.1000000000000005</v>
      </c>
      <c r="AJ25" s="20">
        <f t="shared" si="5"/>
        <v>11.65</v>
      </c>
      <c r="AK25" s="20">
        <f t="shared" si="6"/>
        <v>12.095000000000001</v>
      </c>
      <c r="AL25" s="20">
        <f t="shared" si="7"/>
        <v>10.700000000000001</v>
      </c>
      <c r="AM25" s="20">
        <f t="shared" si="8"/>
        <v>9.15</v>
      </c>
      <c r="AN25" s="20">
        <f t="shared" si="9"/>
        <v>16.2</v>
      </c>
      <c r="AO25" s="20">
        <f t="shared" si="10"/>
        <v>6.75</v>
      </c>
      <c r="AP25" s="20">
        <f t="shared" si="11"/>
        <v>12.1</v>
      </c>
      <c r="AQ25" s="20">
        <f t="shared" si="12"/>
        <v>27.150000000000002</v>
      </c>
      <c r="AR25" s="20">
        <f t="shared" si="13"/>
        <v>51.300000000000004</v>
      </c>
      <c r="AS25" s="35">
        <f t="shared" si="29"/>
        <v>192.845</v>
      </c>
      <c r="AU25" s="47">
        <v>564007</v>
      </c>
      <c r="AV25" s="37">
        <f t="shared" si="31"/>
        <v>1572</v>
      </c>
      <c r="AW25" s="35">
        <f t="shared" si="30"/>
        <v>3.1440000000000001</v>
      </c>
    </row>
    <row r="26" spans="1:49" x14ac:dyDescent="0.25">
      <c r="A26" s="23">
        <v>44306</v>
      </c>
      <c r="B26" s="40">
        <v>26</v>
      </c>
      <c r="C26" s="24">
        <v>6567440</v>
      </c>
      <c r="D26" s="24">
        <v>15241320</v>
      </c>
      <c r="E26" s="24">
        <v>2576280</v>
      </c>
      <c r="F26" s="24">
        <v>3397200</v>
      </c>
      <c r="G26" s="24">
        <v>10200670</v>
      </c>
      <c r="H26" s="24">
        <v>5366330</v>
      </c>
      <c r="I26" s="24">
        <v>4967120</v>
      </c>
      <c r="J26" s="24">
        <v>5763790</v>
      </c>
      <c r="K26" s="24">
        <v>8971350</v>
      </c>
      <c r="L26" s="24">
        <v>3715130</v>
      </c>
      <c r="M26" s="24">
        <v>7750530</v>
      </c>
      <c r="N26" s="24">
        <v>11696140</v>
      </c>
      <c r="O26" s="24">
        <v>16194020</v>
      </c>
      <c r="Q26" s="37">
        <f t="shared" si="33"/>
        <v>540</v>
      </c>
      <c r="R26" s="37">
        <f t="shared" si="33"/>
        <v>1840</v>
      </c>
      <c r="S26" s="37">
        <f t="shared" si="33"/>
        <v>3490</v>
      </c>
      <c r="T26" s="37">
        <f t="shared" si="33"/>
        <v>1460</v>
      </c>
      <c r="U26" s="37">
        <f t="shared" si="33"/>
        <v>2330</v>
      </c>
      <c r="V26" s="37">
        <f t="shared" si="33"/>
        <v>2471</v>
      </c>
      <c r="W26" s="37">
        <f t="shared" si="33"/>
        <v>2200</v>
      </c>
      <c r="X26" s="37">
        <f t="shared" si="33"/>
        <v>2020</v>
      </c>
      <c r="Y26" s="37">
        <f t="shared" si="33"/>
        <v>3230</v>
      </c>
      <c r="Z26" s="37">
        <f t="shared" si="33"/>
        <v>1410</v>
      </c>
      <c r="AA26" s="37">
        <f t="shared" si="33"/>
        <v>2420</v>
      </c>
      <c r="AB26" s="37">
        <f t="shared" si="33"/>
        <v>5610</v>
      </c>
      <c r="AC26" s="37">
        <f t="shared" si="33"/>
        <v>7760</v>
      </c>
      <c r="AD26" s="35">
        <f t="shared" si="28"/>
        <v>36781</v>
      </c>
      <c r="AF26" s="20">
        <f t="shared" si="1"/>
        <v>2.7</v>
      </c>
      <c r="AG26" s="20">
        <f t="shared" si="2"/>
        <v>9.2000000000000011</v>
      </c>
      <c r="AH26" s="20">
        <f t="shared" si="3"/>
        <v>17.45</v>
      </c>
      <c r="AI26" s="20">
        <f t="shared" si="4"/>
        <v>7.3</v>
      </c>
      <c r="AJ26" s="20">
        <f t="shared" si="5"/>
        <v>11.65</v>
      </c>
      <c r="AK26" s="20">
        <f t="shared" si="6"/>
        <v>12.355</v>
      </c>
      <c r="AL26" s="20">
        <f t="shared" si="7"/>
        <v>11</v>
      </c>
      <c r="AM26" s="20">
        <f t="shared" si="8"/>
        <v>10.1</v>
      </c>
      <c r="AN26" s="20">
        <f t="shared" si="9"/>
        <v>16.149999999999999</v>
      </c>
      <c r="AO26" s="20">
        <f t="shared" si="10"/>
        <v>7.05</v>
      </c>
      <c r="AP26" s="20">
        <f t="shared" si="11"/>
        <v>12.1</v>
      </c>
      <c r="AQ26" s="20">
        <f t="shared" si="12"/>
        <v>28.05</v>
      </c>
      <c r="AR26" s="20">
        <f t="shared" si="13"/>
        <v>38.800000000000004</v>
      </c>
      <c r="AS26" s="35">
        <f t="shared" si="29"/>
        <v>183.905</v>
      </c>
      <c r="AU26" s="47">
        <v>565736</v>
      </c>
      <c r="AV26" s="37">
        <f t="shared" si="31"/>
        <v>1729</v>
      </c>
      <c r="AW26" s="35">
        <f t="shared" si="30"/>
        <v>3.4580000000000002</v>
      </c>
    </row>
    <row r="27" spans="1:49" x14ac:dyDescent="0.25">
      <c r="A27" s="23">
        <v>44307</v>
      </c>
      <c r="B27" s="40">
        <v>15</v>
      </c>
      <c r="C27" s="24">
        <v>6568030</v>
      </c>
      <c r="D27" s="24">
        <v>15243330</v>
      </c>
      <c r="E27" s="24">
        <v>2580050</v>
      </c>
      <c r="F27" s="24">
        <v>3398810</v>
      </c>
      <c r="G27" s="24">
        <v>10203260</v>
      </c>
      <c r="H27" s="24">
        <v>5369110</v>
      </c>
      <c r="I27" s="24">
        <v>4969500</v>
      </c>
      <c r="J27" s="24">
        <v>5766040</v>
      </c>
      <c r="K27" s="24">
        <v>8975090</v>
      </c>
      <c r="L27" s="24">
        <v>3716750</v>
      </c>
      <c r="M27" s="24">
        <v>7753410</v>
      </c>
      <c r="N27" s="24">
        <v>11702370</v>
      </c>
      <c r="O27" s="24">
        <v>16202920</v>
      </c>
      <c r="Q27" s="37">
        <f t="shared" si="33"/>
        <v>590</v>
      </c>
      <c r="R27" s="37">
        <f t="shared" si="33"/>
        <v>2010</v>
      </c>
      <c r="S27" s="37">
        <f t="shared" si="33"/>
        <v>3770</v>
      </c>
      <c r="T27" s="37">
        <f t="shared" si="33"/>
        <v>1610</v>
      </c>
      <c r="U27" s="37">
        <f t="shared" si="33"/>
        <v>2590</v>
      </c>
      <c r="V27" s="37">
        <f t="shared" si="33"/>
        <v>2780</v>
      </c>
      <c r="W27" s="37">
        <f t="shared" si="33"/>
        <v>2380</v>
      </c>
      <c r="X27" s="37">
        <f t="shared" si="33"/>
        <v>2250</v>
      </c>
      <c r="Y27" s="37">
        <f t="shared" si="33"/>
        <v>3740</v>
      </c>
      <c r="Z27" s="37">
        <f t="shared" si="33"/>
        <v>1620</v>
      </c>
      <c r="AA27" s="37">
        <f t="shared" si="33"/>
        <v>2880</v>
      </c>
      <c r="AB27" s="37">
        <f t="shared" si="33"/>
        <v>6230</v>
      </c>
      <c r="AC27" s="37">
        <f t="shared" si="33"/>
        <v>8900</v>
      </c>
      <c r="AD27" s="35">
        <f t="shared" si="28"/>
        <v>41350</v>
      </c>
      <c r="AF27" s="20">
        <f t="shared" si="1"/>
        <v>2.95</v>
      </c>
      <c r="AG27" s="20">
        <f t="shared" si="2"/>
        <v>10.050000000000001</v>
      </c>
      <c r="AH27" s="20">
        <f t="shared" si="3"/>
        <v>18.850000000000001</v>
      </c>
      <c r="AI27" s="20">
        <f t="shared" si="4"/>
        <v>8.0500000000000007</v>
      </c>
      <c r="AJ27" s="20">
        <f t="shared" si="5"/>
        <v>12.950000000000001</v>
      </c>
      <c r="AK27" s="20">
        <f t="shared" si="6"/>
        <v>13.9</v>
      </c>
      <c r="AL27" s="20">
        <f t="shared" si="7"/>
        <v>11.9</v>
      </c>
      <c r="AM27" s="20">
        <f t="shared" si="8"/>
        <v>11.25</v>
      </c>
      <c r="AN27" s="20">
        <f t="shared" si="9"/>
        <v>18.7</v>
      </c>
      <c r="AO27" s="20">
        <f t="shared" si="10"/>
        <v>8.1</v>
      </c>
      <c r="AP27" s="20">
        <f t="shared" si="11"/>
        <v>14.4</v>
      </c>
      <c r="AQ27" s="20">
        <f t="shared" si="12"/>
        <v>31.150000000000002</v>
      </c>
      <c r="AR27" s="20">
        <f t="shared" si="13"/>
        <v>44.5</v>
      </c>
      <c r="AS27" s="35">
        <f t="shared" si="29"/>
        <v>206.75000000000003</v>
      </c>
      <c r="AU27" s="47">
        <v>567507</v>
      </c>
      <c r="AV27" s="37">
        <f>IF((AU27-AU26&lt;0),"0",AU27-AU26)</f>
        <v>1771</v>
      </c>
      <c r="AW27" s="35">
        <f t="shared" si="30"/>
        <v>3.5420000000000003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6"/>
        <v>0</v>
      </c>
      <c r="R28" s="37" t="str">
        <f t="shared" si="17"/>
        <v>0</v>
      </c>
      <c r="S28" s="37" t="str">
        <f t="shared" si="15"/>
        <v>0</v>
      </c>
      <c r="T28" s="37" t="str">
        <f t="shared" si="18"/>
        <v>0</v>
      </c>
      <c r="U28" s="37" t="str">
        <f t="shared" si="19"/>
        <v>0</v>
      </c>
      <c r="V28" s="37" t="str">
        <f t="shared" si="20"/>
        <v>0</v>
      </c>
      <c r="W28" s="37" t="str">
        <f t="shared" si="21"/>
        <v>0</v>
      </c>
      <c r="X28" s="37" t="str">
        <f t="shared" si="22"/>
        <v>0</v>
      </c>
      <c r="Y28" s="37" t="str">
        <f t="shared" si="23"/>
        <v>0</v>
      </c>
      <c r="Z28" s="37" t="str">
        <f t="shared" si="24"/>
        <v>0</v>
      </c>
      <c r="AA28" s="37" t="str">
        <f t="shared" si="25"/>
        <v>0</v>
      </c>
      <c r="AB28" s="37" t="str">
        <f t="shared" si="26"/>
        <v>0</v>
      </c>
      <c r="AC28" s="37" t="str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 t="str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11610</v>
      </c>
      <c r="R38" s="38">
        <f t="shared" ref="R38:AD38" si="62">SUM(R7:R37)</f>
        <v>39550</v>
      </c>
      <c r="S38" s="38">
        <f t="shared" si="62"/>
        <v>70940</v>
      </c>
      <c r="T38" s="38">
        <f t="shared" si="62"/>
        <v>31490</v>
      </c>
      <c r="U38" s="38">
        <f t="shared" si="62"/>
        <v>70580</v>
      </c>
      <c r="V38" s="38">
        <f t="shared" si="62"/>
        <v>56830</v>
      </c>
      <c r="W38" s="38">
        <f t="shared" si="62"/>
        <v>47580</v>
      </c>
      <c r="X38" s="38">
        <f t="shared" si="62"/>
        <v>54440</v>
      </c>
      <c r="Y38" s="38">
        <f t="shared" si="62"/>
        <v>83360</v>
      </c>
      <c r="Z38" s="38">
        <f t="shared" si="62"/>
        <v>43110</v>
      </c>
      <c r="AA38" s="38">
        <f t="shared" si="62"/>
        <v>65050</v>
      </c>
      <c r="AB38" s="38">
        <f t="shared" si="62"/>
        <v>132590</v>
      </c>
      <c r="AC38" s="38">
        <f t="shared" si="62"/>
        <v>212540</v>
      </c>
      <c r="AD38" s="38">
        <f t="shared" si="62"/>
        <v>919670</v>
      </c>
      <c r="AF38" s="35">
        <f t="shared" ref="AF38:AS38" si="63">SUM(AF7:AF34)</f>
        <v>58.050000000000004</v>
      </c>
      <c r="AG38" s="35">
        <f t="shared" si="63"/>
        <v>197.75000000000003</v>
      </c>
      <c r="AH38" s="35">
        <f t="shared" si="63"/>
        <v>354.7000000000001</v>
      </c>
      <c r="AI38" s="35">
        <f t="shared" si="63"/>
        <v>157.45000000000005</v>
      </c>
      <c r="AJ38" s="35">
        <f t="shared" si="63"/>
        <v>352.89999999999992</v>
      </c>
      <c r="AK38" s="35">
        <f t="shared" si="63"/>
        <v>284.15000000000009</v>
      </c>
      <c r="AL38" s="35">
        <f t="shared" si="63"/>
        <v>237.9</v>
      </c>
      <c r="AM38" s="35">
        <f t="shared" si="63"/>
        <v>272.2</v>
      </c>
      <c r="AN38" s="35">
        <f t="shared" si="63"/>
        <v>416.8</v>
      </c>
      <c r="AO38" s="35">
        <f t="shared" si="63"/>
        <v>215.54999999999998</v>
      </c>
      <c r="AP38" s="35">
        <f t="shared" si="63"/>
        <v>325.25</v>
      </c>
      <c r="AQ38" s="35">
        <f t="shared" si="63"/>
        <v>662.94999999999993</v>
      </c>
      <c r="AR38" s="35">
        <f t="shared" si="63"/>
        <v>1062.6999999999998</v>
      </c>
      <c r="AS38" s="35">
        <f t="shared" si="63"/>
        <v>4598.3500000000004</v>
      </c>
      <c r="AU38" s="48"/>
      <c r="AV38" s="35">
        <f>SUM(AV7:AV34)</f>
        <v>35055</v>
      </c>
      <c r="AW38" s="35">
        <f>SUM(AW7:AW34)</f>
        <v>62.708000000000006</v>
      </c>
    </row>
    <row r="39" spans="1:49" x14ac:dyDescent="0.25">
      <c r="D39">
        <v>5.0000000000000001E-3</v>
      </c>
      <c r="AV39" s="36">
        <f>AV38*0.00378541*1000</f>
        <v>132697.54754999999</v>
      </c>
    </row>
    <row r="40" spans="1:49" x14ac:dyDescent="0.25">
      <c r="D40">
        <v>2E-3</v>
      </c>
      <c r="AV40">
        <f>AV39/31</f>
        <v>4280.5660499999994</v>
      </c>
    </row>
    <row r="41" spans="1:49" x14ac:dyDescent="0.25">
      <c r="AV41">
        <f>AV38*0.00378541</f>
        <v>132.69754755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2021-04-22T04:51:59Z</dcterms:modified>
</cp:coreProperties>
</file>