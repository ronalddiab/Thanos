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2 - 2022" sheetId="5" r:id="rId3"/>
  </sheets>
  <definedNames>
    <definedName name="_xlnm.Print_Area" localSheetId="2">'02 - 2022'!$A$1:$J$35</definedName>
  </definedNames>
  <calcPr calcId="162913"/>
</workbook>
</file>

<file path=xl/calcChain.xml><?xml version="1.0" encoding="utf-8"?>
<calcChain xmlns="http://schemas.openxmlformats.org/spreadsheetml/2006/main">
  <c r="L25" i="3" l="1"/>
  <c r="K25" i="3"/>
  <c r="I25" i="3"/>
  <c r="G25" i="3"/>
  <c r="E25" i="3"/>
  <c r="J25" i="2"/>
  <c r="I25" i="2"/>
  <c r="H25" i="2"/>
  <c r="F25" i="2"/>
  <c r="E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J20" i="2" l="1"/>
  <c r="I20" i="2"/>
  <c r="H20" i="2"/>
  <c r="F20" i="2"/>
  <c r="E20" i="2"/>
  <c r="L20" i="3"/>
  <c r="K20" i="3"/>
  <c r="I20" i="3"/>
  <c r="G20" i="3"/>
  <c r="E20" i="3"/>
  <c r="A26" i="5"/>
  <c r="A27" i="5" s="1"/>
  <c r="A28" i="5" s="1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36" i="5" l="1"/>
  <c r="J36" i="5"/>
  <c r="I36" i="5"/>
  <c r="I37" i="5" s="1"/>
  <c r="H36" i="5"/>
  <c r="H37" i="5" s="1"/>
  <c r="G36" i="5"/>
  <c r="F36" i="5"/>
  <c r="E36" i="5"/>
  <c r="D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9" i="5" s="1"/>
  <c r="A30" i="5" s="1"/>
  <c r="A31" i="5" s="1"/>
  <c r="A32" i="5" s="1"/>
  <c r="A33" i="5" s="1"/>
  <c r="A34" i="5" s="1"/>
  <c r="A35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<sst xmlns="http://schemas.openxmlformats.org/spreadsheetml/2006/main" count="101" uniqueCount="38">
  <si>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</si>
  <si>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</si>
  <si>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</si>
  <si>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</si>
  <si>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</si>
  <si>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</si>
  <si>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</si>
  <si>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</si>
  <si>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</si>
  <si>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</si>
  <si>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</si>
  <si>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</si>
  <si>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</si>
  <si>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</si>
  <si>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</si>
  <si>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</si>
  <si>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</si>
  <si>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</si>
  <si>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</si>
  <si>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</si>
  <si>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</si>
  <si>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</si>
  <si>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</si>
  <si>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</si>
  <si>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</si>
  <si>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</si>
  <si>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</si>
  <si>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</si>
  <si>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</si>
  <si>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</si>
  <si>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</si>
  <si>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</si>
  <si>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</si>
  <si>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</si>
  <si>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</si>
  <si>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</si>
  <si>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</si>
  <si>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FEBRUARY'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</si>
</sst>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9" fontId="5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12" xfId="2" applyFont="1" applyBorder="1" applyAlignment="1">
      <alignment horizontal="center" vertical="center"/>
    </xf>
    <xf numFmtId="43" fontId="4" fillId="2" borderId="12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2" xfId="2" applyFont="1" applyFill="1" applyBorder="1" applyAlignment="1">
      <alignment horizontal="center" vertical="center"/>
    </xf>
    <xf numFmtId="43" fontId="4" fillId="0" borderId="12" xfId="2" applyFont="1" applyFill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5" fillId="0" borderId="15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4" xfId="2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abSelected="1" workbookViewId="0">
      <selection activeCell="P23" sqref="P23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2</v>
      </c>
      <c r="D2" s="14">
        <v>2022</v>
      </c>
      <c r="E2" s="16">
        <f>'02 - 2022'!B8-'02 - 2022'!B7+'02 - 2022'!C8-'02 - 2022'!C7</f>
        <v>9154</v>
      </c>
      <c r="F2" s="14">
        <v>0.11799999999999999</v>
      </c>
      <c r="G2" s="16">
        <f>'02 - 2022'!D8-'02 - 2022'!D7+'02 - 2022'!E8-'02 - 2022'!E7</f>
        <v>20.960000000000036</v>
      </c>
      <c r="H2" s="14">
        <v>0.99</v>
      </c>
      <c r="I2" s="16">
        <f>'02 - 2022'!J8-'02 - 2022'!J7</f>
        <v>11899</v>
      </c>
      <c r="J2" s="14">
        <v>8.1000000000000003E-2</v>
      </c>
      <c r="K2" s="23">
        <f>'02 - 2022'!H8-'02 - 2022'!H7</f>
        <v>0</v>
      </c>
      <c r="L2" s="16">
        <f>'02 - 2022'!I8-'02 - 2022'!I7</f>
        <v>96</v>
      </c>
      <c r="M2" s="15">
        <v>4.393629424766913</v>
      </c>
      <c r="N2" s="16">
        <v>67</v>
      </c>
    </row>
    <row r="3" spans="1:21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'02 - 2022'!B9-'02 - 2022'!B8+'02 - 2022'!C9-'02 - 2022'!C8</f>
        <v>9442</v>
      </c>
      <c r="F3" s="14">
        <v>0.11799999999999999</v>
      </c>
      <c r="G3" s="16">
        <f>'02 - 2022'!D9-'02 - 2022'!D8+'02 - 2022'!E9-'02 - 2022'!E8</f>
        <v>17.959999999999582</v>
      </c>
      <c r="H3" s="14">
        <v>0.99</v>
      </c>
      <c r="I3" s="16">
        <f>'02 - 2022'!J9-'02 - 2022'!J8</f>
        <v>12785</v>
      </c>
      <c r="J3" s="14">
        <v>8.1000000000000003E-2</v>
      </c>
      <c r="K3" s="23">
        <f>'02 - 2022'!H9-'02 - 2022'!H8</f>
        <v>0</v>
      </c>
      <c r="L3" s="16">
        <f>'02 - 2022'!I9-'02 - 2022'!I8</f>
        <v>112</v>
      </c>
      <c r="M3" s="15">
        <v>4.393629424766913</v>
      </c>
      <c r="N3" s="18">
        <v>84</v>
      </c>
    </row>
    <row r="4" spans="1:21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'02 - 2022'!B10-'02 - 2022'!B9+'02 - 2022'!C10-'02 - 2022'!C9</f>
        <v>9692</v>
      </c>
      <c r="F4" s="14">
        <v>0.11799999999999999</v>
      </c>
      <c r="G4" s="16">
        <f>'02 - 2022'!D10-'02 - 2022'!D9+'02 - 2022'!E10-'02 - 2022'!E9</f>
        <v>18.680000000000291</v>
      </c>
      <c r="H4" s="14">
        <v>0.99</v>
      </c>
      <c r="I4" s="16">
        <f>'02 - 2022'!J10-'02 - 2022'!J9</f>
        <v>12124</v>
      </c>
      <c r="J4" s="14">
        <v>8.1000000000000003E-2</v>
      </c>
      <c r="K4" s="23">
        <f>'02 - 2022'!H10-'02 - 2022'!H9</f>
        <v>0</v>
      </c>
      <c r="L4" s="16">
        <f>'02 - 2022'!I10-'02 - 2022'!I9</f>
        <v>113</v>
      </c>
      <c r="M4" s="15">
        <v>4.393629424766913</v>
      </c>
      <c r="N4" s="18">
        <v>93</v>
      </c>
    </row>
    <row r="5" spans="1:21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'02 - 2022'!B11-'02 - 2022'!B10+'02 - 2022'!C11-'02 - 2022'!C10</f>
        <v>9534</v>
      </c>
      <c r="F5" s="14">
        <v>0.11799999999999999</v>
      </c>
      <c r="G5" s="16">
        <f>'02 - 2022'!D11-'02 - 2022'!D10+'02 - 2022'!E11-'02 - 2022'!E10</f>
        <v>15.379999999999654</v>
      </c>
      <c r="H5" s="14">
        <v>0.99</v>
      </c>
      <c r="I5" s="16">
        <f>'02 - 2022'!J11-'02 - 2022'!J10</f>
        <v>11738</v>
      </c>
      <c r="J5" s="14">
        <v>8.1000000000000003E-2</v>
      </c>
      <c r="K5" s="23">
        <f>'02 - 2022'!H11-'02 - 2022'!H10</f>
        <v>0</v>
      </c>
      <c r="L5" s="16">
        <f>'02 - 2022'!I11-'02 - 2022'!I10</f>
        <v>109</v>
      </c>
      <c r="M5" s="15">
        <v>4.393629424766913</v>
      </c>
      <c r="N5" s="18">
        <v>102</v>
      </c>
      <c r="R5" s="14"/>
    </row>
    <row r="6" spans="1:21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'02 - 2022'!B12-'02 - 2022'!B11+'02 - 2022'!C12-'02 - 2022'!C11</f>
        <v>9778</v>
      </c>
      <c r="F6" s="14">
        <v>0.11799999999999999</v>
      </c>
      <c r="G6" s="16">
        <f>'02 - 2022'!D12-'02 - 2022'!D11+'02 - 2022'!E12-'02 - 2022'!E11</f>
        <v>24.940000000000055</v>
      </c>
      <c r="H6" s="14">
        <v>0.99</v>
      </c>
      <c r="I6" s="16">
        <f>'02 - 2022'!J12-'02 - 2022'!J11</f>
        <v>12902</v>
      </c>
      <c r="J6" s="14">
        <v>8.1000000000000003E-2</v>
      </c>
      <c r="K6" s="23">
        <f>'02 - 2022'!H12-'02 - 2022'!H11</f>
        <v>0</v>
      </c>
      <c r="L6" s="16">
        <f>'02 - 2022'!I12-'02 - 2022'!I11</f>
        <v>120</v>
      </c>
      <c r="M6" s="15">
        <v>4.393629424766913</v>
      </c>
      <c r="N6" s="18">
        <v>98</v>
      </c>
    </row>
    <row r="7" spans="1:21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'02 - 2022'!B13-'02 - 2022'!B12+'02 - 2022'!C13-'02 - 2022'!C12</f>
        <v>9677</v>
      </c>
      <c r="F7" s="14">
        <v>0.11799999999999999</v>
      </c>
      <c r="G7" s="16">
        <f>'02 - 2022'!D13-'02 - 2022'!D12+'02 - 2022'!E13-'02 - 2022'!E12</f>
        <v>16.700000000000273</v>
      </c>
      <c r="H7" s="14">
        <v>0.99</v>
      </c>
      <c r="I7" s="16">
        <f>'02 - 2022'!J13-'02 - 2022'!J12</f>
        <v>12810</v>
      </c>
      <c r="J7" s="14">
        <v>8.1000000000000003E-2</v>
      </c>
      <c r="K7" s="23">
        <f>'02 - 2022'!H13-'02 - 2022'!H12</f>
        <v>0</v>
      </c>
      <c r="L7" s="16">
        <f>'02 - 2022'!I13-'02 - 2022'!I12</f>
        <v>113</v>
      </c>
      <c r="M7" s="15">
        <v>4.393629424766913</v>
      </c>
      <c r="N7" s="18">
        <v>66</v>
      </c>
    </row>
    <row r="8" spans="1:21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'02 - 2022'!B14-'02 - 2022'!B13+'02 - 2022'!C14-'02 - 2022'!C13</f>
        <v>9856</v>
      </c>
      <c r="F8" s="14">
        <v>0.11799999999999999</v>
      </c>
      <c r="G8" s="16">
        <f>'02 - 2022'!D14-'02 - 2022'!D13+'02 - 2022'!E14-'02 - 2022'!E13</f>
        <v>17.869999999999436</v>
      </c>
      <c r="H8" s="14">
        <v>0.99</v>
      </c>
      <c r="I8" s="16">
        <f>'02 - 2022'!J14-'02 - 2022'!J13</f>
        <v>11975</v>
      </c>
      <c r="J8" s="14">
        <v>8.1000000000000003E-2</v>
      </c>
      <c r="K8" s="23">
        <f>'02 - 2022'!H14-'02 - 2022'!H13</f>
        <v>0</v>
      </c>
      <c r="L8" s="16">
        <f>'02 - 2022'!I14-'02 - 2022'!I13</f>
        <v>98</v>
      </c>
      <c r="M8" s="15">
        <v>4.393629424766913</v>
      </c>
      <c r="N8" s="20">
        <v>67</v>
      </c>
      <c r="O8" s="16"/>
    </row>
    <row r="9" spans="1:21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'02 - 2022'!B15-'02 - 2022'!B14+'02 - 2022'!C15-'02 - 2022'!C14</f>
        <v>9736</v>
      </c>
      <c r="F9" s="14">
        <v>0.11799999999999999</v>
      </c>
      <c r="G9" s="16">
        <f>'02 - 2022'!D15-'02 - 2022'!D14+'02 - 2022'!E15-'02 - 2022'!E14</f>
        <v>18.900000000000091</v>
      </c>
      <c r="H9" s="14">
        <v>0.99</v>
      </c>
      <c r="I9" s="16">
        <f>'02 - 2022'!J15-'02 - 2022'!J14</f>
        <v>10601</v>
      </c>
      <c r="J9" s="14">
        <v>8.1000000000000003E-2</v>
      </c>
      <c r="K9" s="23">
        <f>'02 - 2022'!H15-'02 - 2022'!H14</f>
        <v>0</v>
      </c>
      <c r="L9" s="16">
        <f>'02 - 2022'!I15-'02 - 2022'!I14</f>
        <v>109</v>
      </c>
      <c r="M9" s="15">
        <v>4.393629424766913</v>
      </c>
      <c r="N9" s="18">
        <v>78</v>
      </c>
    </row>
    <row r="10" spans="1:21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'02 - 2022'!B16-'02 - 2022'!B15+'02 - 2022'!C16-'02 - 2022'!C15</f>
        <v>9657</v>
      </c>
      <c r="F10" s="14">
        <v>0.11799999999999999</v>
      </c>
      <c r="G10" s="16">
        <f>'02 - 2022'!D16-'02 - 2022'!D15+'02 - 2022'!E16-'02 - 2022'!E15</f>
        <v>17.039999999999964</v>
      </c>
      <c r="H10" s="14">
        <v>0.99</v>
      </c>
      <c r="I10" s="16">
        <f>'02 - 2022'!J16-'02 - 2022'!J15</f>
        <v>11071</v>
      </c>
      <c r="J10" s="14">
        <v>8.1000000000000003E-2</v>
      </c>
      <c r="K10" s="23">
        <f>'02 - 2022'!H16-'02 - 2022'!H15</f>
        <v>0</v>
      </c>
      <c r="L10" s="16">
        <f>'02 - 2022'!I16-'02 - 2022'!I15</f>
        <v>110</v>
      </c>
      <c r="M10" s="15">
        <v>4.393629424766913</v>
      </c>
      <c r="N10" s="18">
        <v>92</v>
      </c>
    </row>
    <row r="11" spans="1:21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'02 - 2022'!B17-'02 - 2022'!B16+'02 - 2022'!C17-'02 - 2022'!C16</f>
        <v>9573</v>
      </c>
      <c r="F11" s="14">
        <v>0.11799999999999999</v>
      </c>
      <c r="G11" s="16">
        <f>'02 - 2022'!D17-'02 - 2022'!D16+'02 - 2022'!E17-'02 - 2022'!E16</f>
        <v>19</v>
      </c>
      <c r="H11" s="14">
        <v>0.99</v>
      </c>
      <c r="I11" s="16">
        <f>'02 - 2022'!J17-'02 - 2022'!J16</f>
        <v>11256</v>
      </c>
      <c r="J11" s="14">
        <v>8.1000000000000003E-2</v>
      </c>
      <c r="K11" s="23">
        <f>'02 - 2022'!H17-'02 - 2022'!H16</f>
        <v>0</v>
      </c>
      <c r="L11" s="16">
        <f>'02 - 2022'!I17-'02 - 2022'!I16</f>
        <v>104</v>
      </c>
      <c r="M11" s="15">
        <v>4.393629424766913</v>
      </c>
      <c r="N11" s="18">
        <v>100</v>
      </c>
    </row>
    <row r="12" spans="1:21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'02 - 2022'!B18-'02 - 2022'!B17+'02 - 2022'!C18-'02 - 2022'!C17</f>
        <v>9600</v>
      </c>
      <c r="F12" s="14">
        <v>0.11799999999999999</v>
      </c>
      <c r="G12" s="16">
        <f>'02 - 2022'!D18-'02 - 2022'!D17+'02 - 2022'!E18-'02 - 2022'!E17</f>
        <v>20.369999999999891</v>
      </c>
      <c r="H12" s="14">
        <v>0.99</v>
      </c>
      <c r="I12" s="16">
        <f>'02 - 2022'!J18-'02 - 2022'!J17</f>
        <v>11787</v>
      </c>
      <c r="J12" s="14">
        <v>8.1000000000000003E-2</v>
      </c>
      <c r="K12" s="23">
        <f>'02 - 2022'!H18-'02 - 2022'!H17</f>
        <v>0</v>
      </c>
      <c r="L12" s="16">
        <f>'02 - 2022'!I18-'02 - 2022'!I17</f>
        <v>109</v>
      </c>
      <c r="M12" s="15">
        <v>4.393629424766913</v>
      </c>
      <c r="N12" s="16">
        <v>102</v>
      </c>
    </row>
    <row r="13" spans="1:21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'02 - 2022'!B19-'02 - 2022'!B18+'02 - 2022'!C19-'02 - 2022'!C18</f>
        <v>9855</v>
      </c>
      <c r="F13" s="14">
        <v>0.11799999999999999</v>
      </c>
      <c r="G13" s="16">
        <f>'02 - 2022'!D19-'02 - 2022'!D18+'02 - 2022'!E19-'02 - 2022'!E18</f>
        <v>20.570000000000164</v>
      </c>
      <c r="H13" s="14">
        <v>0.99</v>
      </c>
      <c r="I13" s="16">
        <f>'02 - 2022'!J19-'02 - 2022'!J18</f>
        <v>12346</v>
      </c>
      <c r="J13" s="14">
        <v>8.1000000000000003E-2</v>
      </c>
      <c r="K13" s="23">
        <f>'02 - 2022'!H19-'02 - 2022'!H18</f>
        <v>0</v>
      </c>
      <c r="L13" s="16">
        <f>'02 - 2022'!I19-'02 - 2022'!I18</f>
        <v>114</v>
      </c>
      <c r="M13" s="15">
        <v>4.393629424766913</v>
      </c>
      <c r="N13" s="16">
        <v>91</v>
      </c>
    </row>
    <row r="14" spans="1:21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'02 - 2022'!B20-'02 - 2022'!B19+'02 - 2022'!C20-'02 - 2022'!C19</f>
        <v>9752</v>
      </c>
      <c r="F14" s="14">
        <v>0.11799999999999999</v>
      </c>
      <c r="G14" s="16">
        <f>'02 - 2022'!D20-'02 - 2022'!D19+'02 - 2022'!E20-'02 - 2022'!E19</f>
        <v>16.309999999999491</v>
      </c>
      <c r="H14" s="14">
        <v>0.99</v>
      </c>
      <c r="I14" s="16">
        <f>'02 - 2022'!J20-'02 - 2022'!J19</f>
        <v>12764</v>
      </c>
      <c r="J14" s="14">
        <v>8.1000000000000003E-2</v>
      </c>
      <c r="K14" s="23">
        <f>'02 - 2022'!H20-'02 - 2022'!H19</f>
        <v>0</v>
      </c>
      <c r="L14" s="16">
        <f>'02 - 2022'!I20-'02 - 2022'!I19</f>
        <v>116</v>
      </c>
      <c r="M14" s="15">
        <v>4.393629424766913</v>
      </c>
      <c r="N14" s="16">
        <v>77</v>
      </c>
      <c r="O14" s="16"/>
    </row>
    <row r="15" spans="1:21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'02 - 2022'!B21-'02 - 2022'!B20+'02 - 2022'!C21-'02 - 2022'!C20</f>
        <v>9511</v>
      </c>
      <c r="F15" s="14">
        <v>0.11799999999999999</v>
      </c>
      <c r="G15" s="16">
        <f>'02 - 2022'!D21-'02 - 2022'!D20+'02 - 2022'!E21-'02 - 2022'!E20</f>
        <v>16.659999999999854</v>
      </c>
      <c r="H15" s="14">
        <v>0.99</v>
      </c>
      <c r="I15" s="16">
        <f>'02 - 2022'!J21-'02 - 2022'!J20</f>
        <v>11210</v>
      </c>
      <c r="J15" s="14">
        <v>8.1000000000000003E-2</v>
      </c>
      <c r="K15" s="23">
        <f>'02 - 2022'!H21-'02 - 2022'!H20</f>
        <v>0</v>
      </c>
      <c r="L15" s="16">
        <f>'02 - 2022'!I21-'02 - 2022'!I20</f>
        <v>106</v>
      </c>
      <c r="M15" s="15">
        <v>4.393629424766913</v>
      </c>
      <c r="N15" s="16">
        <v>76</v>
      </c>
      <c r="R15" s="14"/>
    </row>
    <row r="16" spans="1:21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'02 - 2022'!B22-'02 - 2022'!B21+'02 - 2022'!C22-'02 - 2022'!C21</f>
        <v>9647</v>
      </c>
      <c r="F16" s="14">
        <v>0.11799999999999999</v>
      </c>
      <c r="G16" s="16">
        <f>'02 - 2022'!D22-'02 - 2022'!D21+'02 - 2022'!E22-'02 - 2022'!E21</f>
        <v>17.599999999999909</v>
      </c>
      <c r="H16" s="14">
        <v>0.99</v>
      </c>
      <c r="I16" s="16">
        <f>'02 - 2022'!J22-'02 - 2022'!J21</f>
        <v>11314</v>
      </c>
      <c r="J16" s="14">
        <v>8.1000000000000003E-2</v>
      </c>
      <c r="K16" s="23">
        <f>'02 - 2022'!H22-'02 - 2022'!H21</f>
        <v>0</v>
      </c>
      <c r="L16" s="16">
        <f>'02 - 2022'!I22-'02 - 2022'!I21</f>
        <v>111</v>
      </c>
      <c r="M16" s="15">
        <v>4.393629424766913</v>
      </c>
      <c r="N16" s="16">
        <v>88</v>
      </c>
      <c r="U16" s="14"/>
    </row>
    <row r="17" spans="1:17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'02 - 2022'!B23-'02 - 2022'!B22+'02 - 2022'!C23-'02 - 2022'!C22</f>
        <v>9883</v>
      </c>
      <c r="F17" s="14">
        <v>0.11799999999999999</v>
      </c>
      <c r="G17" s="16">
        <f>'02 - 2022'!D23-'02 - 2022'!D22+'02 - 2022'!E23-'02 - 2022'!E22</f>
        <v>19.300000000000182</v>
      </c>
      <c r="H17" s="14">
        <v>0.99</v>
      </c>
      <c r="I17" s="16">
        <f>'02 - 2022'!J23-'02 - 2022'!J22</f>
        <v>12776</v>
      </c>
      <c r="J17" s="14">
        <v>8.1000000000000003E-2</v>
      </c>
      <c r="K17" s="23">
        <f>'02 - 2022'!H23-'02 - 2022'!H22</f>
        <v>0</v>
      </c>
      <c r="L17" s="16">
        <f>'02 - 2022'!I23-'02 - 2022'!I22</f>
        <v>113</v>
      </c>
      <c r="M17" s="15">
        <v>4.393629424766913</v>
      </c>
      <c r="N17" s="16">
        <v>90</v>
      </c>
      <c r="O17" s="14"/>
    </row>
    <row r="18" spans="1:17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'02 - 2022'!B24-'02 - 2022'!B23+'02 - 2022'!C24-'02 - 2022'!C23</f>
        <v>9343</v>
      </c>
      <c r="F18" s="14">
        <v>0.11799999999999999</v>
      </c>
      <c r="G18" s="16">
        <f>'02 - 2022'!D24-'02 - 2022'!D23+'02 - 2022'!E24-'02 - 2022'!E23</f>
        <v>17.759999999999764</v>
      </c>
      <c r="H18" s="14">
        <v>0.99</v>
      </c>
      <c r="I18" s="16">
        <f>'02 - 2022'!J24-'02 - 2022'!J23</f>
        <v>13750</v>
      </c>
      <c r="J18" s="14">
        <v>8.1000000000000003E-2</v>
      </c>
      <c r="K18" s="23">
        <f>'02 - 2022'!H24-'02 - 2022'!H23</f>
        <v>0</v>
      </c>
      <c r="L18" s="16">
        <f>'02 - 2022'!I24-'02 - 2022'!I23</f>
        <v>111</v>
      </c>
      <c r="M18" s="15">
        <v>4.393629424766913</v>
      </c>
      <c r="N18" s="16">
        <v>91</v>
      </c>
      <c r="Q18" s="14"/>
    </row>
    <row r="19" spans="1:17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'02 - 2022'!B25-'02 - 2022'!B24+'02 - 2022'!C25-'02 - 2022'!C24</f>
        <v>9577</v>
      </c>
      <c r="F19" s="14">
        <v>0.11799999999999999</v>
      </c>
      <c r="G19" s="16">
        <f>'02 - 2022'!D25-'02 - 2022'!D24+'02 - 2022'!E25-'02 - 2022'!E24</f>
        <v>19.840000000000146</v>
      </c>
      <c r="H19" s="14">
        <v>0.99</v>
      </c>
      <c r="I19" s="16">
        <f>'02 - 2022'!J25-'02 - 2022'!J24</f>
        <v>11826</v>
      </c>
      <c r="J19" s="14">
        <v>8.1000000000000003E-2</v>
      </c>
      <c r="K19" s="23">
        <f>'02 - 2022'!H25-'02 - 2022'!H24</f>
        <v>0</v>
      </c>
      <c r="L19" s="16">
        <f>'02 - 2022'!I25-'02 - 2022'!I24</f>
        <v>116</v>
      </c>
      <c r="M19" s="15">
        <v>4.393629424766913</v>
      </c>
      <c r="N19" s="16">
        <v>101</v>
      </c>
    </row>
    <row r="20" spans="1:17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'02 - 2022'!B26-'02 - 2022'!B25+'02 - 2022'!C26-'02 - 2022'!C25</f>
        <v>9688</v>
      </c>
      <c r="F20" s="14">
        <v>0.11799999999999999</v>
      </c>
      <c r="G20" s="16">
        <f>'02 - 2022'!D26-'02 - 2022'!D25+'02 - 2022'!E26-'02 - 2022'!E25</f>
        <v>22.3100000000004</v>
      </c>
      <c r="H20" s="14">
        <v>0.99</v>
      </c>
      <c r="I20" s="16">
        <f>'02 - 2022'!J26-'02 - 2022'!J25</f>
        <v>11954</v>
      </c>
      <c r="J20" s="14">
        <v>8.1000000000000003E-2</v>
      </c>
      <c r="K20" s="23">
        <f>'02 - 2022'!H26-'02 - 2022'!H25</f>
        <v>0</v>
      </c>
      <c r="L20" s="16">
        <f>'02 - 2022'!I26-'02 - 2022'!I25</f>
        <v>120</v>
      </c>
      <c r="M20" s="15">
        <v>4.393629424766913</v>
      </c>
      <c r="N20" s="16">
        <v>97</v>
      </c>
    </row>
    <row r="21" spans="1:17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'02 - 2022'!B27-'02 - 2022'!B26+'02 - 2022'!C27-'02 - 2022'!C26</f>
        <v>9525</v>
      </c>
      <c r="F21" s="14">
        <v>0.11799999999999999</v>
      </c>
      <c r="G21" s="16">
        <f>'02 - 2022'!D27-'02 - 2022'!D26+'02 - 2022'!E27-'02 - 2022'!E26</f>
        <v>22.049999999999727</v>
      </c>
      <c r="H21" s="14">
        <v>0.99</v>
      </c>
      <c r="I21" s="16">
        <f>'02 - 2022'!J27-'02 - 2022'!J26</f>
        <v>12870</v>
      </c>
      <c r="J21" s="14">
        <v>8.1000000000000003E-2</v>
      </c>
      <c r="K21" s="23">
        <f>'02 - 2022'!H27-'02 - 2022'!H26</f>
        <v>0</v>
      </c>
      <c r="L21" s="16">
        <f>'02 - 2022'!I27-'02 - 2022'!I26</f>
        <v>119</v>
      </c>
      <c r="M21" s="15">
        <v>4.393629424766913</v>
      </c>
      <c r="N21" s="16">
        <v>85</v>
      </c>
    </row>
    <row r="22" spans="1:17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'02 - 2022'!B28-'02 - 2022'!B27+'02 - 2022'!C28-'02 - 2022'!C27</f>
        <v>9358</v>
      </c>
      <c r="F22" s="14">
        <v>0.11799999999999999</v>
      </c>
      <c r="G22" s="16">
        <f>'02 - 2022'!D28-'02 - 2022'!D27+'02 - 2022'!E28-'02 - 2022'!E27</f>
        <v>17.130000000000109</v>
      </c>
      <c r="H22" s="14">
        <v>0.99</v>
      </c>
      <c r="I22" s="16">
        <f>'02 - 2022'!J28-'02 - 2022'!J27</f>
        <v>13986</v>
      </c>
      <c r="J22" s="14">
        <v>8.1000000000000003E-2</v>
      </c>
      <c r="K22" s="23">
        <f>'02 - 2022'!H28-'02 - 2022'!H27</f>
        <v>0</v>
      </c>
      <c r="L22" s="16">
        <f>'02 - 2022'!I28-'02 - 2022'!I27</f>
        <v>109</v>
      </c>
      <c r="M22" s="15">
        <v>4.393629424766913</v>
      </c>
      <c r="N22" s="16">
        <v>79</v>
      </c>
    </row>
    <row r="23" spans="1:17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'02 - 2022'!B29-'02 - 2022'!B28+'02 - 2022'!C29-'02 - 2022'!C28</f>
        <v>9768</v>
      </c>
      <c r="F23" s="14">
        <v>0.11799999999999999</v>
      </c>
      <c r="G23" s="16">
        <f>'02 - 2022'!D29-'02 - 2022'!D28+'02 - 2022'!E29-'02 - 2022'!E28</f>
        <v>23.840000000000146</v>
      </c>
      <c r="H23" s="14">
        <v>0.99</v>
      </c>
      <c r="I23" s="16">
        <f>'02 - 2022'!J29-'02 - 2022'!J28</f>
        <v>13194</v>
      </c>
      <c r="J23" s="14">
        <v>8.1000000000000003E-2</v>
      </c>
      <c r="K23" s="23">
        <f>'02 - 2022'!H29-'02 - 2022'!H28</f>
        <v>0</v>
      </c>
      <c r="L23" s="16">
        <f>'02 - 2022'!I29-'02 - 2022'!I28</f>
        <v>116</v>
      </c>
      <c r="M23" s="15">
        <v>4.393629424766913</v>
      </c>
      <c r="N23" s="16">
        <v>88</v>
      </c>
    </row>
    <row r="24" spans="1:17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'02 - 2022'!B30-'02 - 2022'!B29+'02 - 2022'!C30-'02 - 2022'!C29</f>
        <v>9811</v>
      </c>
      <c r="F24" s="14">
        <v>0.11799999999999999</v>
      </c>
      <c r="G24" s="16">
        <f>'02 - 2022'!D30-'02 - 2022'!D29+'02 - 2022'!E30-'02 - 2022'!E29</f>
        <v>18.859999999999673</v>
      </c>
      <c r="H24" s="14">
        <v>0.99</v>
      </c>
      <c r="I24" s="16">
        <f>'02 - 2022'!J30-'02 - 2022'!J29</f>
        <v>13000</v>
      </c>
      <c r="J24" s="14">
        <v>8.1000000000000003E-2</v>
      </c>
      <c r="K24" s="23">
        <f>'02 - 2022'!H30-'02 - 2022'!H29</f>
        <v>0</v>
      </c>
      <c r="L24" s="16">
        <f>'02 - 2022'!I30-'02 - 2022'!I29</f>
        <v>105</v>
      </c>
      <c r="M24" s="15">
        <v>4.393629424766913</v>
      </c>
      <c r="N24" s="16">
        <v>103</v>
      </c>
    </row>
    <row r="25" spans="1:17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'02 - 2022'!B31-'02 - 2022'!B30+'02 - 2022'!C31-'02 - 2022'!C30</f>
        <v>9304</v>
      </c>
      <c r="F25" s="14">
        <v>0.11799999999999999</v>
      </c>
      <c r="G25" s="16">
        <f>'02 - 2022'!D31-'02 - 2022'!D30+'02 - 2022'!E31-'02 - 2022'!E30</f>
        <v>19.539999999999964</v>
      </c>
      <c r="H25" s="14">
        <v>0.99</v>
      </c>
      <c r="I25" s="16">
        <f>'02 - 2022'!J31-'02 - 2022'!J30</f>
        <v>13426</v>
      </c>
      <c r="J25" s="14">
        <v>8.1000000000000003E-2</v>
      </c>
      <c r="K25" s="23">
        <f>'02 - 2022'!H31-'02 - 2022'!H30</f>
        <v>0</v>
      </c>
      <c r="L25" s="16">
        <f>'02 - 2022'!I31-'02 - 2022'!I30</f>
        <v>107</v>
      </c>
      <c r="M25" s="15">
        <v>4.393629424766913</v>
      </c>
      <c r="N25" s="16">
        <v>106</v>
      </c>
      <c r="P25" s="12"/>
    </row>
    <row r="26" spans="1:17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v>0</v>
      </c>
      <c r="F26" s="14">
        <v>0.11799999999999999</v>
      </c>
      <c r="G26" s="16">
        <v>0</v>
      </c>
      <c r="H26" s="14">
        <v>0.99</v>
      </c>
      <c r="I26" s="16">
        <v>0</v>
      </c>
      <c r="J26" s="14">
        <v>8.1000000000000003E-2</v>
      </c>
      <c r="K26" s="23">
        <v>0</v>
      </c>
      <c r="L26" s="16"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'02 - 2022'!B33-'02 - 2022'!B32+'02 - 2022'!C33-'02 - 2022'!C32</f>
        <v>0</v>
      </c>
      <c r="F27" s="14">
        <v>0.11799999999999999</v>
      </c>
      <c r="G27" s="16">
        <f>'02 - 2022'!D33-'02 - 2022'!D32+'02 - 2022'!E33-'02 - 2022'!E32</f>
        <v>0</v>
      </c>
      <c r="H27" s="14">
        <v>0.99</v>
      </c>
      <c r="I27" s="16">
        <f>'02 - 2022'!J33-'02 - 2022'!J32</f>
        <v>0</v>
      </c>
      <c r="J27" s="14">
        <v>8.1000000000000003E-2</v>
      </c>
      <c r="K27" s="23">
        <f>'02 - 2022'!H33-'02 - 2022'!H32</f>
        <v>0</v>
      </c>
      <c r="L27" s="16">
        <f>'02 - 2022'!I33-'02 - 2022'!I32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'02 - 2022'!B34-'02 - 2022'!B33+'02 - 2022'!C34-'02 - 2022'!C33</f>
        <v>0</v>
      </c>
      <c r="F28" s="14">
        <v>0.11799999999999999</v>
      </c>
      <c r="G28" s="16">
        <f>'02 - 2022'!D34-'02 - 2022'!D33+'02 - 2022'!E34-'02 - 2022'!E33</f>
        <v>0</v>
      </c>
      <c r="H28" s="14">
        <v>0.99</v>
      </c>
      <c r="I28" s="16">
        <f>'02 - 2022'!J34-'02 - 2022'!J33</f>
        <v>0</v>
      </c>
      <c r="J28" s="14">
        <v>8.1000000000000003E-2</v>
      </c>
      <c r="K28" s="23">
        <f>'02 - 2022'!H34-'02 - 2022'!H33</f>
        <v>0</v>
      </c>
      <c r="L28" s="16">
        <f>'02 - 2022'!I34-'02 - 2022'!I33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'02 - 2022'!B35-'02 - 2022'!B34+'02 - 2022'!C35-'02 - 2022'!C34</f>
        <v>0</v>
      </c>
      <c r="F29" s="14">
        <v>0.11799999999999999</v>
      </c>
      <c r="G29" s="16">
        <f>'02 - 2022'!D35-'02 - 2022'!D34+'02 - 2022'!E35-'02 - 2022'!E34</f>
        <v>0</v>
      </c>
      <c r="H29" s="14">
        <v>0.99</v>
      </c>
      <c r="I29" s="16">
        <f>'02 - 2022'!J35-'02 - 2022'!J34</f>
        <v>0</v>
      </c>
      <c r="J29" s="14">
        <v>8.1000000000000003E-2</v>
      </c>
      <c r="K29" s="23">
        <f>'02 - 2022'!H35-'02 - 2022'!H34</f>
        <v>0</v>
      </c>
      <c r="L29" s="16">
        <f>'02 - 2022'!I35-'02 - 2022'!I34</f>
        <v>0</v>
      </c>
      <c r="M29" s="15">
        <v>4.393629424766913</v>
      </c>
      <c r="N29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B34" sqref="B3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2</v>
      </c>
      <c r="D2">
        <v>2022</v>
      </c>
      <c r="E2" s="16">
        <f>'02 - 2022'!B8-'02 - 2022'!B7</f>
        <v>3684</v>
      </c>
      <c r="F2" s="16">
        <f>'02 - 2022'!C8-'02 - 2022'!C7</f>
        <v>5470</v>
      </c>
      <c r="G2" s="14">
        <v>0.11799999999999999</v>
      </c>
      <c r="H2" s="16">
        <f>'02 - 2022'!E8-'02 - 2022'!E7</f>
        <v>21.0300000000002</v>
      </c>
      <c r="I2" s="16">
        <f>'02 - 2022'!F8-'02 - 2022'!F7</f>
        <v>8.5199999999999818</v>
      </c>
      <c r="J2" s="16">
        <f>'02 - 2022'!G8-'02 - 2022'!G7</f>
        <v>36.270000000004075</v>
      </c>
      <c r="K2" s="14">
        <v>0.74</v>
      </c>
      <c r="L2" s="16">
        <v>67</v>
      </c>
      <c r="M2" s="10"/>
    </row>
    <row r="3" spans="1:13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</f>
        <v>3764</v>
      </c>
      <c r="F3" s="16">
        <f>'02 - 2022'!C9-'02 - 2022'!C8</f>
        <v>5678</v>
      </c>
      <c r="G3" s="14">
        <v>0.11799999999999999</v>
      </c>
      <c r="H3" s="16">
        <f>'02 - 2022'!E9-'02 - 2022'!E8</f>
        <v>18.049999999999727</v>
      </c>
      <c r="I3" s="16">
        <f>'02 - 2022'!F9-'02 - 2022'!F8</f>
        <v>8.8800000000001091</v>
      </c>
      <c r="J3" s="16">
        <f>'02 - 2022'!G9-'02 - 2022'!G8</f>
        <v>39.5</v>
      </c>
      <c r="K3" s="14">
        <v>0.74</v>
      </c>
      <c r="L3" s="18">
        <v>84</v>
      </c>
      <c r="M3" s="10"/>
    </row>
    <row r="4" spans="1:13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'02 - 2022'!B10-'02 - 2022'!B9</f>
        <v>4065</v>
      </c>
      <c r="F4" s="16">
        <f>'02 - 2022'!C10-'02 - 2022'!C9</f>
        <v>5627</v>
      </c>
      <c r="G4" s="14">
        <v>0.11799999999999999</v>
      </c>
      <c r="H4" s="16">
        <f>'02 - 2022'!E10-'02 - 2022'!E9</f>
        <v>18.760000000000218</v>
      </c>
      <c r="I4" s="16">
        <f>'02 - 2022'!F10-'02 - 2022'!F9</f>
        <v>8.0699999999999363</v>
      </c>
      <c r="J4" s="16">
        <f>'02 - 2022'!G10-'02 - 2022'!G9</f>
        <v>42.379999999997381</v>
      </c>
      <c r="K4" s="14">
        <v>0.74</v>
      </c>
      <c r="L4" s="18">
        <v>93</v>
      </c>
      <c r="M4" s="10"/>
    </row>
    <row r="5" spans="1:13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</f>
        <v>3935</v>
      </c>
      <c r="F5" s="16">
        <f>'02 - 2022'!C11-'02 - 2022'!C10</f>
        <v>5599</v>
      </c>
      <c r="G5" s="14">
        <v>0.11799999999999999</v>
      </c>
      <c r="H5" s="16">
        <f>'02 - 2022'!E11-'02 - 2022'!E10</f>
        <v>14.9699999999998</v>
      </c>
      <c r="I5" s="16">
        <f>'02 - 2022'!F11-'02 - 2022'!F10</f>
        <v>8.1600000000000819</v>
      </c>
      <c r="J5" s="16">
        <f>'02 - 2022'!G11-'02 - 2022'!G10</f>
        <v>41.650000000001455</v>
      </c>
      <c r="K5" s="14">
        <v>0.74</v>
      </c>
      <c r="L5" s="18">
        <v>102</v>
      </c>
      <c r="M5" s="10"/>
    </row>
    <row r="6" spans="1:13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</f>
        <v>4044</v>
      </c>
      <c r="F6" s="16">
        <f>'02 - 2022'!C12-'02 - 2022'!C11</f>
        <v>5734</v>
      </c>
      <c r="G6" s="14">
        <v>0.11799999999999999</v>
      </c>
      <c r="H6" s="16">
        <f>'02 - 2022'!E12-'02 - 2022'!E11</f>
        <v>25.019999999999982</v>
      </c>
      <c r="I6" s="16">
        <f>'02 - 2022'!F12-'02 - 2022'!F11</f>
        <v>8.1299999999998818</v>
      </c>
      <c r="J6" s="16">
        <f>'02 - 2022'!G12-'02 - 2022'!G11</f>
        <v>43.989999999997963</v>
      </c>
      <c r="K6" s="14">
        <v>0.74</v>
      </c>
      <c r="L6" s="18">
        <v>98</v>
      </c>
      <c r="M6" s="11"/>
    </row>
    <row r="7" spans="1:13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</f>
        <v>3945</v>
      </c>
      <c r="F7" s="16">
        <f>'02 - 2022'!C13-'02 - 2022'!C12</f>
        <v>5732</v>
      </c>
      <c r="G7" s="14">
        <v>0.11799999999999999</v>
      </c>
      <c r="H7" s="16">
        <f>'02 - 2022'!E13-'02 - 2022'!E12</f>
        <v>16.790000000000418</v>
      </c>
      <c r="I7" s="16">
        <f>'02 - 2022'!F13-'02 - 2022'!F12</f>
        <v>7.8399999999999181</v>
      </c>
      <c r="J7" s="16">
        <f>'02 - 2022'!G13-'02 - 2022'!G12</f>
        <v>42.589999999996508</v>
      </c>
      <c r="K7" s="14">
        <v>0.74</v>
      </c>
      <c r="L7" s="18">
        <v>66</v>
      </c>
      <c r="M7" s="11"/>
    </row>
    <row r="8" spans="1:13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</f>
        <v>4224</v>
      </c>
      <c r="F8" s="16">
        <f>'02 - 2022'!C14-'02 - 2022'!C13</f>
        <v>5632</v>
      </c>
      <c r="G8" s="14">
        <v>0.11799999999999999</v>
      </c>
      <c r="H8" s="16">
        <f>'02 - 2022'!E14-'02 - 2022'!E13</f>
        <v>17.959999999999582</v>
      </c>
      <c r="I8" s="16">
        <f>'02 - 2022'!F14-'02 - 2022'!F13</f>
        <v>7.8300000000001546</v>
      </c>
      <c r="J8" s="16">
        <f>'02 - 2022'!G14-'02 - 2022'!G13</f>
        <v>42.080000000001746</v>
      </c>
      <c r="K8" s="14">
        <v>0.74</v>
      </c>
      <c r="L8" s="18">
        <v>67</v>
      </c>
      <c r="M8" s="11"/>
    </row>
    <row r="9" spans="1:13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</f>
        <v>4215</v>
      </c>
      <c r="F9" s="16">
        <f>'02 - 2022'!C15-'02 - 2022'!C14</f>
        <v>5521</v>
      </c>
      <c r="G9" s="14">
        <v>0.11799999999999999</v>
      </c>
      <c r="H9" s="16">
        <f>'02 - 2022'!E15-'02 - 2022'!E14</f>
        <v>18.990000000000236</v>
      </c>
      <c r="I9" s="16">
        <f>'02 - 2022'!F15-'02 - 2022'!F14</f>
        <v>8.4400000000000546</v>
      </c>
      <c r="J9" s="16">
        <f>'02 - 2022'!G15-'02 - 2022'!G14</f>
        <v>41.080000000001746</v>
      </c>
      <c r="K9" s="14">
        <v>0.74</v>
      </c>
      <c r="L9" s="18">
        <v>78</v>
      </c>
      <c r="M9" s="11"/>
    </row>
    <row r="10" spans="1:13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</f>
        <v>4133</v>
      </c>
      <c r="F10" s="16">
        <f>'02 - 2022'!C16-'02 - 2022'!C15</f>
        <v>5524</v>
      </c>
      <c r="G10" s="14">
        <v>0.11799999999999999</v>
      </c>
      <c r="H10" s="16">
        <f>'02 - 2022'!E16-'02 - 2022'!E15</f>
        <v>17.110000000000127</v>
      </c>
      <c r="I10" s="16">
        <f>'02 - 2022'!F16-'02 - 2022'!F15</f>
        <v>8.709999999999809</v>
      </c>
      <c r="J10" s="16">
        <f>'02 - 2022'!G16-'02 - 2022'!G15</f>
        <v>39.639999999999418</v>
      </c>
      <c r="K10" s="14">
        <v>0.74</v>
      </c>
      <c r="L10" s="18">
        <v>92</v>
      </c>
      <c r="M10" s="11"/>
    </row>
    <row r="11" spans="1:13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</f>
        <v>3949</v>
      </c>
      <c r="F11" s="16">
        <f>'02 - 2022'!C17-'02 - 2022'!C16</f>
        <v>5624</v>
      </c>
      <c r="G11" s="14">
        <v>0.11799999999999999</v>
      </c>
      <c r="H11" s="16">
        <f>'02 - 2022'!E17-'02 - 2022'!E16</f>
        <v>18.579999999999927</v>
      </c>
      <c r="I11" s="16">
        <f>'02 - 2022'!F17-'02 - 2022'!F16</f>
        <v>8.5800000000001546</v>
      </c>
      <c r="J11" s="16">
        <f>'02 - 2022'!G17-'02 - 2022'!G16</f>
        <v>42.440000000002328</v>
      </c>
      <c r="K11" s="14">
        <v>0.74</v>
      </c>
      <c r="L11" s="18">
        <v>100</v>
      </c>
      <c r="M11" s="11"/>
    </row>
    <row r="12" spans="1:13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</f>
        <v>3912</v>
      </c>
      <c r="F12" s="16">
        <f>'02 - 2022'!C18-'02 - 2022'!C17</f>
        <v>5688</v>
      </c>
      <c r="G12" s="14">
        <v>0.11799999999999999</v>
      </c>
      <c r="H12" s="16">
        <f>'02 - 2022'!E18-'02 - 2022'!E17</f>
        <v>20.449999999999818</v>
      </c>
      <c r="I12" s="16">
        <f>'02 - 2022'!F18-'02 - 2022'!F17</f>
        <v>8.3499999999999091</v>
      </c>
      <c r="J12" s="16">
        <f>'02 - 2022'!G18-'02 - 2022'!G17</f>
        <v>40.25</v>
      </c>
      <c r="K12" s="14">
        <v>0.74</v>
      </c>
      <c r="L12" s="16">
        <v>102</v>
      </c>
      <c r="M12" s="11"/>
    </row>
    <row r="13" spans="1:13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'02 - 2022'!B19-'02 - 2022'!B18</f>
        <v>4017</v>
      </c>
      <c r="F13" s="16">
        <f>'02 - 2022'!C19-'02 - 2022'!C18</f>
        <v>5838</v>
      </c>
      <c r="G13" s="14">
        <v>0.11799999999999999</v>
      </c>
      <c r="H13" s="16">
        <f>'02 - 2022'!E19-'02 - 2022'!E18</f>
        <v>20.660000000000309</v>
      </c>
      <c r="I13" s="16">
        <f>'02 - 2022'!F19-'02 - 2022'!F18</f>
        <v>7.9800000000000182</v>
      </c>
      <c r="J13" s="16">
        <f>'02 - 2022'!G19-'02 - 2022'!G18</f>
        <v>41.650000000001455</v>
      </c>
      <c r="K13" s="14">
        <v>0.74</v>
      </c>
      <c r="L13" s="16">
        <v>91</v>
      </c>
      <c r="M13" s="11"/>
    </row>
    <row r="14" spans="1:13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</f>
        <v>3966</v>
      </c>
      <c r="F14" s="16">
        <f>'02 - 2022'!C20-'02 - 2022'!C19</f>
        <v>5786</v>
      </c>
      <c r="G14" s="14">
        <v>0.11799999999999999</v>
      </c>
      <c r="H14" s="16">
        <f>'02 - 2022'!E20-'02 - 2022'!E19</f>
        <v>16.399999999999636</v>
      </c>
      <c r="I14" s="16">
        <f>'02 - 2022'!F20-'02 - 2022'!F19</f>
        <v>7.25</v>
      </c>
      <c r="J14" s="16">
        <f>'02 - 2022'!G20-'02 - 2022'!G19</f>
        <v>40.089999999996508</v>
      </c>
      <c r="K14" s="14">
        <v>0.74</v>
      </c>
      <c r="L14" s="16">
        <v>77</v>
      </c>
      <c r="M14" s="11"/>
    </row>
    <row r="15" spans="1:13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</f>
        <v>3995</v>
      </c>
      <c r="F15" s="16">
        <f>'02 - 2022'!C21-'02 - 2022'!C20</f>
        <v>5516</v>
      </c>
      <c r="G15" s="14">
        <v>0.11799999999999999</v>
      </c>
      <c r="H15" s="16">
        <f>'02 - 2022'!E21-'02 - 2022'!E20</f>
        <v>16.710000000000036</v>
      </c>
      <c r="I15" s="16">
        <f>'02 - 2022'!F21-'02 - 2022'!F20</f>
        <v>7.9100000000000819</v>
      </c>
      <c r="J15" s="16">
        <f>'02 - 2022'!G21-'02 - 2022'!G20</f>
        <v>36.919999999998254</v>
      </c>
      <c r="K15" s="14">
        <v>0.74</v>
      </c>
      <c r="L15" s="16">
        <v>76</v>
      </c>
      <c r="M15" s="11"/>
    </row>
    <row r="16" spans="1:13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</f>
        <v>4021</v>
      </c>
      <c r="F16" s="16">
        <f>'02 - 2022'!C22-'02 - 2022'!C21</f>
        <v>5626</v>
      </c>
      <c r="G16" s="14">
        <v>0.11799999999999999</v>
      </c>
      <c r="H16" s="16">
        <f>'02 - 2022'!E22-'02 - 2022'!E21</f>
        <v>17.710000000000036</v>
      </c>
      <c r="I16" s="16">
        <f>'02 - 2022'!F22-'02 - 2022'!F21</f>
        <v>8.3299999999999272</v>
      </c>
      <c r="J16" s="16">
        <f>'02 - 2022'!G22-'02 - 2022'!G21</f>
        <v>37.970000000001164</v>
      </c>
      <c r="K16" s="14">
        <v>0.74</v>
      </c>
      <c r="L16" s="16">
        <v>88</v>
      </c>
      <c r="M16" s="11"/>
    </row>
    <row r="17" spans="1:13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'02 - 2022'!B23-'02 - 2022'!B22</f>
        <v>3981</v>
      </c>
      <c r="F17" s="16">
        <f>'02 - 2022'!C23-'02 - 2022'!C22</f>
        <v>5902</v>
      </c>
      <c r="G17" s="14">
        <v>0.11799999999999999</v>
      </c>
      <c r="H17" s="16">
        <f>'02 - 2022'!E23-'02 - 2022'!E22</f>
        <v>19.380000000000109</v>
      </c>
      <c r="I17" s="16">
        <f>'02 - 2022'!F23-'02 - 2022'!F22</f>
        <v>8.7999999999999545</v>
      </c>
      <c r="J17" s="16">
        <f>'02 - 2022'!G23-'02 - 2022'!G22</f>
        <v>39.270000000004075</v>
      </c>
      <c r="K17" s="14">
        <v>0.74</v>
      </c>
      <c r="L17" s="16">
        <v>90</v>
      </c>
      <c r="M17" s="11"/>
    </row>
    <row r="18" spans="1:13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'02 - 2022'!B24-'02 - 2022'!B23</f>
        <v>3892</v>
      </c>
      <c r="F18" s="16">
        <f>'02 - 2022'!C24-'02 - 2022'!C23</f>
        <v>5451</v>
      </c>
      <c r="G18" s="14">
        <v>0.11799999999999999</v>
      </c>
      <c r="H18" s="16">
        <f>'02 - 2022'!E24-'02 - 2022'!E23</f>
        <v>17.259999999999764</v>
      </c>
      <c r="I18" s="16">
        <f>'02 - 2022'!F24-'02 - 2022'!F23</f>
        <v>8.8900000000001</v>
      </c>
      <c r="J18" s="16">
        <f>'02 - 2022'!G24-'02 - 2022'!G23</f>
        <v>37.609999999993306</v>
      </c>
      <c r="K18" s="14">
        <v>0.74</v>
      </c>
      <c r="L18" s="16">
        <v>91</v>
      </c>
      <c r="M18" s="11"/>
    </row>
    <row r="19" spans="1:13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</f>
        <v>4016</v>
      </c>
      <c r="F19" s="16">
        <f>'02 - 2022'!C25-'02 - 2022'!C24</f>
        <v>5561</v>
      </c>
      <c r="G19" s="14">
        <v>0.11799999999999999</v>
      </c>
      <c r="H19" s="16">
        <f>'02 - 2022'!E25-'02 - 2022'!E24</f>
        <v>19.920000000000073</v>
      </c>
      <c r="I19" s="16">
        <f>'02 - 2022'!F25-'02 - 2022'!F24</f>
        <v>8.5899999999999181</v>
      </c>
      <c r="J19" s="16">
        <f>'02 - 2022'!G25-'02 - 2022'!G24</f>
        <v>40.55000000000291</v>
      </c>
      <c r="K19" s="14">
        <v>0.74</v>
      </c>
      <c r="L19" s="16">
        <v>101</v>
      </c>
      <c r="M19" s="11"/>
    </row>
    <row r="20" spans="1:13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'02 - 2022'!B26-'02 - 2022'!B25</f>
        <v>4109</v>
      </c>
      <c r="F20" s="16">
        <f>'02 - 2022'!C26-'02 - 2022'!C25</f>
        <v>5579</v>
      </c>
      <c r="G20" s="14">
        <v>0.11799999999999999</v>
      </c>
      <c r="H20" s="16">
        <f>'02 - 2022'!E26-'02 - 2022'!E25</f>
        <v>22.410000000000309</v>
      </c>
      <c r="I20" s="16">
        <f>'02 - 2022'!F26-'02 - 2022'!F25</f>
        <v>8.8900000000001</v>
      </c>
      <c r="J20" s="16">
        <f>'02 - 2022'!G26-'02 - 2022'!G25</f>
        <v>42.230000000003201</v>
      </c>
      <c r="K20" s="14">
        <v>0.74</v>
      </c>
      <c r="L20" s="4">
        <v>97</v>
      </c>
      <c r="M20" s="11"/>
    </row>
    <row r="21" spans="1:13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</f>
        <v>3969</v>
      </c>
      <c r="F21" s="16">
        <f>'02 - 2022'!C27-'02 - 2022'!C26</f>
        <v>5556</v>
      </c>
      <c r="G21" s="14">
        <v>0.11799999999999999</v>
      </c>
      <c r="H21" s="16">
        <f>'02 - 2022'!E27-'02 - 2022'!E26</f>
        <v>22.129999999999654</v>
      </c>
      <c r="I21" s="16">
        <f>'02 - 2022'!F27-'02 - 2022'!F26</f>
        <v>7.9499999999998181</v>
      </c>
      <c r="J21" s="16">
        <f>'02 - 2022'!G27-'02 - 2022'!G26</f>
        <v>41.889999999999418</v>
      </c>
      <c r="K21" s="14">
        <v>0.74</v>
      </c>
      <c r="L21" s="4">
        <v>85</v>
      </c>
      <c r="M21" s="11"/>
    </row>
    <row r="22" spans="1:13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</f>
        <v>3885</v>
      </c>
      <c r="F22" s="16">
        <f>'02 - 2022'!C28-'02 - 2022'!C27</f>
        <v>5473</v>
      </c>
      <c r="G22" s="14">
        <v>0.11799999999999999</v>
      </c>
      <c r="H22" s="16">
        <f>'02 - 2022'!E28-'02 - 2022'!E27</f>
        <v>17.220000000000255</v>
      </c>
      <c r="I22" s="16">
        <f>'02 - 2022'!F28-'02 - 2022'!F27</f>
        <v>8</v>
      </c>
      <c r="J22" s="16">
        <f>'02 - 2022'!G28-'02 - 2022'!G27</f>
        <v>38.569999999999709</v>
      </c>
      <c r="K22" s="14">
        <v>0.74</v>
      </c>
      <c r="L22" s="16">
        <v>79</v>
      </c>
      <c r="M22" s="11"/>
    </row>
    <row r="23" spans="1:13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'02 - 2022'!B29-'02 - 2022'!B28</f>
        <v>4172</v>
      </c>
      <c r="F23" s="16">
        <f>'02 - 2022'!C29-'02 - 2022'!C28</f>
        <v>5596</v>
      </c>
      <c r="G23" s="14">
        <v>0.11799999999999999</v>
      </c>
      <c r="H23" s="16">
        <f>'02 - 2022'!E29-'02 - 2022'!E28</f>
        <v>23.920000000000073</v>
      </c>
      <c r="I23" s="16">
        <f>'02 - 2022'!F29-'02 - 2022'!F28</f>
        <v>8.6000000000001364</v>
      </c>
      <c r="J23" s="16">
        <f>'02 - 2022'!G29-'02 - 2022'!G28</f>
        <v>39.049999999995634</v>
      </c>
      <c r="K23" s="14">
        <v>0.74</v>
      </c>
      <c r="L23" s="16">
        <v>88</v>
      </c>
      <c r="M23" s="11"/>
    </row>
    <row r="24" spans="1:13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'02 - 2022'!B30-'02 - 2022'!B29</f>
        <v>4199</v>
      </c>
      <c r="F24" s="16">
        <f>'02 - 2022'!C30-'02 - 2022'!C29</f>
        <v>5612</v>
      </c>
      <c r="G24" s="14">
        <v>0.11799999999999999</v>
      </c>
      <c r="H24" s="16">
        <f>'02 - 2022'!E30-'02 - 2022'!E29</f>
        <v>18.929999999999836</v>
      </c>
      <c r="I24" s="16">
        <f>'02 - 2022'!F30-'02 - 2022'!F29</f>
        <v>7.7799999999999727</v>
      </c>
      <c r="J24" s="16">
        <f>'02 - 2022'!G30-'02 - 2022'!G29</f>
        <v>39.560000000004948</v>
      </c>
      <c r="K24" s="14">
        <v>0.74</v>
      </c>
      <c r="L24" s="16">
        <v>103</v>
      </c>
      <c r="M24" s="11"/>
    </row>
    <row r="25" spans="1:13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'02 - 2022'!B31-'02 - 2022'!B30</f>
        <v>3880</v>
      </c>
      <c r="F25" s="16">
        <f>'02 - 2022'!C31-'02 - 2022'!C30</f>
        <v>5424</v>
      </c>
      <c r="G25" s="14">
        <v>0.11799999999999999</v>
      </c>
      <c r="H25" s="16">
        <f>'02 - 2022'!E31-'02 - 2022'!E30</f>
        <v>19.039999999999964</v>
      </c>
      <c r="I25" s="16">
        <f>'02 - 2022'!F31-'02 - 2022'!F30</f>
        <v>7.3699999999998909</v>
      </c>
      <c r="J25" s="16">
        <f>'02 - 2022'!G31-'02 - 2022'!G30</f>
        <v>39.169999999998254</v>
      </c>
      <c r="K25" s="14">
        <v>0.74</v>
      </c>
      <c r="L25" s="4">
        <v>106</v>
      </c>
      <c r="M25" s="11"/>
    </row>
    <row r="26" spans="1:13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v>0</v>
      </c>
      <c r="F26" s="16">
        <v>0</v>
      </c>
      <c r="G26" s="14">
        <v>0.11799999999999999</v>
      </c>
      <c r="H26" s="16">
        <v>0</v>
      </c>
      <c r="I26" s="16">
        <v>0</v>
      </c>
      <c r="J26" s="16"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</f>
        <v>0</v>
      </c>
      <c r="F27" s="16">
        <f>'02 - 2022'!C33-'02 - 2022'!C32</f>
        <v>0</v>
      </c>
      <c r="G27" s="14">
        <v>0.11799999999999999</v>
      </c>
      <c r="H27" s="16">
        <f>'02 - 2022'!E33-'02 - 2022'!E32</f>
        <v>0</v>
      </c>
      <c r="I27" s="16">
        <f>'02 - 2022'!F33-'02 - 2022'!F32</f>
        <v>0</v>
      </c>
      <c r="J27" s="16">
        <f>'02 - 2022'!G33-'02 - 2022'!G32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</f>
        <v>0</v>
      </c>
      <c r="F28" s="16">
        <f>'02 - 2022'!C34-'02 - 2022'!C33</f>
        <v>0</v>
      </c>
      <c r="G28" s="14">
        <v>0.11799999999999999</v>
      </c>
      <c r="H28" s="16">
        <f>'02 - 2022'!E34-'02 - 2022'!E33</f>
        <v>0</v>
      </c>
      <c r="I28" s="16">
        <f>'02 - 2022'!F34-'02 - 2022'!F33</f>
        <v>0</v>
      </c>
      <c r="J28" s="16">
        <f>'02 - 2022'!G34-'02 - 2022'!G33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</f>
        <v>0</v>
      </c>
      <c r="F29" s="16">
        <f>'02 - 2022'!C35-'02 - 2022'!C34</f>
        <v>0</v>
      </c>
      <c r="G29" s="14">
        <v>0.11799999999999999</v>
      </c>
      <c r="H29" s="16">
        <f>'02 - 2022'!E35-'02 - 2022'!E34</f>
        <v>0</v>
      </c>
      <c r="I29" s="16">
        <f>'02 - 2022'!F35-'02 - 2022'!F34</f>
        <v>0</v>
      </c>
      <c r="J29" s="16">
        <f>'02 - 2022'!G35-'02 - 2022'!G34</f>
        <v>0</v>
      </c>
      <c r="K29" s="14">
        <v>0.74</v>
      </c>
      <c r="L29" s="4"/>
      <c r="M29" s="11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A4" zoomScaleNormal="100" workbookViewId="0">
      <selection activeCell="B31" sqref="B31:J31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75" t="s">
        <v>30</v>
      </c>
      <c r="B3" s="75"/>
      <c r="C3" s="75"/>
      <c r="D3" s="75"/>
      <c r="E3" s="75"/>
      <c r="F3" s="75"/>
      <c r="G3" s="75"/>
      <c r="H3" s="75"/>
      <c r="I3" s="75"/>
      <c r="J3" s="75"/>
    </row>
    <row r="4" spans="1:17" ht="16.5" thickBot="1" x14ac:dyDescent="0.3">
      <c r="A4" s="76" t="s">
        <v>37</v>
      </c>
      <c r="B4" s="76"/>
      <c r="C4" s="76"/>
      <c r="D4" s="76"/>
      <c r="E4" s="76"/>
      <c r="F4" s="76"/>
      <c r="G4" s="76"/>
      <c r="H4" s="76"/>
      <c r="I4" s="76"/>
      <c r="J4" s="76"/>
    </row>
    <row r="5" spans="1:17" ht="16.5" thickBot="1" x14ac:dyDescent="0.3">
      <c r="A5" s="40"/>
      <c r="B5" s="77" t="s">
        <v>36</v>
      </c>
      <c r="C5" s="77"/>
      <c r="D5" s="77" t="s">
        <v>0</v>
      </c>
      <c r="E5" s="77"/>
      <c r="F5" s="77"/>
      <c r="G5" s="77"/>
      <c r="H5" s="77" t="s">
        <v>1</v>
      </c>
      <c r="I5" s="77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48" t="s">
        <v>32</v>
      </c>
    </row>
    <row r="7" spans="1:17" s="12" customFormat="1" ht="12.95" customHeight="1" x14ac:dyDescent="0.25">
      <c r="A7" s="49">
        <v>44592</v>
      </c>
      <c r="B7" s="37">
        <v>655263</v>
      </c>
      <c r="C7" s="37">
        <v>239171</v>
      </c>
      <c r="D7" s="29">
        <v>0.63</v>
      </c>
      <c r="E7" s="26">
        <v>2287.41</v>
      </c>
      <c r="F7" s="36">
        <v>1407.02</v>
      </c>
      <c r="G7" s="36">
        <v>37762.14</v>
      </c>
      <c r="H7" s="37">
        <v>14528</v>
      </c>
      <c r="I7" s="37">
        <v>145892</v>
      </c>
      <c r="J7" s="37">
        <v>53511742</v>
      </c>
      <c r="K7" s="50"/>
      <c r="L7" s="51"/>
      <c r="M7" s="17"/>
    </row>
    <row r="8" spans="1:17" s="28" customFormat="1" ht="12.95" customHeight="1" x14ac:dyDescent="0.25">
      <c r="A8" s="49">
        <f>A7+1</f>
        <v>44593</v>
      </c>
      <c r="B8" s="35">
        <v>658947</v>
      </c>
      <c r="C8" s="35">
        <v>244641</v>
      </c>
      <c r="D8" s="29">
        <v>0.56000000000000005</v>
      </c>
      <c r="E8" s="26">
        <v>2308.44</v>
      </c>
      <c r="F8" s="26">
        <v>1415.54</v>
      </c>
      <c r="G8" s="35">
        <v>37798.410000000003</v>
      </c>
      <c r="H8" s="35">
        <v>14528</v>
      </c>
      <c r="I8" s="35">
        <v>145988</v>
      </c>
      <c r="J8" s="35">
        <v>53523641</v>
      </c>
      <c r="K8" s="38"/>
      <c r="L8" s="52"/>
      <c r="M8" s="27"/>
    </row>
    <row r="9" spans="1:17" s="28" customFormat="1" ht="12.95" customHeight="1" x14ac:dyDescent="0.25">
      <c r="A9" s="49">
        <f t="shared" ref="A9:A35" si="0">A8+1</f>
        <v>44594</v>
      </c>
      <c r="B9" s="35">
        <v>662711</v>
      </c>
      <c r="C9" s="36">
        <v>250319</v>
      </c>
      <c r="D9" s="29">
        <v>0.47</v>
      </c>
      <c r="E9" s="26">
        <v>2326.4899999999998</v>
      </c>
      <c r="F9" s="26">
        <v>1424.42</v>
      </c>
      <c r="G9" s="26">
        <v>37837.910000000003</v>
      </c>
      <c r="H9" s="35">
        <v>14528</v>
      </c>
      <c r="I9" s="37">
        <v>146100</v>
      </c>
      <c r="J9" s="37">
        <v>53536426</v>
      </c>
      <c r="K9" s="38"/>
      <c r="L9" s="53"/>
      <c r="M9" s="27"/>
    </row>
    <row r="10" spans="1:17" s="28" customFormat="1" ht="12.95" customHeight="1" x14ac:dyDescent="0.25">
      <c r="A10" s="49">
        <f t="shared" si="0"/>
        <v>44595</v>
      </c>
      <c r="B10" s="37">
        <v>666776</v>
      </c>
      <c r="C10" s="37">
        <v>255946</v>
      </c>
      <c r="D10" s="29">
        <v>0.39</v>
      </c>
      <c r="E10" s="26">
        <v>2345.25</v>
      </c>
      <c r="F10" s="26">
        <v>1432.49</v>
      </c>
      <c r="G10" s="26">
        <v>37880.29</v>
      </c>
      <c r="H10" s="35">
        <v>14528</v>
      </c>
      <c r="I10" s="37">
        <v>146213</v>
      </c>
      <c r="J10" s="26">
        <v>53548550</v>
      </c>
      <c r="K10" s="38"/>
      <c r="L10" s="53"/>
      <c r="M10" s="27"/>
    </row>
    <row r="11" spans="1:17" s="28" customFormat="1" ht="12.95" customHeight="1" x14ac:dyDescent="0.25">
      <c r="A11" s="49">
        <f t="shared" si="0"/>
        <v>44596</v>
      </c>
      <c r="B11" s="37">
        <v>670711</v>
      </c>
      <c r="C11" s="37">
        <v>261545</v>
      </c>
      <c r="D11" s="29">
        <v>0.8</v>
      </c>
      <c r="E11" s="26">
        <v>2360.2199999999998</v>
      </c>
      <c r="F11" s="26">
        <v>1440.65</v>
      </c>
      <c r="G11" s="26">
        <v>37921.94</v>
      </c>
      <c r="H11" s="35">
        <v>14528</v>
      </c>
      <c r="I11" s="37">
        <v>146322</v>
      </c>
      <c r="J11" s="37">
        <v>53560288</v>
      </c>
      <c r="K11" s="38"/>
      <c r="L11" s="53"/>
      <c r="M11" s="27"/>
    </row>
    <row r="12" spans="1:17" s="28" customFormat="1" ht="12.95" customHeight="1" x14ac:dyDescent="0.25">
      <c r="A12" s="49">
        <f t="shared" si="0"/>
        <v>44597</v>
      </c>
      <c r="B12" s="35">
        <v>674755</v>
      </c>
      <c r="C12" s="35">
        <v>267279</v>
      </c>
      <c r="D12" s="29">
        <v>0.72</v>
      </c>
      <c r="E12" s="68">
        <v>2385.2399999999998</v>
      </c>
      <c r="F12" s="35">
        <v>1448.78</v>
      </c>
      <c r="G12" s="35">
        <v>37965.93</v>
      </c>
      <c r="H12" s="35">
        <v>14528</v>
      </c>
      <c r="I12" s="35">
        <v>146442</v>
      </c>
      <c r="J12" s="35">
        <v>53573190</v>
      </c>
      <c r="K12" s="38"/>
      <c r="L12" s="53"/>
      <c r="M12" s="27"/>
      <c r="N12" s="27"/>
    </row>
    <row r="13" spans="1:17" s="28" customFormat="1" ht="12.95" customHeight="1" x14ac:dyDescent="0.25">
      <c r="A13" s="49">
        <f t="shared" si="0"/>
        <v>44598</v>
      </c>
      <c r="B13" s="61">
        <v>678700</v>
      </c>
      <c r="C13" s="36">
        <v>273011</v>
      </c>
      <c r="D13" s="29">
        <v>0.63</v>
      </c>
      <c r="E13" s="26">
        <v>2402.0300000000002</v>
      </c>
      <c r="F13" s="26">
        <v>1456.62</v>
      </c>
      <c r="G13" s="26">
        <v>38008.519999999997</v>
      </c>
      <c r="H13" s="35">
        <v>14528</v>
      </c>
      <c r="I13" s="36">
        <v>146555</v>
      </c>
      <c r="J13" s="36">
        <v>53586000</v>
      </c>
      <c r="K13" s="38"/>
      <c r="L13" s="53"/>
      <c r="M13" s="27"/>
      <c r="N13" s="30"/>
      <c r="O13" s="30"/>
      <c r="P13" s="30"/>
      <c r="Q13" s="30"/>
    </row>
    <row r="14" spans="1:17" s="28" customFormat="1" ht="12.95" customHeight="1" x14ac:dyDescent="0.25">
      <c r="A14" s="49">
        <f t="shared" si="0"/>
        <v>44599</v>
      </c>
      <c r="B14" s="61">
        <v>682924</v>
      </c>
      <c r="C14" s="71">
        <v>278643</v>
      </c>
      <c r="D14" s="29">
        <v>0.54</v>
      </c>
      <c r="E14" s="26">
        <v>2419.9899999999998</v>
      </c>
      <c r="F14" s="26">
        <v>1464.45</v>
      </c>
      <c r="G14" s="36">
        <v>38050.6</v>
      </c>
      <c r="H14" s="35">
        <v>14528</v>
      </c>
      <c r="I14" s="37">
        <v>146653</v>
      </c>
      <c r="J14" s="37">
        <v>53597975</v>
      </c>
      <c r="K14" s="38"/>
      <c r="L14" s="53"/>
      <c r="M14" s="27"/>
      <c r="N14" s="30"/>
      <c r="O14" s="30"/>
      <c r="P14" s="30"/>
      <c r="Q14" s="30"/>
    </row>
    <row r="15" spans="1:17" s="28" customFormat="1" ht="12.95" customHeight="1" x14ac:dyDescent="0.25">
      <c r="A15" s="49">
        <f t="shared" si="0"/>
        <v>44600</v>
      </c>
      <c r="B15" s="37">
        <v>687139</v>
      </c>
      <c r="C15" s="37">
        <v>284164</v>
      </c>
      <c r="D15" s="29">
        <v>0.45</v>
      </c>
      <c r="E15" s="26">
        <v>2438.98</v>
      </c>
      <c r="F15" s="26">
        <v>1472.89</v>
      </c>
      <c r="G15" s="36">
        <v>38091.68</v>
      </c>
      <c r="H15" s="37">
        <v>14528</v>
      </c>
      <c r="I15" s="37">
        <v>146762</v>
      </c>
      <c r="J15" s="37">
        <v>53608576</v>
      </c>
      <c r="K15" s="38"/>
      <c r="L15" s="53"/>
      <c r="M15" s="27"/>
      <c r="N15" s="30"/>
      <c r="O15" s="30"/>
      <c r="P15" s="30"/>
      <c r="Q15" s="30"/>
    </row>
    <row r="16" spans="1:17" s="28" customFormat="1" ht="12.95" customHeight="1" x14ac:dyDescent="0.25">
      <c r="A16" s="49">
        <f t="shared" si="0"/>
        <v>44601</v>
      </c>
      <c r="B16" s="35">
        <v>691272</v>
      </c>
      <c r="C16" s="37">
        <v>289688</v>
      </c>
      <c r="D16" s="29">
        <v>0.38</v>
      </c>
      <c r="E16" s="26">
        <v>2456.09</v>
      </c>
      <c r="F16" s="26">
        <v>1481.6</v>
      </c>
      <c r="G16" s="36">
        <v>38131.32</v>
      </c>
      <c r="H16" s="37">
        <v>14528</v>
      </c>
      <c r="I16" s="37">
        <v>146872</v>
      </c>
      <c r="J16" s="37">
        <v>53619647</v>
      </c>
      <c r="K16" s="38"/>
      <c r="L16" s="53"/>
      <c r="M16" s="27"/>
      <c r="N16" s="30"/>
      <c r="O16" s="30"/>
      <c r="P16" s="30"/>
      <c r="Q16" s="30"/>
    </row>
    <row r="17" spans="1:19" s="28" customFormat="1" ht="12.95" customHeight="1" x14ac:dyDescent="0.25">
      <c r="A17" s="49">
        <f t="shared" si="0"/>
        <v>44602</v>
      </c>
      <c r="B17" s="36">
        <v>695221</v>
      </c>
      <c r="C17" s="36">
        <v>295312</v>
      </c>
      <c r="D17" s="29">
        <v>0.8</v>
      </c>
      <c r="E17" s="26">
        <v>2474.67</v>
      </c>
      <c r="F17" s="26">
        <v>1490.18</v>
      </c>
      <c r="G17" s="36">
        <v>38173.760000000002</v>
      </c>
      <c r="H17" s="35">
        <v>14528</v>
      </c>
      <c r="I17" s="36">
        <v>146976</v>
      </c>
      <c r="J17" s="36">
        <v>53630903</v>
      </c>
      <c r="K17" s="38"/>
      <c r="L17" s="53"/>
      <c r="M17" s="27"/>
      <c r="N17" s="30"/>
      <c r="O17" s="30"/>
      <c r="P17" s="30"/>
      <c r="Q17" s="30"/>
    </row>
    <row r="18" spans="1:19" s="28" customFormat="1" ht="12.95" customHeight="1" x14ac:dyDescent="0.25">
      <c r="A18" s="49">
        <f t="shared" si="0"/>
        <v>44603</v>
      </c>
      <c r="B18" s="37">
        <v>699133</v>
      </c>
      <c r="C18" s="37">
        <v>301000</v>
      </c>
      <c r="D18" s="29">
        <v>0.72</v>
      </c>
      <c r="E18" s="26">
        <v>2495.12</v>
      </c>
      <c r="F18" s="26">
        <v>1498.53</v>
      </c>
      <c r="G18" s="36">
        <v>38214.01</v>
      </c>
      <c r="H18" s="35">
        <v>14528</v>
      </c>
      <c r="I18" s="37">
        <v>147085</v>
      </c>
      <c r="J18" s="37">
        <v>53642690</v>
      </c>
      <c r="K18" s="38"/>
      <c r="L18" s="53"/>
      <c r="M18" s="27"/>
      <c r="N18" s="30"/>
      <c r="O18" s="31"/>
      <c r="P18" s="30"/>
      <c r="Q18" s="30"/>
    </row>
    <row r="19" spans="1:19" s="28" customFormat="1" ht="12.95" customHeight="1" x14ac:dyDescent="0.25">
      <c r="A19" s="49">
        <f t="shared" si="0"/>
        <v>44604</v>
      </c>
      <c r="B19" s="62">
        <v>703150</v>
      </c>
      <c r="C19" s="62">
        <v>306838</v>
      </c>
      <c r="D19" s="29">
        <v>0.63</v>
      </c>
      <c r="E19" s="63">
        <v>2515.7800000000002</v>
      </c>
      <c r="F19" s="26">
        <v>1506.51</v>
      </c>
      <c r="G19" s="63">
        <v>38255.660000000003</v>
      </c>
      <c r="H19" s="35">
        <v>14528</v>
      </c>
      <c r="I19" s="72">
        <v>147199</v>
      </c>
      <c r="J19" s="72">
        <v>53655036</v>
      </c>
      <c r="K19" s="38"/>
      <c r="L19" s="53"/>
      <c r="M19" s="27"/>
      <c r="N19" s="30"/>
      <c r="O19" s="31"/>
      <c r="P19" s="30"/>
      <c r="Q19" s="30"/>
    </row>
    <row r="20" spans="1:19" s="28" customFormat="1" ht="12.95" customHeight="1" x14ac:dyDescent="0.25">
      <c r="A20" s="49">
        <f t="shared" si="0"/>
        <v>44605</v>
      </c>
      <c r="B20" s="62">
        <v>707116</v>
      </c>
      <c r="C20" s="62">
        <v>312624</v>
      </c>
      <c r="D20" s="29">
        <v>0.54</v>
      </c>
      <c r="E20" s="63">
        <v>2532.1799999999998</v>
      </c>
      <c r="F20" s="26">
        <v>1513.76</v>
      </c>
      <c r="G20" s="63">
        <v>38295.75</v>
      </c>
      <c r="H20" s="35">
        <v>14528</v>
      </c>
      <c r="I20" s="72">
        <v>147315</v>
      </c>
      <c r="J20" s="72">
        <v>53667800</v>
      </c>
      <c r="K20" s="38"/>
      <c r="L20" s="53"/>
      <c r="M20" s="27"/>
      <c r="N20" s="32"/>
      <c r="O20" s="30"/>
      <c r="P20" s="30"/>
      <c r="Q20" s="30"/>
    </row>
    <row r="21" spans="1:19" s="28" customFormat="1" ht="12.95" customHeight="1" x14ac:dyDescent="0.25">
      <c r="A21" s="49">
        <f t="shared" si="0"/>
        <v>44606</v>
      </c>
      <c r="B21" s="62">
        <v>711111</v>
      </c>
      <c r="C21" s="62">
        <v>318140</v>
      </c>
      <c r="D21" s="29">
        <v>0.49</v>
      </c>
      <c r="E21" s="63">
        <v>2548.89</v>
      </c>
      <c r="F21" s="26">
        <v>1521.67</v>
      </c>
      <c r="G21" s="63">
        <v>38332.67</v>
      </c>
      <c r="H21" s="35">
        <v>14528</v>
      </c>
      <c r="I21" s="72">
        <v>147421</v>
      </c>
      <c r="J21" s="72">
        <v>53679010</v>
      </c>
      <c r="K21" s="38"/>
      <c r="L21" s="53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9">
        <f t="shared" si="0"/>
        <v>44607</v>
      </c>
      <c r="B22" s="62">
        <v>715132</v>
      </c>
      <c r="C22" s="62">
        <v>323766</v>
      </c>
      <c r="D22" s="29">
        <v>0.38</v>
      </c>
      <c r="E22" s="63">
        <v>2566.6</v>
      </c>
      <c r="F22" s="26">
        <v>1530</v>
      </c>
      <c r="G22" s="63">
        <v>38370.639999999999</v>
      </c>
      <c r="H22" s="37">
        <v>14528</v>
      </c>
      <c r="I22" s="63">
        <v>147532</v>
      </c>
      <c r="J22" s="62">
        <v>53690324</v>
      </c>
      <c r="K22" s="38"/>
      <c r="L22" s="53"/>
      <c r="M22" s="27"/>
      <c r="N22" s="32"/>
      <c r="O22" s="32"/>
      <c r="P22" s="30"/>
      <c r="Q22" s="30"/>
    </row>
    <row r="23" spans="1:19" s="28" customFormat="1" ht="12.95" customHeight="1" x14ac:dyDescent="0.25">
      <c r="A23" s="49">
        <f t="shared" si="0"/>
        <v>44608</v>
      </c>
      <c r="B23" s="62">
        <v>719113</v>
      </c>
      <c r="C23" s="62">
        <v>329668</v>
      </c>
      <c r="D23" s="29">
        <v>0.3</v>
      </c>
      <c r="E23" s="63">
        <v>2585.98</v>
      </c>
      <c r="F23" s="26">
        <v>1538.8</v>
      </c>
      <c r="G23" s="63">
        <v>38409.910000000003</v>
      </c>
      <c r="H23" s="37">
        <v>14528</v>
      </c>
      <c r="I23" s="62">
        <v>147645</v>
      </c>
      <c r="J23" s="62">
        <v>53703100</v>
      </c>
      <c r="K23" s="38"/>
      <c r="L23" s="53"/>
      <c r="M23" s="27"/>
      <c r="N23" s="32"/>
      <c r="O23" s="30"/>
      <c r="P23" s="30"/>
      <c r="Q23" s="30"/>
    </row>
    <row r="24" spans="1:19" s="28" customFormat="1" ht="12.95" customHeight="1" x14ac:dyDescent="0.25">
      <c r="A24" s="49">
        <f t="shared" si="0"/>
        <v>44609</v>
      </c>
      <c r="B24" s="62">
        <v>723005</v>
      </c>
      <c r="C24" s="62">
        <v>335119</v>
      </c>
      <c r="D24" s="29">
        <v>0.8</v>
      </c>
      <c r="E24" s="63">
        <v>2603.2399999999998</v>
      </c>
      <c r="F24" s="26">
        <v>1547.69</v>
      </c>
      <c r="G24" s="63">
        <v>38447.519999999997</v>
      </c>
      <c r="H24" s="35">
        <v>14528</v>
      </c>
      <c r="I24" s="62">
        <v>147756</v>
      </c>
      <c r="J24" s="62">
        <v>53716850</v>
      </c>
      <c r="K24" s="38"/>
      <c r="L24" s="54"/>
      <c r="M24" s="27"/>
      <c r="N24" s="32"/>
      <c r="O24" s="32"/>
      <c r="P24" s="30"/>
      <c r="Q24" s="30"/>
    </row>
    <row r="25" spans="1:19" s="28" customFormat="1" ht="12.95" customHeight="1" x14ac:dyDescent="0.25">
      <c r="A25" s="49">
        <f t="shared" si="0"/>
        <v>44610</v>
      </c>
      <c r="B25" s="63">
        <v>727021</v>
      </c>
      <c r="C25" s="63">
        <v>340680</v>
      </c>
      <c r="D25" s="29">
        <v>0.72</v>
      </c>
      <c r="E25" s="63">
        <v>2623.16</v>
      </c>
      <c r="F25" s="26">
        <v>1556.28</v>
      </c>
      <c r="G25" s="63">
        <v>38488.07</v>
      </c>
      <c r="H25" s="35">
        <v>14528</v>
      </c>
      <c r="I25" s="62">
        <v>147872</v>
      </c>
      <c r="J25" s="62">
        <v>53728676</v>
      </c>
      <c r="K25" s="39"/>
      <c r="L25" s="54"/>
      <c r="M25" s="27"/>
      <c r="N25" s="32"/>
      <c r="O25" s="32"/>
      <c r="P25" s="30"/>
      <c r="Q25" s="30"/>
    </row>
    <row r="26" spans="1:19" s="28" customFormat="1" ht="12.95" customHeight="1" x14ac:dyDescent="0.25">
      <c r="A26" s="49">
        <f t="shared" si="0"/>
        <v>44611</v>
      </c>
      <c r="B26" s="63">
        <v>731130</v>
      </c>
      <c r="C26" s="63">
        <v>346259</v>
      </c>
      <c r="D26" s="29">
        <v>0.62</v>
      </c>
      <c r="E26" s="63">
        <v>2645.57</v>
      </c>
      <c r="F26" s="73">
        <v>1565.17</v>
      </c>
      <c r="G26" s="63">
        <v>38530.300000000003</v>
      </c>
      <c r="H26" s="35">
        <v>14528</v>
      </c>
      <c r="I26" s="72">
        <v>147992</v>
      </c>
      <c r="J26" s="72">
        <v>53740630</v>
      </c>
      <c r="K26" s="38"/>
      <c r="L26" s="54"/>
      <c r="M26" s="27"/>
      <c r="N26" s="32"/>
      <c r="O26" s="32"/>
      <c r="P26" s="30"/>
      <c r="Q26" s="30"/>
    </row>
    <row r="27" spans="1:19" s="28" customFormat="1" ht="12.95" customHeight="1" x14ac:dyDescent="0.25">
      <c r="A27" s="49">
        <f t="shared" si="0"/>
        <v>44612</v>
      </c>
      <c r="B27" s="62">
        <v>735099</v>
      </c>
      <c r="C27" s="62">
        <v>351815</v>
      </c>
      <c r="D27" s="29">
        <v>0.54</v>
      </c>
      <c r="E27" s="63">
        <v>2667.7</v>
      </c>
      <c r="F27" s="73">
        <v>1573.12</v>
      </c>
      <c r="G27" s="63">
        <v>38572.19</v>
      </c>
      <c r="H27" s="35">
        <v>14528</v>
      </c>
      <c r="I27" s="72">
        <v>148111</v>
      </c>
      <c r="J27" s="74">
        <v>53753500</v>
      </c>
      <c r="K27" s="38"/>
      <c r="L27" s="53"/>
      <c r="M27" s="27"/>
    </row>
    <row r="28" spans="1:19" s="28" customFormat="1" ht="12.95" customHeight="1" x14ac:dyDescent="0.25">
      <c r="A28" s="49">
        <f t="shared" si="0"/>
        <v>44613</v>
      </c>
      <c r="B28" s="64">
        <v>738984</v>
      </c>
      <c r="C28" s="62">
        <v>357288</v>
      </c>
      <c r="D28" s="29">
        <v>0.45</v>
      </c>
      <c r="E28" s="63">
        <v>2684.92</v>
      </c>
      <c r="F28" s="26">
        <v>1581.12</v>
      </c>
      <c r="G28" s="63">
        <v>38610.76</v>
      </c>
      <c r="H28" s="35">
        <v>14528</v>
      </c>
      <c r="I28" s="62">
        <v>148220</v>
      </c>
      <c r="J28" s="62">
        <v>53767486</v>
      </c>
      <c r="K28" s="38"/>
      <c r="L28" s="53"/>
      <c r="M28" s="27"/>
    </row>
    <row r="29" spans="1:19" s="28" customFormat="1" ht="12.95" customHeight="1" x14ac:dyDescent="0.25">
      <c r="A29" s="49">
        <f t="shared" si="0"/>
        <v>44614</v>
      </c>
      <c r="B29" s="62">
        <v>743156</v>
      </c>
      <c r="C29" s="62">
        <v>362884</v>
      </c>
      <c r="D29" s="29">
        <v>0.37</v>
      </c>
      <c r="E29" s="63">
        <v>2708.84</v>
      </c>
      <c r="F29" s="26">
        <v>1589.72</v>
      </c>
      <c r="G29" s="63">
        <v>38649.81</v>
      </c>
      <c r="H29" s="37">
        <v>14528</v>
      </c>
      <c r="I29" s="62">
        <v>148336</v>
      </c>
      <c r="J29" s="62">
        <v>53780680</v>
      </c>
      <c r="K29" s="38"/>
      <c r="L29" s="53"/>
      <c r="M29" s="27"/>
      <c r="N29" s="27"/>
    </row>
    <row r="30" spans="1:19" s="28" customFormat="1" ht="12.95" customHeight="1" x14ac:dyDescent="0.25">
      <c r="A30" s="49">
        <f t="shared" si="0"/>
        <v>44615</v>
      </c>
      <c r="B30" s="62">
        <v>747355</v>
      </c>
      <c r="C30" s="62">
        <v>368496</v>
      </c>
      <c r="D30" s="29">
        <v>0.3</v>
      </c>
      <c r="E30" s="63">
        <v>2727.77</v>
      </c>
      <c r="F30" s="26">
        <v>1597.5</v>
      </c>
      <c r="G30" s="63">
        <v>38689.370000000003</v>
      </c>
      <c r="H30" s="37">
        <v>14528</v>
      </c>
      <c r="I30" s="62">
        <v>148441</v>
      </c>
      <c r="J30" s="62">
        <v>53793680</v>
      </c>
      <c r="K30" s="38"/>
      <c r="L30" s="53"/>
      <c r="M30" s="27"/>
    </row>
    <row r="31" spans="1:19" s="28" customFormat="1" ht="12.95" customHeight="1" x14ac:dyDescent="0.25">
      <c r="A31" s="49">
        <f t="shared" si="0"/>
        <v>44616</v>
      </c>
      <c r="B31" s="62">
        <v>751235</v>
      </c>
      <c r="C31" s="62">
        <v>373920</v>
      </c>
      <c r="D31" s="29">
        <v>0.8</v>
      </c>
      <c r="E31" s="63">
        <v>2746.81</v>
      </c>
      <c r="F31" s="26">
        <v>1604.87</v>
      </c>
      <c r="G31" s="63">
        <v>38728.54</v>
      </c>
      <c r="H31" s="35">
        <v>14528</v>
      </c>
      <c r="I31" s="62">
        <v>148548</v>
      </c>
      <c r="J31" s="62">
        <v>53807106</v>
      </c>
      <c r="K31" s="38"/>
      <c r="L31" s="55"/>
      <c r="M31" s="27"/>
      <c r="N31" s="27"/>
      <c r="O31" s="27"/>
    </row>
    <row r="32" spans="1:19" s="28" customFormat="1" ht="12.95" customHeight="1" x14ac:dyDescent="0.25">
      <c r="A32" s="49">
        <f t="shared" si="0"/>
        <v>44617</v>
      </c>
      <c r="B32" s="62"/>
      <c r="C32" s="62"/>
      <c r="D32" s="29"/>
      <c r="E32" s="63"/>
      <c r="F32" s="26"/>
      <c r="G32" s="63"/>
      <c r="H32" s="37"/>
      <c r="I32" s="62"/>
      <c r="J32" s="62"/>
      <c r="K32" s="38"/>
      <c r="L32" s="55"/>
      <c r="M32" s="27"/>
      <c r="N32" s="27"/>
      <c r="O32" s="27"/>
    </row>
    <row r="33" spans="1:16" s="28" customFormat="1" ht="12.95" customHeight="1" x14ac:dyDescent="0.25">
      <c r="A33" s="49">
        <f t="shared" si="0"/>
        <v>44618</v>
      </c>
      <c r="B33" s="62"/>
      <c r="C33" s="62"/>
      <c r="D33" s="29"/>
      <c r="E33" s="63"/>
      <c r="F33" s="26"/>
      <c r="G33" s="63"/>
      <c r="H33" s="37"/>
      <c r="I33" s="62"/>
      <c r="J33" s="62"/>
      <c r="K33" s="38"/>
      <c r="L33" s="53"/>
      <c r="N33" s="27"/>
      <c r="O33" s="27"/>
    </row>
    <row r="34" spans="1:16" s="28" customFormat="1" ht="12.95" customHeight="1" x14ac:dyDescent="0.25">
      <c r="A34" s="49">
        <f t="shared" si="0"/>
        <v>44619</v>
      </c>
      <c r="B34" s="63"/>
      <c r="C34" s="65"/>
      <c r="D34" s="29"/>
      <c r="E34" s="63"/>
      <c r="F34" s="26"/>
      <c r="G34" s="63"/>
      <c r="H34" s="37"/>
      <c r="I34" s="63"/>
      <c r="J34" s="63"/>
      <c r="K34" s="38"/>
      <c r="L34" s="53"/>
      <c r="N34" s="27"/>
      <c r="P34" s="27"/>
    </row>
    <row r="35" spans="1:16" s="28" customFormat="1" ht="12.95" customHeight="1" thickBot="1" x14ac:dyDescent="0.3">
      <c r="A35" s="56">
        <f t="shared" si="0"/>
        <v>44620</v>
      </c>
      <c r="B35" s="66"/>
      <c r="C35" s="67"/>
      <c r="D35" s="57"/>
      <c r="E35" s="69"/>
      <c r="F35" s="70"/>
      <c r="G35" s="70"/>
      <c r="H35" s="66"/>
      <c r="I35" s="66"/>
      <c r="J35" s="66"/>
      <c r="K35" s="58"/>
      <c r="L35" s="53"/>
      <c r="M35" s="27"/>
      <c r="N35" s="27"/>
      <c r="O35" s="27"/>
    </row>
    <row r="36" spans="1:16" s="34" customFormat="1" x14ac:dyDescent="0.25">
      <c r="A36" s="59" t="s">
        <v>35</v>
      </c>
      <c r="B36" s="60">
        <f>B35-B7</f>
        <v>-655263</v>
      </c>
      <c r="C36" s="60">
        <f>C35-C7</f>
        <v>-239171</v>
      </c>
      <c r="D36" s="60">
        <f t="shared" ref="D36:I36" si="1">D35-D7</f>
        <v>-0.63</v>
      </c>
      <c r="E36" s="60">
        <f>E35-E7</f>
        <v>-2287.41</v>
      </c>
      <c r="F36" s="60">
        <f t="shared" si="1"/>
        <v>-1407.02</v>
      </c>
      <c r="G36" s="60">
        <f>G35-G7</f>
        <v>-37762.14</v>
      </c>
      <c r="H36" s="60">
        <f t="shared" si="1"/>
        <v>-14528</v>
      </c>
      <c r="I36" s="60">
        <f t="shared" si="1"/>
        <v>-145892</v>
      </c>
      <c r="J36" s="60">
        <f>J35-J7</f>
        <v>-53511742</v>
      </c>
      <c r="K36" s="60">
        <f>SUM(K7:K35)</f>
        <v>0</v>
      </c>
      <c r="L36" s="14"/>
    </row>
    <row r="37" spans="1:16" s="34" customFormat="1" x14ac:dyDescent="0.25">
      <c r="A37" s="14"/>
      <c r="B37" s="14"/>
      <c r="C37" s="60"/>
      <c r="D37" s="14"/>
      <c r="E37" s="16"/>
      <c r="F37" s="16"/>
      <c r="G37" s="16"/>
      <c r="H37" s="13">
        <f>H36*219.969</f>
        <v>-3195709.6319999998</v>
      </c>
      <c r="I37" s="60">
        <f>I36*219.969</f>
        <v>-32091717.347999997</v>
      </c>
      <c r="J37" s="16"/>
      <c r="K37" s="14"/>
      <c r="L37" s="14"/>
    </row>
    <row r="38" spans="1:16" x14ac:dyDescent="0.25">
      <c r="C38" s="25"/>
      <c r="I38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02 - 2022</vt:lpstr>
      <vt:lpstr>'02 - 2022'!Print_Area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2022-02-24T05:45:07Z</dcterms:modified>
</cp:coreProperties>
</file>