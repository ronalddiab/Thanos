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<sst xmlns="http://schemas.openxmlformats.org/spreadsheetml/2006/main" count="128" uniqueCount="49">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</sst>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52426</v>
      </c>
      <c r="F6" s="11">
        <v>5.0000000000000001E-3</v>
      </c>
      <c r="G6" s="12">
        <f>Submetering!R6</f>
        <v>783.95841099999996</v>
      </c>
      <c r="H6" s="11">
        <v>0.52800000000000002</v>
      </c>
      <c r="I6" s="12">
        <f>Hotel!B11</f>
        <v>80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>
        <f>Hotel!Q11</f>
        <v>1030</v>
      </c>
      <c r="F6" s="4">
        <f>Hotel!R11</f>
        <v>13080</v>
      </c>
      <c r="G6" s="4">
        <f>Hotel!S11</f>
        <v>3280</v>
      </c>
      <c r="H6" s="4">
        <f>Hotel!T11</f>
        <v>1640</v>
      </c>
      <c r="I6" s="4">
        <f>Hotel!U11</f>
        <v>4310</v>
      </c>
      <c r="J6" s="4">
        <f>Hotel!V11</f>
        <v>2850</v>
      </c>
      <c r="K6" s="4">
        <f>Hotel!W11</f>
        <v>2310</v>
      </c>
      <c r="L6" s="4">
        <f>Hotel!X11</f>
        <v>1740</v>
      </c>
      <c r="M6" s="4">
        <f>Hotel!Y11</f>
        <v>3916</v>
      </c>
      <c r="N6" s="4">
        <f>Hotel!Z11</f>
        <v>2700</v>
      </c>
      <c r="O6" s="4">
        <f>Hotel!AA11</f>
        <v>2930</v>
      </c>
      <c r="P6" s="4">
        <f>Hotel!AB11</f>
        <v>6240</v>
      </c>
      <c r="Q6" s="4">
        <f>Hotel!AC11</f>
        <v>6400</v>
      </c>
      <c r="R6" s="4">
        <f>Hotel!AV11*0.00378541*100</f>
        <v>783.95841099999996</v>
      </c>
      <c r="S6" s="4">
        <f>Hotel!B11</f>
        <v>80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R1" zoomScale="93" zoomScaleNormal="93" workbookViewId="0">
      <selection activeCell="AK26" sqref="AK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>
        <v>80</v>
      </c>
      <c r="C11" s="24">
        <v>6316090</v>
      </c>
      <c r="D11" s="24">
        <v>13563780</v>
      </c>
      <c r="E11" s="24">
        <v>1882210</v>
      </c>
      <c r="F11" s="24">
        <v>2958250</v>
      </c>
      <c r="G11" s="24">
        <v>8986080</v>
      </c>
      <c r="H11" s="24">
        <v>4533810</v>
      </c>
      <c r="I11" s="24">
        <v>4359770</v>
      </c>
      <c r="J11" s="24">
        <v>4869670</v>
      </c>
      <c r="K11" s="24">
        <v>7664850</v>
      </c>
      <c r="L11" s="24">
        <v>3046510</v>
      </c>
      <c r="M11" s="24">
        <v>6893340</v>
      </c>
      <c r="N11" s="24">
        <v>9948370</v>
      </c>
      <c r="O11" s="24">
        <v>13456730</v>
      </c>
      <c r="Q11" s="37">
        <f t="shared" si="16"/>
        <v>1030</v>
      </c>
      <c r="R11" s="37">
        <f t="shared" si="17"/>
        <v>13080</v>
      </c>
      <c r="S11" s="37">
        <f t="shared" si="15"/>
        <v>3280</v>
      </c>
      <c r="T11" s="37">
        <f t="shared" si="18"/>
        <v>1640</v>
      </c>
      <c r="U11" s="37">
        <f t="shared" si="19"/>
        <v>4310</v>
      </c>
      <c r="V11" s="37">
        <f t="shared" si="20"/>
        <v>2850</v>
      </c>
      <c r="W11" s="37">
        <f t="shared" si="21"/>
        <v>2310</v>
      </c>
      <c r="X11" s="37">
        <f t="shared" si="22"/>
        <v>1740</v>
      </c>
      <c r="Y11" s="37">
        <f t="shared" si="23"/>
        <v>3916</v>
      </c>
      <c r="Z11" s="37">
        <f t="shared" si="24"/>
        <v>2700</v>
      </c>
      <c r="AA11" s="37">
        <f t="shared" si="25"/>
        <v>2930</v>
      </c>
      <c r="AB11" s="37">
        <f t="shared" si="26"/>
        <v>6240</v>
      </c>
      <c r="AC11" s="37">
        <f t="shared" si="27"/>
        <v>6400</v>
      </c>
      <c r="AD11" s="35">
        <f t="shared" si="28"/>
        <v>52426</v>
      </c>
      <c r="AF11" s="20">
        <f t="shared" si="1"/>
        <v>5.15</v>
      </c>
      <c r="AG11" s="20">
        <f t="shared" si="2"/>
        <v>65.400000000000006</v>
      </c>
      <c r="AH11" s="20">
        <f t="shared" si="3"/>
        <v>16.399999999999999</v>
      </c>
      <c r="AI11" s="20">
        <f t="shared" si="4"/>
        <v>8.1999999999999993</v>
      </c>
      <c r="AJ11" s="20">
        <f t="shared" si="5"/>
        <v>21.55</v>
      </c>
      <c r="AK11" s="20">
        <f t="shared" si="6"/>
        <v>14.25</v>
      </c>
      <c r="AL11" s="20">
        <f t="shared" si="7"/>
        <v>11.55</v>
      </c>
      <c r="AM11" s="20">
        <f t="shared" si="8"/>
        <v>8.7000000000000011</v>
      </c>
      <c r="AN11" s="20">
        <f t="shared" si="9"/>
        <v>19.580000000000002</v>
      </c>
      <c r="AO11" s="20">
        <f t="shared" si="10"/>
        <v>13.5</v>
      </c>
      <c r="AP11" s="20">
        <f t="shared" si="11"/>
        <v>14.65</v>
      </c>
      <c r="AQ11" s="20">
        <f t="shared" si="12"/>
        <v>31.2</v>
      </c>
      <c r="AR11" s="20">
        <f t="shared" si="13"/>
        <v>32</v>
      </c>
      <c r="AS11" s="35">
        <f t="shared" si="29"/>
        <v>262.13</v>
      </c>
      <c r="AU11" s="47">
        <v>72349</v>
      </c>
      <c r="AV11" s="37">
        <f t="shared" si="31"/>
        <v>2071</v>
      </c>
      <c r="AW11" s="35">
        <f t="shared" si="30"/>
        <v>4.1420000000000003</v>
      </c>
    </row>
    <row r="12" spans="1:49" x14ac:dyDescent="0.25">
      <c r="A12" s="23">
        <v>44049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ref="T12:W14" si="32">IF((F12-F11&lt;0), "0",F12-F11)</f>
        <v>0</v>
      </c>
      <c r="U12" s="37" t="str">
        <f t="shared" si="32"/>
        <v>0</v>
      </c>
      <c r="V12" s="37" t="str">
        <f t="shared" si="32"/>
        <v>0</v>
      </c>
      <c r="W12" s="37" t="str">
        <f t="shared" si="32"/>
        <v>0</v>
      </c>
      <c r="X12" s="37" t="str">
        <f t="shared" si="22"/>
        <v>0</v>
      </c>
      <c r="Y12" s="37" t="str">
        <f t="shared" si="23"/>
        <v>0</v>
      </c>
      <c r="Z12" s="37" t="str">
        <f>IF((L12-L11&lt;0), "0",L12-L11)</f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44050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44051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44052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44053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44054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44055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44056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44057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44058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44059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44060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44061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44062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5000</v>
      </c>
      <c r="R38" s="30">
        <f t="shared" si="62"/>
        <v>69230</v>
      </c>
      <c r="S38" s="30">
        <f t="shared" si="62"/>
        <v>18100</v>
      </c>
      <c r="T38" s="30">
        <f t="shared" si="62"/>
        <v>8040</v>
      </c>
      <c r="U38" s="30">
        <f t="shared" si="62"/>
        <v>20620</v>
      </c>
      <c r="V38" s="30">
        <f t="shared" si="62"/>
        <v>14160</v>
      </c>
      <c r="W38" s="30">
        <f t="shared" si="62"/>
        <v>11290</v>
      </c>
      <c r="X38" s="30">
        <f t="shared" si="62"/>
        <v>8510</v>
      </c>
      <c r="Y38" s="30">
        <f t="shared" si="62"/>
        <v>19170</v>
      </c>
      <c r="Z38" s="30">
        <f t="shared" si="62"/>
        <v>13220</v>
      </c>
      <c r="AA38" s="30">
        <f t="shared" si="62"/>
        <v>15150</v>
      </c>
      <c r="AB38" s="30">
        <f t="shared" si="62"/>
        <v>32190</v>
      </c>
      <c r="AC38" s="30">
        <f t="shared" si="62"/>
        <v>30680</v>
      </c>
      <c r="AD38" s="35">
        <f t="shared" si="62"/>
        <v>265360</v>
      </c>
      <c r="AF38" s="35">
        <f t="shared" ref="AF38:AS38" si="63">SUM(AF7:AF34)</f>
        <v>25</v>
      </c>
      <c r="AG38" s="35">
        <f t="shared" si="63"/>
        <v>346.15000000000009</v>
      </c>
      <c r="AH38" s="35">
        <f t="shared" si="63"/>
        <v>90.5</v>
      </c>
      <c r="AI38" s="35">
        <f t="shared" si="63"/>
        <v>40.200000000000003</v>
      </c>
      <c r="AJ38" s="35">
        <f t="shared" si="63"/>
        <v>103.10000000000001</v>
      </c>
      <c r="AK38" s="35">
        <f t="shared" si="63"/>
        <v>70.8</v>
      </c>
      <c r="AL38" s="35">
        <f t="shared" si="63"/>
        <v>56.45</v>
      </c>
      <c r="AM38" s="35">
        <f t="shared" si="63"/>
        <v>42.550000000000004</v>
      </c>
      <c r="AN38" s="35">
        <f t="shared" si="63"/>
        <v>95.850000000000009</v>
      </c>
      <c r="AO38" s="35">
        <f t="shared" si="63"/>
        <v>66.099999999999994</v>
      </c>
      <c r="AP38" s="35">
        <f t="shared" si="63"/>
        <v>75.75</v>
      </c>
      <c r="AQ38" s="35">
        <f t="shared" si="63"/>
        <v>160.94999999999999</v>
      </c>
      <c r="AR38" s="35">
        <f t="shared" si="63"/>
        <v>153.4</v>
      </c>
      <c r="AS38" s="35">
        <f t="shared" si="63"/>
        <v>1326.7999999999997</v>
      </c>
      <c r="AU38" s="48"/>
      <c r="AV38" s="35">
        <f>SUM(AV7:AV34)</f>
        <v>12735</v>
      </c>
      <c r="AW38" s="35">
        <f>SUM(AW7:AW34)</f>
        <v>15.748000000000001</v>
      </c>
    </row>
    <row r="39" spans="1:49" x14ac:dyDescent="0.25">
      <c r="D39">
        <v>5.0000000000000001E-3</v>
      </c>
      <c r="AV39" s="36">
        <f>AV38*0.00378541*1000</f>
        <v>48207.196349999998</v>
      </c>
    </row>
    <row r="40" spans="1:49" x14ac:dyDescent="0.25">
      <c r="D40">
        <v>2E-3</v>
      </c>
      <c r="AV40">
        <f>AV39/31</f>
        <v>1555.0708499999998</v>
      </c>
    </row>
    <row r="41" spans="1:49" x14ac:dyDescent="0.25">
      <c r="AV41">
        <f>AV38*0.00378541</f>
        <v>48.207196349999997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2020-08-06T03:34:03Z</dcterms:modified>
</cp:coreProperties>
</file>