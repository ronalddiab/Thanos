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4. April 2021\"/>
    </mc:Choice>
  </mc:AlternateContent>
  <xr:revisionPtr revIDLastSave="0" documentId="11_4732E41E661B2E0792EEF5FC370238E19D0BBA32" xr6:coauthVersionLast="47" xr6:coauthVersionMax="47" xr10:uidLastSave="{00000000-0000-0000-0000-000000000000}"/>
  <bookViews>
    <workbookView xWindow="0" yWindow="0" windowWidth="20490" windowHeight="6855" tabRatio="762" firstSheet="1" activeTab="1" xr2:uid="{00000000-000D-0000-FFFF-FFFF00000000}"/>
  </bookViews>
  <sheets>
    <sheet name="TOTAL" sheetId="11" r:id="rId1"/>
    <sheet name="FS Jimbaran April 2021" sheetId="14" r:id="rId2"/>
    <sheet name="RNs &amp; Covers April 2021" sheetId="10" r:id="rId3"/>
    <sheet name="Residence Electricity April 21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1" i="14" l="1"/>
  <c r="AK13" i="14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40" i="14"/>
  <c r="AK12" i="14"/>
  <c r="D29" i="15"/>
  <c r="R47" i="14" s="1"/>
  <c r="D28" i="15"/>
  <c r="Q47" i="14" s="1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M40" i="14"/>
  <c r="AP40" i="14"/>
  <c r="AP41" i="14"/>
  <c r="AM41" i="14"/>
  <c r="AE40" i="14"/>
  <c r="AF40" i="14" s="1"/>
  <c r="AE41" i="14"/>
  <c r="AF41" i="14" s="1"/>
  <c r="Z40" i="14"/>
  <c r="Z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Z33" i="14" l="1"/>
  <c r="Z34" i="14"/>
  <c r="Z35" i="14"/>
  <c r="Z36" i="14"/>
  <c r="Z37" i="14"/>
  <c r="Z38" i="14"/>
  <c r="Z39" i="14"/>
  <c r="Z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P31" i="14" l="1"/>
  <c r="AP32" i="14"/>
  <c r="AP33" i="14"/>
  <c r="AP34" i="14"/>
  <c r="AP35" i="14"/>
  <c r="AP36" i="14"/>
  <c r="AP37" i="14"/>
  <c r="AP38" i="14"/>
  <c r="AP39" i="14"/>
  <c r="AM31" i="14"/>
  <c r="AM32" i="14"/>
  <c r="AM33" i="14"/>
  <c r="AM34" i="14"/>
  <c r="AM35" i="14"/>
  <c r="AM36" i="14"/>
  <c r="AM37" i="14"/>
  <c r="AM38" i="14"/>
  <c r="AM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E31" i="14"/>
  <c r="AE32" i="14"/>
  <c r="AE33" i="14"/>
  <c r="AE34" i="14"/>
  <c r="AE35" i="14"/>
  <c r="AE36" i="14"/>
  <c r="AE37" i="14"/>
  <c r="AE38" i="14"/>
  <c r="AE39" i="14"/>
  <c r="Z31" i="14"/>
  <c r="K21" i="11" s="1"/>
  <c r="Z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F39" i="14"/>
  <c r="L27" i="11"/>
  <c r="AF37" i="14"/>
  <c r="L25" i="11"/>
  <c r="AF35" i="14"/>
  <c r="L23" i="11"/>
  <c r="AF33" i="14"/>
  <c r="L21" i="11"/>
  <c r="AF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F38" i="14"/>
  <c r="L26" i="11"/>
  <c r="AF36" i="14"/>
  <c r="L24" i="11"/>
  <c r="AF34" i="14"/>
  <c r="L22" i="11"/>
  <c r="AF32" i="14"/>
  <c r="E21" i="11" l="1"/>
  <c r="E22" i="11"/>
  <c r="F28" i="11"/>
  <c r="F26" i="11"/>
  <c r="F24" i="11"/>
  <c r="F22" i="11"/>
  <c r="F29" i="11"/>
  <c r="F27" i="11"/>
  <c r="F25" i="11"/>
  <c r="F23" i="11"/>
  <c r="F21" i="11"/>
  <c r="Z30" i="14" l="1"/>
  <c r="Z29" i="14"/>
  <c r="Z28" i="14"/>
  <c r="Z27" i="14"/>
  <c r="Z26" i="14"/>
  <c r="Z25" i="14"/>
  <c r="Z23" i="14"/>
  <c r="Z22" i="14"/>
  <c r="Z21" i="14"/>
  <c r="Z20" i="14"/>
  <c r="Z19" i="14"/>
  <c r="Z18" i="14"/>
  <c r="Z17" i="14"/>
  <c r="Z16" i="14"/>
  <c r="Z15" i="14"/>
  <c r="Z14" i="14"/>
  <c r="Z13" i="14"/>
  <c r="Z12" i="14"/>
  <c r="AN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H47" i="14"/>
  <c r="D47" i="14"/>
  <c r="C47" i="14"/>
  <c r="AI47" i="14"/>
  <c r="J20" i="11"/>
  <c r="I30" i="14"/>
  <c r="AP29" i="14"/>
  <c r="I29" i="14"/>
  <c r="AP28" i="14"/>
  <c r="I28" i="14"/>
  <c r="I27" i="14"/>
  <c r="AP26" i="14"/>
  <c r="AM26" i="14"/>
  <c r="I26" i="14"/>
  <c r="AP25" i="14"/>
  <c r="I15" i="11"/>
  <c r="P25" i="14"/>
  <c r="AP24" i="14"/>
  <c r="K14" i="11"/>
  <c r="I24" i="14"/>
  <c r="AP23" i="14"/>
  <c r="P23" i="14"/>
  <c r="I22" i="14"/>
  <c r="P21" i="14"/>
  <c r="AP20" i="14"/>
  <c r="AE20" i="14"/>
  <c r="AF20" i="14" s="1"/>
  <c r="I20" i="14"/>
  <c r="I9" i="11"/>
  <c r="AE19" i="14"/>
  <c r="AF19" i="14" s="1"/>
  <c r="AP18" i="14"/>
  <c r="P18" i="14"/>
  <c r="I18" i="14"/>
  <c r="AP17" i="14"/>
  <c r="I7" i="11"/>
  <c r="P17" i="14"/>
  <c r="AP16" i="14"/>
  <c r="K6" i="11"/>
  <c r="I16" i="14"/>
  <c r="AP15" i="14"/>
  <c r="P15" i="14"/>
  <c r="AP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M22" i="14"/>
  <c r="H12" i="11"/>
  <c r="AM24" i="14"/>
  <c r="H14" i="11"/>
  <c r="AM25" i="14"/>
  <c r="H15" i="11"/>
  <c r="G16" i="11"/>
  <c r="H16" i="11"/>
  <c r="AM28" i="14"/>
  <c r="H18" i="11"/>
  <c r="AM29" i="14"/>
  <c r="H19" i="11"/>
  <c r="AM30" i="14"/>
  <c r="H20" i="11"/>
  <c r="AM14" i="14"/>
  <c r="H4" i="11"/>
  <c r="AM16" i="14"/>
  <c r="H6" i="11"/>
  <c r="AM20" i="14"/>
  <c r="H10" i="11"/>
  <c r="AM27" i="14"/>
  <c r="H17" i="11"/>
  <c r="O29" i="14"/>
  <c r="O27" i="14"/>
  <c r="G20" i="11"/>
  <c r="O20" i="14"/>
  <c r="O30" i="14"/>
  <c r="G15" i="11"/>
  <c r="G14" i="11"/>
  <c r="O28" i="14"/>
  <c r="J13" i="11"/>
  <c r="J14" i="11"/>
  <c r="AP30" i="14"/>
  <c r="J6" i="11"/>
  <c r="J5" i="11"/>
  <c r="G7" i="11"/>
  <c r="G11" i="11"/>
  <c r="AP27" i="14"/>
  <c r="J17" i="11"/>
  <c r="G13" i="11"/>
  <c r="J4" i="11"/>
  <c r="AP14" i="14"/>
  <c r="G5" i="11"/>
  <c r="G3" i="11"/>
  <c r="AP21" i="14"/>
  <c r="J11" i="11"/>
  <c r="J12" i="11"/>
  <c r="AP22" i="14"/>
  <c r="J47" i="14"/>
  <c r="G47" i="14"/>
  <c r="AA47" i="14"/>
  <c r="AE13" i="14"/>
  <c r="AE15" i="14"/>
  <c r="AE17" i="14"/>
  <c r="AE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E29" i="14"/>
  <c r="G19" i="11"/>
  <c r="I17" i="11"/>
  <c r="K15" i="11"/>
  <c r="K7" i="11"/>
  <c r="L10" i="11"/>
  <c r="P13" i="14"/>
  <c r="AJ47" i="14"/>
  <c r="I10" i="11"/>
  <c r="M47" i="14"/>
  <c r="P16" i="14"/>
  <c r="I17" i="14"/>
  <c r="O18" i="14"/>
  <c r="I21" i="14"/>
  <c r="O21" i="14" s="1"/>
  <c r="AE27" i="14"/>
  <c r="G18" i="11"/>
  <c r="G10" i="11"/>
  <c r="I16" i="11"/>
  <c r="I8" i="11"/>
  <c r="J19" i="11"/>
  <c r="J3" i="11"/>
  <c r="L9" i="11"/>
  <c r="K47" i="14"/>
  <c r="O22" i="14"/>
  <c r="AE24" i="14"/>
  <c r="P26" i="14"/>
  <c r="E47" i="14"/>
  <c r="I13" i="14"/>
  <c r="O13" i="14" s="1"/>
  <c r="I15" i="14"/>
  <c r="O15" i="14" s="1"/>
  <c r="O16" i="14"/>
  <c r="P19" i="14"/>
  <c r="AE21" i="14"/>
  <c r="I23" i="14"/>
  <c r="O23" i="14" s="1"/>
  <c r="P28" i="14"/>
  <c r="G17" i="11"/>
  <c r="J18" i="11"/>
  <c r="J10" i="11"/>
  <c r="K13" i="11"/>
  <c r="K5" i="11"/>
  <c r="AE25" i="14"/>
  <c r="F47" i="14"/>
  <c r="Z47" i="14"/>
  <c r="I14" i="14"/>
  <c r="O14" i="14" s="1"/>
  <c r="AE14" i="14"/>
  <c r="P24" i="14"/>
  <c r="I25" i="14"/>
  <c r="O25" i="14" s="1"/>
  <c r="O26" i="14"/>
  <c r="I14" i="11"/>
  <c r="I6" i="11"/>
  <c r="K12" i="11"/>
  <c r="K4" i="11"/>
  <c r="AE12" i="14"/>
  <c r="L2" i="11" s="1"/>
  <c r="H2" i="11"/>
  <c r="AE18" i="14"/>
  <c r="AE26" i="14"/>
  <c r="AE22" i="14"/>
  <c r="AE30" i="14"/>
  <c r="H47" i="14"/>
  <c r="P12" i="14"/>
  <c r="AE28" i="14"/>
  <c r="J2" i="11"/>
  <c r="AG47" i="14"/>
  <c r="AA51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M18" i="14"/>
  <c r="AM19" i="14"/>
  <c r="AF24" i="14"/>
  <c r="L14" i="11"/>
  <c r="AF22" i="14"/>
  <c r="L12" i="11"/>
  <c r="AM13" i="14"/>
  <c r="AM15" i="14"/>
  <c r="O17" i="14"/>
  <c r="AF28" i="14"/>
  <c r="L18" i="11"/>
  <c r="AF14" i="14"/>
  <c r="L4" i="11"/>
  <c r="AF30" i="14"/>
  <c r="L20" i="11"/>
  <c r="AF29" i="14"/>
  <c r="L19" i="11"/>
  <c r="AB47" i="14"/>
  <c r="AF18" i="14"/>
  <c r="L8" i="11"/>
  <c r="AF25" i="14"/>
  <c r="L15" i="11"/>
  <c r="AF23" i="14"/>
  <c r="L13" i="11"/>
  <c r="AM21" i="14"/>
  <c r="AF26" i="14"/>
  <c r="L16" i="11"/>
  <c r="AF17" i="14"/>
  <c r="L7" i="11"/>
  <c r="AC47" i="14"/>
  <c r="AF27" i="14"/>
  <c r="L17" i="11"/>
  <c r="AF15" i="14"/>
  <c r="L5" i="11"/>
  <c r="AM23" i="14"/>
  <c r="AM17" i="14"/>
  <c r="AF21" i="14"/>
  <c r="L11" i="11"/>
  <c r="AK47" i="14"/>
  <c r="AP19" i="14"/>
  <c r="J9" i="11"/>
  <c r="AF13" i="14"/>
  <c r="L3" i="11"/>
  <c r="AO47" i="14"/>
  <c r="AP47" i="14" s="1"/>
  <c r="AP12" i="14"/>
  <c r="AE16" i="14"/>
  <c r="AE47" i="14" s="1"/>
  <c r="AF47" i="14" s="1"/>
  <c r="AL47" i="14"/>
  <c r="AM47" i="14" s="1"/>
  <c r="AM12" i="14"/>
  <c r="N47" i="14"/>
  <c r="O12" i="14"/>
  <c r="P47" i="14"/>
  <c r="T47" i="14" s="1"/>
  <c r="AD47" i="14"/>
  <c r="AF12" i="14"/>
  <c r="F7" i="11" l="1"/>
  <c r="F2" i="11"/>
  <c r="AF16" i="14"/>
  <c r="L6" i="11"/>
  <c r="O47" i="14"/>
  <c r="U47" i="14" s="1"/>
  <c r="V47" i="14" l="1"/>
  <c r="V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<sst xmlns="http://schemas.openxmlformats.org/spreadsheetml/2006/main" count="138" uniqueCount="81">
  <si>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</si>
  <si>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</si>
  <si>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</si>
  <si>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</si>
  <si>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</si>
  <si>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</si>
  <si>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</si>
  <si>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</si>
  <si>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</si>
  <si>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</si>
  <si>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</si>
  <si>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</si>
  <si>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</si>
  <si>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</si>
  <si>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</si>
  <si>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</si>
  <si>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</si>
  <si>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APRIL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</si>
  <si>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</si>
  <si>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</si>
  <si>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</si>
  <si>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</si>
  <si>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</si>
  <si>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</si>
  <si>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</si>
  <si>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</si>
  <si>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</si>
  <si>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</si>
  <si>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</si>
  <si>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</si>
  <si>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</si>
  <si>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</si>
  <si>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</si>
  <si>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</si>
  <si>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</si>
  <si>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</si>
  <si>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</si>
  <si>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</si>
  <si>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</si>
  <si>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</si>
  <si>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</si>
  <si>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</si>
  <si>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</si>
  <si>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</si>
  <si>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</si>
  <si>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</si>
  <si>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</si>
  <si>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</si>
  <si>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</si>
  <si>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</si>
  <si>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</si>
  <si>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</si>
  <si>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</si>
  <si>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Refer to</t>
  </si>
  <si>
    <t>Residence Electricity April 21'!A1</t>
  </si>
  <si>
    <t>kWh rate</t>
  </si>
  <si>
    <t>m3/RNs</t>
  </si>
  <si>
    <t>April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</si>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</sst>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93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49" fontId="1" fillId="0" borderId="0" xfId="0" applyNumberFormat="1" applyFont="1"/>
    <xf numFmtId="0" fontId="1" fillId="0" borderId="8" xfId="0" applyFont="1" applyBorder="1" applyAlignment="1">
      <alignment horizontal="right"/>
    </xf>
    <xf numFmtId="165" fontId="20" fillId="0" borderId="8" xfId="2" applyNumberFormat="1" applyFont="1" applyBorder="1"/>
    <xf numFmtId="0" fontId="21" fillId="0" borderId="8" xfId="0" applyFont="1" applyBorder="1" applyAlignment="1">
      <alignment horizontal="right"/>
    </xf>
    <xf numFmtId="0" fontId="1" fillId="0" borderId="12" xfId="0" applyFont="1" applyBorder="1"/>
    <xf numFmtId="0" fontId="0" fillId="0" borderId="12" xfId="0" applyBorder="1"/>
    <xf numFmtId="165" fontId="20" fillId="0" borderId="12" xfId="2" applyNumberFormat="1" applyFont="1" applyBorder="1"/>
    <xf numFmtId="0" fontId="0" fillId="0" borderId="73" xfId="0" applyBorder="1"/>
    <xf numFmtId="0" fontId="0" fillId="0" borderId="34" xfId="0" applyBorder="1"/>
    <xf numFmtId="0" fontId="0" fillId="0" borderId="55" xfId="0" applyBorder="1"/>
    <xf numFmtId="0" fontId="0" fillId="0" borderId="22" xfId="0" applyBorder="1"/>
    <xf numFmtId="0" fontId="1" fillId="0" borderId="8" xfId="0" applyFont="1" applyBorder="1"/>
    <xf numFmtId="165" fontId="1" fillId="0" borderId="21" xfId="0" applyNumberFormat="1" applyFont="1" applyBorder="1"/>
    <xf numFmtId="0" fontId="0" fillId="0" borderId="74" xfId="0" applyBorder="1"/>
    <xf numFmtId="0" fontId="1" fillId="0" borderId="29" xfId="0" applyFont="1" applyBorder="1"/>
    <xf numFmtId="165" fontId="22" fillId="0" borderId="32" xfId="0" applyNumberFormat="1" applyFont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0" fontId="1" fillId="0" borderId="37" xfId="0" applyFont="1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168" fontId="1" fillId="0" borderId="37" xfId="2" applyNumberFormat="1" applyFont="1" applyBorder="1" applyAlignment="1">
      <alignment horizontal="center" vertical="center" wrapText="1"/>
    </xf>
    <xf numFmtId="168" fontId="1" fillId="0" borderId="23" xfId="2" applyNumberFormat="1" applyFont="1" applyBorder="1" applyAlignment="1">
      <alignment horizontal="center" vertical="center" wrapText="1"/>
    </xf>
    <xf numFmtId="168" fontId="0" fillId="0" borderId="37" xfId="2" applyNumberFormat="1" applyFont="1" applyBorder="1" applyAlignment="1">
      <alignment horizontal="center" vertical="center" wrapText="1"/>
    </xf>
    <xf numFmtId="168" fontId="0" fillId="0" borderId="75" xfId="2" applyNumberFormat="1" applyFont="1" applyBorder="1"/>
    <xf numFmtId="168" fontId="7" fillId="3" borderId="0" xfId="2" applyNumberFormat="1" applyFont="1" applyFill="1" applyBorder="1" applyAlignment="1">
      <alignment vertical="top" wrapText="1"/>
    </xf>
    <xf numFmtId="168" fontId="17" fillId="3" borderId="0" xfId="2" applyNumberFormat="1" applyFont="1" applyFill="1" applyBorder="1" applyAlignment="1">
      <alignment vertical="top" wrapText="1"/>
    </xf>
    <xf numFmtId="168" fontId="7" fillId="3" borderId="0" xfId="4" quotePrefix="1" applyNumberFormat="1" applyFill="1" applyBorder="1" applyAlignment="1">
      <alignment vertical="top"/>
    </xf>
    <xf numFmtId="0" fontId="7" fillId="3" borderId="0" xfId="4" applyFill="1" applyBorder="1" applyAlignment="1">
      <alignment vertical="top" wrapText="1"/>
    </xf>
    <xf numFmtId="0" fontId="7" fillId="0" borderId="23" xfId="4" quotePrefix="1" applyBorder="1"/>
    <xf numFmtId="0" fontId="1" fillId="0" borderId="0" xfId="0" applyFont="1" applyAlignment="1">
      <alignment horizontal="center" vertical="center" wrapText="1"/>
    </xf>
    <xf numFmtId="164" fontId="0" fillId="3" borderId="76" xfId="2" applyFont="1" applyFill="1" applyBorder="1"/>
    <xf numFmtId="164" fontId="0" fillId="3" borderId="0" xfId="2" applyFont="1" applyFill="1" applyBorder="1"/>
    <xf numFmtId="44" fontId="9" fillId="12" borderId="23" xfId="1" applyFont="1" applyFill="1" applyBorder="1"/>
    <xf numFmtId="9" fontId="17" fillId="0" borderId="0" xfId="5" applyFont="1"/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A32" sqref="A32:XFD32"/>
    </sheetView>
  </sheetViews>
  <sheetFormatPr defaultColWidth="11.5703125" defaultRowHeight="1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43.1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 ht="14.45">
      <c r="A2" s="161" t="s">
        <v>14</v>
      </c>
      <c r="B2" s="162">
        <v>1</v>
      </c>
      <c r="C2" s="163">
        <v>4</v>
      </c>
      <c r="D2" s="162">
        <v>2021</v>
      </c>
      <c r="E2" s="164">
        <f>'FS Jimbaran April 2021'!P12</f>
        <v>16420.000000000178</v>
      </c>
      <c r="F2" s="173">
        <f>'FS Jimbaran April 2021'!O12/'FS Jimbaran April 2021'!P12</f>
        <v>1181.6218611449451</v>
      </c>
      <c r="G2" s="164">
        <f>'FS Jimbaran April 2021'!AK12</f>
        <v>62</v>
      </c>
      <c r="H2" s="173">
        <f>'FS Jimbaran April 2021'!AL12/'FS Jimbaran April 2021'!AK12</f>
        <v>11094.539999999999</v>
      </c>
      <c r="I2" s="164">
        <f>'FS Jimbaran April 2021'!AN12</f>
        <v>190.67000000000007</v>
      </c>
      <c r="J2" s="165">
        <f>'FS Jimbaran April 2021'!AO12/'FS Jimbaran April 2021'!AN12</f>
        <v>8700</v>
      </c>
      <c r="K2" s="164">
        <f>'FS Jimbaran April 2021'!Z12</f>
        <v>981</v>
      </c>
      <c r="L2" s="173">
        <f>'FS Jimbaran April 2021'!AE12/'FS Jimbaran April 2021'!Z12</f>
        <v>9271.3554771094168</v>
      </c>
      <c r="M2" s="164">
        <v>1</v>
      </c>
      <c r="N2" s="164">
        <v>42</v>
      </c>
    </row>
    <row r="3" spans="1:15" ht="14.45">
      <c r="A3" s="161" t="s">
        <v>14</v>
      </c>
      <c r="B3" s="162">
        <f>B2+1</f>
        <v>2</v>
      </c>
      <c r="C3" s="163">
        <v>4</v>
      </c>
      <c r="D3" s="162">
        <v>2021</v>
      </c>
      <c r="E3" s="164">
        <f>'FS Jimbaran April 2021'!P13</f>
        <v>15239.999999999874</v>
      </c>
      <c r="F3" s="173">
        <f>'FS Jimbaran April 2021'!O13/'FS Jimbaran April 2021'!P13</f>
        <v>1182.4815177165342</v>
      </c>
      <c r="G3" s="164">
        <f>'FS Jimbaran April 2021'!AK13</f>
        <v>112</v>
      </c>
      <c r="H3" s="173">
        <f>'FS Jimbaran April 2021'!AL13/'FS Jimbaran April 2021'!AK13</f>
        <v>11094.539999999999</v>
      </c>
      <c r="I3" s="164">
        <f>'FS Jimbaran April 2021'!AN13</f>
        <v>325.68000000000029</v>
      </c>
      <c r="J3" s="165">
        <f>'FS Jimbaran April 2021'!AO13/'FS Jimbaran April 2021'!AN13</f>
        <v>8700</v>
      </c>
      <c r="K3" s="164">
        <f>'FS Jimbaran April 2021'!Z13</f>
        <v>968</v>
      </c>
      <c r="L3" s="173">
        <f>'FS Jimbaran April 2021'!AE13/'FS Jimbaran April 2021'!Z13</f>
        <v>11068.129082840527</v>
      </c>
      <c r="M3" s="164">
        <v>1</v>
      </c>
      <c r="N3" s="164">
        <v>30</v>
      </c>
    </row>
    <row r="4" spans="1:15" ht="14.45">
      <c r="A4" s="161" t="s">
        <v>14</v>
      </c>
      <c r="B4" s="162">
        <f t="shared" ref="B4:B31" si="0">B3+1</f>
        <v>3</v>
      </c>
      <c r="C4" s="163">
        <v>4</v>
      </c>
      <c r="D4" s="162">
        <v>2021</v>
      </c>
      <c r="E4" s="164">
        <f>'FS Jimbaran April 2021'!P14</f>
        <v>14639.999999999951</v>
      </c>
      <c r="F4" s="173">
        <f>'FS Jimbaran April 2021'!O14/'FS Jimbaran April 2021'!P14</f>
        <v>1192.3143750000008</v>
      </c>
      <c r="G4" s="164">
        <f>'FS Jimbaran April 2021'!AK14</f>
        <v>112</v>
      </c>
      <c r="H4" s="173">
        <f>'FS Jimbaran April 2021'!AL14/'FS Jimbaran April 2021'!AK14</f>
        <v>11094.539999999999</v>
      </c>
      <c r="I4" s="164">
        <f>'FS Jimbaran April 2021'!AN14</f>
        <v>80</v>
      </c>
      <c r="J4" s="165">
        <f>'FS Jimbaran April 2021'!AO14/'FS Jimbaran April 2021'!AN14</f>
        <v>8700</v>
      </c>
      <c r="K4" s="164">
        <f>'FS Jimbaran April 2021'!Z14</f>
        <v>912</v>
      </c>
      <c r="L4" s="173">
        <f>'FS Jimbaran April 2021'!AE14/'FS Jimbaran April 2021'!Z14</f>
        <v>11615.527950838939</v>
      </c>
      <c r="M4" s="164">
        <v>1</v>
      </c>
      <c r="N4" s="164">
        <v>17</v>
      </c>
    </row>
    <row r="5" spans="1:15" ht="14.45">
      <c r="A5" s="161" t="s">
        <v>14</v>
      </c>
      <c r="B5" s="162">
        <f t="shared" si="0"/>
        <v>4</v>
      </c>
      <c r="C5" s="163">
        <v>4</v>
      </c>
      <c r="D5" s="162">
        <v>2021</v>
      </c>
      <c r="E5" s="164">
        <f>'FS Jimbaran April 2021'!P15</f>
        <v>14920.000000000044</v>
      </c>
      <c r="F5" s="173">
        <f>'FS Jimbaran April 2021'!O15/'FS Jimbaran April 2021'!P15</f>
        <v>1180.1435730562998</v>
      </c>
      <c r="G5" s="164">
        <f>'FS Jimbaran April 2021'!AK15</f>
        <v>62</v>
      </c>
      <c r="H5" s="173">
        <f>'FS Jimbaran April 2021'!AL15/'FS Jimbaran April 2021'!AK15</f>
        <v>11094.539999999999</v>
      </c>
      <c r="I5" s="164">
        <f>'FS Jimbaran April 2021'!AN15</f>
        <v>109.67000000000007</v>
      </c>
      <c r="J5" s="165">
        <f>'FS Jimbaran April 2021'!AO15/'FS Jimbaran April 2021'!AN15</f>
        <v>8700</v>
      </c>
      <c r="K5" s="164">
        <f>'FS Jimbaran April 2021'!Z15</f>
        <v>1008</v>
      </c>
      <c r="L5" s="173">
        <f>'FS Jimbaran April 2021'!AE15/'FS Jimbaran April 2021'!Z15</f>
        <v>10909.40539501127</v>
      </c>
      <c r="M5" s="164">
        <v>2</v>
      </c>
      <c r="N5" s="164">
        <v>28</v>
      </c>
    </row>
    <row r="6" spans="1:15" ht="14.45">
      <c r="A6" s="161" t="s">
        <v>14</v>
      </c>
      <c r="B6" s="162">
        <f t="shared" si="0"/>
        <v>5</v>
      </c>
      <c r="C6" s="163">
        <v>4</v>
      </c>
      <c r="D6" s="162">
        <v>2021</v>
      </c>
      <c r="E6" s="164">
        <f>'FS Jimbaran April 2021'!P16</f>
        <v>15760.000000000069</v>
      </c>
      <c r="F6" s="173">
        <f>'FS Jimbaran April 2021'!O16/'FS Jimbaran April 2021'!P16</f>
        <v>1177.9697227157365</v>
      </c>
      <c r="G6" s="164">
        <f>'FS Jimbaran April 2021'!AK16</f>
        <v>62</v>
      </c>
      <c r="H6" s="173">
        <f>'FS Jimbaran April 2021'!AL16/'FS Jimbaran April 2021'!AK16</f>
        <v>11094.539999999999</v>
      </c>
      <c r="I6" s="164">
        <f>'FS Jimbaran April 2021'!AN16</f>
        <v>219.44999999998799</v>
      </c>
      <c r="J6" s="165">
        <f>'FS Jimbaran April 2021'!AO16/'FS Jimbaran April 2021'!AN16</f>
        <v>8700</v>
      </c>
      <c r="K6" s="164">
        <f>'FS Jimbaran April 2021'!Z16</f>
        <v>951</v>
      </c>
      <c r="L6" s="173">
        <f>'FS Jimbaran April 2021'!AE16/'FS Jimbaran April 2021'!Z16</f>
        <v>9539.1321763398537</v>
      </c>
      <c r="M6" s="164">
        <v>3</v>
      </c>
      <c r="N6" s="164">
        <v>44</v>
      </c>
    </row>
    <row r="7" spans="1:15" ht="14.45">
      <c r="A7" s="161" t="s">
        <v>14</v>
      </c>
      <c r="B7" s="162">
        <f t="shared" si="0"/>
        <v>6</v>
      </c>
      <c r="C7" s="163">
        <v>4</v>
      </c>
      <c r="D7" s="162">
        <v>2021</v>
      </c>
      <c r="E7" s="164">
        <f>'FS Jimbaran April 2021'!P17</f>
        <v>14239.999999999894</v>
      </c>
      <c r="F7" s="173">
        <f>'FS Jimbaran April 2021'!O17/'FS Jimbaran April 2021'!P17</f>
        <v>1184.5642689606746</v>
      </c>
      <c r="G7" s="164">
        <f>'FS Jimbaran April 2021'!AK17</f>
        <v>62</v>
      </c>
      <c r="H7" s="173">
        <f>'FS Jimbaran April 2021'!AL17/'FS Jimbaran April 2021'!AK17</f>
        <v>11094.539999999999</v>
      </c>
      <c r="I7" s="164">
        <f>'FS Jimbaran April 2021'!AN17</f>
        <v>93.159999999999854</v>
      </c>
      <c r="J7" s="165">
        <f>'FS Jimbaran April 2021'!AO17/'FS Jimbaran April 2021'!AN17</f>
        <v>8700</v>
      </c>
      <c r="K7" s="164">
        <f>'FS Jimbaran April 2021'!Z17</f>
        <v>978</v>
      </c>
      <c r="L7" s="173">
        <f>'FS Jimbaran April 2021'!AE17/'FS Jimbaran April 2021'!Z17</f>
        <v>8933.4312961229734</v>
      </c>
      <c r="M7" s="164">
        <v>3</v>
      </c>
      <c r="N7" s="164">
        <v>44</v>
      </c>
    </row>
    <row r="8" spans="1:15" ht="14.45">
      <c r="A8" s="161" t="s">
        <v>14</v>
      </c>
      <c r="B8" s="162">
        <f t="shared" si="0"/>
        <v>7</v>
      </c>
      <c r="C8" s="163">
        <v>4</v>
      </c>
      <c r="D8" s="162">
        <v>2021</v>
      </c>
      <c r="E8" s="164">
        <f>'FS Jimbaran April 2021'!P18</f>
        <v>14580.000000000047</v>
      </c>
      <c r="F8" s="173">
        <f>'FS Jimbaran April 2021'!O18/'FS Jimbaran April 2021'!P18</f>
        <v>1181.5564444444437</v>
      </c>
      <c r="G8" s="164">
        <f>'FS Jimbaran April 2021'!AK18</f>
        <v>112</v>
      </c>
      <c r="H8" s="173">
        <f>'FS Jimbaran April 2021'!AL18/'FS Jimbaran April 2021'!AK18</f>
        <v>11094.539999999999</v>
      </c>
      <c r="I8" s="164">
        <f>'FS Jimbaran April 2021'!AN18</f>
        <v>213.30000000000109</v>
      </c>
      <c r="J8" s="165">
        <f>'FS Jimbaran April 2021'!AO18/'FS Jimbaran April 2021'!AN18</f>
        <v>8700</v>
      </c>
      <c r="K8" s="164">
        <f>'FS Jimbaran April 2021'!Z18</f>
        <v>998</v>
      </c>
      <c r="L8" s="173">
        <f>'FS Jimbaran April 2021'!AE18/'FS Jimbaran April 2021'!Z18</f>
        <v>8995.4967183205936</v>
      </c>
      <c r="M8" s="164">
        <v>1</v>
      </c>
      <c r="N8" s="164">
        <v>69</v>
      </c>
    </row>
    <row r="9" spans="1:15" ht="14.45">
      <c r="A9" s="161" t="s">
        <v>14</v>
      </c>
      <c r="B9" s="162">
        <f t="shared" si="0"/>
        <v>8</v>
      </c>
      <c r="C9" s="163">
        <v>4</v>
      </c>
      <c r="D9" s="162">
        <v>2021</v>
      </c>
      <c r="E9" s="164">
        <f>'FS Jimbaran April 2021'!P19</f>
        <v>14900.000000000076</v>
      </c>
      <c r="F9" s="173">
        <f>'FS Jimbaran April 2021'!O19/'FS Jimbaran April 2021'!P19</f>
        <v>1182.4575704697986</v>
      </c>
      <c r="G9" s="164">
        <f>'FS Jimbaran April 2021'!AK19</f>
        <v>62</v>
      </c>
      <c r="H9" s="173">
        <f>'FS Jimbaran April 2021'!AL19/'FS Jimbaran April 2021'!AK19</f>
        <v>11094.539999999999</v>
      </c>
      <c r="I9" s="164">
        <f>'FS Jimbaran April 2021'!AN19</f>
        <v>88.059999999999491</v>
      </c>
      <c r="J9" s="165">
        <f>'FS Jimbaran April 2021'!AO19/'FS Jimbaran April 2021'!AN19</f>
        <v>8700</v>
      </c>
      <c r="K9" s="164">
        <f>'FS Jimbaran April 2021'!Z19</f>
        <v>1006</v>
      </c>
      <c r="L9" s="173">
        <f>'FS Jimbaran April 2021'!AE19/'FS Jimbaran April 2021'!Z19</f>
        <v>11105.796271706988</v>
      </c>
      <c r="M9" s="164">
        <v>1</v>
      </c>
      <c r="N9" s="164">
        <v>23</v>
      </c>
      <c r="O9" s="166" t="s">
        <v>15</v>
      </c>
    </row>
    <row r="10" spans="1:15" ht="14.45">
      <c r="A10" s="161" t="s">
        <v>14</v>
      </c>
      <c r="B10" s="162">
        <f t="shared" si="0"/>
        <v>9</v>
      </c>
      <c r="C10" s="163">
        <v>4</v>
      </c>
      <c r="D10" s="162">
        <v>2021</v>
      </c>
      <c r="E10" s="164">
        <f>'FS Jimbaran April 2021'!P20</f>
        <v>14519.999999999811</v>
      </c>
      <c r="F10" s="173">
        <f>'FS Jimbaran April 2021'!O20/'FS Jimbaran April 2021'!P20</f>
        <v>1188.6859524793397</v>
      </c>
      <c r="G10" s="164">
        <f>'FS Jimbaran April 2021'!AK20</f>
        <v>62</v>
      </c>
      <c r="H10" s="173">
        <f>'FS Jimbaran April 2021'!AL20/'FS Jimbaran April 2021'!AK20</f>
        <v>11094.539999999999</v>
      </c>
      <c r="I10" s="164">
        <f>'FS Jimbaran April 2021'!AN20</f>
        <v>208.54000000000087</v>
      </c>
      <c r="J10" s="165">
        <f>'FS Jimbaran April 2021'!AO20/'FS Jimbaran April 2021'!AN20</f>
        <v>8700</v>
      </c>
      <c r="K10" s="164">
        <f>'FS Jimbaran April 2021'!Z20</f>
        <v>991</v>
      </c>
      <c r="L10" s="173">
        <f>'FS Jimbaran April 2021'!AE20/'FS Jimbaran April 2021'!Z20</f>
        <v>11001.668965211025</v>
      </c>
      <c r="M10" s="164">
        <v>1</v>
      </c>
      <c r="N10" s="164">
        <v>19</v>
      </c>
    </row>
    <row r="11" spans="1:15" ht="14.45">
      <c r="A11" s="161" t="s">
        <v>14</v>
      </c>
      <c r="B11" s="162">
        <f t="shared" si="0"/>
        <v>10</v>
      </c>
      <c r="C11" s="163">
        <v>4</v>
      </c>
      <c r="D11" s="162">
        <v>2021</v>
      </c>
      <c r="E11" s="164">
        <f>'FS Jimbaran April 2021'!P21</f>
        <v>15860.00000000024</v>
      </c>
      <c r="F11" s="173">
        <f>'FS Jimbaran April 2021'!O21/'FS Jimbaran April 2021'!P21</f>
        <v>1186.9999615384615</v>
      </c>
      <c r="G11" s="164">
        <f>'FS Jimbaran April 2021'!AK21</f>
        <v>112</v>
      </c>
      <c r="H11" s="173">
        <f>'FS Jimbaran April 2021'!AL21/'FS Jimbaran April 2021'!AK21</f>
        <v>11094.539999999999</v>
      </c>
      <c r="I11" s="164">
        <f>'FS Jimbaran April 2021'!AN21</f>
        <v>210</v>
      </c>
      <c r="J11" s="165">
        <f>'FS Jimbaran April 2021'!AO21/'FS Jimbaran April 2021'!AN21</f>
        <v>8700</v>
      </c>
      <c r="K11" s="164">
        <f>'FS Jimbaran April 2021'!Z21</f>
        <v>977</v>
      </c>
      <c r="L11" s="173">
        <f>'FS Jimbaran April 2021'!AE21/'FS Jimbaran April 2021'!Z21</f>
        <v>11172.479882079242</v>
      </c>
      <c r="M11" s="164">
        <v>1</v>
      </c>
      <c r="N11" s="164">
        <v>43</v>
      </c>
    </row>
    <row r="12" spans="1:15" ht="14.45">
      <c r="A12" s="161" t="s">
        <v>14</v>
      </c>
      <c r="B12" s="162">
        <f t="shared" si="0"/>
        <v>11</v>
      </c>
      <c r="C12" s="163">
        <v>4</v>
      </c>
      <c r="D12" s="162">
        <v>2021</v>
      </c>
      <c r="E12" s="164">
        <f>'FS Jimbaran April 2021'!P22</f>
        <v>15719.999999999993</v>
      </c>
      <c r="F12" s="173">
        <f>'FS Jimbaran April 2021'!O22/'FS Jimbaran April 2021'!P22</f>
        <v>1178.8915877862587</v>
      </c>
      <c r="G12" s="164">
        <f>'FS Jimbaran April 2021'!AK22</f>
        <v>112</v>
      </c>
      <c r="H12" s="173">
        <f>'FS Jimbaran April 2021'!AL22/'FS Jimbaran April 2021'!AK22</f>
        <v>11094.539999999999</v>
      </c>
      <c r="I12" s="164">
        <f>'FS Jimbaran April 2021'!AN22</f>
        <v>75.039999999999054</v>
      </c>
      <c r="J12" s="165">
        <f>'FS Jimbaran April 2021'!AO22/'FS Jimbaran April 2021'!AN22</f>
        <v>8700</v>
      </c>
      <c r="K12" s="164">
        <f>'FS Jimbaran April 2021'!Z22</f>
        <v>967</v>
      </c>
      <c r="L12" s="173">
        <f>'FS Jimbaran April 2021'!AE22/'FS Jimbaran April 2021'!Z22</f>
        <v>9678.8799843155884</v>
      </c>
      <c r="M12" s="164">
        <v>4</v>
      </c>
      <c r="N12" s="164">
        <v>29</v>
      </c>
    </row>
    <row r="13" spans="1:15" ht="14.45">
      <c r="A13" s="161" t="s">
        <v>14</v>
      </c>
      <c r="B13" s="162">
        <f t="shared" si="0"/>
        <v>12</v>
      </c>
      <c r="C13" s="163">
        <v>4</v>
      </c>
      <c r="D13" s="162">
        <v>2021</v>
      </c>
      <c r="E13" s="164">
        <f>'FS Jimbaran April 2021'!P23</f>
        <v>14799.999999999805</v>
      </c>
      <c r="F13" s="173">
        <f>'FS Jimbaran April 2021'!O23/'FS Jimbaran April 2021'!P23</f>
        <v>1184.5683972972988</v>
      </c>
      <c r="G13" s="164">
        <f>'FS Jimbaran April 2021'!AK23</f>
        <v>62</v>
      </c>
      <c r="H13" s="173">
        <f>'FS Jimbaran April 2021'!AL23/'FS Jimbaran April 2021'!AK23</f>
        <v>11094.539999999999</v>
      </c>
      <c r="I13" s="164">
        <f>'FS Jimbaran April 2021'!AN23</f>
        <v>186.30000000000109</v>
      </c>
      <c r="J13" s="165">
        <f>'FS Jimbaran April 2021'!AO23/'FS Jimbaran April 2021'!AN23</f>
        <v>8700</v>
      </c>
      <c r="K13" s="164">
        <f>'FS Jimbaran April 2021'!Z23</f>
        <v>1022</v>
      </c>
      <c r="L13" s="173">
        <f>'FS Jimbaran April 2021'!AE23/'FS Jimbaran April 2021'!Z23</f>
        <v>9853.9885073226214</v>
      </c>
      <c r="M13" s="164">
        <v>6</v>
      </c>
      <c r="N13" s="164">
        <v>46</v>
      </c>
    </row>
    <row r="14" spans="1:15" ht="14.45">
      <c r="A14" s="161" t="s">
        <v>14</v>
      </c>
      <c r="B14" s="162">
        <f t="shared" si="0"/>
        <v>13</v>
      </c>
      <c r="C14" s="163">
        <v>4</v>
      </c>
      <c r="D14" s="162">
        <v>2021</v>
      </c>
      <c r="E14" s="164">
        <f>'FS Jimbaran April 2021'!P24</f>
        <v>14799.999999999969</v>
      </c>
      <c r="F14" s="173">
        <f>'FS Jimbaran April 2021'!O24/'FS Jimbaran April 2021'!P24</f>
        <v>1184.5683972972963</v>
      </c>
      <c r="G14" s="164">
        <f>'FS Jimbaran April 2021'!AK24</f>
        <v>112</v>
      </c>
      <c r="H14" s="173">
        <f>'FS Jimbaran April 2021'!AL24/'FS Jimbaran April 2021'!AK24</f>
        <v>11094.539999999999</v>
      </c>
      <c r="I14" s="164">
        <f>'FS Jimbaran April 2021'!AN24</f>
        <v>195.55999999999949</v>
      </c>
      <c r="J14" s="165">
        <f>'FS Jimbaran April 2021'!AO24/'FS Jimbaran April 2021'!AN24</f>
        <v>8700</v>
      </c>
      <c r="K14" s="164">
        <f>'FS Jimbaran April 2021'!Z24</f>
        <v>872</v>
      </c>
      <c r="L14" s="173">
        <f>'FS Jimbaran April 2021'!AE24/'FS Jimbaran April 2021'!Z24</f>
        <v>11778.591944345706</v>
      </c>
      <c r="M14" s="164">
        <v>13</v>
      </c>
      <c r="N14" s="164">
        <v>81</v>
      </c>
    </row>
    <row r="15" spans="1:15" ht="14.45">
      <c r="A15" s="161" t="s">
        <v>14</v>
      </c>
      <c r="B15" s="162">
        <f t="shared" si="0"/>
        <v>14</v>
      </c>
      <c r="C15" s="163">
        <v>4</v>
      </c>
      <c r="D15" s="162">
        <v>2021</v>
      </c>
      <c r="E15" s="164">
        <f>'FS Jimbaran April 2021'!P25</f>
        <v>15040.000000000049</v>
      </c>
      <c r="F15" s="173">
        <f>'FS Jimbaran April 2021'!O25/'FS Jimbaran April 2021'!P25</f>
        <v>1182.2974168882979</v>
      </c>
      <c r="G15" s="164">
        <f>'FS Jimbaran April 2021'!AK25</f>
        <v>62</v>
      </c>
      <c r="H15" s="173">
        <f>'FS Jimbaran April 2021'!AL25/'FS Jimbaran April 2021'!AK25</f>
        <v>11094.539999999999</v>
      </c>
      <c r="I15" s="164">
        <f>'FS Jimbaran April 2021'!AN25</f>
        <v>281.86999999999898</v>
      </c>
      <c r="J15" s="165">
        <f>'FS Jimbaran April 2021'!AO25/'FS Jimbaran April 2021'!AN25</f>
        <v>8700</v>
      </c>
      <c r="K15" s="164">
        <f>'FS Jimbaran April 2021'!Z25</f>
        <v>1083</v>
      </c>
      <c r="L15" s="173">
        <f>'FS Jimbaran April 2021'!AE25/'FS Jimbaran April 2021'!Z25</f>
        <v>9798.8023989492194</v>
      </c>
      <c r="M15" s="164">
        <v>15</v>
      </c>
      <c r="N15" s="164">
        <v>84</v>
      </c>
    </row>
    <row r="16" spans="1:15" ht="14.45">
      <c r="A16" s="161" t="s">
        <v>14</v>
      </c>
      <c r="B16" s="162">
        <f t="shared" si="0"/>
        <v>15</v>
      </c>
      <c r="C16" s="163">
        <v>4</v>
      </c>
      <c r="D16" s="162">
        <v>2021</v>
      </c>
      <c r="E16" s="164">
        <f>'FS Jimbaran April 2021'!P26</f>
        <v>14160.000000000025</v>
      </c>
      <c r="F16" s="173">
        <f>'FS Jimbaran April 2021'!O26/'FS Jimbaran April 2021'!P26</f>
        <v>1186.6483792372885</v>
      </c>
      <c r="G16" s="164">
        <f>'FS Jimbaran April 2021'!AK26</f>
        <v>112</v>
      </c>
      <c r="H16" s="173">
        <f>'FS Jimbaran April 2021'!AL26/'FS Jimbaran April 2021'!AK26</f>
        <v>11094.539999999999</v>
      </c>
      <c r="I16" s="164">
        <f>'FS Jimbaran April 2021'!AN26</f>
        <v>124.25</v>
      </c>
      <c r="J16" s="165">
        <f>'FS Jimbaran April 2021'!AO26/'FS Jimbaran April 2021'!AN26</f>
        <v>8700</v>
      </c>
      <c r="K16" s="164">
        <f>'FS Jimbaran April 2021'!Z26</f>
        <v>966</v>
      </c>
      <c r="L16" s="173">
        <f>'FS Jimbaran April 2021'!AE26/'FS Jimbaran April 2021'!Z26</f>
        <v>11190.790997854703</v>
      </c>
      <c r="M16" s="164">
        <v>3</v>
      </c>
      <c r="N16" s="164">
        <v>54</v>
      </c>
    </row>
    <row r="17" spans="1:14" ht="14.45">
      <c r="A17" s="161" t="s">
        <v>14</v>
      </c>
      <c r="B17" s="162">
        <f t="shared" si="0"/>
        <v>16</v>
      </c>
      <c r="C17" s="163">
        <v>4</v>
      </c>
      <c r="D17" s="162">
        <v>2021</v>
      </c>
      <c r="E17" s="164">
        <f>'FS Jimbaran April 2021'!P27</f>
        <v>14520.000000000075</v>
      </c>
      <c r="F17" s="173">
        <f>'FS Jimbaran April 2021'!O27/'FS Jimbaran April 2021'!P27</f>
        <v>1180.4467933884303</v>
      </c>
      <c r="G17" s="164">
        <f>'FS Jimbaran April 2021'!AK27</f>
        <v>62</v>
      </c>
      <c r="H17" s="173">
        <f>'FS Jimbaran April 2021'!AL27/'FS Jimbaran April 2021'!AK27</f>
        <v>11094.539999999999</v>
      </c>
      <c r="I17" s="164">
        <f>'FS Jimbaran April 2021'!AN27</f>
        <v>247.15999999999985</v>
      </c>
      <c r="J17" s="165">
        <f>'FS Jimbaran April 2021'!AO27/'FS Jimbaran April 2021'!AN27</f>
        <v>8700</v>
      </c>
      <c r="K17" s="164">
        <f>'FS Jimbaran April 2021'!Z27</f>
        <v>999</v>
      </c>
      <c r="L17" s="173">
        <f>'FS Jimbaran April 2021'!AE27/'FS Jimbaran April 2021'!Z27</f>
        <v>11719.882111101018</v>
      </c>
      <c r="M17" s="164">
        <v>3</v>
      </c>
      <c r="N17" s="164">
        <v>35</v>
      </c>
    </row>
    <row r="18" spans="1:14" ht="14.45">
      <c r="A18" s="161" t="s">
        <v>14</v>
      </c>
      <c r="B18" s="162">
        <f t="shared" si="0"/>
        <v>17</v>
      </c>
      <c r="C18" s="163">
        <v>4</v>
      </c>
      <c r="D18" s="162">
        <v>2021</v>
      </c>
      <c r="E18" s="164">
        <f>'FS Jimbaran April 2021'!P28</f>
        <v>14699.999999999975</v>
      </c>
      <c r="F18" s="173">
        <f>'FS Jimbaran April 2021'!O28/'FS Jimbaran April 2021'!P28</f>
        <v>1185.2282571428564</v>
      </c>
      <c r="G18" s="164">
        <f>'FS Jimbaran April 2021'!AK28</f>
        <v>62</v>
      </c>
      <c r="H18" s="173">
        <f>'FS Jimbaran April 2021'!AL28/'FS Jimbaran April 2021'!AK28</f>
        <v>11094.539999999999</v>
      </c>
      <c r="I18" s="164">
        <f>'FS Jimbaran April 2021'!AN28</f>
        <v>215.1200000000008</v>
      </c>
      <c r="J18" s="165">
        <f>'FS Jimbaran April 2021'!AO28/'FS Jimbaran April 2021'!AN28</f>
        <v>8700</v>
      </c>
      <c r="K18" s="164">
        <f>'FS Jimbaran April 2021'!Z28</f>
        <v>964</v>
      </c>
      <c r="L18" s="173">
        <f>'FS Jimbaran April 2021'!AE28/'FS Jimbaran April 2021'!Z28</f>
        <v>10613.899948681408</v>
      </c>
      <c r="M18" s="164">
        <v>6</v>
      </c>
      <c r="N18" s="164">
        <v>68</v>
      </c>
    </row>
    <row r="19" spans="1:14" ht="14.45">
      <c r="A19" s="161" t="s">
        <v>14</v>
      </c>
      <c r="B19" s="162">
        <f t="shared" si="0"/>
        <v>18</v>
      </c>
      <c r="C19" s="163">
        <v>4</v>
      </c>
      <c r="D19" s="162">
        <v>2021</v>
      </c>
      <c r="E19" s="164">
        <f>'FS Jimbaran April 2021'!P29</f>
        <v>14519.999999999918</v>
      </c>
      <c r="F19" s="173">
        <f>'FS Jimbaran April 2021'!O29/'FS Jimbaran April 2021'!P29</f>
        <v>1183.442851239671</v>
      </c>
      <c r="G19" s="164">
        <f>'FS Jimbaran April 2021'!AK29</f>
        <v>62</v>
      </c>
      <c r="H19" s="173">
        <f>'FS Jimbaran April 2021'!AL29/'FS Jimbaran April 2021'!AK29</f>
        <v>11094.539999999999</v>
      </c>
      <c r="I19" s="164">
        <f>'FS Jimbaran April 2021'!AN29</f>
        <v>91.219999999999345</v>
      </c>
      <c r="J19" s="165">
        <f>'FS Jimbaran April 2021'!AO29/'FS Jimbaran April 2021'!AN29</f>
        <v>8700</v>
      </c>
      <c r="K19" s="164">
        <f>'FS Jimbaran April 2021'!Z29</f>
        <v>970</v>
      </c>
      <c r="L19" s="173">
        <f>'FS Jimbaran April 2021'!AE29/'FS Jimbaran April 2021'!Z29</f>
        <v>10618.569858495042</v>
      </c>
      <c r="M19" s="164">
        <v>4</v>
      </c>
      <c r="N19" s="164">
        <v>33</v>
      </c>
    </row>
    <row r="20" spans="1:14" ht="14.45">
      <c r="A20" s="161" t="s">
        <v>14</v>
      </c>
      <c r="B20" s="162">
        <f t="shared" si="0"/>
        <v>19</v>
      </c>
      <c r="C20" s="163">
        <v>4</v>
      </c>
      <c r="D20" s="162">
        <v>2021</v>
      </c>
      <c r="E20" s="164">
        <f>'FS Jimbaran April 2021'!P30</f>
        <v>14500.000000000156</v>
      </c>
      <c r="F20" s="173">
        <f>'FS Jimbaran April 2021'!O30/'FS Jimbaran April 2021'!P30</f>
        <v>1170.0742344827568</v>
      </c>
      <c r="G20" s="164">
        <f>'FS Jimbaran April 2021'!AK30</f>
        <v>62</v>
      </c>
      <c r="H20" s="173">
        <f>'FS Jimbaran April 2021'!AL30/'FS Jimbaran April 2021'!AK30</f>
        <v>11094.539999999999</v>
      </c>
      <c r="I20" s="164">
        <f>'FS Jimbaran April 2021'!AN30</f>
        <v>135.39000000000124</v>
      </c>
      <c r="J20" s="165">
        <f>'FS Jimbaran April 2021'!AO30/'FS Jimbaran April 2021'!AN30</f>
        <v>8700</v>
      </c>
      <c r="K20" s="164">
        <f>'FS Jimbaran April 2021'!Z30</f>
        <v>935</v>
      </c>
      <c r="L20" s="173">
        <f>'FS Jimbaran April 2021'!AE30/'FS Jimbaran April 2021'!Z30</f>
        <v>11729.75624473933</v>
      </c>
      <c r="M20" s="164">
        <v>5</v>
      </c>
      <c r="N20" s="164">
        <v>59</v>
      </c>
    </row>
    <row r="21" spans="1:14">
      <c r="A21" s="161" t="s">
        <v>14</v>
      </c>
      <c r="B21" s="162">
        <f t="shared" si="0"/>
        <v>20</v>
      </c>
      <c r="C21" s="163">
        <v>4</v>
      </c>
      <c r="D21" s="162">
        <v>2021</v>
      </c>
      <c r="E21" s="164">
        <f>'FS Jimbaran April 2021'!P31</f>
        <v>14719.99999999992</v>
      </c>
      <c r="F21" s="173">
        <f>'FS Jimbaran April 2021'!O31/'FS Jimbaran April 2021'!P31</f>
        <v>1189.5285937500005</v>
      </c>
      <c r="G21" s="164">
        <f>'FS Jimbaran April 2021'!AK31</f>
        <v>62</v>
      </c>
      <c r="H21" s="173">
        <f>'FS Jimbaran April 2021'!AL31/'FS Jimbaran April 2021'!AK31</f>
        <v>11094.539999999999</v>
      </c>
      <c r="I21" s="164">
        <f>'FS Jimbaran April 2021'!AN31</f>
        <v>153</v>
      </c>
      <c r="J21" s="165">
        <f>'FS Jimbaran April 2021'!AO31/'FS Jimbaran April 2021'!AN31</f>
        <v>8700</v>
      </c>
      <c r="K21" s="164">
        <f>'FS Jimbaran April 2021'!Z31</f>
        <v>921</v>
      </c>
      <c r="L21" s="173">
        <f>'FS Jimbaran April 2021'!AE31/'FS Jimbaran April 2021'!Z31</f>
        <v>11433.522821940696</v>
      </c>
      <c r="M21" s="164">
        <v>6</v>
      </c>
      <c r="N21" s="164">
        <v>55</v>
      </c>
    </row>
    <row r="22" spans="1:14">
      <c r="A22" s="161" t="s">
        <v>14</v>
      </c>
      <c r="B22" s="162">
        <f t="shared" si="0"/>
        <v>21</v>
      </c>
      <c r="C22" s="163">
        <v>4</v>
      </c>
      <c r="D22" s="162">
        <v>2021</v>
      </c>
      <c r="E22" s="164">
        <f>'FS Jimbaran April 2021'!P32</f>
        <v>14120.000000000096</v>
      </c>
      <c r="F22" s="173">
        <f>'FS Jimbaran April 2021'!O32/'FS Jimbaran April 2021'!P32</f>
        <v>1183.0778923512751</v>
      </c>
      <c r="G22" s="164">
        <f>'FS Jimbaran April 2021'!AK32</f>
        <v>62</v>
      </c>
      <c r="H22" s="173">
        <f>'FS Jimbaran April 2021'!AL32/'FS Jimbaran April 2021'!AK32</f>
        <v>11094.539999999999</v>
      </c>
      <c r="I22" s="164">
        <f>'FS Jimbaran April 2021'!AN32</f>
        <v>172.76000000000022</v>
      </c>
      <c r="J22" s="165">
        <f>'FS Jimbaran April 2021'!AO32/'FS Jimbaran April 2021'!AN32</f>
        <v>8700</v>
      </c>
      <c r="K22" s="164">
        <f>'FS Jimbaran April 2021'!Z32</f>
        <v>990</v>
      </c>
      <c r="L22" s="173">
        <f>'FS Jimbaran April 2021'!AE32/'FS Jimbaran April 2021'!Z32</f>
        <v>10860.952900831811</v>
      </c>
      <c r="M22" s="164">
        <v>4</v>
      </c>
      <c r="N22" s="164">
        <v>88</v>
      </c>
    </row>
    <row r="23" spans="1:14">
      <c r="A23" s="161" t="s">
        <v>14</v>
      </c>
      <c r="B23" s="162">
        <f t="shared" si="0"/>
        <v>22</v>
      </c>
      <c r="C23" s="163">
        <v>4</v>
      </c>
      <c r="D23" s="162">
        <v>2021</v>
      </c>
      <c r="E23" s="164">
        <f>'FS Jimbaran April 2021'!P33</f>
        <v>14399.999999999807</v>
      </c>
      <c r="F23" s="173">
        <f>'FS Jimbaran April 2021'!O33/'FS Jimbaran April 2021'!P33</f>
        <v>1181.9760312500002</v>
      </c>
      <c r="G23" s="164">
        <f>'FS Jimbaran April 2021'!AK33</f>
        <v>112</v>
      </c>
      <c r="H23" s="173">
        <f>'FS Jimbaran April 2021'!AL33/'FS Jimbaran April 2021'!AK33</f>
        <v>11094.539999999999</v>
      </c>
      <c r="I23" s="164">
        <f>'FS Jimbaran April 2021'!AN33</f>
        <v>230.69999999999891</v>
      </c>
      <c r="J23" s="165">
        <f>'FS Jimbaran April 2021'!AO33/'FS Jimbaran April 2021'!AN33</f>
        <v>8700</v>
      </c>
      <c r="K23" s="164">
        <f>'FS Jimbaran April 2021'!Z33</f>
        <v>961</v>
      </c>
      <c r="L23" s="173">
        <f>'FS Jimbaran April 2021'!AE33/'FS Jimbaran April 2021'!Z33</f>
        <v>11072.82324963103</v>
      </c>
      <c r="M23" s="164">
        <v>2</v>
      </c>
      <c r="N23" s="164">
        <v>26</v>
      </c>
    </row>
    <row r="24" spans="1:14">
      <c r="A24" s="161" t="s">
        <v>14</v>
      </c>
      <c r="B24" s="162">
        <f t="shared" si="0"/>
        <v>23</v>
      </c>
      <c r="C24" s="163">
        <v>4</v>
      </c>
      <c r="D24" s="162">
        <v>2021</v>
      </c>
      <c r="E24" s="164">
        <f>'FS Jimbaran April 2021'!P34</f>
        <v>14099.999999999987</v>
      </c>
      <c r="F24" s="173">
        <f>'FS Jimbaran April 2021'!O34/'FS Jimbaran April 2021'!P34</f>
        <v>1187.0699936170215</v>
      </c>
      <c r="G24" s="164">
        <f>'FS Jimbaran April 2021'!AK34</f>
        <v>112</v>
      </c>
      <c r="H24" s="173">
        <f>'FS Jimbaran April 2021'!AL34/'FS Jimbaran April 2021'!AK34</f>
        <v>11094.539999999999</v>
      </c>
      <c r="I24" s="164">
        <f>'FS Jimbaran April 2021'!AN34</f>
        <v>229.96999999999935</v>
      </c>
      <c r="J24" s="165">
        <f>'FS Jimbaran April 2021'!AO34/'FS Jimbaran April 2021'!AN34</f>
        <v>8700</v>
      </c>
      <c r="K24" s="164">
        <f>'FS Jimbaran April 2021'!Z34</f>
        <v>980</v>
      </c>
      <c r="L24" s="173">
        <f>'FS Jimbaran April 2021'!AE34/'FS Jimbaran April 2021'!Z34</f>
        <v>10828.764896253761</v>
      </c>
      <c r="M24" s="164">
        <v>3</v>
      </c>
      <c r="N24" s="164">
        <v>39</v>
      </c>
    </row>
    <row r="25" spans="1:14">
      <c r="A25" s="161" t="s">
        <v>14</v>
      </c>
      <c r="B25" s="162">
        <f t="shared" si="0"/>
        <v>24</v>
      </c>
      <c r="C25" s="163">
        <v>4</v>
      </c>
      <c r="D25" s="162">
        <v>2021</v>
      </c>
      <c r="E25" s="164">
        <f>'FS Jimbaran April 2021'!P35</f>
        <v>14980.000000000018</v>
      </c>
      <c r="F25" s="173">
        <f>'FS Jimbaran April 2021'!O35/'FS Jimbaran April 2021'!P35</f>
        <v>1185.580892523365</v>
      </c>
      <c r="G25" s="164">
        <f>'FS Jimbaran April 2021'!AK35</f>
        <v>112</v>
      </c>
      <c r="H25" s="173">
        <f>'FS Jimbaran April 2021'!AL35/'FS Jimbaran April 2021'!AK35</f>
        <v>11094.539999999999</v>
      </c>
      <c r="I25" s="164">
        <f>'FS Jimbaran April 2021'!AN35</f>
        <v>96.130000000001019</v>
      </c>
      <c r="J25" s="165">
        <f>'FS Jimbaran April 2021'!AO35/'FS Jimbaran April 2021'!AN35</f>
        <v>8700</v>
      </c>
      <c r="K25" s="164">
        <f>'FS Jimbaran April 2021'!Z35</f>
        <v>928</v>
      </c>
      <c r="L25" s="173">
        <f>'FS Jimbaran April 2021'!AE35/'FS Jimbaran April 2021'!Z35</f>
        <v>11112.202992528142</v>
      </c>
      <c r="M25" s="164">
        <v>8</v>
      </c>
      <c r="N25" s="164">
        <v>62</v>
      </c>
    </row>
    <row r="26" spans="1:14">
      <c r="A26" s="161" t="s">
        <v>14</v>
      </c>
      <c r="B26" s="162">
        <f>B25+1</f>
        <v>25</v>
      </c>
      <c r="C26" s="163">
        <v>4</v>
      </c>
      <c r="D26" s="162">
        <v>2021</v>
      </c>
      <c r="E26" s="164">
        <f>'FS Jimbaran April 2021'!P36</f>
        <v>15140.000000000015</v>
      </c>
      <c r="F26" s="173">
        <f>'FS Jimbaran April 2021'!O36/'FS Jimbaran April 2021'!P36</f>
        <v>1185.9817826948483</v>
      </c>
      <c r="G26" s="164">
        <f>'FS Jimbaran April 2021'!AK36</f>
        <v>112</v>
      </c>
      <c r="H26" s="173">
        <f>'FS Jimbaran April 2021'!AL36/'FS Jimbaran April 2021'!AK36</f>
        <v>11094.539999999999</v>
      </c>
      <c r="I26" s="164">
        <f>'FS Jimbaran April 2021'!AN36</f>
        <v>104</v>
      </c>
      <c r="J26" s="165">
        <f>'FS Jimbaran April 2021'!AO36/'FS Jimbaran April 2021'!AN36</f>
        <v>8700</v>
      </c>
      <c r="K26" s="164">
        <f>'FS Jimbaran April 2021'!Z36</f>
        <v>952</v>
      </c>
      <c r="L26" s="173">
        <f>'FS Jimbaran April 2021'!AE36/'FS Jimbaran April 2021'!Z36</f>
        <v>11243.771129257511</v>
      </c>
      <c r="M26" s="164">
        <v>11</v>
      </c>
      <c r="N26" s="164">
        <v>43</v>
      </c>
    </row>
    <row r="27" spans="1:14">
      <c r="A27" s="161" t="s">
        <v>14</v>
      </c>
      <c r="B27" s="162">
        <f t="shared" si="0"/>
        <v>26</v>
      </c>
      <c r="C27" s="163">
        <v>4</v>
      </c>
      <c r="D27" s="162">
        <v>2021</v>
      </c>
      <c r="E27" s="164">
        <f>'FS Jimbaran April 2021'!P37</f>
        <v>15480.000000000104</v>
      </c>
      <c r="F27" s="173">
        <f>'FS Jimbaran April 2021'!O37/'FS Jimbaran April 2021'!P37</f>
        <v>1183.8202616279057</v>
      </c>
      <c r="G27" s="164">
        <f>'FS Jimbaran April 2021'!AK37</f>
        <v>62</v>
      </c>
      <c r="H27" s="173">
        <f>'FS Jimbaran April 2021'!AL37/'FS Jimbaran April 2021'!AK37</f>
        <v>11094.539999999999</v>
      </c>
      <c r="I27" s="164">
        <f>'FS Jimbaran April 2021'!AN37</f>
        <v>274</v>
      </c>
      <c r="J27" s="165">
        <f>'FS Jimbaran April 2021'!AO37/'FS Jimbaran April 2021'!AN37</f>
        <v>8700</v>
      </c>
      <c r="K27" s="164">
        <f>'FS Jimbaran April 2021'!Z37</f>
        <v>1070</v>
      </c>
      <c r="L27" s="173">
        <f>'FS Jimbaran April 2021'!AE37/'FS Jimbaran April 2021'!Z37</f>
        <v>10292.95163487243</v>
      </c>
      <c r="M27" s="164">
        <v>9</v>
      </c>
      <c r="N27" s="164">
        <v>114</v>
      </c>
    </row>
    <row r="28" spans="1:14">
      <c r="A28" s="161" t="s">
        <v>14</v>
      </c>
      <c r="B28" s="162">
        <f t="shared" si="0"/>
        <v>27</v>
      </c>
      <c r="C28" s="163">
        <v>4</v>
      </c>
      <c r="D28" s="162">
        <v>2021</v>
      </c>
      <c r="E28" s="164">
        <f>'FS Jimbaran April 2021'!P38</f>
        <v>14939.999999999976</v>
      </c>
      <c r="F28" s="173">
        <f>'FS Jimbaran April 2021'!O38/'FS Jimbaran April 2021'!P38</f>
        <v>1180.7476024096391</v>
      </c>
      <c r="G28" s="164">
        <f>'FS Jimbaran April 2021'!AK38</f>
        <v>62</v>
      </c>
      <c r="H28" s="173">
        <f>'FS Jimbaran April 2021'!AL38/'FS Jimbaran April 2021'!AK38</f>
        <v>11094.539999999999</v>
      </c>
      <c r="I28" s="164">
        <f>'FS Jimbaran April 2021'!AN38</f>
        <v>167.54999999999927</v>
      </c>
      <c r="J28" s="165">
        <f>'FS Jimbaran April 2021'!AO38/'FS Jimbaran April 2021'!AN38</f>
        <v>8700</v>
      </c>
      <c r="K28" s="164">
        <f>'FS Jimbaran April 2021'!Z38</f>
        <v>949</v>
      </c>
      <c r="L28" s="173">
        <f>'FS Jimbaran April 2021'!AE38/'FS Jimbaran April 2021'!Z38</f>
        <v>11682.601286558209</v>
      </c>
      <c r="M28" s="164">
        <v>7</v>
      </c>
      <c r="N28" s="164">
        <v>114</v>
      </c>
    </row>
    <row r="29" spans="1:14">
      <c r="A29" s="161" t="s">
        <v>14</v>
      </c>
      <c r="B29" s="162">
        <f t="shared" si="0"/>
        <v>28</v>
      </c>
      <c r="C29" s="163">
        <v>4</v>
      </c>
      <c r="D29" s="162">
        <v>2021</v>
      </c>
      <c r="E29" s="164">
        <f>'FS Jimbaran April 2021'!P39</f>
        <v>14439.999999999949</v>
      </c>
      <c r="F29" s="173">
        <f>'FS Jimbaran April 2021'!O39/'FS Jimbaran April 2021'!P39</f>
        <v>1179.4550235457068</v>
      </c>
      <c r="G29" s="164">
        <f>'FS Jimbaran April 2021'!AK39</f>
        <v>62</v>
      </c>
      <c r="H29" s="173">
        <f>'FS Jimbaran April 2021'!AL39/'FS Jimbaran April 2021'!AK39</f>
        <v>11094.539999999999</v>
      </c>
      <c r="I29" s="164">
        <f>'FS Jimbaran April 2021'!AN39</f>
        <v>275.67000000000189</v>
      </c>
      <c r="J29" s="165">
        <f>'FS Jimbaran April 2021'!AO39/'FS Jimbaran April 2021'!AN39</f>
        <v>8700</v>
      </c>
      <c r="K29" s="164">
        <f>'FS Jimbaran April 2021'!Z39</f>
        <v>994</v>
      </c>
      <c r="L29" s="173">
        <f>'FS Jimbaran April 2021'!AE39/'FS Jimbaran April 2021'!Z39</f>
        <v>10556.811219474432</v>
      </c>
      <c r="M29" s="164">
        <v>4</v>
      </c>
      <c r="N29" s="164">
        <v>130</v>
      </c>
    </row>
    <row r="30" spans="1:14">
      <c r="A30" s="161" t="s">
        <v>14</v>
      </c>
      <c r="B30" s="162">
        <f t="shared" si="0"/>
        <v>29</v>
      </c>
      <c r="C30" s="163">
        <v>4</v>
      </c>
      <c r="D30" s="162">
        <v>2021</v>
      </c>
      <c r="E30" s="164">
        <f>'FS Jimbaran April 2021'!P40</f>
        <v>15400.000000000142</v>
      </c>
      <c r="F30" s="173">
        <f>'FS Jimbaran April 2021'!O40/'FS Jimbaran April 2021'!P40</f>
        <v>1184.3202681818163</v>
      </c>
      <c r="G30" s="164">
        <f>'FS Jimbaran April 2021'!AK40</f>
        <v>62</v>
      </c>
      <c r="H30" s="173">
        <f>'FS Jimbaran April 2021'!AL40/'FS Jimbaran April 2021'!AK40</f>
        <v>11094.539999999999</v>
      </c>
      <c r="I30" s="164">
        <f>'FS Jimbaran April 2021'!AN40</f>
        <v>118.82000000000335</v>
      </c>
      <c r="J30" s="165">
        <f>'FS Jimbaran April 2021'!AO40/'FS Jimbaran April 2021'!AN40</f>
        <v>8700</v>
      </c>
      <c r="K30" s="164">
        <f>'FS Jimbaran April 2021'!Z40</f>
        <v>1011</v>
      </c>
      <c r="L30" s="173">
        <f>'FS Jimbaran April 2021'!AE40/'FS Jimbaran April 2021'!Z40</f>
        <v>10014.20181253774</v>
      </c>
      <c r="M30" s="164">
        <v>4</v>
      </c>
      <c r="N30" s="164">
        <v>25</v>
      </c>
    </row>
    <row r="31" spans="1:14">
      <c r="A31" s="161" t="s">
        <v>14</v>
      </c>
      <c r="B31" s="162">
        <f t="shared" si="0"/>
        <v>30</v>
      </c>
      <c r="C31" s="163">
        <v>4</v>
      </c>
      <c r="D31" s="162">
        <v>2021</v>
      </c>
      <c r="E31" s="164">
        <f>'FS Jimbaran April 2021'!P41</f>
        <v>14900.000000000035</v>
      </c>
      <c r="F31" s="173">
        <f>'FS Jimbaran April 2021'!O41/'FS Jimbaran April 2021'!P41</f>
        <v>1183.1874825503364</v>
      </c>
      <c r="G31" s="164">
        <f>'FS Jimbaran April 2021'!AK41</f>
        <v>112</v>
      </c>
      <c r="H31" s="173">
        <f>'FS Jimbaran April 2021'!AL41/'FS Jimbaran April 2021'!AK41</f>
        <v>11094.539999999999</v>
      </c>
      <c r="I31" s="164">
        <f>'FS Jimbaran April 2021'!AN41</f>
        <v>159.05999999999403</v>
      </c>
      <c r="J31" s="165">
        <f>'FS Jimbaran April 2021'!AO41/'FS Jimbaran April 2021'!AN41</f>
        <v>8700</v>
      </c>
      <c r="K31" s="164">
        <f>'FS Jimbaran April 2021'!Z41</f>
        <v>1053</v>
      </c>
      <c r="L31" s="173">
        <f>'FS Jimbaran April 2021'!AE41/'FS Jimbaran April 2021'!Z41</f>
        <v>10633.727410886768</v>
      </c>
      <c r="M31" s="164">
        <v>6</v>
      </c>
      <c r="N31" s="164">
        <v>50</v>
      </c>
    </row>
    <row r="32" spans="1:14">
      <c r="E32" s="171"/>
      <c r="G32" s="171"/>
      <c r="K32" s="171"/>
      <c r="M32" s="171"/>
      <c r="N32" s="17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Q102"/>
  <sheetViews>
    <sheetView tabSelected="1" zoomScale="62" zoomScaleNormal="62" workbookViewId="0">
      <pane xSplit="4" ySplit="10" topLeftCell="U34" activePane="bottomRight" state="frozen"/>
      <selection pane="bottomRight" activeCell="AA51" sqref="AA51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9" width="18.140625" style="89" customWidth="1"/>
    <col min="20" max="20" width="24.28515625" customWidth="1"/>
    <col min="21" max="21" width="21.140625" bestFit="1" customWidth="1"/>
    <col min="22" max="23" width="18.85546875" customWidth="1"/>
    <col min="24" max="24" width="52.28515625" bestFit="1" customWidth="1"/>
    <col min="25" max="25" width="18.85546875" customWidth="1"/>
    <col min="26" max="26" width="19.7109375" customWidth="1"/>
    <col min="27" max="28" width="21.140625" bestFit="1" customWidth="1"/>
    <col min="29" max="29" width="19.7109375" bestFit="1" customWidth="1"/>
    <col min="30" max="30" width="21.28515625" bestFit="1" customWidth="1"/>
    <col min="31" max="31" width="17.85546875" bestFit="1" customWidth="1"/>
    <col min="32" max="32" width="9.85546875" customWidth="1"/>
    <col min="33" max="33" width="15.85546875" bestFit="1" customWidth="1"/>
    <col min="34" max="34" width="12.85546875" style="3" bestFit="1" customWidth="1"/>
    <col min="35" max="35" width="14.85546875" customWidth="1"/>
    <col min="36" max="36" width="12.28515625" bestFit="1" customWidth="1"/>
    <col min="37" max="37" width="10" bestFit="1" customWidth="1"/>
    <col min="38" max="38" width="19" style="3" customWidth="1"/>
    <col min="39" max="39" width="10.5703125" customWidth="1"/>
    <col min="40" max="40" width="13.28515625" style="89" bestFit="1" customWidth="1"/>
    <col min="41" max="41" width="20.7109375" bestFit="1" customWidth="1"/>
    <col min="42" max="42" width="9.42578125" style="41" bestFit="1" customWidth="1"/>
    <col min="43" max="43" width="2.28515625" style="7" customWidth="1"/>
  </cols>
  <sheetData>
    <row r="5" spans="1:43">
      <c r="N5" s="174"/>
      <c r="AB5" s="175"/>
    </row>
    <row r="6" spans="1:43" s="26" customFormat="1" ht="19.5" thickBot="1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S6" s="85"/>
      <c r="AH6" s="34"/>
      <c r="AL6" s="34"/>
      <c r="AN6" s="85"/>
      <c r="AP6" s="37"/>
    </row>
    <row r="7" spans="1:43" s="11" customFormat="1" ht="16.5" thickBot="1">
      <c r="A7" s="30"/>
      <c r="B7" s="259" t="s">
        <v>17</v>
      </c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1"/>
      <c r="AQ7" s="30"/>
    </row>
    <row r="8" spans="1:43" s="7" customFormat="1" ht="15.75" customHeight="1" thickBot="1">
      <c r="A8" s="27"/>
      <c r="B8" s="262" t="s">
        <v>18</v>
      </c>
      <c r="C8" s="265" t="s">
        <v>19</v>
      </c>
      <c r="D8" s="268" t="s">
        <v>13</v>
      </c>
      <c r="E8" s="271" t="s">
        <v>20</v>
      </c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2"/>
      <c r="W8" s="238"/>
      <c r="X8" s="238"/>
      <c r="Y8" s="238"/>
      <c r="Z8" s="273" t="s">
        <v>21</v>
      </c>
      <c r="AA8" s="274"/>
      <c r="AB8" s="274"/>
      <c r="AC8" s="274"/>
      <c r="AD8" s="274"/>
      <c r="AE8" s="274"/>
      <c r="AF8" s="275"/>
      <c r="AG8" s="276" t="s">
        <v>22</v>
      </c>
      <c r="AH8" s="276"/>
      <c r="AI8" s="276"/>
      <c r="AJ8" s="276"/>
      <c r="AK8" s="276"/>
      <c r="AL8" s="276"/>
      <c r="AM8" s="276"/>
      <c r="AN8" s="276"/>
      <c r="AO8" s="276"/>
      <c r="AP8" s="277"/>
      <c r="AQ8" s="29"/>
    </row>
    <row r="9" spans="1:43" ht="15" customHeight="1" thickBot="1">
      <c r="B9" s="263"/>
      <c r="C9" s="266"/>
      <c r="D9" s="269"/>
      <c r="E9" s="278" t="s">
        <v>23</v>
      </c>
      <c r="F9" s="279"/>
      <c r="G9" s="279"/>
      <c r="H9" s="279"/>
      <c r="I9" s="280"/>
      <c r="J9" s="281" t="s">
        <v>24</v>
      </c>
      <c r="K9" s="281"/>
      <c r="L9" s="281"/>
      <c r="M9" s="281"/>
      <c r="N9" s="282"/>
      <c r="O9" s="268" t="s">
        <v>25</v>
      </c>
      <c r="P9" s="283" t="s">
        <v>26</v>
      </c>
      <c r="Q9" s="285" t="s">
        <v>27</v>
      </c>
      <c r="R9" s="287" t="s">
        <v>28</v>
      </c>
      <c r="S9" s="239"/>
      <c r="T9" s="253" t="s">
        <v>29</v>
      </c>
      <c r="U9" s="255" t="s">
        <v>30</v>
      </c>
      <c r="V9" s="256"/>
      <c r="W9" s="237"/>
      <c r="X9" s="237"/>
      <c r="Y9" s="237"/>
      <c r="Z9" s="53"/>
      <c r="AA9" s="53" t="s">
        <v>31</v>
      </c>
      <c r="AB9" s="53"/>
      <c r="AC9" s="54"/>
      <c r="AD9" s="180"/>
      <c r="AE9" s="257" t="s">
        <v>32</v>
      </c>
      <c r="AF9" s="258"/>
      <c r="AG9" s="276" t="s">
        <v>33</v>
      </c>
      <c r="AH9" s="276"/>
      <c r="AI9" s="276"/>
      <c r="AJ9" s="276"/>
      <c r="AK9" s="276"/>
      <c r="AL9" s="276"/>
      <c r="AM9" s="277"/>
      <c r="AN9" s="140" t="s">
        <v>34</v>
      </c>
      <c r="AO9" s="36"/>
      <c r="AP9" s="38"/>
    </row>
    <row r="10" spans="1:43" ht="61.5" customHeight="1" thickBot="1">
      <c r="A10" s="28"/>
      <c r="B10" s="264"/>
      <c r="C10" s="267"/>
      <c r="D10" s="270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70"/>
      <c r="P10" s="284"/>
      <c r="Q10" s="286"/>
      <c r="R10" s="288"/>
      <c r="S10" s="240"/>
      <c r="T10" s="254"/>
      <c r="U10" s="181" t="s">
        <v>40</v>
      </c>
      <c r="V10" s="23" t="s">
        <v>41</v>
      </c>
      <c r="W10" s="248"/>
      <c r="X10" s="248"/>
      <c r="Y10" s="248"/>
      <c r="Z10" s="182" t="s">
        <v>42</v>
      </c>
      <c r="AA10" s="55" t="s">
        <v>43</v>
      </c>
      <c r="AB10" s="55" t="s">
        <v>44</v>
      </c>
      <c r="AC10" s="22" t="s">
        <v>45</v>
      </c>
      <c r="AD10" s="22" t="s">
        <v>46</v>
      </c>
      <c r="AE10" s="22" t="s">
        <v>40</v>
      </c>
      <c r="AF10" s="12" t="s">
        <v>41</v>
      </c>
      <c r="AG10" s="125" t="s">
        <v>47</v>
      </c>
      <c r="AH10" s="48" t="s">
        <v>48</v>
      </c>
      <c r="AI10" s="47" t="s">
        <v>49</v>
      </c>
      <c r="AJ10" s="47" t="s">
        <v>50</v>
      </c>
      <c r="AK10" s="47" t="s">
        <v>51</v>
      </c>
      <c r="AL10" s="48" t="s">
        <v>40</v>
      </c>
      <c r="AM10" s="49" t="s">
        <v>41</v>
      </c>
      <c r="AN10" s="141" t="s">
        <v>52</v>
      </c>
      <c r="AO10" s="47" t="s">
        <v>40</v>
      </c>
      <c r="AP10" s="51" t="s">
        <v>41</v>
      </c>
      <c r="AQ10" s="28"/>
    </row>
    <row r="11" spans="1:43">
      <c r="A11" s="28"/>
      <c r="B11" s="57"/>
      <c r="C11" s="101"/>
      <c r="D11" s="183"/>
      <c r="E11" s="184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5"/>
      <c r="R11" s="113"/>
      <c r="S11" s="241"/>
      <c r="T11" s="186"/>
      <c r="U11" s="21"/>
      <c r="V11" s="24"/>
      <c r="W11" s="237"/>
      <c r="X11" s="237"/>
      <c r="Y11" s="237"/>
      <c r="Z11" s="91"/>
      <c r="AA11" s="18"/>
      <c r="AB11" s="18"/>
      <c r="AC11" s="20"/>
      <c r="AD11" s="20"/>
      <c r="AE11" s="20"/>
      <c r="AF11" s="102"/>
      <c r="AG11" s="126"/>
      <c r="AH11" s="45"/>
      <c r="AI11" s="42"/>
      <c r="AJ11" s="42"/>
      <c r="AK11" s="42"/>
      <c r="AL11" s="45"/>
      <c r="AM11" s="46"/>
      <c r="AN11" s="142"/>
      <c r="AO11" s="42"/>
      <c r="AP11" s="50"/>
      <c r="AQ11" s="28"/>
    </row>
    <row r="12" spans="1:43">
      <c r="A12" s="33"/>
      <c r="B12" s="58">
        <v>1</v>
      </c>
      <c r="C12" s="150">
        <v>9</v>
      </c>
      <c r="D12" s="152">
        <v>70</v>
      </c>
      <c r="E12" s="106">
        <v>12080.000000000155</v>
      </c>
      <c r="F12" s="2">
        <v>13137833.520000169</v>
      </c>
      <c r="G12" s="35">
        <v>2480.0000000000182</v>
      </c>
      <c r="H12" s="2">
        <v>4045756.68000003</v>
      </c>
      <c r="I12" s="103">
        <f>F12+H12</f>
        <v>17183590.2000002</v>
      </c>
      <c r="J12" s="106">
        <v>1500</v>
      </c>
      <c r="K12" s="2">
        <v>1631353.5</v>
      </c>
      <c r="L12" s="187">
        <v>360.00000000000654</v>
      </c>
      <c r="M12" s="188">
        <v>587287.2600000106</v>
      </c>
      <c r="N12" s="94">
        <f>+K12+M12</f>
        <v>2218640.7600000105</v>
      </c>
      <c r="O12" s="108">
        <f>N12+I12</f>
        <v>19402230.96000021</v>
      </c>
      <c r="P12" s="111">
        <f>L12+J12+G12+E12</f>
        <v>16420.000000000178</v>
      </c>
      <c r="Q12" s="135"/>
      <c r="R12" s="204"/>
      <c r="S12" s="242"/>
      <c r="T12" s="218"/>
      <c r="U12" s="215"/>
      <c r="V12" s="213">
        <v>0</v>
      </c>
      <c r="W12" s="249"/>
      <c r="X12" s="249"/>
      <c r="Y12" s="249"/>
      <c r="Z12" s="189">
        <f>AC12+AA12</f>
        <v>981</v>
      </c>
      <c r="AA12" s="2">
        <v>335</v>
      </c>
      <c r="AB12" s="2">
        <v>6025022.0074926112</v>
      </c>
      <c r="AC12" s="31">
        <v>646</v>
      </c>
      <c r="AD12" s="31">
        <v>3070177.7155517261</v>
      </c>
      <c r="AE12" s="31">
        <f t="shared" ref="AE12:AE39" si="0">AD12+AB12</f>
        <v>9095199.7230443377</v>
      </c>
      <c r="AF12" s="128">
        <f t="shared" ref="AF12:AF39" si="1">AE12/$AP$48</f>
        <v>700.91990137586424</v>
      </c>
      <c r="AG12" s="134">
        <v>0</v>
      </c>
      <c r="AH12" s="2">
        <v>0</v>
      </c>
      <c r="AI12" s="2">
        <v>50</v>
      </c>
      <c r="AJ12" s="2">
        <v>12</v>
      </c>
      <c r="AK12" s="2">
        <f>+AI12+AJ12</f>
        <v>62</v>
      </c>
      <c r="AL12" s="2">
        <v>687861.48</v>
      </c>
      <c r="AM12" s="43">
        <f t="shared" ref="AM12:AM39" si="2">AL12/$AP$48</f>
        <v>53.009919012583914</v>
      </c>
      <c r="AN12" s="143">
        <v>190.67000000000007</v>
      </c>
      <c r="AO12" s="2">
        <v>1658829.0000000007</v>
      </c>
      <c r="AP12" s="39">
        <f t="shared" ref="AP12:AP41" si="3">AO12/$AP$48</f>
        <v>127.83735316262454</v>
      </c>
      <c r="AQ12" s="6"/>
    </row>
    <row r="13" spans="1:43">
      <c r="A13" s="33"/>
      <c r="B13" s="58">
        <v>2</v>
      </c>
      <c r="C13" s="150">
        <v>9</v>
      </c>
      <c r="D13" s="152">
        <v>108</v>
      </c>
      <c r="E13" s="106">
        <v>11079.999999999927</v>
      </c>
      <c r="F13" s="2">
        <v>12050264.519999921</v>
      </c>
      <c r="G13" s="35">
        <v>2239.9999999999523</v>
      </c>
      <c r="H13" s="2">
        <v>3654231.8399999221</v>
      </c>
      <c r="I13" s="103">
        <f t="shared" ref="I13:I41" si="4">F13+H13</f>
        <v>15704496.359999843</v>
      </c>
      <c r="J13" s="106">
        <v>1500</v>
      </c>
      <c r="K13" s="2">
        <v>1631353.5</v>
      </c>
      <c r="L13" s="187">
        <v>419.9999999999946</v>
      </c>
      <c r="M13" s="188">
        <v>685168.46999999112</v>
      </c>
      <c r="N13" s="94">
        <f t="shared" ref="N13:N41" si="5">+K13+M13</f>
        <v>2316521.9699999914</v>
      </c>
      <c r="O13" s="108">
        <f t="shared" ref="O13:O39" si="6">N13+I13</f>
        <v>18021018.329999834</v>
      </c>
      <c r="P13" s="111">
        <f t="shared" ref="P13:P39" si="7">L13+J13+G13+E13</f>
        <v>15239.999999999874</v>
      </c>
      <c r="Q13" s="192"/>
      <c r="R13" s="205"/>
      <c r="S13" s="88"/>
      <c r="T13" s="193"/>
      <c r="U13" s="216"/>
      <c r="V13" s="213">
        <v>0</v>
      </c>
      <c r="W13" s="249"/>
      <c r="X13" s="249"/>
      <c r="Y13" s="249"/>
      <c r="Z13" s="189">
        <f t="shared" ref="Z13:Z41" si="8">AC13+AA13</f>
        <v>968</v>
      </c>
      <c r="AA13" s="2">
        <v>462</v>
      </c>
      <c r="AB13" s="2">
        <v>8309134.8282435415</v>
      </c>
      <c r="AC13" s="31">
        <v>506</v>
      </c>
      <c r="AD13" s="31">
        <v>2404814.1239460888</v>
      </c>
      <c r="AE13" s="31">
        <f t="shared" si="0"/>
        <v>10713948.95218963</v>
      </c>
      <c r="AF13" s="128">
        <f t="shared" si="1"/>
        <v>825.668514335954</v>
      </c>
      <c r="AG13" s="134">
        <v>0</v>
      </c>
      <c r="AH13" s="2">
        <v>0</v>
      </c>
      <c r="AI13" s="2">
        <v>100</v>
      </c>
      <c r="AJ13" s="2">
        <v>12</v>
      </c>
      <c r="AK13" s="2">
        <f t="shared" ref="AK13:AK40" si="9">+AI13+AJ13</f>
        <v>112</v>
      </c>
      <c r="AL13" s="2">
        <v>1242588.48</v>
      </c>
      <c r="AM13" s="43">
        <f t="shared" si="2"/>
        <v>95.759853700151581</v>
      </c>
      <c r="AN13" s="143">
        <v>325.68000000000029</v>
      </c>
      <c r="AO13" s="2">
        <v>2833416.0000000023</v>
      </c>
      <c r="AP13" s="39">
        <f t="shared" si="3"/>
        <v>218.3566852572695</v>
      </c>
      <c r="AQ13" s="6"/>
    </row>
    <row r="14" spans="1:43">
      <c r="A14" s="33"/>
      <c r="B14" s="58">
        <v>3</v>
      </c>
      <c r="C14" s="150">
        <v>7</v>
      </c>
      <c r="D14" s="152">
        <v>91</v>
      </c>
      <c r="E14" s="106">
        <v>10319.999999999936</v>
      </c>
      <c r="F14" s="2">
        <v>11223712.079999931</v>
      </c>
      <c r="G14" s="35">
        <v>2360.0000000000136</v>
      </c>
      <c r="H14" s="2">
        <v>3849994.2600000221</v>
      </c>
      <c r="I14" s="103">
        <f t="shared" si="4"/>
        <v>15073706.339999953</v>
      </c>
      <c r="J14" s="106">
        <v>1500</v>
      </c>
      <c r="K14" s="2">
        <v>1631353.5</v>
      </c>
      <c r="L14" s="187">
        <v>460.00000000000085</v>
      </c>
      <c r="M14" s="188">
        <v>750422.6100000015</v>
      </c>
      <c r="N14" s="94">
        <f t="shared" si="5"/>
        <v>2381776.1100000013</v>
      </c>
      <c r="O14" s="108">
        <f t="shared" si="6"/>
        <v>17455482.449999955</v>
      </c>
      <c r="P14" s="111">
        <f t="shared" si="7"/>
        <v>14639.999999999951</v>
      </c>
      <c r="Q14" s="192"/>
      <c r="R14" s="205"/>
      <c r="S14" s="88"/>
      <c r="T14" s="193"/>
      <c r="U14" s="216"/>
      <c r="V14" s="213">
        <v>0</v>
      </c>
      <c r="W14" s="249"/>
      <c r="X14" s="249"/>
      <c r="Y14" s="249"/>
      <c r="Z14" s="189">
        <f t="shared" si="8"/>
        <v>912</v>
      </c>
      <c r="AA14" s="2">
        <v>473</v>
      </c>
      <c r="AB14" s="2">
        <v>8506971.3717731498</v>
      </c>
      <c r="AC14" s="31">
        <v>439</v>
      </c>
      <c r="AD14" s="31">
        <v>2086390.1193919624</v>
      </c>
      <c r="AE14" s="31">
        <f t="shared" si="0"/>
        <v>10593361.491165113</v>
      </c>
      <c r="AF14" s="128">
        <f t="shared" si="1"/>
        <v>816.37546373099394</v>
      </c>
      <c r="AG14" s="134">
        <v>0</v>
      </c>
      <c r="AH14" s="2">
        <v>0</v>
      </c>
      <c r="AI14" s="2">
        <v>100</v>
      </c>
      <c r="AJ14" s="2">
        <v>12</v>
      </c>
      <c r="AK14" s="2">
        <f t="shared" si="9"/>
        <v>112</v>
      </c>
      <c r="AL14" s="2">
        <v>1242588.48</v>
      </c>
      <c r="AM14" s="43">
        <f t="shared" si="2"/>
        <v>95.759853700151581</v>
      </c>
      <c r="AN14" s="143">
        <v>80</v>
      </c>
      <c r="AO14" s="2">
        <v>696000</v>
      </c>
      <c r="AP14" s="39">
        <f t="shared" si="3"/>
        <v>53.637112566266111</v>
      </c>
      <c r="AQ14" s="6"/>
    </row>
    <row r="15" spans="1:43">
      <c r="A15" s="33"/>
      <c r="B15" s="58">
        <v>4</v>
      </c>
      <c r="C15" s="150">
        <v>4</v>
      </c>
      <c r="D15" s="152">
        <v>89</v>
      </c>
      <c r="E15" s="106">
        <v>10680.000000000064</v>
      </c>
      <c r="F15" s="2">
        <v>11615236.920000069</v>
      </c>
      <c r="G15" s="35">
        <v>2199.9999999999886</v>
      </c>
      <c r="H15" s="2">
        <v>3588977.6999999816</v>
      </c>
      <c r="I15" s="103">
        <f t="shared" si="4"/>
        <v>15204214.620000049</v>
      </c>
      <c r="J15" s="106">
        <v>1699.9999999999886</v>
      </c>
      <c r="K15" s="2">
        <v>1848867.2999999877</v>
      </c>
      <c r="L15" s="187">
        <v>340.00000000000341</v>
      </c>
      <c r="M15" s="188">
        <v>554660.19000000553</v>
      </c>
      <c r="N15" s="94">
        <f t="shared" si="5"/>
        <v>2403527.4899999932</v>
      </c>
      <c r="O15" s="108">
        <f t="shared" si="6"/>
        <v>17607742.110000044</v>
      </c>
      <c r="P15" s="111">
        <f t="shared" si="7"/>
        <v>14920.000000000044</v>
      </c>
      <c r="Q15" s="192"/>
      <c r="R15" s="205"/>
      <c r="S15" s="88"/>
      <c r="T15" s="193"/>
      <c r="U15" s="216"/>
      <c r="V15" s="213">
        <v>0</v>
      </c>
      <c r="W15" s="249"/>
      <c r="X15" s="249"/>
      <c r="Y15" s="249"/>
      <c r="Z15" s="189">
        <f t="shared" si="8"/>
        <v>1008</v>
      </c>
      <c r="AA15" s="2">
        <v>469</v>
      </c>
      <c r="AB15" s="2">
        <v>8435030.8104896564</v>
      </c>
      <c r="AC15" s="31">
        <v>539</v>
      </c>
      <c r="AD15" s="31">
        <v>2561649.8276817035</v>
      </c>
      <c r="AE15" s="31">
        <f t="shared" si="0"/>
        <v>10996680.63817136</v>
      </c>
      <c r="AF15" s="128">
        <f t="shared" si="1"/>
        <v>847.45717994953486</v>
      </c>
      <c r="AG15" s="134">
        <v>0</v>
      </c>
      <c r="AH15" s="2">
        <v>0</v>
      </c>
      <c r="AI15" s="2">
        <v>50</v>
      </c>
      <c r="AJ15" s="2">
        <v>12</v>
      </c>
      <c r="AK15" s="2">
        <f t="shared" si="9"/>
        <v>62</v>
      </c>
      <c r="AL15" s="2">
        <v>687861.48</v>
      </c>
      <c r="AM15" s="43">
        <f t="shared" si="2"/>
        <v>53.009919012583914</v>
      </c>
      <c r="AN15" s="143">
        <v>109.67000000000007</v>
      </c>
      <c r="AO15" s="2">
        <v>954129.00000000058</v>
      </c>
      <c r="AP15" s="39">
        <f t="shared" si="3"/>
        <v>73.529776689280098</v>
      </c>
      <c r="AQ15" s="6"/>
    </row>
    <row r="16" spans="1:43">
      <c r="A16" s="33"/>
      <c r="B16" s="58">
        <v>5</v>
      </c>
      <c r="C16" s="150">
        <v>3</v>
      </c>
      <c r="D16" s="152">
        <v>36</v>
      </c>
      <c r="E16" s="106">
        <v>11720.000000000027</v>
      </c>
      <c r="F16" s="2">
        <v>12746308.68000003</v>
      </c>
      <c r="G16" s="35">
        <v>2280.0000000000296</v>
      </c>
      <c r="H16" s="2">
        <v>3719485.9800000489</v>
      </c>
      <c r="I16" s="103">
        <f t="shared" si="4"/>
        <v>16465794.660000078</v>
      </c>
      <c r="J16" s="106">
        <v>1420.0000000000159</v>
      </c>
      <c r="K16" s="2">
        <v>1544347.9800000172</v>
      </c>
      <c r="L16" s="187">
        <v>339.99999999999631</v>
      </c>
      <c r="M16" s="188">
        <v>554660.18999999401</v>
      </c>
      <c r="N16" s="94">
        <f t="shared" si="5"/>
        <v>2099008.1700000111</v>
      </c>
      <c r="O16" s="108">
        <f t="shared" si="6"/>
        <v>18564802.830000088</v>
      </c>
      <c r="P16" s="111">
        <f t="shared" si="7"/>
        <v>15760.000000000069</v>
      </c>
      <c r="Q16" s="192"/>
      <c r="R16" s="205"/>
      <c r="S16" s="88"/>
      <c r="T16" s="193"/>
      <c r="U16" s="216"/>
      <c r="V16" s="213">
        <v>0</v>
      </c>
      <c r="W16" s="249"/>
      <c r="X16" s="249"/>
      <c r="Y16" s="249"/>
      <c r="Z16" s="189">
        <f t="shared" si="8"/>
        <v>951</v>
      </c>
      <c r="AA16" s="2">
        <v>344</v>
      </c>
      <c r="AB16" s="2">
        <v>6186888.2703804728</v>
      </c>
      <c r="AC16" s="31">
        <v>607</v>
      </c>
      <c r="AD16" s="31">
        <v>2884826.429318727</v>
      </c>
      <c r="AE16" s="31">
        <f t="shared" si="0"/>
        <v>9071714.6996992007</v>
      </c>
      <c r="AF16" s="128">
        <f t="shared" si="1"/>
        <v>699.11003235174849</v>
      </c>
      <c r="AG16" s="134">
        <v>0</v>
      </c>
      <c r="AH16" s="2">
        <v>0</v>
      </c>
      <c r="AI16" s="2">
        <v>50</v>
      </c>
      <c r="AJ16" s="2">
        <v>12</v>
      </c>
      <c r="AK16" s="2">
        <f t="shared" si="9"/>
        <v>62</v>
      </c>
      <c r="AL16" s="2">
        <v>687861.48</v>
      </c>
      <c r="AM16" s="43">
        <f t="shared" si="2"/>
        <v>53.009919012583914</v>
      </c>
      <c r="AN16" s="143">
        <v>219.44999999998799</v>
      </c>
      <c r="AO16" s="2">
        <v>1909214.9999998955</v>
      </c>
      <c r="AP16" s="39">
        <f t="shared" si="3"/>
        <v>147.13330440833067</v>
      </c>
      <c r="AQ16" s="6"/>
    </row>
    <row r="17" spans="1:43">
      <c r="A17" s="33"/>
      <c r="B17" s="58">
        <v>6</v>
      </c>
      <c r="C17" s="150">
        <v>5</v>
      </c>
      <c r="D17" s="152">
        <v>35</v>
      </c>
      <c r="E17" s="106">
        <v>10359.9999999999</v>
      </c>
      <c r="F17" s="2">
        <v>11267214.839999892</v>
      </c>
      <c r="G17" s="35">
        <v>2199.9999999999886</v>
      </c>
      <c r="H17" s="2">
        <v>3588977.6999999816</v>
      </c>
      <c r="I17" s="103">
        <f t="shared" si="4"/>
        <v>14856192.539999872</v>
      </c>
      <c r="J17" s="106">
        <v>1340.0000000000034</v>
      </c>
      <c r="K17" s="2">
        <v>1457342.4600000037</v>
      </c>
      <c r="L17" s="187">
        <v>340.00000000000341</v>
      </c>
      <c r="M17" s="188">
        <v>554660.19000000553</v>
      </c>
      <c r="N17" s="94">
        <f t="shared" si="5"/>
        <v>2012002.6500000092</v>
      </c>
      <c r="O17" s="108">
        <f t="shared" si="6"/>
        <v>16868195.189999882</v>
      </c>
      <c r="P17" s="111">
        <f t="shared" si="7"/>
        <v>14239.999999999894</v>
      </c>
      <c r="Q17" s="192"/>
      <c r="R17" s="205"/>
      <c r="S17" s="88"/>
      <c r="T17" s="193"/>
      <c r="U17" s="193"/>
      <c r="V17" s="213">
        <v>0</v>
      </c>
      <c r="W17" s="249"/>
      <c r="X17" s="249"/>
      <c r="Y17" s="249"/>
      <c r="Z17" s="189">
        <f t="shared" si="8"/>
        <v>978</v>
      </c>
      <c r="AA17" s="2">
        <v>309</v>
      </c>
      <c r="AB17" s="2">
        <v>5557408.3591499012</v>
      </c>
      <c r="AC17" s="31">
        <v>669</v>
      </c>
      <c r="AD17" s="31">
        <v>3179487.4484583666</v>
      </c>
      <c r="AE17" s="31">
        <f t="shared" si="0"/>
        <v>8736895.8076082673</v>
      </c>
      <c r="AF17" s="128">
        <f t="shared" si="1"/>
        <v>673.30727573624006</v>
      </c>
      <c r="AG17" s="134">
        <v>0</v>
      </c>
      <c r="AH17" s="2">
        <v>0</v>
      </c>
      <c r="AI17" s="2">
        <v>50</v>
      </c>
      <c r="AJ17" s="2">
        <v>12</v>
      </c>
      <c r="AK17" s="2">
        <f t="shared" si="9"/>
        <v>62</v>
      </c>
      <c r="AL17" s="2">
        <v>687861.48</v>
      </c>
      <c r="AM17" s="43">
        <f t="shared" si="2"/>
        <v>53.009919012583914</v>
      </c>
      <c r="AN17" s="143">
        <v>93.159999999999854</v>
      </c>
      <c r="AO17" s="2">
        <v>810491.99999999872</v>
      </c>
      <c r="AP17" s="39">
        <f t="shared" si="3"/>
        <v>62.460417583416785</v>
      </c>
      <c r="AQ17" s="6"/>
    </row>
    <row r="18" spans="1:43">
      <c r="A18" s="33"/>
      <c r="B18" s="58">
        <v>7</v>
      </c>
      <c r="C18" s="150">
        <v>5</v>
      </c>
      <c r="D18" s="152">
        <v>65</v>
      </c>
      <c r="E18" s="106">
        <v>10680.000000000064</v>
      </c>
      <c r="F18" s="2">
        <v>11615236.920000069</v>
      </c>
      <c r="G18" s="35">
        <v>2199.9999999999886</v>
      </c>
      <c r="H18" s="2">
        <v>3588977.6999999816</v>
      </c>
      <c r="I18" s="103">
        <f t="shared" si="4"/>
        <v>15204214.620000049</v>
      </c>
      <c r="J18" s="106">
        <v>1379.9999999999955</v>
      </c>
      <c r="K18" s="2">
        <v>1500845.2199999951</v>
      </c>
      <c r="L18" s="187">
        <v>320.00000000000028</v>
      </c>
      <c r="M18" s="188">
        <v>522033.1200000004</v>
      </c>
      <c r="N18" s="94">
        <f t="shared" si="5"/>
        <v>2022878.3399999954</v>
      </c>
      <c r="O18" s="108">
        <f t="shared" si="6"/>
        <v>17227092.960000046</v>
      </c>
      <c r="P18" s="111">
        <f t="shared" si="7"/>
        <v>14580.000000000047</v>
      </c>
      <c r="Q18" s="192"/>
      <c r="R18" s="205"/>
      <c r="S18" s="88"/>
      <c r="T18" s="193"/>
      <c r="U18" s="193"/>
      <c r="V18" s="213">
        <v>0</v>
      </c>
      <c r="W18" s="249"/>
      <c r="X18" s="249"/>
      <c r="Y18" s="249"/>
      <c r="Z18" s="189">
        <f t="shared" si="8"/>
        <v>998</v>
      </c>
      <c r="AA18" s="2">
        <v>320</v>
      </c>
      <c r="AB18" s="2">
        <v>5755244.9026795095</v>
      </c>
      <c r="AC18" s="31">
        <v>678</v>
      </c>
      <c r="AD18" s="31">
        <v>3222260.8222044432</v>
      </c>
      <c r="AE18" s="31">
        <f t="shared" si="0"/>
        <v>8977505.7248839531</v>
      </c>
      <c r="AF18" s="128">
        <f t="shared" si="1"/>
        <v>691.84983495675147</v>
      </c>
      <c r="AG18" s="134">
        <v>0</v>
      </c>
      <c r="AH18" s="2">
        <v>0</v>
      </c>
      <c r="AI18" s="2">
        <v>100</v>
      </c>
      <c r="AJ18" s="2">
        <v>12</v>
      </c>
      <c r="AK18" s="2">
        <f t="shared" si="9"/>
        <v>112</v>
      </c>
      <c r="AL18" s="2">
        <v>1242588.48</v>
      </c>
      <c r="AM18" s="43">
        <f t="shared" si="2"/>
        <v>95.759853700151581</v>
      </c>
      <c r="AN18" s="143">
        <v>213.30000000000109</v>
      </c>
      <c r="AO18" s="2">
        <v>1855710.0000000095</v>
      </c>
      <c r="AP18" s="39">
        <f t="shared" si="3"/>
        <v>143.00995137980775</v>
      </c>
      <c r="AQ18" s="6"/>
    </row>
    <row r="19" spans="1:43">
      <c r="A19" s="33"/>
      <c r="B19" s="58">
        <v>8</v>
      </c>
      <c r="C19" s="150">
        <v>4</v>
      </c>
      <c r="D19" s="152">
        <v>59</v>
      </c>
      <c r="E19" s="106">
        <v>10920.000000000073</v>
      </c>
      <c r="F19" s="2">
        <v>11876253.480000081</v>
      </c>
      <c r="G19" s="35">
        <v>2240.0000000000091</v>
      </c>
      <c r="H19" s="2">
        <v>3654231.8400000152</v>
      </c>
      <c r="I19" s="103">
        <f t="shared" si="4"/>
        <v>15530485.320000095</v>
      </c>
      <c r="J19" s="106">
        <v>1379.9999999999955</v>
      </c>
      <c r="K19" s="2">
        <v>1500845.2199999951</v>
      </c>
      <c r="L19" s="187">
        <v>359.99999999999943</v>
      </c>
      <c r="M19" s="188">
        <v>587287.25999999908</v>
      </c>
      <c r="N19" s="94">
        <f t="shared" si="5"/>
        <v>2088132.4799999942</v>
      </c>
      <c r="O19" s="108">
        <f t="shared" si="6"/>
        <v>17618617.80000009</v>
      </c>
      <c r="P19" s="111">
        <f t="shared" si="7"/>
        <v>14900.000000000076</v>
      </c>
      <c r="Q19" s="192"/>
      <c r="R19" s="205"/>
      <c r="S19" s="88"/>
      <c r="T19" s="193"/>
      <c r="U19" s="193"/>
      <c r="V19" s="213">
        <v>0</v>
      </c>
      <c r="W19" s="249"/>
      <c r="X19" s="249"/>
      <c r="Y19" s="249"/>
      <c r="Z19" s="189">
        <f t="shared" si="8"/>
        <v>1006</v>
      </c>
      <c r="AA19" s="2">
        <v>483</v>
      </c>
      <c r="AB19" s="2">
        <v>8686822.7749818843</v>
      </c>
      <c r="AC19" s="31">
        <v>523</v>
      </c>
      <c r="AD19" s="31">
        <v>2485608.2743553449</v>
      </c>
      <c r="AE19" s="31">
        <f t="shared" si="0"/>
        <v>11172431.049337229</v>
      </c>
      <c r="AF19" s="128">
        <f t="shared" si="1"/>
        <v>861.00135320710854</v>
      </c>
      <c r="AG19" s="134">
        <v>0</v>
      </c>
      <c r="AH19" s="2">
        <v>0</v>
      </c>
      <c r="AI19" s="2">
        <v>50</v>
      </c>
      <c r="AJ19" s="2">
        <v>12</v>
      </c>
      <c r="AK19" s="2">
        <f t="shared" si="9"/>
        <v>62</v>
      </c>
      <c r="AL19" s="2">
        <v>687861.48</v>
      </c>
      <c r="AM19" s="43">
        <f t="shared" si="2"/>
        <v>53.009919012583914</v>
      </c>
      <c r="AN19" s="143">
        <v>88.059999999999491</v>
      </c>
      <c r="AO19" s="2">
        <v>766121.99999999558</v>
      </c>
      <c r="AP19" s="39">
        <f t="shared" si="3"/>
        <v>59.041051657317077</v>
      </c>
      <c r="AQ19" s="6"/>
    </row>
    <row r="20" spans="1:43">
      <c r="A20" s="33"/>
      <c r="B20" s="58">
        <v>9</v>
      </c>
      <c r="C20" s="150">
        <v>8</v>
      </c>
      <c r="D20" s="152">
        <v>76</v>
      </c>
      <c r="E20" s="106">
        <v>10439.999999999827</v>
      </c>
      <c r="F20" s="2">
        <v>11354220.359999811</v>
      </c>
      <c r="G20" s="35">
        <v>2319.9999999999932</v>
      </c>
      <c r="H20" s="2">
        <v>3784740.1199999894</v>
      </c>
      <c r="I20" s="103">
        <f t="shared" si="4"/>
        <v>15138960.479999801</v>
      </c>
      <c r="J20" s="106">
        <v>1379.9999999999955</v>
      </c>
      <c r="K20" s="2">
        <v>1500845.2199999951</v>
      </c>
      <c r="L20" s="187">
        <v>379.99999999999545</v>
      </c>
      <c r="M20" s="188">
        <v>619914.32999999262</v>
      </c>
      <c r="N20" s="94">
        <f t="shared" si="5"/>
        <v>2120759.5499999877</v>
      </c>
      <c r="O20" s="108">
        <f t="shared" si="6"/>
        <v>17259720.029999789</v>
      </c>
      <c r="P20" s="111">
        <f t="shared" si="7"/>
        <v>14519.999999999811</v>
      </c>
      <c r="Q20" s="192"/>
      <c r="R20" s="205"/>
      <c r="S20" s="88"/>
      <c r="T20" s="193"/>
      <c r="U20" s="193"/>
      <c r="V20" s="213">
        <v>0</v>
      </c>
      <c r="W20" s="249"/>
      <c r="X20" s="249"/>
      <c r="Y20" s="249"/>
      <c r="Z20" s="189">
        <f t="shared" si="8"/>
        <v>991</v>
      </c>
      <c r="AA20" s="2">
        <v>468</v>
      </c>
      <c r="AB20" s="2">
        <v>8417045.6701687817</v>
      </c>
      <c r="AC20" s="31">
        <v>523</v>
      </c>
      <c r="AD20" s="31">
        <v>2485608.2743553449</v>
      </c>
      <c r="AE20" s="31">
        <f t="shared" si="0"/>
        <v>10902653.944524126</v>
      </c>
      <c r="AF20" s="128">
        <f t="shared" si="1"/>
        <v>840.21103001937615</v>
      </c>
      <c r="AG20" s="134">
        <v>0</v>
      </c>
      <c r="AH20" s="2">
        <v>0</v>
      </c>
      <c r="AI20" s="2">
        <v>50</v>
      </c>
      <c r="AJ20" s="2">
        <v>12</v>
      </c>
      <c r="AK20" s="2">
        <f t="shared" si="9"/>
        <v>62</v>
      </c>
      <c r="AL20" s="2">
        <v>687861.48</v>
      </c>
      <c r="AM20" s="43">
        <f t="shared" si="2"/>
        <v>53.009919012583914</v>
      </c>
      <c r="AN20" s="143">
        <v>208.54000000000087</v>
      </c>
      <c r="AO20" s="2">
        <v>1814298.0000000077</v>
      </c>
      <c r="AP20" s="39">
        <f t="shared" si="3"/>
        <v>139.81854318211478</v>
      </c>
      <c r="AQ20" s="6"/>
    </row>
    <row r="21" spans="1:43">
      <c r="A21" s="33"/>
      <c r="B21" s="58">
        <v>10</v>
      </c>
      <c r="C21" s="150">
        <v>13</v>
      </c>
      <c r="D21" s="152">
        <v>111</v>
      </c>
      <c r="E21" s="106">
        <v>11280.0000000002</v>
      </c>
      <c r="F21" s="2">
        <v>12267778.320000218</v>
      </c>
      <c r="G21" s="35">
        <v>2400.0000000000341</v>
      </c>
      <c r="H21" s="2">
        <v>3915248.4000000558</v>
      </c>
      <c r="I21" s="103">
        <f t="shared" si="4"/>
        <v>16183026.720000274</v>
      </c>
      <c r="J21" s="106">
        <v>1680.0000000000068</v>
      </c>
      <c r="K21" s="2">
        <v>1827115.9200000076</v>
      </c>
      <c r="L21" s="187">
        <v>500</v>
      </c>
      <c r="M21" s="188">
        <v>815676.75</v>
      </c>
      <c r="N21" s="94">
        <f t="shared" si="5"/>
        <v>2642792.6700000074</v>
      </c>
      <c r="O21" s="108">
        <f t="shared" si="6"/>
        <v>18825819.390000284</v>
      </c>
      <c r="P21" s="111">
        <f t="shared" si="7"/>
        <v>15860.00000000024</v>
      </c>
      <c r="Q21" s="192"/>
      <c r="R21" s="205"/>
      <c r="S21" s="88"/>
      <c r="T21" s="193"/>
      <c r="U21" s="216"/>
      <c r="V21" s="213">
        <v>0</v>
      </c>
      <c r="W21" s="249"/>
      <c r="X21" s="249"/>
      <c r="Y21" s="249"/>
      <c r="Z21" s="189">
        <f t="shared" si="8"/>
        <v>977</v>
      </c>
      <c r="AA21" s="2">
        <v>474</v>
      </c>
      <c r="AB21" s="2">
        <v>8524956.5120940227</v>
      </c>
      <c r="AC21" s="31">
        <v>503</v>
      </c>
      <c r="AD21" s="31">
        <v>2390556.3326973966</v>
      </c>
      <c r="AE21" s="31">
        <f t="shared" si="0"/>
        <v>10915512.84479142</v>
      </c>
      <c r="AF21" s="128">
        <f t="shared" si="1"/>
        <v>841.20199881408189</v>
      </c>
      <c r="AG21" s="134">
        <v>0</v>
      </c>
      <c r="AH21" s="2">
        <v>0</v>
      </c>
      <c r="AI21" s="2">
        <v>100</v>
      </c>
      <c r="AJ21" s="2">
        <v>12</v>
      </c>
      <c r="AK21" s="2">
        <f t="shared" si="9"/>
        <v>112</v>
      </c>
      <c r="AL21" s="2">
        <v>1242588.48</v>
      </c>
      <c r="AM21" s="43">
        <f t="shared" si="2"/>
        <v>95.759853700151581</v>
      </c>
      <c r="AN21" s="143">
        <v>210</v>
      </c>
      <c r="AO21" s="2">
        <v>1827000</v>
      </c>
      <c r="AP21" s="39">
        <f t="shared" si="3"/>
        <v>140.79742048644854</v>
      </c>
      <c r="AQ21" s="6"/>
    </row>
    <row r="22" spans="1:43">
      <c r="A22" s="33"/>
      <c r="B22" s="58">
        <v>11</v>
      </c>
      <c r="C22" s="150">
        <v>7</v>
      </c>
      <c r="D22" s="152">
        <v>144</v>
      </c>
      <c r="E22" s="106">
        <v>11480.000000000018</v>
      </c>
      <c r="F22" s="2">
        <v>12485292.12000002</v>
      </c>
      <c r="G22" s="35">
        <v>2279.9999999999727</v>
      </c>
      <c r="H22" s="2">
        <v>3719485.9799999557</v>
      </c>
      <c r="I22" s="103">
        <f t="shared" si="4"/>
        <v>16204778.099999975</v>
      </c>
      <c r="J22" s="106">
        <v>1599.9999999999943</v>
      </c>
      <c r="K22" s="2">
        <v>1740110.3999999939</v>
      </c>
      <c r="L22" s="187">
        <v>360.00000000000654</v>
      </c>
      <c r="M22" s="188">
        <v>587287.2600000106</v>
      </c>
      <c r="N22" s="94">
        <f t="shared" si="5"/>
        <v>2327397.6600000043</v>
      </c>
      <c r="O22" s="108">
        <f t="shared" si="6"/>
        <v>18532175.759999979</v>
      </c>
      <c r="P22" s="111">
        <f t="shared" si="7"/>
        <v>15719.999999999993</v>
      </c>
      <c r="Q22" s="192"/>
      <c r="R22" s="205"/>
      <c r="S22" s="88"/>
      <c r="T22" s="193"/>
      <c r="U22" s="216"/>
      <c r="V22" s="213">
        <v>0</v>
      </c>
      <c r="W22" s="249"/>
      <c r="X22" s="249"/>
      <c r="Y22" s="249"/>
      <c r="Z22" s="189">
        <f t="shared" si="8"/>
        <v>967</v>
      </c>
      <c r="AA22" s="2">
        <v>360</v>
      </c>
      <c r="AB22" s="2">
        <v>6474650.5155144483</v>
      </c>
      <c r="AC22" s="31">
        <v>607</v>
      </c>
      <c r="AD22" s="31">
        <v>2884826.429318727</v>
      </c>
      <c r="AE22" s="31">
        <f t="shared" si="0"/>
        <v>9359476.9448331743</v>
      </c>
      <c r="AF22" s="128">
        <f t="shared" si="1"/>
        <v>721.2863770853296</v>
      </c>
      <c r="AG22" s="134">
        <v>0</v>
      </c>
      <c r="AH22" s="2">
        <v>0</v>
      </c>
      <c r="AI22" s="2">
        <v>100</v>
      </c>
      <c r="AJ22" s="2">
        <v>12</v>
      </c>
      <c r="AK22" s="2">
        <f t="shared" si="9"/>
        <v>112</v>
      </c>
      <c r="AL22" s="2">
        <v>1242588.48</v>
      </c>
      <c r="AM22" s="43">
        <f t="shared" si="2"/>
        <v>95.759853700151581</v>
      </c>
      <c r="AN22" s="143">
        <v>75.039999999999054</v>
      </c>
      <c r="AO22" s="2">
        <v>652847.99999999173</v>
      </c>
      <c r="AP22" s="39">
        <f t="shared" si="3"/>
        <v>50.311611587156975</v>
      </c>
      <c r="AQ22" s="6"/>
    </row>
    <row r="23" spans="1:43">
      <c r="A23" s="33"/>
      <c r="B23" s="58">
        <v>12</v>
      </c>
      <c r="C23" s="150">
        <v>5</v>
      </c>
      <c r="D23" s="152">
        <v>46</v>
      </c>
      <c r="E23" s="106">
        <v>10719.9999999998</v>
      </c>
      <c r="F23" s="2">
        <v>11658739.679999784</v>
      </c>
      <c r="G23" s="35">
        <v>2240.0000000000091</v>
      </c>
      <c r="H23" s="2">
        <v>3654231.8400000152</v>
      </c>
      <c r="I23" s="103">
        <f t="shared" si="4"/>
        <v>15312971.519999798</v>
      </c>
      <c r="J23" s="106">
        <v>1439.9999999999977</v>
      </c>
      <c r="K23" s="2">
        <v>1566099.3599999975</v>
      </c>
      <c r="L23" s="187">
        <v>399.99999999999858</v>
      </c>
      <c r="M23" s="188">
        <v>652541.39999999769</v>
      </c>
      <c r="N23" s="94">
        <f t="shared" si="5"/>
        <v>2218640.7599999951</v>
      </c>
      <c r="O23" s="108">
        <f t="shared" si="6"/>
        <v>17531612.279999793</v>
      </c>
      <c r="P23" s="111">
        <f t="shared" si="7"/>
        <v>14799.999999999805</v>
      </c>
      <c r="Q23" s="192"/>
      <c r="R23" s="205"/>
      <c r="S23" s="88"/>
      <c r="T23" s="193"/>
      <c r="U23" s="216"/>
      <c r="V23" s="213">
        <v>0</v>
      </c>
      <c r="W23" s="249"/>
      <c r="X23" s="249"/>
      <c r="Y23" s="249"/>
      <c r="Z23" s="189">
        <f t="shared" si="8"/>
        <v>1022</v>
      </c>
      <c r="AA23" s="2">
        <v>394</v>
      </c>
      <c r="AB23" s="2">
        <v>7086145.286424146</v>
      </c>
      <c r="AC23" s="31">
        <v>628</v>
      </c>
      <c r="AD23" s="31">
        <v>2984630.9680595729</v>
      </c>
      <c r="AE23" s="31">
        <f t="shared" si="0"/>
        <v>10070776.254483718</v>
      </c>
      <c r="AF23" s="128">
        <f t="shared" si="1"/>
        <v>776.10252814859621</v>
      </c>
      <c r="AG23" s="134">
        <v>0</v>
      </c>
      <c r="AH23" s="2">
        <v>0</v>
      </c>
      <c r="AI23" s="2">
        <v>50</v>
      </c>
      <c r="AJ23" s="2">
        <v>12</v>
      </c>
      <c r="AK23" s="2">
        <f t="shared" si="9"/>
        <v>62</v>
      </c>
      <c r="AL23" s="2">
        <v>687861.48</v>
      </c>
      <c r="AM23" s="43">
        <f t="shared" si="2"/>
        <v>53.009919012583914</v>
      </c>
      <c r="AN23" s="143">
        <v>186.30000000000109</v>
      </c>
      <c r="AO23" s="2">
        <v>1620810.0000000095</v>
      </c>
      <c r="AP23" s="39">
        <f t="shared" si="3"/>
        <v>124.90742588869294</v>
      </c>
      <c r="AQ23" s="6"/>
    </row>
    <row r="24" spans="1:43">
      <c r="A24" s="33"/>
      <c r="B24" s="58">
        <v>13</v>
      </c>
      <c r="C24" s="150">
        <v>7</v>
      </c>
      <c r="D24" s="152">
        <v>90</v>
      </c>
      <c r="E24" s="106">
        <v>10759.999999999991</v>
      </c>
      <c r="F24" s="2">
        <v>11702242.43999999</v>
      </c>
      <c r="G24" s="35">
        <v>2279.9999999999727</v>
      </c>
      <c r="H24" s="2">
        <v>3719485.9799999557</v>
      </c>
      <c r="I24" s="103">
        <f t="shared" si="4"/>
        <v>15421728.419999946</v>
      </c>
      <c r="J24" s="106">
        <v>1400.0000000000057</v>
      </c>
      <c r="K24" s="2">
        <v>1522596.6000000061</v>
      </c>
      <c r="L24" s="187">
        <v>359.99999999999943</v>
      </c>
      <c r="M24" s="188">
        <v>587287.25999999908</v>
      </c>
      <c r="N24" s="94">
        <f t="shared" si="5"/>
        <v>2109883.860000005</v>
      </c>
      <c r="O24" s="108">
        <f t="shared" si="6"/>
        <v>17531612.279999949</v>
      </c>
      <c r="P24" s="111">
        <f t="shared" si="7"/>
        <v>14799.999999999969</v>
      </c>
      <c r="Q24" s="192"/>
      <c r="R24" s="205"/>
      <c r="S24" s="88"/>
      <c r="T24" s="193"/>
      <c r="U24" s="216"/>
      <c r="V24" s="213">
        <v>0</v>
      </c>
      <c r="W24" s="249"/>
      <c r="X24" s="249"/>
      <c r="Y24" s="249"/>
      <c r="Z24" s="189">
        <f>AC24+AA24</f>
        <v>872</v>
      </c>
      <c r="AA24" s="2">
        <v>463</v>
      </c>
      <c r="AB24" s="2">
        <v>8327119.9685644154</v>
      </c>
      <c r="AC24" s="31">
        <v>409</v>
      </c>
      <c r="AD24" s="31">
        <v>1943812.2069050402</v>
      </c>
      <c r="AE24" s="31">
        <f t="shared" si="0"/>
        <v>10270932.175469456</v>
      </c>
      <c r="AF24" s="128">
        <f t="shared" si="1"/>
        <v>791.52750755192483</v>
      </c>
      <c r="AG24" s="134">
        <v>0</v>
      </c>
      <c r="AH24" s="2">
        <v>0</v>
      </c>
      <c r="AI24" s="2">
        <v>100</v>
      </c>
      <c r="AJ24" s="2">
        <v>12</v>
      </c>
      <c r="AK24" s="2">
        <f t="shared" si="9"/>
        <v>112</v>
      </c>
      <c r="AL24" s="2">
        <v>1242588.48</v>
      </c>
      <c r="AM24" s="43">
        <f t="shared" si="2"/>
        <v>95.759853700151581</v>
      </c>
      <c r="AN24" s="143">
        <v>195.55999999999949</v>
      </c>
      <c r="AO24" s="2">
        <v>1701371.9999999956</v>
      </c>
      <c r="AP24" s="39">
        <f t="shared" si="3"/>
        <v>131.11592166823715</v>
      </c>
      <c r="AQ24" s="6"/>
    </row>
    <row r="25" spans="1:43">
      <c r="A25" s="33"/>
      <c r="B25" s="58">
        <v>14</v>
      </c>
      <c r="C25" s="150">
        <v>10</v>
      </c>
      <c r="D25" s="152">
        <v>66</v>
      </c>
      <c r="E25" s="106">
        <v>10960.000000000036</v>
      </c>
      <c r="F25" s="2">
        <v>11919756.240000041</v>
      </c>
      <c r="G25" s="35">
        <v>2240.0000000000091</v>
      </c>
      <c r="H25" s="2">
        <v>3654231.8400000152</v>
      </c>
      <c r="I25" s="103">
        <f t="shared" si="4"/>
        <v>15573988.080000056</v>
      </c>
      <c r="J25" s="106">
        <v>1460.000000000008</v>
      </c>
      <c r="K25" s="2">
        <v>1587850.7400000086</v>
      </c>
      <c r="L25" s="187">
        <v>379.99999999999545</v>
      </c>
      <c r="M25" s="188">
        <v>619914.32999999262</v>
      </c>
      <c r="N25" s="94">
        <f t="shared" si="5"/>
        <v>2207765.0700000012</v>
      </c>
      <c r="O25" s="108">
        <f t="shared" si="6"/>
        <v>17781753.150000058</v>
      </c>
      <c r="P25" s="111">
        <f t="shared" si="7"/>
        <v>15040.000000000049</v>
      </c>
      <c r="Q25" s="192"/>
      <c r="R25" s="205"/>
      <c r="S25" s="88"/>
      <c r="T25" s="193"/>
      <c r="U25" s="216"/>
      <c r="V25" s="213">
        <v>0</v>
      </c>
      <c r="W25" s="249"/>
      <c r="X25" s="249"/>
      <c r="Y25" s="249"/>
      <c r="Z25" s="189">
        <f t="shared" si="8"/>
        <v>1083</v>
      </c>
      <c r="AA25" s="2">
        <v>413</v>
      </c>
      <c r="AB25" s="2">
        <v>7427862.9525207421</v>
      </c>
      <c r="AC25" s="31">
        <v>670</v>
      </c>
      <c r="AD25" s="31">
        <v>3184240.0455412637</v>
      </c>
      <c r="AE25" s="31">
        <f t="shared" si="0"/>
        <v>10612102.998062005</v>
      </c>
      <c r="AF25" s="128">
        <f t="shared" si="1"/>
        <v>817.8197745285371</v>
      </c>
      <c r="AG25" s="134">
        <v>0</v>
      </c>
      <c r="AH25" s="2">
        <v>0</v>
      </c>
      <c r="AI25" s="2">
        <v>50</v>
      </c>
      <c r="AJ25" s="2">
        <v>12</v>
      </c>
      <c r="AK25" s="2">
        <f t="shared" si="9"/>
        <v>62</v>
      </c>
      <c r="AL25" s="2">
        <v>687861.48</v>
      </c>
      <c r="AM25" s="43">
        <f t="shared" si="2"/>
        <v>53.009919012583914</v>
      </c>
      <c r="AN25" s="143">
        <v>281.86999999999898</v>
      </c>
      <c r="AO25" s="2">
        <v>2452268.9999999912</v>
      </c>
      <c r="AP25" s="39">
        <f t="shared" si="3"/>
        <v>188.98366148816717</v>
      </c>
      <c r="AQ25" s="6"/>
    </row>
    <row r="26" spans="1:43">
      <c r="A26" s="33"/>
      <c r="B26" s="58">
        <v>15</v>
      </c>
      <c r="C26" s="150">
        <v>5</v>
      </c>
      <c r="D26" s="152">
        <v>95</v>
      </c>
      <c r="E26" s="106">
        <v>10240.000000000009</v>
      </c>
      <c r="F26" s="2">
        <v>11136706.56000001</v>
      </c>
      <c r="G26" s="35">
        <v>2240.0000000000091</v>
      </c>
      <c r="H26" s="2">
        <v>3654231.8400000152</v>
      </c>
      <c r="I26" s="103">
        <f t="shared" si="4"/>
        <v>14790938.400000025</v>
      </c>
      <c r="J26" s="106">
        <v>1340.0000000000034</v>
      </c>
      <c r="K26" s="2">
        <v>1457342.4600000037</v>
      </c>
      <c r="L26" s="187">
        <v>340.00000000000341</v>
      </c>
      <c r="M26" s="188">
        <v>554660.19000000553</v>
      </c>
      <c r="N26" s="94">
        <f t="shared" si="5"/>
        <v>2012002.6500000092</v>
      </c>
      <c r="O26" s="108">
        <f t="shared" si="6"/>
        <v>16802941.050000034</v>
      </c>
      <c r="P26" s="111">
        <f t="shared" si="7"/>
        <v>14160.000000000025</v>
      </c>
      <c r="Q26" s="192"/>
      <c r="R26" s="205"/>
      <c r="S26" s="88"/>
      <c r="T26" s="193"/>
      <c r="U26" s="216"/>
      <c r="V26" s="213">
        <v>0</v>
      </c>
      <c r="W26" s="249"/>
      <c r="X26" s="249"/>
      <c r="Y26" s="249"/>
      <c r="Z26" s="189">
        <f t="shared" si="8"/>
        <v>966</v>
      </c>
      <c r="AA26" s="2">
        <v>470</v>
      </c>
      <c r="AB26" s="2">
        <v>8453015.9508105293</v>
      </c>
      <c r="AC26" s="31">
        <v>496</v>
      </c>
      <c r="AD26" s="31">
        <v>2357288.1531171147</v>
      </c>
      <c r="AE26" s="31">
        <f t="shared" si="0"/>
        <v>10810304.103927644</v>
      </c>
      <c r="AF26" s="128">
        <f t="shared" si="1"/>
        <v>833.09410646255105</v>
      </c>
      <c r="AG26" s="134">
        <v>0</v>
      </c>
      <c r="AH26" s="2">
        <v>0</v>
      </c>
      <c r="AI26" s="2">
        <v>100</v>
      </c>
      <c r="AJ26" s="2">
        <v>12</v>
      </c>
      <c r="AK26" s="2">
        <f t="shared" si="9"/>
        <v>112</v>
      </c>
      <c r="AL26" s="2">
        <v>1242588.48</v>
      </c>
      <c r="AM26" s="43">
        <f t="shared" si="2"/>
        <v>95.759853700151581</v>
      </c>
      <c r="AN26" s="143">
        <v>124.25</v>
      </c>
      <c r="AO26" s="2">
        <v>1080975</v>
      </c>
      <c r="AP26" s="39">
        <f t="shared" si="3"/>
        <v>83.305140454482057</v>
      </c>
      <c r="AQ26" s="6"/>
    </row>
    <row r="27" spans="1:43">
      <c r="A27" s="33"/>
      <c r="B27" s="58">
        <v>16</v>
      </c>
      <c r="C27" s="150">
        <v>4</v>
      </c>
      <c r="D27" s="152">
        <v>39</v>
      </c>
      <c r="E27" s="106">
        <v>10680.000000000064</v>
      </c>
      <c r="F27" s="2">
        <v>11615236.920000069</v>
      </c>
      <c r="G27" s="35">
        <v>2160.000000000025</v>
      </c>
      <c r="H27" s="2">
        <v>3523723.560000041</v>
      </c>
      <c r="I27" s="103">
        <f t="shared" si="4"/>
        <v>15138960.48000011</v>
      </c>
      <c r="J27" s="106">
        <v>1359.9999999999852</v>
      </c>
      <c r="K27" s="2">
        <v>1479093.839999984</v>
      </c>
      <c r="L27" s="187">
        <v>320.00000000000028</v>
      </c>
      <c r="M27" s="188">
        <v>522033.1200000004</v>
      </c>
      <c r="N27" s="94">
        <f t="shared" si="5"/>
        <v>2001126.9599999844</v>
      </c>
      <c r="O27" s="108">
        <f t="shared" si="6"/>
        <v>17140087.440000094</v>
      </c>
      <c r="P27" s="111">
        <f t="shared" si="7"/>
        <v>14520.000000000075</v>
      </c>
      <c r="Q27" s="192"/>
      <c r="R27" s="205"/>
      <c r="S27" s="88"/>
      <c r="T27" s="193"/>
      <c r="U27" s="216"/>
      <c r="V27" s="213">
        <v>0</v>
      </c>
      <c r="W27" s="249"/>
      <c r="X27" s="249"/>
      <c r="Y27" s="249"/>
      <c r="Z27" s="189">
        <f t="shared" si="8"/>
        <v>999</v>
      </c>
      <c r="AA27" s="2">
        <v>526</v>
      </c>
      <c r="AB27" s="2">
        <v>9460183.8087794427</v>
      </c>
      <c r="AC27" s="31">
        <v>473</v>
      </c>
      <c r="AD27" s="31">
        <v>2247978.4202104742</v>
      </c>
      <c r="AE27" s="31">
        <f t="shared" si="0"/>
        <v>11708162.228989918</v>
      </c>
      <c r="AF27" s="128">
        <f t="shared" si="1"/>
        <v>902.28737847763989</v>
      </c>
      <c r="AG27" s="134">
        <v>0</v>
      </c>
      <c r="AH27" s="2">
        <v>0</v>
      </c>
      <c r="AI27" s="2">
        <v>50</v>
      </c>
      <c r="AJ27" s="2">
        <v>12</v>
      </c>
      <c r="AK27" s="2">
        <f t="shared" si="9"/>
        <v>62</v>
      </c>
      <c r="AL27" s="2">
        <v>687861.48</v>
      </c>
      <c r="AM27" s="43">
        <f t="shared" si="2"/>
        <v>53.009919012583914</v>
      </c>
      <c r="AN27" s="143">
        <v>247.15999999999985</v>
      </c>
      <c r="AO27" s="2">
        <v>2150291.9999999986</v>
      </c>
      <c r="AP27" s="39">
        <f t="shared" si="3"/>
        <v>165.71185927347904</v>
      </c>
      <c r="AQ27" s="6"/>
    </row>
    <row r="28" spans="1:43">
      <c r="A28" s="33"/>
      <c r="B28" s="58">
        <v>17</v>
      </c>
      <c r="C28" s="150">
        <v>4</v>
      </c>
      <c r="D28" s="152">
        <v>62</v>
      </c>
      <c r="E28" s="106">
        <v>10759.999999999991</v>
      </c>
      <c r="F28" s="2">
        <v>11702242.43999999</v>
      </c>
      <c r="G28" s="35">
        <v>2279.9999999999727</v>
      </c>
      <c r="H28" s="2">
        <v>3719485.9799999557</v>
      </c>
      <c r="I28" s="103">
        <f t="shared" si="4"/>
        <v>15421728.419999946</v>
      </c>
      <c r="J28" s="106">
        <v>1300.0000000000114</v>
      </c>
      <c r="K28" s="2">
        <v>1413839.7000000123</v>
      </c>
      <c r="L28" s="187">
        <v>359.99999999999943</v>
      </c>
      <c r="M28" s="188">
        <v>587287.25999999908</v>
      </c>
      <c r="N28" s="94">
        <f t="shared" si="5"/>
        <v>2001126.9600000114</v>
      </c>
      <c r="O28" s="108">
        <f t="shared" si="6"/>
        <v>17422855.379999958</v>
      </c>
      <c r="P28" s="111">
        <f t="shared" si="7"/>
        <v>14699.999999999975</v>
      </c>
      <c r="Q28" s="192" t="s">
        <v>53</v>
      </c>
      <c r="R28" s="192" t="s">
        <v>53</v>
      </c>
      <c r="S28" s="207"/>
      <c r="T28" s="193"/>
      <c r="U28" s="216"/>
      <c r="V28" s="213">
        <v>0</v>
      </c>
      <c r="W28" s="249"/>
      <c r="X28" s="249"/>
      <c r="Y28" s="249"/>
      <c r="Z28" s="189">
        <f t="shared" si="8"/>
        <v>964</v>
      </c>
      <c r="AA28" s="2">
        <v>427</v>
      </c>
      <c r="AB28" s="2">
        <v>7679654.91701297</v>
      </c>
      <c r="AC28" s="31">
        <v>537</v>
      </c>
      <c r="AD28" s="31">
        <v>2552144.6335159084</v>
      </c>
      <c r="AE28" s="31">
        <f t="shared" si="0"/>
        <v>10231799.550528878</v>
      </c>
      <c r="AF28" s="128">
        <f t="shared" si="1"/>
        <v>788.5117589758454</v>
      </c>
      <c r="AG28" s="134">
        <v>0</v>
      </c>
      <c r="AH28" s="2">
        <v>0</v>
      </c>
      <c r="AI28" s="2">
        <v>50</v>
      </c>
      <c r="AJ28" s="2">
        <v>12</v>
      </c>
      <c r="AK28" s="2">
        <f t="shared" si="9"/>
        <v>62</v>
      </c>
      <c r="AL28" s="2">
        <v>687861.48</v>
      </c>
      <c r="AM28" s="43">
        <f t="shared" si="2"/>
        <v>53.009919012583914</v>
      </c>
      <c r="AN28" s="143">
        <v>215.1200000000008</v>
      </c>
      <c r="AO28" s="2">
        <v>1871544.000000007</v>
      </c>
      <c r="AP28" s="39">
        <f t="shared" si="3"/>
        <v>144.2301956906901</v>
      </c>
      <c r="AQ28" s="6"/>
    </row>
    <row r="29" spans="1:43">
      <c r="A29" s="33"/>
      <c r="B29" s="58">
        <v>18</v>
      </c>
      <c r="C29" s="150">
        <v>6</v>
      </c>
      <c r="D29" s="152">
        <v>61</v>
      </c>
      <c r="E29" s="106">
        <v>10599.999999999909</v>
      </c>
      <c r="F29" s="2">
        <v>11528231.399999902</v>
      </c>
      <c r="G29" s="35">
        <v>2160.000000000025</v>
      </c>
      <c r="H29" s="2">
        <v>3523723.560000041</v>
      </c>
      <c r="I29" s="103">
        <f t="shared" si="4"/>
        <v>15051954.959999943</v>
      </c>
      <c r="J29" s="106">
        <v>1359.9999999999852</v>
      </c>
      <c r="K29" s="2">
        <v>1479093.839999984</v>
      </c>
      <c r="L29" s="187">
        <v>399.99999999999858</v>
      </c>
      <c r="M29" s="188">
        <v>652541.39999999769</v>
      </c>
      <c r="N29" s="94">
        <f t="shared" si="5"/>
        <v>2131635.2399999816</v>
      </c>
      <c r="O29" s="108">
        <f t="shared" si="6"/>
        <v>17183590.199999925</v>
      </c>
      <c r="P29" s="111">
        <f t="shared" si="7"/>
        <v>14519.999999999918</v>
      </c>
      <c r="Q29" s="195" t="s">
        <v>54</v>
      </c>
      <c r="R29" s="195" t="s">
        <v>54</v>
      </c>
      <c r="S29" s="208"/>
      <c r="T29" s="193"/>
      <c r="U29" s="216"/>
      <c r="V29" s="213">
        <v>0</v>
      </c>
      <c r="W29" s="249"/>
      <c r="X29" s="249"/>
      <c r="Y29" s="249"/>
      <c r="Z29" s="189">
        <f t="shared" si="8"/>
        <v>970</v>
      </c>
      <c r="AA29" s="2">
        <v>430</v>
      </c>
      <c r="AB29" s="2">
        <v>7733610.3379755905</v>
      </c>
      <c r="AC29" s="31">
        <v>540</v>
      </c>
      <c r="AD29" s="31">
        <v>2566402.4247646006</v>
      </c>
      <c r="AE29" s="31">
        <f t="shared" si="0"/>
        <v>10300012.762740191</v>
      </c>
      <c r="AF29" s="128">
        <f t="shared" si="1"/>
        <v>793.76859768545</v>
      </c>
      <c r="AG29" s="134">
        <v>0</v>
      </c>
      <c r="AH29" s="2">
        <v>0</v>
      </c>
      <c r="AI29" s="2">
        <v>50</v>
      </c>
      <c r="AJ29" s="2">
        <v>12</v>
      </c>
      <c r="AK29" s="2">
        <f t="shared" si="9"/>
        <v>62</v>
      </c>
      <c r="AL29" s="2">
        <v>687861.48</v>
      </c>
      <c r="AM29" s="43">
        <f t="shared" si="2"/>
        <v>53.009919012583914</v>
      </c>
      <c r="AN29" s="143">
        <v>91.219999999999345</v>
      </c>
      <c r="AO29" s="2">
        <v>793613.9999999943</v>
      </c>
      <c r="AP29" s="39">
        <f t="shared" si="3"/>
        <v>61.159717603684491</v>
      </c>
      <c r="AQ29" s="6"/>
    </row>
    <row r="30" spans="1:43">
      <c r="A30" s="33"/>
      <c r="B30" s="58">
        <v>19</v>
      </c>
      <c r="C30" s="150">
        <v>4</v>
      </c>
      <c r="D30" s="152">
        <v>40</v>
      </c>
      <c r="E30" s="106">
        <v>10800.000000000182</v>
      </c>
      <c r="F30" s="2">
        <v>11745745.200000199</v>
      </c>
      <c r="G30" s="35">
        <v>1839.999999999975</v>
      </c>
      <c r="H30" s="2">
        <v>3001690.4399999594</v>
      </c>
      <c r="I30" s="103">
        <f t="shared" si="4"/>
        <v>14747435.640000157</v>
      </c>
      <c r="J30" s="106">
        <v>1500</v>
      </c>
      <c r="K30" s="2">
        <v>1631353.5</v>
      </c>
      <c r="L30" s="187">
        <v>359.99999999999943</v>
      </c>
      <c r="M30" s="188">
        <v>587287.25999999908</v>
      </c>
      <c r="N30" s="94">
        <f t="shared" si="5"/>
        <v>2218640.7599999988</v>
      </c>
      <c r="O30" s="108">
        <f t="shared" si="6"/>
        <v>16966076.400000155</v>
      </c>
      <c r="P30" s="111">
        <f t="shared" si="7"/>
        <v>14500.000000000156</v>
      </c>
      <c r="Q30" s="192"/>
      <c r="R30" s="192"/>
      <c r="S30" s="207"/>
      <c r="T30" s="193"/>
      <c r="U30" s="216"/>
      <c r="V30" s="213">
        <v>0</v>
      </c>
      <c r="W30" s="249"/>
      <c r="X30" s="249"/>
      <c r="Y30" s="249"/>
      <c r="Z30" s="189">
        <f t="shared" si="8"/>
        <v>935</v>
      </c>
      <c r="AA30" s="2">
        <v>493</v>
      </c>
      <c r="AB30" s="2">
        <v>8866674.1781906188</v>
      </c>
      <c r="AC30" s="31">
        <v>442</v>
      </c>
      <c r="AD30" s="31">
        <v>2100647.9106406546</v>
      </c>
      <c r="AE30" s="31">
        <f t="shared" si="0"/>
        <v>10967322.088831274</v>
      </c>
      <c r="AF30" s="128">
        <f t="shared" si="1"/>
        <v>845.1946687200284</v>
      </c>
      <c r="AG30" s="134">
        <v>0</v>
      </c>
      <c r="AH30" s="2">
        <v>0</v>
      </c>
      <c r="AI30" s="2">
        <v>50</v>
      </c>
      <c r="AJ30" s="2">
        <v>12</v>
      </c>
      <c r="AK30" s="2">
        <f t="shared" si="9"/>
        <v>62</v>
      </c>
      <c r="AL30" s="2">
        <v>687861.48</v>
      </c>
      <c r="AM30" s="43">
        <f t="shared" si="2"/>
        <v>53.009919012583914</v>
      </c>
      <c r="AN30" s="143">
        <v>135.39000000000124</v>
      </c>
      <c r="AO30" s="2">
        <v>1177893.0000000107</v>
      </c>
      <c r="AP30" s="39">
        <f t="shared" si="3"/>
        <v>90.774108379335431</v>
      </c>
      <c r="AQ30" s="6"/>
    </row>
    <row r="31" spans="1:43">
      <c r="A31" s="33"/>
      <c r="B31" s="58">
        <v>20</v>
      </c>
      <c r="C31" s="150">
        <v>3</v>
      </c>
      <c r="D31" s="152">
        <v>42</v>
      </c>
      <c r="E31" s="106">
        <v>10599.999999999909</v>
      </c>
      <c r="F31" s="2">
        <v>11528231.399999902</v>
      </c>
      <c r="G31" s="35">
        <v>2439.9999999999977</v>
      </c>
      <c r="H31" s="2">
        <v>3980502.5399999968</v>
      </c>
      <c r="I31" s="103">
        <f t="shared" si="4"/>
        <v>15508733.939999899</v>
      </c>
      <c r="J31" s="106">
        <v>1360.0000000000136</v>
      </c>
      <c r="K31" s="2">
        <v>1479093.8400000148</v>
      </c>
      <c r="L31" s="187">
        <v>320.00000000000028</v>
      </c>
      <c r="M31" s="188">
        <v>522033.1200000004</v>
      </c>
      <c r="N31" s="94">
        <f t="shared" si="5"/>
        <v>2001126.9600000151</v>
      </c>
      <c r="O31" s="108">
        <f t="shared" si="6"/>
        <v>17509860.899999913</v>
      </c>
      <c r="P31" s="111">
        <f t="shared" si="7"/>
        <v>14719.99999999992</v>
      </c>
      <c r="Q31" s="195"/>
      <c r="R31" s="195"/>
      <c r="S31" s="208"/>
      <c r="T31" s="193"/>
      <c r="U31" s="216"/>
      <c r="V31" s="213">
        <v>0</v>
      </c>
      <c r="W31" s="249"/>
      <c r="X31" s="249"/>
      <c r="Y31" s="249"/>
      <c r="Z31" s="189">
        <f t="shared" si="8"/>
        <v>921</v>
      </c>
      <c r="AA31" s="2">
        <v>465</v>
      </c>
      <c r="AB31" s="2">
        <v>8363090.2492061621</v>
      </c>
      <c r="AC31" s="31">
        <v>456</v>
      </c>
      <c r="AD31" s="31">
        <v>2167184.2698012185</v>
      </c>
      <c r="AE31" s="31">
        <f t="shared" si="0"/>
        <v>10530274.519007381</v>
      </c>
      <c r="AF31" s="128">
        <f t="shared" si="1"/>
        <v>811.51367777253245</v>
      </c>
      <c r="AG31" s="134">
        <v>0</v>
      </c>
      <c r="AH31" s="2">
        <v>0</v>
      </c>
      <c r="AI31" s="2">
        <v>50</v>
      </c>
      <c r="AJ31" s="2">
        <v>12</v>
      </c>
      <c r="AK31" s="2">
        <f t="shared" si="9"/>
        <v>62</v>
      </c>
      <c r="AL31" s="2">
        <v>687861.48</v>
      </c>
      <c r="AM31" s="43">
        <f t="shared" si="2"/>
        <v>53.009919012583914</v>
      </c>
      <c r="AN31" s="143">
        <v>153</v>
      </c>
      <c r="AO31" s="2">
        <v>1331100</v>
      </c>
      <c r="AP31" s="39">
        <f t="shared" si="3"/>
        <v>102.58097778298394</v>
      </c>
      <c r="AQ31" s="6"/>
    </row>
    <row r="32" spans="1:43">
      <c r="A32" s="33"/>
      <c r="B32" s="58">
        <v>21</v>
      </c>
      <c r="C32" s="150">
        <v>3</v>
      </c>
      <c r="D32" s="152">
        <v>38</v>
      </c>
      <c r="E32" s="106">
        <v>10400.000000000091</v>
      </c>
      <c r="F32" s="2">
        <v>11310717.600000098</v>
      </c>
      <c r="G32" s="35">
        <v>2160.000000000025</v>
      </c>
      <c r="H32" s="2">
        <v>3523723.560000041</v>
      </c>
      <c r="I32" s="103">
        <f t="shared" si="4"/>
        <v>14834441.16000014</v>
      </c>
      <c r="J32" s="106">
        <v>1239.9999999999807</v>
      </c>
      <c r="K32" s="2">
        <v>1348585.5599999789</v>
      </c>
      <c r="L32" s="187">
        <v>320.00000000000028</v>
      </c>
      <c r="M32" s="188">
        <v>522033.1200000004</v>
      </c>
      <c r="N32" s="94">
        <f>+K32+M32</f>
        <v>1870618.6799999792</v>
      </c>
      <c r="O32" s="108">
        <f t="shared" si="6"/>
        <v>16705059.840000119</v>
      </c>
      <c r="P32" s="111">
        <f t="shared" si="7"/>
        <v>14120.000000000096</v>
      </c>
      <c r="Q32" s="192"/>
      <c r="R32" s="206"/>
      <c r="S32" s="243"/>
      <c r="T32" s="193"/>
      <c r="U32" s="216"/>
      <c r="V32" s="213">
        <v>0</v>
      </c>
      <c r="W32" s="249"/>
      <c r="X32" s="249"/>
      <c r="Y32" s="249"/>
      <c r="Z32" s="189">
        <f t="shared" si="8"/>
        <v>990</v>
      </c>
      <c r="AA32" s="2">
        <v>457</v>
      </c>
      <c r="AB32" s="2">
        <v>8219209.1266391743</v>
      </c>
      <c r="AC32" s="31">
        <v>533</v>
      </c>
      <c r="AD32" s="31">
        <v>2533134.2451843186</v>
      </c>
      <c r="AE32" s="31">
        <f t="shared" si="0"/>
        <v>10752343.371823493</v>
      </c>
      <c r="AF32" s="128">
        <f t="shared" si="1"/>
        <v>828.62737325523278</v>
      </c>
      <c r="AG32" s="134">
        <v>0</v>
      </c>
      <c r="AH32" s="2">
        <v>0</v>
      </c>
      <c r="AI32" s="2">
        <v>50</v>
      </c>
      <c r="AJ32" s="2">
        <v>12</v>
      </c>
      <c r="AK32" s="2">
        <f t="shared" si="9"/>
        <v>62</v>
      </c>
      <c r="AL32" s="2">
        <v>687861.48</v>
      </c>
      <c r="AM32" s="43">
        <f t="shared" si="2"/>
        <v>53.009919012583914</v>
      </c>
      <c r="AN32" s="143">
        <v>172.76000000000022</v>
      </c>
      <c r="AO32" s="2">
        <v>1503012.0000000019</v>
      </c>
      <c r="AP32" s="39">
        <f t="shared" si="3"/>
        <v>115.8293445868518</v>
      </c>
      <c r="AQ32" s="6"/>
    </row>
    <row r="33" spans="1:43">
      <c r="A33" s="33"/>
      <c r="B33" s="58">
        <v>22</v>
      </c>
      <c r="C33" s="150">
        <v>7</v>
      </c>
      <c r="D33" s="152">
        <v>104</v>
      </c>
      <c r="E33" s="106">
        <v>10679.999999999836</v>
      </c>
      <c r="F33" s="2">
        <v>11615236.919999823</v>
      </c>
      <c r="G33" s="35">
        <v>2159.9999999999682</v>
      </c>
      <c r="H33" s="2">
        <v>3523723.5599999484</v>
      </c>
      <c r="I33" s="103">
        <f t="shared" si="4"/>
        <v>15138960.479999771</v>
      </c>
      <c r="J33" s="106">
        <v>1219.9999999999989</v>
      </c>
      <c r="K33" s="2">
        <v>1326834.1799999988</v>
      </c>
      <c r="L33" s="187">
        <v>340.00000000000341</v>
      </c>
      <c r="M33" s="188">
        <v>554660.19000000553</v>
      </c>
      <c r="N33" s="94">
        <f t="shared" si="5"/>
        <v>1881494.3700000043</v>
      </c>
      <c r="O33" s="108">
        <f t="shared" si="6"/>
        <v>17020454.849999774</v>
      </c>
      <c r="P33" s="111">
        <f t="shared" si="7"/>
        <v>14399.999999999807</v>
      </c>
      <c r="Q33" s="192"/>
      <c r="R33" s="207"/>
      <c r="S33" s="207"/>
      <c r="T33" s="193"/>
      <c r="U33" s="216"/>
      <c r="V33" s="213">
        <v>0</v>
      </c>
      <c r="W33" s="249"/>
      <c r="X33" s="249"/>
      <c r="Y33" s="249"/>
      <c r="Z33" s="189">
        <f t="shared" si="8"/>
        <v>961</v>
      </c>
      <c r="AA33" s="2">
        <v>459</v>
      </c>
      <c r="AB33" s="2">
        <v>8255179.407280921</v>
      </c>
      <c r="AC33" s="31">
        <v>502</v>
      </c>
      <c r="AD33" s="31">
        <v>2385803.7356144991</v>
      </c>
      <c r="AE33" s="31">
        <f t="shared" si="0"/>
        <v>10640983.142895419</v>
      </c>
      <c r="AF33" s="128">
        <f t="shared" si="1"/>
        <v>820.04541760233008</v>
      </c>
      <c r="AG33" s="134">
        <v>0</v>
      </c>
      <c r="AH33" s="2">
        <v>0</v>
      </c>
      <c r="AI33" s="2">
        <v>100</v>
      </c>
      <c r="AJ33" s="2">
        <v>12</v>
      </c>
      <c r="AK33" s="2">
        <f t="shared" si="9"/>
        <v>112</v>
      </c>
      <c r="AL33" s="2">
        <v>1242588.48</v>
      </c>
      <c r="AM33" s="43">
        <f t="shared" si="2"/>
        <v>95.759853700151581</v>
      </c>
      <c r="AN33" s="143">
        <v>230.69999999999891</v>
      </c>
      <c r="AO33" s="2">
        <v>2007089.9999999905</v>
      </c>
      <c r="AP33" s="39">
        <f t="shared" si="3"/>
        <v>154.67602336296915</v>
      </c>
      <c r="AQ33" s="6"/>
    </row>
    <row r="34" spans="1:43">
      <c r="A34" s="33"/>
      <c r="B34" s="58">
        <v>23</v>
      </c>
      <c r="C34" s="150">
        <v>12</v>
      </c>
      <c r="D34" s="152">
        <v>89</v>
      </c>
      <c r="E34" s="106">
        <v>10279.999999999973</v>
      </c>
      <c r="F34" s="2">
        <v>11180209.31999997</v>
      </c>
      <c r="G34" s="35">
        <v>2240.0000000000091</v>
      </c>
      <c r="H34" s="2">
        <v>3654231.8400000152</v>
      </c>
      <c r="I34" s="103">
        <f t="shared" si="4"/>
        <v>14834441.159999985</v>
      </c>
      <c r="J34" s="106">
        <v>1240.0000000000091</v>
      </c>
      <c r="K34" s="2">
        <v>1348585.5600000101</v>
      </c>
      <c r="L34" s="187">
        <v>339.99999999999631</v>
      </c>
      <c r="M34" s="188">
        <v>554660.18999999401</v>
      </c>
      <c r="N34" s="94">
        <f t="shared" si="5"/>
        <v>1903245.7500000042</v>
      </c>
      <c r="O34" s="108">
        <f t="shared" si="6"/>
        <v>16737686.909999989</v>
      </c>
      <c r="P34" s="111">
        <f t="shared" si="7"/>
        <v>14099.999999999987</v>
      </c>
      <c r="Q34" s="195"/>
      <c r="R34" s="208"/>
      <c r="S34" s="208"/>
      <c r="T34" s="193"/>
      <c r="U34" s="216"/>
      <c r="V34" s="213">
        <v>0</v>
      </c>
      <c r="W34" s="249"/>
      <c r="X34" s="249"/>
      <c r="Y34" s="249"/>
      <c r="Z34" s="189">
        <f t="shared" si="8"/>
        <v>980</v>
      </c>
      <c r="AA34" s="2">
        <v>450</v>
      </c>
      <c r="AB34" s="2">
        <v>8093313.1443930594</v>
      </c>
      <c r="AC34" s="31">
        <v>530</v>
      </c>
      <c r="AD34" s="31">
        <v>2518876.4539356264</v>
      </c>
      <c r="AE34" s="31">
        <f t="shared" si="0"/>
        <v>10612189.598328685</v>
      </c>
      <c r="AF34" s="128">
        <f t="shared" si="1"/>
        <v>817.82644836223278</v>
      </c>
      <c r="AG34" s="134">
        <v>0</v>
      </c>
      <c r="AH34" s="2">
        <v>0</v>
      </c>
      <c r="AI34" s="2">
        <v>100</v>
      </c>
      <c r="AJ34" s="2">
        <v>12</v>
      </c>
      <c r="AK34" s="2">
        <f t="shared" si="9"/>
        <v>112</v>
      </c>
      <c r="AL34" s="2">
        <v>1242588.48</v>
      </c>
      <c r="AM34" s="43">
        <f t="shared" si="2"/>
        <v>95.759853700151581</v>
      </c>
      <c r="AN34" s="143">
        <v>229.96999999999935</v>
      </c>
      <c r="AO34" s="2">
        <v>2000738.9999999944</v>
      </c>
      <c r="AP34" s="39">
        <f t="shared" si="3"/>
        <v>154.18658471080229</v>
      </c>
      <c r="AQ34" s="6"/>
    </row>
    <row r="35" spans="1:43">
      <c r="A35" s="33"/>
      <c r="B35" s="58">
        <v>24</v>
      </c>
      <c r="C35" s="150">
        <v>14</v>
      </c>
      <c r="D35" s="152">
        <v>139</v>
      </c>
      <c r="E35" s="106">
        <v>11000</v>
      </c>
      <c r="F35" s="2">
        <v>11963259</v>
      </c>
      <c r="G35" s="35">
        <v>2360.0000000000136</v>
      </c>
      <c r="H35" s="2">
        <v>3849994.2600000221</v>
      </c>
      <c r="I35" s="103">
        <f t="shared" si="4"/>
        <v>15813253.260000022</v>
      </c>
      <c r="J35" s="106">
        <v>1280.0000000000011</v>
      </c>
      <c r="K35" s="2">
        <v>1392088.3200000012</v>
      </c>
      <c r="L35" s="187">
        <v>340.00000000000341</v>
      </c>
      <c r="M35" s="188">
        <v>554660.19000000553</v>
      </c>
      <c r="N35" s="94">
        <f t="shared" si="5"/>
        <v>1946748.5100000068</v>
      </c>
      <c r="O35" s="108">
        <f t="shared" si="6"/>
        <v>17760001.770000029</v>
      </c>
      <c r="P35" s="111">
        <f t="shared" si="7"/>
        <v>14980.000000000018</v>
      </c>
      <c r="Q35" s="192"/>
      <c r="R35" s="206"/>
      <c r="S35" s="243"/>
      <c r="T35" s="193"/>
      <c r="U35" s="216"/>
      <c r="V35" s="213">
        <v>0</v>
      </c>
      <c r="W35" s="249"/>
      <c r="X35" s="249"/>
      <c r="Y35" s="249"/>
      <c r="Z35" s="189">
        <f t="shared" si="8"/>
        <v>928</v>
      </c>
      <c r="AA35" s="2">
        <v>446</v>
      </c>
      <c r="AB35" s="2">
        <v>8021372.583109566</v>
      </c>
      <c r="AC35" s="31">
        <v>482</v>
      </c>
      <c r="AD35" s="31">
        <v>2290751.7939565508</v>
      </c>
      <c r="AE35" s="31">
        <f t="shared" si="0"/>
        <v>10312124.377066117</v>
      </c>
      <c r="AF35" s="128">
        <f t="shared" si="1"/>
        <v>794.70197702590815</v>
      </c>
      <c r="AG35" s="134">
        <v>0</v>
      </c>
      <c r="AH35" s="2">
        <v>0</v>
      </c>
      <c r="AI35" s="2">
        <v>100</v>
      </c>
      <c r="AJ35" s="2">
        <v>12</v>
      </c>
      <c r="AK35" s="2">
        <f t="shared" si="9"/>
        <v>112</v>
      </c>
      <c r="AL35" s="2">
        <v>1242588.48</v>
      </c>
      <c r="AM35" s="43">
        <f t="shared" si="2"/>
        <v>95.759853700151581</v>
      </c>
      <c r="AN35" s="143">
        <v>96.130000000001019</v>
      </c>
      <c r="AO35" s="2">
        <v>836331.00000000885</v>
      </c>
      <c r="AP35" s="39">
        <f t="shared" si="3"/>
        <v>64.451695387440196</v>
      </c>
      <c r="AQ35" s="6"/>
    </row>
    <row r="36" spans="1:43">
      <c r="A36" s="33"/>
      <c r="B36" s="58">
        <v>25</v>
      </c>
      <c r="C36" s="150">
        <v>6</v>
      </c>
      <c r="D36" s="152">
        <v>144</v>
      </c>
      <c r="E36" s="106">
        <v>11000</v>
      </c>
      <c r="F36" s="2">
        <v>11963259</v>
      </c>
      <c r="G36" s="35">
        <v>2360.0000000000136</v>
      </c>
      <c r="H36" s="2">
        <v>3849994.2600000221</v>
      </c>
      <c r="I36" s="103">
        <f t="shared" si="4"/>
        <v>15813253.260000022</v>
      </c>
      <c r="J36" s="106">
        <v>1400.0000000000057</v>
      </c>
      <c r="K36" s="2">
        <v>1522596.6000000061</v>
      </c>
      <c r="L36" s="187">
        <v>379.99999999999545</v>
      </c>
      <c r="M36" s="188">
        <v>619914.32999999262</v>
      </c>
      <c r="N36" s="94">
        <f t="shared" si="5"/>
        <v>2142510.9299999988</v>
      </c>
      <c r="O36" s="108">
        <f t="shared" si="6"/>
        <v>17955764.19000002</v>
      </c>
      <c r="P36" s="111">
        <f t="shared" si="7"/>
        <v>15140.000000000015</v>
      </c>
      <c r="Q36" s="192"/>
      <c r="R36" s="206"/>
      <c r="S36" s="243"/>
      <c r="T36" s="193"/>
      <c r="U36" s="216"/>
      <c r="V36" s="213">
        <v>0</v>
      </c>
      <c r="W36" s="249"/>
      <c r="X36" s="249"/>
      <c r="Y36" s="249"/>
      <c r="Z36" s="189">
        <f t="shared" si="8"/>
        <v>952</v>
      </c>
      <c r="AA36" s="2">
        <v>467</v>
      </c>
      <c r="AB36" s="2">
        <v>8399060.5298479088</v>
      </c>
      <c r="AC36" s="31">
        <v>485</v>
      </c>
      <c r="AD36" s="31">
        <v>2305009.585205243</v>
      </c>
      <c r="AE36" s="31">
        <f t="shared" si="0"/>
        <v>10704070.115053151</v>
      </c>
      <c r="AF36" s="128">
        <f t="shared" si="1"/>
        <v>824.90720356079146</v>
      </c>
      <c r="AG36" s="134">
        <v>0</v>
      </c>
      <c r="AH36" s="2">
        <v>0</v>
      </c>
      <c r="AI36" s="2">
        <v>100</v>
      </c>
      <c r="AJ36" s="2">
        <v>12</v>
      </c>
      <c r="AK36" s="2">
        <f t="shared" si="9"/>
        <v>112</v>
      </c>
      <c r="AL36" s="2">
        <v>1242588.48</v>
      </c>
      <c r="AM36" s="43">
        <f t="shared" si="2"/>
        <v>95.759853700151581</v>
      </c>
      <c r="AN36" s="143">
        <v>104</v>
      </c>
      <c r="AO36" s="2">
        <v>904800</v>
      </c>
      <c r="AP36" s="39">
        <f t="shared" si="3"/>
        <v>69.728246336145943</v>
      </c>
      <c r="AQ36" s="6"/>
    </row>
    <row r="37" spans="1:43">
      <c r="A37" s="33"/>
      <c r="B37" s="58">
        <v>26</v>
      </c>
      <c r="C37" s="150">
        <v>9</v>
      </c>
      <c r="D37" s="152">
        <v>52</v>
      </c>
      <c r="E37" s="106">
        <v>11360.000000000127</v>
      </c>
      <c r="F37" s="2">
        <v>12354783.840000138</v>
      </c>
      <c r="G37" s="35">
        <v>2399.9999999999773</v>
      </c>
      <c r="H37" s="2">
        <v>3915248.3999999636</v>
      </c>
      <c r="I37" s="103">
        <f t="shared" si="4"/>
        <v>16270032.240000101</v>
      </c>
      <c r="J37" s="106">
        <v>1379.9999999999955</v>
      </c>
      <c r="K37" s="2">
        <v>1500845.2199999951</v>
      </c>
      <c r="L37" s="187">
        <v>340.00000000000341</v>
      </c>
      <c r="M37" s="188">
        <v>554660.19000000553</v>
      </c>
      <c r="N37" s="94">
        <f t="shared" si="5"/>
        <v>2055505.4100000006</v>
      </c>
      <c r="O37" s="108">
        <f t="shared" si="6"/>
        <v>18325537.650000103</v>
      </c>
      <c r="P37" s="111">
        <f t="shared" si="7"/>
        <v>15480.000000000104</v>
      </c>
      <c r="Q37" s="192"/>
      <c r="R37" s="206"/>
      <c r="S37" s="243"/>
      <c r="T37" s="193"/>
      <c r="U37" s="216"/>
      <c r="V37" s="213">
        <v>0</v>
      </c>
      <c r="W37" s="249"/>
      <c r="X37" s="249"/>
      <c r="Y37" s="249"/>
      <c r="Z37" s="189">
        <f t="shared" si="8"/>
        <v>1070</v>
      </c>
      <c r="AA37" s="2">
        <v>448</v>
      </c>
      <c r="AB37" s="2">
        <v>8057342.8637513127</v>
      </c>
      <c r="AC37" s="31">
        <v>622</v>
      </c>
      <c r="AD37" s="31">
        <v>2956115.385562188</v>
      </c>
      <c r="AE37" s="31">
        <f t="shared" si="0"/>
        <v>11013458.2493135</v>
      </c>
      <c r="AF37" s="128">
        <f t="shared" si="1"/>
        <v>848.75014348031641</v>
      </c>
      <c r="AG37" s="134">
        <v>0</v>
      </c>
      <c r="AH37" s="2">
        <v>0</v>
      </c>
      <c r="AI37" s="2">
        <v>50</v>
      </c>
      <c r="AJ37" s="2">
        <v>12</v>
      </c>
      <c r="AK37" s="2">
        <f t="shared" si="9"/>
        <v>62</v>
      </c>
      <c r="AL37" s="2">
        <v>687861.48</v>
      </c>
      <c r="AM37" s="43">
        <f t="shared" si="2"/>
        <v>53.009919012583914</v>
      </c>
      <c r="AN37" s="143">
        <v>274</v>
      </c>
      <c r="AO37" s="2">
        <v>2383800</v>
      </c>
      <c r="AP37" s="39">
        <f t="shared" si="3"/>
        <v>183.70711053946141</v>
      </c>
      <c r="AQ37" s="6"/>
    </row>
    <row r="38" spans="1:43">
      <c r="A38" s="33"/>
      <c r="B38" s="58">
        <v>27</v>
      </c>
      <c r="C38" s="150">
        <v>9</v>
      </c>
      <c r="D38" s="152">
        <v>58</v>
      </c>
      <c r="E38" s="106">
        <v>11039.999999999964</v>
      </c>
      <c r="F38" s="2">
        <v>12006761.759999961</v>
      </c>
      <c r="G38" s="35">
        <v>2240.0000000000091</v>
      </c>
      <c r="H38" s="2">
        <v>3654231.8400000152</v>
      </c>
      <c r="I38" s="103">
        <f t="shared" si="4"/>
        <v>15660993.599999975</v>
      </c>
      <c r="J38" s="106">
        <v>1340.0000000000034</v>
      </c>
      <c r="K38" s="2">
        <v>1457342.4600000037</v>
      </c>
      <c r="L38" s="187">
        <v>320.00000000000028</v>
      </c>
      <c r="M38" s="188">
        <v>522033.1200000004</v>
      </c>
      <c r="N38" s="94">
        <f t="shared" si="5"/>
        <v>1979375.580000004</v>
      </c>
      <c r="O38" s="108">
        <f t="shared" si="6"/>
        <v>17640369.179999981</v>
      </c>
      <c r="P38" s="111">
        <f t="shared" si="7"/>
        <v>14939.999999999976</v>
      </c>
      <c r="Q38" s="192"/>
      <c r="R38" s="206"/>
      <c r="S38" s="243"/>
      <c r="T38" s="193"/>
      <c r="U38" s="216"/>
      <c r="V38" s="213">
        <v>0</v>
      </c>
      <c r="W38" s="249"/>
      <c r="X38" s="249"/>
      <c r="Y38" s="249"/>
      <c r="Z38" s="189">
        <f t="shared" si="8"/>
        <v>949</v>
      </c>
      <c r="AA38" s="2">
        <v>497</v>
      </c>
      <c r="AB38" s="2">
        <v>8938614.7394741122</v>
      </c>
      <c r="AC38" s="31">
        <v>452</v>
      </c>
      <c r="AD38" s="31">
        <v>2148173.8814696288</v>
      </c>
      <c r="AE38" s="31">
        <f t="shared" si="0"/>
        <v>11086788.62094374</v>
      </c>
      <c r="AF38" s="128">
        <f t="shared" si="1"/>
        <v>854.40133514361719</v>
      </c>
      <c r="AG38" s="134">
        <v>0</v>
      </c>
      <c r="AH38" s="2">
        <v>0</v>
      </c>
      <c r="AI38" s="2">
        <v>50</v>
      </c>
      <c r="AJ38" s="2">
        <v>12</v>
      </c>
      <c r="AK38" s="2">
        <f t="shared" si="9"/>
        <v>62</v>
      </c>
      <c r="AL38" s="2">
        <v>687861.48</v>
      </c>
      <c r="AM38" s="43">
        <f t="shared" si="2"/>
        <v>53.009919012583914</v>
      </c>
      <c r="AN38" s="143">
        <v>167.54999999999927</v>
      </c>
      <c r="AO38" s="2">
        <v>1457684.9999999937</v>
      </c>
      <c r="AP38" s="39">
        <f t="shared" si="3"/>
        <v>112.3362276309731</v>
      </c>
      <c r="AQ38" s="6"/>
    </row>
    <row r="39" spans="1:43">
      <c r="A39" s="33"/>
      <c r="B39" s="58">
        <v>28</v>
      </c>
      <c r="C39" s="150">
        <v>3</v>
      </c>
      <c r="D39" s="152">
        <v>47</v>
      </c>
      <c r="E39" s="106">
        <v>10799.999999999955</v>
      </c>
      <c r="F39" s="2">
        <v>11745745.199999951</v>
      </c>
      <c r="G39" s="35">
        <v>2120.0000000000045</v>
      </c>
      <c r="H39" s="2">
        <v>3458469.4200000078</v>
      </c>
      <c r="I39" s="103">
        <f t="shared" si="4"/>
        <v>15204214.619999958</v>
      </c>
      <c r="J39" s="106">
        <v>1199.9999999999886</v>
      </c>
      <c r="K39" s="2">
        <v>1305082.7999999875</v>
      </c>
      <c r="L39" s="187">
        <v>320.00000000000028</v>
      </c>
      <c r="M39" s="188">
        <v>522033.1200000004</v>
      </c>
      <c r="N39" s="94">
        <f t="shared" si="5"/>
        <v>1827115.9199999878</v>
      </c>
      <c r="O39" s="108">
        <f t="shared" si="6"/>
        <v>17031330.539999947</v>
      </c>
      <c r="P39" s="111">
        <f t="shared" si="7"/>
        <v>14439.999999999949</v>
      </c>
      <c r="Q39" s="192"/>
      <c r="R39" s="209"/>
      <c r="S39" s="244"/>
      <c r="T39" s="193"/>
      <c r="U39" s="216"/>
      <c r="V39" s="213">
        <v>0</v>
      </c>
      <c r="W39" s="249"/>
      <c r="X39" s="249"/>
      <c r="Y39" s="249"/>
      <c r="Z39" s="189">
        <f t="shared" si="8"/>
        <v>994</v>
      </c>
      <c r="AA39" s="2">
        <v>436</v>
      </c>
      <c r="AB39" s="2">
        <v>7841521.1799008315</v>
      </c>
      <c r="AC39" s="31">
        <v>558</v>
      </c>
      <c r="AD39" s="31">
        <v>2651949.1722567542</v>
      </c>
      <c r="AE39" s="31">
        <f t="shared" si="0"/>
        <v>10493470.352157585</v>
      </c>
      <c r="AF39" s="128">
        <f t="shared" si="1"/>
        <v>808.67737139289147</v>
      </c>
      <c r="AG39" s="134">
        <v>0</v>
      </c>
      <c r="AH39" s="2">
        <v>0</v>
      </c>
      <c r="AI39" s="2">
        <v>50</v>
      </c>
      <c r="AJ39" s="2">
        <v>12</v>
      </c>
      <c r="AK39" s="2">
        <f t="shared" si="9"/>
        <v>62</v>
      </c>
      <c r="AL39" s="2">
        <v>687861.48</v>
      </c>
      <c r="AM39" s="43">
        <f t="shared" si="2"/>
        <v>53.009919012583914</v>
      </c>
      <c r="AN39" s="143">
        <v>275.67000000000189</v>
      </c>
      <c r="AO39" s="2">
        <v>2398329.0000000163</v>
      </c>
      <c r="AP39" s="39">
        <f t="shared" si="3"/>
        <v>184.82678526428347</v>
      </c>
      <c r="AQ39" s="6"/>
    </row>
    <row r="40" spans="1:43">
      <c r="A40" s="33"/>
      <c r="B40" s="58">
        <v>29</v>
      </c>
      <c r="C40" s="150">
        <v>9</v>
      </c>
      <c r="D40" s="152">
        <v>63</v>
      </c>
      <c r="E40" s="106">
        <v>11320.000000000164</v>
      </c>
      <c r="F40" s="2">
        <v>12311281.080000179</v>
      </c>
      <c r="G40" s="35">
        <v>2399.9999999999773</v>
      </c>
      <c r="H40" s="2">
        <v>3915248.3999999636</v>
      </c>
      <c r="I40" s="103">
        <f t="shared" si="4"/>
        <v>16226529.480000142</v>
      </c>
      <c r="J40" s="106">
        <v>1340.0000000000034</v>
      </c>
      <c r="K40" s="2">
        <v>1457342.4600000037</v>
      </c>
      <c r="L40" s="187">
        <v>339.99999999999631</v>
      </c>
      <c r="M40" s="188">
        <v>554660.18999999401</v>
      </c>
      <c r="N40" s="94">
        <f t="shared" si="5"/>
        <v>2012002.6499999976</v>
      </c>
      <c r="O40" s="108">
        <f t="shared" ref="O40:O41" si="10">N40+I40</f>
        <v>18238532.130000141</v>
      </c>
      <c r="P40" s="111">
        <f t="shared" ref="P40:P41" si="11">L40+J40+G40+E40</f>
        <v>15400.000000000142</v>
      </c>
      <c r="Q40" s="195"/>
      <c r="R40" s="210"/>
      <c r="S40" s="245"/>
      <c r="T40" s="193"/>
      <c r="U40" s="216"/>
      <c r="V40" s="213">
        <v>0</v>
      </c>
      <c r="W40" s="249"/>
      <c r="X40" s="249"/>
      <c r="Y40" s="249"/>
      <c r="Z40" s="189">
        <f t="shared" si="8"/>
        <v>1011</v>
      </c>
      <c r="AA40" s="2">
        <v>402</v>
      </c>
      <c r="AB40" s="2">
        <v>7230026.4089911338</v>
      </c>
      <c r="AC40" s="31">
        <v>609</v>
      </c>
      <c r="AD40" s="31">
        <v>2894331.6234845216</v>
      </c>
      <c r="AE40" s="31">
        <f t="shared" ref="AE40:AE41" si="12">AD40+AB40</f>
        <v>10124358.032475656</v>
      </c>
      <c r="AF40" s="128">
        <f t="shared" ref="AF40:AF41" si="13">AE40/$AP$48</f>
        <v>780.23179805901896</v>
      </c>
      <c r="AG40" s="134">
        <v>0</v>
      </c>
      <c r="AH40" s="2">
        <v>0</v>
      </c>
      <c r="AI40" s="2">
        <v>50</v>
      </c>
      <c r="AJ40" s="2">
        <v>12</v>
      </c>
      <c r="AK40" s="2">
        <f t="shared" si="9"/>
        <v>62</v>
      </c>
      <c r="AL40" s="2">
        <v>687861.48</v>
      </c>
      <c r="AM40" s="43">
        <f t="shared" ref="AM40:AM41" si="14">AL40/$AP$48</f>
        <v>53.009919012583914</v>
      </c>
      <c r="AN40" s="143">
        <v>118.82000000000335</v>
      </c>
      <c r="AO40" s="2">
        <v>1033734.0000000291</v>
      </c>
      <c r="AP40" s="39">
        <f t="shared" si="3"/>
        <v>79.664521439048983</v>
      </c>
      <c r="AQ40" s="6"/>
    </row>
    <row r="41" spans="1:43">
      <c r="A41" s="33"/>
      <c r="B41" s="58">
        <v>30</v>
      </c>
      <c r="C41" s="150">
        <v>7</v>
      </c>
      <c r="D41" s="152">
        <v>84</v>
      </c>
      <c r="E41" s="106">
        <v>11000</v>
      </c>
      <c r="F41" s="2">
        <v>11963259</v>
      </c>
      <c r="G41" s="35">
        <v>2280.0000000000296</v>
      </c>
      <c r="H41" s="2">
        <v>3719485.9800000489</v>
      </c>
      <c r="I41" s="103">
        <f t="shared" si="4"/>
        <v>15682744.980000049</v>
      </c>
      <c r="J41" s="106">
        <v>1280.0000000000011</v>
      </c>
      <c r="K41" s="2">
        <v>1392088.3200000012</v>
      </c>
      <c r="L41" s="187">
        <v>340.00000000000341</v>
      </c>
      <c r="M41" s="188">
        <v>554660.19000000553</v>
      </c>
      <c r="N41" s="94">
        <f t="shared" si="5"/>
        <v>1946748.5100000068</v>
      </c>
      <c r="O41" s="108">
        <f t="shared" si="10"/>
        <v>17629493.490000054</v>
      </c>
      <c r="P41" s="111">
        <f t="shared" si="11"/>
        <v>14900.000000000035</v>
      </c>
      <c r="Q41" s="192"/>
      <c r="R41" s="211"/>
      <c r="S41" s="246"/>
      <c r="T41" s="193"/>
      <c r="U41" s="216"/>
      <c r="V41" s="213">
        <v>0</v>
      </c>
      <c r="W41" s="249"/>
      <c r="X41" s="249"/>
      <c r="Y41" s="249"/>
      <c r="Z41" s="189">
        <f t="shared" si="8"/>
        <v>1053</v>
      </c>
      <c r="AA41" s="2">
        <v>468</v>
      </c>
      <c r="AB41" s="2">
        <v>8417045.6701687817</v>
      </c>
      <c r="AC41" s="31">
        <v>585</v>
      </c>
      <c r="AD41" s="31">
        <v>2780269.293494984</v>
      </c>
      <c r="AE41" s="31">
        <f t="shared" si="12"/>
        <v>11197314.963663766</v>
      </c>
      <c r="AF41" s="128">
        <f t="shared" si="13"/>
        <v>862.91902750857662</v>
      </c>
      <c r="AG41" s="134">
        <v>0</v>
      </c>
      <c r="AH41" s="2">
        <v>0</v>
      </c>
      <c r="AI41" s="2">
        <v>100</v>
      </c>
      <c r="AJ41" s="2">
        <v>12</v>
      </c>
      <c r="AK41" s="2">
        <f>+AI41+AJ41</f>
        <v>112</v>
      </c>
      <c r="AL41" s="2">
        <v>1242588.48</v>
      </c>
      <c r="AM41" s="43">
        <f t="shared" si="14"/>
        <v>95.759853700151581</v>
      </c>
      <c r="AN41" s="143">
        <v>159.05999999999403</v>
      </c>
      <c r="AO41" s="2">
        <v>1383821.9999999481</v>
      </c>
      <c r="AP41" s="39">
        <f t="shared" si="3"/>
        <v>106.64398905987458</v>
      </c>
      <c r="AQ41" s="6"/>
    </row>
    <row r="42" spans="1:43">
      <c r="A42" s="33"/>
      <c r="B42" s="58"/>
      <c r="C42" s="176"/>
      <c r="D42" s="177"/>
      <c r="E42" s="106"/>
      <c r="F42" s="2"/>
      <c r="G42" s="35"/>
      <c r="H42" s="2"/>
      <c r="I42" s="103"/>
      <c r="J42" s="106"/>
      <c r="K42" s="2"/>
      <c r="L42" s="187"/>
      <c r="M42" s="188"/>
      <c r="N42" s="94"/>
      <c r="O42" s="108"/>
      <c r="P42" s="111"/>
      <c r="Q42" s="192"/>
      <c r="R42" s="211"/>
      <c r="S42" s="246"/>
      <c r="T42" s="193"/>
      <c r="U42" s="216"/>
      <c r="V42" s="213"/>
      <c r="W42" s="249"/>
      <c r="X42" s="249"/>
      <c r="Y42" s="249"/>
      <c r="Z42" s="189"/>
      <c r="AA42" s="2"/>
      <c r="AB42" s="2"/>
      <c r="AC42" s="31"/>
      <c r="AD42" s="31"/>
      <c r="AE42" s="31"/>
      <c r="AF42" s="128"/>
      <c r="AG42" s="134"/>
      <c r="AH42" s="2"/>
      <c r="AI42" s="2"/>
      <c r="AJ42" s="2"/>
      <c r="AK42" s="2"/>
      <c r="AL42" s="2"/>
      <c r="AM42" s="43"/>
      <c r="AN42" s="143"/>
      <c r="AO42" s="2"/>
      <c r="AP42" s="39"/>
      <c r="AQ42" s="6"/>
    </row>
    <row r="43" spans="1:43" ht="16.5" thickBot="1">
      <c r="A43" s="33"/>
      <c r="B43" s="122"/>
      <c r="C43" s="151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8"/>
      <c r="R43" s="212"/>
      <c r="S43" s="247"/>
      <c r="T43" s="194"/>
      <c r="U43" s="217"/>
      <c r="V43" s="214"/>
      <c r="W43" s="250"/>
      <c r="X43" s="250"/>
      <c r="Y43" s="250"/>
      <c r="Z43" s="189"/>
      <c r="AA43" s="2"/>
      <c r="AB43" s="2"/>
      <c r="AC43" s="31"/>
      <c r="AD43" s="31"/>
      <c r="AE43" s="16"/>
      <c r="AF43" s="129"/>
      <c r="AG43" s="127"/>
      <c r="AH43" s="2"/>
      <c r="AI43" s="1"/>
      <c r="AJ43" s="1"/>
      <c r="AK43" s="1"/>
      <c r="AL43" s="2"/>
      <c r="AM43" s="43"/>
      <c r="AN43" s="143"/>
      <c r="AO43" s="2"/>
      <c r="AP43" s="39"/>
      <c r="AQ43" s="6"/>
    </row>
    <row r="44" spans="1:43" s="7" customFormat="1" ht="4.5" customHeight="1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86"/>
      <c r="T44" s="6"/>
      <c r="V44" s="32"/>
      <c r="Z44" s="130"/>
      <c r="AF44" s="32"/>
      <c r="AH44" s="6"/>
      <c r="AN44" s="86"/>
      <c r="AP44" s="32"/>
    </row>
    <row r="45" spans="1:43" s="7" customFormat="1" ht="6" customHeight="1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86"/>
      <c r="T45" s="14"/>
      <c r="U45" s="14"/>
      <c r="V45" s="32"/>
      <c r="Z45" s="130"/>
      <c r="AF45" s="131"/>
      <c r="AH45" s="6"/>
      <c r="AL45" s="6"/>
      <c r="AN45" s="88"/>
      <c r="AO45" s="4"/>
      <c r="AP45" s="40"/>
    </row>
    <row r="46" spans="1:43" s="7" customFormat="1" ht="16.5" thickBot="1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87"/>
      <c r="T46" s="75"/>
      <c r="U46" s="71"/>
      <c r="V46" s="190"/>
      <c r="W46" s="75"/>
      <c r="X46" s="75"/>
      <c r="Y46" s="75"/>
      <c r="Z46" s="132"/>
      <c r="AA46" s="77"/>
      <c r="AB46" s="71"/>
      <c r="AC46" s="71"/>
      <c r="AD46" s="71"/>
      <c r="AE46" s="71"/>
      <c r="AF46" s="76"/>
      <c r="AG46" s="78"/>
      <c r="AH46" s="72"/>
      <c r="AI46" s="78"/>
      <c r="AJ46" s="78"/>
      <c r="AK46" s="78"/>
      <c r="AL46" s="72"/>
      <c r="AM46" s="71"/>
      <c r="AN46" s="144"/>
      <c r="AO46" s="79"/>
      <c r="AP46" s="80"/>
    </row>
    <row r="47" spans="1:43" ht="17.25" thickTop="1" thickBot="1">
      <c r="A47" s="25"/>
      <c r="B47" s="69"/>
      <c r="C47" s="70">
        <f>SUM(C12:C43)</f>
        <v>201</v>
      </c>
      <c r="D47" s="70">
        <f>SUM(D12:D43)</f>
        <v>2243</v>
      </c>
      <c r="E47" s="70">
        <f>SUM(E12:E43)</f>
        <v>326040.00000000017</v>
      </c>
      <c r="F47" s="70">
        <f>SUM(F12:F43)</f>
        <v>354590996.76000023</v>
      </c>
      <c r="G47" s="70">
        <f>SUM(G12:G43)</f>
        <v>67800</v>
      </c>
      <c r="H47" s="70">
        <f t="shared" ref="H47:O47" si="15">SUM(H12:H43)</f>
        <v>110605767.30000003</v>
      </c>
      <c r="I47" s="70">
        <f t="shared" si="15"/>
        <v>465196764.0600003</v>
      </c>
      <c r="J47" s="70">
        <f t="shared" si="15"/>
        <v>41819.999999999985</v>
      </c>
      <c r="K47" s="70">
        <f t="shared" si="15"/>
        <v>45482135.579999998</v>
      </c>
      <c r="L47" s="70">
        <f t="shared" si="15"/>
        <v>10800.000000000004</v>
      </c>
      <c r="M47" s="70">
        <f t="shared" si="15"/>
        <v>17618617.800000012</v>
      </c>
      <c r="N47" s="70">
        <f t="shared" si="15"/>
        <v>63100753.379999995</v>
      </c>
      <c r="O47" s="70">
        <f t="shared" si="15"/>
        <v>528297517.44000024</v>
      </c>
      <c r="P47" s="82">
        <f>SUM(P12:P43)</f>
        <v>446460.00000000029</v>
      </c>
      <c r="Q47" s="191">
        <f>'Residence Electricity April 21'!D28</f>
        <v>45671</v>
      </c>
      <c r="R47" s="123">
        <f>'Residence Electricity April 21'!D29</f>
        <v>77236734</v>
      </c>
      <c r="S47" s="123"/>
      <c r="T47" s="115">
        <f>Q47+P47</f>
        <v>492131.00000000029</v>
      </c>
      <c r="U47" s="115">
        <f>R47+O47</f>
        <v>605534251.4400003</v>
      </c>
      <c r="V47" s="137">
        <f>U47/AP48</f>
        <v>46665.386217265775</v>
      </c>
      <c r="W47" s="251"/>
      <c r="X47" s="251"/>
      <c r="Y47" s="251"/>
      <c r="Z47" s="179">
        <f>SUM(Z12:Z42)</f>
        <v>29357</v>
      </c>
      <c r="AA47" s="52">
        <f>SUM(AA12:AA42)</f>
        <v>13108</v>
      </c>
      <c r="AB47" s="52">
        <f t="shared" ref="AB47:AD47" si="16">SUM(AB12:AB42)</f>
        <v>235749219.32600942</v>
      </c>
      <c r="AC47" s="52">
        <f t="shared" si="16"/>
        <v>16249</v>
      </c>
      <c r="AD47" s="52">
        <f t="shared" si="16"/>
        <v>77224949.999999985</v>
      </c>
      <c r="AE47" s="136">
        <f>SUM(AE12:AE42)</f>
        <v>312974169.32600939</v>
      </c>
      <c r="AF47" s="124">
        <f>AE47/$AP$48</f>
        <v>24119.297055277006</v>
      </c>
      <c r="AG47" s="44">
        <f>SUM(AG12:AG41)</f>
        <v>0</v>
      </c>
      <c r="AH47" s="138">
        <f>SUM(AH12:AH41)</f>
        <v>0</v>
      </c>
      <c r="AI47" s="44">
        <f>SUM(AI12:AI42)</f>
        <v>2100</v>
      </c>
      <c r="AJ47" s="44">
        <f>SUM(AJ12:AJ42)</f>
        <v>360</v>
      </c>
      <c r="AK47" s="236">
        <f>SUM(AK12:AK42)</f>
        <v>2460</v>
      </c>
      <c r="AL47" s="147">
        <f>SUM(AL12:AL43)</f>
        <v>27292568.40000001</v>
      </c>
      <c r="AM47" s="148">
        <f>AL47/$AP$48</f>
        <v>2103.2967866283302</v>
      </c>
      <c r="AN47" s="235">
        <f>SUM(AN12:AN43)</f>
        <v>5272.0999999999876</v>
      </c>
      <c r="AO47" s="145">
        <f>SUM(AO12:AO43)</f>
        <v>45867269.999999896</v>
      </c>
      <c r="AP47" s="146">
        <f>AO47/AP48</f>
        <v>3534.7527645076366</v>
      </c>
      <c r="AQ47" s="25"/>
    </row>
    <row r="48" spans="1:43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14"/>
      <c r="T48" s="13"/>
      <c r="U48" s="81" t="s">
        <v>55</v>
      </c>
      <c r="V48" s="154">
        <f>V47/T47</f>
        <v>9.4823098356465546E-2</v>
      </c>
      <c r="W48" s="154"/>
      <c r="X48" s="154"/>
      <c r="Y48" s="154"/>
      <c r="Z48" s="196" t="s">
        <v>56</v>
      </c>
      <c r="AA48" s="10"/>
      <c r="AB48" s="10"/>
      <c r="AC48" s="139"/>
      <c r="AD48" s="10"/>
      <c r="AE48" s="10"/>
      <c r="AF48" s="10"/>
      <c r="AG48" s="14"/>
      <c r="AH48" s="6"/>
      <c r="AI48" s="14"/>
      <c r="AJ48" s="14"/>
      <c r="AK48" s="6"/>
      <c r="AL48" s="4"/>
      <c r="AM48" s="10"/>
      <c r="AN48" s="88"/>
      <c r="AO48" s="10"/>
      <c r="AP48" s="149">
        <v>12976.09</v>
      </c>
      <c r="AQ48" s="25"/>
    </row>
    <row r="49" spans="1:43">
      <c r="A49" s="25"/>
      <c r="B49" s="25"/>
      <c r="C49" s="4"/>
      <c r="D49" s="10"/>
      <c r="E49" s="4"/>
      <c r="F49" s="4"/>
      <c r="G49" s="10"/>
      <c r="H49" s="4"/>
      <c r="I49" s="8"/>
      <c r="J49" s="8"/>
      <c r="K49" s="8"/>
      <c r="L49" s="15"/>
      <c r="M49" s="63"/>
      <c r="N49" s="67"/>
      <c r="O49" s="9"/>
      <c r="P49" s="67"/>
      <c r="Q49" s="9"/>
      <c r="R49" s="114"/>
      <c r="S49" s="114"/>
      <c r="T49" s="13"/>
      <c r="U49" s="81"/>
      <c r="V49" s="154"/>
      <c r="W49" s="154"/>
      <c r="X49" s="154"/>
      <c r="Y49" s="154"/>
      <c r="Z49" s="196"/>
      <c r="AA49" s="10"/>
      <c r="AB49" s="10"/>
      <c r="AC49" s="139"/>
      <c r="AD49" s="10"/>
      <c r="AE49" s="10"/>
      <c r="AF49" s="10"/>
      <c r="AG49" s="14"/>
      <c r="AH49" s="6"/>
      <c r="AI49" s="14"/>
      <c r="AJ49" s="14"/>
      <c r="AK49" s="6"/>
      <c r="AL49" s="4"/>
      <c r="AM49" s="10"/>
      <c r="AN49" s="88"/>
      <c r="AO49" s="10"/>
      <c r="AP49" s="149"/>
      <c r="AQ49" s="25"/>
    </row>
    <row r="50" spans="1:43">
      <c r="A50" s="25"/>
      <c r="B50" s="25"/>
      <c r="C50" s="4"/>
      <c r="D50" s="10"/>
      <c r="E50" s="4"/>
      <c r="F50" s="4"/>
      <c r="G50" s="10"/>
      <c r="H50" s="4"/>
      <c r="I50" s="8"/>
      <c r="J50" s="8"/>
      <c r="K50" s="8"/>
      <c r="L50" s="15"/>
      <c r="M50" s="63"/>
      <c r="N50" s="67"/>
      <c r="O50" s="9"/>
      <c r="P50" s="67"/>
      <c r="Q50" s="9"/>
      <c r="R50" s="114"/>
      <c r="S50" s="114"/>
      <c r="T50" s="13"/>
      <c r="U50" s="81"/>
      <c r="V50" s="154"/>
      <c r="W50" s="154"/>
      <c r="X50" s="154"/>
      <c r="Y50" s="154"/>
      <c r="Z50" s="196"/>
      <c r="AA50" s="10"/>
      <c r="AB50" s="10"/>
      <c r="AC50" s="139"/>
      <c r="AD50" s="10"/>
      <c r="AE50" s="10"/>
      <c r="AF50" s="10"/>
      <c r="AG50" s="14"/>
      <c r="AH50" s="6"/>
      <c r="AI50" s="14"/>
      <c r="AJ50" s="14"/>
      <c r="AK50" s="6"/>
      <c r="AL50" s="4"/>
      <c r="AM50" s="10"/>
      <c r="AN50" s="88"/>
      <c r="AO50" s="10"/>
      <c r="AP50" s="149"/>
      <c r="AQ50" s="25"/>
    </row>
    <row r="51" spans="1:43" s="199" customFormat="1">
      <c r="A51" s="197"/>
      <c r="B51" s="197"/>
      <c r="C51" s="198"/>
      <c r="E51" s="198"/>
      <c r="F51" s="198"/>
      <c r="H51" s="198"/>
      <c r="L51" s="198"/>
      <c r="M51" s="200"/>
      <c r="N51" s="201"/>
      <c r="P51" s="201"/>
      <c r="R51" s="202"/>
      <c r="S51" s="202"/>
      <c r="AA51" s="252">
        <f>AA47/Z47</f>
        <v>0.44650338931089689</v>
      </c>
      <c r="AH51" s="198"/>
      <c r="AL51" s="198"/>
      <c r="AN51" s="202"/>
      <c r="AP51" s="203"/>
      <c r="AQ51" s="197"/>
    </row>
    <row r="52" spans="1:43" s="199" customFormat="1">
      <c r="A52" s="197"/>
      <c r="B52" s="197"/>
      <c r="C52" s="198"/>
      <c r="E52" s="198"/>
      <c r="F52" s="198"/>
      <c r="H52" s="198"/>
      <c r="L52" s="198"/>
      <c r="M52" s="200"/>
      <c r="N52" s="201"/>
      <c r="P52" s="201"/>
      <c r="R52" s="202"/>
      <c r="S52" s="202"/>
      <c r="AH52" s="198"/>
      <c r="AL52" s="198"/>
      <c r="AN52" s="202"/>
      <c r="AP52" s="203"/>
      <c r="AQ52" s="197"/>
    </row>
    <row r="53" spans="1:43" s="199" customFormat="1">
      <c r="A53" s="197"/>
      <c r="B53" s="197"/>
      <c r="C53" s="198"/>
      <c r="E53" s="198"/>
      <c r="F53" s="198"/>
      <c r="H53" s="198"/>
      <c r="L53" s="198"/>
      <c r="M53" s="200"/>
      <c r="N53" s="201"/>
      <c r="P53" s="201"/>
      <c r="R53" s="202"/>
      <c r="S53" s="202"/>
      <c r="AH53" s="198"/>
      <c r="AL53" s="198"/>
      <c r="AN53" s="202"/>
      <c r="AP53" s="203"/>
      <c r="AQ53" s="197"/>
    </row>
    <row r="54" spans="1:43" s="199" customFormat="1">
      <c r="A54" s="197"/>
      <c r="B54" s="197"/>
      <c r="C54" s="198"/>
      <c r="E54" s="198"/>
      <c r="F54" s="198"/>
      <c r="H54" s="198"/>
      <c r="L54" s="198"/>
      <c r="M54" s="200"/>
      <c r="N54" s="201"/>
      <c r="P54" s="201"/>
      <c r="R54" s="202"/>
      <c r="S54" s="202"/>
      <c r="AH54" s="198"/>
      <c r="AL54" s="198"/>
      <c r="AN54" s="202"/>
      <c r="AP54" s="203"/>
      <c r="AQ54" s="197"/>
    </row>
    <row r="55" spans="1:43" s="199" customFormat="1">
      <c r="A55" s="197"/>
      <c r="B55" s="197"/>
      <c r="C55" s="198"/>
      <c r="E55" s="198"/>
      <c r="F55" s="198"/>
      <c r="H55" s="198"/>
      <c r="L55" s="198"/>
      <c r="M55" s="200"/>
      <c r="N55" s="201"/>
      <c r="P55" s="201"/>
      <c r="R55" s="202"/>
      <c r="S55" s="202"/>
      <c r="AH55" s="198"/>
      <c r="AL55" s="198"/>
      <c r="AN55" s="202"/>
      <c r="AP55" s="203"/>
      <c r="AQ55" s="197"/>
    </row>
    <row r="56" spans="1:43" s="199" customFormat="1">
      <c r="A56" s="197"/>
      <c r="B56" s="197"/>
      <c r="C56" s="198"/>
      <c r="E56" s="198"/>
      <c r="F56" s="198"/>
      <c r="H56" s="198"/>
      <c r="L56" s="198"/>
      <c r="M56" s="200"/>
      <c r="N56" s="201"/>
      <c r="P56" s="201"/>
      <c r="R56" s="202"/>
      <c r="S56" s="202"/>
      <c r="AH56" s="198"/>
      <c r="AL56" s="198"/>
      <c r="AN56" s="202"/>
      <c r="AP56" s="203"/>
      <c r="AQ56" s="197"/>
    </row>
    <row r="57" spans="1:43" s="199" customFormat="1">
      <c r="A57" s="197"/>
      <c r="B57" s="197"/>
      <c r="C57" s="198"/>
      <c r="E57" s="198"/>
      <c r="F57" s="198"/>
      <c r="H57" s="198"/>
      <c r="L57" s="198"/>
      <c r="M57" s="200"/>
      <c r="N57" s="201"/>
      <c r="P57" s="201"/>
      <c r="R57" s="202"/>
      <c r="S57" s="202"/>
      <c r="AH57" s="198"/>
      <c r="AL57" s="198"/>
      <c r="AN57" s="202"/>
      <c r="AP57" s="203"/>
      <c r="AQ57" s="197"/>
    </row>
    <row r="58" spans="1:43" s="199" customFormat="1">
      <c r="A58" s="197"/>
      <c r="B58" s="197"/>
      <c r="C58" s="198"/>
      <c r="E58" s="198"/>
      <c r="F58" s="198"/>
      <c r="H58" s="198"/>
      <c r="L58" s="198"/>
      <c r="M58" s="200"/>
      <c r="N58" s="201"/>
      <c r="P58" s="201"/>
      <c r="R58" s="202"/>
      <c r="S58" s="202"/>
      <c r="AH58" s="198"/>
      <c r="AL58" s="198"/>
      <c r="AN58" s="202"/>
      <c r="AP58" s="203"/>
      <c r="AQ58" s="197"/>
    </row>
    <row r="59" spans="1:43" s="199" customFormat="1">
      <c r="A59" s="197"/>
      <c r="B59" s="197"/>
      <c r="C59" s="198"/>
      <c r="E59" s="198"/>
      <c r="F59" s="198"/>
      <c r="H59" s="198"/>
      <c r="L59" s="198"/>
      <c r="M59" s="200"/>
      <c r="N59" s="201"/>
      <c r="P59" s="201"/>
      <c r="R59" s="202"/>
      <c r="S59" s="202"/>
      <c r="AH59" s="198"/>
      <c r="AL59" s="198"/>
      <c r="AN59" s="202"/>
      <c r="AP59" s="203"/>
      <c r="AQ59" s="197"/>
    </row>
    <row r="60" spans="1:43" s="199" customFormat="1">
      <c r="A60" s="197"/>
      <c r="B60" s="197"/>
      <c r="C60" s="198"/>
      <c r="E60" s="198"/>
      <c r="F60" s="198"/>
      <c r="H60" s="198"/>
      <c r="L60" s="198"/>
      <c r="M60" s="200"/>
      <c r="N60" s="201"/>
      <c r="P60" s="201"/>
      <c r="R60" s="202"/>
      <c r="S60" s="202"/>
      <c r="AH60" s="198"/>
      <c r="AL60" s="198"/>
      <c r="AN60" s="202"/>
      <c r="AP60" s="203"/>
      <c r="AQ60" s="197"/>
    </row>
    <row r="61" spans="1:43" s="199" customFormat="1">
      <c r="A61" s="197"/>
      <c r="B61" s="197"/>
      <c r="C61" s="198"/>
      <c r="E61" s="198"/>
      <c r="F61" s="198"/>
      <c r="H61" s="198"/>
      <c r="L61" s="198"/>
      <c r="M61" s="200"/>
      <c r="N61" s="201"/>
      <c r="P61" s="201"/>
      <c r="R61" s="202"/>
      <c r="S61" s="202"/>
      <c r="AH61" s="198"/>
      <c r="AL61" s="198"/>
      <c r="AN61" s="202"/>
      <c r="AP61" s="203"/>
      <c r="AQ61" s="197"/>
    </row>
    <row r="62" spans="1:43" s="199" customFormat="1">
      <c r="A62" s="197"/>
      <c r="B62" s="197"/>
      <c r="C62" s="198"/>
      <c r="E62" s="198"/>
      <c r="F62" s="198"/>
      <c r="H62" s="198"/>
      <c r="L62" s="198"/>
      <c r="M62" s="200"/>
      <c r="N62" s="201"/>
      <c r="P62" s="201"/>
      <c r="R62" s="202"/>
      <c r="S62" s="202"/>
      <c r="AH62" s="198"/>
      <c r="AL62" s="198"/>
      <c r="AN62" s="202"/>
      <c r="AP62" s="203"/>
      <c r="AQ62" s="197"/>
    </row>
    <row r="63" spans="1:43" s="199" customFormat="1">
      <c r="A63" s="197"/>
      <c r="B63" s="197"/>
      <c r="C63" s="198"/>
      <c r="E63" s="198"/>
      <c r="F63" s="198"/>
      <c r="H63" s="198"/>
      <c r="L63" s="198"/>
      <c r="M63" s="200"/>
      <c r="N63" s="201"/>
      <c r="P63" s="201"/>
      <c r="R63" s="202"/>
      <c r="S63" s="202"/>
      <c r="AH63" s="198"/>
      <c r="AL63" s="198"/>
      <c r="AN63" s="202"/>
      <c r="AP63" s="203"/>
      <c r="AQ63" s="197"/>
    </row>
    <row r="64" spans="1:43" s="199" customFormat="1">
      <c r="A64" s="197"/>
      <c r="B64" s="197"/>
      <c r="C64" s="198"/>
      <c r="E64" s="198"/>
      <c r="F64" s="198"/>
      <c r="H64" s="198"/>
      <c r="L64" s="198"/>
      <c r="M64" s="200"/>
      <c r="N64" s="201"/>
      <c r="P64" s="201"/>
      <c r="R64" s="202"/>
      <c r="S64" s="202"/>
      <c r="AH64" s="198"/>
      <c r="AL64" s="198"/>
      <c r="AN64" s="202"/>
      <c r="AP64" s="203"/>
      <c r="AQ64" s="197"/>
    </row>
    <row r="65" spans="1:43" s="199" customFormat="1">
      <c r="A65" s="197"/>
      <c r="B65" s="197"/>
      <c r="C65" s="198"/>
      <c r="E65" s="198"/>
      <c r="F65" s="198"/>
      <c r="H65" s="198"/>
      <c r="L65" s="198"/>
      <c r="M65" s="200"/>
      <c r="N65" s="201"/>
      <c r="P65" s="201"/>
      <c r="R65" s="202"/>
      <c r="S65" s="202"/>
      <c r="AH65" s="198"/>
      <c r="AL65" s="198"/>
      <c r="AN65" s="202"/>
      <c r="AP65" s="203"/>
      <c r="AQ65" s="197"/>
    </row>
    <row r="66" spans="1:43" s="199" customFormat="1">
      <c r="A66" s="197"/>
      <c r="B66" s="197"/>
      <c r="C66" s="198"/>
      <c r="E66" s="198"/>
      <c r="F66" s="198"/>
      <c r="H66" s="198"/>
      <c r="L66" s="198"/>
      <c r="M66" s="200"/>
      <c r="N66" s="201"/>
      <c r="P66" s="201"/>
      <c r="R66" s="202"/>
      <c r="S66" s="202"/>
      <c r="AH66" s="198"/>
      <c r="AL66" s="198"/>
      <c r="AN66" s="202"/>
      <c r="AP66" s="203"/>
      <c r="AQ66" s="197"/>
    </row>
    <row r="67" spans="1:43" s="199" customFormat="1">
      <c r="A67" s="197"/>
      <c r="B67" s="197"/>
      <c r="C67" s="198"/>
      <c r="E67" s="198"/>
      <c r="F67" s="198"/>
      <c r="H67" s="198"/>
      <c r="L67" s="198"/>
      <c r="M67" s="200"/>
      <c r="N67" s="201"/>
      <c r="P67" s="201"/>
      <c r="R67" s="202"/>
      <c r="S67" s="202"/>
      <c r="AH67" s="198"/>
      <c r="AL67" s="198"/>
      <c r="AN67" s="202"/>
      <c r="AP67" s="203"/>
      <c r="AQ67" s="197"/>
    </row>
    <row r="68" spans="1:43" s="199" customFormat="1">
      <c r="A68" s="197"/>
      <c r="B68" s="197"/>
      <c r="C68" s="198"/>
      <c r="E68" s="198"/>
      <c r="F68" s="198"/>
      <c r="H68" s="198"/>
      <c r="L68" s="198"/>
      <c r="M68" s="200"/>
      <c r="N68" s="201"/>
      <c r="P68" s="201"/>
      <c r="R68" s="202"/>
      <c r="S68" s="202"/>
      <c r="AH68" s="198"/>
      <c r="AL68" s="198"/>
      <c r="AN68" s="202"/>
      <c r="AP68" s="203"/>
      <c r="AQ68" s="197"/>
    </row>
    <row r="69" spans="1:43" s="199" customFormat="1">
      <c r="A69" s="197"/>
      <c r="B69" s="197"/>
      <c r="C69" s="198"/>
      <c r="E69" s="198"/>
      <c r="F69" s="198"/>
      <c r="H69" s="198"/>
      <c r="L69" s="198"/>
      <c r="M69" s="200"/>
      <c r="N69" s="201"/>
      <c r="P69" s="201"/>
      <c r="R69" s="202"/>
      <c r="S69" s="202"/>
      <c r="AH69" s="198"/>
      <c r="AL69" s="198"/>
      <c r="AN69" s="202"/>
      <c r="AP69" s="203"/>
      <c r="AQ69" s="197"/>
    </row>
    <row r="70" spans="1:43" s="199" customFormat="1">
      <c r="A70" s="197"/>
      <c r="B70" s="197"/>
      <c r="C70" s="198"/>
      <c r="E70" s="198"/>
      <c r="F70" s="198"/>
      <c r="H70" s="198"/>
      <c r="L70" s="198"/>
      <c r="M70" s="200"/>
      <c r="N70" s="201"/>
      <c r="P70" s="201"/>
      <c r="R70" s="202"/>
      <c r="S70" s="202"/>
      <c r="AH70" s="198"/>
      <c r="AL70" s="198"/>
      <c r="AN70" s="202"/>
      <c r="AP70" s="203"/>
      <c r="AQ70" s="197"/>
    </row>
    <row r="71" spans="1:43" s="199" customFormat="1">
      <c r="A71" s="197"/>
      <c r="B71" s="197"/>
      <c r="C71" s="198"/>
      <c r="E71" s="198"/>
      <c r="F71" s="198"/>
      <c r="H71" s="198"/>
      <c r="L71" s="198"/>
      <c r="M71" s="200"/>
      <c r="N71" s="201"/>
      <c r="P71" s="201"/>
      <c r="R71" s="202"/>
      <c r="S71" s="202"/>
      <c r="AH71" s="198"/>
      <c r="AL71" s="198"/>
      <c r="AN71" s="202"/>
      <c r="AP71" s="203"/>
      <c r="AQ71" s="197"/>
    </row>
    <row r="72" spans="1:43" s="199" customFormat="1">
      <c r="A72" s="197"/>
      <c r="B72" s="197"/>
      <c r="C72" s="198"/>
      <c r="E72" s="198"/>
      <c r="F72" s="198"/>
      <c r="H72" s="198"/>
      <c r="L72" s="198"/>
      <c r="M72" s="200"/>
      <c r="N72" s="201"/>
      <c r="P72" s="201"/>
      <c r="R72" s="202"/>
      <c r="S72" s="202"/>
      <c r="AH72" s="198"/>
      <c r="AL72" s="198"/>
      <c r="AN72" s="202"/>
      <c r="AP72" s="203"/>
      <c r="AQ72" s="197"/>
    </row>
    <row r="73" spans="1:43" s="199" customFormat="1">
      <c r="A73" s="197"/>
      <c r="B73" s="197"/>
      <c r="C73" s="198"/>
      <c r="E73" s="198"/>
      <c r="F73" s="198"/>
      <c r="H73" s="198"/>
      <c r="L73" s="198"/>
      <c r="M73" s="200"/>
      <c r="N73" s="201"/>
      <c r="P73" s="201"/>
      <c r="R73" s="202"/>
      <c r="S73" s="202"/>
      <c r="AH73" s="198"/>
      <c r="AL73" s="198"/>
      <c r="AN73" s="202"/>
      <c r="AP73" s="203"/>
      <c r="AQ73" s="197"/>
    </row>
    <row r="74" spans="1:43" s="199" customFormat="1">
      <c r="A74" s="197"/>
      <c r="B74" s="197"/>
      <c r="C74" s="198"/>
      <c r="E74" s="198"/>
      <c r="F74" s="198"/>
      <c r="H74" s="198"/>
      <c r="L74" s="198"/>
      <c r="M74" s="200"/>
      <c r="N74" s="201"/>
      <c r="P74" s="201"/>
      <c r="R74" s="202"/>
      <c r="S74" s="202"/>
      <c r="AH74" s="198"/>
      <c r="AL74" s="198"/>
      <c r="AN74" s="202"/>
      <c r="AP74" s="203"/>
      <c r="AQ74" s="197"/>
    </row>
    <row r="75" spans="1:43" s="199" customFormat="1">
      <c r="A75" s="197"/>
      <c r="B75" s="197"/>
      <c r="C75" s="198"/>
      <c r="E75" s="198"/>
      <c r="F75" s="198"/>
      <c r="H75" s="198"/>
      <c r="L75" s="198"/>
      <c r="M75" s="200"/>
      <c r="N75" s="201"/>
      <c r="P75" s="201"/>
      <c r="R75" s="202"/>
      <c r="S75" s="202"/>
      <c r="AH75" s="198"/>
      <c r="AL75" s="198"/>
      <c r="AN75" s="202"/>
      <c r="AP75" s="203"/>
      <c r="AQ75" s="197"/>
    </row>
    <row r="76" spans="1:43" s="199" customFormat="1">
      <c r="A76" s="197"/>
      <c r="B76" s="197"/>
      <c r="C76" s="198"/>
      <c r="E76" s="198"/>
      <c r="F76" s="198"/>
      <c r="H76" s="198"/>
      <c r="L76" s="198"/>
      <c r="M76" s="200"/>
      <c r="N76" s="201"/>
      <c r="P76" s="201"/>
      <c r="R76" s="202"/>
      <c r="S76" s="202"/>
      <c r="AH76" s="198"/>
      <c r="AL76" s="198"/>
      <c r="AN76" s="202"/>
      <c r="AP76" s="203"/>
      <c r="AQ76" s="197"/>
    </row>
    <row r="77" spans="1:43" s="199" customFormat="1">
      <c r="A77" s="197"/>
      <c r="B77" s="197"/>
      <c r="C77" s="198"/>
      <c r="E77" s="198"/>
      <c r="F77" s="198"/>
      <c r="H77" s="198"/>
      <c r="L77" s="198"/>
      <c r="M77" s="200"/>
      <c r="N77" s="201"/>
      <c r="P77" s="201"/>
      <c r="R77" s="202"/>
      <c r="S77" s="202"/>
      <c r="AH77" s="198"/>
      <c r="AL77" s="198"/>
      <c r="AN77" s="202"/>
      <c r="AP77" s="203"/>
      <c r="AQ77" s="197"/>
    </row>
    <row r="78" spans="1:43" s="199" customFormat="1">
      <c r="A78" s="197"/>
      <c r="B78" s="197"/>
      <c r="C78" s="198"/>
      <c r="E78" s="198"/>
      <c r="F78" s="198"/>
      <c r="H78" s="198"/>
      <c r="L78" s="198"/>
      <c r="M78" s="200"/>
      <c r="N78" s="201"/>
      <c r="P78" s="201"/>
      <c r="R78" s="202"/>
      <c r="S78" s="202"/>
      <c r="AH78" s="198"/>
      <c r="AL78" s="198"/>
      <c r="AN78" s="202"/>
      <c r="AP78" s="203"/>
      <c r="AQ78" s="197"/>
    </row>
    <row r="79" spans="1:43" s="199" customFormat="1">
      <c r="A79" s="197"/>
      <c r="B79" s="197"/>
      <c r="C79" s="198"/>
      <c r="E79" s="198"/>
      <c r="F79" s="198"/>
      <c r="H79" s="198"/>
      <c r="L79" s="198"/>
      <c r="M79" s="200"/>
      <c r="N79" s="201"/>
      <c r="P79" s="201"/>
      <c r="R79" s="202"/>
      <c r="S79" s="202"/>
      <c r="AH79" s="198"/>
      <c r="AL79" s="198"/>
      <c r="AN79" s="202"/>
      <c r="AP79" s="203"/>
      <c r="AQ79" s="197"/>
    </row>
    <row r="80" spans="1:43" s="199" customFormat="1">
      <c r="A80" s="197"/>
      <c r="B80" s="197"/>
      <c r="C80" s="198"/>
      <c r="E80" s="198"/>
      <c r="F80" s="198"/>
      <c r="H80" s="198"/>
      <c r="L80" s="198"/>
      <c r="M80" s="200"/>
      <c r="N80" s="201"/>
      <c r="P80" s="201"/>
      <c r="R80" s="202"/>
      <c r="S80" s="202"/>
      <c r="AH80" s="198"/>
      <c r="AL80" s="198"/>
      <c r="AN80" s="202"/>
      <c r="AP80" s="203"/>
      <c r="AQ80" s="197"/>
    </row>
    <row r="81" spans="1:43" s="199" customFormat="1">
      <c r="A81" s="197"/>
      <c r="B81" s="197"/>
      <c r="C81" s="198"/>
      <c r="E81" s="198"/>
      <c r="F81" s="198"/>
      <c r="H81" s="198"/>
      <c r="L81" s="198"/>
      <c r="M81" s="200"/>
      <c r="N81" s="201"/>
      <c r="P81" s="201"/>
      <c r="R81" s="202"/>
      <c r="S81" s="202"/>
      <c r="AH81" s="198"/>
      <c r="AL81" s="198"/>
      <c r="AN81" s="202"/>
      <c r="AP81" s="203"/>
      <c r="AQ81" s="197"/>
    </row>
    <row r="82" spans="1:43" s="199" customFormat="1">
      <c r="A82" s="197"/>
      <c r="B82" s="197"/>
      <c r="C82" s="198"/>
      <c r="E82" s="198"/>
      <c r="F82" s="198"/>
      <c r="H82" s="198"/>
      <c r="L82" s="198"/>
      <c r="M82" s="200"/>
      <c r="N82" s="201"/>
      <c r="P82" s="201"/>
      <c r="R82" s="202"/>
      <c r="S82" s="202"/>
      <c r="AH82" s="198"/>
      <c r="AL82" s="198"/>
      <c r="AN82" s="202"/>
      <c r="AP82" s="203"/>
      <c r="AQ82" s="197"/>
    </row>
    <row r="83" spans="1:43" s="199" customFormat="1">
      <c r="A83" s="197"/>
      <c r="B83" s="197"/>
      <c r="C83" s="198"/>
      <c r="E83" s="198"/>
      <c r="F83" s="198"/>
      <c r="H83" s="198"/>
      <c r="L83" s="198"/>
      <c r="M83" s="200"/>
      <c r="N83" s="201"/>
      <c r="P83" s="201"/>
      <c r="R83" s="202"/>
      <c r="S83" s="202"/>
      <c r="AH83" s="198"/>
      <c r="AL83" s="198"/>
      <c r="AN83" s="202"/>
      <c r="AP83" s="203"/>
      <c r="AQ83" s="197"/>
    </row>
    <row r="84" spans="1:43" s="199" customFormat="1">
      <c r="A84" s="197"/>
      <c r="B84" s="197"/>
      <c r="C84" s="198"/>
      <c r="E84" s="198"/>
      <c r="F84" s="198"/>
      <c r="H84" s="198"/>
      <c r="L84" s="198"/>
      <c r="M84" s="200"/>
      <c r="N84" s="201"/>
      <c r="P84" s="201"/>
      <c r="R84" s="202"/>
      <c r="S84" s="202"/>
      <c r="AH84" s="198"/>
      <c r="AL84" s="198"/>
      <c r="AN84" s="202"/>
      <c r="AP84" s="203"/>
      <c r="AQ84" s="197"/>
    </row>
    <row r="85" spans="1:43" s="199" customFormat="1">
      <c r="A85" s="197"/>
      <c r="B85" s="197"/>
      <c r="C85" s="198"/>
      <c r="E85" s="198"/>
      <c r="F85" s="198"/>
      <c r="H85" s="198"/>
      <c r="L85" s="198"/>
      <c r="M85" s="200"/>
      <c r="N85" s="201"/>
      <c r="P85" s="201"/>
      <c r="R85" s="202"/>
      <c r="S85" s="202"/>
      <c r="AH85" s="198"/>
      <c r="AL85" s="198"/>
      <c r="AN85" s="202"/>
      <c r="AP85" s="203"/>
      <c r="AQ85" s="197"/>
    </row>
    <row r="86" spans="1:43" s="199" customFormat="1">
      <c r="A86" s="197"/>
      <c r="B86" s="197"/>
      <c r="C86" s="198"/>
      <c r="E86" s="198"/>
      <c r="F86" s="198"/>
      <c r="H86" s="198"/>
      <c r="L86" s="198"/>
      <c r="M86" s="200"/>
      <c r="N86" s="201"/>
      <c r="P86" s="201"/>
      <c r="R86" s="202"/>
      <c r="S86" s="202"/>
      <c r="AH86" s="198"/>
      <c r="AL86" s="198"/>
      <c r="AN86" s="202"/>
      <c r="AP86" s="203"/>
      <c r="AQ86" s="197"/>
    </row>
    <row r="87" spans="1:43" s="199" customFormat="1">
      <c r="A87" s="197"/>
      <c r="B87" s="197"/>
      <c r="C87" s="198"/>
      <c r="E87" s="198"/>
      <c r="F87" s="198"/>
      <c r="H87" s="198"/>
      <c r="L87" s="198"/>
      <c r="M87" s="200"/>
      <c r="N87" s="201"/>
      <c r="P87" s="201"/>
      <c r="R87" s="202"/>
      <c r="S87" s="202"/>
      <c r="AH87" s="198"/>
      <c r="AL87" s="198"/>
      <c r="AN87" s="202"/>
      <c r="AP87" s="203"/>
      <c r="AQ87" s="197"/>
    </row>
    <row r="88" spans="1:43" s="199" customFormat="1">
      <c r="A88" s="197"/>
      <c r="B88" s="197"/>
      <c r="C88" s="198"/>
      <c r="E88" s="198"/>
      <c r="F88" s="198"/>
      <c r="H88" s="198"/>
      <c r="L88" s="198"/>
      <c r="M88" s="200"/>
      <c r="N88" s="201"/>
      <c r="P88" s="201"/>
      <c r="R88" s="202"/>
      <c r="S88" s="202"/>
      <c r="AH88" s="198"/>
      <c r="AL88" s="198"/>
      <c r="AN88" s="202"/>
      <c r="AP88" s="203"/>
      <c r="AQ88" s="197"/>
    </row>
    <row r="89" spans="1:43" s="199" customFormat="1">
      <c r="A89" s="197"/>
      <c r="B89" s="197"/>
      <c r="C89" s="198"/>
      <c r="E89" s="198"/>
      <c r="F89" s="198"/>
      <c r="H89" s="198"/>
      <c r="L89" s="198"/>
      <c r="M89" s="200"/>
      <c r="N89" s="201"/>
      <c r="P89" s="201"/>
      <c r="R89" s="202"/>
      <c r="S89" s="202"/>
      <c r="AH89" s="198"/>
      <c r="AL89" s="198"/>
      <c r="AN89" s="202"/>
      <c r="AP89" s="203"/>
      <c r="AQ89" s="197"/>
    </row>
    <row r="90" spans="1:43" s="199" customFormat="1">
      <c r="A90" s="197"/>
      <c r="B90" s="197"/>
      <c r="C90" s="198"/>
      <c r="E90" s="198"/>
      <c r="F90" s="198"/>
      <c r="H90" s="198"/>
      <c r="L90" s="198"/>
      <c r="M90" s="200"/>
      <c r="N90" s="201"/>
      <c r="P90" s="201"/>
      <c r="R90" s="202"/>
      <c r="S90" s="202"/>
      <c r="AH90" s="198"/>
      <c r="AL90" s="198"/>
      <c r="AN90" s="202"/>
      <c r="AP90" s="203"/>
      <c r="AQ90" s="197"/>
    </row>
    <row r="91" spans="1:43" s="199" customFormat="1">
      <c r="A91" s="197"/>
      <c r="B91" s="197"/>
      <c r="C91" s="198"/>
      <c r="E91" s="198"/>
      <c r="F91" s="198"/>
      <c r="H91" s="198"/>
      <c r="L91" s="198"/>
      <c r="M91" s="200"/>
      <c r="N91" s="201"/>
      <c r="P91" s="201"/>
      <c r="R91" s="202"/>
      <c r="S91" s="202"/>
      <c r="AH91" s="198"/>
      <c r="AL91" s="198"/>
      <c r="AN91" s="202"/>
      <c r="AP91" s="203"/>
      <c r="AQ91" s="197"/>
    </row>
    <row r="92" spans="1:43" s="199" customFormat="1">
      <c r="A92" s="197"/>
      <c r="B92" s="197"/>
      <c r="C92" s="198"/>
      <c r="E92" s="198"/>
      <c r="F92" s="198"/>
      <c r="H92" s="198"/>
      <c r="L92" s="198"/>
      <c r="M92" s="200"/>
      <c r="N92" s="201"/>
      <c r="P92" s="201"/>
      <c r="R92" s="202"/>
      <c r="S92" s="202"/>
      <c r="AH92" s="198"/>
      <c r="AL92" s="198"/>
      <c r="AN92" s="202"/>
      <c r="AP92" s="203"/>
      <c r="AQ92" s="197"/>
    </row>
    <row r="93" spans="1:43" s="199" customFormat="1">
      <c r="A93" s="197"/>
      <c r="B93" s="197"/>
      <c r="C93" s="198"/>
      <c r="E93" s="198"/>
      <c r="F93" s="198"/>
      <c r="H93" s="198"/>
      <c r="L93" s="198"/>
      <c r="M93" s="200"/>
      <c r="N93" s="201"/>
      <c r="P93" s="201"/>
      <c r="R93" s="202"/>
      <c r="S93" s="202"/>
      <c r="AH93" s="198"/>
      <c r="AL93" s="198"/>
      <c r="AN93" s="202"/>
      <c r="AP93" s="203"/>
      <c r="AQ93" s="197"/>
    </row>
    <row r="94" spans="1:43" s="199" customFormat="1">
      <c r="A94" s="197"/>
      <c r="B94" s="197"/>
      <c r="C94" s="198"/>
      <c r="E94" s="198"/>
      <c r="F94" s="198"/>
      <c r="H94" s="198"/>
      <c r="L94" s="198"/>
      <c r="M94" s="200"/>
      <c r="N94" s="201"/>
      <c r="P94" s="201"/>
      <c r="R94" s="202"/>
      <c r="S94" s="202"/>
      <c r="AH94" s="198"/>
      <c r="AL94" s="198"/>
      <c r="AN94" s="202"/>
      <c r="AP94" s="203"/>
      <c r="AQ94" s="197"/>
    </row>
    <row r="95" spans="1:43" s="199" customFormat="1">
      <c r="A95" s="197"/>
      <c r="B95" s="197"/>
      <c r="C95" s="198"/>
      <c r="E95" s="198"/>
      <c r="F95" s="198"/>
      <c r="H95" s="198"/>
      <c r="L95" s="198"/>
      <c r="M95" s="200"/>
      <c r="N95" s="201"/>
      <c r="P95" s="201"/>
      <c r="R95" s="202"/>
      <c r="S95" s="202"/>
      <c r="AH95" s="198"/>
      <c r="AL95" s="198"/>
      <c r="AN95" s="202"/>
      <c r="AP95" s="203"/>
      <c r="AQ95" s="197"/>
    </row>
    <row r="96" spans="1:43" s="199" customFormat="1">
      <c r="A96" s="197"/>
      <c r="B96" s="197"/>
      <c r="C96" s="198"/>
      <c r="E96" s="198"/>
      <c r="F96" s="198"/>
      <c r="H96" s="198"/>
      <c r="L96" s="198"/>
      <c r="M96" s="200"/>
      <c r="N96" s="201"/>
      <c r="P96" s="201"/>
      <c r="R96" s="202"/>
      <c r="S96" s="202"/>
      <c r="AH96" s="198"/>
      <c r="AL96" s="198"/>
      <c r="AN96" s="202"/>
      <c r="AP96" s="203"/>
      <c r="AQ96" s="197"/>
    </row>
    <row r="97" spans="1:43" s="199" customFormat="1">
      <c r="A97" s="197"/>
      <c r="B97" s="197"/>
      <c r="C97" s="198"/>
      <c r="E97" s="198"/>
      <c r="F97" s="198"/>
      <c r="H97" s="198"/>
      <c r="L97" s="198"/>
      <c r="M97" s="200"/>
      <c r="N97" s="201"/>
      <c r="P97" s="201"/>
      <c r="R97" s="202"/>
      <c r="S97" s="202"/>
      <c r="AH97" s="198"/>
      <c r="AL97" s="198"/>
      <c r="AN97" s="202"/>
      <c r="AP97" s="203"/>
      <c r="AQ97" s="197"/>
    </row>
    <row r="98" spans="1:43" s="199" customFormat="1">
      <c r="A98" s="197"/>
      <c r="B98" s="197"/>
      <c r="C98" s="198"/>
      <c r="E98" s="198"/>
      <c r="F98" s="198"/>
      <c r="H98" s="198"/>
      <c r="L98" s="198"/>
      <c r="M98" s="200"/>
      <c r="N98" s="201"/>
      <c r="P98" s="201"/>
      <c r="R98" s="202"/>
      <c r="S98" s="202"/>
      <c r="AH98" s="198"/>
      <c r="AL98" s="198"/>
      <c r="AN98" s="202"/>
      <c r="AP98" s="203"/>
      <c r="AQ98" s="197"/>
    </row>
    <row r="99" spans="1:43" s="199" customFormat="1">
      <c r="A99" s="197"/>
      <c r="B99" s="197"/>
      <c r="C99" s="198"/>
      <c r="E99" s="198"/>
      <c r="F99" s="198"/>
      <c r="H99" s="198"/>
      <c r="L99" s="198"/>
      <c r="M99" s="200"/>
      <c r="N99" s="201"/>
      <c r="P99" s="201"/>
      <c r="R99" s="202"/>
      <c r="S99" s="202"/>
      <c r="AH99" s="198"/>
      <c r="AL99" s="198"/>
      <c r="AN99" s="202"/>
      <c r="AP99" s="203"/>
      <c r="AQ99" s="197"/>
    </row>
    <row r="100" spans="1:43" s="199" customFormat="1">
      <c r="A100" s="197"/>
      <c r="B100" s="197"/>
      <c r="C100" s="198"/>
      <c r="E100" s="198"/>
      <c r="F100" s="198"/>
      <c r="H100" s="198"/>
      <c r="L100" s="198"/>
      <c r="M100" s="200"/>
      <c r="N100" s="201"/>
      <c r="P100" s="201"/>
      <c r="R100" s="202"/>
      <c r="S100" s="202"/>
      <c r="AH100" s="198"/>
      <c r="AL100" s="198"/>
      <c r="AN100" s="202"/>
      <c r="AP100" s="203"/>
      <c r="AQ100" s="197"/>
    </row>
    <row r="101" spans="1:43" s="199" customFormat="1">
      <c r="A101" s="197"/>
      <c r="B101" s="197"/>
      <c r="C101" s="198"/>
      <c r="E101" s="198"/>
      <c r="F101" s="198"/>
      <c r="H101" s="198"/>
      <c r="L101" s="198"/>
      <c r="M101" s="200"/>
      <c r="N101" s="201"/>
      <c r="P101" s="201"/>
      <c r="R101" s="202"/>
      <c r="S101" s="202"/>
      <c r="AH101" s="198"/>
      <c r="AL101" s="198"/>
      <c r="AN101" s="202"/>
      <c r="AP101" s="203"/>
      <c r="AQ101" s="197"/>
    </row>
    <row r="102" spans="1:43" s="199" customFormat="1">
      <c r="A102" s="197"/>
      <c r="B102" s="197"/>
      <c r="C102" s="198"/>
      <c r="E102" s="198"/>
      <c r="F102" s="198"/>
      <c r="H102" s="198"/>
      <c r="L102" s="198"/>
      <c r="M102" s="200"/>
      <c r="N102" s="201"/>
      <c r="P102" s="201"/>
      <c r="R102" s="202"/>
      <c r="S102" s="202"/>
      <c r="AH102" s="198"/>
      <c r="AL102" s="198"/>
      <c r="AN102" s="202"/>
      <c r="AP102" s="203"/>
      <c r="AQ102" s="197"/>
    </row>
  </sheetData>
  <mergeCells count="17">
    <mergeCell ref="R9:R10"/>
    <mergeCell ref="T9:T10"/>
    <mergeCell ref="U9:V9"/>
    <mergeCell ref="AE9:AF9"/>
    <mergeCell ref="B7:AP7"/>
    <mergeCell ref="B8:B10"/>
    <mergeCell ref="C8:C10"/>
    <mergeCell ref="D8:D10"/>
    <mergeCell ref="E8:V8"/>
    <mergeCell ref="Z8:AF8"/>
    <mergeCell ref="AG8:AP8"/>
    <mergeCell ref="E9:I9"/>
    <mergeCell ref="J9:N9"/>
    <mergeCell ref="O9:O10"/>
    <mergeCell ref="AG9:AM9"/>
    <mergeCell ref="P9:P10"/>
    <mergeCell ref="Q9:Q10"/>
  </mergeCells>
  <hyperlinks>
    <hyperlink ref="Q29" location="'Residence Electricity April 21'!A1" display="'Residence Electricity April 21'!A1" xr:uid="{00000000-0004-0000-0100-000000000000}"/>
    <hyperlink ref="R29" location="'Residence Electricity April 21'!A1" display="'Residence Electricity April 21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N37" sqref="N37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6" t="s">
        <v>16</v>
      </c>
    </row>
    <row r="2" spans="1:3" ht="18">
      <c r="A2" s="289">
        <v>44287</v>
      </c>
      <c r="B2" s="290"/>
      <c r="C2" s="290"/>
    </row>
    <row r="3" spans="1:3">
      <c r="A3" s="292" t="s">
        <v>18</v>
      </c>
      <c r="B3" s="291" t="s">
        <v>19</v>
      </c>
      <c r="C3" s="291" t="s">
        <v>13</v>
      </c>
    </row>
    <row r="4" spans="1:3">
      <c r="A4" s="292"/>
      <c r="B4" s="291"/>
      <c r="C4" s="291"/>
    </row>
    <row r="5" spans="1:3">
      <c r="A5" s="292"/>
      <c r="B5" s="291"/>
      <c r="C5" s="291"/>
    </row>
    <row r="6" spans="1:3">
      <c r="A6" s="1">
        <v>1</v>
      </c>
      <c r="B6" s="1">
        <v>9</v>
      </c>
      <c r="C6" s="1">
        <v>70</v>
      </c>
    </row>
    <row r="7" spans="1:3">
      <c r="A7" s="1">
        <v>2</v>
      </c>
      <c r="B7" s="1">
        <v>9</v>
      </c>
      <c r="C7" s="1">
        <v>108</v>
      </c>
    </row>
    <row r="8" spans="1:3">
      <c r="A8" s="1">
        <f>A7+1</f>
        <v>3</v>
      </c>
      <c r="B8" s="1">
        <v>7</v>
      </c>
      <c r="C8" s="1">
        <v>91</v>
      </c>
    </row>
    <row r="9" spans="1:3">
      <c r="A9" s="1">
        <f>A8+1</f>
        <v>4</v>
      </c>
      <c r="B9" s="1">
        <v>4</v>
      </c>
      <c r="C9" s="1">
        <v>89</v>
      </c>
    </row>
    <row r="10" spans="1:3">
      <c r="A10" s="1">
        <f t="shared" ref="A10:A35" si="0">A9+1</f>
        <v>5</v>
      </c>
      <c r="B10" s="1">
        <v>3</v>
      </c>
      <c r="C10" s="1">
        <v>36</v>
      </c>
    </row>
    <row r="11" spans="1:3">
      <c r="A11" s="1">
        <f t="shared" si="0"/>
        <v>6</v>
      </c>
      <c r="B11" s="1">
        <v>5</v>
      </c>
      <c r="C11" s="1">
        <v>35</v>
      </c>
    </row>
    <row r="12" spans="1:3">
      <c r="A12" s="1">
        <f t="shared" si="0"/>
        <v>7</v>
      </c>
      <c r="B12" s="1">
        <v>5</v>
      </c>
      <c r="C12" s="1">
        <v>65</v>
      </c>
    </row>
    <row r="13" spans="1:3">
      <c r="A13" s="1">
        <f t="shared" si="0"/>
        <v>8</v>
      </c>
      <c r="B13" s="1">
        <v>4</v>
      </c>
      <c r="C13" s="1">
        <v>59</v>
      </c>
    </row>
    <row r="14" spans="1:3">
      <c r="A14" s="1">
        <f t="shared" si="0"/>
        <v>9</v>
      </c>
      <c r="B14" s="1">
        <v>8</v>
      </c>
      <c r="C14" s="1">
        <v>76</v>
      </c>
    </row>
    <row r="15" spans="1:3">
      <c r="A15" s="1">
        <f t="shared" si="0"/>
        <v>10</v>
      </c>
      <c r="B15" s="1">
        <v>13</v>
      </c>
      <c r="C15" s="1">
        <v>111</v>
      </c>
    </row>
    <row r="16" spans="1:3">
      <c r="A16" s="1">
        <f t="shared" si="0"/>
        <v>11</v>
      </c>
      <c r="B16" s="1">
        <v>7</v>
      </c>
      <c r="C16" s="1">
        <v>144</v>
      </c>
    </row>
    <row r="17" spans="1:3">
      <c r="A17" s="1">
        <f t="shared" si="0"/>
        <v>12</v>
      </c>
      <c r="B17" s="1">
        <v>5</v>
      </c>
      <c r="C17" s="1">
        <v>46</v>
      </c>
    </row>
    <row r="18" spans="1:3">
      <c r="A18" s="1">
        <f t="shared" si="0"/>
        <v>13</v>
      </c>
      <c r="B18" s="1">
        <v>7</v>
      </c>
      <c r="C18" s="1">
        <v>90</v>
      </c>
    </row>
    <row r="19" spans="1:3">
      <c r="A19" s="1">
        <f t="shared" si="0"/>
        <v>14</v>
      </c>
      <c r="B19" s="1">
        <v>10</v>
      </c>
      <c r="C19" s="1">
        <v>66</v>
      </c>
    </row>
    <row r="20" spans="1:3">
      <c r="A20" s="1">
        <f t="shared" si="0"/>
        <v>15</v>
      </c>
      <c r="B20" s="1">
        <v>5</v>
      </c>
      <c r="C20" s="1">
        <v>95</v>
      </c>
    </row>
    <row r="21" spans="1:3">
      <c r="A21" s="1">
        <f t="shared" si="0"/>
        <v>16</v>
      </c>
      <c r="B21" s="1">
        <v>4</v>
      </c>
      <c r="C21" s="1">
        <v>39</v>
      </c>
    </row>
    <row r="22" spans="1:3">
      <c r="A22" s="1">
        <f t="shared" si="0"/>
        <v>17</v>
      </c>
      <c r="B22" s="1">
        <v>4</v>
      </c>
      <c r="C22" s="1">
        <v>62</v>
      </c>
    </row>
    <row r="23" spans="1:3">
      <c r="A23" s="1">
        <f t="shared" si="0"/>
        <v>18</v>
      </c>
      <c r="B23" s="1">
        <v>6</v>
      </c>
      <c r="C23" s="1">
        <v>61</v>
      </c>
    </row>
    <row r="24" spans="1:3">
      <c r="A24" s="1">
        <f t="shared" si="0"/>
        <v>19</v>
      </c>
      <c r="B24" s="1">
        <v>4</v>
      </c>
      <c r="C24" s="1">
        <v>40</v>
      </c>
    </row>
    <row r="25" spans="1:3">
      <c r="A25" s="1">
        <f t="shared" si="0"/>
        <v>20</v>
      </c>
      <c r="B25" s="1">
        <v>3</v>
      </c>
      <c r="C25" s="1">
        <v>42</v>
      </c>
    </row>
    <row r="26" spans="1:3">
      <c r="A26" s="1">
        <f t="shared" si="0"/>
        <v>21</v>
      </c>
      <c r="B26" s="1">
        <v>3</v>
      </c>
      <c r="C26" s="1">
        <v>38</v>
      </c>
    </row>
    <row r="27" spans="1:3">
      <c r="A27" s="1">
        <f t="shared" si="0"/>
        <v>22</v>
      </c>
      <c r="B27" s="1">
        <v>7</v>
      </c>
      <c r="C27" s="1">
        <v>104</v>
      </c>
    </row>
    <row r="28" spans="1:3">
      <c r="A28" s="1">
        <f t="shared" si="0"/>
        <v>23</v>
      </c>
      <c r="B28" s="1">
        <v>12</v>
      </c>
      <c r="C28" s="1">
        <v>89</v>
      </c>
    </row>
    <row r="29" spans="1:3">
      <c r="A29" s="1">
        <f t="shared" si="0"/>
        <v>24</v>
      </c>
      <c r="B29" s="1">
        <v>14</v>
      </c>
      <c r="C29" s="1">
        <v>139</v>
      </c>
    </row>
    <row r="30" spans="1:3">
      <c r="A30" s="1">
        <f t="shared" si="0"/>
        <v>25</v>
      </c>
      <c r="B30" s="1">
        <v>6</v>
      </c>
      <c r="C30" s="1">
        <v>144</v>
      </c>
    </row>
    <row r="31" spans="1:3">
      <c r="A31" s="1">
        <f t="shared" si="0"/>
        <v>26</v>
      </c>
      <c r="B31" s="1">
        <v>9</v>
      </c>
      <c r="C31" s="1">
        <v>52</v>
      </c>
    </row>
    <row r="32" spans="1:3">
      <c r="A32" s="1">
        <f t="shared" si="0"/>
        <v>27</v>
      </c>
      <c r="B32" s="1">
        <v>9</v>
      </c>
      <c r="C32" s="1">
        <v>58</v>
      </c>
    </row>
    <row r="33" spans="1:3">
      <c r="A33" s="1">
        <f t="shared" si="0"/>
        <v>28</v>
      </c>
      <c r="B33" s="1">
        <v>3</v>
      </c>
      <c r="C33" s="1">
        <v>47</v>
      </c>
    </row>
    <row r="34" spans="1:3">
      <c r="A34" s="1">
        <f t="shared" si="0"/>
        <v>29</v>
      </c>
      <c r="B34" s="1">
        <v>9</v>
      </c>
      <c r="C34" s="1">
        <v>63</v>
      </c>
    </row>
    <row r="35" spans="1:3">
      <c r="A35" s="1">
        <f t="shared" si="0"/>
        <v>30</v>
      </c>
      <c r="B35" s="1">
        <v>7</v>
      </c>
      <c r="C35" s="1">
        <v>84</v>
      </c>
    </row>
    <row r="36" spans="1:3">
      <c r="A36" s="1"/>
      <c r="B36" s="1"/>
      <c r="C36" s="1"/>
    </row>
    <row r="38" spans="1:3">
      <c r="B38" s="5">
        <f>SUM(B6:B36)</f>
        <v>201</v>
      </c>
      <c r="C38" s="5">
        <f>SUM(C6:C36)</f>
        <v>2243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D29"/>
  <sheetViews>
    <sheetView topLeftCell="C1" workbookViewId="0">
      <selection activeCell="C6" sqref="C6"/>
    </sheetView>
  </sheetViews>
  <sheetFormatPr defaultRowHeight="15"/>
  <cols>
    <col min="2" max="2" width="14.7109375" bestFit="1" customWidth="1"/>
    <col min="3" max="3" width="30.140625" bestFit="1" customWidth="1"/>
    <col min="4" max="4" width="14.28515625" bestFit="1" customWidth="1"/>
  </cols>
  <sheetData>
    <row r="5" spans="2:4">
      <c r="B5" s="167" t="s">
        <v>2</v>
      </c>
      <c r="C5" s="219" t="s">
        <v>57</v>
      </c>
    </row>
    <row r="7" spans="2:4">
      <c r="B7" s="220" t="s">
        <v>58</v>
      </c>
      <c r="C7" s="1" t="s">
        <v>59</v>
      </c>
      <c r="D7" s="2">
        <v>1553</v>
      </c>
    </row>
    <row r="8" spans="2:4">
      <c r="B8" s="220"/>
      <c r="C8" s="1" t="s">
        <v>60</v>
      </c>
      <c r="D8" s="221">
        <v>2785852</v>
      </c>
    </row>
    <row r="9" spans="2:4">
      <c r="B9" s="222" t="s">
        <v>61</v>
      </c>
      <c r="C9" s="1" t="s">
        <v>62</v>
      </c>
      <c r="D9" s="2">
        <v>4941</v>
      </c>
    </row>
    <row r="10" spans="2:4">
      <c r="B10" s="222"/>
      <c r="C10" s="1" t="s">
        <v>60</v>
      </c>
      <c r="D10" s="221">
        <v>8209002</v>
      </c>
    </row>
    <row r="11" spans="2:4">
      <c r="B11" s="222" t="s">
        <v>63</v>
      </c>
      <c r="C11" s="1" t="s">
        <v>64</v>
      </c>
      <c r="D11" s="2">
        <v>1426</v>
      </c>
    </row>
    <row r="12" spans="2:4">
      <c r="B12" s="222"/>
      <c r="C12" s="1" t="s">
        <v>60</v>
      </c>
      <c r="D12" s="221">
        <v>3522178</v>
      </c>
    </row>
    <row r="13" spans="2:4">
      <c r="B13" s="222" t="s">
        <v>65</v>
      </c>
      <c r="C13" s="1" t="s">
        <v>66</v>
      </c>
      <c r="D13" s="2">
        <v>6015</v>
      </c>
    </row>
    <row r="14" spans="2:4">
      <c r="B14" s="222"/>
      <c r="C14" s="1" t="s">
        <v>60</v>
      </c>
      <c r="D14" s="221">
        <v>9993352</v>
      </c>
    </row>
    <row r="15" spans="2:4">
      <c r="B15" s="222" t="s">
        <v>67</v>
      </c>
      <c r="C15" s="1" t="s">
        <v>68</v>
      </c>
      <c r="D15" s="2">
        <v>11113</v>
      </c>
    </row>
    <row r="16" spans="2:4">
      <c r="B16" s="222"/>
      <c r="C16" s="1" t="s">
        <v>60</v>
      </c>
      <c r="D16" s="221">
        <v>18463194</v>
      </c>
    </row>
    <row r="17" spans="2:4">
      <c r="B17" s="222" t="s">
        <v>69</v>
      </c>
      <c r="C17" s="1" t="s">
        <v>70</v>
      </c>
      <c r="D17" s="2">
        <v>5265</v>
      </c>
    </row>
    <row r="18" spans="2:4">
      <c r="B18" s="222"/>
      <c r="C18" s="1" t="s">
        <v>60</v>
      </c>
      <c r="D18" s="221">
        <v>8747298</v>
      </c>
    </row>
    <row r="19" spans="2:4">
      <c r="B19" s="222" t="s">
        <v>71</v>
      </c>
      <c r="C19" s="1" t="s">
        <v>72</v>
      </c>
      <c r="D19" s="2">
        <v>4430</v>
      </c>
    </row>
    <row r="20" spans="2:4">
      <c r="B20" s="222"/>
      <c r="C20" s="1" t="s">
        <v>60</v>
      </c>
      <c r="D20" s="221">
        <v>7360024</v>
      </c>
    </row>
    <row r="21" spans="2:4">
      <c r="B21" s="222" t="s">
        <v>73</v>
      </c>
      <c r="C21" s="1" t="s">
        <v>74</v>
      </c>
      <c r="D21" s="2">
        <v>2343</v>
      </c>
    </row>
    <row r="22" spans="2:4">
      <c r="B22" s="222"/>
      <c r="C22" s="1" t="s">
        <v>60</v>
      </c>
      <c r="D22" s="221">
        <v>3892672</v>
      </c>
    </row>
    <row r="23" spans="2:4">
      <c r="B23" s="222" t="s">
        <v>75</v>
      </c>
      <c r="C23" s="1" t="s">
        <v>76</v>
      </c>
      <c r="D23" s="2">
        <v>6457</v>
      </c>
    </row>
    <row r="24" spans="2:4">
      <c r="B24" s="222"/>
      <c r="C24" s="1" t="s">
        <v>60</v>
      </c>
      <c r="D24" s="221">
        <v>10727692</v>
      </c>
    </row>
    <row r="25" spans="2:4">
      <c r="B25" s="222" t="s">
        <v>77</v>
      </c>
      <c r="C25" s="1" t="s">
        <v>78</v>
      </c>
      <c r="D25" s="2">
        <v>2128</v>
      </c>
    </row>
    <row r="26" spans="2:4" ht="15.75" thickBot="1">
      <c r="B26" s="223"/>
      <c r="C26" s="224" t="s">
        <v>60</v>
      </c>
      <c r="D26" s="225">
        <v>3535470</v>
      </c>
    </row>
    <row r="27" spans="2:4">
      <c r="B27" s="226"/>
      <c r="C27" s="227"/>
      <c r="D27" s="228"/>
    </row>
    <row r="28" spans="2:4">
      <c r="B28" s="229"/>
      <c r="C28" s="230" t="s">
        <v>79</v>
      </c>
      <c r="D28" s="231">
        <f>D7+D9+D11+D13+D15+D17+D19+D21+D23+D25</f>
        <v>45671</v>
      </c>
    </row>
    <row r="29" spans="2:4" ht="15.75" thickBot="1">
      <c r="B29" s="232"/>
      <c r="C29" s="233" t="s">
        <v>80</v>
      </c>
      <c r="D29" s="234">
        <f>D8+D10+D12+D14+D16+D18+D20+D22+D24+D26</f>
        <v>77236734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7B38D-5E63-4ECA-A573-CA20DD084342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2023-02-11T05:34:01Z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