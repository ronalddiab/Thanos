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48E99F6F-336C-4D59-8233-03CD8937DDAB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3" l="1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E29" i="3"/>
  <c r="P29" i="3"/>
  <c r="O29" i="3"/>
  <c r="K29" i="3"/>
  <c r="I29" i="3"/>
  <c r="G29" i="3"/>
  <c r="F29" i="3"/>
  <c r="AB23" i="2"/>
  <c r="AB22" i="2"/>
  <c r="AB21" i="2"/>
  <c r="AB20" i="2"/>
  <c r="AB19" i="2"/>
  <c r="AB18" i="2"/>
  <c r="AB17" i="2"/>
  <c r="AB16" i="2"/>
  <c r="AB15" i="2"/>
  <c r="AB14" i="2"/>
  <c r="AB28" i="2" l="1"/>
  <c r="Y28" i="2"/>
  <c r="W28" i="2"/>
  <c r="N28" i="2"/>
  <c r="G28" i="2"/>
  <c r="E28" i="2"/>
  <c r="C28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8" i="2" l="1"/>
  <c r="C29" i="2"/>
  <c r="Y13" i="2" l="1"/>
  <c r="Y12" i="2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<sst xmlns="http://schemas.openxmlformats.org/spreadsheetml/2006/main" count="74" uniqueCount="40">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</sst>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E25" sqref="E2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4275</v>
      </c>
      <c r="F4" s="110">
        <f>('February 2025'!C4*0.27)/('February 2025'!C4+'February 2025'!E4)</f>
        <v>0.23223157894736843</v>
      </c>
      <c r="G4" s="97">
        <f>'February 2025'!U4</f>
        <v>25</v>
      </c>
      <c r="H4" s="113">
        <v>0.62</v>
      </c>
      <c r="I4" s="98">
        <f>'February 2025'!W4</f>
        <v>58</v>
      </c>
      <c r="J4" s="99">
        <v>2.42</v>
      </c>
      <c r="K4" s="106">
        <f>'February 2025'!AB4*5.04</f>
        <v>6350.4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61</v>
      </c>
      <c r="P4" s="100">
        <f>'February 2025'!AD4</f>
        <v>96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4277</v>
      </c>
      <c r="F5" s="110">
        <f>('February 2025'!C5*0.27)/('February 2025'!C5+'February 2025'!E5)</f>
        <v>0.21356324526537293</v>
      </c>
      <c r="G5" s="97">
        <f>'February 2025'!U5</f>
        <v>25</v>
      </c>
      <c r="H5" s="113">
        <v>0.62</v>
      </c>
      <c r="I5" s="98">
        <f>'February 2025'!W5</f>
        <v>72</v>
      </c>
      <c r="J5" s="99">
        <v>2.42</v>
      </c>
      <c r="K5" s="106">
        <f>'February 2025'!AB5*5.04</f>
        <v>6098.4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71</v>
      </c>
      <c r="P5" s="100">
        <f>'February 2025'!AD5</f>
        <v>103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4523</v>
      </c>
      <c r="F6" s="110">
        <f>('February 2025'!C6*0.27)/('February 2025'!C6+'February 2025'!E6)</f>
        <v>0.22212469599823129</v>
      </c>
      <c r="G6" s="97">
        <f>'February 2025'!U6</f>
        <v>150</v>
      </c>
      <c r="H6" s="113">
        <v>0.62</v>
      </c>
      <c r="I6" s="98">
        <f>'February 2025'!W6</f>
        <v>58</v>
      </c>
      <c r="J6" s="99">
        <v>2.42</v>
      </c>
      <c r="K6" s="106">
        <f>'February 2025'!AB6*5.04</f>
        <v>6678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84</v>
      </c>
      <c r="P6" s="100">
        <f>'February 2025'!AD6</f>
        <v>128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4742</v>
      </c>
      <c r="F7" s="110">
        <f>('February 2025'!C7*0.27)/('February 2025'!C7+'February 2025'!E7)</f>
        <v>0.21647827920708562</v>
      </c>
      <c r="G7" s="97">
        <f>'February 2025'!U7</f>
        <v>25</v>
      </c>
      <c r="H7" s="113">
        <v>0.62</v>
      </c>
      <c r="I7" s="98">
        <f>'February 2025'!W7</f>
        <v>66</v>
      </c>
      <c r="J7" s="99">
        <v>2.42</v>
      </c>
      <c r="K7" s="106">
        <f>'February 2025'!AB7*5.04</f>
        <v>7358.4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85</v>
      </c>
      <c r="P7" s="100">
        <f>'February 2025'!AD7</f>
        <v>140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4750</v>
      </c>
      <c r="F8" s="110">
        <f>('February 2025'!C8*0.27)/('February 2025'!C8+'February 2025'!E8)</f>
        <v>0.23112000000000005</v>
      </c>
      <c r="G8" s="97">
        <f>'February 2025'!U8</f>
        <v>125</v>
      </c>
      <c r="H8" s="113">
        <v>0.62</v>
      </c>
      <c r="I8" s="98">
        <f>'February 2025'!W8</f>
        <v>87</v>
      </c>
      <c r="J8" s="99">
        <v>2.42</v>
      </c>
      <c r="K8" s="106">
        <f>'February 2025'!AB8*5.04</f>
        <v>6930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127</v>
      </c>
      <c r="P8" s="100">
        <f>'February 2025'!AD8</f>
        <v>206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4962</v>
      </c>
      <c r="F9" s="110">
        <f>('February 2025'!C9*0.27)/('February 2025'!C9+'February 2025'!E9)</f>
        <v>0.21487908101571948</v>
      </c>
      <c r="G9" s="97">
        <f>'February 2025'!U9</f>
        <v>50</v>
      </c>
      <c r="H9" s="113">
        <v>0.62</v>
      </c>
      <c r="I9" s="98">
        <f>'February 2025'!W9</f>
        <v>91</v>
      </c>
      <c r="J9" s="99">
        <v>2.42</v>
      </c>
      <c r="K9" s="106">
        <f>'February 2025'!AB9*5.04</f>
        <v>7358.4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140</v>
      </c>
      <c r="P9" s="100">
        <f>'February 2025'!AD9</f>
        <v>239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4903</v>
      </c>
      <c r="F10" s="110">
        <f>('February 2025'!C10*0.27)/('February 2025'!C10+'February 2025'!E10)</f>
        <v>0.2472017132367938</v>
      </c>
      <c r="G10" s="97">
        <f>'February 2025'!U10</f>
        <v>25</v>
      </c>
      <c r="H10" s="113">
        <v>0.62</v>
      </c>
      <c r="I10" s="98">
        <f>'February 2025'!W10</f>
        <v>80</v>
      </c>
      <c r="J10" s="99">
        <v>2.42</v>
      </c>
      <c r="K10" s="106">
        <f>'February 2025'!AB10*5.04</f>
        <v>8442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120</v>
      </c>
      <c r="P10" s="100">
        <f>'February 2025'!AD10</f>
        <v>190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4780</v>
      </c>
      <c r="F11" s="110">
        <f>('February 2025'!C11*0.27)/('February 2025'!C11+'February 2025'!E11)</f>
        <v>0.23113807531380756</v>
      </c>
      <c r="G11" s="97">
        <f>'February 2025'!U11</f>
        <v>130</v>
      </c>
      <c r="H11" s="113">
        <v>0.62</v>
      </c>
      <c r="I11" s="98">
        <f>'February 2025'!W11</f>
        <v>92</v>
      </c>
      <c r="J11" s="99">
        <v>2.42</v>
      </c>
      <c r="K11" s="106">
        <f>'February 2025'!AB11*5.04</f>
        <v>9198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121</v>
      </c>
      <c r="P11" s="100">
        <f>'February 2025'!AD11</f>
        <v>188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4866</v>
      </c>
      <c r="F12" s="110">
        <f>('February 2025'!C12*0.27)/('February 2025'!C12+'February 2025'!E12)</f>
        <v>0.21762022194821209</v>
      </c>
      <c r="G12" s="97">
        <f>'February 2025'!U12</f>
        <v>75</v>
      </c>
      <c r="H12" s="113">
        <v>0.62</v>
      </c>
      <c r="I12" s="98">
        <f>'February 2025'!W12</f>
        <v>86</v>
      </c>
      <c r="J12" s="99">
        <v>2.42</v>
      </c>
      <c r="K12" s="106">
        <f>'February 2025'!AB12*5.04</f>
        <v>9399.6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125</v>
      </c>
      <c r="P12" s="100">
        <f>'February 2025'!AD12</f>
        <v>186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4484</v>
      </c>
      <c r="F13" s="110">
        <f>('February 2025'!C13*0.27)/('February 2025'!C13+'February 2025'!E13)</f>
        <v>0.22586306868867084</v>
      </c>
      <c r="G13" s="97">
        <f>'February 2025'!U13</f>
        <v>75</v>
      </c>
      <c r="H13" s="113">
        <v>0.62</v>
      </c>
      <c r="I13" s="98">
        <f>'February 2025'!W13</f>
        <v>77</v>
      </c>
      <c r="J13" s="99">
        <v>2.42</v>
      </c>
      <c r="K13" s="106">
        <f>'February 2025'!AB13*5.04</f>
        <v>8618.4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81</v>
      </c>
      <c r="P13" s="100">
        <f>'February 2025'!AD13</f>
        <v>129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4984</v>
      </c>
      <c r="F14" s="110">
        <f>('February 2025'!C14*0.27)/('February 2025'!C14+'February 2025'!E14)</f>
        <v>0.2170184590690209</v>
      </c>
      <c r="G14" s="97">
        <f>'February 2025'!U14</f>
        <v>50</v>
      </c>
      <c r="H14" s="113">
        <v>0.62</v>
      </c>
      <c r="I14" s="98">
        <f>'February 2025'!W14</f>
        <v>68</v>
      </c>
      <c r="J14" s="99">
        <v>2.42</v>
      </c>
      <c r="K14" s="106">
        <f>'February 2025'!AB14*5.04</f>
        <v>4687.2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85</v>
      </c>
      <c r="P14" s="100">
        <f>'February 2025'!AD14</f>
        <v>139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5086</v>
      </c>
      <c r="F15" s="110">
        <f>('February 2025'!C15*0.27)/('February 2025'!C15+'February 2025'!E15)</f>
        <v>0.21627605190719623</v>
      </c>
      <c r="G15" s="97">
        <f>'February 2025'!U15</f>
        <v>50</v>
      </c>
      <c r="H15" s="113">
        <v>0.62</v>
      </c>
      <c r="I15" s="98">
        <f>'February 2025'!W15</f>
        <v>83</v>
      </c>
      <c r="J15" s="99">
        <v>2.42</v>
      </c>
      <c r="K15" s="106">
        <f>'February 2025'!AB15*5.04</f>
        <v>4359.6000000000004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117</v>
      </c>
      <c r="P15" s="100">
        <f>'February 2025'!AD15</f>
        <v>203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5021</v>
      </c>
      <c r="F16" s="110">
        <f>('February 2025'!C16*0.27)/('February 2025'!C16+'February 2025'!E16)</f>
        <v>0.21993626767576183</v>
      </c>
      <c r="G16" s="97">
        <f>'February 2025'!U16</f>
        <v>25</v>
      </c>
      <c r="H16" s="113">
        <v>0.62</v>
      </c>
      <c r="I16" s="98">
        <f>'February 2025'!W16</f>
        <v>89</v>
      </c>
      <c r="J16" s="99">
        <v>2.42</v>
      </c>
      <c r="K16" s="106">
        <f>'February 2025'!AB16*5.04</f>
        <v>4586.3999999999996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155</v>
      </c>
      <c r="P16" s="100">
        <f>'February 2025'!AD16</f>
        <v>288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4842</v>
      </c>
      <c r="F17" s="110">
        <f>('February 2025'!C17*0.27)/('February 2025'!C17+'February 2025'!E17)</f>
        <v>0.21066914498141265</v>
      </c>
      <c r="G17" s="97">
        <f>'February 2025'!U17</f>
        <v>100</v>
      </c>
      <c r="H17" s="113">
        <v>0.62</v>
      </c>
      <c r="I17" s="98">
        <f>'February 2025'!W17</f>
        <v>78</v>
      </c>
      <c r="J17" s="99">
        <v>2.42</v>
      </c>
      <c r="K17" s="106">
        <f>'February 2025'!AB17*5.04</f>
        <v>3074.4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92</v>
      </c>
      <c r="P17" s="100">
        <f>'February 2025'!AD17</f>
        <v>163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4564</v>
      </c>
      <c r="F18" s="110">
        <f>('February 2025'!C18*0.27)/('February 2025'!C18+'February 2025'!E18)</f>
        <v>0.23261174408413673</v>
      </c>
      <c r="G18" s="97">
        <f>'February 2025'!U18</f>
        <v>100</v>
      </c>
      <c r="H18" s="113">
        <v>0.62</v>
      </c>
      <c r="I18" s="98">
        <f>'February 2025'!W18</f>
        <v>80</v>
      </c>
      <c r="J18" s="99">
        <v>2.42</v>
      </c>
      <c r="K18" s="106">
        <f>'February 2025'!AB18*5.04</f>
        <v>4309.2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93</v>
      </c>
      <c r="P18" s="100">
        <f>'February 2025'!AD18</f>
        <v>159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4619</v>
      </c>
      <c r="F19" s="110">
        <f>('February 2025'!C19*0.27)/('February 2025'!C19+'February 2025'!E19)</f>
        <v>0.24872266724399222</v>
      </c>
      <c r="G19" s="97">
        <f>'February 2025'!U19</f>
        <v>50</v>
      </c>
      <c r="H19" s="113">
        <v>0.62</v>
      </c>
      <c r="I19" s="98">
        <f>'February 2025'!W19</f>
        <v>88</v>
      </c>
      <c r="J19" s="99">
        <v>2.42</v>
      </c>
      <c r="K19" s="106">
        <f>'February 2025'!AB19*5.04</f>
        <v>4687.2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111</v>
      </c>
      <c r="P19" s="100">
        <f>'February 2025'!AD19</f>
        <v>195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4302</v>
      </c>
      <c r="F20" s="110">
        <f>('February 2025'!C20*0.27)/('February 2025'!C20+'February 2025'!E20)</f>
        <v>0.21658995815899584</v>
      </c>
      <c r="G20" s="97">
        <f>'February 2025'!U20</f>
        <v>125</v>
      </c>
      <c r="H20" s="113">
        <v>0.62</v>
      </c>
      <c r="I20" s="98">
        <f>'February 2025'!W20</f>
        <v>67</v>
      </c>
      <c r="J20" s="99">
        <v>2.42</v>
      </c>
      <c r="K20" s="106">
        <f>'February 2025'!AB20*5.04</f>
        <v>3452.4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120</v>
      </c>
      <c r="P20" s="100">
        <f>'February 2025'!AD20</f>
        <v>211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4863</v>
      </c>
      <c r="F21" s="110">
        <f>('February 2025'!C21*0.27)/('February 2025'!C21+'February 2025'!E21)</f>
        <v>0.23596545342381245</v>
      </c>
      <c r="G21" s="97">
        <f>'February 2025'!U21</f>
        <v>100</v>
      </c>
      <c r="H21" s="113">
        <v>0.62</v>
      </c>
      <c r="I21" s="98">
        <f>'February 2025'!W21</f>
        <v>81</v>
      </c>
      <c r="J21" s="99">
        <v>2.42</v>
      </c>
      <c r="K21" s="106">
        <f>'February 2025'!AB21*5.04</f>
        <v>4258.8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126</v>
      </c>
      <c r="P21" s="100">
        <f>'February 2025'!AD21</f>
        <v>221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4709</v>
      </c>
      <c r="F22" s="110">
        <f>('February 2025'!C22*0.27)/('February 2025'!C22+'February 2025'!E22)</f>
        <v>0.21409641112762795</v>
      </c>
      <c r="G22" s="97">
        <f>'February 2025'!U22</f>
        <v>150</v>
      </c>
      <c r="H22" s="113">
        <v>0.62</v>
      </c>
      <c r="I22" s="98">
        <f>'February 2025'!W22</f>
        <v>84</v>
      </c>
      <c r="J22" s="99">
        <v>2.42</v>
      </c>
      <c r="K22" s="106">
        <f>'February 2025'!AB22*5.04</f>
        <v>4863.6000000000004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118</v>
      </c>
      <c r="P22" s="100">
        <f>'February 2025'!AD22</f>
        <v>219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5163</v>
      </c>
      <c r="F23" s="110">
        <f>('February 2025'!C23*0.27)/('February 2025'!C23+'February 2025'!E23)</f>
        <v>0.21686809994189427</v>
      </c>
      <c r="G23" s="97">
        <f>'February 2025'!U23</f>
        <v>50</v>
      </c>
      <c r="H23" s="113">
        <v>0.62</v>
      </c>
      <c r="I23" s="98">
        <f>'February 2025'!W23</f>
        <v>89</v>
      </c>
      <c r="J23" s="99">
        <v>2.42</v>
      </c>
      <c r="K23" s="106">
        <f>'February 2025'!AB23*5.04</f>
        <v>5695.2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139</v>
      </c>
      <c r="P23" s="100">
        <f>'February 2025'!AD23</f>
        <v>262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5077</v>
      </c>
      <c r="F24" s="110">
        <f>('February 2025'!C24*0.27)/('February 2025'!C24+'February 2025'!E24)</f>
        <v>0.22240299389403193</v>
      </c>
      <c r="G24" s="97">
        <f>'February 2025'!U24</f>
        <v>25</v>
      </c>
      <c r="H24" s="113">
        <v>0.62</v>
      </c>
      <c r="I24" s="98">
        <f>'February 2025'!W24</f>
        <v>102</v>
      </c>
      <c r="J24" s="99">
        <v>2.42</v>
      </c>
      <c r="K24" s="106">
        <f>'February 2025'!AB24*5.04</f>
        <v>5922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123</v>
      </c>
      <c r="P24" s="100">
        <f>'February 2025'!AD24</f>
        <v>220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5119</v>
      </c>
      <c r="F25" s="110">
        <f>('February 2025'!C25*0.27)/('February 2025'!C25+'February 2025'!E25)</f>
        <v>0.20575698378589569</v>
      </c>
      <c r="G25" s="97">
        <f>'February 2025'!U25</f>
        <v>165</v>
      </c>
      <c r="H25" s="113">
        <v>0.62</v>
      </c>
      <c r="I25" s="98">
        <f>'February 2025'!W25</f>
        <v>101</v>
      </c>
      <c r="J25" s="99">
        <v>2.42</v>
      </c>
      <c r="K25" s="106">
        <f>'February 2025'!AB25*5.04</f>
        <v>6224.4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139</v>
      </c>
      <c r="P25" s="100">
        <f>'February 2025'!AD25</f>
        <v>229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4986</v>
      </c>
      <c r="F26" s="110">
        <f>('February 2025'!C26*0.27)/('February 2025'!C26+'February 2025'!E26)</f>
        <v>0.20528880866425994</v>
      </c>
      <c r="G26" s="97">
        <f>'February 2025'!U26</f>
        <v>50</v>
      </c>
      <c r="H26" s="113">
        <v>0.62</v>
      </c>
      <c r="I26" s="98">
        <f>'February 2025'!W26</f>
        <v>107</v>
      </c>
      <c r="J26" s="99">
        <v>2.42</v>
      </c>
      <c r="K26" s="106">
        <f>'February 2025'!AB26*5.04</f>
        <v>6073.2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119</v>
      </c>
      <c r="P26" s="100">
        <f>'February 2025'!AD26</f>
        <v>195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4951</v>
      </c>
      <c r="F27" s="110">
        <f>('February 2025'!C27*0.27)/('February 2025'!C27+'February 2025'!E27)</f>
        <v>0.2272995354473844</v>
      </c>
      <c r="G27" s="97">
        <f>'February 2025'!U27</f>
        <v>100</v>
      </c>
      <c r="H27" s="113">
        <v>0.62</v>
      </c>
      <c r="I27" s="98">
        <f>'February 2025'!W27</f>
        <v>84</v>
      </c>
      <c r="J27" s="99">
        <v>2.42</v>
      </c>
      <c r="K27" s="106">
        <f>'February 2025'!AB27*5.04</f>
        <v>5619.6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106</v>
      </c>
      <c r="P27" s="100">
        <f>'February 2025'!AD27</f>
        <v>177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4909</v>
      </c>
      <c r="F28" s="110">
        <f>('February 2025'!C28*0.27)/('February 2025'!C28+'February 2025'!E28)</f>
        <v>0.20663882664493788</v>
      </c>
      <c r="G28" s="97">
        <f>'February 2025'!U28</f>
        <v>50</v>
      </c>
      <c r="H28" s="113">
        <v>0.62</v>
      </c>
      <c r="I28" s="98">
        <f>'February 2025'!W28</f>
        <v>90</v>
      </c>
      <c r="J28" s="99">
        <v>2.42</v>
      </c>
      <c r="K28" s="106">
        <f>'February 2025'!AB28*5.04</f>
        <v>5720.4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102</v>
      </c>
      <c r="P28" s="100">
        <f>'February 2025'!AD28</f>
        <v>171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2025'!C29&lt;0,"0",'February 2025'!C29)+(IF('February 2025'!E29&lt;0,"0",'February 2025'!E29)-(IF('February 2025'!G29&lt;0,"0",'February 2025'!G29)))</f>
        <v>1035</v>
      </c>
      <c r="F29" s="110">
        <f>('February 2025'!C29*0.27)/('February 2025'!C29+'February 2025'!E29)</f>
        <v>0</v>
      </c>
      <c r="G29" s="97">
        <f>'February 2025'!U29</f>
        <v>55</v>
      </c>
      <c r="H29" s="113">
        <v>0.62</v>
      </c>
      <c r="I29" s="98">
        <f>'February 2025'!W29</f>
        <v>72</v>
      </c>
      <c r="J29" s="99">
        <v>2.42</v>
      </c>
      <c r="K29" s="106">
        <f>'February 2025'!AB29*5.04</f>
        <v>7383.6</v>
      </c>
      <c r="L29" s="116">
        <v>0.11509999999999999</v>
      </c>
      <c r="M29" s="107">
        <f>'February 2025'!M29</f>
        <v>8000</v>
      </c>
      <c r="N29" s="119">
        <v>0.88</v>
      </c>
      <c r="O29" s="100">
        <f>'February 2025'!AC29</f>
        <v>129</v>
      </c>
      <c r="P29" s="100">
        <f>'February 2025'!AD29</f>
        <v>230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J1" zoomScale="85" zoomScaleNormal="85" workbookViewId="0">
      <selection activeCell="T11" sqref="T1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6.62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-150.97000000000116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>
        <f t="shared" si="1"/>
        <v>3677</v>
      </c>
      <c r="D4" s="11">
        <v>644309</v>
      </c>
      <c r="E4" s="14">
        <f t="shared" si="2"/>
        <v>598</v>
      </c>
      <c r="F4" s="27">
        <v>1704</v>
      </c>
      <c r="G4" s="67">
        <f t="shared" si="3"/>
        <v>0</v>
      </c>
      <c r="H4" s="69">
        <f t="shared" si="4"/>
        <v>4275</v>
      </c>
      <c r="I4" s="73">
        <f t="shared" si="5"/>
        <v>-41417.519999999997</v>
      </c>
      <c r="J4" s="32">
        <f t="shared" si="0"/>
        <v>1</v>
      </c>
      <c r="K4" s="20">
        <f t="shared" si="6"/>
        <v>45691</v>
      </c>
      <c r="L4" s="33">
        <v>6432</v>
      </c>
      <c r="M4" s="31">
        <v>0</v>
      </c>
      <c r="N4" s="32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>
        <f t="shared" si="9"/>
        <v>25</v>
      </c>
      <c r="V4" s="41">
        <v>3598</v>
      </c>
      <c r="W4" s="32">
        <f t="shared" si="10"/>
        <v>58</v>
      </c>
      <c r="X4" s="43">
        <v>61265</v>
      </c>
      <c r="Y4" s="14">
        <f t="shared" si="11"/>
        <v>0</v>
      </c>
      <c r="Z4" s="46">
        <v>8035</v>
      </c>
      <c r="AA4" s="52">
        <v>0</v>
      </c>
      <c r="AB4" s="32">
        <f t="shared" si="12"/>
        <v>1260</v>
      </c>
      <c r="AC4" s="13">
        <v>61</v>
      </c>
      <c r="AD4" s="18">
        <v>96</v>
      </c>
    </row>
    <row r="5" spans="1:30" ht="20.7" customHeight="1" x14ac:dyDescent="0.2">
      <c r="A5" s="19">
        <v>45692</v>
      </c>
      <c r="B5" s="10">
        <v>13542528</v>
      </c>
      <c r="C5" s="14">
        <f t="shared" si="1"/>
        <v>3383</v>
      </c>
      <c r="D5" s="11">
        <v>644907</v>
      </c>
      <c r="E5" s="14">
        <f t="shared" si="2"/>
        <v>894</v>
      </c>
      <c r="F5" s="27">
        <v>1704</v>
      </c>
      <c r="G5" s="67">
        <f t="shared" si="3"/>
        <v>0</v>
      </c>
      <c r="H5" s="69">
        <f t="shared" si="4"/>
        <v>4277</v>
      </c>
      <c r="I5" s="73">
        <f t="shared" si="5"/>
        <v>-41416.519999999997</v>
      </c>
      <c r="J5" s="32">
        <f t="shared" si="0"/>
        <v>245</v>
      </c>
      <c r="K5" s="20">
        <f t="shared" si="6"/>
        <v>45692</v>
      </c>
      <c r="L5" s="33">
        <v>6432</v>
      </c>
      <c r="M5" s="31">
        <v>0</v>
      </c>
      <c r="N5" s="32">
        <f t="shared" si="7"/>
        <v>0</v>
      </c>
      <c r="O5" s="85">
        <v>0.7</v>
      </c>
      <c r="P5" s="86">
        <v>0.7</v>
      </c>
      <c r="Q5" s="85">
        <v>0.82</v>
      </c>
      <c r="R5" s="86">
        <v>0.75</v>
      </c>
      <c r="S5" s="38">
        <f t="shared" si="8"/>
        <v>4285</v>
      </c>
      <c r="T5" s="123"/>
      <c r="U5" s="32">
        <f t="shared" si="9"/>
        <v>25</v>
      </c>
      <c r="V5" s="41">
        <v>3656</v>
      </c>
      <c r="W5" s="32">
        <f t="shared" si="10"/>
        <v>72</v>
      </c>
      <c r="X5" s="43">
        <v>61265</v>
      </c>
      <c r="Y5" s="14">
        <f t="shared" si="11"/>
        <v>0</v>
      </c>
      <c r="Z5" s="46">
        <v>6775</v>
      </c>
      <c r="AA5" s="52">
        <v>0</v>
      </c>
      <c r="AB5" s="32">
        <f t="shared" si="12"/>
        <v>1210</v>
      </c>
      <c r="AC5" s="13">
        <v>71</v>
      </c>
      <c r="AD5" s="18">
        <v>103</v>
      </c>
    </row>
    <row r="6" spans="1:30" ht="20.7" customHeight="1" x14ac:dyDescent="0.2">
      <c r="A6" s="19">
        <v>45693</v>
      </c>
      <c r="B6" s="10">
        <v>13545911</v>
      </c>
      <c r="C6" s="14">
        <f t="shared" si="1"/>
        <v>3721</v>
      </c>
      <c r="D6" s="11">
        <v>645801</v>
      </c>
      <c r="E6" s="14">
        <f t="shared" si="2"/>
        <v>802</v>
      </c>
      <c r="F6" s="27">
        <v>1704</v>
      </c>
      <c r="G6" s="67">
        <f t="shared" si="3"/>
        <v>0</v>
      </c>
      <c r="H6" s="69">
        <f t="shared" si="4"/>
        <v>4523</v>
      </c>
      <c r="I6" s="73">
        <f t="shared" si="5"/>
        <v>-41171.519999999997</v>
      </c>
      <c r="J6" s="32">
        <f t="shared" si="0"/>
        <v>218.0399999999936</v>
      </c>
      <c r="K6" s="20">
        <f t="shared" si="6"/>
        <v>45693</v>
      </c>
      <c r="L6" s="33">
        <v>6432</v>
      </c>
      <c r="M6" s="31">
        <v>0</v>
      </c>
      <c r="N6" s="32">
        <f t="shared" si="7"/>
        <v>0</v>
      </c>
      <c r="O6" s="85">
        <v>0.7</v>
      </c>
      <c r="P6" s="86">
        <v>0.69</v>
      </c>
      <c r="Q6" s="85">
        <v>0.82</v>
      </c>
      <c r="R6" s="86">
        <v>0.75</v>
      </c>
      <c r="S6" s="38">
        <f t="shared" si="8"/>
        <v>4260</v>
      </c>
      <c r="T6" s="123"/>
      <c r="U6" s="32">
        <f t="shared" si="9"/>
        <v>150</v>
      </c>
      <c r="V6" s="41">
        <v>3728</v>
      </c>
      <c r="W6" s="32">
        <f t="shared" si="10"/>
        <v>58</v>
      </c>
      <c r="X6" s="43">
        <v>61265</v>
      </c>
      <c r="Y6" s="14">
        <f t="shared" si="11"/>
        <v>0</v>
      </c>
      <c r="Z6" s="46">
        <v>5565</v>
      </c>
      <c r="AA6" s="52">
        <v>0</v>
      </c>
      <c r="AB6" s="32">
        <f t="shared" si="12"/>
        <v>1325</v>
      </c>
      <c r="AC6" s="13">
        <v>84</v>
      </c>
      <c r="AD6" s="18">
        <v>128</v>
      </c>
    </row>
    <row r="7" spans="1:30" ht="20.7" customHeight="1" x14ac:dyDescent="0.2">
      <c r="A7" s="19">
        <v>45694</v>
      </c>
      <c r="B7" s="10">
        <v>13549632</v>
      </c>
      <c r="C7" s="14">
        <f t="shared" si="1"/>
        <v>3802</v>
      </c>
      <c r="D7" s="11">
        <v>646603</v>
      </c>
      <c r="E7" s="14">
        <f t="shared" si="2"/>
        <v>940</v>
      </c>
      <c r="F7" s="27">
        <v>1704</v>
      </c>
      <c r="G7" s="67">
        <f t="shared" si="3"/>
        <v>0</v>
      </c>
      <c r="H7" s="69">
        <f t="shared" si="4"/>
        <v>4742</v>
      </c>
      <c r="I7" s="73">
        <f t="shared" si="5"/>
        <v>-40953.480000000003</v>
      </c>
      <c r="J7" s="32">
        <f t="shared" si="0"/>
        <v>7.0100000000020373</v>
      </c>
      <c r="K7" s="20">
        <f t="shared" si="6"/>
        <v>45694</v>
      </c>
      <c r="L7" s="33">
        <v>6432</v>
      </c>
      <c r="M7" s="31">
        <v>0</v>
      </c>
      <c r="N7" s="32">
        <f t="shared" si="7"/>
        <v>0</v>
      </c>
      <c r="O7" s="85">
        <v>0.66</v>
      </c>
      <c r="P7" s="86">
        <v>0.67</v>
      </c>
      <c r="Q7" s="85">
        <v>0.82</v>
      </c>
      <c r="R7" s="86">
        <v>0.75</v>
      </c>
      <c r="S7" s="38">
        <f t="shared" si="8"/>
        <v>4110</v>
      </c>
      <c r="T7" s="123"/>
      <c r="U7" s="32">
        <f t="shared" si="9"/>
        <v>25</v>
      </c>
      <c r="V7" s="41">
        <v>3786</v>
      </c>
      <c r="W7" s="32">
        <f t="shared" si="10"/>
        <v>66</v>
      </c>
      <c r="X7" s="43">
        <v>61265</v>
      </c>
      <c r="Y7" s="14">
        <f t="shared" si="11"/>
        <v>0</v>
      </c>
      <c r="Z7" s="46">
        <v>4240</v>
      </c>
      <c r="AA7" s="52">
        <v>0</v>
      </c>
      <c r="AB7" s="32">
        <f t="shared" si="12"/>
        <v>1460</v>
      </c>
      <c r="AC7" s="13">
        <v>85</v>
      </c>
      <c r="AD7" s="18">
        <v>140</v>
      </c>
    </row>
    <row r="8" spans="1:30" ht="20.7" customHeight="1" x14ac:dyDescent="0.2">
      <c r="A8" s="19">
        <v>45695</v>
      </c>
      <c r="B8" s="10">
        <v>13553434</v>
      </c>
      <c r="C8" s="14">
        <f t="shared" si="1"/>
        <v>4066</v>
      </c>
      <c r="D8" s="11">
        <v>647543</v>
      </c>
      <c r="E8" s="14">
        <f t="shared" si="2"/>
        <v>684</v>
      </c>
      <c r="F8" s="27">
        <v>1704</v>
      </c>
      <c r="G8" s="67">
        <f t="shared" si="3"/>
        <v>0</v>
      </c>
      <c r="H8" s="69">
        <f t="shared" si="4"/>
        <v>4750</v>
      </c>
      <c r="I8" s="73">
        <f t="shared" si="5"/>
        <v>-40946.47</v>
      </c>
      <c r="J8" s="32">
        <f t="shared" si="0"/>
        <v>211.02999999999884</v>
      </c>
      <c r="K8" s="20">
        <f t="shared" si="6"/>
        <v>45695</v>
      </c>
      <c r="L8" s="33">
        <v>6432</v>
      </c>
      <c r="M8" s="31">
        <v>0</v>
      </c>
      <c r="N8" s="32">
        <f t="shared" si="7"/>
        <v>0</v>
      </c>
      <c r="O8" s="85">
        <v>0.65</v>
      </c>
      <c r="P8" s="86">
        <v>0.67</v>
      </c>
      <c r="Q8" s="85">
        <v>0.82</v>
      </c>
      <c r="R8" s="86">
        <v>0.75</v>
      </c>
      <c r="S8" s="38">
        <f t="shared" si="8"/>
        <v>4085</v>
      </c>
      <c r="T8" s="123"/>
      <c r="U8" s="32">
        <f t="shared" si="9"/>
        <v>125</v>
      </c>
      <c r="V8" s="41">
        <v>3852</v>
      </c>
      <c r="W8" s="32">
        <f t="shared" si="10"/>
        <v>87</v>
      </c>
      <c r="X8" s="43">
        <v>61265</v>
      </c>
      <c r="Y8" s="14">
        <f t="shared" si="11"/>
        <v>0</v>
      </c>
      <c r="Z8" s="46">
        <v>2780</v>
      </c>
      <c r="AA8" s="52">
        <v>8010</v>
      </c>
      <c r="AB8" s="32">
        <f t="shared" si="12"/>
        <v>1375</v>
      </c>
      <c r="AC8" s="13">
        <v>127</v>
      </c>
      <c r="AD8" s="18">
        <v>206</v>
      </c>
    </row>
    <row r="9" spans="1:30" ht="20.7" customHeight="1" x14ac:dyDescent="0.2">
      <c r="A9" s="19">
        <v>45696</v>
      </c>
      <c r="B9" s="10">
        <v>13557500</v>
      </c>
      <c r="C9" s="14">
        <f t="shared" si="1"/>
        <v>3949</v>
      </c>
      <c r="D9" s="11">
        <v>648227</v>
      </c>
      <c r="E9" s="14">
        <f t="shared" si="2"/>
        <v>1013</v>
      </c>
      <c r="F9" s="27">
        <v>1704</v>
      </c>
      <c r="G9" s="67">
        <f t="shared" si="3"/>
        <v>0</v>
      </c>
      <c r="H9" s="69">
        <f t="shared" si="4"/>
        <v>4962</v>
      </c>
      <c r="I9" s="73">
        <f t="shared" si="5"/>
        <v>-40735.440000000002</v>
      </c>
      <c r="J9" s="32">
        <f t="shared" si="0"/>
        <v>-59.989999999997963</v>
      </c>
      <c r="K9" s="20">
        <f t="shared" si="6"/>
        <v>45696</v>
      </c>
      <c r="L9" s="33">
        <v>6432</v>
      </c>
      <c r="M9" s="31">
        <v>0</v>
      </c>
      <c r="N9" s="32">
        <f t="shared" si="7"/>
        <v>0</v>
      </c>
      <c r="O9" s="85">
        <v>0.62</v>
      </c>
      <c r="P9" s="86">
        <v>0.65</v>
      </c>
      <c r="Q9" s="85">
        <v>0.82</v>
      </c>
      <c r="R9" s="86">
        <v>0.75</v>
      </c>
      <c r="S9" s="38">
        <f t="shared" si="8"/>
        <v>3960</v>
      </c>
      <c r="T9" s="123"/>
      <c r="U9" s="32">
        <f t="shared" si="9"/>
        <v>50</v>
      </c>
      <c r="V9" s="41">
        <v>3939</v>
      </c>
      <c r="W9" s="32">
        <f t="shared" si="10"/>
        <v>91</v>
      </c>
      <c r="X9" s="43">
        <v>61265</v>
      </c>
      <c r="Y9" s="14">
        <f t="shared" si="11"/>
        <v>0</v>
      </c>
      <c r="Z9" s="47">
        <v>9415</v>
      </c>
      <c r="AA9" s="52">
        <v>0</v>
      </c>
      <c r="AB9" s="32">
        <f t="shared" si="12"/>
        <v>1460</v>
      </c>
      <c r="AC9" s="13">
        <v>140</v>
      </c>
      <c r="AD9" s="18">
        <v>239</v>
      </c>
    </row>
    <row r="10" spans="1:30" ht="20.7" customHeight="1" x14ac:dyDescent="0.2">
      <c r="A10" s="19">
        <v>45697</v>
      </c>
      <c r="B10" s="10">
        <v>13561449</v>
      </c>
      <c r="C10" s="14">
        <f t="shared" si="1"/>
        <v>4489</v>
      </c>
      <c r="D10" s="11">
        <v>649240</v>
      </c>
      <c r="E10" s="14">
        <f t="shared" si="2"/>
        <v>414</v>
      </c>
      <c r="F10" s="27">
        <v>1704</v>
      </c>
      <c r="G10" s="67">
        <f t="shared" si="3"/>
        <v>0</v>
      </c>
      <c r="H10" s="69">
        <f t="shared" si="4"/>
        <v>4903</v>
      </c>
      <c r="I10" s="73">
        <f t="shared" si="5"/>
        <v>-40795.43</v>
      </c>
      <c r="J10" s="32">
        <f t="shared" si="0"/>
        <v>-124</v>
      </c>
      <c r="K10" s="20">
        <f t="shared" si="6"/>
        <v>45697</v>
      </c>
      <c r="L10" s="33">
        <v>6432</v>
      </c>
      <c r="M10" s="31">
        <v>0</v>
      </c>
      <c r="N10" s="32">
        <f t="shared" si="7"/>
        <v>0</v>
      </c>
      <c r="O10" s="85">
        <v>0.61</v>
      </c>
      <c r="P10" s="86">
        <v>0.64</v>
      </c>
      <c r="Q10" s="85">
        <v>0.82</v>
      </c>
      <c r="R10" s="86">
        <v>0.75</v>
      </c>
      <c r="S10" s="38">
        <f t="shared" si="8"/>
        <v>3910</v>
      </c>
      <c r="T10" s="123"/>
      <c r="U10" s="32">
        <f t="shared" si="9"/>
        <v>25</v>
      </c>
      <c r="V10" s="41">
        <v>4030</v>
      </c>
      <c r="W10" s="32">
        <f t="shared" si="10"/>
        <v>80</v>
      </c>
      <c r="X10" s="43">
        <v>61265</v>
      </c>
      <c r="Y10" s="14">
        <f t="shared" si="11"/>
        <v>0</v>
      </c>
      <c r="Z10" s="47">
        <v>7955</v>
      </c>
      <c r="AA10" s="52">
        <v>0</v>
      </c>
      <c r="AB10" s="32">
        <f t="shared" si="12"/>
        <v>1675</v>
      </c>
      <c r="AC10" s="13">
        <v>120</v>
      </c>
      <c r="AD10" s="18">
        <v>190</v>
      </c>
    </row>
    <row r="11" spans="1:30" ht="20.7" customHeight="1" x14ac:dyDescent="0.2">
      <c r="A11" s="19">
        <v>45698</v>
      </c>
      <c r="B11" s="10">
        <v>13565938</v>
      </c>
      <c r="C11" s="14">
        <f t="shared" si="1"/>
        <v>4092</v>
      </c>
      <c r="D11" s="11">
        <v>649654</v>
      </c>
      <c r="E11" s="14">
        <f t="shared" si="2"/>
        <v>688</v>
      </c>
      <c r="F11" s="27">
        <v>1704</v>
      </c>
      <c r="G11" s="67">
        <f t="shared" si="3"/>
        <v>0</v>
      </c>
      <c r="H11" s="69">
        <f t="shared" si="4"/>
        <v>4780</v>
      </c>
      <c r="I11" s="73">
        <f t="shared" si="5"/>
        <v>-40919.43</v>
      </c>
      <c r="J11" s="32">
        <f t="shared" si="0"/>
        <v>84.80000000000291</v>
      </c>
      <c r="K11" s="20">
        <f t="shared" si="6"/>
        <v>45698</v>
      </c>
      <c r="L11" s="33">
        <v>6432</v>
      </c>
      <c r="M11" s="31">
        <v>0</v>
      </c>
      <c r="N11" s="32">
        <f t="shared" si="7"/>
        <v>0</v>
      </c>
      <c r="O11" s="85">
        <v>0.61</v>
      </c>
      <c r="P11" s="86">
        <v>0.63</v>
      </c>
      <c r="Q11" s="85">
        <v>0.82</v>
      </c>
      <c r="R11" s="86">
        <v>0.75</v>
      </c>
      <c r="S11" s="38">
        <f t="shared" si="8"/>
        <v>3885</v>
      </c>
      <c r="T11" s="123">
        <v>1005</v>
      </c>
      <c r="U11" s="32">
        <f t="shared" si="9"/>
        <v>130</v>
      </c>
      <c r="V11" s="41">
        <v>4110</v>
      </c>
      <c r="W11" s="32">
        <f t="shared" si="10"/>
        <v>92</v>
      </c>
      <c r="X11" s="43">
        <v>61265</v>
      </c>
      <c r="Y11" s="14">
        <f t="shared" si="11"/>
        <v>0</v>
      </c>
      <c r="Z11" s="47">
        <v>6280</v>
      </c>
      <c r="AA11" s="52">
        <v>0</v>
      </c>
      <c r="AB11" s="32">
        <f t="shared" si="12"/>
        <v>1825</v>
      </c>
      <c r="AC11" s="13">
        <v>121</v>
      </c>
      <c r="AD11" s="18">
        <v>188</v>
      </c>
    </row>
    <row r="12" spans="1:30" ht="20.7" customHeight="1" x14ac:dyDescent="0.2">
      <c r="A12" s="19">
        <v>45699</v>
      </c>
      <c r="B12" s="10">
        <v>13570030</v>
      </c>
      <c r="C12" s="14">
        <f t="shared" si="1"/>
        <v>3922</v>
      </c>
      <c r="D12" s="11">
        <v>650342</v>
      </c>
      <c r="E12" s="14">
        <f t="shared" si="2"/>
        <v>944</v>
      </c>
      <c r="F12" s="27">
        <v>1704</v>
      </c>
      <c r="G12" s="67">
        <f t="shared" si="3"/>
        <v>0</v>
      </c>
      <c r="H12" s="69">
        <f t="shared" si="4"/>
        <v>4866</v>
      </c>
      <c r="I12" s="73">
        <f t="shared" si="5"/>
        <v>-40834.629999999997</v>
      </c>
      <c r="J12" s="32">
        <f t="shared" si="0"/>
        <v>-382.9800000000032</v>
      </c>
      <c r="K12" s="20">
        <f t="shared" si="6"/>
        <v>45699</v>
      </c>
      <c r="L12" s="33">
        <v>6432</v>
      </c>
      <c r="M12" s="34">
        <v>0</v>
      </c>
      <c r="N12" s="32">
        <f t="shared" si="7"/>
        <v>0</v>
      </c>
      <c r="O12" s="85">
        <v>0.81</v>
      </c>
      <c r="P12" s="86">
        <v>0.78</v>
      </c>
      <c r="Q12" s="85">
        <v>0.82</v>
      </c>
      <c r="R12" s="86">
        <v>0.75</v>
      </c>
      <c r="S12" s="38">
        <f t="shared" si="8"/>
        <v>4760</v>
      </c>
      <c r="T12" s="123"/>
      <c r="U12" s="32">
        <f t="shared" si="9"/>
        <v>75</v>
      </c>
      <c r="V12" s="41">
        <v>4202</v>
      </c>
      <c r="W12" s="32">
        <f t="shared" si="10"/>
        <v>86</v>
      </c>
      <c r="X12" s="43">
        <v>61265</v>
      </c>
      <c r="Y12" s="14">
        <f t="shared" si="11"/>
        <v>0</v>
      </c>
      <c r="Z12" s="47">
        <v>4455</v>
      </c>
      <c r="AA12" s="52">
        <v>0</v>
      </c>
      <c r="AB12" s="32">
        <f t="shared" si="12"/>
        <v>1865</v>
      </c>
      <c r="AC12" s="13">
        <v>125</v>
      </c>
      <c r="AD12" s="18">
        <v>186</v>
      </c>
    </row>
    <row r="13" spans="1:30" ht="20.7" customHeight="1" x14ac:dyDescent="0.2">
      <c r="A13" s="19">
        <v>45700</v>
      </c>
      <c r="B13" s="10">
        <v>13573952</v>
      </c>
      <c r="C13" s="14">
        <f t="shared" si="1"/>
        <v>3751</v>
      </c>
      <c r="D13" s="11">
        <v>651286</v>
      </c>
      <c r="E13" s="14">
        <f t="shared" si="2"/>
        <v>733</v>
      </c>
      <c r="F13" s="27">
        <v>1704</v>
      </c>
      <c r="G13" s="67">
        <f t="shared" si="3"/>
        <v>0</v>
      </c>
      <c r="H13" s="69">
        <f t="shared" si="4"/>
        <v>4484</v>
      </c>
      <c r="I13" s="73">
        <f t="shared" si="5"/>
        <v>-41217.61</v>
      </c>
      <c r="J13" s="32">
        <f t="shared" si="0"/>
        <v>499.02000000000407</v>
      </c>
      <c r="K13" s="20">
        <f t="shared" si="6"/>
        <v>45700</v>
      </c>
      <c r="L13" s="33">
        <v>6432</v>
      </c>
      <c r="M13" s="34">
        <v>0</v>
      </c>
      <c r="N13" s="32">
        <f t="shared" si="7"/>
        <v>0</v>
      </c>
      <c r="O13" s="85">
        <v>0.79</v>
      </c>
      <c r="P13" s="86">
        <v>0.77</v>
      </c>
      <c r="Q13" s="85">
        <v>0.82</v>
      </c>
      <c r="R13" s="86">
        <v>0.75</v>
      </c>
      <c r="S13" s="38">
        <f t="shared" si="8"/>
        <v>4685</v>
      </c>
      <c r="T13" s="123"/>
      <c r="U13" s="32">
        <f t="shared" si="9"/>
        <v>75</v>
      </c>
      <c r="V13" s="41">
        <v>4288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2590</v>
      </c>
      <c r="AA13" s="52">
        <v>0</v>
      </c>
      <c r="AB13" s="32">
        <f t="shared" si="12"/>
        <v>1710</v>
      </c>
      <c r="AC13" s="13">
        <v>81</v>
      </c>
      <c r="AD13" s="18">
        <v>129</v>
      </c>
    </row>
    <row r="14" spans="1:30" ht="20.7" customHeight="1" x14ac:dyDescent="0.2">
      <c r="A14" s="19">
        <v>45701</v>
      </c>
      <c r="B14" s="10">
        <v>13577703</v>
      </c>
      <c r="C14" s="14">
        <f t="shared" si="1"/>
        <v>4006</v>
      </c>
      <c r="D14" s="11">
        <v>652019</v>
      </c>
      <c r="E14" s="14">
        <f t="shared" si="2"/>
        <v>978</v>
      </c>
      <c r="F14" s="27">
        <v>1704</v>
      </c>
      <c r="G14" s="67">
        <f t="shared" si="3"/>
        <v>0</v>
      </c>
      <c r="H14" s="69">
        <f t="shared" si="4"/>
        <v>4984</v>
      </c>
      <c r="I14" s="73">
        <f t="shared" si="5"/>
        <v>-40718.589999999997</v>
      </c>
      <c r="J14" s="32">
        <f t="shared" si="0"/>
        <v>101.00999999999476</v>
      </c>
      <c r="K14" s="20">
        <f t="shared" si="6"/>
        <v>45701</v>
      </c>
      <c r="L14" s="33">
        <v>6432</v>
      </c>
      <c r="M14" s="34">
        <v>0</v>
      </c>
      <c r="N14" s="32">
        <f t="shared" si="7"/>
        <v>297</v>
      </c>
      <c r="O14" s="85">
        <v>0.77</v>
      </c>
      <c r="P14" s="86">
        <v>0.76</v>
      </c>
      <c r="Q14" s="85">
        <v>0.82</v>
      </c>
      <c r="R14" s="86">
        <v>0.75</v>
      </c>
      <c r="S14" s="38">
        <f t="shared" si="8"/>
        <v>4610</v>
      </c>
      <c r="T14" s="123"/>
      <c r="U14" s="32">
        <f t="shared" si="9"/>
        <v>50</v>
      </c>
      <c r="V14" s="41">
        <v>4365</v>
      </c>
      <c r="W14" s="32">
        <f t="shared" si="10"/>
        <v>68</v>
      </c>
      <c r="X14" s="43">
        <v>61265</v>
      </c>
      <c r="Y14" s="14">
        <f t="shared" si="11"/>
        <v>0</v>
      </c>
      <c r="Z14" s="47">
        <v>880</v>
      </c>
      <c r="AA14" s="52">
        <v>8260</v>
      </c>
      <c r="AB14" s="32">
        <f t="shared" si="12"/>
        <v>930</v>
      </c>
      <c r="AC14" s="13">
        <v>85</v>
      </c>
      <c r="AD14" s="18">
        <v>139</v>
      </c>
    </row>
    <row r="15" spans="1:30" ht="20.7" customHeight="1" x14ac:dyDescent="0.2">
      <c r="A15" s="19">
        <v>45702</v>
      </c>
      <c r="B15" s="10">
        <v>13581709</v>
      </c>
      <c r="C15" s="14">
        <f t="shared" si="1"/>
        <v>4074</v>
      </c>
      <c r="D15" s="11">
        <v>652997</v>
      </c>
      <c r="E15" s="14">
        <f t="shared" si="2"/>
        <v>1012</v>
      </c>
      <c r="F15" s="27">
        <v>1704</v>
      </c>
      <c r="G15" s="67">
        <f t="shared" si="3"/>
        <v>0</v>
      </c>
      <c r="H15" s="69">
        <f t="shared" si="4"/>
        <v>5086</v>
      </c>
      <c r="I15" s="73">
        <f t="shared" si="5"/>
        <v>-40617.58</v>
      </c>
      <c r="J15" s="32">
        <f t="shared" si="0"/>
        <v>-65.989999999997963</v>
      </c>
      <c r="K15" s="20">
        <f t="shared" si="6"/>
        <v>45702</v>
      </c>
      <c r="L15" s="33">
        <v>6135</v>
      </c>
      <c r="M15" s="34">
        <v>0</v>
      </c>
      <c r="N15" s="32">
        <f t="shared" si="7"/>
        <v>341</v>
      </c>
      <c r="O15" s="85">
        <v>0.76</v>
      </c>
      <c r="P15" s="86">
        <v>0.75</v>
      </c>
      <c r="Q15" s="85">
        <v>0.82</v>
      </c>
      <c r="R15" s="86">
        <v>0.75</v>
      </c>
      <c r="S15" s="38">
        <f t="shared" si="8"/>
        <v>4560</v>
      </c>
      <c r="T15" s="123"/>
      <c r="U15" s="32">
        <f t="shared" si="9"/>
        <v>50</v>
      </c>
      <c r="V15" s="41">
        <v>4433</v>
      </c>
      <c r="W15" s="32">
        <f t="shared" si="10"/>
        <v>83</v>
      </c>
      <c r="X15" s="44">
        <v>61265</v>
      </c>
      <c r="Y15" s="14">
        <f t="shared" si="11"/>
        <v>0</v>
      </c>
      <c r="Z15" s="47">
        <v>8210</v>
      </c>
      <c r="AA15" s="52">
        <v>0</v>
      </c>
      <c r="AB15" s="32">
        <f t="shared" si="12"/>
        <v>865</v>
      </c>
      <c r="AC15" s="13">
        <v>117</v>
      </c>
      <c r="AD15" s="18">
        <v>203</v>
      </c>
    </row>
    <row r="16" spans="1:30" ht="20.7" customHeight="1" x14ac:dyDescent="0.2">
      <c r="A16" s="19">
        <v>45703</v>
      </c>
      <c r="B16" s="10">
        <v>13585783</v>
      </c>
      <c r="C16" s="14">
        <f t="shared" si="1"/>
        <v>4090</v>
      </c>
      <c r="D16" s="11">
        <v>654009</v>
      </c>
      <c r="E16" s="14">
        <f t="shared" si="2"/>
        <v>931</v>
      </c>
      <c r="F16" s="27">
        <v>1704</v>
      </c>
      <c r="G16" s="67">
        <f t="shared" si="3"/>
        <v>0</v>
      </c>
      <c r="H16" s="69">
        <f t="shared" si="4"/>
        <v>5021</v>
      </c>
      <c r="I16" s="73">
        <f t="shared" si="5"/>
        <v>-40683.57</v>
      </c>
      <c r="J16" s="32">
        <f t="shared" si="0"/>
        <v>-180</v>
      </c>
      <c r="K16" s="20">
        <f t="shared" si="6"/>
        <v>45703</v>
      </c>
      <c r="L16" s="33">
        <v>5794</v>
      </c>
      <c r="M16" s="34">
        <v>0</v>
      </c>
      <c r="N16" s="32">
        <f t="shared" si="7"/>
        <v>510</v>
      </c>
      <c r="O16" s="85">
        <v>0.75</v>
      </c>
      <c r="P16" s="86">
        <v>0.74</v>
      </c>
      <c r="Q16" s="85">
        <v>0.82</v>
      </c>
      <c r="R16" s="86">
        <v>0.75</v>
      </c>
      <c r="S16" s="38">
        <f t="shared" si="8"/>
        <v>4510</v>
      </c>
      <c r="T16" s="123"/>
      <c r="U16" s="32">
        <f t="shared" si="9"/>
        <v>25</v>
      </c>
      <c r="V16" s="41">
        <v>4516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7345</v>
      </c>
      <c r="AA16" s="52">
        <v>0</v>
      </c>
      <c r="AB16" s="32">
        <f t="shared" si="12"/>
        <v>910</v>
      </c>
      <c r="AC16" s="13">
        <v>155</v>
      </c>
      <c r="AD16" s="18">
        <v>288</v>
      </c>
    </row>
    <row r="17" spans="1:30" ht="20.7" customHeight="1" x14ac:dyDescent="0.2">
      <c r="A17" s="19">
        <v>45704</v>
      </c>
      <c r="B17" s="10">
        <v>13589873</v>
      </c>
      <c r="C17" s="14">
        <f t="shared" si="1"/>
        <v>3778</v>
      </c>
      <c r="D17" s="11">
        <v>654940</v>
      </c>
      <c r="E17" s="14">
        <f t="shared" si="2"/>
        <v>1064</v>
      </c>
      <c r="F17" s="27">
        <v>1704</v>
      </c>
      <c r="G17" s="67">
        <f t="shared" si="3"/>
        <v>0</v>
      </c>
      <c r="H17" s="69">
        <f t="shared" si="4"/>
        <v>4842</v>
      </c>
      <c r="I17" s="73">
        <f t="shared" si="5"/>
        <v>-40863.57</v>
      </c>
      <c r="J17" s="32">
        <f t="shared" si="0"/>
        <v>-278.9800000000032</v>
      </c>
      <c r="K17" s="20">
        <f t="shared" si="6"/>
        <v>45704</v>
      </c>
      <c r="L17" s="33">
        <v>5284</v>
      </c>
      <c r="M17" s="34">
        <v>0</v>
      </c>
      <c r="N17" s="32">
        <f t="shared" si="7"/>
        <v>458</v>
      </c>
      <c r="O17" s="85">
        <v>0.75</v>
      </c>
      <c r="P17" s="86">
        <v>0.73</v>
      </c>
      <c r="Q17" s="85">
        <v>0.82</v>
      </c>
      <c r="R17" s="86">
        <v>0.75</v>
      </c>
      <c r="S17" s="38">
        <f t="shared" si="8"/>
        <v>4485</v>
      </c>
      <c r="T17" s="123"/>
      <c r="U17" s="32">
        <f t="shared" si="9"/>
        <v>100</v>
      </c>
      <c r="V17" s="41">
        <v>4605</v>
      </c>
      <c r="W17" s="32">
        <f t="shared" si="10"/>
        <v>78</v>
      </c>
      <c r="X17" s="44">
        <v>61265</v>
      </c>
      <c r="Y17" s="14">
        <f t="shared" si="11"/>
        <v>0</v>
      </c>
      <c r="Z17" s="47">
        <v>6435</v>
      </c>
      <c r="AA17" s="52">
        <v>0</v>
      </c>
      <c r="AB17" s="32">
        <f t="shared" si="12"/>
        <v>610</v>
      </c>
      <c r="AC17" s="13">
        <v>92</v>
      </c>
      <c r="AD17" s="18">
        <v>163</v>
      </c>
    </row>
    <row r="18" spans="1:30" ht="20.7" customHeight="1" x14ac:dyDescent="0.2">
      <c r="A18" s="19">
        <v>45705</v>
      </c>
      <c r="B18" s="10">
        <v>13593651</v>
      </c>
      <c r="C18" s="14">
        <f t="shared" si="1"/>
        <v>3932</v>
      </c>
      <c r="D18" s="11">
        <v>656004</v>
      </c>
      <c r="E18" s="14">
        <f t="shared" si="2"/>
        <v>632</v>
      </c>
      <c r="F18" s="27">
        <v>1704</v>
      </c>
      <c r="G18" s="67">
        <f t="shared" si="3"/>
        <v>0</v>
      </c>
      <c r="H18" s="69">
        <f t="shared" si="4"/>
        <v>4564</v>
      </c>
      <c r="I18" s="73">
        <f t="shared" si="5"/>
        <v>-41142.550000000003</v>
      </c>
      <c r="J18" s="32">
        <f t="shared" si="0"/>
        <v>54.030000000006112</v>
      </c>
      <c r="K18" s="20">
        <f t="shared" si="6"/>
        <v>45705</v>
      </c>
      <c r="L18" s="33">
        <v>4826</v>
      </c>
      <c r="M18" s="34">
        <v>0</v>
      </c>
      <c r="N18" s="32">
        <f t="shared" si="7"/>
        <v>387</v>
      </c>
      <c r="O18" s="85">
        <v>0.73</v>
      </c>
      <c r="P18" s="86">
        <v>0.71</v>
      </c>
      <c r="Q18" s="85">
        <v>0.82</v>
      </c>
      <c r="R18" s="86">
        <v>0.75</v>
      </c>
      <c r="S18" s="38">
        <f t="shared" si="8"/>
        <v>4385</v>
      </c>
      <c r="T18" s="123"/>
      <c r="U18" s="32">
        <f t="shared" si="9"/>
        <v>100</v>
      </c>
      <c r="V18" s="41">
        <v>4683</v>
      </c>
      <c r="W18" s="32">
        <f t="shared" si="10"/>
        <v>80</v>
      </c>
      <c r="X18" s="44">
        <v>61265</v>
      </c>
      <c r="Y18" s="14">
        <f t="shared" si="11"/>
        <v>0</v>
      </c>
      <c r="Z18" s="47">
        <v>5825</v>
      </c>
      <c r="AA18" s="52">
        <v>0</v>
      </c>
      <c r="AB18" s="32">
        <f t="shared" si="12"/>
        <v>855</v>
      </c>
      <c r="AC18" s="13">
        <v>93</v>
      </c>
      <c r="AD18" s="18">
        <v>159</v>
      </c>
    </row>
    <row r="19" spans="1:30" ht="20.7" customHeight="1" x14ac:dyDescent="0.2">
      <c r="A19" s="19">
        <v>45706</v>
      </c>
      <c r="B19" s="10">
        <v>13597583</v>
      </c>
      <c r="C19" s="14">
        <f t="shared" si="1"/>
        <v>4255</v>
      </c>
      <c r="D19" s="11">
        <v>656636</v>
      </c>
      <c r="E19" s="14">
        <f t="shared" si="2"/>
        <v>364</v>
      </c>
      <c r="F19" s="27">
        <v>1704</v>
      </c>
      <c r="G19" s="67">
        <f t="shared" si="3"/>
        <v>0</v>
      </c>
      <c r="H19" s="69">
        <f t="shared" si="4"/>
        <v>4619</v>
      </c>
      <c r="I19" s="73">
        <f t="shared" si="5"/>
        <v>-41088.519999999997</v>
      </c>
      <c r="J19" s="32">
        <f t="shared" si="0"/>
        <v>-317.99000000000524</v>
      </c>
      <c r="K19" s="20">
        <f t="shared" si="6"/>
        <v>45706</v>
      </c>
      <c r="L19" s="33">
        <v>4439</v>
      </c>
      <c r="M19" s="34">
        <v>0</v>
      </c>
      <c r="N19" s="32">
        <f t="shared" si="7"/>
        <v>386</v>
      </c>
      <c r="O19" s="85">
        <v>0.7</v>
      </c>
      <c r="P19" s="86">
        <v>0.7</v>
      </c>
      <c r="Q19" s="85">
        <v>0.82</v>
      </c>
      <c r="R19" s="86">
        <v>0.75</v>
      </c>
      <c r="S19" s="38">
        <f t="shared" si="8"/>
        <v>4285</v>
      </c>
      <c r="T19" s="123"/>
      <c r="U19" s="32">
        <f t="shared" si="9"/>
        <v>50</v>
      </c>
      <c r="V19" s="41">
        <v>4763</v>
      </c>
      <c r="W19" s="32">
        <f t="shared" si="10"/>
        <v>88</v>
      </c>
      <c r="X19" s="44">
        <v>61265</v>
      </c>
      <c r="Y19" s="14" t="str">
        <f t="shared" si="11"/>
        <v>0</v>
      </c>
      <c r="Z19" s="47">
        <v>4970</v>
      </c>
      <c r="AA19" s="52">
        <v>0</v>
      </c>
      <c r="AB19" s="32">
        <f t="shared" si="12"/>
        <v>930</v>
      </c>
      <c r="AC19" s="13">
        <v>111</v>
      </c>
      <c r="AD19" s="18">
        <v>195</v>
      </c>
    </row>
    <row r="20" spans="1:30" ht="20.7" customHeight="1" x14ac:dyDescent="0.2">
      <c r="A20" s="19">
        <v>45707</v>
      </c>
      <c r="B20" s="10">
        <v>13601838</v>
      </c>
      <c r="C20" s="14">
        <f t="shared" si="1"/>
        <v>3451</v>
      </c>
      <c r="D20" s="11">
        <v>657000</v>
      </c>
      <c r="E20" s="14">
        <f t="shared" si="2"/>
        <v>851</v>
      </c>
      <c r="F20" s="27">
        <v>1704</v>
      </c>
      <c r="G20" s="67">
        <f t="shared" si="3"/>
        <v>0</v>
      </c>
      <c r="H20" s="69">
        <f t="shared" si="4"/>
        <v>4302</v>
      </c>
      <c r="I20" s="73">
        <f t="shared" si="5"/>
        <v>-41406.51</v>
      </c>
      <c r="J20" s="32">
        <f t="shared" si="0"/>
        <v>560.02999999999884</v>
      </c>
      <c r="K20" s="20">
        <f t="shared" si="6"/>
        <v>45707</v>
      </c>
      <c r="L20" s="33">
        <v>4053</v>
      </c>
      <c r="M20" s="34">
        <v>0</v>
      </c>
      <c r="N20" s="32">
        <f t="shared" si="7"/>
        <v>411</v>
      </c>
      <c r="O20" s="85">
        <v>0.69</v>
      </c>
      <c r="P20" s="86">
        <v>0.69</v>
      </c>
      <c r="Q20" s="85">
        <v>0.82</v>
      </c>
      <c r="R20" s="86">
        <v>0.75</v>
      </c>
      <c r="S20" s="38">
        <f t="shared" si="8"/>
        <v>4235</v>
      </c>
      <c r="T20" s="123"/>
      <c r="U20" s="32">
        <f t="shared" si="9"/>
        <v>125</v>
      </c>
      <c r="V20" s="41">
        <v>4851</v>
      </c>
      <c r="W20" s="32">
        <f t="shared" si="10"/>
        <v>67</v>
      </c>
      <c r="X20" s="44">
        <v>61256</v>
      </c>
      <c r="Y20" s="14">
        <f t="shared" si="11"/>
        <v>9</v>
      </c>
      <c r="Z20" s="47">
        <v>4040</v>
      </c>
      <c r="AA20" s="52">
        <v>0</v>
      </c>
      <c r="AB20" s="32">
        <f t="shared" si="12"/>
        <v>685</v>
      </c>
      <c r="AC20" s="13">
        <v>120</v>
      </c>
      <c r="AD20" s="18">
        <v>211</v>
      </c>
    </row>
    <row r="21" spans="1:30" ht="20.7" customHeight="1" x14ac:dyDescent="0.2">
      <c r="A21" s="19">
        <v>45708</v>
      </c>
      <c r="B21" s="10">
        <v>13605289</v>
      </c>
      <c r="C21" s="14">
        <f t="shared" si="1"/>
        <v>4250</v>
      </c>
      <c r="D21" s="11">
        <v>657851</v>
      </c>
      <c r="E21" s="14">
        <f t="shared" si="2"/>
        <v>613</v>
      </c>
      <c r="F21" s="27">
        <v>1704</v>
      </c>
      <c r="G21" s="67">
        <f t="shared" si="3"/>
        <v>0</v>
      </c>
      <c r="H21" s="69">
        <f t="shared" si="4"/>
        <v>4863</v>
      </c>
      <c r="I21" s="73">
        <f t="shared" si="5"/>
        <v>-40846.480000000003</v>
      </c>
      <c r="J21" s="32">
        <f t="shared" si="0"/>
        <v>-154.97999999999593</v>
      </c>
      <c r="K21" s="20">
        <f t="shared" si="6"/>
        <v>45708</v>
      </c>
      <c r="L21" s="33">
        <v>3642</v>
      </c>
      <c r="M21" s="34">
        <v>0</v>
      </c>
      <c r="N21" s="32">
        <f t="shared" si="7"/>
        <v>368</v>
      </c>
      <c r="O21" s="85">
        <v>0.66</v>
      </c>
      <c r="P21" s="86">
        <v>0.67</v>
      </c>
      <c r="Q21" s="85">
        <v>0.82</v>
      </c>
      <c r="R21" s="86">
        <v>0.75</v>
      </c>
      <c r="S21" s="38">
        <f t="shared" si="8"/>
        <v>4110</v>
      </c>
      <c r="T21" s="123"/>
      <c r="U21" s="32">
        <f t="shared" si="9"/>
        <v>100</v>
      </c>
      <c r="V21" s="41">
        <v>4918</v>
      </c>
      <c r="W21" s="32">
        <f t="shared" si="10"/>
        <v>81</v>
      </c>
      <c r="X21" s="44">
        <v>61265</v>
      </c>
      <c r="Y21" s="14">
        <f t="shared" si="11"/>
        <v>0</v>
      </c>
      <c r="Z21" s="47">
        <v>3355</v>
      </c>
      <c r="AA21" s="52">
        <v>8300</v>
      </c>
      <c r="AB21" s="32">
        <f t="shared" si="12"/>
        <v>845</v>
      </c>
      <c r="AC21" s="13">
        <v>126</v>
      </c>
      <c r="AD21" s="18">
        <v>221</v>
      </c>
    </row>
    <row r="22" spans="1:30" ht="20.7" customHeight="1" x14ac:dyDescent="0.2">
      <c r="A22" s="19">
        <v>45709</v>
      </c>
      <c r="B22" s="10">
        <v>13609539</v>
      </c>
      <c r="C22" s="14">
        <f t="shared" si="1"/>
        <v>3734</v>
      </c>
      <c r="D22" s="11">
        <v>658464</v>
      </c>
      <c r="E22" s="14">
        <f t="shared" si="2"/>
        <v>975</v>
      </c>
      <c r="F22" s="27">
        <v>1704</v>
      </c>
      <c r="G22" s="67">
        <f t="shared" si="3"/>
        <v>0</v>
      </c>
      <c r="H22" s="69">
        <f t="shared" si="4"/>
        <v>4709</v>
      </c>
      <c r="I22" s="73">
        <f t="shared" si="5"/>
        <v>-41001.46</v>
      </c>
      <c r="J22" s="32">
        <f t="shared" si="0"/>
        <v>453.02999999999884</v>
      </c>
      <c r="K22" s="20">
        <f t="shared" si="6"/>
        <v>45709</v>
      </c>
      <c r="L22" s="33">
        <v>3274</v>
      </c>
      <c r="M22" s="34">
        <v>0</v>
      </c>
      <c r="N22" s="32">
        <f t="shared" si="7"/>
        <v>350</v>
      </c>
      <c r="O22" s="85">
        <v>0.64</v>
      </c>
      <c r="P22" s="86">
        <v>0.65</v>
      </c>
      <c r="Q22" s="85">
        <v>0.82</v>
      </c>
      <c r="R22" s="86">
        <v>0.75</v>
      </c>
      <c r="S22" s="38">
        <f t="shared" si="8"/>
        <v>4010</v>
      </c>
      <c r="T22" s="123"/>
      <c r="U22" s="32">
        <f t="shared" si="9"/>
        <v>150</v>
      </c>
      <c r="V22" s="41">
        <v>4999</v>
      </c>
      <c r="W22" s="32">
        <f t="shared" si="10"/>
        <v>84</v>
      </c>
      <c r="X22" s="44">
        <v>61265</v>
      </c>
      <c r="Y22" s="14">
        <f t="shared" si="11"/>
        <v>0</v>
      </c>
      <c r="Z22" s="47">
        <v>10810</v>
      </c>
      <c r="AA22" s="52">
        <v>0</v>
      </c>
      <c r="AB22" s="32">
        <f t="shared" si="12"/>
        <v>965</v>
      </c>
      <c r="AC22" s="13">
        <v>118</v>
      </c>
      <c r="AD22" s="18">
        <v>219</v>
      </c>
    </row>
    <row r="23" spans="1:30" ht="20.7" customHeight="1" x14ac:dyDescent="0.2">
      <c r="A23" s="19">
        <v>45710</v>
      </c>
      <c r="B23" s="10">
        <v>13613273</v>
      </c>
      <c r="C23" s="14">
        <f t="shared" si="1"/>
        <v>4147</v>
      </c>
      <c r="D23" s="11">
        <v>659439</v>
      </c>
      <c r="E23" s="14">
        <f t="shared" si="2"/>
        <v>1016</v>
      </c>
      <c r="F23" s="27">
        <v>1704</v>
      </c>
      <c r="G23" s="67">
        <f t="shared" si="3"/>
        <v>0</v>
      </c>
      <c r="H23" s="69">
        <f t="shared" si="4"/>
        <v>5163</v>
      </c>
      <c r="I23" s="73">
        <f t="shared" si="5"/>
        <v>-40548.43</v>
      </c>
      <c r="J23" s="32">
        <f t="shared" si="0"/>
        <v>-86.989999999997963</v>
      </c>
      <c r="K23" s="20">
        <f t="shared" si="6"/>
        <v>45710</v>
      </c>
      <c r="L23" s="33">
        <v>2924</v>
      </c>
      <c r="M23" s="34">
        <v>0</v>
      </c>
      <c r="N23" s="32">
        <f t="shared" si="7"/>
        <v>434</v>
      </c>
      <c r="O23" s="85">
        <v>0.61</v>
      </c>
      <c r="P23" s="86">
        <v>0.62</v>
      </c>
      <c r="Q23" s="85">
        <v>0.82</v>
      </c>
      <c r="R23" s="86">
        <v>0.75</v>
      </c>
      <c r="S23" s="38">
        <f t="shared" si="8"/>
        <v>3860</v>
      </c>
      <c r="T23" s="37"/>
      <c r="U23" s="32">
        <f t="shared" si="9"/>
        <v>50</v>
      </c>
      <c r="V23" s="41">
        <v>5083</v>
      </c>
      <c r="W23" s="32">
        <f t="shared" si="10"/>
        <v>89</v>
      </c>
      <c r="X23" s="44">
        <v>61265</v>
      </c>
      <c r="Y23" s="14">
        <f t="shared" si="11"/>
        <v>0</v>
      </c>
      <c r="Z23" s="47">
        <v>9845</v>
      </c>
      <c r="AA23" s="52">
        <v>0</v>
      </c>
      <c r="AB23" s="32">
        <f t="shared" si="12"/>
        <v>1130</v>
      </c>
      <c r="AC23" s="13">
        <v>139</v>
      </c>
      <c r="AD23" s="18">
        <v>262</v>
      </c>
    </row>
    <row r="24" spans="1:30" ht="20.7" customHeight="1" x14ac:dyDescent="0.2">
      <c r="A24" s="19">
        <v>45711</v>
      </c>
      <c r="B24" s="10">
        <v>13617420</v>
      </c>
      <c r="C24" s="14">
        <f t="shared" si="1"/>
        <v>4182</v>
      </c>
      <c r="D24" s="11">
        <v>660455</v>
      </c>
      <c r="E24" s="14">
        <f t="shared" si="2"/>
        <v>895</v>
      </c>
      <c r="F24" s="27">
        <v>1704</v>
      </c>
      <c r="G24" s="67">
        <f t="shared" si="3"/>
        <v>0</v>
      </c>
      <c r="H24" s="69">
        <f t="shared" si="4"/>
        <v>5077</v>
      </c>
      <c r="I24" s="73">
        <f t="shared" si="5"/>
        <v>-40635.42</v>
      </c>
      <c r="J24" s="32">
        <f t="shared" si="0"/>
        <v>41</v>
      </c>
      <c r="K24" s="20">
        <f t="shared" si="6"/>
        <v>45711</v>
      </c>
      <c r="L24" s="33">
        <v>2490</v>
      </c>
      <c r="M24" s="34">
        <v>0</v>
      </c>
      <c r="N24" s="32">
        <f t="shared" si="7"/>
        <v>492</v>
      </c>
      <c r="O24" s="85">
        <v>0.6</v>
      </c>
      <c r="P24" s="86">
        <v>0.61</v>
      </c>
      <c r="Q24" s="85">
        <v>0.82</v>
      </c>
      <c r="R24" s="86">
        <v>0.75</v>
      </c>
      <c r="S24" s="38">
        <f t="shared" si="8"/>
        <v>3810</v>
      </c>
      <c r="T24" s="37"/>
      <c r="U24" s="32">
        <f t="shared" si="9"/>
        <v>25</v>
      </c>
      <c r="V24" s="41">
        <v>5172</v>
      </c>
      <c r="W24" s="32">
        <f t="shared" si="10"/>
        <v>102</v>
      </c>
      <c r="X24" s="44">
        <v>61265</v>
      </c>
      <c r="Y24" s="14">
        <f t="shared" si="11"/>
        <v>0</v>
      </c>
      <c r="Z24" s="47">
        <v>8715</v>
      </c>
      <c r="AA24" s="52">
        <v>0</v>
      </c>
      <c r="AB24" s="32">
        <f t="shared" si="12"/>
        <v>1175</v>
      </c>
      <c r="AC24" s="13">
        <v>123</v>
      </c>
      <c r="AD24" s="18">
        <v>220</v>
      </c>
    </row>
    <row r="25" spans="1:30" ht="20.7" customHeight="1" x14ac:dyDescent="0.2">
      <c r="A25" s="19">
        <v>45712</v>
      </c>
      <c r="B25" s="10">
        <v>13621602</v>
      </c>
      <c r="C25" s="14">
        <f t="shared" si="1"/>
        <v>3901</v>
      </c>
      <c r="D25" s="11">
        <v>661350</v>
      </c>
      <c r="E25" s="14">
        <f t="shared" si="2"/>
        <v>1218</v>
      </c>
      <c r="F25" s="27">
        <v>1704</v>
      </c>
      <c r="G25" s="67">
        <f t="shared" si="3"/>
        <v>0</v>
      </c>
      <c r="H25" s="69">
        <f t="shared" si="4"/>
        <v>5119</v>
      </c>
      <c r="I25" s="73">
        <f t="shared" si="5"/>
        <v>-40594.42</v>
      </c>
      <c r="J25" s="32">
        <f t="shared" si="0"/>
        <v>-134.19000000000233</v>
      </c>
      <c r="K25" s="20">
        <f t="shared" si="6"/>
        <v>45712</v>
      </c>
      <c r="L25" s="33">
        <v>1998</v>
      </c>
      <c r="M25" s="34">
        <v>0</v>
      </c>
      <c r="N25" s="32">
        <f t="shared" si="7"/>
        <v>524</v>
      </c>
      <c r="O25" s="85">
        <v>0.6</v>
      </c>
      <c r="P25" s="86">
        <v>0.6</v>
      </c>
      <c r="Q25" s="85">
        <v>0.82</v>
      </c>
      <c r="R25" s="86">
        <v>0.75</v>
      </c>
      <c r="S25" s="38">
        <f t="shared" si="8"/>
        <v>3785</v>
      </c>
      <c r="T25" s="37">
        <v>1090</v>
      </c>
      <c r="U25" s="32">
        <f t="shared" si="9"/>
        <v>165</v>
      </c>
      <c r="V25" s="41">
        <v>5274</v>
      </c>
      <c r="W25" s="32">
        <f t="shared" si="10"/>
        <v>101</v>
      </c>
      <c r="X25" s="44">
        <v>61265</v>
      </c>
      <c r="Y25" s="14">
        <f t="shared" si="11"/>
        <v>0</v>
      </c>
      <c r="Z25" s="47">
        <v>7540</v>
      </c>
      <c r="AA25" s="52">
        <v>0</v>
      </c>
      <c r="AB25" s="32">
        <f t="shared" si="12"/>
        <v>1235</v>
      </c>
      <c r="AC25" s="13">
        <v>139</v>
      </c>
      <c r="AD25" s="18">
        <v>229</v>
      </c>
    </row>
    <row r="26" spans="1:30" ht="20.7" customHeight="1" x14ac:dyDescent="0.2">
      <c r="A26" s="19">
        <v>45713</v>
      </c>
      <c r="B26" s="10">
        <v>13625503</v>
      </c>
      <c r="C26" s="14">
        <f t="shared" si="1"/>
        <v>3791</v>
      </c>
      <c r="D26" s="11">
        <v>662568</v>
      </c>
      <c r="E26" s="14">
        <f t="shared" si="2"/>
        <v>1195</v>
      </c>
      <c r="F26" s="27">
        <v>1704</v>
      </c>
      <c r="G26" s="67">
        <f t="shared" si="3"/>
        <v>0</v>
      </c>
      <c r="H26" s="69">
        <f t="shared" si="4"/>
        <v>4986</v>
      </c>
      <c r="I26" s="73">
        <f t="shared" si="5"/>
        <v>-40728.61</v>
      </c>
      <c r="J26" s="32">
        <f t="shared" si="0"/>
        <v>-35.989999999997963</v>
      </c>
      <c r="K26" s="20">
        <f t="shared" si="6"/>
        <v>45713</v>
      </c>
      <c r="L26" s="33">
        <v>1474</v>
      </c>
      <c r="M26" s="34">
        <v>0</v>
      </c>
      <c r="N26" s="32">
        <f t="shared" si="7"/>
        <v>488</v>
      </c>
      <c r="O26" s="85">
        <v>0.79</v>
      </c>
      <c r="P26" s="86">
        <v>0.78</v>
      </c>
      <c r="Q26" s="85">
        <v>0.82</v>
      </c>
      <c r="R26" s="86">
        <v>0.75</v>
      </c>
      <c r="S26" s="38">
        <f t="shared" si="8"/>
        <v>4710</v>
      </c>
      <c r="T26" s="37"/>
      <c r="U26" s="32">
        <f t="shared" si="9"/>
        <v>50</v>
      </c>
      <c r="V26" s="41">
        <v>5375</v>
      </c>
      <c r="W26" s="32">
        <f t="shared" si="10"/>
        <v>107</v>
      </c>
      <c r="X26" s="44">
        <v>61265</v>
      </c>
      <c r="Y26" s="14">
        <f t="shared" si="11"/>
        <v>0</v>
      </c>
      <c r="Z26" s="47">
        <v>6305</v>
      </c>
      <c r="AA26" s="52">
        <v>0</v>
      </c>
      <c r="AB26" s="32">
        <f t="shared" si="12"/>
        <v>1205</v>
      </c>
      <c r="AC26" s="13">
        <v>119</v>
      </c>
      <c r="AD26" s="18">
        <v>195</v>
      </c>
    </row>
    <row r="27" spans="1:30" ht="20.7" customHeight="1" x14ac:dyDescent="0.2">
      <c r="A27" s="19">
        <v>45714</v>
      </c>
      <c r="B27" s="10">
        <v>13629294</v>
      </c>
      <c r="C27" s="14">
        <f t="shared" si="1"/>
        <v>4168</v>
      </c>
      <c r="D27" s="11">
        <v>663763</v>
      </c>
      <c r="E27" s="14">
        <f t="shared" si="2"/>
        <v>783</v>
      </c>
      <c r="F27" s="27">
        <v>1704</v>
      </c>
      <c r="G27" s="67">
        <f t="shared" si="3"/>
        <v>0</v>
      </c>
      <c r="H27" s="69">
        <f t="shared" si="4"/>
        <v>4951</v>
      </c>
      <c r="I27" s="73">
        <f t="shared" si="5"/>
        <v>-40764.6</v>
      </c>
      <c r="J27" s="32">
        <f t="shared" si="0"/>
        <v>-42.980000000003201</v>
      </c>
      <c r="K27" s="20">
        <f t="shared" si="6"/>
        <v>45714</v>
      </c>
      <c r="L27" s="33">
        <v>986</v>
      </c>
      <c r="M27" s="34">
        <v>0</v>
      </c>
      <c r="N27" s="32">
        <f t="shared" si="7"/>
        <v>383</v>
      </c>
      <c r="O27" s="85">
        <v>0.78</v>
      </c>
      <c r="P27" s="86">
        <v>0.77</v>
      </c>
      <c r="Q27" s="85">
        <v>0.82</v>
      </c>
      <c r="R27" s="86">
        <v>0.75</v>
      </c>
      <c r="S27" s="38">
        <f t="shared" si="8"/>
        <v>4660</v>
      </c>
      <c r="T27" s="37"/>
      <c r="U27" s="32">
        <f t="shared" si="9"/>
        <v>100</v>
      </c>
      <c r="V27" s="41">
        <v>5482</v>
      </c>
      <c r="W27" s="32">
        <f t="shared" si="10"/>
        <v>84</v>
      </c>
      <c r="X27" s="44">
        <v>61265</v>
      </c>
      <c r="Y27" s="14">
        <f t="shared" si="11"/>
        <v>0</v>
      </c>
      <c r="Z27" s="47">
        <v>5100</v>
      </c>
      <c r="AA27" s="52">
        <v>5910</v>
      </c>
      <c r="AB27" s="32">
        <f t="shared" si="12"/>
        <v>1115</v>
      </c>
      <c r="AC27" s="13">
        <v>106</v>
      </c>
      <c r="AD27" s="18">
        <v>177</v>
      </c>
    </row>
    <row r="28" spans="1:30" ht="20.7" customHeight="1" x14ac:dyDescent="0.2">
      <c r="A28" s="19">
        <v>45715</v>
      </c>
      <c r="B28" s="10">
        <v>13633462</v>
      </c>
      <c r="C28" s="14">
        <f t="shared" si="1"/>
        <v>3757</v>
      </c>
      <c r="D28" s="11">
        <v>664546</v>
      </c>
      <c r="E28" s="14">
        <f t="shared" si="2"/>
        <v>1152</v>
      </c>
      <c r="F28" s="27">
        <v>1704</v>
      </c>
      <c r="G28" s="67">
        <f t="shared" si="3"/>
        <v>0</v>
      </c>
      <c r="H28" s="69">
        <f t="shared" si="4"/>
        <v>4909</v>
      </c>
      <c r="I28" s="73">
        <f t="shared" si="5"/>
        <v>-40807.58</v>
      </c>
      <c r="J28" s="32">
        <f t="shared" si="0"/>
        <v>-11874.979999999996</v>
      </c>
      <c r="K28" s="20">
        <f t="shared" si="6"/>
        <v>45715</v>
      </c>
      <c r="L28" s="33">
        <v>603</v>
      </c>
      <c r="M28" s="34">
        <v>0</v>
      </c>
      <c r="N28" s="32">
        <f t="shared" si="7"/>
        <v>371</v>
      </c>
      <c r="O28" s="85">
        <v>0.76</v>
      </c>
      <c r="P28" s="86">
        <v>0.75</v>
      </c>
      <c r="Q28" s="85">
        <v>0.82</v>
      </c>
      <c r="R28" s="86">
        <v>0.75</v>
      </c>
      <c r="S28" s="38">
        <f t="shared" si="8"/>
        <v>4560</v>
      </c>
      <c r="T28" s="37"/>
      <c r="U28" s="32">
        <f t="shared" si="9"/>
        <v>50</v>
      </c>
      <c r="V28" s="41">
        <v>5566</v>
      </c>
      <c r="W28" s="32">
        <f t="shared" si="10"/>
        <v>90</v>
      </c>
      <c r="X28" s="44">
        <v>61265</v>
      </c>
      <c r="Y28" s="14">
        <f t="shared" si="11"/>
        <v>0</v>
      </c>
      <c r="Z28" s="47">
        <v>9895</v>
      </c>
      <c r="AA28" s="52">
        <v>0</v>
      </c>
      <c r="AB28" s="32">
        <f t="shared" si="12"/>
        <v>1135</v>
      </c>
      <c r="AC28" s="13">
        <v>102</v>
      </c>
      <c r="AD28" s="18">
        <v>171</v>
      </c>
    </row>
    <row r="29" spans="1:30" ht="20.7" customHeight="1" thickBot="1" x14ac:dyDescent="0.25">
      <c r="A29" s="19">
        <v>45716</v>
      </c>
      <c r="B29" s="10">
        <v>13637219</v>
      </c>
      <c r="C29" s="14" t="str">
        <f t="shared" ref="C29" si="13">IF((B31-B29)&lt;0,"0",B31-B29)</f>
        <v>0</v>
      </c>
      <c r="D29" s="11">
        <v>665698</v>
      </c>
      <c r="E29" s="14">
        <f t="shared" si="2"/>
        <v>1035</v>
      </c>
      <c r="F29" s="27">
        <v>1704</v>
      </c>
      <c r="G29" s="67">
        <f t="shared" si="3"/>
        <v>0</v>
      </c>
      <c r="H29" s="69">
        <f t="shared" si="4"/>
        <v>1035</v>
      </c>
      <c r="I29" s="73">
        <f t="shared" si="5"/>
        <v>-52682.559999999998</v>
      </c>
      <c r="J29" s="32">
        <f t="shared" si="0"/>
        <v>52682.559999999998</v>
      </c>
      <c r="K29" s="20">
        <f t="shared" si="6"/>
        <v>45716</v>
      </c>
      <c r="L29" s="33">
        <v>232</v>
      </c>
      <c r="M29" s="34">
        <v>8000</v>
      </c>
      <c r="N29" s="32">
        <f t="shared" si="7"/>
        <v>188</v>
      </c>
      <c r="O29" s="85">
        <v>0.74</v>
      </c>
      <c r="P29" s="86">
        <v>0.75</v>
      </c>
      <c r="Q29" s="85">
        <v>0.82</v>
      </c>
      <c r="R29" s="86">
        <v>0.75</v>
      </c>
      <c r="S29" s="38">
        <f t="shared" si="8"/>
        <v>4510</v>
      </c>
      <c r="T29" s="37"/>
      <c r="U29" s="32">
        <f t="shared" si="9"/>
        <v>55</v>
      </c>
      <c r="V29" s="41">
        <v>5656</v>
      </c>
      <c r="W29" s="32">
        <f t="shared" si="10"/>
        <v>72</v>
      </c>
      <c r="X29" s="44">
        <v>61265</v>
      </c>
      <c r="Y29" s="14">
        <f t="shared" si="11"/>
        <v>0</v>
      </c>
      <c r="Z29" s="47">
        <v>8760</v>
      </c>
      <c r="AA29" s="52">
        <v>0</v>
      </c>
      <c r="AB29" s="32">
        <f t="shared" si="12"/>
        <v>1465</v>
      </c>
      <c r="AC29" s="13">
        <v>129</v>
      </c>
      <c r="AD29" s="18">
        <v>230</v>
      </c>
    </row>
    <row r="30" spans="1:30" ht="20.7" customHeight="1" thickTop="1" thickBot="1" x14ac:dyDescent="0.25">
      <c r="A30" s="19">
        <v>45717</v>
      </c>
      <c r="B30" s="53">
        <v>13641054</v>
      </c>
      <c r="C30" s="63"/>
      <c r="D30" s="62">
        <v>666733</v>
      </c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>
        <v>8044</v>
      </c>
      <c r="M30" s="65">
        <v>0</v>
      </c>
      <c r="N30" s="32" t="str">
        <f t="shared" si="7"/>
        <v>0</v>
      </c>
      <c r="O30" s="87">
        <v>0.74</v>
      </c>
      <c r="P30" s="88">
        <v>0.74</v>
      </c>
      <c r="Q30" s="87">
        <v>0.81</v>
      </c>
      <c r="R30" s="88">
        <v>0.7</v>
      </c>
      <c r="S30" s="38">
        <f t="shared" si="8"/>
        <v>4455</v>
      </c>
      <c r="T30" s="54"/>
      <c r="U30" s="63"/>
      <c r="V30" s="60">
        <v>5728</v>
      </c>
      <c r="W30" s="63"/>
      <c r="X30" s="59">
        <v>61265</v>
      </c>
      <c r="Y30" s="63"/>
      <c r="Z30" s="58">
        <v>7295</v>
      </c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106353</v>
      </c>
      <c r="D31" s="77"/>
      <c r="E31" s="76">
        <f>SUM(E2:E30)</f>
        <v>23588</v>
      </c>
      <c r="F31" s="78"/>
      <c r="G31" s="76">
        <f>SUM(G2:G30)</f>
        <v>0</v>
      </c>
      <c r="H31" s="77">
        <f>SUM(H2:H30)</f>
        <v>129941</v>
      </c>
      <c r="I31" s="76">
        <f>SUM(I2:I29)</f>
        <v>-1157771.6400000001</v>
      </c>
      <c r="J31" s="76">
        <f>SUM(J2:J30)</f>
        <v>40966.589999999997</v>
      </c>
      <c r="K31" s="75"/>
      <c r="L31" s="77"/>
      <c r="M31" s="77"/>
      <c r="N31" s="76">
        <f>SUM(N2:N30)</f>
        <v>6388</v>
      </c>
      <c r="O31" s="75"/>
      <c r="P31" s="75"/>
      <c r="Q31" s="75"/>
      <c r="R31" s="75"/>
      <c r="S31" s="75"/>
      <c r="T31" s="77">
        <f>SUM(T2:T30)</f>
        <v>2095</v>
      </c>
      <c r="U31" s="76">
        <f>SUM(U2:U30)</f>
        <v>2170</v>
      </c>
      <c r="V31" s="75"/>
      <c r="W31" s="76">
        <f>SUM(W2:W30)</f>
        <v>2288</v>
      </c>
      <c r="X31" s="75"/>
      <c r="Y31" s="76">
        <f>SUM(Y2:Y30)</f>
        <v>9</v>
      </c>
      <c r="Z31" s="75"/>
      <c r="AA31" s="75">
        <f>SUM(AA2:AA30)</f>
        <v>30480</v>
      </c>
      <c r="AB31" s="76">
        <f>SUM(AB2:AB30)</f>
        <v>33710</v>
      </c>
      <c r="AC31" s="79">
        <f>SUM(AC2:AC30)</f>
        <v>3235</v>
      </c>
      <c r="AD31" s="80">
        <f>SUM(AD2:AD30)</f>
        <v>5560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2025-03-04T07:34:59Z</dcterms:modified>
  <cp:category/>
  <cp:contentStatus/>
</cp:coreProperties>
</file>