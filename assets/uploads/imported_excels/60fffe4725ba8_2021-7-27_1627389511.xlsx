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5" r:id="rId1"/>
    <sheet name="Submetering " sheetId="4" r:id="rId2"/>
    <sheet name="DAILY" sheetId="6" r:id="rId3"/>
  </sheets>
  <calcPr calcId="152511"/>
  <fileRecoveryPr autoRecover="0"/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Q3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P3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O3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N3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M3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L3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K3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J3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I3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3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11" i="5" l="1"/>
  <c r="E5" i="5"/>
  <c r="E28" i="5"/>
  <c r="E12" i="5"/>
  <c r="E20" i="5"/>
  <c r="E32" i="5"/>
  <c r="E24" i="5"/>
  <c r="E16" i="5"/>
  <c r="E19" i="5"/>
  <c r="E27" i="5"/>
  <c r="E8" i="5"/>
  <c r="E4" i="5"/>
  <c r="E3" i="5"/>
  <c r="E2" i="5"/>
  <c r="E10" i="5"/>
  <c r="E18" i="5"/>
  <c r="E26" i="5"/>
  <c r="E13" i="5"/>
  <c r="E21" i="5"/>
  <c r="E29" i="5"/>
  <c r="E22" i="5"/>
  <c r="E9" i="5"/>
  <c r="E17" i="5"/>
  <c r="E25" i="5"/>
  <c r="E14" i="5"/>
  <c r="E6" i="5"/>
  <c r="E30" i="5"/>
  <c r="E7" i="5"/>
  <c r="E15" i="5"/>
  <c r="E23" i="5"/>
  <c r="E31" i="5"/>
  <c r="B3" i="6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AG3" i="6" s="1"/>
  <c r="B4" i="4" l="1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</calcChain>
</file>

<file path=xl/comments1.xml><?xml version="1.0" encoding="utf-8"?>
<comments xmlns="http://schemas.openxmlformats.org/spreadsheetml/2006/main">
  <authors>
    <author>Roxanne Gunnells</author>
  </authors>
  <commentList>
    <comment ref="F3" authorId="0" shapeId="0">
      <text>
        <r>
          <rPr>
            <b/>
            <sz val="9"/>
            <color indexed="81"/>
            <rFont val="Tahoma"/>
            <family val="2"/>
          </rPr>
          <t>Roxanne Gunnells:</t>
        </r>
        <r>
          <rPr>
            <sz val="9"/>
            <color indexed="81"/>
            <rFont val="Tahoma"/>
            <family val="2"/>
          </rPr>
          <t xml:space="preserve">
estimated readings</t>
        </r>
      </text>
    </comment>
  </commentList>
</comments>
</file>

<file path=xl/sharedStrings.xml><?xml version="1.0" encoding="utf-8"?>
<sst xmlns="http://schemas.openxmlformats.org/spreadsheetml/2006/main" count="381" uniqueCount="260">
  <si>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</si>
  <si>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</si>
  <si>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</si>
  <si>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</si>
  <si>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</si>
  <si>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</si>
  <si>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</si>
  <si>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</si>
  <si>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</si>
  <si>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Electricity Tariff ($/Kwh)</t>
  </si>
  <si>
    <t>Natural Gas $/m3</t>
  </si>
  <si>
    <t>Water Utility Supply (m3) $/m3</t>
  </si>
  <si>
    <t>Seattle</t>
  </si>
  <si>
    <t>July Meter Readings</t>
  </si>
  <si>
    <t>Location/Meter</t>
  </si>
  <si>
    <t>Readings</t>
  </si>
  <si>
    <t>C Level Meter 768867</t>
  </si>
  <si>
    <t>88650</t>
  </si>
  <si>
    <t>88662</t>
  </si>
  <si>
    <t>88677</t>
  </si>
  <si>
    <t>88694</t>
  </si>
  <si>
    <t>88712</t>
  </si>
  <si>
    <t>88727</t>
  </si>
  <si>
    <t>88743</t>
  </si>
  <si>
    <t>88759</t>
  </si>
  <si>
    <t>88771</t>
  </si>
  <si>
    <t>88788</t>
  </si>
  <si>
    <t>88808</t>
  </si>
  <si>
    <t>88823</t>
  </si>
  <si>
    <t>88838</t>
  </si>
  <si>
    <t>88854</t>
  </si>
  <si>
    <t>88869</t>
  </si>
  <si>
    <t>88882</t>
  </si>
  <si>
    <t>88898</t>
  </si>
  <si>
    <t>88918</t>
  </si>
  <si>
    <t>88933</t>
  </si>
  <si>
    <t>88948</t>
  </si>
  <si>
    <t>C Level Meter 768898</t>
  </si>
  <si>
    <t>117381</t>
  </si>
  <si>
    <t>117404</t>
  </si>
  <si>
    <t>117436</t>
  </si>
  <si>
    <t>117478</t>
  </si>
  <si>
    <t>117507</t>
  </si>
  <si>
    <t>117541</t>
  </si>
  <si>
    <t>117570</t>
  </si>
  <si>
    <t>117600</t>
  </si>
  <si>
    <t>117624</t>
  </si>
  <si>
    <t>117657</t>
  </si>
  <si>
    <t>117696</t>
  </si>
  <si>
    <t>117726</t>
  </si>
  <si>
    <t>117756</t>
  </si>
  <si>
    <t>117786</t>
  </si>
  <si>
    <t>117814</t>
  </si>
  <si>
    <t>117835</t>
  </si>
  <si>
    <t>117863</t>
  </si>
  <si>
    <t>117900</t>
  </si>
  <si>
    <t>117931</t>
  </si>
  <si>
    <t>117961</t>
  </si>
  <si>
    <t>C Level Meter 789059</t>
  </si>
  <si>
    <t>53119</t>
  </si>
  <si>
    <t>53125</t>
  </si>
  <si>
    <t>53134</t>
  </si>
  <si>
    <t>53142</t>
  </si>
  <si>
    <t>53153</t>
  </si>
  <si>
    <t>53162</t>
  </si>
  <si>
    <t>53170</t>
  </si>
  <si>
    <t>53178</t>
  </si>
  <si>
    <t>53185</t>
  </si>
  <si>
    <t>53194</t>
  </si>
  <si>
    <t>53204</t>
  </si>
  <si>
    <t>53213</t>
  </si>
  <si>
    <t>53221</t>
  </si>
  <si>
    <t>53229</t>
  </si>
  <si>
    <t>53237</t>
  </si>
  <si>
    <t>53244</t>
  </si>
  <si>
    <t>53252</t>
  </si>
  <si>
    <t>53262</t>
  </si>
  <si>
    <t>53271</t>
  </si>
  <si>
    <t>53279</t>
  </si>
  <si>
    <t>C Level 796579</t>
  </si>
  <si>
    <t>345235</t>
  </si>
  <si>
    <t>345267</t>
  </si>
  <si>
    <t>345310</t>
  </si>
  <si>
    <t>345364</t>
  </si>
  <si>
    <t>345408</t>
  </si>
  <si>
    <t>345451</t>
  </si>
  <si>
    <t>345493</t>
  </si>
  <si>
    <t>345535</t>
  </si>
  <si>
    <t>345566</t>
  </si>
  <si>
    <t>345609</t>
  </si>
  <si>
    <t>345663</t>
  </si>
  <si>
    <t>345705</t>
  </si>
  <si>
    <t>345748</t>
  </si>
  <si>
    <t>345791</t>
  </si>
  <si>
    <t>345833</t>
  </si>
  <si>
    <t>345863</t>
  </si>
  <si>
    <t>345904</t>
  </si>
  <si>
    <t>345960</t>
  </si>
  <si>
    <t>346002</t>
  </si>
  <si>
    <t>346047</t>
  </si>
  <si>
    <t>C Level 796593</t>
  </si>
  <si>
    <t>45282</t>
  </si>
  <si>
    <t>45290</t>
  </si>
  <si>
    <t>45299</t>
  </si>
  <si>
    <t>45310</t>
  </si>
  <si>
    <t>45322</t>
  </si>
  <si>
    <t>45331</t>
  </si>
  <si>
    <t>45341</t>
  </si>
  <si>
    <t>45350</t>
  </si>
  <si>
    <t>45357</t>
  </si>
  <si>
    <t>45367</t>
  </si>
  <si>
    <t>45378</t>
  </si>
  <si>
    <t>45389</t>
  </si>
  <si>
    <t>45398</t>
  </si>
  <si>
    <t>45408</t>
  </si>
  <si>
    <t>45418</t>
  </si>
  <si>
    <t>45425</t>
  </si>
  <si>
    <t>45436</t>
  </si>
  <si>
    <t>45449</t>
  </si>
  <si>
    <t>45458</t>
  </si>
  <si>
    <t>45467</t>
  </si>
  <si>
    <t>D Level 789073</t>
  </si>
  <si>
    <t>0128</t>
  </si>
  <si>
    <t>0129</t>
  </si>
  <si>
    <t>16th FL N 788970</t>
  </si>
  <si>
    <t>87799</t>
  </si>
  <si>
    <t>87806</t>
  </si>
  <si>
    <t>87816</t>
  </si>
  <si>
    <t>87824</t>
  </si>
  <si>
    <t>87837</t>
  </si>
  <si>
    <t>87847</t>
  </si>
  <si>
    <t>87857</t>
  </si>
  <si>
    <t>87866</t>
  </si>
  <si>
    <t>87873</t>
  </si>
  <si>
    <t>87883</t>
  </si>
  <si>
    <t>87894</t>
  </si>
  <si>
    <t>87904</t>
  </si>
  <si>
    <t>87913</t>
  </si>
  <si>
    <t>87923</t>
  </si>
  <si>
    <t>87932</t>
  </si>
  <si>
    <t>87939</t>
  </si>
  <si>
    <t>87949</t>
  </si>
  <si>
    <t>87961</t>
  </si>
  <si>
    <t>87971</t>
  </si>
  <si>
    <t>87980</t>
  </si>
  <si>
    <t>19th FL S 798644</t>
  </si>
  <si>
    <t>109159</t>
  </si>
  <si>
    <t>109231</t>
  </si>
  <si>
    <t>109332</t>
  </si>
  <si>
    <t>109446</t>
  </si>
  <si>
    <t>109561</t>
  </si>
  <si>
    <t>109664</t>
  </si>
  <si>
    <t>109763</t>
  </si>
  <si>
    <t>109861</t>
  </si>
  <si>
    <t>109932</t>
  </si>
  <si>
    <t>110035</t>
  </si>
  <si>
    <t>110162</t>
  </si>
  <si>
    <t>110263</t>
  </si>
  <si>
    <t>110358</t>
  </si>
  <si>
    <t>110451</t>
  </si>
  <si>
    <t>110550</t>
  </si>
  <si>
    <t>110620</t>
  </si>
  <si>
    <t>110718</t>
  </si>
  <si>
    <t>110851</t>
  </si>
  <si>
    <t>110951</t>
  </si>
  <si>
    <t>111052</t>
  </si>
  <si>
    <t>Gas meter</t>
  </si>
  <si>
    <t>265427</t>
  </si>
  <si>
    <t>265672</t>
  </si>
  <si>
    <t>265977</t>
  </si>
  <si>
    <t>266438</t>
  </si>
  <si>
    <t>266668</t>
  </si>
  <si>
    <t>266997</t>
  </si>
  <si>
    <t>267309</t>
  </si>
  <si>
    <t>267619</t>
  </si>
  <si>
    <t>267876</t>
  </si>
  <si>
    <t>268225</t>
  </si>
  <si>
    <t>268609</t>
  </si>
  <si>
    <t>268925</t>
  </si>
  <si>
    <t>269234</t>
  </si>
  <si>
    <t>269542</t>
  </si>
  <si>
    <t>269895</t>
  </si>
  <si>
    <t>270175</t>
  </si>
  <si>
    <t>270518</t>
  </si>
  <si>
    <t>270918</t>
  </si>
  <si>
    <t>271240</t>
  </si>
  <si>
    <t>271572</t>
  </si>
  <si>
    <t>Domestic Water South</t>
  </si>
  <si>
    <t>52312.61</t>
  </si>
  <si>
    <t>52355.23</t>
  </si>
  <si>
    <t>52435.62</t>
  </si>
  <si>
    <t>52484.61</t>
  </si>
  <si>
    <t>52529.75</t>
  </si>
  <si>
    <t>52580.86</t>
  </si>
  <si>
    <t>52626.97</t>
  </si>
  <si>
    <t>52679.54</t>
  </si>
  <si>
    <t>52735.11</t>
  </si>
  <si>
    <t>52797.31</t>
  </si>
  <si>
    <t>52858.58</t>
  </si>
  <si>
    <t>52908.94</t>
  </si>
  <si>
    <t>52956.37</t>
  </si>
  <si>
    <t>53005.49</t>
  </si>
  <si>
    <t>53056.08</t>
  </si>
  <si>
    <t>53105.51</t>
  </si>
  <si>
    <t>53163.29</t>
  </si>
  <si>
    <t>53218.02</t>
  </si>
  <si>
    <t>53269.99</t>
  </si>
  <si>
    <t>53322.55</t>
  </si>
  <si>
    <t>Domestic Water North</t>
  </si>
  <si>
    <t>8603</t>
  </si>
  <si>
    <t>8604</t>
  </si>
  <si>
    <t>8605</t>
  </si>
  <si>
    <t>8606</t>
  </si>
  <si>
    <t>Condensate 1 (Steam 103-G)</t>
  </si>
  <si>
    <t>129029.12</t>
  </si>
  <si>
    <t>129040.98</t>
  </si>
  <si>
    <t>129057.32</t>
  </si>
  <si>
    <t>129076.45</t>
  </si>
  <si>
    <t>129097.92</t>
  </si>
  <si>
    <t>129115.20</t>
  </si>
  <si>
    <t>129134.50</t>
  </si>
  <si>
    <t>129153.50</t>
  </si>
  <si>
    <t>129166.92</t>
  </si>
  <si>
    <t>129186.14</t>
  </si>
  <si>
    <t>129208.56</t>
  </si>
  <si>
    <t>129225.74</t>
  </si>
  <si>
    <t>129243.10</t>
  </si>
  <si>
    <t>129262.48</t>
  </si>
  <si>
    <t>129281.50</t>
  </si>
  <si>
    <t>129296.62</t>
  </si>
  <si>
    <t>129314.70</t>
  </si>
  <si>
    <t>129337.16</t>
  </si>
  <si>
    <t>129354.74</t>
  </si>
  <si>
    <t>129373.48</t>
  </si>
  <si>
    <t>Condensate 2 (Steam 7034-G)</t>
  </si>
  <si>
    <t>44259.01</t>
  </si>
  <si>
    <t>44263.19</t>
  </si>
  <si>
    <t>44268.97</t>
  </si>
  <si>
    <t>44276.82</t>
  </si>
  <si>
    <t>44283.33</t>
  </si>
  <si>
    <t>44289.27</t>
  </si>
  <si>
    <t>44296.05</t>
  </si>
  <si>
    <t>44307.35</t>
  </si>
  <si>
    <t>44314.01</t>
  </si>
  <si>
    <t>44321.63</t>
  </si>
  <si>
    <t>44327.39</t>
  </si>
  <si>
    <t>44333.17</t>
  </si>
  <si>
    <t>44339.73</t>
  </si>
  <si>
    <t>44346.05</t>
  </si>
  <si>
    <t>44351.17</t>
  </si>
  <si>
    <t>44357.11</t>
  </si>
  <si>
    <t>44364.29</t>
  </si>
  <si>
    <t>44369.99</t>
  </si>
  <si>
    <t>44376.09</t>
  </si>
  <si>
    <t>52312.60</t>
  </si>
  <si>
    <t>8602</t>
  </si>
  <si>
    <t>129029.11</t>
  </si>
  <si>
    <t>44259.00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</si>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</sst>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m/d/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8">
    <xf numFmtId="0" fontId="0" fillId="0" borderId="0" xfId="0"/>
    <xf numFmtId="1" fontId="0" fillId="0" borderId="0" xfId="0" applyNumberFormat="1"/>
    <xf numFmtId="1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3" fillId="0" borderId="0" xfId="0" applyNumberFormat="1" applyFont="1"/>
    <xf numFmtId="1" fontId="2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170" fontId="8" fillId="0" borderId="1" xfId="0" applyNumberFormat="1" applyFont="1" applyBorder="1" applyAlignment="1">
      <alignment horizontal="center"/>
    </xf>
    <xf numFmtId="170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70" fontId="8" fillId="2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/>
    <xf numFmtId="1" fontId="3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49" fontId="0" fillId="0" borderId="0" xfId="0" applyNumberFormat="1"/>
    <xf numFmtId="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2" fontId="8" fillId="0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130" zoomScaleNormal="130" workbookViewId="0">
      <selection activeCell="M2" sqref="M2"/>
    </sheetView>
  </sheetViews>
  <sheetFormatPr defaultColWidth="11.5703125" defaultRowHeight="15" x14ac:dyDescent="0.25"/>
  <cols>
    <col min="4" max="4" width="13.42578125" customWidth="1"/>
    <col min="5" max="5" width="13" style="10" customWidth="1"/>
    <col min="6" max="6" width="12.5703125" customWidth="1"/>
    <col min="7" max="7" width="13" style="1" customWidth="1"/>
    <col min="11" max="11" width="13.28515625" bestFit="1" customWidth="1"/>
  </cols>
  <sheetData>
    <row r="1" spans="1:14" s="5" customFormat="1" ht="60" x14ac:dyDescent="0.25">
      <c r="A1" s="5" t="s">
        <v>0</v>
      </c>
      <c r="B1" s="5" t="s">
        <v>1</v>
      </c>
      <c r="C1" s="5" t="s">
        <v>2</v>
      </c>
      <c r="D1" s="5" t="s">
        <v>3</v>
      </c>
      <c r="E1" s="30" t="s">
        <v>4</v>
      </c>
      <c r="F1" s="31" t="s">
        <v>9</v>
      </c>
      <c r="G1" s="30" t="s">
        <v>5</v>
      </c>
      <c r="H1" s="31" t="s">
        <v>10</v>
      </c>
      <c r="I1" s="30" t="s">
        <v>6</v>
      </c>
      <c r="J1" s="31" t="s">
        <v>11</v>
      </c>
      <c r="K1" s="30" t="s">
        <v>258</v>
      </c>
      <c r="L1" s="31" t="s">
        <v>259</v>
      </c>
      <c r="M1" s="4" t="s">
        <v>7</v>
      </c>
      <c r="N1" s="4" t="s">
        <v>8</v>
      </c>
    </row>
    <row r="2" spans="1:14" s="6" customFormat="1" ht="12.75" x14ac:dyDescent="0.2">
      <c r="A2" s="6" t="s">
        <v>12</v>
      </c>
      <c r="B2" s="6">
        <v>1</v>
      </c>
      <c r="C2" s="8">
        <v>7</v>
      </c>
      <c r="D2" s="6">
        <v>2021</v>
      </c>
      <c r="E2" s="29">
        <f>'Submetering '!E3+'Submetering '!F3+'Submetering '!G3+'Submetering '!H3+'Submetering '!I3+'Submetering '!J3+'Submetering '!K3+'Submetering '!L3</f>
        <v>0</v>
      </c>
      <c r="F2" s="32">
        <v>0.18</v>
      </c>
      <c r="G2" s="29">
        <f>('Submetering '!M3)*2.8</f>
        <v>0</v>
      </c>
      <c r="H2" s="32">
        <v>0.21</v>
      </c>
      <c r="I2" s="29">
        <f>('Submetering '!N3+'Submetering '!O3)*2.83</f>
        <v>2.8583000000057655</v>
      </c>
      <c r="J2" s="32">
        <v>7.58</v>
      </c>
      <c r="K2" s="29">
        <f>('Submetering '!P3+'Submetering '!Q3)*346.26</f>
        <v>6.9251999988914754</v>
      </c>
      <c r="L2" s="32">
        <v>0.1</v>
      </c>
    </row>
    <row r="3" spans="1:14" s="7" customFormat="1" x14ac:dyDescent="0.25">
      <c r="A3" s="6" t="s">
        <v>12</v>
      </c>
      <c r="B3" s="7">
        <f>B2+1</f>
        <v>2</v>
      </c>
      <c r="C3" s="8">
        <v>7</v>
      </c>
      <c r="D3" s="6">
        <v>2021</v>
      </c>
      <c r="E3" s="29">
        <f>'Submetering '!E4+'Submetering '!F4+'Submetering '!G4+'Submetering '!H4+'Submetering '!I4+'Submetering '!J4+'Submetering '!K4+'Submetering '!L4</f>
        <v>160</v>
      </c>
      <c r="F3" s="32">
        <v>0.18</v>
      </c>
      <c r="G3" s="29">
        <f>('Submetering '!M4)*2.8</f>
        <v>686</v>
      </c>
      <c r="H3" s="32">
        <v>0.21</v>
      </c>
      <c r="I3" s="29">
        <f>('Submetering '!N4+'Submetering '!O4)*2.83</f>
        <v>120.61460000000741</v>
      </c>
      <c r="J3" s="32">
        <v>7.58</v>
      </c>
      <c r="K3" s="29">
        <f>('Submetering '!P4+'Submetering '!Q4)*346.26</f>
        <v>5554.0104000003021</v>
      </c>
      <c r="L3" s="32">
        <v>0.1</v>
      </c>
      <c r="M3" s="6"/>
      <c r="N3" s="6"/>
    </row>
    <row r="4" spans="1:14" s="7" customFormat="1" x14ac:dyDescent="0.25">
      <c r="A4" s="6" t="s">
        <v>12</v>
      </c>
      <c r="B4" s="7">
        <f t="shared" ref="B4:B32" si="0">B3+1</f>
        <v>3</v>
      </c>
      <c r="C4" s="8">
        <v>7</v>
      </c>
      <c r="D4" s="6">
        <v>2021</v>
      </c>
      <c r="E4" s="29">
        <f>'Submetering '!E5+'Submetering '!F5+'Submetering '!G5+'Submetering '!H5+'Submetering '!I5+'Submetering '!J5+'Submetering '!K5+'Submetering '!L5</f>
        <v>219</v>
      </c>
      <c r="F4" s="32">
        <v>0.18</v>
      </c>
      <c r="G4" s="29">
        <f>('Submetering '!M5)*2.8</f>
        <v>854</v>
      </c>
      <c r="H4" s="32">
        <v>0.21</v>
      </c>
      <c r="I4" s="29">
        <f>('Submetering '!N5+'Submetering '!O5)*2.83</f>
        <v>230.33369999999834</v>
      </c>
      <c r="J4" s="32">
        <v>7.58</v>
      </c>
      <c r="K4" s="29">
        <f>('Submetering '!P5+'Submetering '!Q5)*346.26</f>
        <v>7659.2712000034262</v>
      </c>
      <c r="L4" s="32">
        <v>0.1</v>
      </c>
      <c r="M4" s="6"/>
      <c r="N4" s="6"/>
    </row>
    <row r="5" spans="1:14" s="7" customFormat="1" x14ac:dyDescent="0.25">
      <c r="A5" s="6" t="s">
        <v>12</v>
      </c>
      <c r="B5" s="7">
        <f t="shared" si="0"/>
        <v>4</v>
      </c>
      <c r="C5" s="8">
        <v>7</v>
      </c>
      <c r="D5" s="6">
        <v>2021</v>
      </c>
      <c r="E5" s="29">
        <f>'Submetering '!E6+'Submetering '!F6+'Submetering '!G6+'Submetering '!H6+'Submetering '!I6+'Submetering '!J6+'Submetering '!K6+'Submetering '!L6</f>
        <v>254</v>
      </c>
      <c r="F5" s="32">
        <v>0.18</v>
      </c>
      <c r="G5" s="29">
        <f>('Submetering '!M6)*2.8</f>
        <v>1290.8</v>
      </c>
      <c r="H5" s="32">
        <v>0.21</v>
      </c>
      <c r="I5" s="29">
        <f>('Submetering '!N6+'Submetering '!O6)*2.83</f>
        <v>138.64169999999424</v>
      </c>
      <c r="J5" s="32">
        <v>7.58</v>
      </c>
      <c r="K5" s="29">
        <f>('Submetering '!P6+'Submetering '!Q6)*346.26</f>
        <v>9342.0947999960699</v>
      </c>
      <c r="L5" s="32">
        <v>0.1</v>
      </c>
      <c r="M5" s="6"/>
      <c r="N5" s="6"/>
    </row>
    <row r="6" spans="1:14" s="7" customFormat="1" x14ac:dyDescent="0.25">
      <c r="A6" s="6" t="s">
        <v>12</v>
      </c>
      <c r="B6" s="7">
        <f t="shared" si="0"/>
        <v>5</v>
      </c>
      <c r="C6" s="8">
        <v>7</v>
      </c>
      <c r="D6" s="6">
        <v>2021</v>
      </c>
      <c r="E6" s="29">
        <f>'Submetering '!E7+'Submetering '!F7+'Submetering '!G7+'Submetering '!H7+'Submetering '!I7+'Submetering '!J7+'Submetering '!K7+'Submetering '!L7</f>
        <v>242</v>
      </c>
      <c r="F6" s="32">
        <v>0.18</v>
      </c>
      <c r="G6" s="29">
        <f>('Submetering '!M7)*2.8</f>
        <v>644</v>
      </c>
      <c r="H6" s="32">
        <v>0.21</v>
      </c>
      <c r="I6" s="29">
        <f>('Submetering '!N7+'Submetering '!O7)*2.83</f>
        <v>127.74619999999835</v>
      </c>
      <c r="J6" s="32">
        <v>7.58</v>
      </c>
      <c r="K6" s="29">
        <f>('Submetering '!P7+'Submetering '!Q7)*346.26</f>
        <v>9688.3548000011087</v>
      </c>
      <c r="L6" s="32">
        <v>0.1</v>
      </c>
      <c r="M6" s="6"/>
      <c r="N6" s="6"/>
    </row>
    <row r="7" spans="1:14" s="7" customFormat="1" x14ac:dyDescent="0.25">
      <c r="A7" s="6" t="s">
        <v>12</v>
      </c>
      <c r="B7" s="7">
        <f t="shared" si="0"/>
        <v>6</v>
      </c>
      <c r="C7" s="8">
        <v>7</v>
      </c>
      <c r="D7" s="6">
        <v>2021</v>
      </c>
      <c r="E7" s="29">
        <f>'Submetering '!E8+'Submetering '!F8+'Submetering '!G8+'Submetering '!H8+'Submetering '!I8+'Submetering '!J8+'Submetering '!K8+'Submetering '!L8</f>
        <v>223</v>
      </c>
      <c r="F7" s="32">
        <v>0.18</v>
      </c>
      <c r="G7" s="29">
        <f>('Submetering '!M8)*2.8</f>
        <v>921.19999999999993</v>
      </c>
      <c r="H7" s="32">
        <v>0.21</v>
      </c>
      <c r="I7" s="29">
        <f>('Submetering '!N8+'Submetering '!O8)*2.83</f>
        <v>144.64130000000165</v>
      </c>
      <c r="J7" s="32">
        <v>7.58</v>
      </c>
      <c r="K7" s="29">
        <f>('Submetering '!P8+'Submetering '!Q8)*346.26</f>
        <v>8040.1571999978833</v>
      </c>
      <c r="L7" s="32">
        <v>0.1</v>
      </c>
      <c r="M7" s="6"/>
      <c r="N7" s="6"/>
    </row>
    <row r="8" spans="1:14" s="7" customFormat="1" x14ac:dyDescent="0.25">
      <c r="A8" s="6" t="s">
        <v>12</v>
      </c>
      <c r="B8" s="7">
        <f t="shared" si="0"/>
        <v>7</v>
      </c>
      <c r="C8" s="8">
        <v>7</v>
      </c>
      <c r="D8" s="6">
        <v>2021</v>
      </c>
      <c r="E8" s="29">
        <f>'Submetering '!E9+'Submetering '!F9+'Submetering '!G9+'Submetering '!H9+'Submetering '!I9+'Submetering '!J9+'Submetering '!K9+'Submetering '!L9</f>
        <v>215</v>
      </c>
      <c r="F8" s="32">
        <v>0.18</v>
      </c>
      <c r="G8" s="29">
        <f>('Submetering '!M9)*2.8</f>
        <v>873.59999999999991</v>
      </c>
      <c r="H8" s="32">
        <v>0.21</v>
      </c>
      <c r="I8" s="29">
        <f>('Submetering '!N9+'Submetering '!O9)*2.83</f>
        <v>130.49130000000164</v>
      </c>
      <c r="J8" s="32">
        <v>7.58</v>
      </c>
      <c r="K8" s="29">
        <f>('Submetering '!P9+'Submetering '!Q9)*346.26</f>
        <v>9030.4608000031239</v>
      </c>
      <c r="L8" s="32">
        <v>0.1</v>
      </c>
      <c r="M8" s="6"/>
      <c r="N8" s="6"/>
    </row>
    <row r="9" spans="1:14" s="7" customFormat="1" x14ac:dyDescent="0.25">
      <c r="A9" s="6" t="s">
        <v>12</v>
      </c>
      <c r="B9" s="7">
        <f t="shared" si="0"/>
        <v>8</v>
      </c>
      <c r="C9" s="8">
        <v>7</v>
      </c>
      <c r="D9" s="6">
        <v>2021</v>
      </c>
      <c r="E9" s="29">
        <f>'Submetering '!E10+'Submetering '!F10+'Submetering '!G10+'Submetering '!H10+'Submetering '!I10+'Submetering '!J10+'Submetering '!K10+'Submetering '!L10</f>
        <v>212</v>
      </c>
      <c r="F9" s="32">
        <v>0.18</v>
      </c>
      <c r="G9" s="29">
        <f>('Submetering '!M10)*2.8</f>
        <v>868</v>
      </c>
      <c r="H9" s="32">
        <v>0.21</v>
      </c>
      <c r="I9" s="29">
        <f>('Submetering '!N10+'Submetering '!O10)*2.83</f>
        <v>148.77309999999918</v>
      </c>
      <c r="J9" s="32">
        <v>7.58</v>
      </c>
      <c r="K9" s="29">
        <f>('Submetering '!P10+'Submetering '!Q10)*346.26</f>
        <v>17261.060999999496</v>
      </c>
      <c r="L9" s="32">
        <v>0.1</v>
      </c>
      <c r="M9" s="6"/>
      <c r="N9" s="6"/>
    </row>
    <row r="10" spans="1:14" s="7" customFormat="1" x14ac:dyDescent="0.25">
      <c r="A10" s="6" t="s">
        <v>12</v>
      </c>
      <c r="B10" s="7">
        <f t="shared" si="0"/>
        <v>9</v>
      </c>
      <c r="C10" s="8">
        <v>7</v>
      </c>
      <c r="D10" s="6">
        <v>2021</v>
      </c>
      <c r="E10" s="29">
        <f>'Submetering '!E11+'Submetering '!F11+'Submetering '!G11+'Submetering '!H11+'Submetering '!I11+'Submetering '!J11+'Submetering '!K11+'Submetering '!L11</f>
        <v>159</v>
      </c>
      <c r="F10" s="32">
        <v>0.18</v>
      </c>
      <c r="G10" s="29">
        <f>('Submetering '!M11)*2.8</f>
        <v>719.59999999999991</v>
      </c>
      <c r="H10" s="32">
        <v>0.21</v>
      </c>
      <c r="I10" s="29">
        <f>('Submetering '!N11+'Submetering '!O11)*2.83</f>
        <v>160.09309999999917</v>
      </c>
      <c r="J10" s="32">
        <v>7.58</v>
      </c>
      <c r="K10" s="29">
        <f>('Submetering '!P11+'Submetering '!Q11)*346.26</f>
        <v>-2122.5738000016122</v>
      </c>
      <c r="L10" s="32">
        <v>0.1</v>
      </c>
      <c r="M10" s="6"/>
      <c r="N10" s="6"/>
    </row>
    <row r="11" spans="1:14" s="7" customFormat="1" x14ac:dyDescent="0.25">
      <c r="A11" s="6" t="s">
        <v>12</v>
      </c>
      <c r="B11" s="7">
        <f t="shared" si="0"/>
        <v>10</v>
      </c>
      <c r="C11" s="8">
        <v>7</v>
      </c>
      <c r="D11" s="6">
        <v>2021</v>
      </c>
      <c r="E11" s="29">
        <f>'Submetering '!E12+'Submetering '!F12+'Submetering '!G12+'Submetering '!H12+'Submetering '!I12+'Submetering '!J12+'Submetering '!K12+'Submetering '!L12</f>
        <v>225</v>
      </c>
      <c r="F11" s="32">
        <v>0.18</v>
      </c>
      <c r="G11" s="29">
        <f>('Submetering '!M12)*2.8</f>
        <v>977.19999999999993</v>
      </c>
      <c r="H11" s="32">
        <v>0.21</v>
      </c>
      <c r="I11" s="29">
        <f>('Submetering '!N12+'Submetering '!O12)*2.83</f>
        <v>176.02599999999177</v>
      </c>
      <c r="J11" s="32">
        <v>7.58</v>
      </c>
      <c r="K11" s="29">
        <f>('Submetering '!P12+'Submetering '!Q12)*346.26</f>
        <v>8961.208800001612</v>
      </c>
      <c r="L11" s="32">
        <v>0.1</v>
      </c>
      <c r="M11" s="6"/>
      <c r="N11" s="6"/>
    </row>
    <row r="12" spans="1:14" s="7" customFormat="1" x14ac:dyDescent="0.25">
      <c r="A12" s="6" t="s">
        <v>12</v>
      </c>
      <c r="B12" s="7">
        <f t="shared" si="0"/>
        <v>11</v>
      </c>
      <c r="C12" s="8">
        <v>7</v>
      </c>
      <c r="D12" s="6">
        <v>2021</v>
      </c>
      <c r="E12" s="29">
        <f>'Submetering '!E13+'Submetering '!F13+'Submetering '!G13+'Submetering '!H13+'Submetering '!I13+'Submetering '!J13+'Submetering '!K13+'Submetering '!L13</f>
        <v>272</v>
      </c>
      <c r="F12" s="32">
        <v>0.18</v>
      </c>
      <c r="G12" s="29">
        <f>('Submetering '!M13)*2.8</f>
        <v>1075.1999999999998</v>
      </c>
      <c r="H12" s="32">
        <v>0.21</v>
      </c>
      <c r="I12" s="29">
        <f>('Submetering '!N13+'Submetering '!O13)*2.83</f>
        <v>173.39410000001155</v>
      </c>
      <c r="J12" s="32">
        <v>7.58</v>
      </c>
      <c r="K12" s="29">
        <f>('Submetering '!P13+'Submetering '!Q13)*346.26</f>
        <v>10401.650399997783</v>
      </c>
      <c r="L12" s="32">
        <v>0.1</v>
      </c>
      <c r="M12" s="6"/>
      <c r="N12" s="6"/>
    </row>
    <row r="13" spans="1:14" s="7" customFormat="1" x14ac:dyDescent="0.25">
      <c r="A13" s="6" t="s">
        <v>12</v>
      </c>
      <c r="B13" s="7">
        <f t="shared" si="0"/>
        <v>12</v>
      </c>
      <c r="C13" s="8">
        <v>7</v>
      </c>
      <c r="D13" s="6">
        <v>2021</v>
      </c>
      <c r="E13" s="29">
        <f>'Submetering '!E14+'Submetering '!F14+'Submetering '!G14+'Submetering '!H14+'Submetering '!I14+'Submetering '!J14+'Submetering '!K14+'Submetering '!L14</f>
        <v>218</v>
      </c>
      <c r="F13" s="32">
        <v>0.18</v>
      </c>
      <c r="G13" s="29">
        <f>('Submetering '!M14)*2.8</f>
        <v>884.8</v>
      </c>
      <c r="H13" s="32">
        <v>0.21</v>
      </c>
      <c r="I13" s="29">
        <f>('Submetering '!N14+'Submetering '!O14)*2.83</f>
        <v>142.51880000000165</v>
      </c>
      <c r="J13" s="32">
        <v>7.58</v>
      </c>
      <c r="K13" s="29">
        <f>('Submetering '!P14+'Submetering '!Q14)*346.26</f>
        <v>7943.2044000033256</v>
      </c>
      <c r="L13" s="32">
        <v>0.1</v>
      </c>
      <c r="M13" s="6"/>
      <c r="N13" s="6"/>
    </row>
    <row r="14" spans="1:14" s="7" customFormat="1" x14ac:dyDescent="0.25">
      <c r="A14" s="6" t="s">
        <v>12</v>
      </c>
      <c r="B14" s="7">
        <f t="shared" si="0"/>
        <v>13</v>
      </c>
      <c r="C14" s="8">
        <v>7</v>
      </c>
      <c r="D14" s="6">
        <v>2021</v>
      </c>
      <c r="E14" s="29">
        <f>'Submetering '!E15+'Submetering '!F15+'Submetering '!G15+'Submetering '!H15+'Submetering '!I15+'Submetering '!J15+'Submetering '!K15+'Submetering '!L15</f>
        <v>209</v>
      </c>
      <c r="F14" s="32">
        <v>0.18</v>
      </c>
      <c r="G14" s="29">
        <f>('Submetering '!M15)*2.8</f>
        <v>865.19999999999993</v>
      </c>
      <c r="H14" s="32">
        <v>0.21</v>
      </c>
      <c r="I14" s="29">
        <f>('Submetering '!N15+'Submetering '!O15)*2.83</f>
        <v>134.22690000000082</v>
      </c>
      <c r="J14" s="32">
        <v>7.58</v>
      </c>
      <c r="K14" s="29">
        <f>('Submetering '!P15+'Submetering '!Q15)*346.26</f>
        <v>8012.4563999997981</v>
      </c>
      <c r="L14" s="32">
        <v>0.1</v>
      </c>
      <c r="M14" s="6"/>
      <c r="N14" s="6"/>
    </row>
    <row r="15" spans="1:14" s="7" customFormat="1" x14ac:dyDescent="0.25">
      <c r="A15" s="6" t="s">
        <v>12</v>
      </c>
      <c r="B15" s="7">
        <f t="shared" si="0"/>
        <v>14</v>
      </c>
      <c r="C15" s="8">
        <v>7</v>
      </c>
      <c r="D15" s="6">
        <v>2021</v>
      </c>
      <c r="E15" s="29">
        <f>'Submetering '!E16+'Submetering '!F16+'Submetering '!G16+'Submetering '!H16+'Submetering '!I16+'Submetering '!J16+'Submetering '!K16+'Submetering '!L16</f>
        <v>210</v>
      </c>
      <c r="F15" s="32">
        <v>0.18</v>
      </c>
      <c r="G15" s="29">
        <f>('Submetering '!M16)*2.8</f>
        <v>862.4</v>
      </c>
      <c r="H15" s="32">
        <v>0.21</v>
      </c>
      <c r="I15" s="29">
        <f>('Submetering '!N16+'Submetering '!O16)*2.83</f>
        <v>139.00959999998682</v>
      </c>
      <c r="J15" s="32">
        <v>7.58</v>
      </c>
      <c r="K15" s="29">
        <f>('Submetering '!P16+'Submetering '!Q16)*346.26</f>
        <v>8981.9843999982859</v>
      </c>
      <c r="L15" s="32">
        <v>0.1</v>
      </c>
      <c r="M15" s="6"/>
      <c r="N15" s="6"/>
    </row>
    <row r="16" spans="1:14" s="7" customFormat="1" x14ac:dyDescent="0.25">
      <c r="A16" s="6" t="s">
        <v>12</v>
      </c>
      <c r="B16" s="7">
        <f t="shared" si="0"/>
        <v>15</v>
      </c>
      <c r="C16" s="8">
        <v>7</v>
      </c>
      <c r="D16" s="6">
        <v>2021</v>
      </c>
      <c r="E16" s="29">
        <f>'Submetering '!E17+'Submetering '!F17+'Submetering '!G17+'Submetering '!H17+'Submetering '!I17+'Submetering '!J17+'Submetering '!K17+'Submetering '!L17</f>
        <v>211</v>
      </c>
      <c r="F16" s="32">
        <v>0.18</v>
      </c>
      <c r="G16" s="29">
        <f>('Submetering '!M17)*2.8</f>
        <v>988.4</v>
      </c>
      <c r="H16" s="32">
        <v>0.21</v>
      </c>
      <c r="I16" s="29">
        <f>('Submetering '!N17+'Submetering '!O17)*2.83</f>
        <v>143.16970000001072</v>
      </c>
      <c r="J16" s="32">
        <v>7.58</v>
      </c>
      <c r="K16" s="29">
        <f>('Submetering '!P17+'Submetering '!Q17)*346.26</f>
        <v>8774.2284000013096</v>
      </c>
      <c r="L16" s="32">
        <v>0.1</v>
      </c>
      <c r="M16" s="6"/>
      <c r="N16" s="6"/>
    </row>
    <row r="17" spans="1:14" s="7" customFormat="1" x14ac:dyDescent="0.25">
      <c r="A17" s="6" t="s">
        <v>12</v>
      </c>
      <c r="B17" s="7">
        <f t="shared" si="0"/>
        <v>16</v>
      </c>
      <c r="C17" s="8">
        <v>7</v>
      </c>
      <c r="D17" s="6">
        <v>2021</v>
      </c>
      <c r="E17" s="29">
        <f>'Submetering '!E18+'Submetering '!F18+'Submetering '!G18+'Submetering '!H18+'Submetering '!I18+'Submetering '!J18+'Submetering '!K18+'Submetering '!L18</f>
        <v>155</v>
      </c>
      <c r="F17" s="32">
        <v>0.18</v>
      </c>
      <c r="G17" s="29">
        <f>('Submetering '!M18)*2.8</f>
        <v>784</v>
      </c>
      <c r="H17" s="32">
        <v>0.21</v>
      </c>
      <c r="I17" s="29">
        <f>('Submetering '!N18+'Submetering '!O18)*2.83</f>
        <v>142.71690000000083</v>
      </c>
      <c r="J17" s="32">
        <v>7.58</v>
      </c>
      <c r="K17" s="29">
        <f>('Submetering '!P18+'Submetering '!Q18)*346.26</f>
        <v>7008.3023999967754</v>
      </c>
      <c r="L17" s="32">
        <v>0.1</v>
      </c>
      <c r="M17" s="6"/>
      <c r="N17" s="6"/>
    </row>
    <row r="18" spans="1:14" s="7" customFormat="1" x14ac:dyDescent="0.25">
      <c r="A18" s="6" t="s">
        <v>12</v>
      </c>
      <c r="B18" s="7">
        <f t="shared" si="0"/>
        <v>17</v>
      </c>
      <c r="C18" s="8">
        <v>7</v>
      </c>
      <c r="D18" s="6">
        <v>2021</v>
      </c>
      <c r="E18" s="29">
        <f>'Submetering '!E19+'Submetering '!F19+'Submetering '!G19+'Submetering '!H19+'Submetering '!I19+'Submetering '!J19+'Submetering '!K19+'Submetering '!L19</f>
        <v>212</v>
      </c>
      <c r="F18" s="32">
        <v>0.18</v>
      </c>
      <c r="G18" s="29">
        <f>('Submetering '!M19)*2.8</f>
        <v>960.4</v>
      </c>
      <c r="H18" s="32">
        <v>0.21</v>
      </c>
      <c r="I18" s="29">
        <f>('Submetering '!N19+'Submetering '!O19)*2.83</f>
        <v>163.51739999999671</v>
      </c>
      <c r="J18" s="32">
        <v>7.58</v>
      </c>
      <c r="K18" s="29">
        <f>('Submetering '!P19+'Submetering '!Q19)*346.26</f>
        <v>8317.165200001411</v>
      </c>
      <c r="L18" s="32">
        <v>0.1</v>
      </c>
      <c r="M18" s="6"/>
      <c r="N18" s="6"/>
    </row>
    <row r="19" spans="1:14" s="7" customFormat="1" x14ac:dyDescent="0.25">
      <c r="A19" s="6" t="s">
        <v>12</v>
      </c>
      <c r="B19" s="7">
        <f t="shared" si="0"/>
        <v>18</v>
      </c>
      <c r="C19" s="8">
        <v>7</v>
      </c>
      <c r="D19" s="6">
        <v>2021</v>
      </c>
      <c r="E19" s="29">
        <f>'Submetering '!E20+'Submetering '!F20+'Submetering '!G20+'Submetering '!H20+'Submetering '!I20+'Submetering '!J20+'Submetering '!K20+'Submetering '!L20</f>
        <v>281</v>
      </c>
      <c r="F19" s="32">
        <v>0.18</v>
      </c>
      <c r="G19" s="29">
        <f>('Submetering '!M20)*2.8</f>
        <v>1120</v>
      </c>
      <c r="H19" s="32">
        <v>0.21</v>
      </c>
      <c r="I19" s="29">
        <f>('Submetering '!N20+'Submetering '!O20)*2.83</f>
        <v>154.88589999998848</v>
      </c>
      <c r="J19" s="32">
        <v>7.58</v>
      </c>
      <c r="K19" s="29">
        <f>('Submetering '!P20+'Submetering '!Q20)*346.26</f>
        <v>10263.146400002317</v>
      </c>
      <c r="L19" s="32">
        <v>0.1</v>
      </c>
      <c r="M19" s="6"/>
      <c r="N19" s="6"/>
    </row>
    <row r="20" spans="1:14" s="7" customFormat="1" x14ac:dyDescent="0.25">
      <c r="A20" s="6" t="s">
        <v>12</v>
      </c>
      <c r="B20" s="7">
        <f t="shared" si="0"/>
        <v>19</v>
      </c>
      <c r="C20" s="8">
        <v>7</v>
      </c>
      <c r="D20" s="6">
        <v>2021</v>
      </c>
      <c r="E20" s="29">
        <f>'Submetering '!E21+'Submetering '!F21+'Submetering '!G21+'Submetering '!H21+'Submetering '!I21+'Submetering '!J21+'Submetering '!K21+'Submetering '!L21</f>
        <v>216</v>
      </c>
      <c r="F20" s="32">
        <v>0.18</v>
      </c>
      <c r="G20" s="29">
        <f>('Submetering '!M21)*2.8</f>
        <v>901.59999999999991</v>
      </c>
      <c r="H20" s="32">
        <v>0.21</v>
      </c>
      <c r="I20" s="29">
        <f>('Submetering '!N21+'Submetering '!O21)*2.83</f>
        <v>147.07510000000329</v>
      </c>
      <c r="J20" s="32">
        <v>7.58</v>
      </c>
      <c r="K20" s="29">
        <f>('Submetering '!P21+'Submetering '!Q21)*346.26</f>
        <v>8060.9327999995967</v>
      </c>
      <c r="L20" s="32">
        <v>0.1</v>
      </c>
      <c r="M20" s="6"/>
      <c r="N20" s="6"/>
    </row>
    <row r="21" spans="1:14" s="7" customFormat="1" x14ac:dyDescent="0.25">
      <c r="A21" s="6" t="s">
        <v>12</v>
      </c>
      <c r="B21" s="7">
        <f t="shared" si="0"/>
        <v>20</v>
      </c>
      <c r="C21" s="8">
        <v>7</v>
      </c>
      <c r="D21" s="6">
        <v>2021</v>
      </c>
      <c r="E21" s="29">
        <f>'Submetering '!E22+'Submetering '!F22+'Submetering '!G22+'Submetering '!H22+'Submetering '!I22+'Submetering '!J22+'Submetering '!K22+'Submetering '!L22</f>
        <v>217</v>
      </c>
      <c r="F21" s="32">
        <v>0.18</v>
      </c>
      <c r="G21" s="29">
        <f>('Submetering '!M22)*2.8</f>
        <v>929.59999999999991</v>
      </c>
      <c r="H21" s="32">
        <v>0.21</v>
      </c>
      <c r="I21" s="29">
        <f>('Submetering '!N22+'Submetering '!O22)*2.83</f>
        <v>148.74480000001401</v>
      </c>
      <c r="J21" s="32">
        <v>7.58</v>
      </c>
      <c r="K21" s="29">
        <f>('Submetering '!P22+'Submetering '!Q22)*346.26</f>
        <v>8601.0983999962718</v>
      </c>
      <c r="L21" s="32">
        <v>0.1</v>
      </c>
      <c r="M21" s="6"/>
      <c r="N21" s="6"/>
    </row>
    <row r="22" spans="1:14" s="7" customFormat="1" x14ac:dyDescent="0.25">
      <c r="A22" s="6" t="s">
        <v>12</v>
      </c>
      <c r="B22" s="7">
        <f t="shared" si="0"/>
        <v>21</v>
      </c>
      <c r="C22" s="8">
        <v>7</v>
      </c>
      <c r="D22" s="6">
        <v>2021</v>
      </c>
      <c r="E22" s="29">
        <f>'Submetering '!E23+'Submetering '!F23+'Submetering '!G23+'Submetering '!H23+'Submetering '!I23+'Submetering '!J23+'Submetering '!K23+'Submetering '!L23</f>
        <v>-850863</v>
      </c>
      <c r="F22" s="32">
        <v>0.18</v>
      </c>
      <c r="G22" s="29">
        <f>('Submetering '!M23)*2.8</f>
        <v>-760401.6</v>
      </c>
      <c r="H22" s="32">
        <v>0.21</v>
      </c>
      <c r="I22" s="29">
        <f>('Submetering '!N23+'Submetering '!O23)*2.83</f>
        <v>-175257.79650000003</v>
      </c>
      <c r="J22" s="32">
        <v>7.58</v>
      </c>
      <c r="K22" s="29">
        <f>('Submetering '!P23+'Submetering '!Q23)*346.26</f>
        <v>-60162526.108199999</v>
      </c>
      <c r="L22" s="32">
        <v>0.1</v>
      </c>
      <c r="M22" s="6"/>
      <c r="N22" s="6"/>
    </row>
    <row r="23" spans="1:14" s="7" customFormat="1" x14ac:dyDescent="0.25">
      <c r="A23" s="6" t="s">
        <v>12</v>
      </c>
      <c r="B23" s="7">
        <f t="shared" si="0"/>
        <v>22</v>
      </c>
      <c r="C23" s="8">
        <v>7</v>
      </c>
      <c r="D23" s="6">
        <v>2021</v>
      </c>
      <c r="E23" s="29">
        <f>'Submetering '!E24+'Submetering '!F24+'Submetering '!G24+'Submetering '!H24+'Submetering '!I24+'Submetering '!J24+'Submetering '!K24+'Submetering '!L24</f>
        <v>0</v>
      </c>
      <c r="F23" s="32">
        <v>0.18</v>
      </c>
      <c r="G23" s="29">
        <f>('Submetering '!M24)*2.8</f>
        <v>0</v>
      </c>
      <c r="H23" s="32">
        <v>0.21</v>
      </c>
      <c r="I23" s="29">
        <f>('Submetering '!N24+'Submetering '!O24)*2.83</f>
        <v>0</v>
      </c>
      <c r="J23" s="32">
        <v>7.58</v>
      </c>
      <c r="K23" s="29">
        <f>('Submetering '!P24+'Submetering '!Q24)*346.26</f>
        <v>0</v>
      </c>
      <c r="L23" s="32">
        <v>0.1</v>
      </c>
      <c r="M23" s="6"/>
      <c r="N23" s="6"/>
    </row>
    <row r="24" spans="1:14" s="7" customFormat="1" x14ac:dyDescent="0.25">
      <c r="A24" s="6" t="s">
        <v>12</v>
      </c>
      <c r="B24" s="7">
        <f t="shared" si="0"/>
        <v>23</v>
      </c>
      <c r="C24" s="8">
        <v>7</v>
      </c>
      <c r="D24" s="6">
        <v>2021</v>
      </c>
      <c r="E24" s="29">
        <f>'Submetering '!E25+'Submetering '!F25+'Submetering '!G25+'Submetering '!H25+'Submetering '!I25+'Submetering '!J25+'Submetering '!K25+'Submetering '!L25</f>
        <v>0</v>
      </c>
      <c r="F24" s="32">
        <v>0.18</v>
      </c>
      <c r="G24" s="29">
        <f>('Submetering '!M25)*2.8</f>
        <v>0</v>
      </c>
      <c r="H24" s="32">
        <v>0.21</v>
      </c>
      <c r="I24" s="29">
        <f>('Submetering '!N25+'Submetering '!O25)*2.83</f>
        <v>0</v>
      </c>
      <c r="J24" s="32">
        <v>7.58</v>
      </c>
      <c r="K24" s="29">
        <f>('Submetering '!P25+'Submetering '!Q25)*346.26</f>
        <v>0</v>
      </c>
      <c r="L24" s="32">
        <v>0.1</v>
      </c>
      <c r="M24" s="6"/>
      <c r="N24" s="6"/>
    </row>
    <row r="25" spans="1:14" s="7" customFormat="1" x14ac:dyDescent="0.25">
      <c r="A25" s="6" t="s">
        <v>12</v>
      </c>
      <c r="B25" s="7">
        <f t="shared" si="0"/>
        <v>24</v>
      </c>
      <c r="C25" s="8">
        <v>7</v>
      </c>
      <c r="D25" s="6">
        <v>2021</v>
      </c>
      <c r="E25" s="29">
        <f>'Submetering '!E26+'Submetering '!F26+'Submetering '!G26+'Submetering '!H26+'Submetering '!I26+'Submetering '!J26+'Submetering '!K26+'Submetering '!L26</f>
        <v>0</v>
      </c>
      <c r="F25" s="32">
        <v>0.18</v>
      </c>
      <c r="G25" s="29">
        <f>('Submetering '!M26)*2.8</f>
        <v>0</v>
      </c>
      <c r="H25" s="32">
        <v>0.21</v>
      </c>
      <c r="I25" s="29">
        <f>('Submetering '!N26+'Submetering '!O26)*2.83</f>
        <v>0</v>
      </c>
      <c r="J25" s="32">
        <v>7.58</v>
      </c>
      <c r="K25" s="29">
        <f>('Submetering '!P26+'Submetering '!Q26)*346.26</f>
        <v>0</v>
      </c>
      <c r="L25" s="32">
        <v>0.1</v>
      </c>
      <c r="M25" s="6"/>
      <c r="N25" s="6"/>
    </row>
    <row r="26" spans="1:14" s="7" customFormat="1" x14ac:dyDescent="0.25">
      <c r="A26" s="6" t="s">
        <v>12</v>
      </c>
      <c r="B26" s="7">
        <f>B25+1</f>
        <v>25</v>
      </c>
      <c r="C26" s="8">
        <v>7</v>
      </c>
      <c r="D26" s="6">
        <v>2021</v>
      </c>
      <c r="E26" s="29">
        <f>'Submetering '!E27+'Submetering '!F27+'Submetering '!G27+'Submetering '!H27+'Submetering '!I27+'Submetering '!J27+'Submetering '!K27+'Submetering '!L27</f>
        <v>0</v>
      </c>
      <c r="F26" s="32">
        <v>0.18</v>
      </c>
      <c r="G26" s="29">
        <f>('Submetering '!M27)*2.8</f>
        <v>0</v>
      </c>
      <c r="H26" s="32">
        <v>0.21</v>
      </c>
      <c r="I26" s="29">
        <f>('Submetering '!N27+'Submetering '!O27)*2.83</f>
        <v>0</v>
      </c>
      <c r="J26" s="32">
        <v>7.58</v>
      </c>
      <c r="K26" s="29">
        <f>('Submetering '!P27+'Submetering '!Q27)*346.26</f>
        <v>0</v>
      </c>
      <c r="L26" s="32">
        <v>0.1</v>
      </c>
      <c r="M26" s="6"/>
      <c r="N26" s="6"/>
    </row>
    <row r="27" spans="1:14" s="7" customFormat="1" x14ac:dyDescent="0.25">
      <c r="A27" s="6" t="s">
        <v>12</v>
      </c>
      <c r="B27" s="7">
        <f t="shared" si="0"/>
        <v>26</v>
      </c>
      <c r="C27" s="8">
        <v>7</v>
      </c>
      <c r="D27" s="6">
        <v>2021</v>
      </c>
      <c r="E27" s="29">
        <f>'Submetering '!E28+'Submetering '!F28+'Submetering '!G28+'Submetering '!H28+'Submetering '!I28+'Submetering '!J28+'Submetering '!K28+'Submetering '!L28</f>
        <v>0</v>
      </c>
      <c r="F27" s="32">
        <v>0.18</v>
      </c>
      <c r="G27" s="29">
        <f>('Submetering '!M28)*2.8</f>
        <v>0</v>
      </c>
      <c r="H27" s="32">
        <v>0.21</v>
      </c>
      <c r="I27" s="29">
        <f>('Submetering '!N28+'Submetering '!O28)*2.83</f>
        <v>0</v>
      </c>
      <c r="J27" s="32">
        <v>7.58</v>
      </c>
      <c r="K27" s="29">
        <f>('Submetering '!P28+'Submetering '!Q28)*346.26</f>
        <v>0</v>
      </c>
      <c r="L27" s="32">
        <v>0.1</v>
      </c>
      <c r="M27" s="6"/>
      <c r="N27" s="6"/>
    </row>
    <row r="28" spans="1:14" s="7" customFormat="1" x14ac:dyDescent="0.25">
      <c r="A28" s="6" t="s">
        <v>12</v>
      </c>
      <c r="B28" s="7">
        <f t="shared" si="0"/>
        <v>27</v>
      </c>
      <c r="C28" s="8">
        <v>7</v>
      </c>
      <c r="D28" s="6">
        <v>2021</v>
      </c>
      <c r="E28" s="29">
        <f>'Submetering '!E29+'Submetering '!F29+'Submetering '!G29+'Submetering '!H29+'Submetering '!I29+'Submetering '!J29+'Submetering '!K29+'Submetering '!L29</f>
        <v>0</v>
      </c>
      <c r="F28" s="32">
        <v>0.18</v>
      </c>
      <c r="G28" s="29">
        <f>('Submetering '!M29)*2.8</f>
        <v>0</v>
      </c>
      <c r="H28" s="32">
        <v>0.21</v>
      </c>
      <c r="I28" s="29">
        <f>('Submetering '!N29+'Submetering '!O29)*2.83</f>
        <v>0</v>
      </c>
      <c r="J28" s="32">
        <v>7.58</v>
      </c>
      <c r="K28" s="29">
        <f>('Submetering '!P29+'Submetering '!Q29)*346.26</f>
        <v>0</v>
      </c>
      <c r="L28" s="32">
        <v>0.1</v>
      </c>
      <c r="M28" s="6"/>
      <c r="N28" s="6"/>
    </row>
    <row r="29" spans="1:14" s="7" customFormat="1" x14ac:dyDescent="0.25">
      <c r="A29" s="6" t="s">
        <v>12</v>
      </c>
      <c r="B29" s="7">
        <f t="shared" si="0"/>
        <v>28</v>
      </c>
      <c r="C29" s="8">
        <v>7</v>
      </c>
      <c r="D29" s="6">
        <v>2021</v>
      </c>
      <c r="E29" s="29">
        <f>'Submetering '!E30+'Submetering '!F30+'Submetering '!G30+'Submetering '!H30+'Submetering '!I30+'Submetering '!J30+'Submetering '!K30+'Submetering '!L30</f>
        <v>0</v>
      </c>
      <c r="F29" s="32">
        <v>0.18</v>
      </c>
      <c r="G29" s="29">
        <f>('Submetering '!M30)*2.8</f>
        <v>0</v>
      </c>
      <c r="H29" s="32">
        <v>0.21</v>
      </c>
      <c r="I29" s="29">
        <f>('Submetering '!N30+'Submetering '!O30)*2.83</f>
        <v>0</v>
      </c>
      <c r="J29" s="32">
        <v>7.58</v>
      </c>
      <c r="K29" s="29">
        <f>('Submetering '!P30+'Submetering '!Q30)*346.26</f>
        <v>0</v>
      </c>
      <c r="L29" s="32">
        <v>0.1</v>
      </c>
      <c r="M29" s="6"/>
      <c r="N29" s="6"/>
    </row>
    <row r="30" spans="1:14" s="7" customFormat="1" x14ac:dyDescent="0.25">
      <c r="A30" s="6" t="s">
        <v>12</v>
      </c>
      <c r="B30" s="7">
        <f t="shared" si="0"/>
        <v>29</v>
      </c>
      <c r="C30" s="8">
        <v>7</v>
      </c>
      <c r="D30" s="6">
        <v>2021</v>
      </c>
      <c r="E30" s="29">
        <f>'Submetering '!E31+'Submetering '!F31+'Submetering '!G31+'Submetering '!H31+'Submetering '!I31+'Submetering '!J31+'Submetering '!K31+'Submetering '!L31</f>
        <v>0</v>
      </c>
      <c r="F30" s="32">
        <v>0.18</v>
      </c>
      <c r="G30" s="29">
        <f>('Submetering '!M31)*2.8</f>
        <v>0</v>
      </c>
      <c r="H30" s="32">
        <v>0.21</v>
      </c>
      <c r="I30" s="29">
        <f>('Submetering '!N31+'Submetering '!O31)*2.83</f>
        <v>0</v>
      </c>
      <c r="J30" s="32">
        <v>7.58</v>
      </c>
      <c r="K30" s="29">
        <f>('Submetering '!P31+'Submetering '!Q31)*346.26</f>
        <v>0</v>
      </c>
      <c r="L30" s="32">
        <v>0.1</v>
      </c>
      <c r="M30" s="6"/>
      <c r="N30" s="6"/>
    </row>
    <row r="31" spans="1:14" s="6" customFormat="1" x14ac:dyDescent="0.25">
      <c r="A31" s="6" t="s">
        <v>12</v>
      </c>
      <c r="B31" s="7">
        <f t="shared" si="0"/>
        <v>30</v>
      </c>
      <c r="C31" s="8">
        <v>7</v>
      </c>
      <c r="D31" s="6">
        <v>2021</v>
      </c>
      <c r="E31" s="29">
        <f>'Submetering '!E32+'Submetering '!F32+'Submetering '!G32+'Submetering '!H32+'Submetering '!I32+'Submetering '!J32+'Submetering '!K32+'Submetering '!L32</f>
        <v>0</v>
      </c>
      <c r="F31" s="32">
        <v>0.18</v>
      </c>
      <c r="G31" s="29">
        <f>('Submetering '!M32)*2.8</f>
        <v>0</v>
      </c>
      <c r="H31" s="32">
        <v>0.21</v>
      </c>
      <c r="I31" s="29">
        <f>('Submetering '!N32+'Submetering '!O32)*2.83</f>
        <v>0</v>
      </c>
      <c r="J31" s="32">
        <v>7.58</v>
      </c>
      <c r="K31" s="29">
        <f>('Submetering '!P32+'Submetering '!Q32)*346.26</f>
        <v>0</v>
      </c>
      <c r="L31" s="32">
        <v>0.1</v>
      </c>
    </row>
    <row r="32" spans="1:14" s="6" customFormat="1" x14ac:dyDescent="0.25">
      <c r="A32" s="6" t="s">
        <v>12</v>
      </c>
      <c r="B32" s="7">
        <f t="shared" si="0"/>
        <v>31</v>
      </c>
      <c r="C32" s="8">
        <v>7</v>
      </c>
      <c r="D32" s="6">
        <v>2021</v>
      </c>
      <c r="E32" s="29">
        <f>'Submetering '!E33+'Submetering '!F33+'Submetering '!G33+'Submetering '!H33+'Submetering '!I33+'Submetering '!J33+'Submetering '!K33+'Submetering '!L33</f>
        <v>0</v>
      </c>
      <c r="F32" s="32">
        <v>0.18</v>
      </c>
      <c r="G32" s="29">
        <f>('Submetering '!M33)*2.8</f>
        <v>0</v>
      </c>
      <c r="H32" s="32">
        <v>0.21</v>
      </c>
      <c r="I32" s="29">
        <f>('Submetering '!N33+'Submetering '!O33)*2.83</f>
        <v>0</v>
      </c>
      <c r="J32" s="32">
        <v>7.58</v>
      </c>
      <c r="K32" s="29">
        <f>('Submetering '!P33+'Submetering '!Q33)*346.26</f>
        <v>0</v>
      </c>
      <c r="L32" s="32">
        <v>0.1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workbookViewId="0">
      <selection activeCell="Q10" sqref="Q10"/>
    </sheetView>
  </sheetViews>
  <sheetFormatPr defaultColWidth="11.5703125" defaultRowHeight="15" x14ac:dyDescent="0.25"/>
  <cols>
    <col min="4" max="4" width="13.42578125" customWidth="1"/>
    <col min="5" max="5" width="13" style="1" customWidth="1"/>
    <col min="6" max="6" width="12.5703125" customWidth="1"/>
    <col min="7" max="7" width="13" style="1" customWidth="1"/>
    <col min="12" max="12" width="11.5703125" style="1"/>
    <col min="15" max="15" width="14" customWidth="1"/>
  </cols>
  <sheetData>
    <row r="1" spans="1:20" s="5" customFormat="1" ht="45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16</v>
      </c>
      <c r="F1" s="4" t="s">
        <v>37</v>
      </c>
      <c r="G1" s="4" t="s">
        <v>58</v>
      </c>
      <c r="H1" s="4" t="s">
        <v>79</v>
      </c>
      <c r="I1" s="4" t="s">
        <v>100</v>
      </c>
      <c r="J1" s="4" t="s">
        <v>121</v>
      </c>
      <c r="K1" s="4" t="s">
        <v>124</v>
      </c>
      <c r="L1" s="4" t="s">
        <v>145</v>
      </c>
      <c r="M1" s="4" t="s">
        <v>166</v>
      </c>
      <c r="N1" s="4" t="s">
        <v>187</v>
      </c>
      <c r="O1" s="4" t="s">
        <v>208</v>
      </c>
      <c r="P1" s="4" t="s">
        <v>213</v>
      </c>
      <c r="Q1" s="4" t="s">
        <v>234</v>
      </c>
      <c r="R1" s="4"/>
    </row>
    <row r="2" spans="1:20" s="5" customFormat="1" x14ac:dyDescent="0.25">
      <c r="E2" s="2"/>
      <c r="F2" s="9"/>
      <c r="G2" s="2"/>
      <c r="H2" s="3"/>
      <c r="I2" s="3"/>
      <c r="J2" s="3"/>
      <c r="K2" s="3"/>
      <c r="L2" s="2"/>
      <c r="M2" s="3"/>
      <c r="N2" s="3"/>
      <c r="O2" s="4"/>
      <c r="P2" s="4"/>
    </row>
    <row r="3" spans="1:20" s="6" customFormat="1" ht="12.75" x14ac:dyDescent="0.2">
      <c r="A3" s="6" t="s">
        <v>12</v>
      </c>
      <c r="B3" s="6">
        <v>1</v>
      </c>
      <c r="C3" s="8">
        <v>7</v>
      </c>
      <c r="D3" s="6">
        <v>2021</v>
      </c>
      <c r="E3" s="9">
        <f>DAILY!C4-DAILY!B4</f>
        <v>0</v>
      </c>
      <c r="F3" s="9">
        <f>DAILY!$C$5-DAILY!$B$5</f>
        <v>0</v>
      </c>
      <c r="G3" s="9">
        <f>DAILY!$C$6-DAILY!$B$6</f>
        <v>0</v>
      </c>
      <c r="H3" s="9">
        <f>DAILY!$C$7-DAILY!$B$7</f>
        <v>0</v>
      </c>
      <c r="I3" s="9">
        <f>DAILY!$C$8-DAILY!$B$8</f>
        <v>0</v>
      </c>
      <c r="J3" s="9">
        <f>DAILY!$C$9-DAILY!$B$9</f>
        <v>0</v>
      </c>
      <c r="K3" s="9">
        <f>DAILY!$C$10-DAILY!$B$10</f>
        <v>0</v>
      </c>
      <c r="L3" s="9">
        <f>DAILY!$C$11-DAILY!$B$11</f>
        <v>0</v>
      </c>
      <c r="M3" s="9">
        <f>DAILY!$C$12-DAILY!$B$12</f>
        <v>0</v>
      </c>
      <c r="N3" s="9">
        <f>DAILY!$C$13-DAILY!$B$13</f>
        <v>1.0000000002037268E-2</v>
      </c>
      <c r="O3" s="9">
        <f>DAILY!$C$14-DAILY!$B$14</f>
        <v>1</v>
      </c>
      <c r="P3" s="9">
        <f>DAILY!$C$15-DAILY!$B$15</f>
        <v>9.9999999947613105E-3</v>
      </c>
      <c r="Q3" s="9">
        <f>DAILY!$C$16-DAILY!$B$16</f>
        <v>1.0000000002037268E-2</v>
      </c>
      <c r="R3" s="9"/>
      <c r="S3" s="9"/>
      <c r="T3" s="9"/>
    </row>
    <row r="4" spans="1:20" s="7" customFormat="1" x14ac:dyDescent="0.25">
      <c r="A4" s="6" t="s">
        <v>12</v>
      </c>
      <c r="B4" s="7">
        <f>B3+1</f>
        <v>2</v>
      </c>
      <c r="C4" s="8">
        <v>7</v>
      </c>
      <c r="D4" s="6">
        <v>2021</v>
      </c>
      <c r="E4" s="9">
        <f>DAILY!D4-DAILY!C4</f>
        <v>12</v>
      </c>
      <c r="F4" s="9">
        <f>DAILY!$D$5-DAILY!$C$5</f>
        <v>23</v>
      </c>
      <c r="G4" s="9">
        <f>DAILY!$D$6-DAILY!$C$6</f>
        <v>6</v>
      </c>
      <c r="H4" s="9">
        <f>DAILY!$D$7-DAILY!$C$7</f>
        <v>32</v>
      </c>
      <c r="I4" s="9">
        <f>DAILY!$D$8-DAILY!$C$8</f>
        <v>8</v>
      </c>
      <c r="J4" s="9">
        <f>DAILY!$D$9-DAILY!$C$9</f>
        <v>0</v>
      </c>
      <c r="K4" s="9">
        <f>DAILY!$D$10-DAILY!$C$10</f>
        <v>7</v>
      </c>
      <c r="L4" s="9">
        <f>DAILY!$D$11-DAILY!$C$11</f>
        <v>72</v>
      </c>
      <c r="M4" s="9">
        <f>DAILY!$D$12-DAILY!$C$12</f>
        <v>245</v>
      </c>
      <c r="N4" s="9">
        <f>DAILY!$D$13-DAILY!$C$13</f>
        <v>42.620000000002619</v>
      </c>
      <c r="O4" s="9">
        <f>DAILY!$D$14-DAILY!$C$14</f>
        <v>0</v>
      </c>
      <c r="P4" s="9">
        <f>DAILY!$D$15-DAILY!$C$15</f>
        <v>11.860000000000582</v>
      </c>
      <c r="Q4" s="9">
        <f>DAILY!$D$16-DAILY!$C$16</f>
        <v>4.180000000000291</v>
      </c>
    </row>
    <row r="5" spans="1:20" s="7" customFormat="1" x14ac:dyDescent="0.25">
      <c r="A5" s="6" t="s">
        <v>12</v>
      </c>
      <c r="B5" s="7">
        <f t="shared" ref="B5:B33" si="0">B4+1</f>
        <v>3</v>
      </c>
      <c r="C5" s="8">
        <v>7</v>
      </c>
      <c r="D5" s="6">
        <v>2021</v>
      </c>
      <c r="E5" s="9">
        <f>DAILY!E4-DAILY!D4</f>
        <v>15</v>
      </c>
      <c r="F5" s="9">
        <f>DAILY!$E$5-DAILY!$D$5</f>
        <v>32</v>
      </c>
      <c r="G5" s="9">
        <f>DAILY!$E$6-DAILY!$D$6</f>
        <v>9</v>
      </c>
      <c r="H5" s="9">
        <f>DAILY!$E$7-DAILY!$D$7</f>
        <v>43</v>
      </c>
      <c r="I5" s="9">
        <f>DAILY!$E$8-DAILY!$D$8</f>
        <v>9</v>
      </c>
      <c r="J5" s="9">
        <f>DAILY!$E$9-DAILY!$D$9</f>
        <v>0</v>
      </c>
      <c r="K5" s="9">
        <f>DAILY!$E$10-DAILY!$D$10</f>
        <v>10</v>
      </c>
      <c r="L5" s="9">
        <f>DAILY!$E$11-DAILY!$D$11</f>
        <v>101</v>
      </c>
      <c r="M5" s="9">
        <f>DAILY!$E$12-DAILY!$D$12</f>
        <v>305</v>
      </c>
      <c r="N5" s="9">
        <f>DAILY!$E$13-DAILY!$D$13</f>
        <v>80.389999999999418</v>
      </c>
      <c r="O5" s="9">
        <f>DAILY!$E$14-DAILY!$D$14</f>
        <v>1</v>
      </c>
      <c r="P5" s="9">
        <f>DAILY!$E$15-DAILY!$D$15</f>
        <v>16.340000000011059</v>
      </c>
      <c r="Q5" s="9">
        <f>DAILY!$E$16-DAILY!$D$16</f>
        <v>5.7799999999988358</v>
      </c>
    </row>
    <row r="6" spans="1:20" s="7" customFormat="1" x14ac:dyDescent="0.25">
      <c r="A6" s="6" t="s">
        <v>12</v>
      </c>
      <c r="B6" s="7">
        <f t="shared" si="0"/>
        <v>4</v>
      </c>
      <c r="C6" s="8">
        <v>7</v>
      </c>
      <c r="D6" s="6">
        <v>2021</v>
      </c>
      <c r="E6" s="9">
        <f>DAILY!F4-DAILY!E4</f>
        <v>17</v>
      </c>
      <c r="F6" s="9">
        <f>DAILY!$F$5-DAILY!$E$5</f>
        <v>42</v>
      </c>
      <c r="G6" s="9">
        <f>DAILY!$F$6-DAILY!$E$6</f>
        <v>8</v>
      </c>
      <c r="H6" s="9">
        <f>DAILY!$F$7-DAILY!$E$7</f>
        <v>54</v>
      </c>
      <c r="I6" s="9">
        <f>DAILY!$F$8-DAILY!$E$8</f>
        <v>11</v>
      </c>
      <c r="J6" s="9">
        <f>DAILY!$F$9-DAILY!$E$9</f>
        <v>0</v>
      </c>
      <c r="K6" s="9">
        <f>DAILY!$F$10-DAILY!$E$10</f>
        <v>8</v>
      </c>
      <c r="L6" s="9">
        <f>DAILY!$F$11-DAILY!$E$11</f>
        <v>114</v>
      </c>
      <c r="M6" s="9">
        <f>DAILY!$F$12-DAILY!$E$12</f>
        <v>461</v>
      </c>
      <c r="N6" s="9">
        <f>DAILY!$F$13-DAILY!$E$13</f>
        <v>48.989999999997963</v>
      </c>
      <c r="O6" s="9">
        <f>DAILY!$F$14-DAILY!$E$14</f>
        <v>0</v>
      </c>
      <c r="P6" s="9">
        <f>DAILY!$F$15-DAILY!$E$15</f>
        <v>19.129999999990105</v>
      </c>
      <c r="Q6" s="9">
        <f>DAILY!$F$16-DAILY!$E$16</f>
        <v>7.8499999999985448</v>
      </c>
    </row>
    <row r="7" spans="1:20" s="7" customFormat="1" x14ac:dyDescent="0.25">
      <c r="A7" s="6" t="s">
        <v>12</v>
      </c>
      <c r="B7" s="7">
        <f t="shared" si="0"/>
        <v>5</v>
      </c>
      <c r="C7" s="8">
        <v>7</v>
      </c>
      <c r="D7" s="6">
        <v>2021</v>
      </c>
      <c r="E7" s="9">
        <f>DAILY!G4-DAILY!F4</f>
        <v>18</v>
      </c>
      <c r="F7" s="9">
        <f>DAILY!$G$5-DAILY!$F$5</f>
        <v>29</v>
      </c>
      <c r="G7" s="9">
        <f>DAILY!$G$6-DAILY!$F$6</f>
        <v>11</v>
      </c>
      <c r="H7" s="9">
        <f>DAILY!$G$7-DAILY!$F$7</f>
        <v>44</v>
      </c>
      <c r="I7" s="9">
        <f>DAILY!$G$8-DAILY!$F$8</f>
        <v>12</v>
      </c>
      <c r="J7" s="9">
        <f>DAILY!$G$9-DAILY!$F$9</f>
        <v>0</v>
      </c>
      <c r="K7" s="9">
        <f>DAILY!$G$10-DAILY!$F$10</f>
        <v>13</v>
      </c>
      <c r="L7" s="9">
        <f>DAILY!$G$11-DAILY!$F$11</f>
        <v>115</v>
      </c>
      <c r="M7" s="9">
        <f>DAILY!$G$12-DAILY!$F$12</f>
        <v>230</v>
      </c>
      <c r="N7" s="9">
        <f>DAILY!$G$13-DAILY!$F$13</f>
        <v>45.139999999999418</v>
      </c>
      <c r="O7" s="9">
        <f>DAILY!$G$14-DAILY!$F$14</f>
        <v>0</v>
      </c>
      <c r="P7" s="9">
        <f>DAILY!$G$15-DAILY!$F$15</f>
        <v>21.470000000001164</v>
      </c>
      <c r="Q7" s="9">
        <f>DAILY!$G$16-DAILY!$F$16</f>
        <v>6.5100000000020373</v>
      </c>
    </row>
    <row r="8" spans="1:20" s="7" customFormat="1" x14ac:dyDescent="0.25">
      <c r="A8" s="6" t="s">
        <v>12</v>
      </c>
      <c r="B8" s="7">
        <f t="shared" si="0"/>
        <v>6</v>
      </c>
      <c r="C8" s="8">
        <v>7</v>
      </c>
      <c r="D8" s="6">
        <v>2021</v>
      </c>
      <c r="E8" s="9">
        <f>DAILY!H4-DAILY!G4</f>
        <v>15</v>
      </c>
      <c r="F8" s="9">
        <f>DAILY!$H$5-DAILY!$G$5</f>
        <v>34</v>
      </c>
      <c r="G8" s="9">
        <f>DAILY!$H$6-DAILY!$G$6</f>
        <v>9</v>
      </c>
      <c r="H8" s="9">
        <f>DAILY!$H$7-DAILY!$G$7</f>
        <v>43</v>
      </c>
      <c r="I8" s="9">
        <f>DAILY!$H$8-DAILY!$G$8</f>
        <v>9</v>
      </c>
      <c r="J8" s="9">
        <f>DAILY!$H$9-DAILY!$G$9</f>
        <v>0</v>
      </c>
      <c r="K8" s="9">
        <f>DAILY!$H$10-DAILY!$G$10</f>
        <v>10</v>
      </c>
      <c r="L8" s="9">
        <f>DAILY!$H$11-DAILY!$G$11</f>
        <v>103</v>
      </c>
      <c r="M8" s="9">
        <f>DAILY!$H$12-DAILY!$G$12</f>
        <v>329</v>
      </c>
      <c r="N8" s="9">
        <f>DAILY!$H$13-DAILY!$G$13</f>
        <v>51.110000000000582</v>
      </c>
      <c r="O8" s="9">
        <f>DAILY!$H$14-DAILY!$G$14</f>
        <v>0</v>
      </c>
      <c r="P8" s="9">
        <f>DAILY!$H$15-DAILY!$G$15</f>
        <v>17.279999999998836</v>
      </c>
      <c r="Q8" s="9">
        <f>DAILY!$H$16-DAILY!$G$16</f>
        <v>5.9399999999950523</v>
      </c>
    </row>
    <row r="9" spans="1:20" s="7" customFormat="1" x14ac:dyDescent="0.25">
      <c r="A9" s="6" t="s">
        <v>12</v>
      </c>
      <c r="B9" s="7">
        <f t="shared" si="0"/>
        <v>7</v>
      </c>
      <c r="C9" s="8">
        <v>7</v>
      </c>
      <c r="D9" s="6">
        <v>2021</v>
      </c>
      <c r="E9" s="9">
        <f>DAILY!I4-DAILY!H4</f>
        <v>16</v>
      </c>
      <c r="F9" s="9">
        <f>DAILY!$I$5-DAILY!$H$5</f>
        <v>29</v>
      </c>
      <c r="G9" s="9">
        <f>DAILY!$I$6-DAILY!$H$6</f>
        <v>8</v>
      </c>
      <c r="H9" s="9">
        <f>DAILY!$I$7-DAILY!$H$7</f>
        <v>42</v>
      </c>
      <c r="I9" s="9">
        <f>DAILY!$I$8-DAILY!$H$8</f>
        <v>10</v>
      </c>
      <c r="J9" s="9">
        <f>DAILY!$I$9-DAILY!$H$9</f>
        <v>1</v>
      </c>
      <c r="K9" s="9">
        <f>DAILY!$I$10-DAILY!$H$10</f>
        <v>10</v>
      </c>
      <c r="L9" s="9">
        <f>DAILY!$I$11-DAILY!$H$11</f>
        <v>99</v>
      </c>
      <c r="M9" s="9">
        <f>DAILY!$I$12-DAILY!$H$12</f>
        <v>312</v>
      </c>
      <c r="N9" s="9">
        <f>DAILY!$I$13-DAILY!$H$13</f>
        <v>46.110000000000582</v>
      </c>
      <c r="O9" s="9">
        <f>DAILY!$I$14-DAILY!$H$14</f>
        <v>0</v>
      </c>
      <c r="P9" s="9">
        <f>DAILY!$I$15-DAILY!$H$15</f>
        <v>19.30000000000291</v>
      </c>
      <c r="Q9" s="9">
        <f>DAILY!$I$16-DAILY!$H$16</f>
        <v>6.7800000000061118</v>
      </c>
    </row>
    <row r="10" spans="1:20" s="7" customFormat="1" x14ac:dyDescent="0.25">
      <c r="A10" s="6" t="s">
        <v>12</v>
      </c>
      <c r="B10" s="7">
        <f t="shared" si="0"/>
        <v>8</v>
      </c>
      <c r="C10" s="8">
        <v>7</v>
      </c>
      <c r="D10" s="6">
        <v>2021</v>
      </c>
      <c r="E10" s="9">
        <f>DAILY!J4-DAILY!I4</f>
        <v>16</v>
      </c>
      <c r="F10" s="9">
        <f>DAILY!$J$5-DAILY!$I$5</f>
        <v>30</v>
      </c>
      <c r="G10" s="9">
        <f>DAILY!$J$6-DAILY!$I$6</f>
        <v>8</v>
      </c>
      <c r="H10" s="9">
        <f>DAILY!$J$7-DAILY!$I$7</f>
        <v>42</v>
      </c>
      <c r="I10" s="9">
        <f>DAILY!$J$8-DAILY!$I$8</f>
        <v>9</v>
      </c>
      <c r="J10" s="9">
        <f>DAILY!$J$9-DAILY!$I$9</f>
        <v>0</v>
      </c>
      <c r="K10" s="9">
        <f>DAILY!$J$10-DAILY!$I$10</f>
        <v>9</v>
      </c>
      <c r="L10" s="9">
        <f>DAILY!$J$11-DAILY!$I$11</f>
        <v>98</v>
      </c>
      <c r="M10" s="9">
        <f>DAILY!$J$12-DAILY!$I$12</f>
        <v>310</v>
      </c>
      <c r="N10" s="9">
        <f>DAILY!$J$13-DAILY!$I$13</f>
        <v>52.569999999999709</v>
      </c>
      <c r="O10" s="9">
        <f>DAILY!$J$14-DAILY!$I$14</f>
        <v>0</v>
      </c>
      <c r="P10" s="9">
        <f>DAILY!$J$15-DAILY!$I$15</f>
        <v>19</v>
      </c>
      <c r="Q10" s="9">
        <f>DAILY!$J$16-DAILY!$I$16</f>
        <v>30.849999999998545</v>
      </c>
    </row>
    <row r="11" spans="1:20" s="7" customFormat="1" x14ac:dyDescent="0.25">
      <c r="A11" s="6" t="s">
        <v>12</v>
      </c>
      <c r="B11" s="7">
        <f t="shared" si="0"/>
        <v>9</v>
      </c>
      <c r="C11" s="8">
        <v>7</v>
      </c>
      <c r="D11" s="6">
        <v>2021</v>
      </c>
      <c r="E11" s="9">
        <f>DAILY!K4-DAILY!J4</f>
        <v>12</v>
      </c>
      <c r="F11" s="9">
        <f>DAILY!$K$5-DAILY!$J$5</f>
        <v>24</v>
      </c>
      <c r="G11" s="9">
        <f>DAILY!$K$6-DAILY!$J$6</f>
        <v>7</v>
      </c>
      <c r="H11" s="9">
        <f>DAILY!$K$7-DAILY!$J$7</f>
        <v>31</v>
      </c>
      <c r="I11" s="9">
        <f>DAILY!$K$8-DAILY!$J$8</f>
        <v>7</v>
      </c>
      <c r="J11" s="9">
        <f>DAILY!$K$9-DAILY!$J$9</f>
        <v>0</v>
      </c>
      <c r="K11" s="9">
        <f>DAILY!$K$10-DAILY!$J$10</f>
        <v>7</v>
      </c>
      <c r="L11" s="9">
        <f>DAILY!$K$11-DAILY!$J$11</f>
        <v>71</v>
      </c>
      <c r="M11" s="9">
        <f>DAILY!$K$12-DAILY!$J$12</f>
        <v>257</v>
      </c>
      <c r="N11" s="9">
        <f>DAILY!$K$13-DAILY!$J$13</f>
        <v>55.569999999999709</v>
      </c>
      <c r="O11" s="9">
        <f>DAILY!$K$14-DAILY!$J$14</f>
        <v>1</v>
      </c>
      <c r="P11" s="9">
        <f>DAILY!$K$15-DAILY!$J$15</f>
        <v>13.419999999998254</v>
      </c>
      <c r="Q11" s="9">
        <f>DAILY!$K$16-DAILY!$J$16</f>
        <v>-19.55000000000291</v>
      </c>
    </row>
    <row r="12" spans="1:20" s="7" customFormat="1" x14ac:dyDescent="0.25">
      <c r="A12" s="6" t="s">
        <v>12</v>
      </c>
      <c r="B12" s="7">
        <f t="shared" si="0"/>
        <v>10</v>
      </c>
      <c r="C12" s="8">
        <v>7</v>
      </c>
      <c r="D12" s="6">
        <v>2021</v>
      </c>
      <c r="E12" s="9">
        <f>DAILY!L4-DAILY!K4</f>
        <v>17</v>
      </c>
      <c r="F12" s="9">
        <f>DAILY!$L$5-DAILY!$K$5</f>
        <v>33</v>
      </c>
      <c r="G12" s="9">
        <f>DAILY!$L$6-DAILY!$K$6</f>
        <v>9</v>
      </c>
      <c r="H12" s="9">
        <f>DAILY!$L$7-DAILY!$K$7</f>
        <v>43</v>
      </c>
      <c r="I12" s="9">
        <f>DAILY!$L$8-DAILY!$K$8</f>
        <v>10</v>
      </c>
      <c r="J12" s="9">
        <f>DAILY!$L$9-DAILY!$K$9</f>
        <v>0</v>
      </c>
      <c r="K12" s="9">
        <f>DAILY!$L$10-DAILY!$K$10</f>
        <v>10</v>
      </c>
      <c r="L12" s="9">
        <f>DAILY!$L$11-DAILY!$K$11</f>
        <v>103</v>
      </c>
      <c r="M12" s="9">
        <f>DAILY!$L$12-DAILY!$K$12</f>
        <v>349</v>
      </c>
      <c r="N12" s="9">
        <f>DAILY!$L$13-DAILY!$K$13</f>
        <v>62.19999999999709</v>
      </c>
      <c r="O12" s="9">
        <f>DAILY!$L$14-DAILY!$K$14</f>
        <v>0</v>
      </c>
      <c r="P12" s="9">
        <f>DAILY!$L$15-DAILY!$K$15</f>
        <v>19.220000000001164</v>
      </c>
      <c r="Q12" s="9">
        <f>DAILY!$L$16-DAILY!$K$16</f>
        <v>6.6600000000034925</v>
      </c>
    </row>
    <row r="13" spans="1:20" s="7" customFormat="1" x14ac:dyDescent="0.25">
      <c r="A13" s="6" t="s">
        <v>12</v>
      </c>
      <c r="B13" s="7">
        <f t="shared" si="0"/>
        <v>11</v>
      </c>
      <c r="C13" s="8">
        <v>7</v>
      </c>
      <c r="D13" s="6">
        <v>2021</v>
      </c>
      <c r="E13" s="9">
        <f>DAILY!M4-DAILY!L4</f>
        <v>20</v>
      </c>
      <c r="F13" s="9">
        <f>DAILY!$M$5-DAILY!$L$5</f>
        <v>39</v>
      </c>
      <c r="G13" s="9">
        <f>DAILY!$M$6-DAILY!$L$6</f>
        <v>10</v>
      </c>
      <c r="H13" s="9">
        <f>DAILY!$M$7-DAILY!$L$7</f>
        <v>54</v>
      </c>
      <c r="I13" s="9">
        <f>DAILY!$M$8-DAILY!$L$8</f>
        <v>11</v>
      </c>
      <c r="J13" s="9">
        <f>DAILY!$M$9-DAILY!$L$9</f>
        <v>0</v>
      </c>
      <c r="K13" s="9">
        <f>DAILY!$M$10-DAILY!$L$10</f>
        <v>11</v>
      </c>
      <c r="L13" s="9">
        <f>DAILY!$M$11-DAILY!$L$11</f>
        <v>127</v>
      </c>
      <c r="M13" s="9">
        <f>DAILY!$M$12-DAILY!$L$12</f>
        <v>384</v>
      </c>
      <c r="N13" s="9">
        <f>DAILY!$M$13-DAILY!$L$13</f>
        <v>61.270000000004075</v>
      </c>
      <c r="O13" s="9">
        <f>DAILY!$M$14-DAILY!$L$14</f>
        <v>0</v>
      </c>
      <c r="P13" s="9">
        <f>DAILY!$M$15-DAILY!$L$15</f>
        <v>22.419999999998254</v>
      </c>
      <c r="Q13" s="9">
        <f>DAILY!$M$16-DAILY!$L$16</f>
        <v>7.6199999999953434</v>
      </c>
    </row>
    <row r="14" spans="1:20" s="7" customFormat="1" x14ac:dyDescent="0.25">
      <c r="A14" s="6" t="s">
        <v>12</v>
      </c>
      <c r="B14" s="7">
        <f t="shared" si="0"/>
        <v>12</v>
      </c>
      <c r="C14" s="8">
        <v>7</v>
      </c>
      <c r="D14" s="6">
        <v>2021</v>
      </c>
      <c r="E14" s="9">
        <f>DAILY!N4-DAILY!M4</f>
        <v>15</v>
      </c>
      <c r="F14" s="9">
        <f>DAILY!$N$5-DAILY!$M$5</f>
        <v>30</v>
      </c>
      <c r="G14" s="9">
        <f>DAILY!$N$6-DAILY!$M$6</f>
        <v>9</v>
      </c>
      <c r="H14" s="9">
        <f>DAILY!$N$7-DAILY!$M$7</f>
        <v>42</v>
      </c>
      <c r="I14" s="9">
        <f>DAILY!$N$8-DAILY!$M$8</f>
        <v>11</v>
      </c>
      <c r="J14" s="9">
        <f>DAILY!$N$9-DAILY!$M$9</f>
        <v>0</v>
      </c>
      <c r="K14" s="9">
        <f>DAILY!$N$10-DAILY!$M$10</f>
        <v>10</v>
      </c>
      <c r="L14" s="9">
        <f>DAILY!$N$11-DAILY!$M$11</f>
        <v>101</v>
      </c>
      <c r="M14" s="9">
        <f>DAILY!$N$12-DAILY!$M$12</f>
        <v>316</v>
      </c>
      <c r="N14" s="9">
        <f>DAILY!$N$13-DAILY!$M$13</f>
        <v>50.360000000000582</v>
      </c>
      <c r="O14" s="9">
        <f>DAILY!$N$14-DAILY!$M$14</f>
        <v>0</v>
      </c>
      <c r="P14" s="9">
        <f>DAILY!$N$15-DAILY!$M$15</f>
        <v>17.180000000007567</v>
      </c>
      <c r="Q14" s="9">
        <f>DAILY!$N$16-DAILY!$M$16</f>
        <v>5.7600000000020373</v>
      </c>
    </row>
    <row r="15" spans="1:20" s="7" customFormat="1" x14ac:dyDescent="0.25">
      <c r="A15" s="6" t="s">
        <v>12</v>
      </c>
      <c r="B15" s="7">
        <f t="shared" si="0"/>
        <v>13</v>
      </c>
      <c r="C15" s="8">
        <v>7</v>
      </c>
      <c r="D15" s="6">
        <v>2021</v>
      </c>
      <c r="E15" s="9">
        <f>DAILY!O4-DAILY!N4</f>
        <v>15</v>
      </c>
      <c r="F15" s="9">
        <f>DAILY!$O$5-DAILY!$N$5</f>
        <v>30</v>
      </c>
      <c r="G15" s="9">
        <f>DAILY!$O$6-DAILY!$N$6</f>
        <v>8</v>
      </c>
      <c r="H15" s="9">
        <f>DAILY!$O$7-DAILY!$N$7</f>
        <v>43</v>
      </c>
      <c r="I15" s="9">
        <f>DAILY!$O$8-DAILY!$N$8</f>
        <v>9</v>
      </c>
      <c r="J15" s="9">
        <f>DAILY!$O$9-DAILY!$N$9</f>
        <v>0</v>
      </c>
      <c r="K15" s="9">
        <f>DAILY!$O$10-DAILY!$N$10</f>
        <v>9</v>
      </c>
      <c r="L15" s="9">
        <f>DAILY!$O$11-DAILY!$N$11</f>
        <v>95</v>
      </c>
      <c r="M15" s="9">
        <f>DAILY!$O$12-DAILY!$N$12</f>
        <v>309</v>
      </c>
      <c r="N15" s="9">
        <f>DAILY!$O$13-DAILY!$N$13</f>
        <v>47.430000000000291</v>
      </c>
      <c r="O15" s="9">
        <f>DAILY!$O$14-DAILY!$N$14</f>
        <v>0</v>
      </c>
      <c r="P15" s="9">
        <f>DAILY!$O$15-DAILY!$N$15</f>
        <v>17.360000000000582</v>
      </c>
      <c r="Q15" s="9">
        <f>DAILY!$O$16-DAILY!$N$16</f>
        <v>5.7799999999988358</v>
      </c>
    </row>
    <row r="16" spans="1:20" s="7" customFormat="1" x14ac:dyDescent="0.25">
      <c r="A16" s="6" t="s">
        <v>12</v>
      </c>
      <c r="B16" s="7">
        <f t="shared" si="0"/>
        <v>14</v>
      </c>
      <c r="C16" s="8">
        <v>7</v>
      </c>
      <c r="D16" s="6">
        <v>2021</v>
      </c>
      <c r="E16" s="9">
        <f>DAILY!P4-DAILY!O4</f>
        <v>16</v>
      </c>
      <c r="F16" s="9">
        <f>DAILY!$P$5-DAILY!$O$5</f>
        <v>30</v>
      </c>
      <c r="G16" s="9">
        <f>DAILY!$P$6-DAILY!$O$6</f>
        <v>8</v>
      </c>
      <c r="H16" s="9">
        <f>DAILY!$P$7-DAILY!$O$7</f>
        <v>43</v>
      </c>
      <c r="I16" s="9">
        <f>DAILY!$P$8-DAILY!$O$8</f>
        <v>10</v>
      </c>
      <c r="J16" s="9">
        <f>DAILY!$P$9-DAILY!$O$9</f>
        <v>0</v>
      </c>
      <c r="K16" s="9">
        <f>DAILY!$P$10-DAILY!$O$10</f>
        <v>10</v>
      </c>
      <c r="L16" s="9">
        <f>DAILY!$P$11-DAILY!$O$11</f>
        <v>93</v>
      </c>
      <c r="M16" s="9">
        <f>DAILY!$P$12-DAILY!$O$12</f>
        <v>308</v>
      </c>
      <c r="N16" s="9">
        <f>DAILY!$P$13-DAILY!$O$13</f>
        <v>49.119999999995343</v>
      </c>
      <c r="O16" s="9">
        <f>DAILY!$P$14-DAILY!$O$14</f>
        <v>0</v>
      </c>
      <c r="P16" s="9">
        <f>DAILY!$P$15-DAILY!$O$15</f>
        <v>19.379999999990105</v>
      </c>
      <c r="Q16" s="9">
        <f>DAILY!$P$16-DAILY!$O$16</f>
        <v>6.5600000000049477</v>
      </c>
    </row>
    <row r="17" spans="1:17" s="7" customFormat="1" x14ac:dyDescent="0.25">
      <c r="A17" s="6" t="s">
        <v>12</v>
      </c>
      <c r="B17" s="7">
        <f t="shared" si="0"/>
        <v>15</v>
      </c>
      <c r="C17" s="8">
        <v>7</v>
      </c>
      <c r="D17" s="6">
        <v>2021</v>
      </c>
      <c r="E17" s="9">
        <f>DAILY!Q4-DAILY!P4</f>
        <v>15</v>
      </c>
      <c r="F17" s="9">
        <f>DAILY!$Q$5-DAILY!$P$5</f>
        <v>28</v>
      </c>
      <c r="G17" s="9">
        <f>DAILY!$Q$6-DAILY!$P$6</f>
        <v>8</v>
      </c>
      <c r="H17" s="9">
        <f>DAILY!$Q$7-DAILY!$P$7</f>
        <v>42</v>
      </c>
      <c r="I17" s="9">
        <f>DAILY!$Q$8-DAILY!$P$8</f>
        <v>10</v>
      </c>
      <c r="J17" s="9">
        <f>DAILY!$Q$9-DAILY!$P$9</f>
        <v>0</v>
      </c>
      <c r="K17" s="9">
        <f>DAILY!$Q$10-DAILY!$P$10</f>
        <v>9</v>
      </c>
      <c r="L17" s="9">
        <f>DAILY!$Q$11-DAILY!$P$11</f>
        <v>99</v>
      </c>
      <c r="M17" s="9">
        <f>DAILY!$Q$12-DAILY!$P$12</f>
        <v>353</v>
      </c>
      <c r="N17" s="9">
        <f>DAILY!$Q$13-DAILY!$P$13</f>
        <v>50.590000000003783</v>
      </c>
      <c r="O17" s="9">
        <f>DAILY!$Q$14-DAILY!$P$14</f>
        <v>0</v>
      </c>
      <c r="P17" s="9">
        <f>DAILY!$Q$15-DAILY!$P$15</f>
        <v>19.020000000004075</v>
      </c>
      <c r="Q17" s="9">
        <f>DAILY!$Q$16-DAILY!$P$16</f>
        <v>6.319999999999709</v>
      </c>
    </row>
    <row r="18" spans="1:17" s="7" customFormat="1" x14ac:dyDescent="0.25">
      <c r="A18" s="6" t="s">
        <v>12</v>
      </c>
      <c r="B18" s="7">
        <f t="shared" si="0"/>
        <v>16</v>
      </c>
      <c r="C18" s="8">
        <v>7</v>
      </c>
      <c r="D18" s="6">
        <v>2021</v>
      </c>
      <c r="E18" s="9">
        <f>DAILY!R4-DAILY!Q4</f>
        <v>13</v>
      </c>
      <c r="F18" s="9">
        <f>DAILY!$R$5-DAILY!$Q$5</f>
        <v>21</v>
      </c>
      <c r="G18" s="9">
        <f>DAILY!$R$6-DAILY!$Q$6</f>
        <v>7</v>
      </c>
      <c r="H18" s="9">
        <f>DAILY!$R$7-DAILY!$Q$7</f>
        <v>30</v>
      </c>
      <c r="I18" s="9">
        <f>DAILY!$R$8-DAILY!$Q$8</f>
        <v>7</v>
      </c>
      <c r="J18" s="9">
        <f>DAILY!$R$9-DAILY!$Q$9</f>
        <v>0</v>
      </c>
      <c r="K18" s="9">
        <f>DAILY!$R$10-DAILY!$Q$10</f>
        <v>7</v>
      </c>
      <c r="L18" s="9">
        <f>DAILY!$R$11-DAILY!$Q$11</f>
        <v>70</v>
      </c>
      <c r="M18" s="9">
        <f>DAILY!$R$12-DAILY!$Q$12</f>
        <v>280</v>
      </c>
      <c r="N18" s="9">
        <f>DAILY!$R$13-DAILY!$Q$13</f>
        <v>49.430000000000291</v>
      </c>
      <c r="O18" s="9">
        <f>DAILY!$R$14-DAILY!$Q$14</f>
        <v>1</v>
      </c>
      <c r="P18" s="9">
        <f>DAILY!$R$15-DAILY!$Q$15</f>
        <v>15.119999999995343</v>
      </c>
      <c r="Q18" s="9">
        <f>DAILY!$R$16-DAILY!$Q$16</f>
        <v>5.1199999999953434</v>
      </c>
    </row>
    <row r="19" spans="1:17" s="7" customFormat="1" x14ac:dyDescent="0.25">
      <c r="A19" s="6" t="s">
        <v>12</v>
      </c>
      <c r="B19" s="7">
        <f t="shared" si="0"/>
        <v>17</v>
      </c>
      <c r="C19" s="8">
        <v>7</v>
      </c>
      <c r="D19" s="6">
        <v>2021</v>
      </c>
      <c r="E19" s="9">
        <f>DAILY!S4-DAILY!R4</f>
        <v>16</v>
      </c>
      <c r="F19" s="9">
        <f>DAILY!$S$5-DAILY!$R$5</f>
        <v>28</v>
      </c>
      <c r="G19" s="9">
        <f>DAILY!$S$6-DAILY!$R$6</f>
        <v>8</v>
      </c>
      <c r="H19" s="9">
        <f>DAILY!$S$7-DAILY!$R$7</f>
        <v>41</v>
      </c>
      <c r="I19" s="9">
        <f>DAILY!$S$8-DAILY!$R$8</f>
        <v>11</v>
      </c>
      <c r="J19" s="9">
        <f>DAILY!$S$9-DAILY!$R$9</f>
        <v>0</v>
      </c>
      <c r="K19" s="9">
        <f>DAILY!$S$10-DAILY!$R$10</f>
        <v>10</v>
      </c>
      <c r="L19" s="9">
        <f>DAILY!$S$11-DAILY!$R$11</f>
        <v>98</v>
      </c>
      <c r="M19" s="9">
        <f>DAILY!$S$12-DAILY!$R$12</f>
        <v>343</v>
      </c>
      <c r="N19" s="9">
        <f>DAILY!$S$13-DAILY!$R$13</f>
        <v>57.779999999998836</v>
      </c>
      <c r="O19" s="9">
        <f>DAILY!$S$14-DAILY!$R$14</f>
        <v>0</v>
      </c>
      <c r="P19" s="9">
        <f>DAILY!$S$15-DAILY!$R$15</f>
        <v>18.080000000001746</v>
      </c>
      <c r="Q19" s="9">
        <f>DAILY!$S$16-DAILY!$R$16</f>
        <v>5.9400000000023283</v>
      </c>
    </row>
    <row r="20" spans="1:17" s="7" customFormat="1" x14ac:dyDescent="0.25">
      <c r="A20" s="6" t="s">
        <v>12</v>
      </c>
      <c r="B20" s="7">
        <f t="shared" si="0"/>
        <v>18</v>
      </c>
      <c r="C20" s="8">
        <v>7</v>
      </c>
      <c r="D20" s="6">
        <v>2021</v>
      </c>
      <c r="E20" s="9">
        <f>DAILY!T4-DAILY!S4</f>
        <v>20</v>
      </c>
      <c r="F20" s="9">
        <f>DAILY!$T$5-DAILY!$S$5</f>
        <v>37</v>
      </c>
      <c r="G20" s="9">
        <f>DAILY!$T$6-DAILY!$S$6</f>
        <v>10</v>
      </c>
      <c r="H20" s="9">
        <f>DAILY!$T$7-DAILY!$S$7</f>
        <v>56</v>
      </c>
      <c r="I20" s="9">
        <f>DAILY!$T$8-DAILY!$S$8</f>
        <v>13</v>
      </c>
      <c r="J20" s="9">
        <f>DAILY!$T$9-DAILY!$S$9</f>
        <v>0</v>
      </c>
      <c r="K20" s="9">
        <f>DAILY!$T$10-DAILY!$S$10</f>
        <v>12</v>
      </c>
      <c r="L20" s="9">
        <f>DAILY!$T$11-DAILY!$S$11</f>
        <v>133</v>
      </c>
      <c r="M20" s="9">
        <f>DAILY!$T$12-DAILY!$S$12</f>
        <v>400</v>
      </c>
      <c r="N20" s="9">
        <f>DAILY!$T$13-DAILY!$S$13</f>
        <v>54.729999999995925</v>
      </c>
      <c r="O20" s="9">
        <f>DAILY!$T$14-DAILY!$S$14</f>
        <v>0</v>
      </c>
      <c r="P20" s="9">
        <f>DAILY!$T$15-DAILY!$S$15</f>
        <v>22.460000000006403</v>
      </c>
      <c r="Q20" s="9">
        <f>DAILY!$T$16-DAILY!$S$16</f>
        <v>7.180000000000291</v>
      </c>
    </row>
    <row r="21" spans="1:17" s="7" customFormat="1" x14ac:dyDescent="0.25">
      <c r="A21" s="6" t="s">
        <v>12</v>
      </c>
      <c r="B21" s="7">
        <f t="shared" si="0"/>
        <v>19</v>
      </c>
      <c r="C21" s="8">
        <v>7</v>
      </c>
      <c r="D21" s="6">
        <v>2021</v>
      </c>
      <c r="E21" s="9">
        <f>DAILY!U4-DAILY!T4</f>
        <v>15</v>
      </c>
      <c r="F21" s="9">
        <f>DAILY!$U$5-DAILY!$T$5</f>
        <v>31</v>
      </c>
      <c r="G21" s="9">
        <f>DAILY!$U$6-DAILY!$T$6</f>
        <v>9</v>
      </c>
      <c r="H21" s="9">
        <f>DAILY!$U$7-DAILY!$T$7</f>
        <v>42</v>
      </c>
      <c r="I21" s="9">
        <f>DAILY!$U$8-DAILY!$T$8</f>
        <v>9</v>
      </c>
      <c r="J21" s="9">
        <f>DAILY!$U$9-DAILY!$T$9</f>
        <v>0</v>
      </c>
      <c r="K21" s="9">
        <f>DAILY!$U$10-DAILY!$T$10</f>
        <v>10</v>
      </c>
      <c r="L21" s="9">
        <f>DAILY!$U$11-DAILY!$T$11</f>
        <v>100</v>
      </c>
      <c r="M21" s="9">
        <f>DAILY!$U$12-DAILY!$T$12</f>
        <v>322</v>
      </c>
      <c r="N21" s="9">
        <f>DAILY!$U$13-DAILY!$T$13</f>
        <v>51.970000000001164</v>
      </c>
      <c r="O21" s="9">
        <f>DAILY!$U$14-DAILY!$T$14</f>
        <v>0</v>
      </c>
      <c r="P21" s="9">
        <f>DAILY!$U$15-DAILY!$T$15</f>
        <v>17.580000000001746</v>
      </c>
      <c r="Q21" s="9">
        <f>DAILY!$U$16-DAILY!$T$16</f>
        <v>5.6999999999970896</v>
      </c>
    </row>
    <row r="22" spans="1:17" s="7" customFormat="1" x14ac:dyDescent="0.25">
      <c r="A22" s="6" t="s">
        <v>12</v>
      </c>
      <c r="B22" s="7">
        <f t="shared" si="0"/>
        <v>20</v>
      </c>
      <c r="C22" s="8">
        <v>7</v>
      </c>
      <c r="D22" s="6">
        <v>2021</v>
      </c>
      <c r="E22" s="9">
        <f>DAILY!V4-DAILY!U4</f>
        <v>15</v>
      </c>
      <c r="F22" s="9">
        <f>DAILY!$V$5-DAILY!$U$5</f>
        <v>30</v>
      </c>
      <c r="G22" s="9">
        <f>DAILY!$V$6-DAILY!$U$6</f>
        <v>8</v>
      </c>
      <c r="H22" s="9">
        <f>DAILY!$V$7-DAILY!$U$7</f>
        <v>45</v>
      </c>
      <c r="I22" s="9">
        <f>DAILY!$V$8-DAILY!$U$8</f>
        <v>9</v>
      </c>
      <c r="J22" s="9">
        <f>DAILY!$V$9-DAILY!$U$9</f>
        <v>0</v>
      </c>
      <c r="K22" s="9">
        <f>DAILY!$V$10-DAILY!$U$10</f>
        <v>9</v>
      </c>
      <c r="L22" s="9">
        <f>DAILY!$V$11-DAILY!$U$11</f>
        <v>101</v>
      </c>
      <c r="M22" s="9">
        <f>DAILY!$V$12-DAILY!$U$12</f>
        <v>332</v>
      </c>
      <c r="N22" s="9">
        <f>DAILY!$V$13-DAILY!$U$13</f>
        <v>52.560000000004948</v>
      </c>
      <c r="O22" s="9">
        <f>DAILY!$V$14-DAILY!$U$14</f>
        <v>0</v>
      </c>
      <c r="P22" s="9">
        <f>DAILY!$V$15-DAILY!$U$15</f>
        <v>18.739999999990687</v>
      </c>
      <c r="Q22" s="9">
        <f>DAILY!$V$16-DAILY!$U$16</f>
        <v>6.0999999999985448</v>
      </c>
    </row>
    <row r="23" spans="1:17" s="7" customFormat="1" x14ac:dyDescent="0.25">
      <c r="A23" s="6" t="s">
        <v>12</v>
      </c>
      <c r="B23" s="7">
        <f t="shared" si="0"/>
        <v>21</v>
      </c>
      <c r="C23" s="8">
        <v>7</v>
      </c>
      <c r="D23" s="6">
        <v>2021</v>
      </c>
      <c r="E23" s="9">
        <f>DAILY!W4-DAILY!V4</f>
        <v>-88948</v>
      </c>
      <c r="F23" s="9">
        <f>DAILY!$W$5-DAILY!$V$5</f>
        <v>-117961</v>
      </c>
      <c r="G23" s="9">
        <f>DAILY!$W$6-DAILY!$V$6</f>
        <v>-53279</v>
      </c>
      <c r="H23" s="9">
        <f>DAILY!$W$7-DAILY!$V$7</f>
        <v>-346047</v>
      </c>
      <c r="I23" s="9">
        <f>DAILY!$W$8-DAILY!$V$8</f>
        <v>-45467</v>
      </c>
      <c r="J23" s="9">
        <f>DAILY!$W$9-DAILY!$V$9</f>
        <v>-129</v>
      </c>
      <c r="K23" s="9">
        <f>DAILY!$W$10-DAILY!$V$10</f>
        <v>-87980</v>
      </c>
      <c r="L23" s="9">
        <f>DAILY!$W$11-DAILY!$V$11</f>
        <v>-111052</v>
      </c>
      <c r="M23" s="9">
        <f>DAILY!$W$12-DAILY!$V$12</f>
        <v>-271572</v>
      </c>
      <c r="N23" s="9">
        <f>DAILY!$W$13-DAILY!$V$13</f>
        <v>-53322.55</v>
      </c>
      <c r="O23" s="9">
        <f>DAILY!$W$14-DAILY!$V$14</f>
        <v>-8606</v>
      </c>
      <c r="P23" s="9">
        <f>DAILY!$W$15-DAILY!$V$15</f>
        <v>-129373.48</v>
      </c>
      <c r="Q23" s="9">
        <f>DAILY!$W$16-DAILY!$V$16</f>
        <v>-44376.09</v>
      </c>
    </row>
    <row r="24" spans="1:17" s="7" customFormat="1" x14ac:dyDescent="0.25">
      <c r="A24" s="6" t="s">
        <v>12</v>
      </c>
      <c r="B24" s="7">
        <f t="shared" si="0"/>
        <v>22</v>
      </c>
      <c r="C24" s="8">
        <v>7</v>
      </c>
      <c r="D24" s="6">
        <v>2021</v>
      </c>
      <c r="E24" s="9">
        <f>DAILY!X4-DAILY!W4</f>
        <v>0</v>
      </c>
      <c r="F24" s="9">
        <f>DAILY!$X$5-DAILY!$W$5</f>
        <v>0</v>
      </c>
      <c r="G24" s="9">
        <f>DAILY!$X$6-DAILY!$W$6</f>
        <v>0</v>
      </c>
      <c r="H24" s="9">
        <f>DAILY!$X$7-DAILY!$W$7</f>
        <v>0</v>
      </c>
      <c r="I24" s="9">
        <f>DAILY!$X$8-DAILY!$W$8</f>
        <v>0</v>
      </c>
      <c r="J24" s="9">
        <f>DAILY!$X$9-DAILY!$W$9</f>
        <v>0</v>
      </c>
      <c r="K24" s="9">
        <f>DAILY!$X$10-DAILY!$W$10</f>
        <v>0</v>
      </c>
      <c r="L24" s="9">
        <f>DAILY!$X$11-DAILY!$W$11</f>
        <v>0</v>
      </c>
      <c r="M24" s="9">
        <f>DAILY!$X$12-DAILY!$W$12</f>
        <v>0</v>
      </c>
      <c r="N24" s="9">
        <f>DAILY!$X$13-DAILY!$W$13</f>
        <v>0</v>
      </c>
      <c r="O24" s="9">
        <f>DAILY!$X$14-DAILY!$W$14</f>
        <v>0</v>
      </c>
      <c r="P24" s="9">
        <f>DAILY!$X$15-DAILY!$W$15</f>
        <v>0</v>
      </c>
      <c r="Q24" s="9">
        <f>DAILY!$X$16-DAILY!$W$16</f>
        <v>0</v>
      </c>
    </row>
    <row r="25" spans="1:17" s="7" customFormat="1" x14ac:dyDescent="0.25">
      <c r="A25" s="6" t="s">
        <v>12</v>
      </c>
      <c r="B25" s="7">
        <f t="shared" si="0"/>
        <v>23</v>
      </c>
      <c r="C25" s="8">
        <v>7</v>
      </c>
      <c r="D25" s="6">
        <v>2021</v>
      </c>
      <c r="E25" s="9">
        <f>DAILY!Y4-DAILY!X4</f>
        <v>0</v>
      </c>
      <c r="F25" s="9">
        <f>DAILY!$Y$5-DAILY!$X$5</f>
        <v>0</v>
      </c>
      <c r="G25" s="9">
        <f>DAILY!$Y$6-DAILY!$X$6</f>
        <v>0</v>
      </c>
      <c r="H25" s="9">
        <f>DAILY!$Y$7-DAILY!$X$7</f>
        <v>0</v>
      </c>
      <c r="I25" s="9">
        <f>DAILY!$Y$8-DAILY!$X$8</f>
        <v>0</v>
      </c>
      <c r="J25" s="9">
        <f>DAILY!$Y$9-DAILY!$X$9</f>
        <v>0</v>
      </c>
      <c r="K25" s="9">
        <f>DAILY!$Y$10-DAILY!$X$10</f>
        <v>0</v>
      </c>
      <c r="L25" s="9">
        <f>DAILY!$Y$11-DAILY!$X$11</f>
        <v>0</v>
      </c>
      <c r="M25" s="9">
        <f>DAILY!$Y$12-DAILY!$X$12</f>
        <v>0</v>
      </c>
      <c r="N25" s="9">
        <f>DAILY!$Y$13-DAILY!$X$13</f>
        <v>0</v>
      </c>
      <c r="O25" s="9">
        <f>DAILY!$Y$14-DAILY!$X$14</f>
        <v>0</v>
      </c>
      <c r="P25" s="9">
        <f>DAILY!$Y$15-DAILY!$X$15</f>
        <v>0</v>
      </c>
      <c r="Q25" s="9">
        <f>DAILY!$Y$16-DAILY!$X$16</f>
        <v>0</v>
      </c>
    </row>
    <row r="26" spans="1:17" s="7" customFormat="1" x14ac:dyDescent="0.25">
      <c r="A26" s="6" t="s">
        <v>12</v>
      </c>
      <c r="B26" s="7">
        <f t="shared" si="0"/>
        <v>24</v>
      </c>
      <c r="C26" s="8">
        <v>7</v>
      </c>
      <c r="D26" s="6">
        <v>2021</v>
      </c>
      <c r="E26" s="9">
        <f>DAILY!Z4-DAILY!Y4</f>
        <v>0</v>
      </c>
      <c r="F26" s="9">
        <f>DAILY!$Z$5-DAILY!$Y$5</f>
        <v>0</v>
      </c>
      <c r="G26" s="9">
        <f>DAILY!$Z$6-DAILY!$Y$6</f>
        <v>0</v>
      </c>
      <c r="H26" s="9">
        <f>DAILY!$Z$7-DAILY!$Y$7</f>
        <v>0</v>
      </c>
      <c r="I26" s="9">
        <f>DAILY!$Z$8-DAILY!$Y$8</f>
        <v>0</v>
      </c>
      <c r="J26" s="9">
        <f>DAILY!$Z$9-DAILY!$Y$9</f>
        <v>0</v>
      </c>
      <c r="K26" s="9">
        <f>DAILY!$Z$10-DAILY!$Y$10</f>
        <v>0</v>
      </c>
      <c r="L26" s="9">
        <f>DAILY!$Z$11-DAILY!$Y$11</f>
        <v>0</v>
      </c>
      <c r="M26" s="9">
        <f>DAILY!$Z$12-DAILY!$Y$12</f>
        <v>0</v>
      </c>
      <c r="N26" s="9">
        <f>DAILY!$Z$13-DAILY!$Y$13</f>
        <v>0</v>
      </c>
      <c r="O26" s="9">
        <f>DAILY!$Z$14-DAILY!$Y$14</f>
        <v>0</v>
      </c>
      <c r="P26" s="9">
        <f>DAILY!$Z$15-DAILY!$Y$15</f>
        <v>0</v>
      </c>
      <c r="Q26" s="9">
        <f>DAILY!$Z$16-DAILY!$Y$16</f>
        <v>0</v>
      </c>
    </row>
    <row r="27" spans="1:17" s="7" customFormat="1" x14ac:dyDescent="0.25">
      <c r="A27" s="6" t="s">
        <v>12</v>
      </c>
      <c r="B27" s="7">
        <f>B26+1</f>
        <v>25</v>
      </c>
      <c r="C27" s="8">
        <v>7</v>
      </c>
      <c r="D27" s="6">
        <v>2021</v>
      </c>
      <c r="E27" s="9">
        <f>DAILY!AA4-DAILY!Z4</f>
        <v>0</v>
      </c>
      <c r="F27" s="9">
        <f>DAILY!$AA$5-DAILY!$Z$5</f>
        <v>0</v>
      </c>
      <c r="G27" s="9">
        <f>DAILY!$AA$6-DAILY!$Z$6</f>
        <v>0</v>
      </c>
      <c r="H27" s="9">
        <f>DAILY!$AA$7-DAILY!$Z$7</f>
        <v>0</v>
      </c>
      <c r="I27" s="9">
        <f>DAILY!$AA$8-DAILY!$Z$8</f>
        <v>0</v>
      </c>
      <c r="J27" s="9">
        <f>DAILY!$AA$9-DAILY!$Z$9</f>
        <v>0</v>
      </c>
      <c r="K27" s="9">
        <f>DAILY!$AA$10-DAILY!$Z$10</f>
        <v>0</v>
      </c>
      <c r="L27" s="9">
        <f>DAILY!$AA$11-DAILY!$Z$11</f>
        <v>0</v>
      </c>
      <c r="M27" s="9">
        <f>DAILY!$AA$12-DAILY!$Z$12</f>
        <v>0</v>
      </c>
      <c r="N27" s="9">
        <f>DAILY!$AA$13-DAILY!$Z$13</f>
        <v>0</v>
      </c>
      <c r="O27" s="9">
        <f>DAILY!$AA$14-DAILY!$Z$14</f>
        <v>0</v>
      </c>
      <c r="P27" s="9">
        <f>DAILY!$AA$15-DAILY!$Z$15</f>
        <v>0</v>
      </c>
      <c r="Q27" s="9">
        <f>DAILY!$AA$16-DAILY!$Z$16</f>
        <v>0</v>
      </c>
    </row>
    <row r="28" spans="1:17" s="7" customFormat="1" x14ac:dyDescent="0.25">
      <c r="A28" s="6" t="s">
        <v>12</v>
      </c>
      <c r="B28" s="7">
        <f t="shared" si="0"/>
        <v>26</v>
      </c>
      <c r="C28" s="8">
        <v>7</v>
      </c>
      <c r="D28" s="6">
        <v>2021</v>
      </c>
      <c r="E28" s="9">
        <f>DAILY!AB4-DAILY!AA4</f>
        <v>0</v>
      </c>
      <c r="F28" s="9">
        <f>DAILY!$AB$5-DAILY!$AA$5</f>
        <v>0</v>
      </c>
      <c r="G28" s="9">
        <f>DAILY!$AB$6-DAILY!$AA$6</f>
        <v>0</v>
      </c>
      <c r="H28" s="9">
        <f>DAILY!$AB$7-DAILY!$AA$7</f>
        <v>0</v>
      </c>
      <c r="I28" s="9">
        <f>DAILY!$AB$8-DAILY!$AA$8</f>
        <v>0</v>
      </c>
      <c r="J28" s="9">
        <f>DAILY!$AB$9-DAILY!$AA$9</f>
        <v>0</v>
      </c>
      <c r="K28" s="9">
        <f>DAILY!$AB$10-DAILY!$AA$10</f>
        <v>0</v>
      </c>
      <c r="L28" s="9">
        <f>DAILY!$AB$11-DAILY!$AA$11</f>
        <v>0</v>
      </c>
      <c r="M28" s="9">
        <f>DAILY!$AB$12-DAILY!$AA$12</f>
        <v>0</v>
      </c>
      <c r="N28" s="9">
        <f>DAILY!$AB$13-DAILY!$AA$13</f>
        <v>0</v>
      </c>
      <c r="O28" s="9">
        <f>DAILY!$AB$14-DAILY!$AA$14</f>
        <v>0</v>
      </c>
      <c r="P28" s="9">
        <f>DAILY!$AB$15-DAILY!$AA$15</f>
        <v>0</v>
      </c>
      <c r="Q28" s="9">
        <f>DAILY!$AB$16-DAILY!$AA$16</f>
        <v>0</v>
      </c>
    </row>
    <row r="29" spans="1:17" s="7" customFormat="1" x14ac:dyDescent="0.25">
      <c r="A29" s="6" t="s">
        <v>12</v>
      </c>
      <c r="B29" s="7">
        <f t="shared" si="0"/>
        <v>27</v>
      </c>
      <c r="C29" s="8">
        <v>7</v>
      </c>
      <c r="D29" s="6">
        <v>2021</v>
      </c>
      <c r="E29" s="9">
        <f>DAILY!AC4-DAILY!AB4</f>
        <v>0</v>
      </c>
      <c r="F29" s="9">
        <f>DAILY!$AC$5-DAILY!$AB$5</f>
        <v>0</v>
      </c>
      <c r="G29" s="9">
        <f>DAILY!$AC$6-DAILY!$AB$6</f>
        <v>0</v>
      </c>
      <c r="H29" s="9">
        <f>DAILY!$AC$7-DAILY!$AB$7</f>
        <v>0</v>
      </c>
      <c r="I29" s="9">
        <f>DAILY!$AC$8-DAILY!$AB$8</f>
        <v>0</v>
      </c>
      <c r="J29" s="9">
        <f>DAILY!$AC$9-DAILY!$AB$9</f>
        <v>0</v>
      </c>
      <c r="K29" s="9">
        <f>DAILY!$AC$10-DAILY!$AB$10</f>
        <v>0</v>
      </c>
      <c r="L29" s="9">
        <f>DAILY!$AC$11-DAILY!$AB$11</f>
        <v>0</v>
      </c>
      <c r="M29" s="9">
        <f>DAILY!$AC$12-DAILY!$AB$12</f>
        <v>0</v>
      </c>
      <c r="N29" s="9">
        <f>DAILY!$AC$13-DAILY!$AB$13</f>
        <v>0</v>
      </c>
      <c r="O29" s="9">
        <f>DAILY!$AC$14-DAILY!$AB$14</f>
        <v>0</v>
      </c>
      <c r="P29" s="9">
        <f>DAILY!$AC$15-DAILY!$AB$15</f>
        <v>0</v>
      </c>
      <c r="Q29" s="9">
        <f>DAILY!$AC$16-DAILY!$AB$16</f>
        <v>0</v>
      </c>
    </row>
    <row r="30" spans="1:17" s="7" customFormat="1" x14ac:dyDescent="0.25">
      <c r="A30" s="6" t="s">
        <v>12</v>
      </c>
      <c r="B30" s="7">
        <f t="shared" si="0"/>
        <v>28</v>
      </c>
      <c r="C30" s="8">
        <v>7</v>
      </c>
      <c r="D30" s="6">
        <v>2021</v>
      </c>
      <c r="E30" s="9">
        <f>DAILY!AD4-DAILY!AC4</f>
        <v>0</v>
      </c>
      <c r="F30" s="9">
        <f>DAILY!$AD$5-DAILY!$AC$5</f>
        <v>0</v>
      </c>
      <c r="G30" s="9">
        <f>DAILY!$AD$6-DAILY!$AC$6</f>
        <v>0</v>
      </c>
      <c r="H30" s="9">
        <f>DAILY!$AD$7-DAILY!$AC$7</f>
        <v>0</v>
      </c>
      <c r="I30" s="9">
        <f>DAILY!$AD$8-DAILY!$AC$8</f>
        <v>0</v>
      </c>
      <c r="J30" s="9">
        <f>DAILY!$AD$9-DAILY!$AC$9</f>
        <v>0</v>
      </c>
      <c r="K30" s="9">
        <f>DAILY!$AD$10-DAILY!$AC$10</f>
        <v>0</v>
      </c>
      <c r="L30" s="9">
        <f>DAILY!$AD$11-DAILY!$AC$11</f>
        <v>0</v>
      </c>
      <c r="M30" s="9">
        <f>DAILY!$AD$12-DAILY!$AC$12</f>
        <v>0</v>
      </c>
      <c r="N30" s="9">
        <f>DAILY!$AD$13-DAILY!$AC$13</f>
        <v>0</v>
      </c>
      <c r="O30" s="9">
        <f>DAILY!$AD$14-DAILY!$AC$14</f>
        <v>0</v>
      </c>
      <c r="P30" s="9">
        <f>DAILY!$AD$15-DAILY!$AC$15</f>
        <v>0</v>
      </c>
      <c r="Q30" s="9">
        <f>DAILY!$AD$16-DAILY!$AC$16</f>
        <v>0</v>
      </c>
    </row>
    <row r="31" spans="1:17" s="7" customFormat="1" x14ac:dyDescent="0.25">
      <c r="A31" s="6" t="s">
        <v>12</v>
      </c>
      <c r="B31" s="7">
        <f t="shared" si="0"/>
        <v>29</v>
      </c>
      <c r="C31" s="8">
        <v>7</v>
      </c>
      <c r="D31" s="6">
        <v>2021</v>
      </c>
      <c r="E31" s="9">
        <f>DAILY!AE4-DAILY!AD4</f>
        <v>0</v>
      </c>
      <c r="F31" s="9">
        <f>DAILY!$AE$5-DAILY!$AD$5</f>
        <v>0</v>
      </c>
      <c r="G31" s="9">
        <f>DAILY!$AE$6-DAILY!$AD$6</f>
        <v>0</v>
      </c>
      <c r="H31" s="9">
        <f>DAILY!$AE$7-DAILY!$AD$7</f>
        <v>0</v>
      </c>
      <c r="I31" s="9">
        <f>DAILY!$AE$8-DAILY!$AD$8</f>
        <v>0</v>
      </c>
      <c r="J31" s="9">
        <f>DAILY!$AE$9-DAILY!$AD$9</f>
        <v>0</v>
      </c>
      <c r="K31" s="9">
        <f>DAILY!$AE$10-DAILY!$AD$10</f>
        <v>0</v>
      </c>
      <c r="L31" s="9">
        <f>DAILY!$AE$11-DAILY!$AD$11</f>
        <v>0</v>
      </c>
      <c r="M31" s="9">
        <f>DAILY!$AE$12-DAILY!$AD$12</f>
        <v>0</v>
      </c>
      <c r="N31" s="9">
        <f>DAILY!$AE$13-DAILY!$AD$13</f>
        <v>0</v>
      </c>
      <c r="O31" s="9">
        <f>DAILY!$AE$14-DAILY!$AD$14</f>
        <v>0</v>
      </c>
      <c r="P31" s="9">
        <f>DAILY!$AE$15-DAILY!$AD$15</f>
        <v>0</v>
      </c>
      <c r="Q31" s="9">
        <f>DAILY!$AE$16-DAILY!$AD$16</f>
        <v>0</v>
      </c>
    </row>
    <row r="32" spans="1:17" s="6" customFormat="1" ht="12.75" x14ac:dyDescent="0.2">
      <c r="A32" s="6" t="s">
        <v>12</v>
      </c>
      <c r="B32" s="6">
        <f t="shared" si="0"/>
        <v>30</v>
      </c>
      <c r="C32" s="8">
        <v>7</v>
      </c>
      <c r="D32" s="6">
        <v>2021</v>
      </c>
      <c r="E32" s="9">
        <f>DAILY!AF4-DAILY!AE4</f>
        <v>0</v>
      </c>
      <c r="F32" s="9">
        <f>DAILY!$AF$5-DAILY!$AE$5</f>
        <v>0</v>
      </c>
      <c r="G32" s="9">
        <f>DAILY!$AF$6-DAILY!$AE$6</f>
        <v>0</v>
      </c>
      <c r="H32" s="9">
        <f>DAILY!$AF$7-DAILY!$AE$7</f>
        <v>0</v>
      </c>
      <c r="I32" s="9">
        <f>DAILY!$AF$8-DAILY!$AE$8</f>
        <v>0</v>
      </c>
      <c r="J32" s="9">
        <f>DAILY!$AF$9-DAILY!$AE$9</f>
        <v>0</v>
      </c>
      <c r="K32" s="9">
        <f>DAILY!$AF$10-DAILY!$AE$10</f>
        <v>0</v>
      </c>
      <c r="L32" s="9">
        <f>DAILY!$AF$11-DAILY!$AE$11</f>
        <v>0</v>
      </c>
      <c r="M32" s="9">
        <f>DAILY!$AF$12-DAILY!$AE$12</f>
        <v>0</v>
      </c>
      <c r="N32" s="9">
        <f>DAILY!$AF$13-DAILY!$AE$13</f>
        <v>0</v>
      </c>
      <c r="O32" s="9">
        <f>DAILY!$AF$14-DAILY!$AE$14</f>
        <v>0</v>
      </c>
      <c r="P32" s="9">
        <f>DAILY!$AF$15-DAILY!$AE$15</f>
        <v>0</v>
      </c>
      <c r="Q32" s="9">
        <f>DAILY!$AF$16-DAILY!$AE$16</f>
        <v>0</v>
      </c>
    </row>
    <row r="33" spans="1:22" s="6" customFormat="1" ht="12.75" x14ac:dyDescent="0.2">
      <c r="A33" s="6" t="s">
        <v>12</v>
      </c>
      <c r="B33" s="6">
        <f t="shared" si="0"/>
        <v>31</v>
      </c>
      <c r="C33" s="8">
        <v>7</v>
      </c>
      <c r="D33" s="6">
        <v>2021</v>
      </c>
      <c r="E33" s="9">
        <f>DAILY!AG4-DAILY!AF4</f>
        <v>0</v>
      </c>
      <c r="F33" s="9">
        <f>DAILY!$AG$5-DAILY!$AF$5</f>
        <v>0</v>
      </c>
      <c r="G33" s="9">
        <f>DAILY!$AG$6-DAILY!$AF$6</f>
        <v>0</v>
      </c>
      <c r="H33" s="9">
        <f>DAILY!$AG$7-DAILY!$AF$7</f>
        <v>0</v>
      </c>
      <c r="I33" s="9">
        <f>DAILY!$AG$8-DAILY!$AF$8</f>
        <v>0</v>
      </c>
      <c r="J33" s="9">
        <f>DAILY!$AG$9-DAILY!$AF$9</f>
        <v>0</v>
      </c>
      <c r="K33" s="9">
        <f>DAILY!$AG$10-DAILY!$AF$10</f>
        <v>0</v>
      </c>
      <c r="L33" s="9">
        <f>DAILY!$AG$11-DAILY!$AF$11</f>
        <v>0</v>
      </c>
      <c r="M33" s="9">
        <f>DAILY!$AG$12-DAILY!$AF$12</f>
        <v>0</v>
      </c>
      <c r="N33" s="9">
        <f>DAILY!$AG$13-DAILY!$AF$13</f>
        <v>0</v>
      </c>
      <c r="O33" s="9">
        <f>DAILY!$AG$14-DAILY!$AF$14</f>
        <v>0</v>
      </c>
      <c r="P33" s="9">
        <f>DAILY!$AG$15-DAILY!$AF$15</f>
        <v>0</v>
      </c>
      <c r="Q33" s="9">
        <f>DAILY!$AG$16-DAILY!$AF$16</f>
        <v>0</v>
      </c>
    </row>
    <row r="38" spans="1:22" x14ac:dyDescent="0.25"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16"/>
  <sheetViews>
    <sheetView workbookViewId="0">
      <selection activeCell="J17" sqref="J17"/>
    </sheetView>
  </sheetViews>
  <sheetFormatPr defaultColWidth="8.85546875" defaultRowHeight="15.75" x14ac:dyDescent="0.25"/>
  <cols>
    <col min="1" max="2" width="30.28515625" style="15" customWidth="1"/>
    <col min="3" max="3" width="11.28515625" style="13" customWidth="1"/>
    <col min="4" max="4" width="10.28515625" style="13" customWidth="1"/>
    <col min="5" max="5" width="10.140625" style="13" customWidth="1"/>
    <col min="6" max="6" width="9.7109375" style="13" customWidth="1"/>
    <col min="7" max="7" width="10.28515625" style="14" customWidth="1"/>
    <col min="8" max="8" width="10.28515625" style="13" customWidth="1"/>
    <col min="9" max="10" width="9.7109375" style="13" customWidth="1"/>
    <col min="11" max="14" width="9.85546875" style="13" customWidth="1"/>
    <col min="15" max="22" width="9.7109375" style="13" customWidth="1"/>
    <col min="23" max="23" width="11.42578125" style="13" bestFit="1" customWidth="1"/>
    <col min="24" max="30" width="9.7109375" style="13" customWidth="1"/>
    <col min="31" max="31" width="9.7109375" style="15" customWidth="1"/>
    <col min="32" max="32" width="9.85546875" style="15" customWidth="1"/>
    <col min="33" max="33" width="10.140625" style="15" customWidth="1"/>
    <col min="34" max="16384" width="8.85546875" style="15"/>
  </cols>
  <sheetData>
    <row r="1" spans="1:33" x14ac:dyDescent="0.25">
      <c r="A1" s="11" t="s">
        <v>13</v>
      </c>
      <c r="B1" s="11"/>
      <c r="C1" s="12"/>
    </row>
    <row r="2" spans="1:33" x14ac:dyDescent="0.25">
      <c r="A2" s="23" t="s">
        <v>14</v>
      </c>
      <c r="B2" s="21"/>
      <c r="C2" s="24" t="s">
        <v>15</v>
      </c>
      <c r="D2" s="25"/>
      <c r="E2" s="25"/>
      <c r="F2" s="25"/>
      <c r="G2" s="25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7"/>
      <c r="AF2" s="27"/>
      <c r="AG2" s="28"/>
    </row>
    <row r="3" spans="1:33" x14ac:dyDescent="0.25">
      <c r="A3" s="23"/>
      <c r="B3" s="22">
        <f>SUM(C3-1)</f>
        <v>44377</v>
      </c>
      <c r="C3" s="16">
        <v>44378</v>
      </c>
      <c r="D3" s="16">
        <f>SUM(C3+1)</f>
        <v>44379</v>
      </c>
      <c r="E3" s="16">
        <f t="shared" ref="E3:AG3" si="0">SUM(D3+1)</f>
        <v>44380</v>
      </c>
      <c r="F3" s="16">
        <f t="shared" si="0"/>
        <v>44381</v>
      </c>
      <c r="G3" s="17">
        <f t="shared" si="0"/>
        <v>44382</v>
      </c>
      <c r="H3" s="16">
        <f t="shared" si="0"/>
        <v>44383</v>
      </c>
      <c r="I3" s="16">
        <f t="shared" si="0"/>
        <v>44384</v>
      </c>
      <c r="J3" s="16">
        <f t="shared" si="0"/>
        <v>44385</v>
      </c>
      <c r="K3" s="16">
        <f t="shared" si="0"/>
        <v>44386</v>
      </c>
      <c r="L3" s="16">
        <f t="shared" si="0"/>
        <v>44387</v>
      </c>
      <c r="M3" s="16">
        <f t="shared" si="0"/>
        <v>44388</v>
      </c>
      <c r="N3" s="16">
        <f t="shared" si="0"/>
        <v>44389</v>
      </c>
      <c r="O3" s="16">
        <f t="shared" si="0"/>
        <v>44390</v>
      </c>
      <c r="P3" s="16">
        <f t="shared" si="0"/>
        <v>44391</v>
      </c>
      <c r="Q3" s="16">
        <f t="shared" si="0"/>
        <v>44392</v>
      </c>
      <c r="R3" s="16">
        <f t="shared" si="0"/>
        <v>44393</v>
      </c>
      <c r="S3" s="16">
        <f t="shared" si="0"/>
        <v>44394</v>
      </c>
      <c r="T3" s="16">
        <f t="shared" si="0"/>
        <v>44395</v>
      </c>
      <c r="U3" s="16">
        <f t="shared" si="0"/>
        <v>44396</v>
      </c>
      <c r="V3" s="16">
        <f t="shared" si="0"/>
        <v>44397</v>
      </c>
      <c r="W3" s="16">
        <f t="shared" si="0"/>
        <v>44398</v>
      </c>
      <c r="X3" s="16">
        <f t="shared" si="0"/>
        <v>44399</v>
      </c>
      <c r="Y3" s="16">
        <f t="shared" si="0"/>
        <v>44400</v>
      </c>
      <c r="Z3" s="16">
        <f t="shared" si="0"/>
        <v>44401</v>
      </c>
      <c r="AA3" s="16">
        <f t="shared" si="0"/>
        <v>44402</v>
      </c>
      <c r="AB3" s="16">
        <f t="shared" si="0"/>
        <v>44403</v>
      </c>
      <c r="AC3" s="16">
        <f t="shared" si="0"/>
        <v>44404</v>
      </c>
      <c r="AD3" s="16">
        <f t="shared" si="0"/>
        <v>44405</v>
      </c>
      <c r="AE3" s="16">
        <f t="shared" si="0"/>
        <v>44406</v>
      </c>
      <c r="AF3" s="16">
        <f t="shared" si="0"/>
        <v>44407</v>
      </c>
      <c r="AG3" s="16">
        <f t="shared" si="0"/>
        <v>44408</v>
      </c>
    </row>
    <row r="4" spans="1:33" x14ac:dyDescent="0.25">
      <c r="A4" s="18" t="s">
        <v>16</v>
      </c>
      <c r="B4" s="34" t="s">
        <v>17</v>
      </c>
      <c r="C4" s="34" t="s">
        <v>17</v>
      </c>
      <c r="D4" s="34" t="s">
        <v>18</v>
      </c>
      <c r="E4" s="35" t="s">
        <v>19</v>
      </c>
      <c r="F4" s="35" t="s">
        <v>20</v>
      </c>
      <c r="G4" s="34" t="s">
        <v>21</v>
      </c>
      <c r="H4" s="35" t="s">
        <v>22</v>
      </c>
      <c r="I4" s="35" t="s">
        <v>23</v>
      </c>
      <c r="J4" s="35" t="s">
        <v>24</v>
      </c>
      <c r="K4" s="35" t="s">
        <v>25</v>
      </c>
      <c r="L4" s="35" t="s">
        <v>26</v>
      </c>
      <c r="M4" s="35" t="s">
        <v>27</v>
      </c>
      <c r="N4" s="35" t="s">
        <v>28</v>
      </c>
      <c r="O4" s="35" t="s">
        <v>29</v>
      </c>
      <c r="P4" s="35" t="s">
        <v>30</v>
      </c>
      <c r="Q4" s="35" t="s">
        <v>31</v>
      </c>
      <c r="R4" s="35" t="s">
        <v>32</v>
      </c>
      <c r="S4" s="35" t="s">
        <v>33</v>
      </c>
      <c r="T4" s="35" t="s">
        <v>34</v>
      </c>
      <c r="U4" s="35" t="s">
        <v>35</v>
      </c>
      <c r="V4" s="35" t="s">
        <v>36</v>
      </c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</row>
    <row r="5" spans="1:33" x14ac:dyDescent="0.25">
      <c r="A5" s="18" t="s">
        <v>37</v>
      </c>
      <c r="B5" s="34" t="s">
        <v>38</v>
      </c>
      <c r="C5" s="34" t="s">
        <v>38</v>
      </c>
      <c r="D5" s="34" t="s">
        <v>39</v>
      </c>
      <c r="E5" s="35" t="s">
        <v>40</v>
      </c>
      <c r="F5" s="35" t="s">
        <v>41</v>
      </c>
      <c r="G5" s="34" t="s">
        <v>42</v>
      </c>
      <c r="H5" s="35" t="s">
        <v>43</v>
      </c>
      <c r="I5" s="35" t="s">
        <v>44</v>
      </c>
      <c r="J5" s="35" t="s">
        <v>45</v>
      </c>
      <c r="K5" s="35" t="s">
        <v>46</v>
      </c>
      <c r="L5" s="35" t="s">
        <v>47</v>
      </c>
      <c r="M5" s="35" t="s">
        <v>48</v>
      </c>
      <c r="N5" s="35" t="s">
        <v>49</v>
      </c>
      <c r="O5" s="35" t="s">
        <v>50</v>
      </c>
      <c r="P5" s="35" t="s">
        <v>51</v>
      </c>
      <c r="Q5" s="35" t="s">
        <v>52</v>
      </c>
      <c r="R5" s="35" t="s">
        <v>53</v>
      </c>
      <c r="S5" s="35" t="s">
        <v>54</v>
      </c>
      <c r="T5" s="35" t="s">
        <v>55</v>
      </c>
      <c r="U5" s="35" t="s">
        <v>56</v>
      </c>
      <c r="V5" s="35" t="s">
        <v>57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</row>
    <row r="6" spans="1:33" x14ac:dyDescent="0.25">
      <c r="A6" s="18" t="s">
        <v>58</v>
      </c>
      <c r="B6" s="34" t="s">
        <v>59</v>
      </c>
      <c r="C6" s="34" t="s">
        <v>59</v>
      </c>
      <c r="D6" s="34" t="s">
        <v>60</v>
      </c>
      <c r="E6" s="35" t="s">
        <v>61</v>
      </c>
      <c r="F6" s="35" t="s">
        <v>62</v>
      </c>
      <c r="G6" s="34" t="s">
        <v>63</v>
      </c>
      <c r="H6" s="35" t="s">
        <v>64</v>
      </c>
      <c r="I6" s="35" t="s">
        <v>65</v>
      </c>
      <c r="J6" s="35" t="s">
        <v>66</v>
      </c>
      <c r="K6" s="35" t="s">
        <v>67</v>
      </c>
      <c r="L6" s="35" t="s">
        <v>68</v>
      </c>
      <c r="M6" s="35" t="s">
        <v>69</v>
      </c>
      <c r="N6" s="35" t="s">
        <v>70</v>
      </c>
      <c r="O6" s="35" t="s">
        <v>71</v>
      </c>
      <c r="P6" s="35" t="s">
        <v>72</v>
      </c>
      <c r="Q6" s="35" t="s">
        <v>73</v>
      </c>
      <c r="R6" s="35" t="s">
        <v>74</v>
      </c>
      <c r="S6" s="35" t="s">
        <v>75</v>
      </c>
      <c r="T6" s="35" t="s">
        <v>76</v>
      </c>
      <c r="U6" s="35" t="s">
        <v>77</v>
      </c>
      <c r="V6" s="35" t="s">
        <v>78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</row>
    <row r="7" spans="1:33" x14ac:dyDescent="0.25">
      <c r="A7" s="18" t="s">
        <v>79</v>
      </c>
      <c r="B7" s="34" t="s">
        <v>80</v>
      </c>
      <c r="C7" s="34" t="s">
        <v>80</v>
      </c>
      <c r="D7" s="34" t="s">
        <v>81</v>
      </c>
      <c r="E7" s="35" t="s">
        <v>82</v>
      </c>
      <c r="F7" s="35" t="s">
        <v>83</v>
      </c>
      <c r="G7" s="34" t="s">
        <v>84</v>
      </c>
      <c r="H7" s="35" t="s">
        <v>85</v>
      </c>
      <c r="I7" s="35" t="s">
        <v>86</v>
      </c>
      <c r="J7" s="35" t="s">
        <v>87</v>
      </c>
      <c r="K7" s="35" t="s">
        <v>88</v>
      </c>
      <c r="L7" s="35" t="s">
        <v>89</v>
      </c>
      <c r="M7" s="35" t="s">
        <v>90</v>
      </c>
      <c r="N7" s="35" t="s">
        <v>91</v>
      </c>
      <c r="O7" s="35" t="s">
        <v>92</v>
      </c>
      <c r="P7" s="35" t="s">
        <v>93</v>
      </c>
      <c r="Q7" s="35" t="s">
        <v>94</v>
      </c>
      <c r="R7" s="35" t="s">
        <v>95</v>
      </c>
      <c r="S7" s="35" t="s">
        <v>96</v>
      </c>
      <c r="T7" s="35" t="s">
        <v>97</v>
      </c>
      <c r="U7" s="35" t="s">
        <v>98</v>
      </c>
      <c r="V7" s="35" t="s">
        <v>99</v>
      </c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</row>
    <row r="8" spans="1:33" x14ac:dyDescent="0.25">
      <c r="A8" s="18" t="s">
        <v>100</v>
      </c>
      <c r="B8" s="34" t="s">
        <v>101</v>
      </c>
      <c r="C8" s="34" t="s">
        <v>101</v>
      </c>
      <c r="D8" s="34" t="s">
        <v>102</v>
      </c>
      <c r="E8" s="35" t="s">
        <v>103</v>
      </c>
      <c r="F8" s="35" t="s">
        <v>104</v>
      </c>
      <c r="G8" s="34" t="s">
        <v>105</v>
      </c>
      <c r="H8" s="35" t="s">
        <v>106</v>
      </c>
      <c r="I8" s="35" t="s">
        <v>107</v>
      </c>
      <c r="J8" s="35" t="s">
        <v>108</v>
      </c>
      <c r="K8" s="35" t="s">
        <v>109</v>
      </c>
      <c r="L8" s="35" t="s">
        <v>110</v>
      </c>
      <c r="M8" s="35" t="s">
        <v>111</v>
      </c>
      <c r="N8" s="35" t="s">
        <v>112</v>
      </c>
      <c r="O8" s="35" t="s">
        <v>113</v>
      </c>
      <c r="P8" s="35" t="s">
        <v>114</v>
      </c>
      <c r="Q8" s="35" t="s">
        <v>115</v>
      </c>
      <c r="R8" s="35" t="s">
        <v>116</v>
      </c>
      <c r="S8" s="35" t="s">
        <v>117</v>
      </c>
      <c r="T8" s="35" t="s">
        <v>118</v>
      </c>
      <c r="U8" s="35" t="s">
        <v>119</v>
      </c>
      <c r="V8" s="35" t="s">
        <v>120</v>
      </c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</row>
    <row r="9" spans="1:33" x14ac:dyDescent="0.25">
      <c r="A9" s="18" t="s">
        <v>121</v>
      </c>
      <c r="B9" s="34" t="s">
        <v>122</v>
      </c>
      <c r="C9" s="34" t="s">
        <v>122</v>
      </c>
      <c r="D9" s="34" t="s">
        <v>122</v>
      </c>
      <c r="E9" s="34" t="s">
        <v>122</v>
      </c>
      <c r="F9" s="34" t="s">
        <v>122</v>
      </c>
      <c r="G9" s="34" t="s">
        <v>122</v>
      </c>
      <c r="H9" s="34" t="s">
        <v>122</v>
      </c>
      <c r="I9" s="34" t="s">
        <v>123</v>
      </c>
      <c r="J9" s="34" t="s">
        <v>123</v>
      </c>
      <c r="K9" s="34" t="s">
        <v>123</v>
      </c>
      <c r="L9" s="34" t="s">
        <v>123</v>
      </c>
      <c r="M9" s="34" t="s">
        <v>123</v>
      </c>
      <c r="N9" s="34" t="s">
        <v>123</v>
      </c>
      <c r="O9" s="34" t="s">
        <v>123</v>
      </c>
      <c r="P9" s="34" t="s">
        <v>123</v>
      </c>
      <c r="Q9" s="34" t="s">
        <v>123</v>
      </c>
      <c r="R9" s="34" t="s">
        <v>123</v>
      </c>
      <c r="S9" s="34" t="s">
        <v>123</v>
      </c>
      <c r="T9" s="34" t="s">
        <v>123</v>
      </c>
      <c r="U9" s="34" t="s">
        <v>123</v>
      </c>
      <c r="V9" s="34" t="s">
        <v>123</v>
      </c>
      <c r="W9" s="34"/>
      <c r="X9" s="34"/>
      <c r="Y9" s="34"/>
      <c r="Z9" s="34"/>
      <c r="AA9" s="34"/>
      <c r="AB9" s="34"/>
      <c r="AC9" s="34"/>
      <c r="AD9" s="34"/>
      <c r="AE9" s="35"/>
      <c r="AF9" s="35"/>
      <c r="AG9" s="35"/>
    </row>
    <row r="10" spans="1:33" x14ac:dyDescent="0.25">
      <c r="A10" s="18" t="s">
        <v>124</v>
      </c>
      <c r="B10" s="34" t="s">
        <v>125</v>
      </c>
      <c r="C10" s="34" t="s">
        <v>125</v>
      </c>
      <c r="D10" s="34" t="s">
        <v>126</v>
      </c>
      <c r="E10" s="35" t="s">
        <v>127</v>
      </c>
      <c r="F10" s="35" t="s">
        <v>128</v>
      </c>
      <c r="G10" s="34" t="s">
        <v>129</v>
      </c>
      <c r="H10" s="35" t="s">
        <v>130</v>
      </c>
      <c r="I10" s="35" t="s">
        <v>131</v>
      </c>
      <c r="J10" s="35" t="s">
        <v>132</v>
      </c>
      <c r="K10" s="35" t="s">
        <v>133</v>
      </c>
      <c r="L10" s="35" t="s">
        <v>134</v>
      </c>
      <c r="M10" s="35" t="s">
        <v>135</v>
      </c>
      <c r="N10" s="35" t="s">
        <v>136</v>
      </c>
      <c r="O10" s="35" t="s">
        <v>137</v>
      </c>
      <c r="P10" s="35" t="s">
        <v>138</v>
      </c>
      <c r="Q10" s="35" t="s">
        <v>139</v>
      </c>
      <c r="R10" s="35" t="s">
        <v>140</v>
      </c>
      <c r="S10" s="35" t="s">
        <v>141</v>
      </c>
      <c r="T10" s="35" t="s">
        <v>142</v>
      </c>
      <c r="U10" s="35" t="s">
        <v>143</v>
      </c>
      <c r="V10" s="35" t="s">
        <v>144</v>
      </c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</row>
    <row r="11" spans="1:33" x14ac:dyDescent="0.25">
      <c r="A11" s="18" t="s">
        <v>145</v>
      </c>
      <c r="B11" s="34" t="s">
        <v>146</v>
      </c>
      <c r="C11" s="34" t="s">
        <v>146</v>
      </c>
      <c r="D11" s="34" t="s">
        <v>147</v>
      </c>
      <c r="E11" s="35" t="s">
        <v>148</v>
      </c>
      <c r="F11" s="35" t="s">
        <v>149</v>
      </c>
      <c r="G11" s="34" t="s">
        <v>150</v>
      </c>
      <c r="H11" s="35" t="s">
        <v>151</v>
      </c>
      <c r="I11" s="35" t="s">
        <v>152</v>
      </c>
      <c r="J11" s="35" t="s">
        <v>153</v>
      </c>
      <c r="K11" s="35" t="s">
        <v>154</v>
      </c>
      <c r="L11" s="35" t="s">
        <v>155</v>
      </c>
      <c r="M11" s="35" t="s">
        <v>156</v>
      </c>
      <c r="N11" s="35" t="s">
        <v>157</v>
      </c>
      <c r="O11" s="35" t="s">
        <v>158</v>
      </c>
      <c r="P11" s="35" t="s">
        <v>159</v>
      </c>
      <c r="Q11" s="35" t="s">
        <v>160</v>
      </c>
      <c r="R11" s="35" t="s">
        <v>161</v>
      </c>
      <c r="S11" s="35" t="s">
        <v>162</v>
      </c>
      <c r="T11" s="35" t="s">
        <v>163</v>
      </c>
      <c r="U11" s="35" t="s">
        <v>164</v>
      </c>
      <c r="V11" s="35" t="s">
        <v>165</v>
      </c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</row>
    <row r="12" spans="1:33" x14ac:dyDescent="0.25">
      <c r="A12" s="19" t="s">
        <v>166</v>
      </c>
      <c r="B12" s="36" t="s">
        <v>167</v>
      </c>
      <c r="C12" s="36" t="s">
        <v>167</v>
      </c>
      <c r="D12" s="35" t="s">
        <v>168</v>
      </c>
      <c r="E12" s="35" t="s">
        <v>169</v>
      </c>
      <c r="F12" s="35" t="s">
        <v>170</v>
      </c>
      <c r="G12" s="34" t="s">
        <v>171</v>
      </c>
      <c r="H12" s="35" t="s">
        <v>172</v>
      </c>
      <c r="I12" s="35" t="s">
        <v>173</v>
      </c>
      <c r="J12" s="35" t="s">
        <v>174</v>
      </c>
      <c r="K12" s="35" t="s">
        <v>175</v>
      </c>
      <c r="L12" s="35" t="s">
        <v>176</v>
      </c>
      <c r="M12" s="35" t="s">
        <v>177</v>
      </c>
      <c r="N12" s="35" t="s">
        <v>178</v>
      </c>
      <c r="O12" s="35" t="s">
        <v>179</v>
      </c>
      <c r="P12" s="35" t="s">
        <v>180</v>
      </c>
      <c r="Q12" s="35" t="s">
        <v>181</v>
      </c>
      <c r="R12" s="35" t="s">
        <v>182</v>
      </c>
      <c r="S12" s="35" t="s">
        <v>183</v>
      </c>
      <c r="T12" s="35" t="s">
        <v>184</v>
      </c>
      <c r="U12" s="35" t="s">
        <v>185</v>
      </c>
      <c r="V12" s="35" t="s">
        <v>186</v>
      </c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</row>
    <row r="13" spans="1:33" ht="16.149999999999999" customHeight="1" x14ac:dyDescent="0.25">
      <c r="A13" s="20" t="s">
        <v>187</v>
      </c>
      <c r="B13" s="35" t="s">
        <v>254</v>
      </c>
      <c r="C13" s="35" t="s">
        <v>188</v>
      </c>
      <c r="D13" s="34" t="s">
        <v>189</v>
      </c>
      <c r="E13" s="35" t="s">
        <v>190</v>
      </c>
      <c r="F13" s="35" t="s">
        <v>191</v>
      </c>
      <c r="G13" s="34" t="s">
        <v>192</v>
      </c>
      <c r="H13" s="35" t="s">
        <v>193</v>
      </c>
      <c r="I13" s="35" t="s">
        <v>194</v>
      </c>
      <c r="J13" s="35" t="s">
        <v>195</v>
      </c>
      <c r="K13" s="35" t="s">
        <v>196</v>
      </c>
      <c r="L13" s="35" t="s">
        <v>197</v>
      </c>
      <c r="M13" s="35" t="s">
        <v>198</v>
      </c>
      <c r="N13" s="35" t="s">
        <v>199</v>
      </c>
      <c r="O13" s="35" t="s">
        <v>200</v>
      </c>
      <c r="P13" s="35" t="s">
        <v>201</v>
      </c>
      <c r="Q13" s="35" t="s">
        <v>202</v>
      </c>
      <c r="R13" s="35" t="s">
        <v>203</v>
      </c>
      <c r="S13" s="35" t="s">
        <v>204</v>
      </c>
      <c r="T13" s="35" t="s">
        <v>205</v>
      </c>
      <c r="U13" s="35" t="s">
        <v>206</v>
      </c>
      <c r="V13" s="35" t="s">
        <v>207</v>
      </c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</row>
    <row r="14" spans="1:33" ht="16.149999999999999" customHeight="1" x14ac:dyDescent="0.25">
      <c r="A14" s="20" t="s">
        <v>208</v>
      </c>
      <c r="B14" s="35" t="s">
        <v>255</v>
      </c>
      <c r="C14" s="35" t="s">
        <v>209</v>
      </c>
      <c r="D14" s="34" t="s">
        <v>209</v>
      </c>
      <c r="E14" s="35" t="s">
        <v>210</v>
      </c>
      <c r="F14" s="35" t="s">
        <v>210</v>
      </c>
      <c r="G14" s="34" t="s">
        <v>210</v>
      </c>
      <c r="H14" s="35" t="s">
        <v>210</v>
      </c>
      <c r="I14" s="35" t="s">
        <v>210</v>
      </c>
      <c r="J14" s="35" t="s">
        <v>210</v>
      </c>
      <c r="K14" s="35" t="s">
        <v>211</v>
      </c>
      <c r="L14" s="35" t="s">
        <v>211</v>
      </c>
      <c r="M14" s="35" t="s">
        <v>211</v>
      </c>
      <c r="N14" s="35" t="s">
        <v>211</v>
      </c>
      <c r="O14" s="35" t="s">
        <v>211</v>
      </c>
      <c r="P14" s="35" t="s">
        <v>211</v>
      </c>
      <c r="Q14" s="35" t="s">
        <v>211</v>
      </c>
      <c r="R14" s="35" t="s">
        <v>212</v>
      </c>
      <c r="S14" s="35" t="s">
        <v>212</v>
      </c>
      <c r="T14" s="35" t="s">
        <v>212</v>
      </c>
      <c r="U14" s="35" t="s">
        <v>212</v>
      </c>
      <c r="V14" s="35" t="s">
        <v>212</v>
      </c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</row>
    <row r="15" spans="1:33" ht="16.149999999999999" customHeight="1" x14ac:dyDescent="0.25">
      <c r="A15" s="20" t="s">
        <v>213</v>
      </c>
      <c r="B15" s="37" t="s">
        <v>256</v>
      </c>
      <c r="C15" s="37" t="s">
        <v>214</v>
      </c>
      <c r="D15" s="34" t="s">
        <v>215</v>
      </c>
      <c r="E15" s="35" t="s">
        <v>216</v>
      </c>
      <c r="F15" s="35" t="s">
        <v>217</v>
      </c>
      <c r="G15" s="34" t="s">
        <v>218</v>
      </c>
      <c r="H15" s="35" t="s">
        <v>219</v>
      </c>
      <c r="I15" s="35" t="s">
        <v>220</v>
      </c>
      <c r="J15" s="35" t="s">
        <v>221</v>
      </c>
      <c r="K15" s="35" t="s">
        <v>222</v>
      </c>
      <c r="L15" s="35" t="s">
        <v>223</v>
      </c>
      <c r="M15" s="35" t="s">
        <v>224</v>
      </c>
      <c r="N15" s="35" t="s">
        <v>225</v>
      </c>
      <c r="O15" s="35" t="s">
        <v>226</v>
      </c>
      <c r="P15" s="35" t="s">
        <v>227</v>
      </c>
      <c r="Q15" s="35" t="s">
        <v>228</v>
      </c>
      <c r="R15" s="35" t="s">
        <v>229</v>
      </c>
      <c r="S15" s="35" t="s">
        <v>230</v>
      </c>
      <c r="T15" s="35" t="s">
        <v>231</v>
      </c>
      <c r="U15" s="35" t="s">
        <v>232</v>
      </c>
      <c r="V15" s="35" t="s">
        <v>233</v>
      </c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</row>
    <row r="16" spans="1:33" ht="16.149999999999999" customHeight="1" x14ac:dyDescent="0.25">
      <c r="A16" s="20" t="s">
        <v>234</v>
      </c>
      <c r="B16" s="37" t="s">
        <v>257</v>
      </c>
      <c r="C16" s="37" t="s">
        <v>235</v>
      </c>
      <c r="D16" s="34" t="s">
        <v>236</v>
      </c>
      <c r="E16" s="35" t="s">
        <v>237</v>
      </c>
      <c r="F16" s="35" t="s">
        <v>238</v>
      </c>
      <c r="G16" s="34" t="s">
        <v>239</v>
      </c>
      <c r="H16" s="35" t="s">
        <v>240</v>
      </c>
      <c r="I16" s="35" t="s">
        <v>241</v>
      </c>
      <c r="J16" s="35">
        <v>44326.9</v>
      </c>
      <c r="K16" s="35" t="s">
        <v>242</v>
      </c>
      <c r="L16" s="35" t="s">
        <v>243</v>
      </c>
      <c r="M16" s="35" t="s">
        <v>244</v>
      </c>
      <c r="N16" s="35" t="s">
        <v>245</v>
      </c>
      <c r="O16" s="35" t="s">
        <v>246</v>
      </c>
      <c r="P16" s="35" t="s">
        <v>247</v>
      </c>
      <c r="Q16" s="35" t="s">
        <v>248</v>
      </c>
      <c r="R16" s="35" t="s">
        <v>249</v>
      </c>
      <c r="S16" s="35" t="s">
        <v>250</v>
      </c>
      <c r="T16" s="35" t="s">
        <v>251</v>
      </c>
      <c r="U16" s="35" t="s">
        <v>252</v>
      </c>
      <c r="V16" s="35" t="s">
        <v>253</v>
      </c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</row>
  </sheetData>
  <mergeCells count="2">
    <mergeCell ref="A2:A3"/>
    <mergeCell ref="C2:AG2"/>
  </mergeCells>
  <printOptions horizontalCentered="1" verticalCentered="1"/>
  <pageMargins left="0" right="0" top="0" bottom="0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2021-07-27T12:27:36Z</dcterms:modified>
</cp:coreProperties>
</file>