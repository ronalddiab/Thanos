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5\"/>
    </mc:Choice>
  </mc:AlternateContent>
  <xr:revisionPtr revIDLastSave="0" documentId="13_ncr:1_{3991278A-6DD4-414D-8517-124B7B2CF2A2}" xr6:coauthVersionLast="47" xr6:coauthVersionMax="47" xr10:uidLastSave="{00000000-0000-0000-0000-000000000000}"/>
  <bookViews>
    <workbookView xWindow="28680" yWindow="-120" windowWidth="29040" windowHeight="1572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" l="1"/>
  <c r="AC6" i="1"/>
  <c r="AC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Y8" i="1"/>
  <c r="Y9" i="1"/>
  <c r="Y10" i="1"/>
  <c r="Z9" i="1" l="1"/>
  <c r="Z8" i="1"/>
  <c r="Z7" i="1"/>
  <c r="Z6" i="1"/>
  <c r="Z5" i="1"/>
  <c r="Z4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1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AC2" i="1"/>
  <c r="L13" i="1" l="1"/>
  <c r="Y33" i="1" l="1"/>
  <c r="D33" i="1"/>
  <c r="E5" i="1" l="1"/>
  <c r="E6" i="1"/>
  <c r="E7" i="1"/>
  <c r="E8" i="1"/>
  <c r="E9" i="1"/>
  <c r="Y32" i="1" l="1"/>
  <c r="E30" i="1"/>
  <c r="E31" i="1"/>
  <c r="D32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AC5" i="1"/>
  <c r="I5" i="2" s="1"/>
  <c r="I6" i="2"/>
  <c r="I7" i="2"/>
  <c r="I8" i="2"/>
  <c r="I9" i="2"/>
  <c r="I10" i="2"/>
  <c r="I11" i="2"/>
  <c r="I12" i="2"/>
  <c r="R33" i="1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L26" i="1"/>
  <c r="L22" i="1"/>
  <c r="T14" i="1" l="1"/>
  <c r="T5" i="1"/>
  <c r="T31" i="1"/>
  <c r="T8" i="1"/>
  <c r="T7" i="1"/>
  <c r="T4" i="1"/>
  <c r="T15" i="1"/>
  <c r="T13" i="1"/>
  <c r="T12" i="1"/>
  <c r="T11" i="1"/>
  <c r="T10" i="1"/>
  <c r="T9" i="1"/>
  <c r="T6" i="1"/>
  <c r="T23" i="1"/>
  <c r="T16" i="1"/>
  <c r="T17" i="1"/>
  <c r="T22" i="1"/>
  <c r="T30" i="1"/>
  <c r="T29" i="1"/>
  <c r="T28" i="1"/>
  <c r="T21" i="1"/>
  <c r="T27" i="1"/>
  <c r="T20" i="1"/>
  <c r="T26" i="1"/>
  <c r="T19" i="1"/>
  <c r="T25" i="1"/>
  <c r="T18" i="1"/>
  <c r="T24" i="1"/>
  <c r="T3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4" i="1"/>
  <c r="L5" i="1"/>
  <c r="L6" i="1"/>
  <c r="L7" i="1"/>
  <c r="L8" i="1"/>
  <c r="L9" i="1"/>
  <c r="L10" i="1"/>
  <c r="L11" i="1"/>
  <c r="L12" i="1"/>
  <c r="N12" i="1" s="1"/>
  <c r="L14" i="1"/>
  <c r="L15" i="1"/>
  <c r="L16" i="1"/>
  <c r="L17" i="1"/>
  <c r="L18" i="1"/>
  <c r="L19" i="1"/>
  <c r="L20" i="1"/>
  <c r="L21" i="1"/>
  <c r="N21" i="1" s="1"/>
  <c r="L23" i="1"/>
  <c r="N22" i="1" s="1"/>
  <c r="L24" i="1"/>
  <c r="L25" i="1"/>
  <c r="N25" i="1" s="1"/>
  <c r="L27" i="1"/>
  <c r="L28" i="1"/>
  <c r="L29" i="1"/>
  <c r="L30" i="1"/>
  <c r="L31" i="1"/>
  <c r="L32" i="1"/>
  <c r="L33" i="1"/>
  <c r="L3" i="1"/>
  <c r="L2" i="1"/>
  <c r="N2" i="1" s="1"/>
  <c r="S34" i="1"/>
  <c r="U21" i="1" l="1"/>
  <c r="Z26" i="1"/>
  <c r="K26" i="2" s="1"/>
  <c r="N3" i="1"/>
  <c r="N31" i="1"/>
  <c r="U31" i="1" s="1"/>
  <c r="U25" i="1"/>
  <c r="U22" i="1"/>
  <c r="U3" i="1"/>
  <c r="N24" i="1"/>
  <c r="U24" i="1" s="1"/>
  <c r="N23" i="1"/>
  <c r="U23" i="1" s="1"/>
  <c r="U11" i="1"/>
  <c r="U12" i="1"/>
  <c r="N20" i="1"/>
  <c r="U20" i="1" s="1"/>
  <c r="N19" i="1"/>
  <c r="U19" i="1" s="1"/>
  <c r="N18" i="1"/>
  <c r="U18" i="1" s="1"/>
  <c r="N17" i="1"/>
  <c r="U17" i="1" s="1"/>
  <c r="N16" i="1"/>
  <c r="U16" i="1" s="1"/>
  <c r="N15" i="1"/>
  <c r="U15" i="1" s="1"/>
  <c r="N14" i="1"/>
  <c r="U14" i="1" s="1"/>
  <c r="N13" i="1"/>
  <c r="G13" i="2" s="1"/>
  <c r="N28" i="1"/>
  <c r="U28" i="1" s="1"/>
  <c r="N29" i="1"/>
  <c r="U29" i="1" s="1"/>
  <c r="N30" i="1"/>
  <c r="U30" i="1" s="1"/>
  <c r="N27" i="1"/>
  <c r="U27" i="1" s="1"/>
  <c r="N26" i="1"/>
  <c r="U26" i="1" s="1"/>
  <c r="N9" i="1"/>
  <c r="G9" i="2" s="1"/>
  <c r="N6" i="1"/>
  <c r="U6" i="1" s="1"/>
  <c r="N10" i="1"/>
  <c r="U10" i="1" s="1"/>
  <c r="N11" i="1"/>
  <c r="N7" i="1"/>
  <c r="U7" i="1" s="1"/>
  <c r="N8" i="1"/>
  <c r="U8" i="1" s="1"/>
  <c r="N4" i="1"/>
  <c r="U4" i="1" s="1"/>
  <c r="N5" i="1"/>
  <c r="U5" i="1" s="1"/>
  <c r="Z16" i="1"/>
  <c r="K16" i="2" s="1"/>
  <c r="Z25" i="1"/>
  <c r="K25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G2" i="2"/>
  <c r="K5" i="2"/>
  <c r="K6" i="2"/>
  <c r="G3" i="2"/>
  <c r="K4" i="2"/>
  <c r="K3" i="2"/>
  <c r="Z31" i="1"/>
  <c r="K31" i="2" s="1"/>
  <c r="K24" i="2"/>
  <c r="K20" i="2"/>
  <c r="K13" i="2"/>
  <c r="K12" i="2"/>
  <c r="K8" i="2"/>
  <c r="K7" i="2"/>
  <c r="T34" i="1"/>
  <c r="G17" i="2" l="1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M32" i="2"/>
  <c r="H3" i="1"/>
  <c r="M3" i="2" s="1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<sst xmlns="http://schemas.openxmlformats.org/spreadsheetml/2006/main" count="79" uniqueCount="39">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</sst>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3" borderId="5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3" fontId="2" fillId="0" borderId="12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 wrapText="1"/>
    </xf>
    <xf numFmtId="1" fontId="7" fillId="0" borderId="14" xfId="0" applyNumberFormat="1" applyFont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3" fontId="2" fillId="2" borderId="18" xfId="0" applyNumberFormat="1" applyFont="1" applyFill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3" fontId="2" fillId="2" borderId="18" xfId="0" applyNumberFormat="1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1" fontId="3" fillId="0" borderId="19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" fontId="21" fillId="4" borderId="21" xfId="0" applyNumberFormat="1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1" fontId="21" fillId="5" borderId="21" xfId="0" applyNumberFormat="1" applyFont="1" applyFill="1" applyBorder="1" applyAlignment="1">
      <alignment horizontal="center" vertical="center" wrapText="1"/>
    </xf>
    <xf numFmtId="165" fontId="21" fillId="5" borderId="21" xfId="0" applyNumberFormat="1" applyFont="1" applyFill="1" applyBorder="1" applyAlignment="1">
      <alignment horizontal="center" vertical="center" wrapText="1"/>
    </xf>
    <xf numFmtId="0" fontId="21" fillId="6" borderId="21" xfId="0" applyFont="1" applyFill="1" applyBorder="1" applyAlignment="1">
      <alignment horizontal="center" vertical="center" wrapText="1"/>
    </xf>
    <xf numFmtId="0" fontId="22" fillId="7" borderId="21" xfId="0" applyFont="1" applyFill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21" xfId="0" applyNumberFormat="1" applyFont="1" applyFill="1" applyBorder="1" applyAlignment="1">
      <alignment horizontal="center" vertical="center" wrapText="1"/>
    </xf>
    <xf numFmtId="166" fontId="24" fillId="9" borderId="2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3" fontId="2" fillId="2" borderId="23" xfId="0" applyNumberFormat="1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23" xfId="0" applyNumberFormat="1" applyFont="1" applyFill="1" applyBorder="1" applyAlignment="1">
      <alignment horizontal="center" vertical="center" wrapText="1"/>
    </xf>
    <xf numFmtId="3" fontId="2" fillId="2" borderId="24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/>
    </xf>
    <xf numFmtId="9" fontId="4" fillId="0" borderId="27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7" fillId="0" borderId="29" xfId="0" applyNumberFormat="1" applyFont="1" applyBorder="1" applyAlignment="1">
      <alignment horizontal="center" vertical="center"/>
    </xf>
    <xf numFmtId="1" fontId="7" fillId="0" borderId="30" xfId="0" applyNumberFormat="1" applyFont="1" applyBorder="1" applyAlignment="1">
      <alignment horizontal="center" vertical="center"/>
    </xf>
    <xf numFmtId="1" fontId="7" fillId="0" borderId="31" xfId="0" applyNumberFormat="1" applyFont="1" applyBorder="1" applyAlignment="1">
      <alignment horizontal="center" vertical="center"/>
    </xf>
    <xf numFmtId="1" fontId="5" fillId="0" borderId="32" xfId="0" applyNumberFormat="1" applyFont="1" applyBorder="1" applyAlignment="1">
      <alignment horizontal="center"/>
    </xf>
    <xf numFmtId="9" fontId="4" fillId="0" borderId="32" xfId="0" applyNumberFormat="1" applyFont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1" fontId="4" fillId="3" borderId="19" xfId="0" applyNumberFormat="1" applyFont="1" applyFill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/>
    </xf>
    <xf numFmtId="1" fontId="3" fillId="0" borderId="32" xfId="0" applyNumberFormat="1" applyFont="1" applyBorder="1" applyAlignment="1">
      <alignment horizontal="center" vertical="center"/>
    </xf>
    <xf numFmtId="1" fontId="3" fillId="0" borderId="30" xfId="0" applyNumberFormat="1" applyFont="1" applyBorder="1" applyAlignment="1">
      <alignment horizontal="center" vertical="center"/>
    </xf>
    <xf numFmtId="1" fontId="6" fillId="0" borderId="32" xfId="0" applyNumberFormat="1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3" fontId="10" fillId="2" borderId="36" xfId="0" applyNumberFormat="1" applyFont="1" applyFill="1" applyBorder="1" applyAlignment="1">
      <alignment horizontal="center" vertical="center" textRotation="90" wrapText="1"/>
    </xf>
    <xf numFmtId="1" fontId="12" fillId="0" borderId="37" xfId="0" applyNumberFormat="1" applyFont="1" applyBorder="1" applyAlignment="1">
      <alignment horizontal="center" vertical="center" wrapText="1"/>
    </xf>
    <xf numFmtId="1" fontId="12" fillId="0" borderId="38" xfId="0" applyNumberFormat="1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8" fillId="3" borderId="38" xfId="0" applyFont="1" applyFill="1" applyBorder="1" applyAlignment="1">
      <alignment horizontal="center" vertical="center" wrapText="1"/>
    </xf>
    <xf numFmtId="1" fontId="13" fillId="0" borderId="38" xfId="0" applyNumberFormat="1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/>
    </xf>
    <xf numFmtId="164" fontId="0" fillId="3" borderId="40" xfId="0" applyNumberFormat="1" applyFill="1" applyBorder="1" applyAlignment="1">
      <alignment horizontal="right" vertical="center"/>
    </xf>
    <xf numFmtId="164" fontId="0" fillId="3" borderId="41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tabSelected="1" topLeftCell="A2" workbookViewId="0">
      <selection activeCell="C33" sqref="C33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58" customWidth="1"/>
    <col min="6" max="6" width="12.5703125" style="70" customWidth="1"/>
    <col min="7" max="7" width="8.85546875" style="60"/>
    <col min="8" max="8" width="8.85546875" style="66"/>
    <col min="9" max="9" width="8.85546875" style="62" customWidth="1"/>
    <col min="10" max="10" width="8.85546875" style="75"/>
    <col min="11" max="12" width="8.85546875" style="68"/>
    <col min="13" max="14" width="12.28515625" style="78" bestFit="1" customWidth="1"/>
    <col min="15" max="15" width="8.85546875" style="69"/>
    <col min="16" max="16" width="11.5703125" style="69" customWidth="1"/>
    <col min="17" max="16384" width="8.85546875" style="4"/>
  </cols>
  <sheetData>
    <row r="1" spans="1:16" ht="75.75" thickBot="1" x14ac:dyDescent="0.25">
      <c r="A1" s="49" t="s">
        <v>22</v>
      </c>
      <c r="B1" s="49" t="s">
        <v>23</v>
      </c>
      <c r="C1" s="49" t="s">
        <v>24</v>
      </c>
      <c r="D1" s="49" t="s">
        <v>25</v>
      </c>
      <c r="E1" s="50" t="s">
        <v>26</v>
      </c>
      <c r="F1" s="51" t="s">
        <v>27</v>
      </c>
      <c r="G1" s="52" t="s">
        <v>28</v>
      </c>
      <c r="H1" s="53" t="s">
        <v>38</v>
      </c>
      <c r="I1" s="71" t="s">
        <v>36</v>
      </c>
      <c r="J1" s="72" t="s">
        <v>37</v>
      </c>
      <c r="K1" s="54" t="s">
        <v>29</v>
      </c>
      <c r="L1" s="54" t="s">
        <v>30</v>
      </c>
      <c r="M1" s="55" t="s">
        <v>31</v>
      </c>
      <c r="N1" s="55" t="s">
        <v>32</v>
      </c>
      <c r="O1" s="56" t="s">
        <v>0</v>
      </c>
      <c r="P1" s="56" t="s">
        <v>33</v>
      </c>
    </row>
    <row r="2" spans="1:16" ht="15.75" thickTop="1" x14ac:dyDescent="0.25">
      <c r="A2" s="57" t="s">
        <v>34</v>
      </c>
      <c r="B2" s="4">
        <v>1</v>
      </c>
      <c r="C2" s="4">
        <v>5</v>
      </c>
      <c r="D2" s="3">
        <v>2024</v>
      </c>
      <c r="E2" s="58">
        <f>Anassa!D3-Anassa!D2</f>
        <v>15170588.6</v>
      </c>
      <c r="F2" s="59">
        <f>0.2563</f>
        <v>0.25629999999999997</v>
      </c>
      <c r="G2" s="60">
        <f>Anassa!N2</f>
        <v>474.99999999999909</v>
      </c>
      <c r="H2" s="61">
        <v>0.626</v>
      </c>
      <c r="I2" s="73">
        <f>Anassa!AC2*5.04</f>
        <v>4032</v>
      </c>
      <c r="J2" s="74">
        <v>8.2900000000000001E-2</v>
      </c>
      <c r="K2" s="62">
        <f>Anassa!Z2</f>
        <v>94</v>
      </c>
      <c r="L2" s="63">
        <v>1.25</v>
      </c>
      <c r="M2" s="76">
        <f>Anassa!H2</f>
        <v>520</v>
      </c>
      <c r="N2" s="77">
        <v>0.88</v>
      </c>
      <c r="O2" s="64">
        <f>Anassa!AD2</f>
        <v>64</v>
      </c>
      <c r="P2" s="64">
        <f>Anassa!AE2</f>
        <v>128</v>
      </c>
    </row>
    <row r="3" spans="1:16" ht="15" x14ac:dyDescent="0.25">
      <c r="A3" s="57" t="s">
        <v>34</v>
      </c>
      <c r="B3" s="4">
        <f>B2+1</f>
        <v>2</v>
      </c>
      <c r="C3" s="4">
        <v>5</v>
      </c>
      <c r="D3" s="3">
        <v>2024</v>
      </c>
      <c r="E3" s="58">
        <f>Anassa!D4-Anassa!D3</f>
        <v>8732.4000000003725</v>
      </c>
      <c r="F3" s="59">
        <f t="shared" ref="F3:F32" si="0">0.2563</f>
        <v>0.25629999999999997</v>
      </c>
      <c r="G3" s="60">
        <f>Anassa!N3</f>
        <v>50.000000000000909</v>
      </c>
      <c r="H3" s="61">
        <v>0.626</v>
      </c>
      <c r="I3" s="73">
        <f>Anassa!AC3*5.04</f>
        <v>2578.1616000000045</v>
      </c>
      <c r="J3" s="74">
        <v>8.2900000000000001E-2</v>
      </c>
      <c r="K3" s="62">
        <f>Anassa!Z3</f>
        <v>23</v>
      </c>
      <c r="L3" s="63">
        <v>1.25</v>
      </c>
      <c r="M3" s="76">
        <f>Anassa!H3</f>
        <v>795</v>
      </c>
      <c r="N3" s="77">
        <v>0.88</v>
      </c>
      <c r="O3" s="64">
        <f>Anassa!AD3</f>
        <v>75</v>
      </c>
      <c r="P3" s="64">
        <f>Anassa!AE3</f>
        <v>150</v>
      </c>
    </row>
    <row r="4" spans="1:16" ht="15" x14ac:dyDescent="0.25">
      <c r="A4" s="57" t="s">
        <v>34</v>
      </c>
      <c r="B4" s="4">
        <f t="shared" ref="B4:B32" si="1">B3+1</f>
        <v>3</v>
      </c>
      <c r="C4" s="4">
        <v>5</v>
      </c>
      <c r="D4" s="3">
        <v>2024</v>
      </c>
      <c r="E4" s="58">
        <f>Anassa!D5-Anassa!D4</f>
        <v>8727.6000000014901</v>
      </c>
      <c r="F4" s="59">
        <f t="shared" si="0"/>
        <v>0.25629999999999997</v>
      </c>
      <c r="G4" s="60">
        <f>Anassa!N4</f>
        <v>200</v>
      </c>
      <c r="H4" s="61">
        <v>0.626</v>
      </c>
      <c r="I4" s="73">
        <f>Anassa!AC4*5.04</f>
        <v>2588.2415999999953</v>
      </c>
      <c r="J4" s="74">
        <v>8.2900000000000001E-2</v>
      </c>
      <c r="K4" s="62">
        <f>Anassa!Z4</f>
        <v>3159</v>
      </c>
      <c r="L4" s="63">
        <v>1.25</v>
      </c>
      <c r="M4" s="76">
        <f>Anassa!H4</f>
        <v>896</v>
      </c>
      <c r="N4" s="77">
        <v>0.88</v>
      </c>
      <c r="O4" s="64">
        <f>Anassa!AD4</f>
        <v>78</v>
      </c>
      <c r="P4" s="64">
        <f>Anassa!AE4</f>
        <v>155</v>
      </c>
    </row>
    <row r="5" spans="1:16" ht="15" x14ac:dyDescent="0.25">
      <c r="A5" s="57" t="s">
        <v>34</v>
      </c>
      <c r="B5" s="4">
        <f t="shared" si="1"/>
        <v>4</v>
      </c>
      <c r="C5" s="4">
        <v>5</v>
      </c>
      <c r="D5" s="3">
        <v>2024</v>
      </c>
      <c r="E5" s="58">
        <f>Anassa!D6-Anassa!D5</f>
        <v>8188.7999999988824</v>
      </c>
      <c r="F5" s="59">
        <f t="shared" si="0"/>
        <v>0.25629999999999997</v>
      </c>
      <c r="G5" s="60">
        <f>Anassa!N5</f>
        <v>75</v>
      </c>
      <c r="H5" s="61">
        <v>0.626</v>
      </c>
      <c r="I5" s="73">
        <f>Anassa!AC5*5.04</f>
        <v>2578.1616000000045</v>
      </c>
      <c r="J5" s="74">
        <v>8.2900000000000001E-2</v>
      </c>
      <c r="K5" s="62">
        <f>Anassa!Z5</f>
        <v>92</v>
      </c>
      <c r="L5" s="63">
        <v>1.25</v>
      </c>
      <c r="M5" s="76">
        <f>Anassa!H5</f>
        <v>876</v>
      </c>
      <c r="N5" s="77">
        <v>0.88</v>
      </c>
      <c r="O5" s="64">
        <f>Anassa!AD5</f>
        <v>50</v>
      </c>
      <c r="P5" s="64">
        <f>Anassa!AE5</f>
        <v>99</v>
      </c>
    </row>
    <row r="6" spans="1:16" ht="15" x14ac:dyDescent="0.25">
      <c r="A6" s="57" t="s">
        <v>34</v>
      </c>
      <c r="B6" s="4">
        <f t="shared" si="1"/>
        <v>5</v>
      </c>
      <c r="C6" s="4">
        <v>5</v>
      </c>
      <c r="D6" s="3">
        <v>2024</v>
      </c>
      <c r="E6" s="58">
        <f>Anassa!D7-Anassa!D6</f>
        <v>9022.1999999992549</v>
      </c>
      <c r="F6" s="59">
        <f t="shared" si="0"/>
        <v>0.25629999999999997</v>
      </c>
      <c r="G6" s="60">
        <f>Anassa!N6</f>
        <v>175</v>
      </c>
      <c r="H6" s="61">
        <v>0.626</v>
      </c>
      <c r="I6" s="73">
        <f>Anassa!AC6*5.04</f>
        <v>2578.1615999999954</v>
      </c>
      <c r="J6" s="74">
        <v>8.2900000000000001E-2</v>
      </c>
      <c r="K6" s="62">
        <f>Anassa!Z6</f>
        <v>116</v>
      </c>
      <c r="L6" s="63">
        <v>1.25</v>
      </c>
      <c r="M6" s="76">
        <f>Anassa!H6</f>
        <v>834</v>
      </c>
      <c r="N6" s="77">
        <v>0.88</v>
      </c>
      <c r="O6" s="64">
        <f>Anassa!AD6</f>
        <v>50</v>
      </c>
      <c r="P6" s="64">
        <f>Anassa!AE6</f>
        <v>102</v>
      </c>
    </row>
    <row r="7" spans="1:16" ht="15" x14ac:dyDescent="0.25">
      <c r="A7" s="57" t="s">
        <v>34</v>
      </c>
      <c r="B7" s="4">
        <f t="shared" si="1"/>
        <v>6</v>
      </c>
      <c r="C7" s="4">
        <v>5</v>
      </c>
      <c r="D7" s="3">
        <v>2024</v>
      </c>
      <c r="E7" s="58">
        <f>Anassa!D8-Anassa!D7</f>
        <v>8499.9000000003725</v>
      </c>
      <c r="F7" s="59">
        <f t="shared" si="0"/>
        <v>0.25629999999999997</v>
      </c>
      <c r="G7" s="60">
        <f>Anassa!N7</f>
        <v>250.00000000000091</v>
      </c>
      <c r="H7" s="61">
        <v>0.626</v>
      </c>
      <c r="I7" s="73">
        <f>Anassa!AC7*5.04</f>
        <v>2578.1616000000045</v>
      </c>
      <c r="J7" s="74">
        <v>8.2900000000000001E-2</v>
      </c>
      <c r="K7" s="62">
        <f>Anassa!Z7</f>
        <v>105</v>
      </c>
      <c r="L7" s="63">
        <v>1.25</v>
      </c>
      <c r="M7" s="76">
        <f>Anassa!H7</f>
        <v>700</v>
      </c>
      <c r="N7" s="77">
        <v>0.88</v>
      </c>
      <c r="O7" s="64">
        <f>Anassa!AD7</f>
        <v>47</v>
      </c>
      <c r="P7" s="64">
        <f>Anassa!AE7</f>
        <v>94</v>
      </c>
    </row>
    <row r="8" spans="1:16" ht="15" x14ac:dyDescent="0.25">
      <c r="A8" s="57" t="s">
        <v>34</v>
      </c>
      <c r="B8" s="4">
        <f t="shared" si="1"/>
        <v>7</v>
      </c>
      <c r="C8" s="4">
        <v>5</v>
      </c>
      <c r="D8" s="3">
        <v>2024</v>
      </c>
      <c r="E8" s="58">
        <f>Anassa!D9-Anassa!D8</f>
        <v>10014.5</v>
      </c>
      <c r="F8" s="59">
        <f t="shared" si="0"/>
        <v>0.25629999999999997</v>
      </c>
      <c r="G8" s="60">
        <f>Anassa!N8</f>
        <v>249.99999999999909</v>
      </c>
      <c r="H8" s="61">
        <v>0.626</v>
      </c>
      <c r="I8" s="73">
        <f>Anassa!AC8*5.04</f>
        <v>2578.1615999999954</v>
      </c>
      <c r="J8" s="74">
        <v>8.2900000000000001E-2</v>
      </c>
      <c r="K8" s="62">
        <f>Anassa!Z8</f>
        <v>110</v>
      </c>
      <c r="L8" s="63">
        <v>1.25</v>
      </c>
      <c r="M8" s="76">
        <f>Anassa!H8</f>
        <v>563</v>
      </c>
      <c r="N8" s="77">
        <v>0.88</v>
      </c>
      <c r="O8" s="64">
        <f>Anassa!AD8</f>
        <v>51</v>
      </c>
      <c r="P8" s="64">
        <f>Anassa!AE8</f>
        <v>101</v>
      </c>
    </row>
    <row r="9" spans="1:16" ht="15" x14ac:dyDescent="0.25">
      <c r="A9" s="57" t="s">
        <v>34</v>
      </c>
      <c r="B9" s="4">
        <f t="shared" si="1"/>
        <v>8</v>
      </c>
      <c r="C9" s="4">
        <v>5</v>
      </c>
      <c r="D9" s="3">
        <v>2024</v>
      </c>
      <c r="E9" s="58">
        <f>Anassa!D10-Anassa!D9</f>
        <v>10002.800000000745</v>
      </c>
      <c r="F9" s="59">
        <f t="shared" si="0"/>
        <v>0.25629999999999997</v>
      </c>
      <c r="G9" s="60">
        <f>Anassa!N9</f>
        <v>87.180000000000291</v>
      </c>
      <c r="H9" s="61">
        <v>0.626</v>
      </c>
      <c r="I9" s="73">
        <f>Anassa!AC9*5.04</f>
        <v>2578.1616000000045</v>
      </c>
      <c r="J9" s="74">
        <v>8.2900000000000001E-2</v>
      </c>
      <c r="K9" s="62">
        <f>Anassa!Z9</f>
        <v>98</v>
      </c>
      <c r="L9" s="63">
        <v>1.25</v>
      </c>
      <c r="M9" s="76">
        <f>Anassa!H9</f>
        <v>564</v>
      </c>
      <c r="N9" s="77">
        <v>0.88</v>
      </c>
      <c r="O9" s="64">
        <f>Anassa!AD9</f>
        <v>51</v>
      </c>
      <c r="P9" s="64">
        <f>Anassa!AE9</f>
        <v>99</v>
      </c>
    </row>
    <row r="10" spans="1:16" ht="15" x14ac:dyDescent="0.25">
      <c r="A10" s="57" t="s">
        <v>34</v>
      </c>
      <c r="B10" s="4">
        <f t="shared" si="1"/>
        <v>9</v>
      </c>
      <c r="C10" s="4">
        <v>5</v>
      </c>
      <c r="D10" s="3">
        <v>2024</v>
      </c>
      <c r="E10" s="58">
        <f>Anassa!D11-Anassa!D10</f>
        <v>10236.299999998882</v>
      </c>
      <c r="F10" s="59">
        <f t="shared" si="0"/>
        <v>0.25629999999999997</v>
      </c>
      <c r="G10" s="60">
        <f>Anassa!N10</f>
        <v>374.99999999999909</v>
      </c>
      <c r="H10" s="61">
        <v>0.626</v>
      </c>
      <c r="I10" s="73">
        <f>Anassa!AC10*5.04</f>
        <v>2578.1615999999954</v>
      </c>
      <c r="J10" s="74">
        <v>8.2900000000000001E-2</v>
      </c>
      <c r="K10" s="62">
        <f>Anassa!Z10</f>
        <v>115</v>
      </c>
      <c r="L10" s="63">
        <v>1.25</v>
      </c>
      <c r="M10" s="76">
        <f>Anassa!H10</f>
        <v>1409</v>
      </c>
      <c r="N10" s="77">
        <v>0.88</v>
      </c>
      <c r="O10" s="64">
        <f>Anassa!AD10</f>
        <v>65</v>
      </c>
      <c r="P10" s="64">
        <f>Anassa!AE10</f>
        <v>126</v>
      </c>
    </row>
    <row r="11" spans="1:16" ht="15" x14ac:dyDescent="0.25">
      <c r="A11" s="57" t="s">
        <v>34</v>
      </c>
      <c r="B11" s="4">
        <f t="shared" si="1"/>
        <v>10</v>
      </c>
      <c r="C11" s="4">
        <v>5</v>
      </c>
      <c r="D11" s="3">
        <v>2024</v>
      </c>
      <c r="E11" s="58">
        <f>Anassa!D12-Anassa!D11</f>
        <v>11335.200000001118</v>
      </c>
      <c r="F11" s="59">
        <f t="shared" si="0"/>
        <v>0.25629999999999997</v>
      </c>
      <c r="G11" s="60">
        <f>Anassa!N11</f>
        <v>250.00000000000091</v>
      </c>
      <c r="H11" s="61">
        <v>0.626</v>
      </c>
      <c r="I11" s="73">
        <f>Anassa!AC11*5.04</f>
        <v>2578.1616000000045</v>
      </c>
      <c r="J11" s="74">
        <v>8.2900000000000001E-2</v>
      </c>
      <c r="K11" s="62">
        <f>Anassa!Z11</f>
        <v>105</v>
      </c>
      <c r="L11" s="63">
        <v>1.25</v>
      </c>
      <c r="M11" s="76">
        <f>Anassa!H11</f>
        <v>271</v>
      </c>
      <c r="N11" s="77">
        <v>0.88</v>
      </c>
      <c r="O11" s="64">
        <f>Anassa!AD11</f>
        <v>78</v>
      </c>
      <c r="P11" s="64">
        <f>Anassa!AE11</f>
        <v>154</v>
      </c>
    </row>
    <row r="12" spans="1:16" ht="15" x14ac:dyDescent="0.25">
      <c r="A12" s="57" t="s">
        <v>34</v>
      </c>
      <c r="B12" s="4">
        <f t="shared" si="1"/>
        <v>11</v>
      </c>
      <c r="C12" s="4">
        <v>5</v>
      </c>
      <c r="D12" s="3">
        <v>2024</v>
      </c>
      <c r="E12" s="58">
        <f>Anassa!D13-Anassa!D12</f>
        <v>10773.699999999255</v>
      </c>
      <c r="F12" s="59">
        <f t="shared" si="0"/>
        <v>0.25629999999999997</v>
      </c>
      <c r="G12" s="60">
        <f>Anassa!N12</f>
        <v>375</v>
      </c>
      <c r="H12" s="61">
        <v>0.626</v>
      </c>
      <c r="I12" s="73">
        <f>Anassa!AC12*5.04</f>
        <v>2578.1615999999954</v>
      </c>
      <c r="J12" s="74">
        <v>8.2900000000000001E-2</v>
      </c>
      <c r="K12" s="62">
        <f>Anassa!Z12</f>
        <v>111</v>
      </c>
      <c r="L12" s="63">
        <v>1.25</v>
      </c>
      <c r="M12" s="76">
        <f>Anassa!H12</f>
        <v>291</v>
      </c>
      <c r="N12" s="77">
        <v>0.88</v>
      </c>
      <c r="O12" s="64">
        <f>Anassa!AD12</f>
        <v>58</v>
      </c>
      <c r="P12" s="64">
        <f>Anassa!AE12</f>
        <v>107</v>
      </c>
    </row>
    <row r="13" spans="1:16" ht="15" x14ac:dyDescent="0.25">
      <c r="A13" s="57" t="s">
        <v>34</v>
      </c>
      <c r="B13" s="4">
        <f t="shared" si="1"/>
        <v>12</v>
      </c>
      <c r="C13" s="4">
        <v>5</v>
      </c>
      <c r="D13" s="3">
        <v>2024</v>
      </c>
      <c r="E13" s="58">
        <f>Anassa!D14-Anassa!D13</f>
        <v>10846.300000000745</v>
      </c>
      <c r="F13" s="59">
        <f t="shared" si="0"/>
        <v>0.25629999999999997</v>
      </c>
      <c r="G13" s="60">
        <f>Anassa!N13</f>
        <v>225</v>
      </c>
      <c r="H13" s="61">
        <v>0.626</v>
      </c>
      <c r="I13" s="73">
        <f>Anassa!AC13*5.04</f>
        <v>2578.1615999999999</v>
      </c>
      <c r="J13" s="74">
        <v>8.2900000000000001E-2</v>
      </c>
      <c r="K13" s="62">
        <f>Anassa!Z13</f>
        <v>22</v>
      </c>
      <c r="L13" s="63">
        <v>1.25</v>
      </c>
      <c r="M13" s="76">
        <f>Anassa!H13</f>
        <v>559</v>
      </c>
      <c r="N13" s="77">
        <v>0.88</v>
      </c>
      <c r="O13" s="64">
        <f>Anassa!AD13</f>
        <v>59</v>
      </c>
      <c r="P13" s="64">
        <f>Anassa!AE13</f>
        <v>104</v>
      </c>
    </row>
    <row r="14" spans="1:16" ht="15" x14ac:dyDescent="0.25">
      <c r="A14" s="57" t="s">
        <v>34</v>
      </c>
      <c r="B14" s="4">
        <f t="shared" si="1"/>
        <v>13</v>
      </c>
      <c r="C14" s="4">
        <v>5</v>
      </c>
      <c r="D14" s="3">
        <v>2024</v>
      </c>
      <c r="E14" s="58">
        <f>Anassa!D15-Anassa!D14</f>
        <v>10671.299999998882</v>
      </c>
      <c r="F14" s="59">
        <f t="shared" si="0"/>
        <v>0.25629999999999997</v>
      </c>
      <c r="G14" s="60">
        <f>Anassa!N14</f>
        <v>250</v>
      </c>
      <c r="H14" s="61">
        <v>0.626</v>
      </c>
      <c r="I14" s="73">
        <f>Anassa!AC14*5.04</f>
        <v>2578.1615999999999</v>
      </c>
      <c r="J14" s="74">
        <v>8.2900000000000001E-2</v>
      </c>
      <c r="K14" s="62">
        <f>Anassa!Z14</f>
        <v>88</v>
      </c>
      <c r="L14" s="63">
        <v>1.25</v>
      </c>
      <c r="M14" s="76">
        <f>Anassa!H14</f>
        <v>418</v>
      </c>
      <c r="N14" s="77">
        <v>0.88</v>
      </c>
      <c r="O14" s="64">
        <f>Anassa!AD14</f>
        <v>60</v>
      </c>
      <c r="P14" s="64">
        <f>Anassa!AE14</f>
        <v>100</v>
      </c>
    </row>
    <row r="15" spans="1:16" ht="15" x14ac:dyDescent="0.25">
      <c r="A15" s="57" t="s">
        <v>34</v>
      </c>
      <c r="B15" s="4">
        <f t="shared" si="1"/>
        <v>14</v>
      </c>
      <c r="C15" s="4">
        <v>5</v>
      </c>
      <c r="D15" s="3">
        <v>2024</v>
      </c>
      <c r="E15" s="58">
        <f>Anassa!D16-Anassa!D15</f>
        <v>11282</v>
      </c>
      <c r="F15" s="59">
        <f t="shared" si="0"/>
        <v>0.25629999999999997</v>
      </c>
      <c r="G15" s="60">
        <f>Anassa!N15</f>
        <v>100</v>
      </c>
      <c r="H15" s="61">
        <v>0.626</v>
      </c>
      <c r="I15" s="73">
        <f>Anassa!AC15*5.04</f>
        <v>2578.1616000000045</v>
      </c>
      <c r="J15" s="74">
        <v>8.2900000000000001E-2</v>
      </c>
      <c r="K15" s="62">
        <f>Anassa!Z15</f>
        <v>135</v>
      </c>
      <c r="L15" s="63">
        <v>1.25</v>
      </c>
      <c r="M15" s="76">
        <f>Anassa!H15</f>
        <v>142</v>
      </c>
      <c r="N15" s="77">
        <v>0.88</v>
      </c>
      <c r="O15" s="64">
        <f>Anassa!AD15</f>
        <v>70</v>
      </c>
      <c r="P15" s="64">
        <f>Anassa!AE15</f>
        <v>120</v>
      </c>
    </row>
    <row r="16" spans="1:16" ht="15" x14ac:dyDescent="0.25">
      <c r="A16" s="57" t="s">
        <v>34</v>
      </c>
      <c r="B16" s="4">
        <f t="shared" si="1"/>
        <v>15</v>
      </c>
      <c r="C16" s="4">
        <v>5</v>
      </c>
      <c r="D16" s="3">
        <v>2024</v>
      </c>
      <c r="E16" s="58">
        <f>Anassa!D17-Anassa!D16</f>
        <v>10585.599999999627</v>
      </c>
      <c r="F16" s="59">
        <f t="shared" si="0"/>
        <v>0.25629999999999997</v>
      </c>
      <c r="G16" s="60">
        <f>Anassa!N16</f>
        <v>49.859999999999673</v>
      </c>
      <c r="H16" s="61">
        <v>0.626</v>
      </c>
      <c r="I16" s="73">
        <f>Anassa!AC16*5.04</f>
        <v>2578.1615999999999</v>
      </c>
      <c r="J16" s="74">
        <v>8.2900000000000001E-2</v>
      </c>
      <c r="K16" s="62">
        <f>Anassa!Z16</f>
        <v>130</v>
      </c>
      <c r="L16" s="63">
        <v>1.25</v>
      </c>
      <c r="M16" s="76">
        <f>Anassa!H16</f>
        <v>960</v>
      </c>
      <c r="N16" s="77">
        <v>1.25</v>
      </c>
      <c r="O16" s="64">
        <f>Anassa!AD16</f>
        <v>70</v>
      </c>
      <c r="P16" s="64">
        <f>Anassa!AE16</f>
        <v>123</v>
      </c>
    </row>
    <row r="17" spans="1:16" ht="15" x14ac:dyDescent="0.25">
      <c r="A17" s="57" t="s">
        <v>34</v>
      </c>
      <c r="B17" s="4">
        <f t="shared" si="1"/>
        <v>16</v>
      </c>
      <c r="C17" s="4">
        <v>5</v>
      </c>
      <c r="D17" s="3">
        <v>2024</v>
      </c>
      <c r="E17" s="58">
        <f>Anassa!D18-Anassa!D17</f>
        <v>11019.800000000745</v>
      </c>
      <c r="F17" s="59">
        <f t="shared" si="0"/>
        <v>0.25629999999999997</v>
      </c>
      <c r="G17" s="60">
        <f>Anassa!N17</f>
        <v>249.99999999999909</v>
      </c>
      <c r="H17" s="61">
        <v>0.626</v>
      </c>
      <c r="I17" s="73">
        <f>Anassa!AC17*5.04</f>
        <v>2578.1615999999999</v>
      </c>
      <c r="J17" s="74">
        <v>8.2900000000000001E-2</v>
      </c>
      <c r="K17" s="62">
        <f>Anassa!Z17</f>
        <v>117</v>
      </c>
      <c r="L17" s="63">
        <v>1.25</v>
      </c>
      <c r="M17" s="76">
        <f>Anassa!H17</f>
        <v>408</v>
      </c>
      <c r="N17" s="77">
        <v>0.88</v>
      </c>
      <c r="O17" s="64">
        <f>Anassa!AD17</f>
        <v>83</v>
      </c>
      <c r="P17" s="64">
        <f>Anassa!AE17</f>
        <v>150</v>
      </c>
    </row>
    <row r="18" spans="1:16" ht="15" x14ac:dyDescent="0.25">
      <c r="A18" s="57" t="s">
        <v>34</v>
      </c>
      <c r="B18" s="4">
        <f t="shared" si="1"/>
        <v>17</v>
      </c>
      <c r="C18" s="4">
        <v>5</v>
      </c>
      <c r="D18" s="3">
        <v>2024</v>
      </c>
      <c r="E18" s="58">
        <f>Anassa!D19-Anassa!D18</f>
        <v>10392.699999999255</v>
      </c>
      <c r="F18" s="59">
        <f t="shared" si="0"/>
        <v>0.25629999999999997</v>
      </c>
      <c r="G18" s="60">
        <f>Anassa!N18</f>
        <v>0</v>
      </c>
      <c r="H18" s="61">
        <v>0.626</v>
      </c>
      <c r="I18" s="73">
        <f>Anassa!AC18*5.04</f>
        <v>2578.1615999999999</v>
      </c>
      <c r="J18" s="74">
        <v>8.2900000000000001E-2</v>
      </c>
      <c r="K18" s="62">
        <f>Anassa!Z18</f>
        <v>107</v>
      </c>
      <c r="L18" s="63">
        <v>1.25</v>
      </c>
      <c r="M18" s="76">
        <f>Anassa!H18</f>
        <v>405</v>
      </c>
      <c r="N18" s="77">
        <v>0.88</v>
      </c>
      <c r="O18" s="64">
        <f>Anassa!AD18</f>
        <v>85</v>
      </c>
      <c r="P18" s="64">
        <f>Anassa!AE18</f>
        <v>152</v>
      </c>
    </row>
    <row r="19" spans="1:16" ht="15" x14ac:dyDescent="0.25">
      <c r="A19" s="57" t="s">
        <v>34</v>
      </c>
      <c r="B19" s="4">
        <f t="shared" si="1"/>
        <v>18</v>
      </c>
      <c r="C19" s="4">
        <v>5</v>
      </c>
      <c r="D19" s="3">
        <v>2024</v>
      </c>
      <c r="E19" s="58">
        <f>Anassa!D20-Anassa!D19</f>
        <v>11305</v>
      </c>
      <c r="F19" s="59">
        <f t="shared" si="0"/>
        <v>0.25629999999999997</v>
      </c>
      <c r="G19" s="60">
        <f>Anassa!N19</f>
        <v>125.00000000000091</v>
      </c>
      <c r="H19" s="61">
        <v>0.626</v>
      </c>
      <c r="I19" s="73">
        <f>Anassa!AC19*5.04</f>
        <v>2578.1615999999999</v>
      </c>
      <c r="J19" s="74">
        <v>8.2900000000000001E-2</v>
      </c>
      <c r="K19" s="62">
        <f>Anassa!Z19</f>
        <v>110</v>
      </c>
      <c r="L19" s="63">
        <v>1.25</v>
      </c>
      <c r="M19" s="76">
        <f>Anassa!H19</f>
        <v>666</v>
      </c>
      <c r="N19" s="77">
        <v>0.88</v>
      </c>
      <c r="O19" s="64">
        <f>Anassa!AD19</f>
        <v>0</v>
      </c>
      <c r="P19" s="64">
        <f>Anassa!AE19</f>
        <v>0</v>
      </c>
    </row>
    <row r="20" spans="1:16" ht="15" x14ac:dyDescent="0.25">
      <c r="A20" s="57" t="s">
        <v>34</v>
      </c>
      <c r="B20" s="4">
        <f t="shared" si="1"/>
        <v>19</v>
      </c>
      <c r="C20" s="4">
        <v>5</v>
      </c>
      <c r="D20" s="3">
        <v>2024</v>
      </c>
      <c r="E20" s="58">
        <f>Anassa!D21-Anassa!D20</f>
        <v>10535.800000000745</v>
      </c>
      <c r="F20" s="59">
        <f t="shared" si="0"/>
        <v>0.25629999999999997</v>
      </c>
      <c r="G20" s="60">
        <f>Anassa!N20</f>
        <v>625.00000000000091</v>
      </c>
      <c r="H20" s="61">
        <v>0.626</v>
      </c>
      <c r="I20" s="73">
        <f>Anassa!AC20*5.04</f>
        <v>2578.1615999999976</v>
      </c>
      <c r="J20" s="74">
        <v>8.2900000000000001E-2</v>
      </c>
      <c r="K20" s="62">
        <f>Anassa!Z20</f>
        <v>94</v>
      </c>
      <c r="L20" s="63">
        <v>1.25</v>
      </c>
      <c r="M20" s="76">
        <f>Anassa!H20</f>
        <v>382</v>
      </c>
      <c r="N20" s="77">
        <v>0.88</v>
      </c>
      <c r="O20" s="64">
        <f>Anassa!AD20</f>
        <v>0</v>
      </c>
      <c r="P20" s="64">
        <f>Anassa!AE20</f>
        <v>0</v>
      </c>
    </row>
    <row r="21" spans="1:16" ht="15" x14ac:dyDescent="0.25">
      <c r="A21" s="57" t="s">
        <v>34</v>
      </c>
      <c r="B21" s="4">
        <f t="shared" si="1"/>
        <v>20</v>
      </c>
      <c r="C21" s="4">
        <v>5</v>
      </c>
      <c r="D21" s="3">
        <v>2024</v>
      </c>
      <c r="E21" s="58">
        <f>Anassa!D22-Anassa!D21</f>
        <v>10882.800000000745</v>
      </c>
      <c r="F21" s="59">
        <f t="shared" si="0"/>
        <v>0.25629999999999997</v>
      </c>
      <c r="G21" s="60">
        <f>Anassa!N21</f>
        <v>125</v>
      </c>
      <c r="H21" s="61">
        <v>0.626</v>
      </c>
      <c r="I21" s="73">
        <f>Anassa!AC21*5.04</f>
        <v>2578.1616000000022</v>
      </c>
      <c r="J21" s="74">
        <v>8.2900000000000001E-2</v>
      </c>
      <c r="K21" s="62">
        <f>Anassa!Z21</f>
        <v>133</v>
      </c>
      <c r="L21" s="63">
        <v>1.25</v>
      </c>
      <c r="M21" s="76">
        <f>Anassa!H21</f>
        <v>656</v>
      </c>
      <c r="N21" s="77">
        <v>0.88</v>
      </c>
      <c r="O21" s="64">
        <f>Anassa!AD21</f>
        <v>0</v>
      </c>
      <c r="P21" s="64">
        <f>Anassa!AE21</f>
        <v>0</v>
      </c>
    </row>
    <row r="22" spans="1:16" ht="15" x14ac:dyDescent="0.25">
      <c r="A22" s="57" t="s">
        <v>34</v>
      </c>
      <c r="B22" s="4">
        <f t="shared" si="1"/>
        <v>21</v>
      </c>
      <c r="C22" s="4">
        <v>5</v>
      </c>
      <c r="D22" s="3">
        <v>2024</v>
      </c>
      <c r="E22" s="58">
        <f>Anassa!D23-Anassa!D22</f>
        <v>10780.800000000745</v>
      </c>
      <c r="F22" s="59">
        <f t="shared" si="0"/>
        <v>0.25629999999999997</v>
      </c>
      <c r="G22" s="60">
        <f>Anassa!N22</f>
        <v>124.99999999999909</v>
      </c>
      <c r="H22" s="61">
        <v>0.626</v>
      </c>
      <c r="I22" s="73">
        <f>Anassa!AC22*5.04</f>
        <v>2578.1615999999999</v>
      </c>
      <c r="J22" s="74">
        <v>8.2900000000000001E-2</v>
      </c>
      <c r="K22" s="62">
        <f>Anassa!Z22</f>
        <v>90</v>
      </c>
      <c r="L22" s="63">
        <v>1.25</v>
      </c>
      <c r="M22" s="76">
        <f>Anassa!H22</f>
        <v>133</v>
      </c>
      <c r="N22" s="77">
        <v>0.88</v>
      </c>
      <c r="O22" s="64">
        <f>Anassa!AD22</f>
        <v>0</v>
      </c>
      <c r="P22" s="64">
        <f>Anassa!AE22</f>
        <v>0</v>
      </c>
    </row>
    <row r="23" spans="1:16" ht="15" x14ac:dyDescent="0.25">
      <c r="A23" s="57" t="s">
        <v>34</v>
      </c>
      <c r="B23" s="4">
        <f t="shared" si="1"/>
        <v>22</v>
      </c>
      <c r="C23" s="4">
        <v>5</v>
      </c>
      <c r="D23" s="3">
        <v>2024</v>
      </c>
      <c r="E23" s="58">
        <f>Anassa!D24-Anassa!D23</f>
        <v>10695.89999999851</v>
      </c>
      <c r="F23" s="59">
        <f t="shared" si="0"/>
        <v>0.25629999999999997</v>
      </c>
      <c r="G23" s="60">
        <f>Anassa!N23</f>
        <v>159.91999999999916</v>
      </c>
      <c r="H23" s="61">
        <v>0.626</v>
      </c>
      <c r="I23" s="73">
        <f>Anassa!AC23*5.04</f>
        <v>2578.1615999999999</v>
      </c>
      <c r="J23" s="74">
        <v>8.2900000000000001E-2</v>
      </c>
      <c r="K23" s="62">
        <f>Anassa!Z23</f>
        <v>98</v>
      </c>
      <c r="L23" s="63">
        <v>1.25</v>
      </c>
      <c r="M23" s="76">
        <f>Anassa!H23</f>
        <v>806</v>
      </c>
      <c r="N23" s="77">
        <v>0.88</v>
      </c>
      <c r="O23" s="64">
        <f>Anassa!AD23</f>
        <v>0</v>
      </c>
      <c r="P23" s="64">
        <f>Anassa!AE23</f>
        <v>0</v>
      </c>
    </row>
    <row r="24" spans="1:16" ht="15" x14ac:dyDescent="0.25">
      <c r="A24" s="57" t="s">
        <v>34</v>
      </c>
      <c r="B24" s="4">
        <f t="shared" si="1"/>
        <v>23</v>
      </c>
      <c r="C24" s="4">
        <v>5</v>
      </c>
      <c r="D24" s="3">
        <v>2024</v>
      </c>
      <c r="E24" s="58">
        <f>Anassa!D25-Anassa!D24</f>
        <v>11403.599999999627</v>
      </c>
      <c r="F24" s="59">
        <f t="shared" si="0"/>
        <v>0.25629999999999997</v>
      </c>
      <c r="G24" s="60">
        <f>Anassa!N24</f>
        <v>375.00000000000091</v>
      </c>
      <c r="H24" s="61">
        <v>0.626</v>
      </c>
      <c r="I24" s="73">
        <f>Anassa!AC24*5.04</f>
        <v>2578.1615999999999</v>
      </c>
      <c r="J24" s="74">
        <v>8.2900000000000001E-2</v>
      </c>
      <c r="K24" s="62">
        <f>Anassa!Z24</f>
        <v>32</v>
      </c>
      <c r="L24" s="63">
        <v>1.25</v>
      </c>
      <c r="M24" s="76">
        <f>Anassa!H24</f>
        <v>135</v>
      </c>
      <c r="N24" s="77">
        <v>0.88</v>
      </c>
      <c r="O24" s="64">
        <f>Anassa!AD24</f>
        <v>0</v>
      </c>
      <c r="P24" s="64">
        <f>Anassa!AE24</f>
        <v>0</v>
      </c>
    </row>
    <row r="25" spans="1:16" ht="15" x14ac:dyDescent="0.25">
      <c r="A25" s="57" t="s">
        <v>34</v>
      </c>
      <c r="B25" s="4">
        <f t="shared" si="1"/>
        <v>24</v>
      </c>
      <c r="C25" s="4">
        <v>5</v>
      </c>
      <c r="D25" s="3">
        <v>2024</v>
      </c>
      <c r="E25" s="58">
        <f>Anassa!D26-Anassa!D25</f>
        <v>13901.099999999627</v>
      </c>
      <c r="F25" s="59">
        <f t="shared" si="0"/>
        <v>0.25629999999999997</v>
      </c>
      <c r="G25" s="60">
        <f>Anassa!N25</f>
        <v>200.00000000000091</v>
      </c>
      <c r="H25" s="61">
        <v>0.626</v>
      </c>
      <c r="I25" s="73">
        <f>Anassa!AC25*5.04</f>
        <v>2578.1615999999999</v>
      </c>
      <c r="J25" s="74">
        <v>8.2900000000000001E-2</v>
      </c>
      <c r="K25" s="62">
        <f>Anassa!Z25</f>
        <v>130</v>
      </c>
      <c r="L25" s="63">
        <v>1.25</v>
      </c>
      <c r="M25" s="76">
        <f>Anassa!H25</f>
        <v>409</v>
      </c>
      <c r="N25" s="77">
        <v>0.88</v>
      </c>
      <c r="O25" s="64">
        <f>Anassa!AD25</f>
        <v>0</v>
      </c>
      <c r="P25" s="64">
        <f>Anassa!AE25</f>
        <v>0</v>
      </c>
    </row>
    <row r="26" spans="1:16" ht="15" x14ac:dyDescent="0.25">
      <c r="A26" s="57" t="s">
        <v>34</v>
      </c>
      <c r="B26" s="4">
        <f>B25+1</f>
        <v>25</v>
      </c>
      <c r="C26" s="4">
        <v>5</v>
      </c>
      <c r="D26" s="3">
        <v>2024</v>
      </c>
      <c r="E26" s="58">
        <f>Anassa!D27-Anassa!D26</f>
        <v>12644.200000001118</v>
      </c>
      <c r="F26" s="59">
        <f t="shared" si="0"/>
        <v>0.25629999999999997</v>
      </c>
      <c r="G26" s="60">
        <f>Anassa!N26</f>
        <v>200</v>
      </c>
      <c r="H26" s="61">
        <v>0.626</v>
      </c>
      <c r="I26" s="73">
        <f>Anassa!AC26*5.04</f>
        <v>2578.1615999999999</v>
      </c>
      <c r="J26" s="74">
        <v>8.2900000000000001E-2</v>
      </c>
      <c r="K26" s="62">
        <f>Anassa!Z26</f>
        <v>114</v>
      </c>
      <c r="L26" s="63">
        <v>1.25</v>
      </c>
      <c r="M26" s="76">
        <f>Anassa!H26</f>
        <v>198</v>
      </c>
      <c r="N26" s="77">
        <v>0.88</v>
      </c>
      <c r="O26" s="64">
        <f>Anassa!AD26</f>
        <v>0</v>
      </c>
      <c r="P26" s="64">
        <f>Anassa!AE26</f>
        <v>0</v>
      </c>
    </row>
    <row r="27" spans="1:16" ht="15" x14ac:dyDescent="0.25">
      <c r="A27" s="57" t="s">
        <v>34</v>
      </c>
      <c r="B27" s="4">
        <f t="shared" si="1"/>
        <v>26</v>
      </c>
      <c r="C27" s="4">
        <v>5</v>
      </c>
      <c r="D27" s="3">
        <v>2024</v>
      </c>
      <c r="E27" s="58">
        <f>Anassa!D28-Anassa!D27</f>
        <v>13078</v>
      </c>
      <c r="F27" s="59">
        <f t="shared" si="0"/>
        <v>0.25629999999999997</v>
      </c>
      <c r="G27" s="60">
        <f>Anassa!N27</f>
        <v>274.99999999999818</v>
      </c>
      <c r="H27" s="61">
        <v>0.626</v>
      </c>
      <c r="I27" s="73">
        <f>Anassa!AC27*5.04</f>
        <v>2578.1615999999999</v>
      </c>
      <c r="J27" s="74">
        <v>8.2900000000000001E-2</v>
      </c>
      <c r="K27" s="62">
        <f>Anassa!Z27</f>
        <v>127</v>
      </c>
      <c r="L27" s="63">
        <v>1.25</v>
      </c>
      <c r="M27" s="76">
        <f>Anassa!H27</f>
        <v>77</v>
      </c>
      <c r="N27" s="77">
        <v>0.88</v>
      </c>
      <c r="O27" s="64">
        <f>Anassa!AD27</f>
        <v>0</v>
      </c>
      <c r="P27" s="64">
        <f>Anassa!AE27</f>
        <v>0</v>
      </c>
    </row>
    <row r="28" spans="1:16" ht="15" x14ac:dyDescent="0.25">
      <c r="A28" s="57" t="s">
        <v>34</v>
      </c>
      <c r="B28" s="4">
        <f t="shared" si="1"/>
        <v>27</v>
      </c>
      <c r="C28" s="4">
        <v>5</v>
      </c>
      <c r="D28" s="3">
        <v>2024</v>
      </c>
      <c r="E28" s="58">
        <f>Anassa!D29-Anassa!D28</f>
        <v>12422.299999998882</v>
      </c>
      <c r="F28" s="59">
        <f t="shared" si="0"/>
        <v>0.25629999999999997</v>
      </c>
      <c r="G28" s="60">
        <f>Anassa!N28</f>
        <v>200.00000000000091</v>
      </c>
      <c r="H28" s="61">
        <v>0.626</v>
      </c>
      <c r="I28" s="73">
        <f>Anassa!AC28*5.04</f>
        <v>2567.88</v>
      </c>
      <c r="J28" s="74">
        <v>8.2900000000000001E-2</v>
      </c>
      <c r="K28" s="62">
        <f>Anassa!Z28</f>
        <v>117</v>
      </c>
      <c r="L28" s="63">
        <v>1.25</v>
      </c>
      <c r="M28" s="76">
        <f>Anassa!H28</f>
        <v>830</v>
      </c>
      <c r="N28" s="77">
        <v>0.88</v>
      </c>
      <c r="O28" s="64">
        <f>Anassa!AD28</f>
        <v>0</v>
      </c>
      <c r="P28" s="64">
        <f>Anassa!AE28</f>
        <v>0</v>
      </c>
    </row>
    <row r="29" spans="1:16" ht="15" x14ac:dyDescent="0.25">
      <c r="A29" s="57" t="s">
        <v>34</v>
      </c>
      <c r="B29" s="4">
        <f t="shared" si="1"/>
        <v>28</v>
      </c>
      <c r="C29" s="4">
        <v>5</v>
      </c>
      <c r="D29" s="3">
        <v>2024</v>
      </c>
      <c r="E29" s="58">
        <f>Anassa!D30-Anassa!D29</f>
        <v>11012.300000000745</v>
      </c>
      <c r="F29" s="59">
        <f t="shared" si="0"/>
        <v>0.25629999999999997</v>
      </c>
      <c r="G29" s="60">
        <f>Anassa!N29</f>
        <v>150</v>
      </c>
      <c r="H29" s="61">
        <v>0.626</v>
      </c>
      <c r="I29" s="73">
        <f>Anassa!AC29*5.04</f>
        <v>4098.1499999999996</v>
      </c>
      <c r="J29" s="74">
        <v>8.2900000000000001E-2</v>
      </c>
      <c r="K29" s="62">
        <f>Anassa!Z29</f>
        <v>179</v>
      </c>
      <c r="L29" s="63">
        <v>1.25</v>
      </c>
      <c r="M29" s="76">
        <f>Anassa!H29</f>
        <v>418</v>
      </c>
      <c r="N29" s="77">
        <v>0.88</v>
      </c>
      <c r="O29" s="64">
        <f>Anassa!AD29</f>
        <v>0</v>
      </c>
      <c r="P29" s="64">
        <f>Anassa!AE29</f>
        <v>0</v>
      </c>
    </row>
    <row r="30" spans="1:16" ht="15" x14ac:dyDescent="0.25">
      <c r="A30" s="57" t="s">
        <v>34</v>
      </c>
      <c r="B30" s="4">
        <f t="shared" si="1"/>
        <v>29</v>
      </c>
      <c r="C30" s="4">
        <v>5</v>
      </c>
      <c r="D30" s="3">
        <v>2024</v>
      </c>
      <c r="E30" s="58">
        <f>Anassa!D31-Anassa!D30</f>
        <v>12294.300000000745</v>
      </c>
      <c r="F30" s="59">
        <f t="shared" si="0"/>
        <v>0.25629999999999997</v>
      </c>
      <c r="G30" s="60">
        <f>Anassa!N30</f>
        <v>54.1299999999992</v>
      </c>
      <c r="H30" s="61">
        <v>0.626</v>
      </c>
      <c r="I30" s="73">
        <f>Anassa!AC30*5.04</f>
        <v>4098.1499999999996</v>
      </c>
      <c r="J30" s="74">
        <v>8.2900000000000001E-2</v>
      </c>
      <c r="K30" s="62">
        <f>Anassa!Z30</f>
        <v>126</v>
      </c>
      <c r="L30" s="63">
        <v>1.25</v>
      </c>
      <c r="M30" s="76">
        <f>Anassa!H30</f>
        <v>420</v>
      </c>
      <c r="N30" s="77">
        <v>0.88</v>
      </c>
      <c r="O30" s="64">
        <f>Anassa!AD30</f>
        <v>0</v>
      </c>
      <c r="P30" s="64">
        <f>Anassa!AE30</f>
        <v>0</v>
      </c>
    </row>
    <row r="31" spans="1:16" ht="15" x14ac:dyDescent="0.25">
      <c r="A31" s="57" t="s">
        <v>34</v>
      </c>
      <c r="B31" s="4">
        <f t="shared" si="1"/>
        <v>30</v>
      </c>
      <c r="C31" s="4">
        <v>5</v>
      </c>
      <c r="D31" s="3">
        <v>2024</v>
      </c>
      <c r="E31" s="58">
        <f>Anassa!D32-Anassa!D31</f>
        <v>12036.099999999627</v>
      </c>
      <c r="F31" s="59">
        <f t="shared" si="0"/>
        <v>0.25629999999999997</v>
      </c>
      <c r="G31" s="60">
        <f>Anassa!N31</f>
        <v>350.00000000000091</v>
      </c>
      <c r="H31" s="61">
        <v>0.626</v>
      </c>
      <c r="I31" s="73">
        <f>Anassa!AC31*5.04</f>
        <v>4098.1499999999996</v>
      </c>
      <c r="J31" s="74">
        <v>8.2900000000000001E-2</v>
      </c>
      <c r="K31" s="62">
        <f>Anassa!Z31</f>
        <v>136</v>
      </c>
      <c r="L31" s="63">
        <v>1.25</v>
      </c>
      <c r="M31" s="76">
        <f>Anassa!H31</f>
        <v>421</v>
      </c>
      <c r="N31" s="77">
        <v>0.88</v>
      </c>
      <c r="O31" s="64">
        <f>Anassa!AD31</f>
        <v>0</v>
      </c>
      <c r="P31" s="64">
        <f>Anassa!AE31</f>
        <v>0</v>
      </c>
    </row>
    <row r="32" spans="1:16" ht="15" x14ac:dyDescent="0.25">
      <c r="A32" s="57" t="s">
        <v>34</v>
      </c>
      <c r="B32" s="4">
        <f t="shared" si="1"/>
        <v>31</v>
      </c>
      <c r="C32" s="4">
        <v>5</v>
      </c>
      <c r="D32" s="3">
        <v>2024</v>
      </c>
      <c r="E32" s="58">
        <f>Anassa!D33-Anassa!D32</f>
        <v>12332.099999999627</v>
      </c>
      <c r="F32" s="59">
        <f t="shared" si="0"/>
        <v>0.25629999999999997</v>
      </c>
      <c r="G32" s="60">
        <f>Anassa!N32</f>
        <v>0</v>
      </c>
      <c r="H32" s="61">
        <v>0.626</v>
      </c>
      <c r="I32" s="73">
        <f>Anassa!AC32*5.04</f>
        <v>0</v>
      </c>
      <c r="J32" s="74">
        <v>8.2900000000000001E-2</v>
      </c>
      <c r="K32" s="62">
        <f>Anassa!Z32</f>
        <v>0</v>
      </c>
      <c r="L32" s="63">
        <v>1.25</v>
      </c>
      <c r="M32" s="76">
        <f>Anassa!H32</f>
        <v>0</v>
      </c>
      <c r="N32" s="77">
        <v>0.88</v>
      </c>
      <c r="O32" s="64">
        <f>Anassa!AD32</f>
        <v>0</v>
      </c>
      <c r="P32" s="64">
        <f>Anassa!AE32</f>
        <v>0</v>
      </c>
    </row>
    <row r="33" spans="4:16" x14ac:dyDescent="0.2">
      <c r="D33" s="65"/>
      <c r="E33" s="58" t="s">
        <v>35</v>
      </c>
      <c r="F33" s="59"/>
      <c r="I33" s="73"/>
      <c r="J33" s="74"/>
      <c r="K33" s="63"/>
      <c r="L33" s="63"/>
      <c r="O33" s="67"/>
      <c r="P33" s="67"/>
    </row>
    <row r="34" spans="4:16" x14ac:dyDescent="0.2">
      <c r="D34" s="65"/>
      <c r="F34" s="59"/>
      <c r="I34" s="73"/>
      <c r="J34" s="74"/>
      <c r="K34" s="63"/>
      <c r="L34" s="63"/>
      <c r="O34" s="67"/>
      <c r="P34" s="67"/>
    </row>
    <row r="35" spans="4:16" x14ac:dyDescent="0.2">
      <c r="D35" s="65"/>
      <c r="F35" s="59"/>
      <c r="I35" s="73"/>
      <c r="J35" s="74"/>
      <c r="K35" s="63"/>
      <c r="L35" s="63"/>
      <c r="O35" s="67"/>
      <c r="P35" s="67"/>
    </row>
    <row r="36" spans="4:16" x14ac:dyDescent="0.2">
      <c r="D36" s="65"/>
      <c r="F36" s="59"/>
      <c r="I36" s="73"/>
      <c r="J36" s="74"/>
      <c r="K36" s="63"/>
      <c r="L36" s="63"/>
      <c r="O36" s="67"/>
      <c r="P36" s="67"/>
    </row>
    <row r="37" spans="4:16" x14ac:dyDescent="0.2">
      <c r="D37" s="65"/>
      <c r="F37" s="59"/>
      <c r="I37" s="73"/>
      <c r="J37" s="74"/>
      <c r="K37" s="63"/>
      <c r="L37" s="63"/>
      <c r="O37" s="67"/>
      <c r="P37" s="67"/>
    </row>
    <row r="38" spans="4:16" x14ac:dyDescent="0.2">
      <c r="D38" s="65"/>
      <c r="F38" s="59"/>
      <c r="I38" s="73"/>
      <c r="J38" s="74"/>
      <c r="K38" s="63"/>
      <c r="L38" s="63"/>
      <c r="O38" s="67"/>
      <c r="P38" s="67"/>
    </row>
    <row r="39" spans="4:16" x14ac:dyDescent="0.2">
      <c r="D39" s="65"/>
      <c r="F39" s="59"/>
      <c r="I39" s="73"/>
      <c r="J39" s="74"/>
      <c r="K39" s="63"/>
      <c r="L39" s="63"/>
      <c r="O39" s="67"/>
      <c r="P39" s="67"/>
    </row>
    <row r="40" spans="4:16" x14ac:dyDescent="0.2">
      <c r="F40" s="59"/>
      <c r="I40" s="73"/>
      <c r="J40" s="74"/>
    </row>
    <row r="41" spans="4:16" x14ac:dyDescent="0.2">
      <c r="F41" s="59"/>
      <c r="I41" s="73"/>
      <c r="J41" s="74"/>
    </row>
    <row r="42" spans="4:16" x14ac:dyDescent="0.2">
      <c r="F42" s="59"/>
      <c r="I42" s="73"/>
      <c r="J42" s="74"/>
    </row>
    <row r="43" spans="4:16" x14ac:dyDescent="0.2">
      <c r="F43" s="59"/>
      <c r="I43" s="73"/>
      <c r="J43" s="74"/>
    </row>
    <row r="44" spans="4:16" x14ac:dyDescent="0.2">
      <c r="I44" s="73"/>
      <c r="J44" s="7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zoomScale="115" zoomScaleNormal="115" workbookViewId="0">
      <selection activeCell="W34" sqref="W34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4" width="9" style="4" bestFit="1" customWidth="1"/>
    <col min="5" max="5" width="10.7109375" style="8" bestFit="1" customWidth="1"/>
    <col min="6" max="6" width="6.7109375" style="3" customWidth="1"/>
    <col min="7" max="7" width="7.5703125" style="3" customWidth="1"/>
    <col min="8" max="8" width="6.5703125" style="8" bestFit="1" customWidth="1"/>
    <col min="9" max="11" width="4.7109375" customWidth="1"/>
    <col min="12" max="12" width="7.85546875" customWidth="1"/>
    <col min="13" max="13" width="7.85546875" style="3" customWidth="1"/>
    <col min="14" max="14" width="6.42578125" style="8" bestFit="1" customWidth="1"/>
    <col min="15" max="17" width="4.7109375" customWidth="1"/>
    <col min="18" max="18" width="7.85546875" customWidth="1"/>
    <col min="19" max="19" width="7.85546875" style="3" customWidth="1"/>
    <col min="20" max="20" width="5.7109375" style="8" bestFit="1" customWidth="1"/>
    <col min="21" max="21" width="6.140625" style="8" bestFit="1" customWidth="1"/>
    <col min="22" max="25" width="8.42578125" customWidth="1"/>
    <col min="26" max="26" width="8.140625" style="8" bestFit="1" customWidth="1"/>
    <col min="27" max="28" width="7.5703125" style="6" customWidth="1"/>
    <col min="29" max="29" width="8.42578125" style="8" bestFit="1" customWidth="1"/>
    <col min="30" max="30" width="6.42578125" customWidth="1"/>
    <col min="31" max="31" width="7" customWidth="1"/>
  </cols>
  <sheetData>
    <row r="1" spans="1:31" s="36" customFormat="1" ht="90.75" thickTop="1" x14ac:dyDescent="0.2">
      <c r="A1" s="129" t="s">
        <v>1</v>
      </c>
      <c r="B1" s="112" t="s">
        <v>19</v>
      </c>
      <c r="C1" s="113" t="s">
        <v>20</v>
      </c>
      <c r="D1" s="114" t="s">
        <v>12</v>
      </c>
      <c r="E1" s="115" t="s">
        <v>3</v>
      </c>
      <c r="F1" s="116" t="s">
        <v>2</v>
      </c>
      <c r="G1" s="117" t="s">
        <v>8</v>
      </c>
      <c r="H1" s="115" t="s">
        <v>3</v>
      </c>
      <c r="I1" s="118" t="s">
        <v>4</v>
      </c>
      <c r="J1" s="119" t="s">
        <v>5</v>
      </c>
      <c r="K1" s="119" t="s">
        <v>13</v>
      </c>
      <c r="L1" s="120" t="s">
        <v>9</v>
      </c>
      <c r="M1" s="121" t="s">
        <v>7</v>
      </c>
      <c r="N1" s="115" t="s">
        <v>3</v>
      </c>
      <c r="O1" s="118" t="s">
        <v>4</v>
      </c>
      <c r="P1" s="119" t="s">
        <v>5</v>
      </c>
      <c r="Q1" s="119" t="s">
        <v>13</v>
      </c>
      <c r="R1" s="120" t="s">
        <v>14</v>
      </c>
      <c r="S1" s="121" t="s">
        <v>7</v>
      </c>
      <c r="T1" s="115" t="s">
        <v>3</v>
      </c>
      <c r="U1" s="115" t="s">
        <v>21</v>
      </c>
      <c r="V1" s="122" t="s">
        <v>15</v>
      </c>
      <c r="W1" s="123" t="s">
        <v>16</v>
      </c>
      <c r="X1" s="123" t="s">
        <v>17</v>
      </c>
      <c r="Y1" s="124" t="s">
        <v>18</v>
      </c>
      <c r="Z1" s="115" t="s">
        <v>3</v>
      </c>
      <c r="AA1" s="125" t="s">
        <v>10</v>
      </c>
      <c r="AB1" s="126" t="s">
        <v>11</v>
      </c>
      <c r="AC1" s="115" t="s">
        <v>3</v>
      </c>
      <c r="AD1" s="127" t="s">
        <v>0</v>
      </c>
      <c r="AE1" s="128" t="s">
        <v>6</v>
      </c>
    </row>
    <row r="2" spans="1:31" x14ac:dyDescent="0.2">
      <c r="A2" s="11">
        <v>45778</v>
      </c>
      <c r="B2" s="80">
        <v>1684682</v>
      </c>
      <c r="C2" s="81">
        <v>2598386</v>
      </c>
      <c r="D2" s="42">
        <f>B2-C2</f>
        <v>-913704</v>
      </c>
      <c r="E2" s="84">
        <f t="shared" ref="E2:E31" si="0">B3-B2</f>
        <v>15171062</v>
      </c>
      <c r="F2" s="12">
        <v>17994</v>
      </c>
      <c r="G2" s="83"/>
      <c r="H2" s="84">
        <f>F2+G2-F3</f>
        <v>520</v>
      </c>
      <c r="I2" s="9">
        <v>0.87</v>
      </c>
      <c r="J2" s="15">
        <v>0.86</v>
      </c>
      <c r="K2" s="15">
        <v>0.86</v>
      </c>
      <c r="L2" s="17">
        <f>SUM(I2:K2)/3*7500</f>
        <v>6475</v>
      </c>
      <c r="M2" s="34"/>
      <c r="N2" s="84">
        <f>SUM(L2+M2-L3)</f>
        <v>474.99999999999909</v>
      </c>
      <c r="O2" s="9">
        <v>0.87</v>
      </c>
      <c r="P2" s="15">
        <v>0.87</v>
      </c>
      <c r="Q2" s="15">
        <v>0.85</v>
      </c>
      <c r="R2" s="17">
        <f>SUM(O2:Q2)/3*1500</f>
        <v>1295</v>
      </c>
      <c r="S2" s="34"/>
      <c r="T2" s="84">
        <f>SUM(R2+S2-R3)</f>
        <v>94.999999999999773</v>
      </c>
      <c r="U2" s="85">
        <f>SUM(N2+T2)</f>
        <v>569.99999999999886</v>
      </c>
      <c r="V2" s="20">
        <v>650658</v>
      </c>
      <c r="W2" s="35">
        <v>66235</v>
      </c>
      <c r="X2" s="35">
        <v>15484</v>
      </c>
      <c r="Y2" s="86">
        <f>SUM(V2-W2-X2)</f>
        <v>568939</v>
      </c>
      <c r="Z2" s="84">
        <f t="shared" ref="Z2:Z31" si="1">SUM(Y3-Y2)</f>
        <v>94</v>
      </c>
      <c r="AA2" s="21">
        <v>5800</v>
      </c>
      <c r="AB2" s="22">
        <v>0</v>
      </c>
      <c r="AC2" s="84">
        <f>SUM(AA2+AB2-AA3)</f>
        <v>800</v>
      </c>
      <c r="AD2" s="7">
        <v>64</v>
      </c>
      <c r="AE2" s="10">
        <v>128</v>
      </c>
    </row>
    <row r="3" spans="1:31" x14ac:dyDescent="0.2">
      <c r="A3" s="130">
        <v>45779</v>
      </c>
      <c r="B3" s="38">
        <v>16855744</v>
      </c>
      <c r="C3" s="87">
        <f>SUM(4031.4+1718098.6+588891+9887.4+250715+27236)</f>
        <v>2598859.4</v>
      </c>
      <c r="D3" s="88">
        <f t="shared" ref="D3:D33" si="2">B3-C3</f>
        <v>14256884.6</v>
      </c>
      <c r="E3" s="14">
        <f t="shared" si="0"/>
        <v>9291</v>
      </c>
      <c r="F3" s="89">
        <v>17474</v>
      </c>
      <c r="G3" s="13"/>
      <c r="H3" s="14">
        <f>F3+G3-F4</f>
        <v>795</v>
      </c>
      <c r="I3" s="90">
        <v>0.8</v>
      </c>
      <c r="J3" s="91">
        <v>0.8</v>
      </c>
      <c r="K3" s="91">
        <v>0.8</v>
      </c>
      <c r="L3" s="18">
        <f>SUM(I3:K3)/3*7500</f>
        <v>6000.0000000000009</v>
      </c>
      <c r="M3" s="16"/>
      <c r="N3" s="19">
        <f>SUM(L3+M3-L4)</f>
        <v>50.000000000000909</v>
      </c>
      <c r="O3" s="90">
        <v>0.8</v>
      </c>
      <c r="P3" s="91">
        <v>0.8</v>
      </c>
      <c r="Q3" s="91">
        <v>0.8</v>
      </c>
      <c r="R3" s="18">
        <f t="shared" ref="R3:R33" si="3">SUM(O3:Q3)/3*1500</f>
        <v>1200.0000000000002</v>
      </c>
      <c r="S3" s="16"/>
      <c r="T3" s="19">
        <f t="shared" ref="T3:T31" si="4">SUM(R3+S3-R4)</f>
        <v>115.00000000000023</v>
      </c>
      <c r="U3" s="37">
        <f t="shared" ref="U3:U31" si="5">SUM(N3+T3)</f>
        <v>165.00000000000114</v>
      </c>
      <c r="V3" s="92">
        <v>650888</v>
      </c>
      <c r="W3" s="93">
        <v>66328</v>
      </c>
      <c r="X3" s="93">
        <v>15527</v>
      </c>
      <c r="Y3" s="43">
        <f t="shared" ref="Y3:Y10" si="6">SUM(V3-W3-X3)</f>
        <v>569033</v>
      </c>
      <c r="Z3" s="19">
        <v>23</v>
      </c>
      <c r="AA3" s="94">
        <v>5000</v>
      </c>
      <c r="AB3" s="95">
        <v>8300</v>
      </c>
      <c r="AC3" s="19">
        <f>SUM(AA3+AB3-AA4)</f>
        <v>511.54000000000087</v>
      </c>
      <c r="AD3" s="96">
        <v>75</v>
      </c>
      <c r="AE3" s="97">
        <v>150</v>
      </c>
    </row>
    <row r="4" spans="1:31" x14ac:dyDescent="0.2">
      <c r="A4" s="130">
        <v>45780</v>
      </c>
      <c r="B4" s="38">
        <v>16865035</v>
      </c>
      <c r="C4" s="87">
        <f>SUM(4032.2+1718522.2+588891+9887.6+250826+27259)</f>
        <v>2599418</v>
      </c>
      <c r="D4" s="88">
        <f t="shared" si="2"/>
        <v>14265617</v>
      </c>
      <c r="E4" s="14">
        <f t="shared" si="0"/>
        <v>9284</v>
      </c>
      <c r="F4" s="89">
        <v>16679</v>
      </c>
      <c r="G4" s="13"/>
      <c r="H4" s="14">
        <f t="shared" ref="H4:H29" si="7">F4+G4-F5</f>
        <v>896</v>
      </c>
      <c r="I4" s="90">
        <v>0.85</v>
      </c>
      <c r="J4" s="91">
        <v>0.76</v>
      </c>
      <c r="K4" s="91">
        <v>0.77</v>
      </c>
      <c r="L4" s="18">
        <f t="shared" ref="L4:L33" si="8">SUM(I4:K4)/3*7500</f>
        <v>5950</v>
      </c>
      <c r="M4" s="16"/>
      <c r="N4" s="19">
        <f>SUM(L4+M4-L5)</f>
        <v>200</v>
      </c>
      <c r="O4" s="90">
        <v>0.73</v>
      </c>
      <c r="P4" s="91">
        <v>0.72</v>
      </c>
      <c r="Q4" s="91">
        <v>0.72</v>
      </c>
      <c r="R4" s="18">
        <f t="shared" si="3"/>
        <v>1085</v>
      </c>
      <c r="S4" s="16"/>
      <c r="T4" s="19">
        <f t="shared" si="4"/>
        <v>60.000000000000227</v>
      </c>
      <c r="U4" s="37">
        <f t="shared" si="5"/>
        <v>260.00000000000023</v>
      </c>
      <c r="V4" s="92">
        <v>651126</v>
      </c>
      <c r="W4" s="93">
        <v>69429</v>
      </c>
      <c r="X4" s="93">
        <v>15568</v>
      </c>
      <c r="Y4" s="43">
        <f t="shared" si="6"/>
        <v>566129</v>
      </c>
      <c r="Z4" s="19">
        <f t="shared" si="1"/>
        <v>3159</v>
      </c>
      <c r="AA4" s="94">
        <v>12788.46</v>
      </c>
      <c r="AB4" s="95"/>
      <c r="AC4" s="19">
        <f t="shared" ref="AC4:AC5" si="9">AA4-AA5</f>
        <v>513.53999999999905</v>
      </c>
      <c r="AD4" s="96">
        <v>78</v>
      </c>
      <c r="AE4" s="97">
        <v>155</v>
      </c>
    </row>
    <row r="5" spans="1:31" x14ac:dyDescent="0.2">
      <c r="A5" s="131">
        <v>45781</v>
      </c>
      <c r="B5" s="98">
        <v>16874319</v>
      </c>
      <c r="C5" s="99">
        <f>SUM(4033.2+1718926.4+588892+9887.8+250950+27285)</f>
        <v>2599974.3999999994</v>
      </c>
      <c r="D5" s="100">
        <f t="shared" si="2"/>
        <v>14274344.600000001</v>
      </c>
      <c r="E5" s="44">
        <f t="shared" si="0"/>
        <v>8658</v>
      </c>
      <c r="F5" s="101">
        <v>15783</v>
      </c>
      <c r="G5" s="45"/>
      <c r="H5" s="44">
        <f t="shared" si="7"/>
        <v>876</v>
      </c>
      <c r="I5" s="102">
        <v>0.85</v>
      </c>
      <c r="J5" s="103">
        <v>0.7</v>
      </c>
      <c r="K5" s="103">
        <v>0.75</v>
      </c>
      <c r="L5" s="104">
        <f t="shared" si="8"/>
        <v>5750</v>
      </c>
      <c r="M5" s="105"/>
      <c r="N5" s="46">
        <f t="shared" ref="N5:N30" si="10">SUM(L5+M5-L6)</f>
        <v>75</v>
      </c>
      <c r="O5" s="102">
        <v>0.7</v>
      </c>
      <c r="P5" s="103">
        <v>0.7</v>
      </c>
      <c r="Q5" s="103">
        <v>0.65</v>
      </c>
      <c r="R5" s="104">
        <f t="shared" si="3"/>
        <v>1024.9999999999998</v>
      </c>
      <c r="S5" s="105"/>
      <c r="T5" s="46">
        <f t="shared" si="4"/>
        <v>49.999999999999773</v>
      </c>
      <c r="U5" s="47">
        <f t="shared" si="5"/>
        <v>124.99999999999977</v>
      </c>
      <c r="V5" s="106">
        <v>651442</v>
      </c>
      <c r="W5" s="107">
        <v>66541</v>
      </c>
      <c r="X5" s="107">
        <v>15613</v>
      </c>
      <c r="Y5" s="48">
        <f t="shared" si="6"/>
        <v>569288</v>
      </c>
      <c r="Z5" s="46">
        <f t="shared" si="1"/>
        <v>92</v>
      </c>
      <c r="AA5" s="108">
        <v>12274.92</v>
      </c>
      <c r="AB5" s="109"/>
      <c r="AC5" s="46">
        <f t="shared" si="9"/>
        <v>511.54000000000087</v>
      </c>
      <c r="AD5" s="110">
        <v>50</v>
      </c>
      <c r="AE5" s="111">
        <v>99</v>
      </c>
    </row>
    <row r="6" spans="1:31" x14ac:dyDescent="0.2">
      <c r="A6" s="11">
        <v>45782</v>
      </c>
      <c r="B6" s="80">
        <v>16882977</v>
      </c>
      <c r="C6" s="81">
        <f>SUM(4033.9+1719273.7+588892+9888+251050+27306)</f>
        <v>2600443.5999999996</v>
      </c>
      <c r="D6" s="42">
        <f t="shared" si="2"/>
        <v>14282533.4</v>
      </c>
      <c r="E6" s="82">
        <f t="shared" si="0"/>
        <v>9541</v>
      </c>
      <c r="F6" s="12">
        <v>14907</v>
      </c>
      <c r="G6" s="83"/>
      <c r="H6" s="82">
        <f t="shared" si="7"/>
        <v>834</v>
      </c>
      <c r="I6" s="9">
        <v>0.8</v>
      </c>
      <c r="J6" s="15">
        <v>0.77</v>
      </c>
      <c r="K6" s="15">
        <v>0.7</v>
      </c>
      <c r="L6" s="17">
        <f t="shared" si="8"/>
        <v>5675</v>
      </c>
      <c r="M6" s="34"/>
      <c r="N6" s="84">
        <f t="shared" si="10"/>
        <v>175</v>
      </c>
      <c r="O6" s="9">
        <v>0.7</v>
      </c>
      <c r="P6" s="15">
        <v>0.65</v>
      </c>
      <c r="Q6" s="15">
        <v>0.6</v>
      </c>
      <c r="R6" s="17">
        <f t="shared" si="3"/>
        <v>975</v>
      </c>
      <c r="S6" s="34"/>
      <c r="T6" s="84">
        <f t="shared" si="4"/>
        <v>25</v>
      </c>
      <c r="U6" s="85">
        <f t="shared" si="5"/>
        <v>200</v>
      </c>
      <c r="V6" s="20">
        <v>651661</v>
      </c>
      <c r="W6" s="35">
        <v>66628</v>
      </c>
      <c r="X6" s="35">
        <v>15653</v>
      </c>
      <c r="Y6" s="86">
        <f t="shared" si="6"/>
        <v>569380</v>
      </c>
      <c r="Z6" s="84">
        <f t="shared" si="1"/>
        <v>116</v>
      </c>
      <c r="AA6" s="21">
        <v>11763.38</v>
      </c>
      <c r="AB6" s="22"/>
      <c r="AC6" s="84">
        <f>SUM(AA6+AB6-AA7)</f>
        <v>511.53999999999905</v>
      </c>
      <c r="AD6" s="7">
        <v>50</v>
      </c>
      <c r="AE6" s="10">
        <v>102</v>
      </c>
    </row>
    <row r="7" spans="1:31" x14ac:dyDescent="0.2">
      <c r="A7" s="130">
        <v>45783</v>
      </c>
      <c r="B7" s="38">
        <v>16892518</v>
      </c>
      <c r="C7" s="87">
        <f>SUM(4034.7+1719661.5+588892+9888.2+251157+27329)</f>
        <v>2600962.4000000004</v>
      </c>
      <c r="D7" s="88">
        <f>B7-C7</f>
        <v>14291555.6</v>
      </c>
      <c r="E7" s="14">
        <f t="shared" si="0"/>
        <v>9013</v>
      </c>
      <c r="F7" s="89">
        <v>14073</v>
      </c>
      <c r="G7" s="13"/>
      <c r="H7" s="14">
        <f t="shared" si="7"/>
        <v>700</v>
      </c>
      <c r="I7" s="90">
        <v>0.8</v>
      </c>
      <c r="J7" s="91">
        <v>0.7</v>
      </c>
      <c r="K7" s="91">
        <v>0.7</v>
      </c>
      <c r="L7" s="18">
        <f t="shared" si="8"/>
        <v>5500</v>
      </c>
      <c r="M7" s="16"/>
      <c r="N7" s="19">
        <f t="shared" si="10"/>
        <v>250.00000000000091</v>
      </c>
      <c r="O7" s="90">
        <v>0.7</v>
      </c>
      <c r="P7" s="91">
        <v>0.6</v>
      </c>
      <c r="Q7" s="91">
        <v>0.6</v>
      </c>
      <c r="R7" s="18">
        <f t="shared" si="3"/>
        <v>950</v>
      </c>
      <c r="S7" s="16"/>
      <c r="T7" s="19">
        <f t="shared" si="4"/>
        <v>25</v>
      </c>
      <c r="U7" s="37">
        <f t="shared" si="5"/>
        <v>275.00000000000091</v>
      </c>
      <c r="V7" s="92">
        <v>651923</v>
      </c>
      <c r="W7" s="93">
        <v>66732</v>
      </c>
      <c r="X7" s="93">
        <v>15695</v>
      </c>
      <c r="Y7" s="43">
        <f t="shared" si="6"/>
        <v>569496</v>
      </c>
      <c r="Z7" s="19">
        <f t="shared" si="1"/>
        <v>105</v>
      </c>
      <c r="AA7" s="94">
        <v>11251.84</v>
      </c>
      <c r="AB7" s="95"/>
      <c r="AC7" s="19">
        <f>SUM(AA7+AB7-AA8)</f>
        <v>511.54000000000087</v>
      </c>
      <c r="AD7" s="96">
        <v>47</v>
      </c>
      <c r="AE7" s="97">
        <v>94</v>
      </c>
    </row>
    <row r="8" spans="1:31" x14ac:dyDescent="0.2">
      <c r="A8" s="130">
        <v>45784</v>
      </c>
      <c r="B8" s="38">
        <v>16901531</v>
      </c>
      <c r="C8" s="87">
        <f>SUM(4035.5+1720032.6+588906+9888.4+251261+27352)</f>
        <v>2601475.5</v>
      </c>
      <c r="D8" s="88">
        <f t="shared" si="2"/>
        <v>14300055.5</v>
      </c>
      <c r="E8" s="14">
        <f t="shared" si="0"/>
        <v>10488</v>
      </c>
      <c r="F8" s="89">
        <v>13373</v>
      </c>
      <c r="G8" s="13"/>
      <c r="H8" s="14">
        <f t="shared" si="7"/>
        <v>563</v>
      </c>
      <c r="I8" s="90">
        <v>0.7</v>
      </c>
      <c r="J8" s="91">
        <v>0.7</v>
      </c>
      <c r="K8" s="91">
        <v>0.7</v>
      </c>
      <c r="L8" s="18">
        <f t="shared" si="8"/>
        <v>5249.9999999999991</v>
      </c>
      <c r="M8" s="16"/>
      <c r="N8" s="19">
        <f t="shared" si="10"/>
        <v>249.99999999999909</v>
      </c>
      <c r="O8" s="90">
        <v>0.65</v>
      </c>
      <c r="P8" s="91">
        <v>0.6</v>
      </c>
      <c r="Q8" s="91">
        <v>0.6</v>
      </c>
      <c r="R8" s="18">
        <f t="shared" si="3"/>
        <v>925</v>
      </c>
      <c r="S8" s="16"/>
      <c r="T8" s="19">
        <f t="shared" si="4"/>
        <v>35.000000000000114</v>
      </c>
      <c r="U8" s="37">
        <f t="shared" si="5"/>
        <v>284.9999999999992</v>
      </c>
      <c r="V8" s="92">
        <v>652146</v>
      </c>
      <c r="W8" s="93">
        <v>66840</v>
      </c>
      <c r="X8" s="93">
        <v>15705</v>
      </c>
      <c r="Y8" s="43">
        <f t="shared" si="6"/>
        <v>569601</v>
      </c>
      <c r="Z8" s="19">
        <f t="shared" si="1"/>
        <v>110</v>
      </c>
      <c r="AA8" s="94">
        <v>10740.3</v>
      </c>
      <c r="AB8" s="95"/>
      <c r="AC8" s="19">
        <f t="shared" ref="AC8:AC31" si="11">SUM(AA8+AB8-AA9)</f>
        <v>511.53999999999905</v>
      </c>
      <c r="AD8" s="96">
        <v>51</v>
      </c>
      <c r="AE8" s="97">
        <v>101</v>
      </c>
    </row>
    <row r="9" spans="1:31" x14ac:dyDescent="0.2">
      <c r="A9" s="130">
        <v>45785</v>
      </c>
      <c r="B9" s="38">
        <v>16912019</v>
      </c>
      <c r="C9" s="87">
        <f>SUM(4036.3+1720383.9+588906+9888.8+251364+27370)</f>
        <v>2601949</v>
      </c>
      <c r="D9" s="88">
        <f t="shared" si="2"/>
        <v>14310070</v>
      </c>
      <c r="E9" s="14">
        <f t="shared" si="0"/>
        <v>10494</v>
      </c>
      <c r="F9" s="89">
        <v>12810</v>
      </c>
      <c r="G9" s="13"/>
      <c r="H9" s="14">
        <f t="shared" si="7"/>
        <v>564</v>
      </c>
      <c r="I9" s="90">
        <v>0.65</v>
      </c>
      <c r="J9" s="91">
        <v>0.65</v>
      </c>
      <c r="K9" s="91">
        <v>0.7</v>
      </c>
      <c r="L9" s="18">
        <f t="shared" si="8"/>
        <v>5000</v>
      </c>
      <c r="M9" s="16">
        <v>1462.18</v>
      </c>
      <c r="N9" s="19">
        <f t="shared" si="10"/>
        <v>87.180000000000291</v>
      </c>
      <c r="O9" s="90">
        <v>0.6</v>
      </c>
      <c r="P9" s="91">
        <v>0.57999999999999996</v>
      </c>
      <c r="Q9" s="91">
        <v>0.6</v>
      </c>
      <c r="R9" s="18">
        <f t="shared" si="3"/>
        <v>889.99999999999989</v>
      </c>
      <c r="S9" s="16">
        <v>705.29</v>
      </c>
      <c r="T9" s="19">
        <f t="shared" si="4"/>
        <v>245.28999999999996</v>
      </c>
      <c r="U9" s="37">
        <f t="shared" si="5"/>
        <v>332.47000000000025</v>
      </c>
      <c r="V9" s="92">
        <v>652362</v>
      </c>
      <c r="W9" s="93">
        <v>66938</v>
      </c>
      <c r="X9" s="93">
        <v>15713</v>
      </c>
      <c r="Y9" s="43">
        <f t="shared" si="6"/>
        <v>569711</v>
      </c>
      <c r="Z9" s="19">
        <f t="shared" si="1"/>
        <v>98</v>
      </c>
      <c r="AA9" s="94">
        <v>10228.76</v>
      </c>
      <c r="AB9" s="95"/>
      <c r="AC9" s="19">
        <f t="shared" si="11"/>
        <v>511.54000000000087</v>
      </c>
      <c r="AD9" s="96">
        <v>51</v>
      </c>
      <c r="AE9" s="97">
        <v>99</v>
      </c>
    </row>
    <row r="10" spans="1:31" x14ac:dyDescent="0.2">
      <c r="A10" s="130">
        <v>45786</v>
      </c>
      <c r="B10" s="38">
        <v>16922513</v>
      </c>
      <c r="C10" s="87">
        <f>SUM(4037.1+1720729.9+588906+9889.2+251489+27389)</f>
        <v>2602440.2000000002</v>
      </c>
      <c r="D10" s="88">
        <f t="shared" si="2"/>
        <v>14320072.800000001</v>
      </c>
      <c r="E10" s="14">
        <f t="shared" si="0"/>
        <v>10705</v>
      </c>
      <c r="F10" s="89">
        <v>12246</v>
      </c>
      <c r="G10" s="13"/>
      <c r="H10" s="14">
        <f t="shared" si="7"/>
        <v>1409</v>
      </c>
      <c r="I10" s="90">
        <v>0.85</v>
      </c>
      <c r="J10" s="91">
        <v>0.85</v>
      </c>
      <c r="K10" s="91">
        <v>0.85</v>
      </c>
      <c r="L10" s="18">
        <f t="shared" si="8"/>
        <v>6375</v>
      </c>
      <c r="M10" s="16"/>
      <c r="N10" s="19">
        <f t="shared" si="10"/>
        <v>374.99999999999909</v>
      </c>
      <c r="O10" s="90">
        <v>0.9</v>
      </c>
      <c r="P10" s="91">
        <v>0.9</v>
      </c>
      <c r="Q10" s="91">
        <v>0.9</v>
      </c>
      <c r="R10" s="18">
        <f t="shared" si="3"/>
        <v>1350</v>
      </c>
      <c r="S10" s="16"/>
      <c r="T10" s="19">
        <f t="shared" si="4"/>
        <v>75</v>
      </c>
      <c r="U10" s="37">
        <f t="shared" si="5"/>
        <v>449.99999999999909</v>
      </c>
      <c r="V10" s="92">
        <v>652559</v>
      </c>
      <c r="W10" s="93">
        <v>67030</v>
      </c>
      <c r="X10" s="93">
        <v>15720</v>
      </c>
      <c r="Y10" s="43">
        <f t="shared" si="6"/>
        <v>569809</v>
      </c>
      <c r="Z10" s="19">
        <f t="shared" si="1"/>
        <v>115</v>
      </c>
      <c r="AA10" s="94">
        <v>9717.2199999999993</v>
      </c>
      <c r="AB10" s="95"/>
      <c r="AC10" s="19">
        <f t="shared" si="11"/>
        <v>511.53999999999905</v>
      </c>
      <c r="AD10" s="96">
        <v>65</v>
      </c>
      <c r="AE10" s="97">
        <v>126</v>
      </c>
    </row>
    <row r="11" spans="1:31" x14ac:dyDescent="0.2">
      <c r="A11" s="130">
        <v>45787</v>
      </c>
      <c r="B11" s="38">
        <v>16933218</v>
      </c>
      <c r="C11" s="87">
        <f>SUM(4038+1721068.5+588906+9889.4+251597+27410)</f>
        <v>2602908.9</v>
      </c>
      <c r="D11" s="88">
        <f t="shared" si="2"/>
        <v>14330309.1</v>
      </c>
      <c r="E11" s="14">
        <f t="shared" si="0"/>
        <v>11846</v>
      </c>
      <c r="F11" s="89">
        <v>10837</v>
      </c>
      <c r="G11" s="13"/>
      <c r="H11" s="14">
        <f t="shared" si="7"/>
        <v>271</v>
      </c>
      <c r="I11" s="90">
        <v>0.8</v>
      </c>
      <c r="J11" s="91">
        <v>0.8</v>
      </c>
      <c r="K11" s="91">
        <v>0.8</v>
      </c>
      <c r="L11" s="18">
        <f t="shared" si="8"/>
        <v>6000.0000000000009</v>
      </c>
      <c r="M11" s="16"/>
      <c r="N11" s="19">
        <f t="shared" si="10"/>
        <v>250.00000000000091</v>
      </c>
      <c r="O11" s="90">
        <v>0.85</v>
      </c>
      <c r="P11" s="91">
        <v>0.85</v>
      </c>
      <c r="Q11" s="91">
        <v>0.85</v>
      </c>
      <c r="R11" s="18">
        <f t="shared" si="3"/>
        <v>1275</v>
      </c>
      <c r="S11" s="16"/>
      <c r="T11" s="19">
        <f t="shared" si="4"/>
        <v>25</v>
      </c>
      <c r="U11" s="37">
        <f t="shared" si="5"/>
        <v>275.00000000000091</v>
      </c>
      <c r="V11" s="92">
        <v>652768</v>
      </c>
      <c r="W11" s="93">
        <v>67117</v>
      </c>
      <c r="X11" s="93">
        <v>15727</v>
      </c>
      <c r="Y11" s="43">
        <f t="shared" ref="Y11:Y33" si="12">SUM(V11-W11-X11)</f>
        <v>569924</v>
      </c>
      <c r="Z11" s="19">
        <f t="shared" si="1"/>
        <v>105</v>
      </c>
      <c r="AA11" s="94">
        <v>9205.68</v>
      </c>
      <c r="AB11" s="95"/>
      <c r="AC11" s="19">
        <f t="shared" si="11"/>
        <v>511.54000000000087</v>
      </c>
      <c r="AD11" s="96">
        <v>78</v>
      </c>
      <c r="AE11" s="97">
        <v>154</v>
      </c>
    </row>
    <row r="12" spans="1:31" x14ac:dyDescent="0.2">
      <c r="A12" s="131">
        <v>45788</v>
      </c>
      <c r="B12" s="98">
        <v>16945064</v>
      </c>
      <c r="C12" s="99">
        <f>SUM(4038.9+1721440.2+588906+9889.6+251712+27433)</f>
        <v>2603419.6999999997</v>
      </c>
      <c r="D12" s="100">
        <f t="shared" si="2"/>
        <v>14341644.300000001</v>
      </c>
      <c r="E12" s="44">
        <f t="shared" si="0"/>
        <v>11218</v>
      </c>
      <c r="F12" s="101">
        <v>10566</v>
      </c>
      <c r="G12" s="45"/>
      <c r="H12" s="44">
        <f t="shared" si="7"/>
        <v>291</v>
      </c>
      <c r="I12" s="102">
        <v>0.8</v>
      </c>
      <c r="J12" s="103">
        <v>0.75</v>
      </c>
      <c r="K12" s="103">
        <v>0.75</v>
      </c>
      <c r="L12" s="104">
        <f t="shared" si="8"/>
        <v>5750</v>
      </c>
      <c r="M12" s="105"/>
      <c r="N12" s="46">
        <f t="shared" si="10"/>
        <v>375</v>
      </c>
      <c r="O12" s="102">
        <v>0.85</v>
      </c>
      <c r="P12" s="103">
        <v>0.85</v>
      </c>
      <c r="Q12" s="103">
        <v>0.8</v>
      </c>
      <c r="R12" s="104">
        <f t="shared" si="3"/>
        <v>1250</v>
      </c>
      <c r="S12" s="105"/>
      <c r="T12" s="46">
        <f t="shared" si="4"/>
        <v>75</v>
      </c>
      <c r="U12" s="47">
        <f t="shared" si="5"/>
        <v>450</v>
      </c>
      <c r="V12" s="106">
        <v>652985</v>
      </c>
      <c r="W12" s="107">
        <v>67222</v>
      </c>
      <c r="X12" s="107">
        <v>15734</v>
      </c>
      <c r="Y12" s="48">
        <f t="shared" si="12"/>
        <v>570029</v>
      </c>
      <c r="Z12" s="46">
        <f t="shared" si="1"/>
        <v>111</v>
      </c>
      <c r="AA12" s="108">
        <v>8694.14</v>
      </c>
      <c r="AB12" s="109"/>
      <c r="AC12" s="46">
        <f t="shared" si="11"/>
        <v>511.53999999999905</v>
      </c>
      <c r="AD12" s="110">
        <v>58</v>
      </c>
      <c r="AE12" s="111">
        <v>107</v>
      </c>
    </row>
    <row r="13" spans="1:31" x14ac:dyDescent="0.2">
      <c r="A13" s="11">
        <v>45789</v>
      </c>
      <c r="B13" s="80">
        <v>16956282</v>
      </c>
      <c r="C13" s="81">
        <f>SUM(4039.7+1721765.5+588906+9889.8+251811+27452)</f>
        <v>2603864</v>
      </c>
      <c r="D13" s="42">
        <f t="shared" si="2"/>
        <v>14352418</v>
      </c>
      <c r="E13" s="82">
        <f t="shared" si="0"/>
        <v>11324</v>
      </c>
      <c r="F13" s="12">
        <v>10275</v>
      </c>
      <c r="G13" s="83"/>
      <c r="H13" s="82">
        <f t="shared" si="7"/>
        <v>559</v>
      </c>
      <c r="I13" s="9">
        <v>0.75</v>
      </c>
      <c r="J13" s="15">
        <v>0.7</v>
      </c>
      <c r="K13" s="15">
        <v>0.7</v>
      </c>
      <c r="L13" s="17">
        <f t="shared" si="8"/>
        <v>5375</v>
      </c>
      <c r="M13" s="34"/>
      <c r="N13" s="84">
        <f t="shared" si="10"/>
        <v>225</v>
      </c>
      <c r="O13" s="9">
        <v>0.8</v>
      </c>
      <c r="P13" s="15">
        <v>0.8</v>
      </c>
      <c r="Q13" s="15">
        <v>0.75</v>
      </c>
      <c r="R13" s="17">
        <f t="shared" si="3"/>
        <v>1175</v>
      </c>
      <c r="S13" s="34"/>
      <c r="T13" s="84">
        <f t="shared" si="4"/>
        <v>125.00000000000023</v>
      </c>
      <c r="U13" s="85">
        <f t="shared" si="5"/>
        <v>350.00000000000023</v>
      </c>
      <c r="V13" s="20">
        <v>653200</v>
      </c>
      <c r="W13" s="35">
        <v>67317</v>
      </c>
      <c r="X13" s="35">
        <v>15743</v>
      </c>
      <c r="Y13" s="86">
        <f t="shared" si="12"/>
        <v>570140</v>
      </c>
      <c r="Z13" s="84">
        <v>22</v>
      </c>
      <c r="AA13" s="21">
        <v>8182.6</v>
      </c>
      <c r="AB13" s="22"/>
      <c r="AC13" s="84">
        <f t="shared" si="11"/>
        <v>511.53999999999996</v>
      </c>
      <c r="AD13" s="7">
        <v>59</v>
      </c>
      <c r="AE13" s="10">
        <v>104</v>
      </c>
    </row>
    <row r="14" spans="1:31" x14ac:dyDescent="0.2">
      <c r="A14" s="130">
        <v>45790</v>
      </c>
      <c r="B14" s="38">
        <v>16967606</v>
      </c>
      <c r="C14" s="87">
        <f>SUM(4040.5+1722121.2+588906+9890+251912+27472)</f>
        <v>2604341.7000000002</v>
      </c>
      <c r="D14" s="88">
        <f t="shared" si="2"/>
        <v>14363264.300000001</v>
      </c>
      <c r="E14" s="14">
        <f t="shared" si="0"/>
        <v>11151</v>
      </c>
      <c r="F14" s="89">
        <v>9716</v>
      </c>
      <c r="G14" s="13"/>
      <c r="H14" s="14">
        <f t="shared" si="7"/>
        <v>418</v>
      </c>
      <c r="I14" s="90">
        <v>0.7</v>
      </c>
      <c r="J14" s="91">
        <v>0.68</v>
      </c>
      <c r="K14" s="91">
        <v>0.68</v>
      </c>
      <c r="L14" s="18">
        <f t="shared" si="8"/>
        <v>5150</v>
      </c>
      <c r="M14" s="16"/>
      <c r="N14" s="19">
        <f t="shared" si="10"/>
        <v>250</v>
      </c>
      <c r="O14" s="90">
        <v>0.7</v>
      </c>
      <c r="P14" s="91">
        <v>0.7</v>
      </c>
      <c r="Q14" s="91">
        <v>0.7</v>
      </c>
      <c r="R14" s="18">
        <f t="shared" si="3"/>
        <v>1049.9999999999998</v>
      </c>
      <c r="S14" s="16"/>
      <c r="T14" s="19">
        <f t="shared" si="4"/>
        <v>114.99999999999966</v>
      </c>
      <c r="U14" s="37">
        <f t="shared" si="5"/>
        <v>364.99999999999966</v>
      </c>
      <c r="V14" s="92">
        <v>653394</v>
      </c>
      <c r="W14" s="93">
        <v>67414</v>
      </c>
      <c r="X14" s="93">
        <v>15749</v>
      </c>
      <c r="Y14" s="43">
        <f t="shared" si="12"/>
        <v>570231</v>
      </c>
      <c r="Z14" s="19">
        <f t="shared" si="1"/>
        <v>88</v>
      </c>
      <c r="AA14" s="94">
        <v>7671.06</v>
      </c>
      <c r="AB14" s="95"/>
      <c r="AC14" s="19">
        <f t="shared" si="11"/>
        <v>511.53999999999996</v>
      </c>
      <c r="AD14" s="96">
        <v>60</v>
      </c>
      <c r="AE14" s="97">
        <v>100</v>
      </c>
    </row>
    <row r="15" spans="1:31" x14ac:dyDescent="0.2">
      <c r="A15" s="130">
        <v>45791</v>
      </c>
      <c r="B15" s="38">
        <v>16978757</v>
      </c>
      <c r="C15" s="87">
        <f>SUM(4041.3+1722475.9+588906+9890.2+252015+27493)</f>
        <v>2604821.4000000004</v>
      </c>
      <c r="D15" s="88">
        <f t="shared" si="2"/>
        <v>14373935.6</v>
      </c>
      <c r="E15" s="14">
        <f t="shared" si="0"/>
        <v>11780</v>
      </c>
      <c r="F15" s="89">
        <v>9298</v>
      </c>
      <c r="G15" s="13"/>
      <c r="H15" s="14">
        <f t="shared" si="7"/>
        <v>142</v>
      </c>
      <c r="I15" s="90">
        <v>0.66</v>
      </c>
      <c r="J15" s="91">
        <v>0.64</v>
      </c>
      <c r="K15" s="91">
        <v>0.66</v>
      </c>
      <c r="L15" s="18">
        <f t="shared" si="8"/>
        <v>4900</v>
      </c>
      <c r="M15" s="16"/>
      <c r="N15" s="19">
        <f t="shared" si="10"/>
        <v>100</v>
      </c>
      <c r="O15" s="90">
        <v>0.62</v>
      </c>
      <c r="P15" s="91">
        <v>0.62</v>
      </c>
      <c r="Q15" s="91">
        <v>0.63</v>
      </c>
      <c r="R15" s="18">
        <f t="shared" si="3"/>
        <v>935.00000000000011</v>
      </c>
      <c r="S15" s="16"/>
      <c r="T15" s="19">
        <f t="shared" si="4"/>
        <v>35.000000000000114</v>
      </c>
      <c r="U15" s="37">
        <f t="shared" si="5"/>
        <v>135.00000000000011</v>
      </c>
      <c r="V15" s="92">
        <v>653587</v>
      </c>
      <c r="W15" s="93">
        <v>67512</v>
      </c>
      <c r="X15" s="93">
        <v>15756</v>
      </c>
      <c r="Y15" s="43">
        <f t="shared" si="12"/>
        <v>570319</v>
      </c>
      <c r="Z15" s="19">
        <f t="shared" si="1"/>
        <v>135</v>
      </c>
      <c r="AA15" s="94">
        <v>7159.52</v>
      </c>
      <c r="AB15" s="95"/>
      <c r="AC15" s="19">
        <f t="shared" si="11"/>
        <v>511.54000000000087</v>
      </c>
      <c r="AD15" s="96">
        <v>70</v>
      </c>
      <c r="AE15" s="97">
        <v>120</v>
      </c>
    </row>
    <row r="16" spans="1:31" x14ac:dyDescent="0.2">
      <c r="A16" s="130">
        <v>45792</v>
      </c>
      <c r="B16" s="38">
        <v>16990537</v>
      </c>
      <c r="C16" s="87">
        <f>SUM(4042.1+1722836.9+588906+9890.4+252128+27516)</f>
        <v>2605319.4</v>
      </c>
      <c r="D16" s="88">
        <f t="shared" si="2"/>
        <v>14385217.6</v>
      </c>
      <c r="E16" s="14">
        <f t="shared" si="0"/>
        <v>11047</v>
      </c>
      <c r="F16" s="89">
        <v>9156</v>
      </c>
      <c r="G16" s="13"/>
      <c r="H16" s="14">
        <f t="shared" si="7"/>
        <v>960</v>
      </c>
      <c r="I16" s="90">
        <v>0.65</v>
      </c>
      <c r="J16" s="91">
        <v>0.63</v>
      </c>
      <c r="K16" s="91">
        <v>0.64</v>
      </c>
      <c r="L16" s="18">
        <f t="shared" si="8"/>
        <v>4800</v>
      </c>
      <c r="M16" s="16">
        <v>1499.86</v>
      </c>
      <c r="N16" s="19">
        <f t="shared" si="10"/>
        <v>49.859999999999673</v>
      </c>
      <c r="O16" s="90">
        <v>0.6</v>
      </c>
      <c r="P16" s="91">
        <v>0.6</v>
      </c>
      <c r="Q16" s="91">
        <v>0.6</v>
      </c>
      <c r="R16" s="18">
        <f t="shared" si="3"/>
        <v>900</v>
      </c>
      <c r="S16" s="16">
        <v>462.24</v>
      </c>
      <c r="T16" s="19">
        <f t="shared" si="4"/>
        <v>97.240000000000009</v>
      </c>
      <c r="U16" s="37">
        <f t="shared" si="5"/>
        <v>147.09999999999968</v>
      </c>
      <c r="V16" s="92">
        <v>653834</v>
      </c>
      <c r="W16" s="93">
        <v>67617</v>
      </c>
      <c r="X16" s="93">
        <v>15763</v>
      </c>
      <c r="Y16" s="43">
        <f t="shared" si="12"/>
        <v>570454</v>
      </c>
      <c r="Z16" s="19">
        <f t="shared" si="1"/>
        <v>130</v>
      </c>
      <c r="AA16" s="94">
        <v>6647.98</v>
      </c>
      <c r="AB16" s="95"/>
      <c r="AC16" s="19">
        <f t="shared" si="11"/>
        <v>511.53999999999996</v>
      </c>
      <c r="AD16" s="96">
        <v>70</v>
      </c>
      <c r="AE16" s="97">
        <v>123</v>
      </c>
    </row>
    <row r="17" spans="1:31" x14ac:dyDescent="0.2">
      <c r="A17" s="130">
        <v>45793</v>
      </c>
      <c r="B17" s="38">
        <v>17001584</v>
      </c>
      <c r="C17" s="87">
        <f>SUM(4042.9+1723174.3+588906+9890.6+252230+27537)</f>
        <v>2605780.8000000003</v>
      </c>
      <c r="D17" s="88">
        <f t="shared" si="2"/>
        <v>14395803.199999999</v>
      </c>
      <c r="E17" s="14">
        <f t="shared" si="0"/>
        <v>11581</v>
      </c>
      <c r="F17" s="89">
        <v>8196</v>
      </c>
      <c r="G17" s="13"/>
      <c r="H17" s="14">
        <f t="shared" si="7"/>
        <v>408</v>
      </c>
      <c r="I17" s="90">
        <v>0.85</v>
      </c>
      <c r="J17" s="91">
        <v>0.85</v>
      </c>
      <c r="K17" s="91">
        <v>0.8</v>
      </c>
      <c r="L17" s="18">
        <f t="shared" si="8"/>
        <v>6250</v>
      </c>
      <c r="M17" s="16"/>
      <c r="N17" s="19">
        <f t="shared" si="10"/>
        <v>249.99999999999909</v>
      </c>
      <c r="O17" s="90">
        <v>0.85</v>
      </c>
      <c r="P17" s="91">
        <v>0.84</v>
      </c>
      <c r="Q17" s="91">
        <v>0.84</v>
      </c>
      <c r="R17" s="18">
        <f t="shared" si="3"/>
        <v>1265</v>
      </c>
      <c r="S17" s="16"/>
      <c r="T17" s="19">
        <f t="shared" si="4"/>
        <v>64.999999999999773</v>
      </c>
      <c r="U17" s="37">
        <f t="shared" si="5"/>
        <v>314.99999999999886</v>
      </c>
      <c r="V17" s="92">
        <v>654059</v>
      </c>
      <c r="W17" s="93">
        <v>67704</v>
      </c>
      <c r="X17" s="93">
        <v>15771</v>
      </c>
      <c r="Y17" s="43">
        <f t="shared" si="12"/>
        <v>570584</v>
      </c>
      <c r="Z17" s="19">
        <f t="shared" si="1"/>
        <v>117</v>
      </c>
      <c r="AA17" s="94">
        <v>6136.44</v>
      </c>
      <c r="AB17" s="95"/>
      <c r="AC17" s="19">
        <f t="shared" si="11"/>
        <v>511.53999999999996</v>
      </c>
      <c r="AD17" s="96">
        <v>83</v>
      </c>
      <c r="AE17" s="97">
        <v>150</v>
      </c>
    </row>
    <row r="18" spans="1:31" x14ac:dyDescent="0.2">
      <c r="A18" s="130">
        <v>45794</v>
      </c>
      <c r="B18" s="38">
        <v>17013165</v>
      </c>
      <c r="C18" s="87">
        <f>SUM(4043.9+1723587.3+588906+9890.8+252352+27562)</f>
        <v>2606342</v>
      </c>
      <c r="D18" s="88">
        <f t="shared" si="2"/>
        <v>14406823</v>
      </c>
      <c r="E18" s="14">
        <f t="shared" si="0"/>
        <v>11340</v>
      </c>
      <c r="F18" s="89">
        <v>7788</v>
      </c>
      <c r="G18" s="13"/>
      <c r="H18" s="14">
        <f t="shared" si="7"/>
        <v>405</v>
      </c>
      <c r="I18" s="90">
        <v>0.8</v>
      </c>
      <c r="J18" s="91">
        <v>0.8</v>
      </c>
      <c r="K18" s="91">
        <v>0.8</v>
      </c>
      <c r="L18" s="18">
        <f t="shared" si="8"/>
        <v>6000.0000000000009</v>
      </c>
      <c r="M18" s="16"/>
      <c r="N18" s="19">
        <f t="shared" si="10"/>
        <v>0</v>
      </c>
      <c r="O18" s="90">
        <v>0.8</v>
      </c>
      <c r="P18" s="91">
        <v>0.8</v>
      </c>
      <c r="Q18" s="91">
        <v>0.8</v>
      </c>
      <c r="R18" s="18">
        <f t="shared" si="3"/>
        <v>1200.0000000000002</v>
      </c>
      <c r="S18" s="16"/>
      <c r="T18" s="19">
        <f t="shared" si="4"/>
        <v>10.000000000000227</v>
      </c>
      <c r="U18" s="37">
        <f t="shared" si="5"/>
        <v>10.000000000000227</v>
      </c>
      <c r="V18" s="92">
        <v>654310</v>
      </c>
      <c r="W18" s="93">
        <v>67830</v>
      </c>
      <c r="X18" s="93">
        <v>15779</v>
      </c>
      <c r="Y18" s="43">
        <f t="shared" si="12"/>
        <v>570701</v>
      </c>
      <c r="Z18" s="19">
        <f t="shared" si="1"/>
        <v>107</v>
      </c>
      <c r="AA18" s="94">
        <v>5624.9</v>
      </c>
      <c r="AB18" s="95"/>
      <c r="AC18" s="19">
        <f t="shared" si="11"/>
        <v>511.53999999999996</v>
      </c>
      <c r="AD18" s="96">
        <v>85</v>
      </c>
      <c r="AE18" s="97">
        <v>152</v>
      </c>
    </row>
    <row r="19" spans="1:31" x14ac:dyDescent="0.2">
      <c r="A19" s="131">
        <v>45795</v>
      </c>
      <c r="B19" s="98">
        <v>17024505</v>
      </c>
      <c r="C19" s="99">
        <f>SUM(4045.4+1724279.7+588906+9891.2+252564+27603)</f>
        <v>2607289.2999999998</v>
      </c>
      <c r="D19" s="100">
        <f t="shared" si="2"/>
        <v>14417215.699999999</v>
      </c>
      <c r="E19" s="44">
        <f t="shared" si="0"/>
        <v>11305</v>
      </c>
      <c r="F19" s="101">
        <v>7383</v>
      </c>
      <c r="G19" s="45"/>
      <c r="H19" s="44">
        <f t="shared" si="7"/>
        <v>666</v>
      </c>
      <c r="I19" s="102">
        <v>0.8</v>
      </c>
      <c r="J19" s="103">
        <v>0.8</v>
      </c>
      <c r="K19" s="103">
        <v>0.8</v>
      </c>
      <c r="L19" s="104">
        <f t="shared" si="8"/>
        <v>6000.0000000000009</v>
      </c>
      <c r="M19" s="105"/>
      <c r="N19" s="46">
        <f t="shared" si="10"/>
        <v>125.00000000000091</v>
      </c>
      <c r="O19" s="102">
        <v>0.78</v>
      </c>
      <c r="P19" s="103">
        <v>0.8</v>
      </c>
      <c r="Q19" s="103">
        <v>0.8</v>
      </c>
      <c r="R19" s="104">
        <f t="shared" si="3"/>
        <v>1190</v>
      </c>
      <c r="S19" s="105"/>
      <c r="T19" s="46">
        <f t="shared" si="4"/>
        <v>90</v>
      </c>
      <c r="U19" s="47">
        <f t="shared" si="5"/>
        <v>215.00000000000091</v>
      </c>
      <c r="V19" s="106">
        <v>654529</v>
      </c>
      <c r="W19" s="107">
        <v>67934</v>
      </c>
      <c r="X19" s="107">
        <v>15787</v>
      </c>
      <c r="Y19" s="48">
        <f t="shared" si="12"/>
        <v>570808</v>
      </c>
      <c r="Z19" s="46">
        <f t="shared" si="1"/>
        <v>110</v>
      </c>
      <c r="AA19" s="108">
        <v>5113.3599999999997</v>
      </c>
      <c r="AB19" s="109"/>
      <c r="AC19" s="46">
        <f t="shared" si="11"/>
        <v>511.53999999999996</v>
      </c>
      <c r="AD19" s="110"/>
      <c r="AE19" s="111"/>
    </row>
    <row r="20" spans="1:31" x14ac:dyDescent="0.2">
      <c r="A20" s="11">
        <v>45796</v>
      </c>
      <c r="B20" s="80">
        <v>17035810</v>
      </c>
      <c r="C20" s="81">
        <f>SUM(4045.4+1724279.7+588906+9891.2+252564+27603)</f>
        <v>2607289.2999999998</v>
      </c>
      <c r="D20" s="42">
        <f t="shared" si="2"/>
        <v>14428520.699999999</v>
      </c>
      <c r="E20" s="82">
        <f t="shared" si="0"/>
        <v>11013</v>
      </c>
      <c r="F20" s="12">
        <v>6717</v>
      </c>
      <c r="G20" s="83">
        <v>11400</v>
      </c>
      <c r="H20" s="82">
        <f t="shared" si="7"/>
        <v>382</v>
      </c>
      <c r="I20" s="9">
        <v>0.8</v>
      </c>
      <c r="J20" s="15">
        <v>0.8</v>
      </c>
      <c r="K20" s="15">
        <v>0.75</v>
      </c>
      <c r="L20" s="17">
        <f t="shared" si="8"/>
        <v>5875</v>
      </c>
      <c r="M20" s="34"/>
      <c r="N20" s="84">
        <f t="shared" si="10"/>
        <v>625.00000000000091</v>
      </c>
      <c r="O20" s="9">
        <v>0.7</v>
      </c>
      <c r="P20" s="15">
        <v>0.75</v>
      </c>
      <c r="Q20" s="15">
        <v>0.75</v>
      </c>
      <c r="R20" s="17">
        <f t="shared" si="3"/>
        <v>1100</v>
      </c>
      <c r="S20" s="34"/>
      <c r="T20" s="84">
        <f t="shared" si="4"/>
        <v>75.000000000000227</v>
      </c>
      <c r="U20" s="85">
        <f t="shared" si="5"/>
        <v>700.00000000000114</v>
      </c>
      <c r="V20" s="20">
        <v>654753</v>
      </c>
      <c r="W20" s="35">
        <v>68041</v>
      </c>
      <c r="X20" s="35">
        <v>15794</v>
      </c>
      <c r="Y20" s="86">
        <f t="shared" si="12"/>
        <v>570918</v>
      </c>
      <c r="Z20" s="84">
        <v>94</v>
      </c>
      <c r="AA20" s="21">
        <v>4601.82</v>
      </c>
      <c r="AB20" s="22"/>
      <c r="AC20" s="84">
        <f t="shared" si="11"/>
        <v>511.53999999999951</v>
      </c>
      <c r="AD20" s="7"/>
      <c r="AE20" s="10"/>
    </row>
    <row r="21" spans="1:31" x14ac:dyDescent="0.2">
      <c r="A21" s="130">
        <v>45797</v>
      </c>
      <c r="B21" s="38">
        <v>17046823</v>
      </c>
      <c r="C21" s="87">
        <f>SUM(4046.2+1724631.1+588906+9891.2+252668+27624)</f>
        <v>2607766.5</v>
      </c>
      <c r="D21" s="88">
        <f t="shared" si="2"/>
        <v>14439056.5</v>
      </c>
      <c r="E21" s="14">
        <f t="shared" si="0"/>
        <v>11425</v>
      </c>
      <c r="F21" s="89">
        <v>17735</v>
      </c>
      <c r="G21" s="13"/>
      <c r="H21" s="14">
        <f t="shared" si="7"/>
        <v>656</v>
      </c>
      <c r="I21" s="90">
        <v>0.7</v>
      </c>
      <c r="J21" s="91">
        <v>0.7</v>
      </c>
      <c r="K21" s="91">
        <v>0.7</v>
      </c>
      <c r="L21" s="18">
        <f t="shared" si="8"/>
        <v>5249.9999999999991</v>
      </c>
      <c r="M21" s="16"/>
      <c r="N21" s="19">
        <f t="shared" si="10"/>
        <v>125</v>
      </c>
      <c r="O21" s="90">
        <v>0.65</v>
      </c>
      <c r="P21" s="91">
        <v>0.7</v>
      </c>
      <c r="Q21" s="91">
        <v>0.7</v>
      </c>
      <c r="R21" s="18">
        <f t="shared" si="3"/>
        <v>1024.9999999999998</v>
      </c>
      <c r="S21" s="16"/>
      <c r="T21" s="19">
        <f t="shared" si="4"/>
        <v>79.999999999999773</v>
      </c>
      <c r="U21" s="37">
        <f t="shared" si="5"/>
        <v>204.99999999999977</v>
      </c>
      <c r="V21" s="92">
        <v>654933</v>
      </c>
      <c r="W21" s="93">
        <v>68145</v>
      </c>
      <c r="X21" s="93">
        <v>15802</v>
      </c>
      <c r="Y21" s="43">
        <f t="shared" si="12"/>
        <v>570986</v>
      </c>
      <c r="Z21" s="19">
        <f t="shared" si="1"/>
        <v>133</v>
      </c>
      <c r="AA21" s="94">
        <v>4090.28</v>
      </c>
      <c r="AB21" s="95"/>
      <c r="AC21" s="19">
        <f t="shared" si="11"/>
        <v>511.54000000000042</v>
      </c>
      <c r="AD21" s="96"/>
      <c r="AE21" s="97"/>
    </row>
    <row r="22" spans="1:31" x14ac:dyDescent="0.2">
      <c r="A22" s="130">
        <v>45798</v>
      </c>
      <c r="B22" s="38">
        <v>17058248</v>
      </c>
      <c r="C22" s="87">
        <f>SUM(4047+1725031.1+588907+9891.6+252785+27647)</f>
        <v>2608308.7000000002</v>
      </c>
      <c r="D22" s="88">
        <f t="shared" si="2"/>
        <v>14449939.300000001</v>
      </c>
      <c r="E22" s="14">
        <f t="shared" si="0"/>
        <v>11290</v>
      </c>
      <c r="F22" s="89">
        <v>17079</v>
      </c>
      <c r="G22" s="13"/>
      <c r="H22" s="14">
        <f t="shared" si="7"/>
        <v>133</v>
      </c>
      <c r="I22" s="90">
        <v>0.7</v>
      </c>
      <c r="J22" s="91">
        <v>0.65</v>
      </c>
      <c r="K22" s="91">
        <v>0.7</v>
      </c>
      <c r="L22" s="18">
        <f t="shared" si="8"/>
        <v>5124.9999999999991</v>
      </c>
      <c r="M22" s="16"/>
      <c r="N22" s="19">
        <f t="shared" si="10"/>
        <v>124.99999999999909</v>
      </c>
      <c r="O22" s="90">
        <v>0.64</v>
      </c>
      <c r="P22" s="91">
        <v>0.65</v>
      </c>
      <c r="Q22" s="91">
        <v>0.6</v>
      </c>
      <c r="R22" s="18">
        <f>SUM(O22:Q22)/3*1500</f>
        <v>945</v>
      </c>
      <c r="S22" s="16"/>
      <c r="T22" s="19">
        <f t="shared" si="4"/>
        <v>45</v>
      </c>
      <c r="U22" s="37">
        <f t="shared" si="5"/>
        <v>169.99999999999909</v>
      </c>
      <c r="V22" s="92">
        <v>655195</v>
      </c>
      <c r="W22" s="93">
        <v>68265</v>
      </c>
      <c r="X22" s="93">
        <v>15811</v>
      </c>
      <c r="Y22" s="43">
        <f t="shared" si="12"/>
        <v>571119</v>
      </c>
      <c r="Z22" s="19">
        <f t="shared" si="1"/>
        <v>90</v>
      </c>
      <c r="AA22" s="94">
        <v>3578.74</v>
      </c>
      <c r="AB22" s="95"/>
      <c r="AC22" s="19">
        <f t="shared" si="11"/>
        <v>511.53999999999996</v>
      </c>
      <c r="AD22" s="96"/>
      <c r="AE22" s="97"/>
    </row>
    <row r="23" spans="1:31" x14ac:dyDescent="0.2">
      <c r="A23" s="130">
        <v>45799</v>
      </c>
      <c r="B23" s="38">
        <v>17069538</v>
      </c>
      <c r="C23" s="87">
        <f>SUM(4048.2+1725405.9+588907+9891.8+252897+27668)</f>
        <v>2608817.8999999994</v>
      </c>
      <c r="D23" s="88">
        <f t="shared" si="2"/>
        <v>14460720.100000001</v>
      </c>
      <c r="E23" s="14">
        <f t="shared" si="0"/>
        <v>11125</v>
      </c>
      <c r="F23" s="89">
        <v>16946</v>
      </c>
      <c r="G23" s="13"/>
      <c r="H23" s="14">
        <f t="shared" si="7"/>
        <v>806</v>
      </c>
      <c r="I23" s="90">
        <v>0.7</v>
      </c>
      <c r="J23" s="91">
        <v>0.65</v>
      </c>
      <c r="K23" s="91">
        <v>0.65</v>
      </c>
      <c r="L23" s="18">
        <f t="shared" si="8"/>
        <v>5000</v>
      </c>
      <c r="M23" s="16">
        <v>1284.92</v>
      </c>
      <c r="N23" s="19">
        <f t="shared" si="10"/>
        <v>159.91999999999916</v>
      </c>
      <c r="O23" s="90">
        <v>0.6</v>
      </c>
      <c r="P23" s="91">
        <v>0.6</v>
      </c>
      <c r="Q23" s="91">
        <v>0.6</v>
      </c>
      <c r="R23" s="18">
        <f t="shared" si="3"/>
        <v>900</v>
      </c>
      <c r="S23" s="16">
        <v>525.33000000000004</v>
      </c>
      <c r="T23" s="19">
        <f t="shared" si="4"/>
        <v>225.3299999999997</v>
      </c>
      <c r="U23" s="37">
        <f t="shared" si="5"/>
        <v>385.24999999999886</v>
      </c>
      <c r="V23" s="92">
        <v>655402</v>
      </c>
      <c r="W23" s="93">
        <v>68374</v>
      </c>
      <c r="X23" s="93">
        <v>15819</v>
      </c>
      <c r="Y23" s="43">
        <f t="shared" si="12"/>
        <v>571209</v>
      </c>
      <c r="Z23" s="19">
        <f t="shared" si="1"/>
        <v>98</v>
      </c>
      <c r="AA23" s="94">
        <v>3067.2</v>
      </c>
      <c r="AB23" s="95"/>
      <c r="AC23" s="19">
        <f t="shared" si="11"/>
        <v>511.53999999999996</v>
      </c>
      <c r="AD23" s="96"/>
      <c r="AE23" s="97"/>
    </row>
    <row r="24" spans="1:31" x14ac:dyDescent="0.2">
      <c r="A24" s="130">
        <v>45800</v>
      </c>
      <c r="B24" s="38">
        <v>17080663</v>
      </c>
      <c r="C24" s="87">
        <f>SUM(4048.9+1725719.1+588907+9892+252993+27687)</f>
        <v>2609247</v>
      </c>
      <c r="D24" s="88">
        <f t="shared" si="2"/>
        <v>14471416</v>
      </c>
      <c r="E24" s="14">
        <f t="shared" si="0"/>
        <v>11947</v>
      </c>
      <c r="F24" s="89">
        <v>16140</v>
      </c>
      <c r="G24" s="13"/>
      <c r="H24" s="14">
        <f t="shared" si="7"/>
        <v>135</v>
      </c>
      <c r="I24" s="90">
        <v>0.8</v>
      </c>
      <c r="J24" s="91">
        <v>0.8</v>
      </c>
      <c r="K24" s="91">
        <v>0.85</v>
      </c>
      <c r="L24" s="18">
        <f t="shared" si="8"/>
        <v>6125.0000000000009</v>
      </c>
      <c r="M24" s="16"/>
      <c r="N24" s="19">
        <f t="shared" si="10"/>
        <v>375.00000000000091</v>
      </c>
      <c r="O24" s="90">
        <v>0.8</v>
      </c>
      <c r="P24" s="91">
        <v>0.8</v>
      </c>
      <c r="Q24" s="91">
        <v>0.8</v>
      </c>
      <c r="R24" s="18">
        <f t="shared" si="3"/>
        <v>1200.0000000000002</v>
      </c>
      <c r="S24" s="16"/>
      <c r="T24" s="19">
        <f t="shared" si="4"/>
        <v>100.00000000000023</v>
      </c>
      <c r="U24" s="37">
        <f t="shared" si="5"/>
        <v>475.00000000000114</v>
      </c>
      <c r="V24" s="92">
        <v>655610</v>
      </c>
      <c r="W24" s="93">
        <v>68473</v>
      </c>
      <c r="X24" s="93">
        <v>15830</v>
      </c>
      <c r="Y24" s="43">
        <f t="shared" si="12"/>
        <v>571307</v>
      </c>
      <c r="Z24" s="19">
        <v>32</v>
      </c>
      <c r="AA24" s="94">
        <v>2555.66</v>
      </c>
      <c r="AB24" s="95"/>
      <c r="AC24" s="19">
        <f t="shared" si="11"/>
        <v>511.53999999999996</v>
      </c>
      <c r="AD24" s="96"/>
      <c r="AE24" s="97"/>
    </row>
    <row r="25" spans="1:31" x14ac:dyDescent="0.2">
      <c r="A25" s="130">
        <v>45801</v>
      </c>
      <c r="B25" s="38">
        <v>17092610</v>
      </c>
      <c r="C25" s="87">
        <f>SUM(4049.8+1726112.4+588907+9892.2+253119+27710)</f>
        <v>2609790.4000000004</v>
      </c>
      <c r="D25" s="88">
        <f t="shared" si="2"/>
        <v>14482819.6</v>
      </c>
      <c r="E25" s="14">
        <f t="shared" si="0"/>
        <v>14449</v>
      </c>
      <c r="F25" s="89">
        <v>16005</v>
      </c>
      <c r="G25" s="13"/>
      <c r="H25" s="14">
        <f t="shared" si="7"/>
        <v>409</v>
      </c>
      <c r="I25" s="90">
        <v>0.75</v>
      </c>
      <c r="J25" s="91">
        <v>0.73</v>
      </c>
      <c r="K25" s="91">
        <v>0.82</v>
      </c>
      <c r="L25" s="18">
        <f t="shared" si="8"/>
        <v>5750</v>
      </c>
      <c r="M25" s="16"/>
      <c r="N25" s="19">
        <f t="shared" si="10"/>
        <v>200.00000000000091</v>
      </c>
      <c r="O25" s="90">
        <v>0.75</v>
      </c>
      <c r="P25" s="91">
        <v>0.75</v>
      </c>
      <c r="Q25" s="91">
        <v>0.7</v>
      </c>
      <c r="R25" s="18">
        <f t="shared" si="3"/>
        <v>1100</v>
      </c>
      <c r="S25" s="16"/>
      <c r="T25" s="19">
        <f t="shared" si="4"/>
        <v>140</v>
      </c>
      <c r="U25" s="37">
        <f t="shared" si="5"/>
        <v>340.00000000000091</v>
      </c>
      <c r="V25" s="92">
        <v>655848</v>
      </c>
      <c r="W25" s="93">
        <v>68576</v>
      </c>
      <c r="X25" s="93">
        <v>15837</v>
      </c>
      <c r="Y25" s="43">
        <f t="shared" si="12"/>
        <v>571435</v>
      </c>
      <c r="Z25" s="19">
        <f t="shared" si="1"/>
        <v>130</v>
      </c>
      <c r="AA25" s="94">
        <v>2044.12</v>
      </c>
      <c r="AB25" s="95"/>
      <c r="AC25" s="19">
        <f t="shared" si="11"/>
        <v>511.53999999999996</v>
      </c>
      <c r="AD25" s="96"/>
      <c r="AE25" s="97"/>
    </row>
    <row r="26" spans="1:31" x14ac:dyDescent="0.2">
      <c r="A26" s="131">
        <v>45802</v>
      </c>
      <c r="B26" s="98">
        <v>17107059</v>
      </c>
      <c r="C26" s="99">
        <f>SUM(4050.7+1726496.2+588907+9892.4+253257+27735)</f>
        <v>2610338.2999999998</v>
      </c>
      <c r="D26" s="100">
        <f t="shared" si="2"/>
        <v>14496720.699999999</v>
      </c>
      <c r="E26" s="44">
        <f t="shared" si="0"/>
        <v>13088</v>
      </c>
      <c r="F26" s="101">
        <v>15596</v>
      </c>
      <c r="G26" s="45"/>
      <c r="H26" s="44">
        <f t="shared" si="7"/>
        <v>198</v>
      </c>
      <c r="I26" s="102">
        <v>0.72</v>
      </c>
      <c r="J26" s="103">
        <v>0.7</v>
      </c>
      <c r="K26" s="103">
        <v>0.8</v>
      </c>
      <c r="L26" s="104">
        <f t="shared" si="8"/>
        <v>5549.9999999999991</v>
      </c>
      <c r="M26" s="105"/>
      <c r="N26" s="46">
        <f t="shared" si="10"/>
        <v>200</v>
      </c>
      <c r="O26" s="102">
        <v>0.62</v>
      </c>
      <c r="P26" s="103">
        <v>0.62</v>
      </c>
      <c r="Q26" s="103">
        <v>0.68</v>
      </c>
      <c r="R26" s="104">
        <f t="shared" si="3"/>
        <v>960</v>
      </c>
      <c r="S26" s="105"/>
      <c r="T26" s="46">
        <f t="shared" si="4"/>
        <v>50.000000000000114</v>
      </c>
      <c r="U26" s="47">
        <f t="shared" si="5"/>
        <v>250.00000000000011</v>
      </c>
      <c r="V26" s="106">
        <v>656104</v>
      </c>
      <c r="W26" s="107">
        <v>68695</v>
      </c>
      <c r="X26" s="107">
        <v>15844</v>
      </c>
      <c r="Y26" s="48">
        <f t="shared" si="12"/>
        <v>571565</v>
      </c>
      <c r="Z26" s="46">
        <f t="shared" si="1"/>
        <v>114</v>
      </c>
      <c r="AA26" s="108">
        <v>1532.58</v>
      </c>
      <c r="AB26" s="109"/>
      <c r="AC26" s="46">
        <f t="shared" si="11"/>
        <v>511.53999999999996</v>
      </c>
      <c r="AD26" s="110"/>
      <c r="AE26" s="111"/>
    </row>
    <row r="27" spans="1:31" x14ac:dyDescent="0.2">
      <c r="A27" s="11">
        <v>45803</v>
      </c>
      <c r="B27" s="80">
        <v>17120147</v>
      </c>
      <c r="C27" s="81">
        <f>SUM(4051.4+1726846.1+588907+9892.6+253331+27754)</f>
        <v>2610782.1</v>
      </c>
      <c r="D27" s="42">
        <f t="shared" si="2"/>
        <v>14509364.9</v>
      </c>
      <c r="E27" s="82">
        <f t="shared" si="0"/>
        <v>13623</v>
      </c>
      <c r="F27" s="12">
        <v>15398</v>
      </c>
      <c r="G27" s="83"/>
      <c r="H27" s="82">
        <f t="shared" si="7"/>
        <v>77</v>
      </c>
      <c r="I27" s="9">
        <v>0.7</v>
      </c>
      <c r="J27" s="15">
        <v>0.68</v>
      </c>
      <c r="K27" s="15">
        <v>0.76</v>
      </c>
      <c r="L27" s="17">
        <f t="shared" si="8"/>
        <v>5349.9999999999991</v>
      </c>
      <c r="M27" s="34"/>
      <c r="N27" s="84">
        <f t="shared" si="10"/>
        <v>274.99999999999818</v>
      </c>
      <c r="O27" s="9">
        <v>0.6</v>
      </c>
      <c r="P27" s="15">
        <v>0.6</v>
      </c>
      <c r="Q27" s="15">
        <v>0.62</v>
      </c>
      <c r="R27" s="17">
        <f t="shared" si="3"/>
        <v>909.99999999999989</v>
      </c>
      <c r="S27" s="34"/>
      <c r="T27" s="84">
        <f t="shared" si="4"/>
        <v>134.99999999999977</v>
      </c>
      <c r="U27" s="85">
        <f t="shared" si="5"/>
        <v>409.99999999999795</v>
      </c>
      <c r="V27" s="20">
        <v>656322</v>
      </c>
      <c r="W27" s="35">
        <v>68793</v>
      </c>
      <c r="X27" s="35">
        <v>15850</v>
      </c>
      <c r="Y27" s="86">
        <f t="shared" si="12"/>
        <v>571679</v>
      </c>
      <c r="Z27" s="84">
        <f t="shared" si="1"/>
        <v>127</v>
      </c>
      <c r="AA27" s="21">
        <v>1021.04</v>
      </c>
      <c r="AB27" s="22"/>
      <c r="AC27" s="84">
        <f t="shared" si="11"/>
        <v>511.53999999999996</v>
      </c>
      <c r="AD27" s="7"/>
      <c r="AE27" s="10"/>
    </row>
    <row r="28" spans="1:31" x14ac:dyDescent="0.2">
      <c r="A28" s="130">
        <v>45804</v>
      </c>
      <c r="B28" s="38">
        <v>17133770</v>
      </c>
      <c r="C28" s="87">
        <f>SUM(4052.2+1727239.2+588907+9892.7+253461+27775)</f>
        <v>2611327.1</v>
      </c>
      <c r="D28" s="88">
        <f t="shared" si="2"/>
        <v>14522442.9</v>
      </c>
      <c r="E28" s="14">
        <f t="shared" si="0"/>
        <v>12156</v>
      </c>
      <c r="F28" s="89">
        <v>15321</v>
      </c>
      <c r="G28" s="13"/>
      <c r="H28" s="14">
        <f t="shared" si="7"/>
        <v>830</v>
      </c>
      <c r="I28" s="90">
        <v>0.65</v>
      </c>
      <c r="J28" s="91">
        <v>0.65</v>
      </c>
      <c r="K28" s="91">
        <v>0.73</v>
      </c>
      <c r="L28" s="18">
        <f t="shared" si="8"/>
        <v>5075.0000000000009</v>
      </c>
      <c r="M28" s="16"/>
      <c r="N28" s="19">
        <f t="shared" si="10"/>
        <v>200.00000000000091</v>
      </c>
      <c r="O28" s="90">
        <v>0.5</v>
      </c>
      <c r="P28" s="91">
        <v>0.5</v>
      </c>
      <c r="Q28" s="91">
        <v>0.55000000000000004</v>
      </c>
      <c r="R28" s="18">
        <f t="shared" si="3"/>
        <v>775.00000000000011</v>
      </c>
      <c r="S28" s="16"/>
      <c r="T28" s="19">
        <f t="shared" si="4"/>
        <v>100.00000000000011</v>
      </c>
      <c r="U28" s="37">
        <f t="shared" si="5"/>
        <v>300.00000000000102</v>
      </c>
      <c r="V28" s="92">
        <v>656567</v>
      </c>
      <c r="W28" s="93">
        <v>68905</v>
      </c>
      <c r="X28" s="93">
        <v>15856</v>
      </c>
      <c r="Y28" s="43">
        <f t="shared" si="12"/>
        <v>571806</v>
      </c>
      <c r="Z28" s="19">
        <f t="shared" si="1"/>
        <v>117</v>
      </c>
      <c r="AA28" s="94">
        <v>509.5</v>
      </c>
      <c r="AB28" s="95"/>
      <c r="AC28" s="19">
        <f t="shared" si="11"/>
        <v>509.5</v>
      </c>
      <c r="AD28" s="96"/>
      <c r="AE28" s="97"/>
    </row>
    <row r="29" spans="1:31" x14ac:dyDescent="0.2">
      <c r="A29" s="130">
        <v>45805</v>
      </c>
      <c r="B29" s="38">
        <v>17145926</v>
      </c>
      <c r="C29" s="87">
        <f>SUM(4053+1727642.9+588907+9092.9+253569+27796)</f>
        <v>2611060.7999999998</v>
      </c>
      <c r="D29" s="88">
        <f t="shared" si="2"/>
        <v>14534865.199999999</v>
      </c>
      <c r="E29" s="14">
        <f t="shared" si="0"/>
        <v>12329</v>
      </c>
      <c r="F29" s="89">
        <v>14491</v>
      </c>
      <c r="G29" s="13"/>
      <c r="H29" s="14">
        <f t="shared" si="7"/>
        <v>418</v>
      </c>
      <c r="I29" s="90">
        <v>0.65</v>
      </c>
      <c r="J29" s="91">
        <v>0.6</v>
      </c>
      <c r="K29" s="91">
        <v>0.7</v>
      </c>
      <c r="L29" s="18">
        <f t="shared" si="8"/>
        <v>4875</v>
      </c>
      <c r="M29" s="16"/>
      <c r="N29" s="19">
        <f t="shared" si="10"/>
        <v>150</v>
      </c>
      <c r="O29" s="90">
        <v>0.45</v>
      </c>
      <c r="P29" s="91">
        <v>0.45</v>
      </c>
      <c r="Q29" s="91">
        <v>0.45</v>
      </c>
      <c r="R29" s="18">
        <f t="shared" si="3"/>
        <v>675</v>
      </c>
      <c r="S29" s="16"/>
      <c r="T29" s="19">
        <f t="shared" si="4"/>
        <v>125</v>
      </c>
      <c r="U29" s="37">
        <f t="shared" si="5"/>
        <v>275</v>
      </c>
      <c r="V29" s="92">
        <v>656806</v>
      </c>
      <c r="W29" s="93">
        <v>69020</v>
      </c>
      <c r="X29" s="93">
        <v>15863</v>
      </c>
      <c r="Y29" s="43">
        <f t="shared" si="12"/>
        <v>571923</v>
      </c>
      <c r="Z29" s="19">
        <f t="shared" si="1"/>
        <v>179</v>
      </c>
      <c r="AA29" s="94">
        <v>0</v>
      </c>
      <c r="AB29" s="95">
        <v>8005</v>
      </c>
      <c r="AC29" s="19">
        <f t="shared" si="11"/>
        <v>813.125</v>
      </c>
      <c r="AD29" s="96"/>
      <c r="AE29" s="97"/>
    </row>
    <row r="30" spans="1:31" x14ac:dyDescent="0.2">
      <c r="A30" s="130">
        <v>45806</v>
      </c>
      <c r="B30" s="38">
        <v>17158255</v>
      </c>
      <c r="C30" s="87">
        <f>SUM(4053.8+1728027.6+588907+9893.1+253679+27817)</f>
        <v>2612377.5000000005</v>
      </c>
      <c r="D30" s="88">
        <f t="shared" si="2"/>
        <v>14545877.5</v>
      </c>
      <c r="E30" s="14">
        <f t="shared" si="0"/>
        <v>12855</v>
      </c>
      <c r="F30" s="89">
        <v>14073</v>
      </c>
      <c r="G30" s="13"/>
      <c r="H30" s="14">
        <f>F30+G30-F31</f>
        <v>420</v>
      </c>
      <c r="I30" s="90">
        <v>0.64</v>
      </c>
      <c r="J30" s="91">
        <v>0.6</v>
      </c>
      <c r="K30" s="91">
        <v>0.65</v>
      </c>
      <c r="L30" s="18">
        <f t="shared" si="8"/>
        <v>4725</v>
      </c>
      <c r="M30" s="16">
        <v>1329.13</v>
      </c>
      <c r="N30" s="19">
        <f t="shared" si="10"/>
        <v>54.1299999999992</v>
      </c>
      <c r="O30" s="90">
        <v>0.4</v>
      </c>
      <c r="P30" s="91">
        <v>0.35</v>
      </c>
      <c r="Q30" s="91">
        <v>0.35</v>
      </c>
      <c r="R30" s="18">
        <f t="shared" si="3"/>
        <v>550</v>
      </c>
      <c r="S30" s="16">
        <v>667.85</v>
      </c>
      <c r="T30" s="19">
        <f t="shared" si="4"/>
        <v>17.849999999999682</v>
      </c>
      <c r="U30" s="37">
        <f t="shared" si="5"/>
        <v>71.979999999998881</v>
      </c>
      <c r="V30" s="92">
        <v>657100</v>
      </c>
      <c r="W30" s="93">
        <v>69129</v>
      </c>
      <c r="X30" s="93">
        <v>15869</v>
      </c>
      <c r="Y30" s="43">
        <f t="shared" si="12"/>
        <v>572102</v>
      </c>
      <c r="Z30" s="19">
        <f t="shared" si="1"/>
        <v>126</v>
      </c>
      <c r="AA30" s="94">
        <v>7191.875</v>
      </c>
      <c r="AB30" s="95"/>
      <c r="AC30" s="19">
        <f t="shared" si="11"/>
        <v>813.125</v>
      </c>
      <c r="AD30" s="96"/>
      <c r="AE30" s="97"/>
    </row>
    <row r="31" spans="1:31" x14ac:dyDescent="0.2">
      <c r="A31" s="130">
        <v>45807</v>
      </c>
      <c r="B31" s="38">
        <v>17171110</v>
      </c>
      <c r="C31" s="87">
        <f>SUM(4054.6+1728446.3+588907+9893.3+253797+27840)</f>
        <v>2612938.2000000002</v>
      </c>
      <c r="D31" s="88">
        <f t="shared" si="2"/>
        <v>14558171.800000001</v>
      </c>
      <c r="E31" s="14">
        <f t="shared" si="0"/>
        <v>12591</v>
      </c>
      <c r="F31" s="89">
        <v>13653</v>
      </c>
      <c r="G31" s="13"/>
      <c r="H31" s="14">
        <f>F31+G31-F32</f>
        <v>421</v>
      </c>
      <c r="I31" s="90">
        <v>0.8</v>
      </c>
      <c r="J31" s="91">
        <v>0.8</v>
      </c>
      <c r="K31" s="91">
        <v>0.8</v>
      </c>
      <c r="L31" s="18">
        <f t="shared" si="8"/>
        <v>6000.0000000000009</v>
      </c>
      <c r="M31" s="16"/>
      <c r="N31" s="19">
        <f>SUM(L31+M31-L32)</f>
        <v>350.00000000000091</v>
      </c>
      <c r="O31" s="90">
        <v>0.8</v>
      </c>
      <c r="P31" s="91">
        <v>0.8</v>
      </c>
      <c r="Q31" s="91">
        <v>0.8</v>
      </c>
      <c r="R31" s="18">
        <f t="shared" si="3"/>
        <v>1200.0000000000002</v>
      </c>
      <c r="S31" s="16"/>
      <c r="T31" s="19">
        <f t="shared" si="4"/>
        <v>20.000000000000227</v>
      </c>
      <c r="U31" s="37">
        <f t="shared" si="5"/>
        <v>370.00000000000114</v>
      </c>
      <c r="V31" s="92">
        <v>657359</v>
      </c>
      <c r="W31" s="93">
        <v>69255</v>
      </c>
      <c r="X31" s="93">
        <v>15876</v>
      </c>
      <c r="Y31" s="43">
        <f t="shared" si="12"/>
        <v>572228</v>
      </c>
      <c r="Z31" s="19">
        <f t="shared" si="1"/>
        <v>136</v>
      </c>
      <c r="AA31" s="94">
        <v>6378.75</v>
      </c>
      <c r="AB31" s="95"/>
      <c r="AC31" s="19">
        <f t="shared" si="11"/>
        <v>813.125</v>
      </c>
      <c r="AD31" s="96"/>
      <c r="AE31" s="97"/>
    </row>
    <row r="32" spans="1:31" ht="13.5" thickBot="1" x14ac:dyDescent="0.25">
      <c r="A32" s="130">
        <v>45808</v>
      </c>
      <c r="B32" s="38">
        <v>17183701</v>
      </c>
      <c r="C32" s="79">
        <f>SUM(4055.4+1728816.2+588907+9893.5+253960+27861)</f>
        <v>2613493.0999999996</v>
      </c>
      <c r="D32" s="88">
        <f t="shared" si="2"/>
        <v>14570207.9</v>
      </c>
      <c r="E32" s="14"/>
      <c r="F32" s="89">
        <v>13232</v>
      </c>
      <c r="G32" s="13"/>
      <c r="H32" s="14"/>
      <c r="I32" s="90">
        <v>0.76</v>
      </c>
      <c r="J32" s="91">
        <v>0.76</v>
      </c>
      <c r="K32" s="91">
        <v>0.74</v>
      </c>
      <c r="L32" s="18">
        <f t="shared" si="8"/>
        <v>5650</v>
      </c>
      <c r="M32" s="16"/>
      <c r="N32" s="19"/>
      <c r="O32" s="90">
        <v>0.78</v>
      </c>
      <c r="P32" s="91">
        <v>0.78</v>
      </c>
      <c r="Q32" s="91">
        <v>0.8</v>
      </c>
      <c r="R32" s="18">
        <f t="shared" si="3"/>
        <v>1180</v>
      </c>
      <c r="S32" s="16"/>
      <c r="T32" s="19"/>
      <c r="U32" s="37"/>
      <c r="V32" s="92">
        <v>657632</v>
      </c>
      <c r="W32" s="93">
        <v>69385</v>
      </c>
      <c r="X32" s="93">
        <v>15883</v>
      </c>
      <c r="Y32" s="43">
        <f t="shared" si="12"/>
        <v>572364</v>
      </c>
      <c r="Z32" s="19"/>
      <c r="AA32" s="94">
        <v>5565.625</v>
      </c>
      <c r="AB32" s="95"/>
      <c r="AC32" s="19"/>
      <c r="AD32" s="96"/>
      <c r="AE32" s="97"/>
    </row>
    <row r="33" spans="1:31" ht="14.25" thickTop="1" thickBot="1" x14ac:dyDescent="0.25">
      <c r="A33" s="11">
        <v>45809</v>
      </c>
      <c r="B33" s="38">
        <v>17196678</v>
      </c>
      <c r="C33" s="79">
        <f>SUM(4056.4+1729341.9+588907+9893.7+254051+27888)</f>
        <v>2614138</v>
      </c>
      <c r="D33" s="88">
        <f t="shared" si="2"/>
        <v>14582540</v>
      </c>
      <c r="E33" s="25"/>
      <c r="F33" s="89">
        <v>12246</v>
      </c>
      <c r="G33" s="26"/>
      <c r="H33" s="25"/>
      <c r="I33" s="90">
        <v>0.75</v>
      </c>
      <c r="J33" s="91">
        <v>0.75</v>
      </c>
      <c r="K33" s="91">
        <v>0.7</v>
      </c>
      <c r="L33" s="39">
        <f t="shared" si="8"/>
        <v>5500</v>
      </c>
      <c r="M33" s="16"/>
      <c r="N33" s="25"/>
      <c r="O33" s="90">
        <v>0.75</v>
      </c>
      <c r="P33" s="91">
        <v>0.75</v>
      </c>
      <c r="Q33" s="91">
        <v>0.8</v>
      </c>
      <c r="R33" s="39">
        <f t="shared" si="3"/>
        <v>1150</v>
      </c>
      <c r="S33" s="16"/>
      <c r="T33" s="40"/>
      <c r="U33" s="41"/>
      <c r="V33" s="92">
        <v>657961</v>
      </c>
      <c r="W33" s="93">
        <v>69545</v>
      </c>
      <c r="X33" s="93">
        <v>15891</v>
      </c>
      <c r="Y33" s="43">
        <f t="shared" si="12"/>
        <v>572525</v>
      </c>
      <c r="Z33" s="25"/>
      <c r="AA33" s="94">
        <v>4752.5</v>
      </c>
      <c r="AB33" s="95"/>
      <c r="AC33" s="23"/>
      <c r="AD33" s="24"/>
      <c r="AE33" s="24"/>
    </row>
    <row r="34" spans="1:31" s="33" customFormat="1" ht="10.5" thickTop="1" x14ac:dyDescent="0.2">
      <c r="A34" s="27"/>
      <c r="B34" s="30"/>
      <c r="C34" s="30"/>
      <c r="D34" s="30"/>
      <c r="E34" s="28">
        <f>SUM(E2:E33)</f>
        <v>15499019</v>
      </c>
      <c r="F34" s="29"/>
      <c r="G34" s="29"/>
      <c r="H34" s="28">
        <f>SUM(H2:H33)</f>
        <v>16162</v>
      </c>
      <c r="I34" s="27"/>
      <c r="J34" s="27"/>
      <c r="K34" s="27"/>
      <c r="L34" s="27"/>
      <c r="M34" s="29">
        <f>SUM(M2:M33)</f>
        <v>5576.09</v>
      </c>
      <c r="N34" s="28">
        <f>SUM(N2:N33)</f>
        <v>6401.09</v>
      </c>
      <c r="O34" s="27"/>
      <c r="P34" s="27"/>
      <c r="Q34" s="27"/>
      <c r="R34" s="27"/>
      <c r="S34" s="29">
        <f>SUM(S2:S33)</f>
        <v>2360.71</v>
      </c>
      <c r="T34" s="28">
        <f>SUM(T2:T33)</f>
        <v>2475.7099999999991</v>
      </c>
      <c r="U34" s="28">
        <f>SUM(U2:U33)</f>
        <v>8876.8000000000011</v>
      </c>
      <c r="V34" s="27"/>
      <c r="W34" s="27"/>
      <c r="X34" s="27"/>
      <c r="Y34" s="27"/>
      <c r="Z34" s="28">
        <f>SUM(Z2:Z33)</f>
        <v>6213</v>
      </c>
      <c r="AA34" s="27"/>
      <c r="AB34" s="27">
        <f>SUM(AB2:AB33)</f>
        <v>16305</v>
      </c>
      <c r="AC34" s="28">
        <f>SUM(AC2:AC33)</f>
        <v>16539.375000000004</v>
      </c>
      <c r="AD34" s="31">
        <f>SUM(AD2:AD33)</f>
        <v>1094</v>
      </c>
      <c r="AE34" s="32">
        <f>SUM(AE2:AE32)</f>
        <v>2064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2025-11-13T11:05:17Z</dcterms:modified>
  <cp:category/>
  <cp:contentStatus/>
</cp:coreProperties>
</file>