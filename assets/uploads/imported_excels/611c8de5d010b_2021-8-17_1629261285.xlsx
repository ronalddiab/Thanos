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Aug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W7" i="7" l="1"/>
  <c r="AW8" i="7"/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S38" i="7" l="1"/>
  <c r="M2" i="9"/>
  <c r="Y38" i="7"/>
  <c r="AP7" i="7"/>
  <c r="AA38" i="7"/>
  <c r="AL7" i="7"/>
  <c r="W38" i="7"/>
  <c r="AG7" i="7"/>
  <c r="R38" i="7"/>
  <c r="AR7" i="7"/>
  <c r="AC38" i="7"/>
  <c r="E2" i="9"/>
  <c r="Q38" i="7"/>
  <c r="AO7" i="7"/>
  <c r="Z38" i="7"/>
  <c r="J2" i="9"/>
  <c r="V38" i="7"/>
  <c r="I2" i="9"/>
  <c r="U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K38" i="7" l="1"/>
  <c r="AJ38" i="7"/>
  <c r="AQ38" i="7"/>
  <c r="AI38" i="7"/>
  <c r="AR38" i="7"/>
  <c r="AP38" i="7"/>
  <c r="AO38" i="7"/>
  <c r="AN38" i="7"/>
  <c r="AM38" i="7"/>
  <c r="AL38" i="7"/>
  <c r="AH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AW38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<sst xmlns="http://schemas.openxmlformats.org/spreadsheetml/2006/main" count="128" uniqueCount="49">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</sst>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8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41200</v>
      </c>
      <c r="F2" s="11">
        <v>5.0000000000000001E-3</v>
      </c>
      <c r="G2" s="12">
        <f>Submetering!R2</f>
        <v>594.68791099999999</v>
      </c>
      <c r="H2" s="11">
        <v>0.52800000000000002</v>
      </c>
      <c r="I2" s="12">
        <f>Hotel!B7</f>
        <v>92</v>
      </c>
    </row>
    <row r="3" spans="1:9" s="15" customFormat="1" x14ac:dyDescent="0.25">
      <c r="A3" s="21" t="s">
        <v>31</v>
      </c>
      <c r="B3" s="14">
        <f>B2+1</f>
        <v>2</v>
      </c>
      <c r="C3" s="3">
        <v>8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64600</v>
      </c>
      <c r="F3" s="11">
        <v>5.0000000000000001E-3</v>
      </c>
      <c r="G3" s="12">
        <f>Submetering!R3</f>
        <v>1141.301115</v>
      </c>
      <c r="H3" s="11">
        <v>0.52800000000000002</v>
      </c>
      <c r="I3" s="12">
        <f>Hotel!B8</f>
        <v>86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8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61180</v>
      </c>
      <c r="F4" s="11">
        <v>5.0000000000000001E-3</v>
      </c>
      <c r="G4" s="12">
        <f>Submetering!R4</f>
        <v>899.41341599999998</v>
      </c>
      <c r="H4" s="11">
        <v>0.52800000000000002</v>
      </c>
      <c r="I4" s="12">
        <f>Hotel!B9</f>
        <v>82</v>
      </c>
    </row>
    <row r="5" spans="1:9" s="15" customFormat="1" x14ac:dyDescent="0.25">
      <c r="A5" s="21" t="s">
        <v>31</v>
      </c>
      <c r="B5" s="14">
        <f t="shared" si="0"/>
        <v>4</v>
      </c>
      <c r="C5" s="3">
        <v>8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61270</v>
      </c>
      <c r="F5" s="11">
        <v>5.0000000000000001E-3</v>
      </c>
      <c r="G5" s="12">
        <f>Submetering!R5</f>
        <v>1323.0007949999999</v>
      </c>
      <c r="H5" s="11">
        <v>0.52800000000000002</v>
      </c>
      <c r="I5" s="12">
        <f>Hotel!B10</f>
        <v>93</v>
      </c>
    </row>
    <row r="6" spans="1:9" s="15" customFormat="1" x14ac:dyDescent="0.25">
      <c r="A6" s="21" t="s">
        <v>31</v>
      </c>
      <c r="B6" s="14">
        <f t="shared" si="0"/>
        <v>5</v>
      </c>
      <c r="C6" s="3">
        <v>8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60890</v>
      </c>
      <c r="F6" s="11">
        <v>5.0000000000000001E-3</v>
      </c>
      <c r="G6" s="12">
        <f>Submetering!R6</f>
        <v>1030.010061</v>
      </c>
      <c r="H6" s="11">
        <v>0.52800000000000002</v>
      </c>
      <c r="I6" s="12">
        <f>Hotel!B11</f>
        <v>108</v>
      </c>
    </row>
    <row r="7" spans="1:9" s="15" customFormat="1" x14ac:dyDescent="0.25">
      <c r="A7" s="21" t="s">
        <v>31</v>
      </c>
      <c r="B7" s="14">
        <f t="shared" si="0"/>
        <v>6</v>
      </c>
      <c r="C7" s="3">
        <v>8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62630</v>
      </c>
      <c r="F7" s="11">
        <v>5.0000000000000001E-3</v>
      </c>
      <c r="G7" s="12">
        <f>Submetering!R7</f>
        <v>1034.1740119999999</v>
      </c>
      <c r="H7" s="11">
        <v>0.52800000000000002</v>
      </c>
      <c r="I7" s="12">
        <f>Hotel!B12</f>
        <v>137</v>
      </c>
    </row>
    <row r="8" spans="1:9" s="15" customFormat="1" x14ac:dyDescent="0.25">
      <c r="A8" s="21" t="s">
        <v>31</v>
      </c>
      <c r="B8" s="14">
        <f t="shared" si="0"/>
        <v>7</v>
      </c>
      <c r="C8" s="3">
        <v>8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64900</v>
      </c>
      <c r="F8" s="11">
        <v>5.0000000000000001E-3</v>
      </c>
      <c r="G8" s="12">
        <f>Submetering!R8</f>
        <v>1028.8744379999998</v>
      </c>
      <c r="H8" s="11">
        <v>0.52800000000000002</v>
      </c>
      <c r="I8" s="12">
        <f>Hotel!B13</f>
        <v>158</v>
      </c>
    </row>
    <row r="9" spans="1:9" s="15" customFormat="1" x14ac:dyDescent="0.25">
      <c r="A9" s="21" t="s">
        <v>31</v>
      </c>
      <c r="B9" s="14">
        <f t="shared" si="0"/>
        <v>8</v>
      </c>
      <c r="C9" s="3">
        <v>8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62970</v>
      </c>
      <c r="F9" s="11">
        <v>5.0000000000000001E-3</v>
      </c>
      <c r="G9" s="12">
        <f>Submetering!R9</f>
        <v>1054.6152259999999</v>
      </c>
      <c r="H9" s="11">
        <v>0.52800000000000002</v>
      </c>
      <c r="I9" s="12">
        <f>Hotel!B14</f>
        <v>123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8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65930</v>
      </c>
      <c r="F10" s="11">
        <v>5.0000000000000001E-3</v>
      </c>
      <c r="G10" s="12">
        <f>Submetering!R10</f>
        <v>1020.5465359999999</v>
      </c>
      <c r="H10" s="11">
        <v>0.52800000000000002</v>
      </c>
      <c r="I10" s="12">
        <f>Hotel!B15</f>
        <v>74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8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70150</v>
      </c>
      <c r="F11" s="11">
        <v>5.0000000000000001E-3</v>
      </c>
      <c r="G11" s="12">
        <f>Submetering!R11</f>
        <v>1088.3053749999999</v>
      </c>
      <c r="H11" s="11">
        <v>0.52800000000000002</v>
      </c>
      <c r="I11" s="12">
        <f>Hotel!B16</f>
        <v>83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8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55000</v>
      </c>
      <c r="F12" s="11">
        <v>5.0000000000000001E-3</v>
      </c>
      <c r="G12" s="12">
        <f>Submetering!R12</f>
        <v>925.53274499999998</v>
      </c>
      <c r="H12" s="11">
        <v>0.52800000000000002</v>
      </c>
      <c r="I12" s="12">
        <f>Hotel!B17</f>
        <v>69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8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60590</v>
      </c>
      <c r="F13" s="11">
        <v>5.0000000000000001E-3</v>
      </c>
      <c r="G13" s="12">
        <f>Submetering!R13</f>
        <v>1046.2873240000001</v>
      </c>
      <c r="H13" s="11">
        <v>0.52800000000000002</v>
      </c>
      <c r="I13" s="12">
        <f>Hotel!B18</f>
        <v>98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8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62710</v>
      </c>
      <c r="F14" s="11">
        <v>5.0000000000000001E-3</v>
      </c>
      <c r="G14" s="12">
        <f>Submetering!R14</f>
        <v>1157.1998369999999</v>
      </c>
      <c r="H14" s="11">
        <v>0.52800000000000002</v>
      </c>
      <c r="I14" s="12">
        <f>Hotel!B19</f>
        <v>111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8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68180</v>
      </c>
      <c r="F15" s="11">
        <v>5.0000000000000001E-3</v>
      </c>
      <c r="G15" s="12">
        <f>Submetering!R15</f>
        <v>945.59541799999988</v>
      </c>
      <c r="H15" s="11">
        <v>0.52800000000000002</v>
      </c>
      <c r="I15" s="12">
        <f>Hotel!B20</f>
        <v>78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8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64120</v>
      </c>
      <c r="F16" s="11">
        <v>5.0000000000000001E-3</v>
      </c>
      <c r="G16" s="12">
        <f>Submetering!R16</f>
        <v>929.31815499999993</v>
      </c>
      <c r="H16" s="11">
        <v>0.52800000000000002</v>
      </c>
      <c r="I16" s="12">
        <f>Hotel!B21</f>
        <v>58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8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63590</v>
      </c>
      <c r="F17" s="11">
        <v>5.0000000000000001E-3</v>
      </c>
      <c r="G17" s="12">
        <f>Submetering!R17</f>
        <v>1003.13365</v>
      </c>
      <c r="H17" s="11">
        <v>0.52800000000000002</v>
      </c>
      <c r="I17" s="12">
        <f>Hotel!B22</f>
        <v>68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8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61660</v>
      </c>
      <c r="F18" s="11">
        <v>5.0000000000000001E-3</v>
      </c>
      <c r="G18" s="12">
        <f>Submetering!R18</f>
        <v>1013.354257</v>
      </c>
      <c r="H18" s="11">
        <v>0.52800000000000002</v>
      </c>
      <c r="I18" s="12">
        <f>Hotel!B23</f>
        <v>72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8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8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8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8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8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8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8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8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8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8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8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8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8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8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8</v>
      </c>
      <c r="D2" s="11">
        <v>2021</v>
      </c>
      <c r="E2" s="4">
        <f>Hotel!Q7</f>
        <v>650</v>
      </c>
      <c r="F2" s="4">
        <f>Hotel!R7</f>
        <v>9390</v>
      </c>
      <c r="G2" s="4">
        <f>Hotel!S7</f>
        <v>2580</v>
      </c>
      <c r="H2" s="4">
        <f>Hotel!T7</f>
        <v>1100</v>
      </c>
      <c r="I2" s="4">
        <f>Hotel!U7</f>
        <v>2900</v>
      </c>
      <c r="J2" s="4">
        <f>Hotel!V7</f>
        <v>2270</v>
      </c>
      <c r="K2" s="4">
        <f>Hotel!W7</f>
        <v>1530</v>
      </c>
      <c r="L2" s="4">
        <f>Hotel!X7</f>
        <v>2630</v>
      </c>
      <c r="M2" s="4">
        <f>Hotel!Y7</f>
        <v>3540</v>
      </c>
      <c r="N2" s="4">
        <f>Hotel!Z7</f>
        <v>1790</v>
      </c>
      <c r="O2" s="4">
        <f>Hotel!AA7</f>
        <v>2180</v>
      </c>
      <c r="P2" s="4">
        <f>Hotel!AB7</f>
        <v>5290</v>
      </c>
      <c r="Q2" s="4">
        <f>Hotel!AC7</f>
        <v>5350</v>
      </c>
      <c r="R2" s="4">
        <f>Hotel!AV7*0.00378541*100</f>
        <v>594.68791099999999</v>
      </c>
      <c r="S2" s="4">
        <f>Hotel!B7</f>
        <v>92</v>
      </c>
    </row>
    <row r="3" spans="1:19" x14ac:dyDescent="0.25">
      <c r="A3" s="21" t="s">
        <v>31</v>
      </c>
      <c r="B3" s="2">
        <f>B2+1</f>
        <v>2</v>
      </c>
      <c r="C3" s="3">
        <v>8</v>
      </c>
      <c r="D3" s="11">
        <v>2021</v>
      </c>
      <c r="E3" s="4">
        <f>Hotel!Q8</f>
        <v>1020</v>
      </c>
      <c r="F3" s="4">
        <f>Hotel!R8</f>
        <v>14570</v>
      </c>
      <c r="G3" s="4">
        <f>Hotel!S8</f>
        <v>4500</v>
      </c>
      <c r="H3" s="4">
        <f>Hotel!T8</f>
        <v>1710</v>
      </c>
      <c r="I3" s="4">
        <f>Hotel!U8</f>
        <v>4480</v>
      </c>
      <c r="J3" s="4">
        <f>Hotel!V8</f>
        <v>3480</v>
      </c>
      <c r="K3" s="4">
        <f>Hotel!W8</f>
        <v>2400</v>
      </c>
      <c r="L3" s="4">
        <f>Hotel!X8</f>
        <v>3740</v>
      </c>
      <c r="M3" s="4">
        <f>Hotel!Y8</f>
        <v>5540</v>
      </c>
      <c r="N3" s="4">
        <f>Hotel!Z8</f>
        <v>2640</v>
      </c>
      <c r="O3" s="4">
        <f>Hotel!AA8</f>
        <v>3130</v>
      </c>
      <c r="P3" s="4">
        <f>Hotel!AB8</f>
        <v>8070</v>
      </c>
      <c r="Q3" s="4">
        <f>Hotel!AC8</f>
        <v>9320</v>
      </c>
      <c r="R3" s="4">
        <f>Hotel!AV8*0.00378541*100</f>
        <v>1141.301115</v>
      </c>
      <c r="S3" s="4">
        <f>Hotel!B8</f>
        <v>86</v>
      </c>
    </row>
    <row r="4" spans="1:19" x14ac:dyDescent="0.25">
      <c r="A4" s="21" t="s">
        <v>31</v>
      </c>
      <c r="B4" s="2">
        <f t="shared" ref="B4:B29" si="0">B3+1</f>
        <v>3</v>
      </c>
      <c r="C4" s="3">
        <v>8</v>
      </c>
      <c r="D4" s="11">
        <v>2021</v>
      </c>
      <c r="E4" s="4">
        <f>Hotel!Q9</f>
        <v>1000</v>
      </c>
      <c r="F4" s="4">
        <f>Hotel!R9</f>
        <v>13540</v>
      </c>
      <c r="G4" s="4">
        <f>Hotel!S9</f>
        <v>3150</v>
      </c>
      <c r="H4" s="4">
        <f>Hotel!T9</f>
        <v>1660</v>
      </c>
      <c r="I4" s="4">
        <f>Hotel!U9</f>
        <v>4280</v>
      </c>
      <c r="J4" s="4">
        <f>Hotel!V9</f>
        <v>3330</v>
      </c>
      <c r="K4" s="4">
        <f>Hotel!W9</f>
        <v>2330</v>
      </c>
      <c r="L4" s="4">
        <f>Hotel!X9</f>
        <v>4010</v>
      </c>
      <c r="M4" s="4">
        <f>Hotel!Y9</f>
        <v>5380</v>
      </c>
      <c r="N4" s="4">
        <f>Hotel!Z9</f>
        <v>2620</v>
      </c>
      <c r="O4" s="4">
        <f>Hotel!AA9</f>
        <v>2910</v>
      </c>
      <c r="P4" s="4">
        <f>Hotel!AB9</f>
        <v>7830</v>
      </c>
      <c r="Q4" s="4">
        <f>Hotel!AC9</f>
        <v>9140</v>
      </c>
      <c r="R4" s="4">
        <f>Hotel!AV9*0.00378541*100</f>
        <v>899.41341599999998</v>
      </c>
      <c r="S4" s="4">
        <f>Hotel!B9</f>
        <v>82</v>
      </c>
    </row>
    <row r="5" spans="1:19" x14ac:dyDescent="0.25">
      <c r="A5" s="21" t="s">
        <v>31</v>
      </c>
      <c r="B5" s="2">
        <f t="shared" si="0"/>
        <v>4</v>
      </c>
      <c r="C5" s="3">
        <v>8</v>
      </c>
      <c r="D5" s="11">
        <v>2021</v>
      </c>
      <c r="E5" s="4">
        <f>Hotel!Q10</f>
        <v>1000</v>
      </c>
      <c r="F5" s="4">
        <f>Hotel!R10</f>
        <v>14000</v>
      </c>
      <c r="G5" s="4">
        <f>Hotel!S10</f>
        <v>3800</v>
      </c>
      <c r="H5" s="4">
        <f>Hotel!T10</f>
        <v>1680</v>
      </c>
      <c r="I5" s="4">
        <f>Hotel!U10</f>
        <v>4220</v>
      </c>
      <c r="J5" s="4">
        <f>Hotel!V10</f>
        <v>3390</v>
      </c>
      <c r="K5" s="4">
        <f>Hotel!W10</f>
        <v>2330</v>
      </c>
      <c r="L5" s="4">
        <f>Hotel!X10</f>
        <v>4110</v>
      </c>
      <c r="M5" s="4">
        <f>Hotel!Y10</f>
        <v>5300</v>
      </c>
      <c r="N5" s="4">
        <f>Hotel!Z10</f>
        <v>2580</v>
      </c>
      <c r="O5" s="4">
        <f>Hotel!AA10</f>
        <v>2850</v>
      </c>
      <c r="P5" s="4">
        <f>Hotel!AB10</f>
        <v>7730</v>
      </c>
      <c r="Q5" s="4">
        <f>Hotel!AC10</f>
        <v>8280</v>
      </c>
      <c r="R5" s="4">
        <f>Hotel!AV10*0.00378541*100</f>
        <v>1323.0007949999999</v>
      </c>
      <c r="S5" s="4">
        <f>Hotel!B10</f>
        <v>93</v>
      </c>
    </row>
    <row r="6" spans="1:19" x14ac:dyDescent="0.25">
      <c r="A6" s="21" t="s">
        <v>31</v>
      </c>
      <c r="B6" s="2">
        <f t="shared" si="0"/>
        <v>5</v>
      </c>
      <c r="C6" s="3">
        <v>8</v>
      </c>
      <c r="D6" s="11">
        <v>2021</v>
      </c>
      <c r="E6" s="4">
        <f>Hotel!Q11</f>
        <v>980</v>
      </c>
      <c r="F6" s="4">
        <f>Hotel!R11</f>
        <v>13920</v>
      </c>
      <c r="G6" s="4">
        <f>Hotel!S11</f>
        <v>3810</v>
      </c>
      <c r="H6" s="4">
        <f>Hotel!T11</f>
        <v>1640</v>
      </c>
      <c r="I6" s="4">
        <f>Hotel!U11</f>
        <v>4060</v>
      </c>
      <c r="J6" s="4">
        <f>Hotel!V11</f>
        <v>3360</v>
      </c>
      <c r="K6" s="4">
        <f>Hotel!W11</f>
        <v>2300</v>
      </c>
      <c r="L6" s="4">
        <f>Hotel!X11</f>
        <v>3980</v>
      </c>
      <c r="M6" s="4">
        <f>Hotel!Y11</f>
        <v>5420</v>
      </c>
      <c r="N6" s="4">
        <f>Hotel!Z11</f>
        <v>2590</v>
      </c>
      <c r="O6" s="4">
        <f>Hotel!AA11</f>
        <v>2990</v>
      </c>
      <c r="P6" s="4">
        <f>Hotel!AB11</f>
        <v>7610</v>
      </c>
      <c r="Q6" s="4">
        <f>Hotel!AC11</f>
        <v>8230</v>
      </c>
      <c r="R6" s="4">
        <f>Hotel!AV11*0.00378541*100</f>
        <v>1030.010061</v>
      </c>
      <c r="S6" s="4">
        <f>Hotel!B11</f>
        <v>108</v>
      </c>
    </row>
    <row r="7" spans="1:19" x14ac:dyDescent="0.25">
      <c r="A7" s="21" t="s">
        <v>31</v>
      </c>
      <c r="B7" s="2">
        <f t="shared" si="0"/>
        <v>6</v>
      </c>
      <c r="C7" s="3">
        <v>8</v>
      </c>
      <c r="D7" s="11">
        <v>2021</v>
      </c>
      <c r="E7" s="4">
        <f>Hotel!Q12</f>
        <v>980</v>
      </c>
      <c r="F7" s="4">
        <f>Hotel!R12</f>
        <v>14170</v>
      </c>
      <c r="G7" s="4">
        <f>Hotel!S12</f>
        <v>3900</v>
      </c>
      <c r="H7" s="4">
        <f>Hotel!T12</f>
        <v>1650</v>
      </c>
      <c r="I7" s="4">
        <f>Hotel!U12</f>
        <v>4290</v>
      </c>
      <c r="J7" s="4">
        <f>Hotel!V12</f>
        <v>3470</v>
      </c>
      <c r="K7" s="4">
        <f>Hotel!W12</f>
        <v>2300</v>
      </c>
      <c r="L7" s="4">
        <f>Hotel!X12</f>
        <v>4210</v>
      </c>
      <c r="M7" s="4">
        <f>Hotel!Y12</f>
        <v>5640</v>
      </c>
      <c r="N7" s="4">
        <f>Hotel!Z12</f>
        <v>2710</v>
      </c>
      <c r="O7" s="4">
        <f>Hotel!AA12</f>
        <v>3120</v>
      </c>
      <c r="P7" s="4">
        <f>Hotel!AB12</f>
        <v>7720</v>
      </c>
      <c r="Q7" s="4">
        <f>Hotel!AC12</f>
        <v>8470</v>
      </c>
      <c r="R7" s="4">
        <f>Hotel!AV12*0.00378541*100</f>
        <v>1034.1740119999999</v>
      </c>
      <c r="S7" s="4">
        <f>Hotel!B12</f>
        <v>137</v>
      </c>
    </row>
    <row r="8" spans="1:19" x14ac:dyDescent="0.25">
      <c r="A8" s="21" t="s">
        <v>31</v>
      </c>
      <c r="B8" s="2">
        <f t="shared" si="0"/>
        <v>7</v>
      </c>
      <c r="C8" s="3">
        <v>8</v>
      </c>
      <c r="D8" s="11">
        <v>2021</v>
      </c>
      <c r="E8" s="4">
        <f>Hotel!Q13</f>
        <v>1010</v>
      </c>
      <c r="F8" s="4">
        <f>Hotel!R13</f>
        <v>15220</v>
      </c>
      <c r="G8" s="4">
        <f>Hotel!S13</f>
        <v>4260</v>
      </c>
      <c r="H8" s="4">
        <f>Hotel!T13</f>
        <v>1710</v>
      </c>
      <c r="I8" s="4">
        <f>Hotel!U13</f>
        <v>4380</v>
      </c>
      <c r="J8" s="4">
        <f>Hotel!V13</f>
        <v>3620</v>
      </c>
      <c r="K8" s="4">
        <f>Hotel!W13</f>
        <v>2360</v>
      </c>
      <c r="L8" s="4">
        <f>Hotel!X13</f>
        <v>4240</v>
      </c>
      <c r="M8" s="4">
        <f>Hotel!Y13</f>
        <v>5860</v>
      </c>
      <c r="N8" s="4">
        <f>Hotel!Z13</f>
        <v>2770</v>
      </c>
      <c r="O8" s="4">
        <f>Hotel!AA13</f>
        <v>3270</v>
      </c>
      <c r="P8" s="4">
        <f>Hotel!AB13</f>
        <v>7800</v>
      </c>
      <c r="Q8" s="4">
        <f>Hotel!AC13</f>
        <v>8400</v>
      </c>
      <c r="R8" s="4">
        <f>Hotel!AV13*0.00378541*100</f>
        <v>1028.8744379999998</v>
      </c>
      <c r="S8" s="4">
        <f>Hotel!B13</f>
        <v>158</v>
      </c>
    </row>
    <row r="9" spans="1:19" x14ac:dyDescent="0.25">
      <c r="A9" s="21" t="s">
        <v>31</v>
      </c>
      <c r="B9" s="2">
        <f t="shared" si="0"/>
        <v>8</v>
      </c>
      <c r="C9" s="3">
        <v>8</v>
      </c>
      <c r="D9" s="11">
        <v>2021</v>
      </c>
      <c r="E9" s="4">
        <f>Hotel!Q14</f>
        <v>1000</v>
      </c>
      <c r="F9" s="4">
        <f>Hotel!R14</f>
        <v>14290</v>
      </c>
      <c r="G9" s="4">
        <f>Hotel!S14</f>
        <v>3920</v>
      </c>
      <c r="H9" s="4">
        <f>Hotel!T14</f>
        <v>1670</v>
      </c>
      <c r="I9" s="4">
        <f>Hotel!U14</f>
        <v>4360</v>
      </c>
      <c r="J9" s="4">
        <f>Hotel!V14</f>
        <v>3540</v>
      </c>
      <c r="K9" s="4">
        <f>Hotel!W14</f>
        <v>2320</v>
      </c>
      <c r="L9" s="4">
        <f>Hotel!X14</f>
        <v>3870</v>
      </c>
      <c r="M9" s="4">
        <f>Hotel!Y14</f>
        <v>5670</v>
      </c>
      <c r="N9" s="4">
        <f>Hotel!Z14</f>
        <v>2850</v>
      </c>
      <c r="O9" s="4">
        <f>Hotel!AA14</f>
        <v>3180</v>
      </c>
      <c r="P9" s="4">
        <f>Hotel!AB14</f>
        <v>7700</v>
      </c>
      <c r="Q9" s="4">
        <f>Hotel!AC14</f>
        <v>8600</v>
      </c>
      <c r="R9" s="4">
        <f>Hotel!AV14*0.00378541*100</f>
        <v>1054.6152259999999</v>
      </c>
      <c r="S9" s="4">
        <f>Hotel!B14</f>
        <v>123</v>
      </c>
    </row>
    <row r="10" spans="1:19" x14ac:dyDescent="0.25">
      <c r="A10" s="21" t="s">
        <v>31</v>
      </c>
      <c r="B10" s="2">
        <f t="shared" si="0"/>
        <v>9</v>
      </c>
      <c r="C10" s="3">
        <v>8</v>
      </c>
      <c r="D10" s="11">
        <v>2021</v>
      </c>
      <c r="E10" s="4">
        <f>Hotel!Q15</f>
        <v>1050</v>
      </c>
      <c r="F10" s="4">
        <f>Hotel!R15</f>
        <v>14670</v>
      </c>
      <c r="G10" s="4">
        <f>Hotel!S15</f>
        <v>3980</v>
      </c>
      <c r="H10" s="4">
        <f>Hotel!T15</f>
        <v>1770</v>
      </c>
      <c r="I10" s="4">
        <f>Hotel!U15</f>
        <v>4470</v>
      </c>
      <c r="J10" s="4">
        <f>Hotel!V15</f>
        <v>3710</v>
      </c>
      <c r="K10" s="4">
        <f>Hotel!W15</f>
        <v>2500</v>
      </c>
      <c r="L10" s="4">
        <f>Hotel!X15</f>
        <v>3910</v>
      </c>
      <c r="M10" s="4">
        <f>Hotel!Y15</f>
        <v>5920</v>
      </c>
      <c r="N10" s="4">
        <f>Hotel!Z15</f>
        <v>2820</v>
      </c>
      <c r="O10" s="4">
        <f>Hotel!AA15</f>
        <v>3170</v>
      </c>
      <c r="P10" s="4">
        <f>Hotel!AB15</f>
        <v>8190</v>
      </c>
      <c r="Q10" s="4">
        <f>Hotel!AC15</f>
        <v>9770</v>
      </c>
      <c r="R10" s="4">
        <f>Hotel!AV15*0.00378541*100</f>
        <v>1020.5465359999999</v>
      </c>
      <c r="S10" s="4">
        <f>Hotel!B15</f>
        <v>74</v>
      </c>
    </row>
    <row r="11" spans="1:19" x14ac:dyDescent="0.25">
      <c r="A11" s="21" t="s">
        <v>31</v>
      </c>
      <c r="B11" s="2">
        <f t="shared" si="0"/>
        <v>10</v>
      </c>
      <c r="C11" s="3">
        <v>8</v>
      </c>
      <c r="D11" s="11">
        <v>2021</v>
      </c>
      <c r="E11" s="4">
        <f>Hotel!Q16</f>
        <v>1120</v>
      </c>
      <c r="F11" s="4">
        <f>Hotel!R16</f>
        <v>15560</v>
      </c>
      <c r="G11" s="4">
        <f>Hotel!S16</f>
        <v>4210</v>
      </c>
      <c r="H11" s="4">
        <f>Hotel!T16</f>
        <v>1890</v>
      </c>
      <c r="I11" s="4">
        <f>Hotel!U16</f>
        <v>4550</v>
      </c>
      <c r="J11" s="4">
        <f>Hotel!V16</f>
        <v>3890</v>
      </c>
      <c r="K11" s="4">
        <f>Hotel!W16</f>
        <v>2630</v>
      </c>
      <c r="L11" s="4">
        <f>Hotel!X16</f>
        <v>4520</v>
      </c>
      <c r="M11" s="4">
        <f>Hotel!Y16</f>
        <v>6150</v>
      </c>
      <c r="N11" s="4">
        <f>Hotel!Z16</f>
        <v>2820</v>
      </c>
      <c r="O11" s="4">
        <f>Hotel!AA16</f>
        <v>3200</v>
      </c>
      <c r="P11" s="4">
        <f>Hotel!AB16</f>
        <v>8360</v>
      </c>
      <c r="Q11" s="4">
        <f>Hotel!AC16</f>
        <v>11250</v>
      </c>
      <c r="R11" s="4">
        <f>Hotel!AV16*0.00378541*100</f>
        <v>1088.3053749999999</v>
      </c>
      <c r="S11" s="4">
        <f>Hotel!B16</f>
        <v>83</v>
      </c>
    </row>
    <row r="12" spans="1:19" x14ac:dyDescent="0.25">
      <c r="A12" s="21" t="s">
        <v>31</v>
      </c>
      <c r="B12" s="2">
        <f t="shared" si="0"/>
        <v>11</v>
      </c>
      <c r="C12" s="3">
        <v>8</v>
      </c>
      <c r="D12" s="11">
        <v>2021</v>
      </c>
      <c r="E12" s="4">
        <f>Hotel!Q17</f>
        <v>880</v>
      </c>
      <c r="F12" s="4">
        <f>Hotel!R17</f>
        <v>12410</v>
      </c>
      <c r="G12" s="4">
        <f>Hotel!S17</f>
        <v>3380</v>
      </c>
      <c r="H12" s="4">
        <f>Hotel!T17</f>
        <v>1470</v>
      </c>
      <c r="I12" s="4">
        <f>Hotel!U17</f>
        <v>3580</v>
      </c>
      <c r="J12" s="4">
        <f>Hotel!V17</f>
        <v>3120</v>
      </c>
      <c r="K12" s="4">
        <f>Hotel!W17</f>
        <v>2090</v>
      </c>
      <c r="L12" s="4">
        <f>Hotel!X17</f>
        <v>3720</v>
      </c>
      <c r="M12" s="4">
        <f>Hotel!Y17</f>
        <v>4850</v>
      </c>
      <c r="N12" s="4">
        <f>Hotel!Z17</f>
        <v>2240</v>
      </c>
      <c r="O12" s="4">
        <f>Hotel!AA17</f>
        <v>2610</v>
      </c>
      <c r="P12" s="4">
        <f>Hotel!AB17</f>
        <v>6750</v>
      </c>
      <c r="Q12" s="4">
        <f>Hotel!AC17</f>
        <v>7900</v>
      </c>
      <c r="R12" s="4">
        <f>Hotel!AV17*0.00378541*100</f>
        <v>925.53274499999998</v>
      </c>
      <c r="S12" s="4">
        <f>Hotel!B17</f>
        <v>69</v>
      </c>
    </row>
    <row r="13" spans="1:19" x14ac:dyDescent="0.25">
      <c r="A13" s="21" t="s">
        <v>31</v>
      </c>
      <c r="B13" s="2">
        <f t="shared" si="0"/>
        <v>12</v>
      </c>
      <c r="C13" s="3">
        <v>8</v>
      </c>
      <c r="D13" s="11">
        <v>2021</v>
      </c>
      <c r="E13" s="4">
        <f>Hotel!Q18</f>
        <v>970</v>
      </c>
      <c r="F13" s="4">
        <f>Hotel!R18</f>
        <v>13630</v>
      </c>
      <c r="G13" s="4">
        <f>Hotel!S18</f>
        <v>3730</v>
      </c>
      <c r="H13" s="4">
        <f>Hotel!T18</f>
        <v>1630</v>
      </c>
      <c r="I13" s="4">
        <f>Hotel!U18</f>
        <v>3980</v>
      </c>
      <c r="J13" s="4">
        <f>Hotel!V18</f>
        <v>3450</v>
      </c>
      <c r="K13" s="4">
        <f>Hotel!W18</f>
        <v>2280</v>
      </c>
      <c r="L13" s="4">
        <f>Hotel!X18</f>
        <v>4230</v>
      </c>
      <c r="M13" s="4">
        <f>Hotel!Y18</f>
        <v>5200</v>
      </c>
      <c r="N13" s="4">
        <f>Hotel!Z18</f>
        <v>2510</v>
      </c>
      <c r="O13" s="4">
        <f>Hotel!AA18</f>
        <v>3130</v>
      </c>
      <c r="P13" s="4">
        <f>Hotel!AB18</f>
        <v>7450</v>
      </c>
      <c r="Q13" s="4">
        <f>Hotel!AC18</f>
        <v>8400</v>
      </c>
      <c r="R13" s="4">
        <f>Hotel!AV18*0.00378541*100</f>
        <v>1046.2873240000001</v>
      </c>
      <c r="S13" s="4">
        <f>Hotel!B18</f>
        <v>98</v>
      </c>
    </row>
    <row r="14" spans="1:19" x14ac:dyDescent="0.25">
      <c r="A14" s="21" t="s">
        <v>31</v>
      </c>
      <c r="B14" s="2">
        <f t="shared" si="0"/>
        <v>13</v>
      </c>
      <c r="C14" s="3">
        <v>8</v>
      </c>
      <c r="D14" s="11">
        <v>2021</v>
      </c>
      <c r="E14" s="4">
        <f>Hotel!Q19</f>
        <v>1000</v>
      </c>
      <c r="F14" s="4">
        <f>Hotel!R19</f>
        <v>14070</v>
      </c>
      <c r="G14" s="4">
        <f>Hotel!S19</f>
        <v>3830</v>
      </c>
      <c r="H14" s="4">
        <f>Hotel!T19</f>
        <v>1680</v>
      </c>
      <c r="I14" s="4">
        <f>Hotel!U19</f>
        <v>3950</v>
      </c>
      <c r="J14" s="4">
        <f>Hotel!V19</f>
        <v>3540</v>
      </c>
      <c r="K14" s="4">
        <f>Hotel!W19</f>
        <v>2340</v>
      </c>
      <c r="L14" s="4">
        <f>Hotel!X19</f>
        <v>4480</v>
      </c>
      <c r="M14" s="4">
        <f>Hotel!Y19</f>
        <v>5650</v>
      </c>
      <c r="N14" s="4">
        <f>Hotel!Z19</f>
        <v>2630</v>
      </c>
      <c r="O14" s="4">
        <f>Hotel!AA19</f>
        <v>3170</v>
      </c>
      <c r="P14" s="4">
        <f>Hotel!AB19</f>
        <v>7780</v>
      </c>
      <c r="Q14" s="4">
        <f>Hotel!AC19</f>
        <v>8590</v>
      </c>
      <c r="R14" s="4">
        <f>Hotel!AV19*0.00378541*100</f>
        <v>1157.1998369999999</v>
      </c>
      <c r="S14" s="4">
        <f>Hotel!B19</f>
        <v>111</v>
      </c>
    </row>
    <row r="15" spans="1:19" x14ac:dyDescent="0.25">
      <c r="A15" s="21" t="s">
        <v>31</v>
      </c>
      <c r="B15" s="2">
        <f t="shared" si="0"/>
        <v>14</v>
      </c>
      <c r="C15" s="3">
        <v>8</v>
      </c>
      <c r="D15" s="11">
        <v>2021</v>
      </c>
      <c r="E15" s="4">
        <f>Hotel!Q20</f>
        <v>1070</v>
      </c>
      <c r="F15" s="4">
        <f>Hotel!R20</f>
        <v>15280</v>
      </c>
      <c r="G15" s="4">
        <f>Hotel!S20</f>
        <v>4160</v>
      </c>
      <c r="H15" s="4">
        <f>Hotel!T20</f>
        <v>1800</v>
      </c>
      <c r="I15" s="4">
        <f>Hotel!U20</f>
        <v>4260</v>
      </c>
      <c r="J15" s="4">
        <f>Hotel!V20</f>
        <v>3700</v>
      </c>
      <c r="K15" s="4">
        <f>Hotel!W20</f>
        <v>2500</v>
      </c>
      <c r="L15" s="4">
        <f>Hotel!X20</f>
        <v>4530</v>
      </c>
      <c r="M15" s="4">
        <f>Hotel!Y20</f>
        <v>6130</v>
      </c>
      <c r="N15" s="4">
        <f>Hotel!Z20</f>
        <v>2820</v>
      </c>
      <c r="O15" s="4">
        <f>Hotel!AA20</f>
        <v>3260</v>
      </c>
      <c r="P15" s="4">
        <f>Hotel!AB20</f>
        <v>8160</v>
      </c>
      <c r="Q15" s="4">
        <f>Hotel!AC20</f>
        <v>10510</v>
      </c>
      <c r="R15" s="4">
        <f>Hotel!AV20*0.00378541*100</f>
        <v>945.59541799999988</v>
      </c>
      <c r="S15" s="4">
        <f>Hotel!B20</f>
        <v>78</v>
      </c>
    </row>
    <row r="16" spans="1:19" x14ac:dyDescent="0.25">
      <c r="A16" s="21" t="s">
        <v>31</v>
      </c>
      <c r="B16" s="2">
        <f t="shared" si="0"/>
        <v>15</v>
      </c>
      <c r="C16" s="3">
        <v>8</v>
      </c>
      <c r="D16" s="11">
        <v>2021</v>
      </c>
      <c r="E16" s="4">
        <f>Hotel!Q21</f>
        <v>1010</v>
      </c>
      <c r="F16" s="4">
        <f>Hotel!R21</f>
        <v>14160</v>
      </c>
      <c r="G16" s="4">
        <f>Hotel!S21</f>
        <v>3840</v>
      </c>
      <c r="H16" s="4">
        <f>Hotel!T21</f>
        <v>1690</v>
      </c>
      <c r="I16" s="4">
        <f>Hotel!U21</f>
        <v>3980</v>
      </c>
      <c r="J16" s="4">
        <f>Hotel!V21</f>
        <v>3360</v>
      </c>
      <c r="K16" s="4">
        <f>Hotel!W21</f>
        <v>2340</v>
      </c>
      <c r="L16" s="4">
        <f>Hotel!X21</f>
        <v>4230</v>
      </c>
      <c r="M16" s="4">
        <f>Hotel!Y21</f>
        <v>5620</v>
      </c>
      <c r="N16" s="4">
        <f>Hotel!Z21</f>
        <v>2520</v>
      </c>
      <c r="O16" s="4">
        <f>Hotel!AA21</f>
        <v>2930</v>
      </c>
      <c r="P16" s="4">
        <f>Hotel!AB21</f>
        <v>7630</v>
      </c>
      <c r="Q16" s="4">
        <f>Hotel!AC21</f>
        <v>10810</v>
      </c>
      <c r="R16" s="4">
        <f>Hotel!AV21*0.00378541*100</f>
        <v>929.31815499999993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8</v>
      </c>
      <c r="D17" s="11">
        <v>2021</v>
      </c>
      <c r="E17" s="4">
        <f>Hotel!Q22</f>
        <v>1010</v>
      </c>
      <c r="F17" s="4">
        <f>Hotel!R22</f>
        <v>14130</v>
      </c>
      <c r="G17" s="4">
        <f>Hotel!S22</f>
        <v>3800</v>
      </c>
      <c r="H17" s="4">
        <f>Hotel!T22</f>
        <v>1690</v>
      </c>
      <c r="I17" s="4">
        <f>Hotel!U22</f>
        <v>3750</v>
      </c>
      <c r="J17" s="4">
        <f>Hotel!V22</f>
        <v>3360</v>
      </c>
      <c r="K17" s="4">
        <f>Hotel!W22</f>
        <v>2360</v>
      </c>
      <c r="L17" s="4">
        <f>Hotel!X22</f>
        <v>4060</v>
      </c>
      <c r="M17" s="4">
        <f>Hotel!Y22</f>
        <v>5870</v>
      </c>
      <c r="N17" s="4">
        <f>Hotel!Z22</f>
        <v>2270</v>
      </c>
      <c r="O17" s="4">
        <f>Hotel!AA22</f>
        <v>2960</v>
      </c>
      <c r="P17" s="4">
        <f>Hotel!AB22</f>
        <v>7780</v>
      </c>
      <c r="Q17" s="4">
        <f>Hotel!AC22</f>
        <v>10550</v>
      </c>
      <c r="R17" s="4">
        <f>Hotel!AV22*0.00378541*100</f>
        <v>1003.13365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8</v>
      </c>
      <c r="D18" s="11">
        <v>2021</v>
      </c>
      <c r="E18" s="4">
        <f>Hotel!Q23</f>
        <v>980</v>
      </c>
      <c r="F18" s="4">
        <f>Hotel!R23</f>
        <v>13410</v>
      </c>
      <c r="G18" s="4">
        <f>Hotel!S23</f>
        <v>3630</v>
      </c>
      <c r="H18" s="4">
        <f>Hotel!T23</f>
        <v>1650</v>
      </c>
      <c r="I18" s="4">
        <f>Hotel!U23</f>
        <v>3740</v>
      </c>
      <c r="J18" s="4">
        <f>Hotel!V23</f>
        <v>3250</v>
      </c>
      <c r="K18" s="4">
        <f>Hotel!W23</f>
        <v>2310</v>
      </c>
      <c r="L18" s="4">
        <f>Hotel!X23</f>
        <v>5020</v>
      </c>
      <c r="M18" s="4">
        <f>Hotel!Y23</f>
        <v>5050</v>
      </c>
      <c r="N18" s="4">
        <f>Hotel!Z23</f>
        <v>2240</v>
      </c>
      <c r="O18" s="4">
        <f>Hotel!AA23</f>
        <v>2940</v>
      </c>
      <c r="P18" s="4">
        <f>Hotel!AB23</f>
        <v>7560</v>
      </c>
      <c r="Q18" s="4">
        <f>Hotel!AC23</f>
        <v>9880</v>
      </c>
      <c r="R18" s="4">
        <f>Hotel!AV23*0.00378541*100</f>
        <v>1013.354257</v>
      </c>
      <c r="S18" s="4">
        <f>Hotel!B23</f>
        <v>72</v>
      </c>
    </row>
    <row r="19" spans="1:19" x14ac:dyDescent="0.25">
      <c r="A19" s="21" t="s">
        <v>31</v>
      </c>
      <c r="B19" s="2">
        <f t="shared" si="0"/>
        <v>18</v>
      </c>
      <c r="C19" s="3">
        <v>8</v>
      </c>
      <c r="D19" s="11">
        <v>2021</v>
      </c>
      <c r="E19" s="4" t="str">
        <f>Hotel!Q24</f>
        <v>0</v>
      </c>
      <c r="F19" s="4" t="str">
        <f>Hotel!R24</f>
        <v>0</v>
      </c>
      <c r="G19" s="4" t="str">
        <f>Hotel!S24</f>
        <v>0</v>
      </c>
      <c r="H19" s="4" t="str">
        <f>Hotel!T24</f>
        <v>0</v>
      </c>
      <c r="I19" s="4" t="str">
        <f>Hotel!U24</f>
        <v>0</v>
      </c>
      <c r="J19" s="4" t="str">
        <f>Hotel!V24</f>
        <v>0</v>
      </c>
      <c r="K19" s="4" t="str">
        <f>Hotel!W24</f>
        <v>0</v>
      </c>
      <c r="L19" s="4" t="str">
        <f>Hotel!X24</f>
        <v>0</v>
      </c>
      <c r="M19" s="4" t="str">
        <f>Hotel!Y24</f>
        <v>0</v>
      </c>
      <c r="N19" s="4" t="str">
        <f>Hotel!Z24</f>
        <v>0</v>
      </c>
      <c r="O19" s="4" t="str">
        <f>Hotel!AA24</f>
        <v>0</v>
      </c>
      <c r="P19" s="4" t="str">
        <f>Hotel!AB24</f>
        <v>0</v>
      </c>
      <c r="Q19" s="4" t="str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8</v>
      </c>
      <c r="D20" s="11">
        <v>2021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8</v>
      </c>
      <c r="D21" s="11">
        <v>2021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8</v>
      </c>
      <c r="D22" s="11">
        <v>2021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8</v>
      </c>
      <c r="D23" s="11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8</v>
      </c>
      <c r="D24" s="11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8</v>
      </c>
      <c r="D25" s="11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8</v>
      </c>
      <c r="D26" s="11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8</v>
      </c>
      <c r="D27" s="11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8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8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8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8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8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G1" zoomScale="93" zoomScaleNormal="93" workbookViewId="0">
      <selection activeCell="AK28" sqref="AK28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44408</v>
      </c>
      <c r="B2" s="40">
        <v>101</v>
      </c>
      <c r="C2" s="24">
        <v>6717680</v>
      </c>
      <c r="D2" s="24">
        <v>16349650</v>
      </c>
      <c r="E2" s="24">
        <v>2923880</v>
      </c>
      <c r="F2" s="24">
        <v>3573560</v>
      </c>
      <c r="G2" s="24">
        <v>10612910</v>
      </c>
      <c r="H2" s="24">
        <v>5692470</v>
      </c>
      <c r="I2" s="24">
        <v>5204460</v>
      </c>
      <c r="J2" s="24">
        <v>6113880</v>
      </c>
      <c r="K2" s="24">
        <v>9441380</v>
      </c>
      <c r="L2" s="24">
        <v>3965770</v>
      </c>
      <c r="M2" s="24">
        <v>8062850</v>
      </c>
      <c r="N2" s="24">
        <v>12393670</v>
      </c>
      <c r="O2" s="24">
        <v>17120540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112117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112117</v>
      </c>
    </row>
    <row r="7" spans="1:49" x14ac:dyDescent="0.25">
      <c r="A7" s="23">
        <v>44409</v>
      </c>
      <c r="B7" s="40">
        <v>92</v>
      </c>
      <c r="C7" s="24">
        <v>6718330</v>
      </c>
      <c r="D7" s="24">
        <v>16359040</v>
      </c>
      <c r="E7" s="24">
        <v>2926460</v>
      </c>
      <c r="F7" s="24">
        <v>3574660</v>
      </c>
      <c r="G7" s="24">
        <v>10615810</v>
      </c>
      <c r="H7" s="24">
        <v>5694740</v>
      </c>
      <c r="I7" s="24">
        <v>5205990</v>
      </c>
      <c r="J7" s="24">
        <v>6116510</v>
      </c>
      <c r="K7" s="24">
        <v>9444920</v>
      </c>
      <c r="L7" s="24">
        <v>3967560</v>
      </c>
      <c r="M7" s="24">
        <v>8065030</v>
      </c>
      <c r="N7" s="24">
        <v>12398960</v>
      </c>
      <c r="O7" s="24">
        <v>17125890</v>
      </c>
      <c r="Q7" s="37">
        <f>IF((C7-C2&lt;0), "0",C7-C2)</f>
        <v>650</v>
      </c>
      <c r="R7" s="37">
        <f t="shared" ref="R7:AC7" si="0">IF((D7-D2&lt;0), "0",D7-D2)</f>
        <v>9390</v>
      </c>
      <c r="S7" s="37">
        <f>IF((E7-E2&lt;0), "0",E7-E2)</f>
        <v>2580</v>
      </c>
      <c r="T7" s="37">
        <f t="shared" si="0"/>
        <v>1100</v>
      </c>
      <c r="U7" s="37">
        <f t="shared" si="0"/>
        <v>2900</v>
      </c>
      <c r="V7" s="37">
        <f t="shared" si="0"/>
        <v>2270</v>
      </c>
      <c r="W7" s="37">
        <f t="shared" si="0"/>
        <v>1530</v>
      </c>
      <c r="X7" s="37">
        <f t="shared" si="0"/>
        <v>2630</v>
      </c>
      <c r="Y7" s="37">
        <f t="shared" si="0"/>
        <v>3540</v>
      </c>
      <c r="Z7" s="37">
        <f t="shared" si="0"/>
        <v>1790</v>
      </c>
      <c r="AA7" s="37">
        <f t="shared" si="0"/>
        <v>2180</v>
      </c>
      <c r="AB7" s="37">
        <f t="shared" si="0"/>
        <v>5290</v>
      </c>
      <c r="AC7" s="37">
        <f t="shared" si="0"/>
        <v>5350</v>
      </c>
      <c r="AD7" s="34">
        <f>SUM(Q7:AC7)</f>
        <v>41200</v>
      </c>
      <c r="AF7" s="20">
        <f t="shared" ref="AF7:AF36" si="1">Q7*$D$39</f>
        <v>3.25</v>
      </c>
      <c r="AG7" s="20">
        <f t="shared" ref="AG7:AG36" si="2">R7*$D$39</f>
        <v>46.95</v>
      </c>
      <c r="AH7" s="20">
        <f t="shared" ref="AH7:AH36" si="3">S7*$D$39</f>
        <v>12.9</v>
      </c>
      <c r="AI7" s="20">
        <f t="shared" ref="AI7:AI36" si="4">T7*$D$39</f>
        <v>5.5</v>
      </c>
      <c r="AJ7" s="20">
        <f t="shared" ref="AJ7:AJ36" si="5">U7*$D$39</f>
        <v>14.5</v>
      </c>
      <c r="AK7" s="20">
        <f t="shared" ref="AK7:AK36" si="6">V7*$D$39</f>
        <v>11.35</v>
      </c>
      <c r="AL7" s="20">
        <f t="shared" ref="AL7:AL36" si="7">W7*$D$39</f>
        <v>7.65</v>
      </c>
      <c r="AM7" s="20">
        <f t="shared" ref="AM7:AM36" si="8">X7*$D$39</f>
        <v>13.15</v>
      </c>
      <c r="AN7" s="20">
        <f t="shared" ref="AN7:AN36" si="9">Y7*$D$39</f>
        <v>17.7</v>
      </c>
      <c r="AO7" s="20">
        <f t="shared" ref="AO7:AO36" si="10">Z7*$D$39</f>
        <v>8.9500000000000011</v>
      </c>
      <c r="AP7" s="20">
        <f t="shared" ref="AP7:AP36" si="11">AA7*$D$39</f>
        <v>10.9</v>
      </c>
      <c r="AQ7" s="20">
        <f t="shared" ref="AQ7:AQ36" si="12">AB7*$D$39</f>
        <v>26.45</v>
      </c>
      <c r="AR7" s="20">
        <f t="shared" ref="AR7:AR36" si="13">AC7*$D$39</f>
        <v>26.75</v>
      </c>
      <c r="AS7" s="35">
        <f>SUM(AF7:AR7)</f>
        <v>205.99999999999997</v>
      </c>
      <c r="AU7" s="47">
        <v>113688</v>
      </c>
      <c r="AV7" s="37">
        <f>IF((AU7-AU6&lt;0),"0",AU7-AU6)</f>
        <v>1571</v>
      </c>
      <c r="AW7" s="35">
        <f t="shared" ref="AW7:AW35" si="14">AV7*$D$40</f>
        <v>3.1419999999999999</v>
      </c>
    </row>
    <row r="8" spans="1:49" x14ac:dyDescent="0.25">
      <c r="A8" s="23">
        <v>44410</v>
      </c>
      <c r="B8" s="40">
        <v>86</v>
      </c>
      <c r="C8" s="24">
        <v>6719350</v>
      </c>
      <c r="D8" s="24">
        <v>16373610</v>
      </c>
      <c r="E8" s="24">
        <v>2930960</v>
      </c>
      <c r="F8" s="24">
        <v>3576370</v>
      </c>
      <c r="G8" s="24">
        <v>10620290</v>
      </c>
      <c r="H8" s="24">
        <v>5698220</v>
      </c>
      <c r="I8" s="24">
        <v>5208390</v>
      </c>
      <c r="J8" s="24">
        <v>6120250</v>
      </c>
      <c r="K8" s="24">
        <v>9450460</v>
      </c>
      <c r="L8" s="24">
        <v>3970200</v>
      </c>
      <c r="M8" s="24">
        <v>8068160</v>
      </c>
      <c r="N8" s="24">
        <v>12407030</v>
      </c>
      <c r="O8" s="24">
        <v>17135210</v>
      </c>
      <c r="Q8" s="37">
        <f>IF((C8-C7&lt;0), "0",C8-C7)</f>
        <v>1020</v>
      </c>
      <c r="R8" s="37">
        <f t="shared" ref="R8:AC8" si="15">IF((D8-D7&lt;0), "0",D8-D7)</f>
        <v>14570</v>
      </c>
      <c r="S8" s="37">
        <f t="shared" ref="S8:S35" si="16">IF((E8-E7&lt;0), "0",E8-E7)</f>
        <v>4500</v>
      </c>
      <c r="T8" s="37">
        <f t="shared" si="15"/>
        <v>1710</v>
      </c>
      <c r="U8" s="37">
        <f t="shared" si="15"/>
        <v>4480</v>
      </c>
      <c r="V8" s="37">
        <f t="shared" si="15"/>
        <v>3480</v>
      </c>
      <c r="W8" s="37">
        <f t="shared" si="15"/>
        <v>2400</v>
      </c>
      <c r="X8" s="37">
        <f t="shared" si="15"/>
        <v>3740</v>
      </c>
      <c r="Y8" s="37">
        <f t="shared" si="15"/>
        <v>5540</v>
      </c>
      <c r="Z8" s="37">
        <f t="shared" si="15"/>
        <v>2640</v>
      </c>
      <c r="AA8" s="37">
        <f t="shared" si="15"/>
        <v>3130</v>
      </c>
      <c r="AB8" s="37">
        <f t="shared" si="15"/>
        <v>8070</v>
      </c>
      <c r="AC8" s="37">
        <f t="shared" si="15"/>
        <v>9320</v>
      </c>
      <c r="AD8" s="35">
        <f>SUM(Q8:AC8)</f>
        <v>64600</v>
      </c>
      <c r="AF8" s="20">
        <f t="shared" si="1"/>
        <v>5.1000000000000005</v>
      </c>
      <c r="AG8" s="20">
        <f t="shared" si="2"/>
        <v>72.850000000000009</v>
      </c>
      <c r="AH8" s="20">
        <f t="shared" si="3"/>
        <v>22.5</v>
      </c>
      <c r="AI8" s="20">
        <f t="shared" si="4"/>
        <v>8.5500000000000007</v>
      </c>
      <c r="AJ8" s="20">
        <f t="shared" si="5"/>
        <v>22.400000000000002</v>
      </c>
      <c r="AK8" s="20">
        <f t="shared" si="6"/>
        <v>17.400000000000002</v>
      </c>
      <c r="AL8" s="20">
        <f t="shared" si="7"/>
        <v>12</v>
      </c>
      <c r="AM8" s="20">
        <f t="shared" si="8"/>
        <v>18.7</v>
      </c>
      <c r="AN8" s="20">
        <f t="shared" si="9"/>
        <v>27.7</v>
      </c>
      <c r="AO8" s="20">
        <f t="shared" si="10"/>
        <v>13.200000000000001</v>
      </c>
      <c r="AP8" s="20">
        <f t="shared" si="11"/>
        <v>15.65</v>
      </c>
      <c r="AQ8" s="20">
        <f t="shared" si="12"/>
        <v>40.35</v>
      </c>
      <c r="AR8" s="20">
        <f t="shared" si="13"/>
        <v>46.6</v>
      </c>
      <c r="AS8" s="35">
        <f>SUM(AF8:AR8)</f>
        <v>323</v>
      </c>
      <c r="AU8" s="47">
        <v>116703</v>
      </c>
      <c r="AV8" s="37">
        <f>IF((AU8-AU7&lt;0),"0",AU8-AU7)</f>
        <v>3015</v>
      </c>
      <c r="AW8" s="35">
        <f t="shared" si="14"/>
        <v>6.03</v>
      </c>
    </row>
    <row r="9" spans="1:49" x14ac:dyDescent="0.25">
      <c r="A9" s="23">
        <v>44411</v>
      </c>
      <c r="B9" s="40">
        <v>82</v>
      </c>
      <c r="C9" s="24">
        <v>6720350</v>
      </c>
      <c r="D9" s="24">
        <v>16387150</v>
      </c>
      <c r="E9" s="24">
        <v>2934110</v>
      </c>
      <c r="F9" s="24">
        <v>3578030</v>
      </c>
      <c r="G9" s="24">
        <v>10624570</v>
      </c>
      <c r="H9" s="24">
        <v>5701550</v>
      </c>
      <c r="I9" s="24">
        <v>5210720</v>
      </c>
      <c r="J9" s="24">
        <v>6124260</v>
      </c>
      <c r="K9" s="24">
        <v>9455840</v>
      </c>
      <c r="L9" s="24">
        <v>3972820</v>
      </c>
      <c r="M9" s="24">
        <v>8071070</v>
      </c>
      <c r="N9" s="24">
        <v>12414860</v>
      </c>
      <c r="O9" s="24">
        <v>17144350</v>
      </c>
      <c r="Q9" s="37">
        <f t="shared" ref="Q9:Q30" si="17">IF((C9-C8&lt;0), "0",C9-C8)</f>
        <v>1000</v>
      </c>
      <c r="R9" s="37">
        <f t="shared" ref="R9:R35" si="18">IF((D9-D8&lt;0), "0",D9-D8)</f>
        <v>13540</v>
      </c>
      <c r="S9" s="37">
        <f t="shared" si="16"/>
        <v>3150</v>
      </c>
      <c r="T9" s="37">
        <f t="shared" ref="T9:T35" si="19">IF((F9-F8&lt;0), "0",F9-F8)</f>
        <v>1660</v>
      </c>
      <c r="U9" s="37">
        <f t="shared" ref="U9:U35" si="20">IF((G9-G8&lt;0), "0",G9-G8)</f>
        <v>4280</v>
      </c>
      <c r="V9" s="37">
        <f t="shared" ref="V9:V35" si="21">IF((H9-H8&lt;0), "0",H9-H8)</f>
        <v>3330</v>
      </c>
      <c r="W9" s="37">
        <f t="shared" ref="W9:W35" si="22">IF((I9-I8&lt;0), "0",I9-I8)</f>
        <v>2330</v>
      </c>
      <c r="X9" s="37">
        <f t="shared" ref="X9:X35" si="23">IF((J9-J8&lt;0), "0",J9-J8)</f>
        <v>4010</v>
      </c>
      <c r="Y9" s="37">
        <f t="shared" ref="Y9:Y35" si="24">IF((K9-K8&lt;0), "0",K9-K8)</f>
        <v>5380</v>
      </c>
      <c r="Z9" s="37">
        <f t="shared" ref="Z9:Z35" si="25">IF((L9-L8&lt;0), "0",L9-L8)</f>
        <v>2620</v>
      </c>
      <c r="AA9" s="37">
        <f t="shared" ref="AA9:AA35" si="26">IF((M9-M8&lt;0), "0",M9-M8)</f>
        <v>2910</v>
      </c>
      <c r="AB9" s="37">
        <f t="shared" ref="AB9:AB37" si="27">IF((N9-N8&lt;0), "0",N9-N8)</f>
        <v>7830</v>
      </c>
      <c r="AC9" s="37">
        <f t="shared" ref="AC9:AC37" si="28">IF((O9-O8&lt;0), "0",O9-O8)</f>
        <v>9140</v>
      </c>
      <c r="AD9" s="35">
        <f t="shared" ref="AD9:AD37" si="29">SUM(Q9:AC9)</f>
        <v>61180</v>
      </c>
      <c r="AF9" s="20">
        <f t="shared" si="1"/>
        <v>5</v>
      </c>
      <c r="AG9" s="20">
        <f t="shared" si="2"/>
        <v>67.7</v>
      </c>
      <c r="AH9" s="20">
        <f t="shared" si="3"/>
        <v>15.75</v>
      </c>
      <c r="AI9" s="20">
        <f t="shared" si="4"/>
        <v>8.3000000000000007</v>
      </c>
      <c r="AJ9" s="20">
        <f t="shared" si="5"/>
        <v>21.400000000000002</v>
      </c>
      <c r="AK9" s="20">
        <f t="shared" si="6"/>
        <v>16.649999999999999</v>
      </c>
      <c r="AL9" s="20">
        <f t="shared" si="7"/>
        <v>11.65</v>
      </c>
      <c r="AM9" s="20">
        <f t="shared" si="8"/>
        <v>20.05</v>
      </c>
      <c r="AN9" s="20">
        <f t="shared" si="9"/>
        <v>26.900000000000002</v>
      </c>
      <c r="AO9" s="20">
        <f t="shared" si="10"/>
        <v>13.1</v>
      </c>
      <c r="AP9" s="20">
        <f t="shared" si="11"/>
        <v>14.55</v>
      </c>
      <c r="AQ9" s="20">
        <f t="shared" si="12"/>
        <v>39.15</v>
      </c>
      <c r="AR9" s="20">
        <f t="shared" si="13"/>
        <v>45.7</v>
      </c>
      <c r="AS9" s="35">
        <f t="shared" ref="AS9:AS33" si="30">SUM(AF9:AR9)</f>
        <v>305.90000000000003</v>
      </c>
      <c r="AU9" s="47">
        <v>119079</v>
      </c>
      <c r="AV9" s="37">
        <f>IF((AU9-AU8&lt;0),"0",AU9-AU8)</f>
        <v>2376</v>
      </c>
      <c r="AW9" s="35">
        <f t="shared" si="14"/>
        <v>4.7519999999999998</v>
      </c>
    </row>
    <row r="10" spans="1:49" x14ac:dyDescent="0.25">
      <c r="A10" s="23">
        <v>44412</v>
      </c>
      <c r="B10" s="40">
        <v>93</v>
      </c>
      <c r="C10" s="24">
        <v>6721350</v>
      </c>
      <c r="D10" s="24">
        <v>16401150</v>
      </c>
      <c r="E10" s="24">
        <v>2937910</v>
      </c>
      <c r="F10" s="24">
        <v>3579710</v>
      </c>
      <c r="G10" s="24">
        <v>10628790</v>
      </c>
      <c r="H10" s="24">
        <v>5704940</v>
      </c>
      <c r="I10" s="24">
        <v>5213050</v>
      </c>
      <c r="J10" s="24">
        <v>6128370</v>
      </c>
      <c r="K10" s="24">
        <v>9461140</v>
      </c>
      <c r="L10" s="24">
        <v>3975400</v>
      </c>
      <c r="M10" s="24">
        <v>8073920</v>
      </c>
      <c r="N10" s="24">
        <v>12422590</v>
      </c>
      <c r="O10" s="24">
        <v>17152630</v>
      </c>
      <c r="Q10" s="37">
        <f t="shared" si="17"/>
        <v>1000</v>
      </c>
      <c r="R10" s="37">
        <f t="shared" si="18"/>
        <v>14000</v>
      </c>
      <c r="S10" s="37">
        <f t="shared" si="16"/>
        <v>3800</v>
      </c>
      <c r="T10" s="37">
        <f t="shared" si="19"/>
        <v>1680</v>
      </c>
      <c r="U10" s="37">
        <f t="shared" si="20"/>
        <v>4220</v>
      </c>
      <c r="V10" s="37">
        <f t="shared" si="21"/>
        <v>3390</v>
      </c>
      <c r="W10" s="37">
        <f t="shared" si="22"/>
        <v>2330</v>
      </c>
      <c r="X10" s="37">
        <f t="shared" si="23"/>
        <v>4110</v>
      </c>
      <c r="Y10" s="37">
        <f t="shared" si="24"/>
        <v>5300</v>
      </c>
      <c r="Z10" s="37">
        <f t="shared" si="25"/>
        <v>2580</v>
      </c>
      <c r="AA10" s="37">
        <f t="shared" si="26"/>
        <v>2850</v>
      </c>
      <c r="AB10" s="37">
        <f t="shared" si="27"/>
        <v>7730</v>
      </c>
      <c r="AC10" s="37">
        <f t="shared" si="28"/>
        <v>8280</v>
      </c>
      <c r="AD10" s="35">
        <f t="shared" si="29"/>
        <v>61270</v>
      </c>
      <c r="AF10" s="20">
        <f t="shared" si="1"/>
        <v>5</v>
      </c>
      <c r="AG10" s="20">
        <f t="shared" si="2"/>
        <v>70</v>
      </c>
      <c r="AH10" s="20">
        <f t="shared" si="3"/>
        <v>19</v>
      </c>
      <c r="AI10" s="20">
        <f t="shared" si="4"/>
        <v>8.4</v>
      </c>
      <c r="AJ10" s="20">
        <f t="shared" si="5"/>
        <v>21.1</v>
      </c>
      <c r="AK10" s="20">
        <f t="shared" si="6"/>
        <v>16.95</v>
      </c>
      <c r="AL10" s="20">
        <f t="shared" si="7"/>
        <v>11.65</v>
      </c>
      <c r="AM10" s="20">
        <f t="shared" si="8"/>
        <v>20.55</v>
      </c>
      <c r="AN10" s="20">
        <f t="shared" si="9"/>
        <v>26.5</v>
      </c>
      <c r="AO10" s="20">
        <f t="shared" si="10"/>
        <v>12.9</v>
      </c>
      <c r="AP10" s="20">
        <f t="shared" si="11"/>
        <v>14.25</v>
      </c>
      <c r="AQ10" s="20">
        <f t="shared" si="12"/>
        <v>38.65</v>
      </c>
      <c r="AR10" s="20">
        <f t="shared" si="13"/>
        <v>41.4</v>
      </c>
      <c r="AS10" s="35">
        <f t="shared" si="30"/>
        <v>306.34999999999997</v>
      </c>
      <c r="AU10" s="47">
        <v>122574</v>
      </c>
      <c r="AV10" s="37">
        <f t="shared" ref="AV10:AV26" si="31">IF((AU10-AU9&lt;0),"0",AU10-AU9)</f>
        <v>3495</v>
      </c>
      <c r="AW10" s="35">
        <f t="shared" si="14"/>
        <v>6.99</v>
      </c>
    </row>
    <row r="11" spans="1:49" x14ac:dyDescent="0.25">
      <c r="A11" s="23">
        <v>44413</v>
      </c>
      <c r="B11" s="40">
        <v>108</v>
      </c>
      <c r="C11" s="24">
        <v>6722330</v>
      </c>
      <c r="D11" s="24">
        <v>16415070</v>
      </c>
      <c r="E11" s="24">
        <v>2941720</v>
      </c>
      <c r="F11" s="24">
        <v>3581350</v>
      </c>
      <c r="G11" s="24">
        <v>10632850</v>
      </c>
      <c r="H11" s="24">
        <v>5708300</v>
      </c>
      <c r="I11" s="24">
        <v>5215350</v>
      </c>
      <c r="J11" s="24">
        <v>6132350</v>
      </c>
      <c r="K11" s="24">
        <v>9466560</v>
      </c>
      <c r="L11" s="24">
        <v>3977990</v>
      </c>
      <c r="M11" s="24">
        <v>8076910</v>
      </c>
      <c r="N11" s="24">
        <v>12430200</v>
      </c>
      <c r="O11" s="24">
        <v>17160860</v>
      </c>
      <c r="Q11" s="37">
        <f t="shared" si="17"/>
        <v>980</v>
      </c>
      <c r="R11" s="37">
        <f t="shared" si="18"/>
        <v>13920</v>
      </c>
      <c r="S11" s="37">
        <f t="shared" si="16"/>
        <v>3810</v>
      </c>
      <c r="T11" s="37">
        <f t="shared" si="19"/>
        <v>1640</v>
      </c>
      <c r="U11" s="37">
        <f t="shared" si="20"/>
        <v>4060</v>
      </c>
      <c r="V11" s="37">
        <f t="shared" si="21"/>
        <v>3360</v>
      </c>
      <c r="W11" s="37">
        <f t="shared" si="22"/>
        <v>2300</v>
      </c>
      <c r="X11" s="37">
        <f t="shared" si="23"/>
        <v>3980</v>
      </c>
      <c r="Y11" s="37">
        <f t="shared" si="24"/>
        <v>5420</v>
      </c>
      <c r="Z11" s="37">
        <f t="shared" si="25"/>
        <v>2590</v>
      </c>
      <c r="AA11" s="37">
        <f t="shared" si="26"/>
        <v>2990</v>
      </c>
      <c r="AB11" s="37">
        <f t="shared" si="27"/>
        <v>7610</v>
      </c>
      <c r="AC11" s="37">
        <f t="shared" si="28"/>
        <v>8230</v>
      </c>
      <c r="AD11" s="35">
        <f t="shared" si="29"/>
        <v>60890</v>
      </c>
      <c r="AF11" s="20">
        <f t="shared" si="1"/>
        <v>4.9000000000000004</v>
      </c>
      <c r="AG11" s="20">
        <f t="shared" si="2"/>
        <v>69.600000000000009</v>
      </c>
      <c r="AH11" s="20">
        <f t="shared" si="3"/>
        <v>19.05</v>
      </c>
      <c r="AI11" s="20">
        <f t="shared" si="4"/>
        <v>8.1999999999999993</v>
      </c>
      <c r="AJ11" s="20">
        <f t="shared" si="5"/>
        <v>20.3</v>
      </c>
      <c r="AK11" s="20">
        <f t="shared" si="6"/>
        <v>16.8</v>
      </c>
      <c r="AL11" s="20">
        <f t="shared" si="7"/>
        <v>11.5</v>
      </c>
      <c r="AM11" s="20">
        <f t="shared" si="8"/>
        <v>19.900000000000002</v>
      </c>
      <c r="AN11" s="20">
        <f t="shared" si="9"/>
        <v>27.1</v>
      </c>
      <c r="AO11" s="20">
        <f t="shared" si="10"/>
        <v>12.950000000000001</v>
      </c>
      <c r="AP11" s="20">
        <f t="shared" si="11"/>
        <v>14.950000000000001</v>
      </c>
      <c r="AQ11" s="20">
        <f t="shared" si="12"/>
        <v>38.050000000000004</v>
      </c>
      <c r="AR11" s="20">
        <f t="shared" si="13"/>
        <v>41.15</v>
      </c>
      <c r="AS11" s="35">
        <f t="shared" si="30"/>
        <v>304.45</v>
      </c>
      <c r="AU11" s="47">
        <v>125295</v>
      </c>
      <c r="AV11" s="37">
        <f t="shared" si="31"/>
        <v>2721</v>
      </c>
      <c r="AW11" s="35">
        <f t="shared" si="14"/>
        <v>5.4420000000000002</v>
      </c>
    </row>
    <row r="12" spans="1:49" x14ac:dyDescent="0.25">
      <c r="A12" s="23">
        <v>44414</v>
      </c>
      <c r="B12" s="40">
        <v>137</v>
      </c>
      <c r="C12" s="49">
        <v>6723310</v>
      </c>
      <c r="D12" s="24">
        <v>16429240</v>
      </c>
      <c r="E12" s="24">
        <v>2945620</v>
      </c>
      <c r="F12" s="24">
        <v>3583000</v>
      </c>
      <c r="G12" s="24">
        <v>10637140</v>
      </c>
      <c r="H12" s="24">
        <v>5711770</v>
      </c>
      <c r="I12" s="24">
        <v>5217650</v>
      </c>
      <c r="J12" s="24">
        <v>6136560</v>
      </c>
      <c r="K12" s="24">
        <v>9472200</v>
      </c>
      <c r="L12" s="24">
        <v>3980700</v>
      </c>
      <c r="M12" s="24">
        <v>8080030</v>
      </c>
      <c r="N12" s="24">
        <v>12437920</v>
      </c>
      <c r="O12" s="24">
        <v>17169330</v>
      </c>
      <c r="Q12" s="37">
        <f t="shared" si="17"/>
        <v>980</v>
      </c>
      <c r="R12" s="37">
        <f t="shared" si="18"/>
        <v>14170</v>
      </c>
      <c r="S12" s="37">
        <f t="shared" si="16"/>
        <v>3900</v>
      </c>
      <c r="T12" s="37">
        <f t="shared" ref="T12:W14" si="32">IF((F12-F11&lt;0), "0",F12-F11)</f>
        <v>1650</v>
      </c>
      <c r="U12" s="37">
        <f t="shared" si="32"/>
        <v>4290</v>
      </c>
      <c r="V12" s="37">
        <f t="shared" si="32"/>
        <v>3470</v>
      </c>
      <c r="W12" s="37">
        <f t="shared" si="32"/>
        <v>2300</v>
      </c>
      <c r="X12" s="37">
        <f t="shared" si="23"/>
        <v>4210</v>
      </c>
      <c r="Y12" s="37">
        <f t="shared" si="24"/>
        <v>5640</v>
      </c>
      <c r="Z12" s="37">
        <f>IF((L12-L11&lt;0), "0",L12-L11)</f>
        <v>2710</v>
      </c>
      <c r="AA12" s="37">
        <f t="shared" si="26"/>
        <v>3120</v>
      </c>
      <c r="AB12" s="37">
        <f t="shared" si="27"/>
        <v>7720</v>
      </c>
      <c r="AC12" s="37">
        <f t="shared" si="28"/>
        <v>8470</v>
      </c>
      <c r="AD12" s="35">
        <f t="shared" si="29"/>
        <v>62630</v>
      </c>
      <c r="AF12" s="20">
        <f t="shared" si="1"/>
        <v>4.9000000000000004</v>
      </c>
      <c r="AG12" s="20">
        <f t="shared" si="2"/>
        <v>70.850000000000009</v>
      </c>
      <c r="AH12" s="20">
        <f t="shared" si="3"/>
        <v>19.5</v>
      </c>
      <c r="AI12" s="20">
        <f t="shared" si="4"/>
        <v>8.25</v>
      </c>
      <c r="AJ12" s="20">
        <f t="shared" si="5"/>
        <v>21.45</v>
      </c>
      <c r="AK12" s="20">
        <f t="shared" si="6"/>
        <v>17.350000000000001</v>
      </c>
      <c r="AL12" s="20">
        <f t="shared" si="7"/>
        <v>11.5</v>
      </c>
      <c r="AM12" s="20">
        <f t="shared" si="8"/>
        <v>21.05</v>
      </c>
      <c r="AN12" s="20">
        <f t="shared" si="9"/>
        <v>28.2</v>
      </c>
      <c r="AO12" s="20">
        <f t="shared" si="10"/>
        <v>13.55</v>
      </c>
      <c r="AP12" s="20">
        <f t="shared" si="11"/>
        <v>15.6</v>
      </c>
      <c r="AQ12" s="20">
        <f t="shared" si="12"/>
        <v>38.6</v>
      </c>
      <c r="AR12" s="20">
        <f t="shared" si="13"/>
        <v>42.35</v>
      </c>
      <c r="AS12" s="35">
        <f t="shared" si="30"/>
        <v>313.15000000000003</v>
      </c>
      <c r="AU12" s="47">
        <v>128027</v>
      </c>
      <c r="AV12" s="37">
        <f t="shared" si="31"/>
        <v>2732</v>
      </c>
      <c r="AW12" s="35">
        <f t="shared" si="14"/>
        <v>5.4640000000000004</v>
      </c>
    </row>
    <row r="13" spans="1:49" x14ac:dyDescent="0.25">
      <c r="A13" s="23">
        <v>44415</v>
      </c>
      <c r="B13" s="40">
        <v>158</v>
      </c>
      <c r="C13" s="24">
        <v>6724320</v>
      </c>
      <c r="D13" s="24">
        <v>16444460</v>
      </c>
      <c r="E13" s="24">
        <v>2949880</v>
      </c>
      <c r="F13" s="24">
        <v>3584710</v>
      </c>
      <c r="G13" s="24">
        <v>10641520</v>
      </c>
      <c r="H13" s="24">
        <v>5715390</v>
      </c>
      <c r="I13" s="24">
        <v>5220010</v>
      </c>
      <c r="J13" s="24">
        <v>6140800</v>
      </c>
      <c r="K13" s="24">
        <v>9478060</v>
      </c>
      <c r="L13" s="24">
        <v>3983470</v>
      </c>
      <c r="M13" s="24">
        <v>8083300</v>
      </c>
      <c r="N13" s="24">
        <v>12445720</v>
      </c>
      <c r="O13" s="24">
        <v>17177730</v>
      </c>
      <c r="Q13" s="37">
        <f t="shared" si="17"/>
        <v>1010</v>
      </c>
      <c r="R13" s="37">
        <f t="shared" si="18"/>
        <v>15220</v>
      </c>
      <c r="S13" s="37">
        <f t="shared" si="16"/>
        <v>4260</v>
      </c>
      <c r="T13" s="37">
        <f t="shared" si="32"/>
        <v>1710</v>
      </c>
      <c r="U13" s="37">
        <f t="shared" si="32"/>
        <v>4380</v>
      </c>
      <c r="V13" s="37">
        <f t="shared" si="32"/>
        <v>3620</v>
      </c>
      <c r="W13" s="37">
        <f t="shared" si="32"/>
        <v>2360</v>
      </c>
      <c r="X13" s="37">
        <f t="shared" si="23"/>
        <v>4240</v>
      </c>
      <c r="Y13" s="37">
        <f t="shared" si="24"/>
        <v>5860</v>
      </c>
      <c r="Z13" s="37">
        <f>IF((L13-L12&lt;0), "0",L13-L12)</f>
        <v>2770</v>
      </c>
      <c r="AA13" s="37">
        <f t="shared" si="26"/>
        <v>3270</v>
      </c>
      <c r="AB13" s="37">
        <f t="shared" si="27"/>
        <v>7800</v>
      </c>
      <c r="AC13" s="37">
        <f t="shared" si="28"/>
        <v>8400</v>
      </c>
      <c r="AD13" s="35">
        <f t="shared" si="29"/>
        <v>64900</v>
      </c>
      <c r="AF13" s="20">
        <f t="shared" si="1"/>
        <v>5.05</v>
      </c>
      <c r="AG13" s="20">
        <f t="shared" si="2"/>
        <v>76.100000000000009</v>
      </c>
      <c r="AH13" s="20">
        <f t="shared" si="3"/>
        <v>21.3</v>
      </c>
      <c r="AI13" s="20">
        <f t="shared" si="4"/>
        <v>8.5500000000000007</v>
      </c>
      <c r="AJ13" s="20">
        <f t="shared" si="5"/>
        <v>21.900000000000002</v>
      </c>
      <c r="AK13" s="20">
        <f t="shared" si="6"/>
        <v>18.100000000000001</v>
      </c>
      <c r="AL13" s="20">
        <f t="shared" si="7"/>
        <v>11.8</v>
      </c>
      <c r="AM13" s="20">
        <f t="shared" si="8"/>
        <v>21.2</v>
      </c>
      <c r="AN13" s="20">
        <f t="shared" si="9"/>
        <v>29.3</v>
      </c>
      <c r="AO13" s="20">
        <f t="shared" si="10"/>
        <v>13.85</v>
      </c>
      <c r="AP13" s="20">
        <f t="shared" si="11"/>
        <v>16.350000000000001</v>
      </c>
      <c r="AQ13" s="20">
        <f t="shared" si="12"/>
        <v>39</v>
      </c>
      <c r="AR13" s="20">
        <f t="shared" si="13"/>
        <v>42</v>
      </c>
      <c r="AS13" s="35">
        <f t="shared" si="30"/>
        <v>324.5</v>
      </c>
      <c r="AU13" s="47">
        <v>130745</v>
      </c>
      <c r="AV13" s="37">
        <f t="shared" si="31"/>
        <v>2718</v>
      </c>
      <c r="AW13" s="35">
        <f t="shared" si="14"/>
        <v>5.4359999999999999</v>
      </c>
    </row>
    <row r="14" spans="1:49" x14ac:dyDescent="0.25">
      <c r="A14" s="23">
        <v>44416</v>
      </c>
      <c r="B14" s="40">
        <v>123</v>
      </c>
      <c r="C14" s="24">
        <v>6725320</v>
      </c>
      <c r="D14" s="24">
        <v>16458750</v>
      </c>
      <c r="E14" s="24">
        <v>2953800</v>
      </c>
      <c r="F14" s="24">
        <v>3586380</v>
      </c>
      <c r="G14" s="24">
        <v>10645880</v>
      </c>
      <c r="H14" s="24">
        <v>5718930</v>
      </c>
      <c r="I14" s="24">
        <v>5222330</v>
      </c>
      <c r="J14" s="24">
        <v>6144670</v>
      </c>
      <c r="K14" s="24">
        <v>9483730</v>
      </c>
      <c r="L14" s="24">
        <v>3986320</v>
      </c>
      <c r="M14" s="24">
        <v>8086480</v>
      </c>
      <c r="N14" s="24">
        <v>12453420</v>
      </c>
      <c r="O14" s="24">
        <v>17186330</v>
      </c>
      <c r="P14" s="53"/>
      <c r="Q14" s="37">
        <f t="shared" si="17"/>
        <v>1000</v>
      </c>
      <c r="R14" s="37">
        <f t="shared" si="18"/>
        <v>14290</v>
      </c>
      <c r="S14" s="37">
        <f t="shared" si="16"/>
        <v>3920</v>
      </c>
      <c r="T14" s="37">
        <f t="shared" si="32"/>
        <v>1670</v>
      </c>
      <c r="U14" s="37">
        <f t="shared" si="32"/>
        <v>4360</v>
      </c>
      <c r="V14" s="37">
        <f t="shared" si="32"/>
        <v>3540</v>
      </c>
      <c r="W14" s="37">
        <f t="shared" si="32"/>
        <v>2320</v>
      </c>
      <c r="X14" s="37">
        <f t="shared" si="23"/>
        <v>3870</v>
      </c>
      <c r="Y14" s="37">
        <f t="shared" si="24"/>
        <v>5670</v>
      </c>
      <c r="Z14" s="37">
        <f>IF((L14-L13&lt;0), "0",L14-L13)</f>
        <v>2850</v>
      </c>
      <c r="AA14" s="37">
        <f t="shared" si="26"/>
        <v>3180</v>
      </c>
      <c r="AB14" s="37">
        <f t="shared" si="27"/>
        <v>7700</v>
      </c>
      <c r="AC14" s="37">
        <f t="shared" si="28"/>
        <v>8600</v>
      </c>
      <c r="AD14" s="35">
        <f t="shared" si="29"/>
        <v>62970</v>
      </c>
      <c r="AF14" s="20">
        <f t="shared" si="1"/>
        <v>5</v>
      </c>
      <c r="AG14" s="20">
        <f t="shared" si="2"/>
        <v>71.45</v>
      </c>
      <c r="AH14" s="20">
        <f t="shared" si="3"/>
        <v>19.600000000000001</v>
      </c>
      <c r="AI14" s="20">
        <f t="shared" si="4"/>
        <v>8.35</v>
      </c>
      <c r="AJ14" s="20">
        <f t="shared" si="5"/>
        <v>21.8</v>
      </c>
      <c r="AK14" s="20">
        <f t="shared" si="6"/>
        <v>17.7</v>
      </c>
      <c r="AL14" s="20">
        <f t="shared" si="7"/>
        <v>11.6</v>
      </c>
      <c r="AM14" s="20">
        <f t="shared" si="8"/>
        <v>19.350000000000001</v>
      </c>
      <c r="AN14" s="20">
        <f t="shared" si="9"/>
        <v>28.35</v>
      </c>
      <c r="AO14" s="20">
        <f t="shared" si="10"/>
        <v>14.25</v>
      </c>
      <c r="AP14" s="20">
        <f t="shared" si="11"/>
        <v>15.9</v>
      </c>
      <c r="AQ14" s="20">
        <f t="shared" si="12"/>
        <v>38.5</v>
      </c>
      <c r="AR14" s="20">
        <f t="shared" si="13"/>
        <v>43</v>
      </c>
      <c r="AS14" s="35">
        <f t="shared" si="30"/>
        <v>314.85000000000002</v>
      </c>
      <c r="AU14" s="47">
        <v>133531</v>
      </c>
      <c r="AV14" s="37">
        <f t="shared" si="31"/>
        <v>2786</v>
      </c>
      <c r="AW14" s="35">
        <f t="shared" si="14"/>
        <v>5.5720000000000001</v>
      </c>
    </row>
    <row r="15" spans="1:49" x14ac:dyDescent="0.25">
      <c r="A15" s="23">
        <v>44417</v>
      </c>
      <c r="B15" s="40">
        <v>74</v>
      </c>
      <c r="C15" s="24">
        <v>6726370</v>
      </c>
      <c r="D15" s="24">
        <v>16473420</v>
      </c>
      <c r="E15" s="24">
        <v>2957780</v>
      </c>
      <c r="F15" s="24">
        <v>3588150</v>
      </c>
      <c r="G15" s="24">
        <v>10650350</v>
      </c>
      <c r="H15" s="24">
        <v>5722640</v>
      </c>
      <c r="I15" s="24">
        <v>5224830</v>
      </c>
      <c r="J15" s="24">
        <v>6148580</v>
      </c>
      <c r="K15" s="24">
        <v>9489650</v>
      </c>
      <c r="L15" s="24">
        <v>3989140</v>
      </c>
      <c r="M15" s="24">
        <v>8089650</v>
      </c>
      <c r="N15" s="24">
        <v>12461610</v>
      </c>
      <c r="O15" s="24">
        <v>17196100</v>
      </c>
      <c r="Q15" s="37">
        <f t="shared" si="17"/>
        <v>1050</v>
      </c>
      <c r="R15" s="37">
        <f t="shared" si="18"/>
        <v>14670</v>
      </c>
      <c r="S15" s="37">
        <f t="shared" si="16"/>
        <v>3980</v>
      </c>
      <c r="T15" s="37">
        <f t="shared" si="19"/>
        <v>1770</v>
      </c>
      <c r="U15" s="37">
        <f t="shared" si="20"/>
        <v>4470</v>
      </c>
      <c r="V15" s="37">
        <f t="shared" si="21"/>
        <v>3710</v>
      </c>
      <c r="W15" s="37">
        <f t="shared" si="22"/>
        <v>2500</v>
      </c>
      <c r="X15" s="37">
        <f t="shared" si="23"/>
        <v>3910</v>
      </c>
      <c r="Y15" s="37">
        <f t="shared" si="24"/>
        <v>5920</v>
      </c>
      <c r="Z15" s="37">
        <f t="shared" si="25"/>
        <v>2820</v>
      </c>
      <c r="AA15" s="37">
        <f t="shared" si="26"/>
        <v>3170</v>
      </c>
      <c r="AB15" s="37">
        <f t="shared" si="27"/>
        <v>8190</v>
      </c>
      <c r="AC15" s="37">
        <f t="shared" si="28"/>
        <v>9770</v>
      </c>
      <c r="AD15" s="35">
        <f t="shared" si="29"/>
        <v>65930</v>
      </c>
      <c r="AF15" s="20">
        <f t="shared" si="1"/>
        <v>5.25</v>
      </c>
      <c r="AG15" s="20">
        <f t="shared" si="2"/>
        <v>73.350000000000009</v>
      </c>
      <c r="AH15" s="20">
        <f t="shared" si="3"/>
        <v>19.900000000000002</v>
      </c>
      <c r="AI15" s="20">
        <f t="shared" si="4"/>
        <v>8.85</v>
      </c>
      <c r="AJ15" s="20">
        <f t="shared" si="5"/>
        <v>22.35</v>
      </c>
      <c r="AK15" s="20">
        <f t="shared" si="6"/>
        <v>18.55</v>
      </c>
      <c r="AL15" s="20">
        <f t="shared" si="7"/>
        <v>12.5</v>
      </c>
      <c r="AM15" s="20">
        <f t="shared" si="8"/>
        <v>19.55</v>
      </c>
      <c r="AN15" s="20">
        <f t="shared" si="9"/>
        <v>29.6</v>
      </c>
      <c r="AO15" s="20">
        <f t="shared" si="10"/>
        <v>14.1</v>
      </c>
      <c r="AP15" s="20">
        <f t="shared" si="11"/>
        <v>15.85</v>
      </c>
      <c r="AQ15" s="20">
        <f t="shared" si="12"/>
        <v>40.950000000000003</v>
      </c>
      <c r="AR15" s="20">
        <f t="shared" si="13"/>
        <v>48.85</v>
      </c>
      <c r="AS15" s="35">
        <f t="shared" si="30"/>
        <v>329.65000000000003</v>
      </c>
      <c r="AU15" s="47">
        <v>136227</v>
      </c>
      <c r="AV15" s="37">
        <f t="shared" si="31"/>
        <v>2696</v>
      </c>
      <c r="AW15" s="35">
        <f t="shared" si="14"/>
        <v>5.3920000000000003</v>
      </c>
    </row>
    <row r="16" spans="1:49" x14ac:dyDescent="0.25">
      <c r="A16" s="23">
        <v>44418</v>
      </c>
      <c r="B16" s="40">
        <v>83</v>
      </c>
      <c r="C16" s="24">
        <v>6727490</v>
      </c>
      <c r="D16" s="24">
        <v>16488980</v>
      </c>
      <c r="E16" s="24">
        <v>2961990</v>
      </c>
      <c r="F16" s="24">
        <v>3590040</v>
      </c>
      <c r="G16" s="24">
        <v>10654900</v>
      </c>
      <c r="H16" s="24">
        <v>5726530</v>
      </c>
      <c r="I16" s="24">
        <v>5227460</v>
      </c>
      <c r="J16" s="24">
        <v>6153100</v>
      </c>
      <c r="K16" s="24">
        <v>9495800</v>
      </c>
      <c r="L16" s="24">
        <v>3991960</v>
      </c>
      <c r="M16" s="24">
        <v>8092850</v>
      </c>
      <c r="N16" s="24">
        <v>12469970</v>
      </c>
      <c r="O16" s="24">
        <v>17207350</v>
      </c>
      <c r="Q16" s="37">
        <f t="shared" si="17"/>
        <v>1120</v>
      </c>
      <c r="R16" s="37">
        <f t="shared" si="18"/>
        <v>15560</v>
      </c>
      <c r="S16" s="37">
        <f t="shared" si="16"/>
        <v>4210</v>
      </c>
      <c r="T16" s="37">
        <f t="shared" si="19"/>
        <v>1890</v>
      </c>
      <c r="U16" s="37">
        <f t="shared" si="20"/>
        <v>4550</v>
      </c>
      <c r="V16" s="37">
        <f t="shared" si="21"/>
        <v>3890</v>
      </c>
      <c r="W16" s="37">
        <f t="shared" si="22"/>
        <v>2630</v>
      </c>
      <c r="X16" s="37">
        <f t="shared" si="23"/>
        <v>4520</v>
      </c>
      <c r="Y16" s="37">
        <f t="shared" si="24"/>
        <v>6150</v>
      </c>
      <c r="Z16" s="37">
        <f t="shared" si="25"/>
        <v>2820</v>
      </c>
      <c r="AA16" s="37">
        <f t="shared" si="26"/>
        <v>3200</v>
      </c>
      <c r="AB16" s="37">
        <f t="shared" si="27"/>
        <v>8360</v>
      </c>
      <c r="AC16" s="37">
        <f t="shared" si="28"/>
        <v>11250</v>
      </c>
      <c r="AD16" s="35">
        <f t="shared" si="29"/>
        <v>70150</v>
      </c>
      <c r="AF16" s="20">
        <f t="shared" si="1"/>
        <v>5.6000000000000005</v>
      </c>
      <c r="AG16" s="20">
        <f t="shared" si="2"/>
        <v>77.8</v>
      </c>
      <c r="AH16" s="20">
        <f t="shared" si="3"/>
        <v>21.05</v>
      </c>
      <c r="AI16" s="20">
        <f t="shared" si="4"/>
        <v>9.4500000000000011</v>
      </c>
      <c r="AJ16" s="20">
        <f t="shared" si="5"/>
        <v>22.75</v>
      </c>
      <c r="AK16" s="20">
        <f t="shared" si="6"/>
        <v>19.45</v>
      </c>
      <c r="AL16" s="20">
        <f t="shared" si="7"/>
        <v>13.15</v>
      </c>
      <c r="AM16" s="20">
        <f t="shared" si="8"/>
        <v>22.6</v>
      </c>
      <c r="AN16" s="20">
        <f t="shared" si="9"/>
        <v>30.75</v>
      </c>
      <c r="AO16" s="20">
        <f t="shared" si="10"/>
        <v>14.1</v>
      </c>
      <c r="AP16" s="20">
        <f t="shared" si="11"/>
        <v>16</v>
      </c>
      <c r="AQ16" s="20">
        <f t="shared" si="12"/>
        <v>41.800000000000004</v>
      </c>
      <c r="AR16" s="20">
        <f t="shared" si="13"/>
        <v>56.25</v>
      </c>
      <c r="AS16" s="35">
        <f t="shared" si="30"/>
        <v>350.74999999999994</v>
      </c>
      <c r="AU16" s="47">
        <v>139102</v>
      </c>
      <c r="AV16" s="37">
        <f t="shared" si="31"/>
        <v>2875</v>
      </c>
      <c r="AW16" s="35">
        <f t="shared" si="14"/>
        <v>5.75</v>
      </c>
    </row>
    <row r="17" spans="1:49" x14ac:dyDescent="0.25">
      <c r="A17" s="23">
        <v>44419</v>
      </c>
      <c r="B17" s="40">
        <v>69</v>
      </c>
      <c r="C17" s="24">
        <v>6728370</v>
      </c>
      <c r="D17" s="24">
        <v>16501390</v>
      </c>
      <c r="E17" s="24">
        <v>2965370</v>
      </c>
      <c r="F17" s="24">
        <v>3591510</v>
      </c>
      <c r="G17" s="24">
        <v>10658480</v>
      </c>
      <c r="H17" s="24">
        <v>5729650</v>
      </c>
      <c r="I17" s="24">
        <v>5229550</v>
      </c>
      <c r="J17" s="24">
        <v>6156820</v>
      </c>
      <c r="K17" s="24">
        <v>9500650</v>
      </c>
      <c r="L17" s="24">
        <v>3994200</v>
      </c>
      <c r="M17" s="24">
        <v>8095460</v>
      </c>
      <c r="N17" s="24">
        <v>12476720</v>
      </c>
      <c r="O17" s="24">
        <v>17215250</v>
      </c>
      <c r="Q17" s="37">
        <f t="shared" si="17"/>
        <v>880</v>
      </c>
      <c r="R17" s="37">
        <f t="shared" si="18"/>
        <v>12410</v>
      </c>
      <c r="S17" s="37">
        <f t="shared" si="16"/>
        <v>3380</v>
      </c>
      <c r="T17" s="37">
        <f t="shared" si="19"/>
        <v>1470</v>
      </c>
      <c r="U17" s="37">
        <f t="shared" si="20"/>
        <v>3580</v>
      </c>
      <c r="V17" s="37">
        <f t="shared" si="21"/>
        <v>3120</v>
      </c>
      <c r="W17" s="37">
        <f t="shared" si="22"/>
        <v>2090</v>
      </c>
      <c r="X17" s="37">
        <f t="shared" si="23"/>
        <v>3720</v>
      </c>
      <c r="Y17" s="37">
        <f t="shared" si="24"/>
        <v>4850</v>
      </c>
      <c r="Z17" s="37">
        <f t="shared" si="25"/>
        <v>2240</v>
      </c>
      <c r="AA17" s="37">
        <f t="shared" si="26"/>
        <v>2610</v>
      </c>
      <c r="AB17" s="37">
        <f t="shared" si="27"/>
        <v>6750</v>
      </c>
      <c r="AC17" s="37">
        <f t="shared" si="28"/>
        <v>7900</v>
      </c>
      <c r="AD17" s="35">
        <f t="shared" si="29"/>
        <v>55000</v>
      </c>
      <c r="AF17" s="20">
        <f t="shared" si="1"/>
        <v>4.4000000000000004</v>
      </c>
      <c r="AG17" s="20">
        <f t="shared" si="2"/>
        <v>62.050000000000004</v>
      </c>
      <c r="AH17" s="20">
        <f t="shared" si="3"/>
        <v>16.899999999999999</v>
      </c>
      <c r="AI17" s="20">
        <f t="shared" si="4"/>
        <v>7.3500000000000005</v>
      </c>
      <c r="AJ17" s="20">
        <f t="shared" si="5"/>
        <v>17.900000000000002</v>
      </c>
      <c r="AK17" s="20">
        <f t="shared" si="6"/>
        <v>15.6</v>
      </c>
      <c r="AL17" s="20">
        <f t="shared" si="7"/>
        <v>10.450000000000001</v>
      </c>
      <c r="AM17" s="20">
        <f t="shared" si="8"/>
        <v>18.600000000000001</v>
      </c>
      <c r="AN17" s="20">
        <f t="shared" si="9"/>
        <v>24.25</v>
      </c>
      <c r="AO17" s="20">
        <f t="shared" si="10"/>
        <v>11.200000000000001</v>
      </c>
      <c r="AP17" s="20">
        <f t="shared" si="11"/>
        <v>13.05</v>
      </c>
      <c r="AQ17" s="20">
        <f t="shared" si="12"/>
        <v>33.75</v>
      </c>
      <c r="AR17" s="20">
        <f t="shared" si="13"/>
        <v>39.5</v>
      </c>
      <c r="AS17" s="35">
        <f t="shared" si="30"/>
        <v>275</v>
      </c>
      <c r="AU17" s="47">
        <v>141547</v>
      </c>
      <c r="AV17" s="37">
        <f t="shared" si="31"/>
        <v>2445</v>
      </c>
      <c r="AW17" s="35">
        <f t="shared" si="14"/>
        <v>4.8899999999999997</v>
      </c>
    </row>
    <row r="18" spans="1:49" x14ac:dyDescent="0.25">
      <c r="A18" s="23">
        <v>44420</v>
      </c>
      <c r="B18" s="40">
        <v>98</v>
      </c>
      <c r="C18" s="24">
        <v>6729340</v>
      </c>
      <c r="D18" s="24">
        <v>16515020</v>
      </c>
      <c r="E18" s="24">
        <v>2969100</v>
      </c>
      <c r="F18" s="24">
        <v>3593140</v>
      </c>
      <c r="G18" s="24">
        <v>10662460</v>
      </c>
      <c r="H18" s="24">
        <v>5733100</v>
      </c>
      <c r="I18" s="24">
        <v>5231830</v>
      </c>
      <c r="J18" s="24">
        <v>6161050</v>
      </c>
      <c r="K18" s="24">
        <v>9505850</v>
      </c>
      <c r="L18" s="24">
        <v>3996710</v>
      </c>
      <c r="M18" s="24">
        <v>8098590</v>
      </c>
      <c r="N18" s="24">
        <v>12484170</v>
      </c>
      <c r="O18" s="24">
        <v>17223650</v>
      </c>
      <c r="Q18" s="37">
        <f t="shared" si="17"/>
        <v>970</v>
      </c>
      <c r="R18" s="37">
        <f t="shared" si="18"/>
        <v>13630</v>
      </c>
      <c r="S18" s="37">
        <f t="shared" si="16"/>
        <v>3730</v>
      </c>
      <c r="T18" s="37">
        <f t="shared" si="19"/>
        <v>1630</v>
      </c>
      <c r="U18" s="37">
        <f t="shared" si="20"/>
        <v>3980</v>
      </c>
      <c r="V18" s="37">
        <f t="shared" si="21"/>
        <v>3450</v>
      </c>
      <c r="W18" s="37">
        <f t="shared" si="22"/>
        <v>2280</v>
      </c>
      <c r="X18" s="37">
        <f t="shared" si="23"/>
        <v>4230</v>
      </c>
      <c r="Y18" s="37">
        <f t="shared" si="24"/>
        <v>5200</v>
      </c>
      <c r="Z18" s="37">
        <f t="shared" si="25"/>
        <v>2510</v>
      </c>
      <c r="AA18" s="37">
        <f t="shared" si="26"/>
        <v>3130</v>
      </c>
      <c r="AB18" s="37">
        <f t="shared" si="27"/>
        <v>7450</v>
      </c>
      <c r="AC18" s="37">
        <f t="shared" si="28"/>
        <v>8400</v>
      </c>
      <c r="AD18" s="35">
        <f t="shared" si="29"/>
        <v>60590</v>
      </c>
      <c r="AF18" s="20">
        <f t="shared" si="1"/>
        <v>4.8500000000000005</v>
      </c>
      <c r="AG18" s="20">
        <f t="shared" si="2"/>
        <v>68.150000000000006</v>
      </c>
      <c r="AH18" s="20">
        <f t="shared" si="3"/>
        <v>18.650000000000002</v>
      </c>
      <c r="AI18" s="20">
        <f t="shared" si="4"/>
        <v>8.15</v>
      </c>
      <c r="AJ18" s="20">
        <f t="shared" si="5"/>
        <v>19.900000000000002</v>
      </c>
      <c r="AK18" s="20">
        <f t="shared" si="6"/>
        <v>17.25</v>
      </c>
      <c r="AL18" s="20">
        <f t="shared" si="7"/>
        <v>11.4</v>
      </c>
      <c r="AM18" s="20">
        <f t="shared" si="8"/>
        <v>21.150000000000002</v>
      </c>
      <c r="AN18" s="20">
        <f t="shared" si="9"/>
        <v>26</v>
      </c>
      <c r="AO18" s="20">
        <f t="shared" si="10"/>
        <v>12.55</v>
      </c>
      <c r="AP18" s="20">
        <f t="shared" si="11"/>
        <v>15.65</v>
      </c>
      <c r="AQ18" s="20">
        <f t="shared" si="12"/>
        <v>37.25</v>
      </c>
      <c r="AR18" s="20">
        <f t="shared" si="13"/>
        <v>42</v>
      </c>
      <c r="AS18" s="35">
        <f t="shared" si="30"/>
        <v>302.95000000000005</v>
      </c>
      <c r="AU18" s="47">
        <v>144311</v>
      </c>
      <c r="AV18" s="37">
        <f t="shared" si="31"/>
        <v>2764</v>
      </c>
      <c r="AW18" s="35">
        <f t="shared" si="14"/>
        <v>5.5280000000000005</v>
      </c>
    </row>
    <row r="19" spans="1:49" x14ac:dyDescent="0.25">
      <c r="A19" s="23">
        <v>44421</v>
      </c>
      <c r="B19" s="40">
        <v>111</v>
      </c>
      <c r="C19" s="24">
        <v>6730340</v>
      </c>
      <c r="D19" s="24">
        <v>16529090</v>
      </c>
      <c r="E19" s="24">
        <v>2972930</v>
      </c>
      <c r="F19" s="24">
        <v>3594820</v>
      </c>
      <c r="G19" s="24">
        <v>10666410</v>
      </c>
      <c r="H19" s="24">
        <v>5736640</v>
      </c>
      <c r="I19" s="24">
        <v>5234170</v>
      </c>
      <c r="J19" s="24">
        <v>6165530</v>
      </c>
      <c r="K19" s="24">
        <v>9511500</v>
      </c>
      <c r="L19" s="24">
        <v>3999340</v>
      </c>
      <c r="M19" s="24">
        <v>8101760</v>
      </c>
      <c r="N19" s="24">
        <v>12491950</v>
      </c>
      <c r="O19" s="24">
        <v>17232240</v>
      </c>
      <c r="Q19" s="37">
        <f t="shared" si="17"/>
        <v>1000</v>
      </c>
      <c r="R19" s="37">
        <f t="shared" si="18"/>
        <v>14070</v>
      </c>
      <c r="S19" s="37">
        <f t="shared" si="16"/>
        <v>3830</v>
      </c>
      <c r="T19" s="37">
        <f t="shared" si="19"/>
        <v>1680</v>
      </c>
      <c r="U19" s="37">
        <f t="shared" si="20"/>
        <v>3950</v>
      </c>
      <c r="V19" s="37">
        <f t="shared" si="21"/>
        <v>3540</v>
      </c>
      <c r="W19" s="37">
        <f t="shared" si="22"/>
        <v>2340</v>
      </c>
      <c r="X19" s="37">
        <f t="shared" si="23"/>
        <v>4480</v>
      </c>
      <c r="Y19" s="37">
        <f t="shared" si="24"/>
        <v>5650</v>
      </c>
      <c r="Z19" s="37">
        <f t="shared" si="25"/>
        <v>2630</v>
      </c>
      <c r="AA19" s="37">
        <f t="shared" si="26"/>
        <v>3170</v>
      </c>
      <c r="AB19" s="37">
        <f t="shared" si="27"/>
        <v>7780</v>
      </c>
      <c r="AC19" s="37">
        <f t="shared" si="28"/>
        <v>8590</v>
      </c>
      <c r="AD19" s="35">
        <f t="shared" si="29"/>
        <v>62710</v>
      </c>
      <c r="AF19" s="20">
        <f t="shared" si="1"/>
        <v>5</v>
      </c>
      <c r="AG19" s="20">
        <f t="shared" si="2"/>
        <v>70.350000000000009</v>
      </c>
      <c r="AH19" s="20">
        <f t="shared" si="3"/>
        <v>19.150000000000002</v>
      </c>
      <c r="AI19" s="20">
        <f t="shared" si="4"/>
        <v>8.4</v>
      </c>
      <c r="AJ19" s="20">
        <f t="shared" si="5"/>
        <v>19.75</v>
      </c>
      <c r="AK19" s="20">
        <f t="shared" si="6"/>
        <v>17.7</v>
      </c>
      <c r="AL19" s="20">
        <f t="shared" si="7"/>
        <v>11.700000000000001</v>
      </c>
      <c r="AM19" s="20">
        <f t="shared" si="8"/>
        <v>22.400000000000002</v>
      </c>
      <c r="AN19" s="20">
        <f t="shared" si="9"/>
        <v>28.25</v>
      </c>
      <c r="AO19" s="20">
        <f t="shared" si="10"/>
        <v>13.15</v>
      </c>
      <c r="AP19" s="20">
        <f t="shared" si="11"/>
        <v>15.85</v>
      </c>
      <c r="AQ19" s="20">
        <f t="shared" si="12"/>
        <v>38.9</v>
      </c>
      <c r="AR19" s="20">
        <f t="shared" si="13"/>
        <v>42.95</v>
      </c>
      <c r="AS19" s="35">
        <f t="shared" si="30"/>
        <v>313.55</v>
      </c>
      <c r="AU19" s="47">
        <v>147368</v>
      </c>
      <c r="AV19" s="37">
        <f t="shared" si="31"/>
        <v>3057</v>
      </c>
      <c r="AW19" s="35">
        <f t="shared" si="14"/>
        <v>6.1139999999999999</v>
      </c>
    </row>
    <row r="20" spans="1:49" x14ac:dyDescent="0.25">
      <c r="A20" s="23">
        <v>44422</v>
      </c>
      <c r="B20" s="40">
        <v>78</v>
      </c>
      <c r="C20" s="24">
        <v>6731410</v>
      </c>
      <c r="D20" s="24">
        <v>16544370</v>
      </c>
      <c r="E20" s="24">
        <v>2977090</v>
      </c>
      <c r="F20" s="24">
        <v>3596620</v>
      </c>
      <c r="G20" s="24">
        <v>10670670</v>
      </c>
      <c r="H20" s="24">
        <v>5740340</v>
      </c>
      <c r="I20" s="24">
        <v>5236670</v>
      </c>
      <c r="J20" s="24">
        <v>6170060</v>
      </c>
      <c r="K20" s="24">
        <v>9517630</v>
      </c>
      <c r="L20" s="24">
        <v>4002160</v>
      </c>
      <c r="M20" s="24">
        <v>8105020</v>
      </c>
      <c r="N20" s="24">
        <v>12500110</v>
      </c>
      <c r="O20" s="24">
        <v>17242750</v>
      </c>
      <c r="Q20" s="37">
        <f t="shared" si="17"/>
        <v>1070</v>
      </c>
      <c r="R20" s="37">
        <f t="shared" si="18"/>
        <v>15280</v>
      </c>
      <c r="S20" s="37">
        <f t="shared" si="16"/>
        <v>4160</v>
      </c>
      <c r="T20" s="37">
        <f t="shared" si="19"/>
        <v>1800</v>
      </c>
      <c r="U20" s="37">
        <f t="shared" si="20"/>
        <v>4260</v>
      </c>
      <c r="V20" s="37">
        <f t="shared" si="21"/>
        <v>3700</v>
      </c>
      <c r="W20" s="37">
        <f t="shared" si="22"/>
        <v>2500</v>
      </c>
      <c r="X20" s="37">
        <f t="shared" si="23"/>
        <v>4530</v>
      </c>
      <c r="Y20" s="37">
        <f t="shared" si="24"/>
        <v>6130</v>
      </c>
      <c r="Z20" s="37">
        <f t="shared" si="25"/>
        <v>2820</v>
      </c>
      <c r="AA20" s="37">
        <f t="shared" si="26"/>
        <v>3260</v>
      </c>
      <c r="AB20" s="37">
        <f t="shared" si="27"/>
        <v>8160</v>
      </c>
      <c r="AC20" s="37">
        <f t="shared" si="28"/>
        <v>10510</v>
      </c>
      <c r="AD20" s="35">
        <f t="shared" si="29"/>
        <v>68180</v>
      </c>
      <c r="AF20" s="20">
        <f t="shared" si="1"/>
        <v>5.3500000000000005</v>
      </c>
      <c r="AG20" s="20">
        <f t="shared" si="2"/>
        <v>76.400000000000006</v>
      </c>
      <c r="AH20" s="20">
        <f t="shared" si="3"/>
        <v>20.8</v>
      </c>
      <c r="AI20" s="20">
        <f t="shared" si="4"/>
        <v>9</v>
      </c>
      <c r="AJ20" s="20">
        <f t="shared" si="5"/>
        <v>21.3</v>
      </c>
      <c r="AK20" s="20">
        <f t="shared" si="6"/>
        <v>18.5</v>
      </c>
      <c r="AL20" s="20">
        <f t="shared" si="7"/>
        <v>12.5</v>
      </c>
      <c r="AM20" s="20">
        <f t="shared" si="8"/>
        <v>22.650000000000002</v>
      </c>
      <c r="AN20" s="20">
        <f t="shared" si="9"/>
        <v>30.650000000000002</v>
      </c>
      <c r="AO20" s="20">
        <f t="shared" si="10"/>
        <v>14.1</v>
      </c>
      <c r="AP20" s="20">
        <f t="shared" si="11"/>
        <v>16.3</v>
      </c>
      <c r="AQ20" s="20">
        <f t="shared" si="12"/>
        <v>40.800000000000004</v>
      </c>
      <c r="AR20" s="20">
        <f t="shared" si="13"/>
        <v>52.550000000000004</v>
      </c>
      <c r="AS20" s="35">
        <f t="shared" si="30"/>
        <v>340.90000000000003</v>
      </c>
      <c r="AU20" s="47">
        <v>149866</v>
      </c>
      <c r="AV20" s="37">
        <f t="shared" si="31"/>
        <v>2498</v>
      </c>
      <c r="AW20" s="35">
        <f t="shared" si="14"/>
        <v>4.9960000000000004</v>
      </c>
    </row>
    <row r="21" spans="1:49" x14ac:dyDescent="0.25">
      <c r="A21" s="23">
        <v>44423</v>
      </c>
      <c r="B21" s="40">
        <v>58</v>
      </c>
      <c r="C21" s="24">
        <v>6732420</v>
      </c>
      <c r="D21" s="24">
        <v>16558530</v>
      </c>
      <c r="E21" s="24">
        <v>2980930</v>
      </c>
      <c r="F21" s="24">
        <v>3598310</v>
      </c>
      <c r="G21" s="24">
        <v>10674650</v>
      </c>
      <c r="H21" s="24">
        <v>5743700</v>
      </c>
      <c r="I21" s="24">
        <v>5239010</v>
      </c>
      <c r="J21" s="24">
        <v>6174290</v>
      </c>
      <c r="K21" s="24">
        <v>9523250</v>
      </c>
      <c r="L21" s="24">
        <v>4004680</v>
      </c>
      <c r="M21" s="24">
        <v>8107950</v>
      </c>
      <c r="N21" s="24">
        <v>12507740</v>
      </c>
      <c r="O21" s="24">
        <v>17253560</v>
      </c>
      <c r="Q21" s="37">
        <f t="shared" si="17"/>
        <v>1010</v>
      </c>
      <c r="R21" s="37">
        <f t="shared" si="18"/>
        <v>14160</v>
      </c>
      <c r="S21" s="37">
        <f t="shared" si="16"/>
        <v>3840</v>
      </c>
      <c r="T21" s="37">
        <f t="shared" si="19"/>
        <v>1690</v>
      </c>
      <c r="U21" s="37">
        <f t="shared" si="20"/>
        <v>3980</v>
      </c>
      <c r="V21" s="37">
        <f t="shared" si="21"/>
        <v>3360</v>
      </c>
      <c r="W21" s="37">
        <f t="shared" si="22"/>
        <v>2340</v>
      </c>
      <c r="X21" s="37">
        <f t="shared" si="23"/>
        <v>4230</v>
      </c>
      <c r="Y21" s="37">
        <f t="shared" si="24"/>
        <v>5620</v>
      </c>
      <c r="Z21" s="37">
        <f t="shared" si="25"/>
        <v>2520</v>
      </c>
      <c r="AA21" s="37">
        <f t="shared" si="26"/>
        <v>2930</v>
      </c>
      <c r="AB21" s="37">
        <f t="shared" si="27"/>
        <v>7630</v>
      </c>
      <c r="AC21" s="37">
        <f t="shared" si="28"/>
        <v>10810</v>
      </c>
      <c r="AD21" s="35">
        <f t="shared" si="29"/>
        <v>64120</v>
      </c>
      <c r="AF21" s="20">
        <f t="shared" si="1"/>
        <v>5.05</v>
      </c>
      <c r="AG21" s="20">
        <f t="shared" si="2"/>
        <v>70.8</v>
      </c>
      <c r="AH21" s="20">
        <f t="shared" si="3"/>
        <v>19.2</v>
      </c>
      <c r="AI21" s="20">
        <f t="shared" si="4"/>
        <v>8.4499999999999993</v>
      </c>
      <c r="AJ21" s="20">
        <f t="shared" si="5"/>
        <v>19.900000000000002</v>
      </c>
      <c r="AK21" s="20">
        <f t="shared" si="6"/>
        <v>16.8</v>
      </c>
      <c r="AL21" s="20">
        <f t="shared" si="7"/>
        <v>11.700000000000001</v>
      </c>
      <c r="AM21" s="20">
        <f t="shared" si="8"/>
        <v>21.150000000000002</v>
      </c>
      <c r="AN21" s="20">
        <f t="shared" si="9"/>
        <v>28.1</v>
      </c>
      <c r="AO21" s="20">
        <f t="shared" si="10"/>
        <v>12.6</v>
      </c>
      <c r="AP21" s="20">
        <f t="shared" si="11"/>
        <v>14.65</v>
      </c>
      <c r="AQ21" s="20">
        <f t="shared" si="12"/>
        <v>38.15</v>
      </c>
      <c r="AR21" s="20">
        <f t="shared" si="13"/>
        <v>54.050000000000004</v>
      </c>
      <c r="AS21" s="35">
        <f t="shared" si="30"/>
        <v>320.60000000000002</v>
      </c>
      <c r="AU21" s="47">
        <v>152321</v>
      </c>
      <c r="AV21" s="37">
        <f t="shared" si="31"/>
        <v>2455</v>
      </c>
      <c r="AW21" s="35">
        <f t="shared" si="14"/>
        <v>4.91</v>
      </c>
    </row>
    <row r="22" spans="1:49" x14ac:dyDescent="0.25">
      <c r="A22" s="23">
        <v>44424</v>
      </c>
      <c r="B22" s="40">
        <v>68</v>
      </c>
      <c r="C22" s="24">
        <v>6733430</v>
      </c>
      <c r="D22" s="24">
        <v>16572660</v>
      </c>
      <c r="E22" s="24">
        <v>2984730</v>
      </c>
      <c r="F22" s="24">
        <v>3600000</v>
      </c>
      <c r="G22" s="24">
        <v>10678400</v>
      </c>
      <c r="H22" s="24">
        <v>5747060</v>
      </c>
      <c r="I22" s="24">
        <v>5241370</v>
      </c>
      <c r="J22" s="44">
        <v>6178350</v>
      </c>
      <c r="K22" s="24">
        <v>9529120</v>
      </c>
      <c r="L22" s="24">
        <v>4006950</v>
      </c>
      <c r="M22" s="24">
        <v>8110910</v>
      </c>
      <c r="N22" s="24">
        <v>12515520</v>
      </c>
      <c r="O22" s="44">
        <v>17264110</v>
      </c>
      <c r="Q22" s="37">
        <f t="shared" si="17"/>
        <v>1010</v>
      </c>
      <c r="R22" s="37">
        <f t="shared" si="18"/>
        <v>14130</v>
      </c>
      <c r="S22" s="37">
        <f t="shared" si="16"/>
        <v>3800</v>
      </c>
      <c r="T22" s="37">
        <f t="shared" si="19"/>
        <v>1690</v>
      </c>
      <c r="U22" s="37">
        <f t="shared" si="20"/>
        <v>3750</v>
      </c>
      <c r="V22" s="37">
        <f t="shared" si="21"/>
        <v>3360</v>
      </c>
      <c r="W22" s="37">
        <f t="shared" si="22"/>
        <v>2360</v>
      </c>
      <c r="X22" s="37">
        <f t="shared" si="23"/>
        <v>4060</v>
      </c>
      <c r="Y22" s="37">
        <f t="shared" si="24"/>
        <v>5870</v>
      </c>
      <c r="Z22" s="37">
        <f t="shared" si="25"/>
        <v>2270</v>
      </c>
      <c r="AA22" s="37">
        <f t="shared" si="26"/>
        <v>2960</v>
      </c>
      <c r="AB22" s="37">
        <f t="shared" si="27"/>
        <v>7780</v>
      </c>
      <c r="AC22" s="37">
        <f t="shared" si="28"/>
        <v>10550</v>
      </c>
      <c r="AD22" s="35">
        <f t="shared" si="29"/>
        <v>63590</v>
      </c>
      <c r="AF22" s="20">
        <f t="shared" si="1"/>
        <v>5.05</v>
      </c>
      <c r="AG22" s="20">
        <f t="shared" si="2"/>
        <v>70.650000000000006</v>
      </c>
      <c r="AH22" s="20">
        <f t="shared" si="3"/>
        <v>19</v>
      </c>
      <c r="AI22" s="20">
        <f t="shared" si="4"/>
        <v>8.4499999999999993</v>
      </c>
      <c r="AJ22" s="20">
        <f t="shared" si="5"/>
        <v>18.75</v>
      </c>
      <c r="AK22" s="20">
        <f t="shared" si="6"/>
        <v>16.8</v>
      </c>
      <c r="AL22" s="20">
        <f t="shared" si="7"/>
        <v>11.8</v>
      </c>
      <c r="AM22" s="20">
        <f t="shared" si="8"/>
        <v>20.3</v>
      </c>
      <c r="AN22" s="20">
        <f t="shared" si="9"/>
        <v>29.35</v>
      </c>
      <c r="AO22" s="20">
        <f t="shared" si="10"/>
        <v>11.35</v>
      </c>
      <c r="AP22" s="20">
        <f t="shared" si="11"/>
        <v>14.8</v>
      </c>
      <c r="AQ22" s="20">
        <f t="shared" si="12"/>
        <v>38.9</v>
      </c>
      <c r="AR22" s="20">
        <f t="shared" si="13"/>
        <v>52.75</v>
      </c>
      <c r="AS22" s="35">
        <f t="shared" si="30"/>
        <v>317.95000000000005</v>
      </c>
      <c r="AU22" s="47">
        <v>154971</v>
      </c>
      <c r="AV22" s="37">
        <f t="shared" si="31"/>
        <v>2650</v>
      </c>
      <c r="AW22" s="35">
        <f t="shared" si="14"/>
        <v>5.3</v>
      </c>
    </row>
    <row r="23" spans="1:49" x14ac:dyDescent="0.25">
      <c r="A23" s="23">
        <v>44425</v>
      </c>
      <c r="B23" s="40">
        <v>72</v>
      </c>
      <c r="C23" s="24">
        <v>6734410</v>
      </c>
      <c r="D23" s="24">
        <v>16586070</v>
      </c>
      <c r="E23" s="24">
        <v>2988360</v>
      </c>
      <c r="F23" s="24">
        <v>3601650</v>
      </c>
      <c r="G23" s="24">
        <v>10682140</v>
      </c>
      <c r="H23" s="24">
        <v>5750310</v>
      </c>
      <c r="I23" s="24">
        <v>5243680</v>
      </c>
      <c r="J23" s="24">
        <v>6183370</v>
      </c>
      <c r="K23" s="24">
        <v>9534170</v>
      </c>
      <c r="L23" s="24">
        <v>4009190</v>
      </c>
      <c r="M23" s="24">
        <v>8113850</v>
      </c>
      <c r="N23" s="24">
        <v>12523080</v>
      </c>
      <c r="O23" s="24">
        <v>17273990</v>
      </c>
      <c r="Q23" s="37">
        <f t="shared" si="17"/>
        <v>980</v>
      </c>
      <c r="R23" s="37">
        <f t="shared" si="18"/>
        <v>13410</v>
      </c>
      <c r="S23" s="37">
        <f t="shared" si="16"/>
        <v>3630</v>
      </c>
      <c r="T23" s="37">
        <f t="shared" si="19"/>
        <v>1650</v>
      </c>
      <c r="U23" s="37">
        <f t="shared" si="20"/>
        <v>3740</v>
      </c>
      <c r="V23" s="37">
        <f t="shared" si="21"/>
        <v>3250</v>
      </c>
      <c r="W23" s="37">
        <f t="shared" si="22"/>
        <v>2310</v>
      </c>
      <c r="X23" s="37">
        <f t="shared" si="23"/>
        <v>5020</v>
      </c>
      <c r="Y23" s="37">
        <f t="shared" si="24"/>
        <v>5050</v>
      </c>
      <c r="Z23" s="37">
        <f t="shared" si="25"/>
        <v>2240</v>
      </c>
      <c r="AA23" s="37">
        <f t="shared" si="26"/>
        <v>2940</v>
      </c>
      <c r="AB23" s="37">
        <f t="shared" si="27"/>
        <v>7560</v>
      </c>
      <c r="AC23" s="37">
        <f t="shared" si="28"/>
        <v>9880</v>
      </c>
      <c r="AD23" s="35">
        <f t="shared" si="29"/>
        <v>61660</v>
      </c>
      <c r="AF23" s="20">
        <f t="shared" si="1"/>
        <v>4.9000000000000004</v>
      </c>
      <c r="AG23" s="20">
        <f t="shared" si="2"/>
        <v>67.05</v>
      </c>
      <c r="AH23" s="20">
        <f t="shared" si="3"/>
        <v>18.150000000000002</v>
      </c>
      <c r="AI23" s="20">
        <f t="shared" si="4"/>
        <v>8.25</v>
      </c>
      <c r="AJ23" s="20">
        <f t="shared" si="5"/>
        <v>18.7</v>
      </c>
      <c r="AK23" s="20">
        <f t="shared" si="6"/>
        <v>16.25</v>
      </c>
      <c r="AL23" s="20">
        <f t="shared" si="7"/>
        <v>11.55</v>
      </c>
      <c r="AM23" s="20">
        <f t="shared" si="8"/>
        <v>25.1</v>
      </c>
      <c r="AN23" s="20">
        <f t="shared" si="9"/>
        <v>25.25</v>
      </c>
      <c r="AO23" s="20">
        <f t="shared" si="10"/>
        <v>11.200000000000001</v>
      </c>
      <c r="AP23" s="20">
        <f t="shared" si="11"/>
        <v>14.700000000000001</v>
      </c>
      <c r="AQ23" s="20">
        <f t="shared" si="12"/>
        <v>37.800000000000004</v>
      </c>
      <c r="AR23" s="20">
        <f t="shared" si="13"/>
        <v>49.4</v>
      </c>
      <c r="AS23" s="35">
        <f t="shared" si="30"/>
        <v>308.29999999999995</v>
      </c>
      <c r="AU23" s="47">
        <v>157648</v>
      </c>
      <c r="AV23" s="37">
        <f t="shared" si="31"/>
        <v>2677</v>
      </c>
      <c r="AW23" s="35">
        <f t="shared" si="14"/>
        <v>5.3540000000000001</v>
      </c>
    </row>
    <row r="24" spans="1:49" x14ac:dyDescent="0.25">
      <c r="A24" s="23">
        <v>44426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 t="str">
        <f t="shared" si="17"/>
        <v>0</v>
      </c>
      <c r="R24" s="37" t="str">
        <f t="shared" si="18"/>
        <v>0</v>
      </c>
      <c r="S24" s="37" t="str">
        <f t="shared" si="16"/>
        <v>0</v>
      </c>
      <c r="T24" s="37" t="str">
        <f t="shared" si="19"/>
        <v>0</v>
      </c>
      <c r="U24" s="37" t="str">
        <f t="shared" si="20"/>
        <v>0</v>
      </c>
      <c r="V24" s="37" t="str">
        <f t="shared" si="21"/>
        <v>0</v>
      </c>
      <c r="W24" s="37" t="str">
        <f t="shared" si="22"/>
        <v>0</v>
      </c>
      <c r="X24" s="37" t="str">
        <f t="shared" si="23"/>
        <v>0</v>
      </c>
      <c r="Y24" s="37" t="str">
        <f t="shared" si="24"/>
        <v>0</v>
      </c>
      <c r="Z24" s="37" t="str">
        <f t="shared" si="25"/>
        <v>0</v>
      </c>
      <c r="AA24" s="37" t="str">
        <f t="shared" si="26"/>
        <v>0</v>
      </c>
      <c r="AB24" s="37" t="str">
        <f t="shared" si="27"/>
        <v>0</v>
      </c>
      <c r="AC24" s="37" t="str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47"/>
      <c r="AV24" s="37" t="str">
        <f t="shared" si="31"/>
        <v>0</v>
      </c>
      <c r="AW24" s="35">
        <f t="shared" si="14"/>
        <v>0</v>
      </c>
    </row>
    <row r="25" spans="1:49" x14ac:dyDescent="0.25">
      <c r="A25" s="23">
        <v>44427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47"/>
      <c r="AV25" s="37">
        <f t="shared" si="31"/>
        <v>0</v>
      </c>
      <c r="AW25" s="35">
        <f t="shared" si="14"/>
        <v>0</v>
      </c>
    </row>
    <row r="26" spans="1:49" x14ac:dyDescent="0.25">
      <c r="A26" s="23">
        <v>44428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47"/>
      <c r="AV26" s="37">
        <f t="shared" si="31"/>
        <v>0</v>
      </c>
      <c r="AW26" s="35">
        <f t="shared" si="14"/>
        <v>0</v>
      </c>
    </row>
    <row r="27" spans="1:49" x14ac:dyDescent="0.25">
      <c r="A27" s="23">
        <v>44429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47"/>
      <c r="AV27" s="37">
        <f>IF((AU27-AU26&lt;0),"0",AU27-AU26)</f>
        <v>0</v>
      </c>
      <c r="AW27" s="35">
        <f t="shared" si="14"/>
        <v>0</v>
      </c>
    </row>
    <row r="28" spans="1:49" x14ac:dyDescent="0.25">
      <c r="A28" s="23">
        <v>44430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47"/>
      <c r="AV28" s="37">
        <f>IF((AU28-AU27&lt;0),"0",AU28-AU27)</f>
        <v>0</v>
      </c>
      <c r="AW28" s="35">
        <f t="shared" si="14"/>
        <v>0</v>
      </c>
    </row>
    <row r="29" spans="1:49" x14ac:dyDescent="0.25">
      <c r="A29" s="23">
        <v>44431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47"/>
      <c r="AV29" s="37">
        <f t="shared" ref="AV29:AV35" si="34">IF((AU29-AU28&lt;0),"0",AU29-AU28)</f>
        <v>0</v>
      </c>
      <c r="AW29" s="35">
        <f t="shared" si="14"/>
        <v>0</v>
      </c>
    </row>
    <row r="30" spans="1:49" x14ac:dyDescent="0.25">
      <c r="A30" s="23">
        <v>44432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47"/>
      <c r="AV30" s="37">
        <f t="shared" si="34"/>
        <v>0</v>
      </c>
      <c r="AW30" s="35">
        <f t="shared" si="14"/>
        <v>0</v>
      </c>
    </row>
    <row r="31" spans="1:49" x14ac:dyDescent="0.25">
      <c r="A31" s="23">
        <v>44433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47"/>
      <c r="AV31" s="37">
        <f t="shared" si="34"/>
        <v>0</v>
      </c>
      <c r="AW31" s="35">
        <f t="shared" si="14"/>
        <v>0</v>
      </c>
    </row>
    <row r="32" spans="1:49" x14ac:dyDescent="0.25">
      <c r="A32" s="23">
        <v>44434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>
        <f t="shared" si="34"/>
        <v>0</v>
      </c>
      <c r="AW32" s="35">
        <f t="shared" si="14"/>
        <v>0</v>
      </c>
    </row>
    <row r="33" spans="1:49" x14ac:dyDescent="0.25">
      <c r="A33" s="23">
        <v>44435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5">
        <f t="shared" si="14"/>
        <v>0</v>
      </c>
    </row>
    <row r="34" spans="1:49" x14ac:dyDescent="0.25">
      <c r="A34" s="23">
        <v>44436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14"/>
        <v>0</v>
      </c>
    </row>
    <row r="35" spans="1:49" x14ac:dyDescent="0.25">
      <c r="A35" s="23">
        <v>44437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>
        <v>44438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44439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16730</v>
      </c>
      <c r="R38" s="38">
        <f t="shared" ref="R38:AD38" si="62">SUM(R7:R37)</f>
        <v>236420</v>
      </c>
      <c r="S38" s="38">
        <f t="shared" si="62"/>
        <v>64480</v>
      </c>
      <c r="T38" s="38">
        <f t="shared" si="62"/>
        <v>28090</v>
      </c>
      <c r="U38" s="38">
        <f t="shared" si="62"/>
        <v>69230</v>
      </c>
      <c r="V38" s="38">
        <f t="shared" si="62"/>
        <v>57840</v>
      </c>
      <c r="W38" s="38">
        <f t="shared" si="62"/>
        <v>39220</v>
      </c>
      <c r="X38" s="38">
        <f t="shared" si="62"/>
        <v>69490</v>
      </c>
      <c r="Y38" s="38">
        <f t="shared" si="62"/>
        <v>92790</v>
      </c>
      <c r="Z38" s="38">
        <f t="shared" si="62"/>
        <v>43420</v>
      </c>
      <c r="AA38" s="38">
        <f t="shared" si="62"/>
        <v>51000</v>
      </c>
      <c r="AB38" s="38">
        <f t="shared" si="62"/>
        <v>129410</v>
      </c>
      <c r="AC38" s="38">
        <f t="shared" si="62"/>
        <v>153450</v>
      </c>
      <c r="AD38" s="38">
        <f t="shared" si="62"/>
        <v>1051570</v>
      </c>
      <c r="AF38" s="35">
        <f>SUM(AF7:AF37)</f>
        <v>83.649999999999991</v>
      </c>
      <c r="AG38" s="35">
        <f t="shared" ref="AG38:AS38" si="63">SUM(AG7:AG37)</f>
        <v>1182.1000000000001</v>
      </c>
      <c r="AH38" s="35">
        <f t="shared" si="63"/>
        <v>322.39999999999998</v>
      </c>
      <c r="AI38" s="35">
        <f t="shared" si="63"/>
        <v>140.44999999999999</v>
      </c>
      <c r="AJ38" s="35">
        <f t="shared" si="63"/>
        <v>346.15</v>
      </c>
      <c r="AK38" s="35">
        <f t="shared" si="63"/>
        <v>289.2</v>
      </c>
      <c r="AL38" s="35">
        <f t="shared" si="63"/>
        <v>196.1</v>
      </c>
      <c r="AM38" s="35">
        <f t="shared" si="63"/>
        <v>347.45</v>
      </c>
      <c r="AN38" s="35">
        <f t="shared" si="63"/>
        <v>463.95000000000005</v>
      </c>
      <c r="AO38" s="35">
        <f t="shared" si="63"/>
        <v>217.09999999999997</v>
      </c>
      <c r="AP38" s="35">
        <f t="shared" si="63"/>
        <v>255.00000000000003</v>
      </c>
      <c r="AQ38" s="35">
        <f t="shared" si="63"/>
        <v>647.04999999999984</v>
      </c>
      <c r="AR38" s="35">
        <f t="shared" si="63"/>
        <v>767.24999999999989</v>
      </c>
      <c r="AS38" s="35">
        <f t="shared" si="63"/>
        <v>5257.85</v>
      </c>
      <c r="AU38" s="48"/>
      <c r="AV38" s="35">
        <f>SUM(AV7:AV34)</f>
        <v>45531</v>
      </c>
      <c r="AW38" s="35">
        <f>SUM(AW7:AW34)</f>
        <v>91.061999999999998</v>
      </c>
    </row>
    <row r="39" spans="1:49" x14ac:dyDescent="0.25">
      <c r="D39">
        <v>5.0000000000000001E-3</v>
      </c>
      <c r="AV39" s="36">
        <f>AV38*0.00378541*1000</f>
        <v>172353.50271</v>
      </c>
    </row>
    <row r="40" spans="1:49" x14ac:dyDescent="0.25">
      <c r="D40">
        <v>2E-3</v>
      </c>
      <c r="AV40">
        <f>AV39/31</f>
        <v>5559.7904099999996</v>
      </c>
    </row>
    <row r="41" spans="1:49" x14ac:dyDescent="0.25">
      <c r="AV41">
        <f>AV38*0.00378541</f>
        <v>172.35350270999999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2021-08-18T04:34:06Z</dcterms:modified>
</cp:coreProperties>
</file>