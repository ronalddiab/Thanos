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13"/>
  <workbookPr/>
  <mc:AlternateContent xmlns:mc="http://schemas.openxmlformats.org/markup-compatibility/2006">
    <mc:Choice Requires="x15">
      <x15ac:absPath xmlns:x15ac="http://schemas.microsoft.com/office/spreadsheetml/2010/11/ac" url="L:\Environmental &amp; Sustainability\"/>
    </mc:Choice>
  </mc:AlternateContent>
  <xr:revisionPtr revIDLastSave="1248" documentId="11_44BE7606C48B98835416CA84E942A6DD71CC9761" xr6:coauthVersionLast="47" xr6:coauthVersionMax="47" xr10:uidLastSave="{9EE5A8AC-FB3B-44BB-97EF-E7531824483C}"/>
  <bookViews>
    <workbookView xWindow="0" yWindow="0" windowWidth="20400" windowHeight="8445" firstSheet="1" activeTab="1" xr2:uid="{00000000-000D-0000-FFFF-FFFF00000000}"/>
  </bookViews>
  <sheets>
    <sheet name="BAL" sheetId="1" r:id="rId1"/>
    <sheet name="UBU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50" i="2" l="1"/>
  <c r="Q46" i="2"/>
  <c r="E55" i="2"/>
  <c r="E54" i="2"/>
  <c r="E53" i="2"/>
  <c r="E49" i="2"/>
  <c r="E48" i="2"/>
  <c r="E47" i="2"/>
  <c r="E46" i="2"/>
  <c r="E45" i="2"/>
  <c r="E44" i="2"/>
  <c r="E42" i="2"/>
  <c r="E41" i="2"/>
  <c r="E40" i="2"/>
  <c r="E39" i="2"/>
  <c r="E38" i="2"/>
  <c r="E33" i="2"/>
  <c r="E32" i="2"/>
  <c r="E31" i="2"/>
  <c r="E29" i="2"/>
  <c r="E28" i="2"/>
  <c r="E27" i="2"/>
  <c r="E26" i="2"/>
  <c r="E25" i="2"/>
  <c r="E24" i="2"/>
  <c r="E23" i="2"/>
  <c r="E22" i="2"/>
  <c r="E21" i="2"/>
  <c r="E20" i="2"/>
  <c r="E19" i="2"/>
  <c r="E18" i="2"/>
  <c r="E16" i="2"/>
  <c r="E15" i="2"/>
  <c r="E14" i="2"/>
  <c r="E13" i="2"/>
  <c r="E12" i="2"/>
  <c r="E11" i="2"/>
  <c r="E10" i="2"/>
  <c r="E9" i="2"/>
  <c r="E8" i="2"/>
  <c r="E7" i="2"/>
  <c r="E6" i="2"/>
  <c r="E5" i="2"/>
  <c r="W54" i="1"/>
  <c r="Y45" i="1"/>
  <c r="Z42" i="1"/>
  <c r="Y41" i="1"/>
  <c r="Z41" i="1"/>
  <c r="AA41" i="1"/>
  <c r="W41" i="1"/>
  <c r="AA38" i="1"/>
  <c r="Z38" i="1"/>
  <c r="E58" i="1"/>
  <c r="E57" i="1"/>
  <c r="E55" i="1"/>
  <c r="E54" i="1"/>
  <c r="E53" i="1"/>
  <c r="E52" i="1"/>
  <c r="E51" i="1"/>
  <c r="E50" i="1"/>
  <c r="E49" i="1"/>
  <c r="E48" i="1"/>
  <c r="E47" i="1"/>
  <c r="E46" i="1"/>
  <c r="E45" i="1"/>
  <c r="E44" i="1"/>
  <c r="E42" i="1"/>
  <c r="E41" i="1"/>
  <c r="E40" i="1"/>
  <c r="E39" i="1"/>
  <c r="E38" i="1"/>
  <c r="E37" i="1"/>
  <c r="E36" i="1"/>
  <c r="E35" i="1"/>
  <c r="E34" i="1"/>
  <c r="E33" i="1"/>
  <c r="E32" i="1"/>
  <c r="E31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 Safitri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( all type of glass including glass bottle</t>
        </r>
      </text>
    </comment>
    <comment ref="AC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clothing, fabric)</t>
        </r>
      </text>
    </comment>
    <comment ref="AG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( dry wall, steel, framing, tile, carpet)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Cardboard, Fibreboard)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Print paper, magazine, newspaper)</t>
        </r>
      </text>
    </comment>
    <comment ref="G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aluminum cans, bottle, foils and food service items) </t>
        </r>
      </text>
    </comment>
    <comment ref="H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tin cansa, bottle, all food service items)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 Safitri</author>
  </authors>
  <commentList>
    <comment ref="F2" authorId="0" shapeId="0" xr:uid="{43281EF5-317D-42E6-B97D-CC3AA629C965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( all type of glass including glass bottle</t>
        </r>
      </text>
    </comment>
    <comment ref="AC2" authorId="0" shapeId="0" xr:uid="{C3CEB642-6E32-4AAF-9526-2C2AAED29A49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clothing, fabric)</t>
        </r>
      </text>
    </comment>
    <comment ref="AG2" authorId="0" shapeId="0" xr:uid="{F0812AAE-80D4-4D0E-8D6A-433B3EEB7CA1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( dry wall, steel, framing, tile, carpet)</t>
        </r>
      </text>
    </comment>
    <comment ref="D3" authorId="0" shapeId="0" xr:uid="{CCDCB6B2-1304-44EF-AD25-A983E3BFA20E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Cardboard, Fibreboard)</t>
        </r>
      </text>
    </comment>
    <comment ref="E3" authorId="0" shapeId="0" xr:uid="{1E2B4384-8B52-4340-B8B5-F0DA374DA411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Print paper, magazine, newspaper)</t>
        </r>
      </text>
    </comment>
    <comment ref="G3" authorId="0" shapeId="0" xr:uid="{8C21C180-4E87-443D-996C-F7A91125C159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aluminum cans, bottle, foils and food service items) </t>
        </r>
      </text>
    </comment>
    <comment ref="H3" authorId="0" shapeId="0" xr:uid="{7E863814-6946-411C-9C0C-CF02B21BD9D5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tin cansa, bottle, all food service items)</t>
        </r>
      </text>
    </comment>
  </commentList>
</comments>
</file>

<file path=xl/sharedStrings.xml><?xml version="1.0" encoding="utf-8"?>
<sst xmlns="http://schemas.openxmlformats.org/spreadsheetml/2006/main" count="219" uniqueCount="61">
  <si>
    <t>Month</t>
  </si>
  <si>
    <t>General/Municipal Solid Waste</t>
  </si>
  <si>
    <t>Recyclables</t>
  </si>
  <si>
    <t>Biodegradable</t>
  </si>
  <si>
    <t>Toiletries and durable goods</t>
  </si>
  <si>
    <t>Hazardous and Universal Waste</t>
  </si>
  <si>
    <t>Other materials</t>
  </si>
  <si>
    <t>Commingled recyclables</t>
  </si>
  <si>
    <t>Paper &amp; cardboard</t>
  </si>
  <si>
    <t xml:space="preserve">Mixed Glass </t>
  </si>
  <si>
    <t>Mixed metals</t>
  </si>
  <si>
    <t>Plastics</t>
  </si>
  <si>
    <t>Food waste</t>
  </si>
  <si>
    <t>Liquid food waste</t>
  </si>
  <si>
    <t>Kitchen grease</t>
  </si>
  <si>
    <t>Green/ Landscaping waste</t>
  </si>
  <si>
    <t>Bath toiletries</t>
  </si>
  <si>
    <t>Durable goods</t>
  </si>
  <si>
    <t>Hazardous Waste</t>
  </si>
  <si>
    <t>Universal waste</t>
  </si>
  <si>
    <t>Textiles</t>
  </si>
  <si>
    <t>Personal protective equipment</t>
  </si>
  <si>
    <t>Wood</t>
  </si>
  <si>
    <t>Paint</t>
  </si>
  <si>
    <t xml:space="preserve">Building construction </t>
  </si>
  <si>
    <t>Other</t>
  </si>
  <si>
    <t>Bottles &amp; cans</t>
  </si>
  <si>
    <t>Cardboard</t>
  </si>
  <si>
    <t>Paper</t>
  </si>
  <si>
    <t>Aluminum</t>
  </si>
  <si>
    <t>Tin</t>
  </si>
  <si>
    <t xml:space="preserve">Plastic #1 (PET) </t>
  </si>
  <si>
    <t xml:space="preserve">Plastic #2 (HDPE) </t>
  </si>
  <si>
    <t xml:space="preserve">Other plastics </t>
  </si>
  <si>
    <t xml:space="preserve">Solid food waste </t>
  </si>
  <si>
    <t>Leftover edible food</t>
  </si>
  <si>
    <t xml:space="preserve">Inedible parts </t>
  </si>
  <si>
    <t>Bath amenity bottles</t>
  </si>
  <si>
    <t>Candle</t>
  </si>
  <si>
    <t>Soap bars</t>
  </si>
  <si>
    <t>Pallet and crates</t>
  </si>
  <si>
    <t xml:space="preserve">E-waste </t>
  </si>
  <si>
    <t>Liquid Hazardous Waste</t>
  </si>
  <si>
    <t>Medical waste</t>
  </si>
  <si>
    <t>Other Hazardous Waste</t>
  </si>
  <si>
    <t>Batteries</t>
  </si>
  <si>
    <t>Light bulbs</t>
  </si>
  <si>
    <t xml:space="preserve">Light fixtures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</si>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</sst>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3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</font>
    <font>
      <sz val="8"/>
      <color theme="1"/>
      <name val="Calibri"/>
    </font>
    <font>
      <sz val="8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wrapText="1"/>
    </xf>
    <xf numFmtId="43" fontId="1" fillId="0" borderId="0" xfId="0" applyNumberFormat="1" applyFont="1" applyAlignment="1">
      <alignment wrapText="1"/>
    </xf>
    <xf numFmtId="43" fontId="8" fillId="2" borderId="1" xfId="0" applyNumberFormat="1" applyFont="1" applyFill="1" applyBorder="1" applyAlignment="1">
      <alignment horizontal="center" vertical="center" wrapText="1"/>
    </xf>
    <xf numFmtId="43" fontId="8" fillId="4" borderId="1" xfId="0" applyNumberFormat="1" applyFont="1" applyFill="1" applyBorder="1" applyAlignment="1">
      <alignment horizontal="center" vertical="center" wrapText="1"/>
    </xf>
    <xf numFmtId="43" fontId="11" fillId="0" borderId="1" xfId="0" applyNumberFormat="1" applyFont="1" applyBorder="1" applyAlignment="1">
      <alignment horizontal="center" vertical="center" wrapText="1"/>
    </xf>
    <xf numFmtId="43" fontId="11" fillId="0" borderId="1" xfId="0" applyNumberFormat="1" applyFont="1" applyBorder="1" applyAlignment="1">
      <alignment wrapText="1"/>
    </xf>
    <xf numFmtId="43" fontId="11" fillId="0" borderId="0" xfId="0" applyNumberFormat="1" applyFont="1" applyAlignment="1">
      <alignment wrapText="1"/>
    </xf>
    <xf numFmtId="43" fontId="12" fillId="0" borderId="1" xfId="1" applyNumberFormat="1" applyFont="1" applyFill="1" applyBorder="1"/>
    <xf numFmtId="43" fontId="8" fillId="3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3" fontId="4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43" fontId="1" fillId="3" borderId="1" xfId="0" applyNumberFormat="1" applyFont="1" applyFill="1" applyBorder="1" applyAlignment="1">
      <alignment wrapText="1"/>
    </xf>
    <xf numFmtId="43" fontId="11" fillId="3" borderId="1" xfId="0" applyNumberFormat="1" applyFont="1" applyFill="1" applyBorder="1" applyAlignment="1">
      <alignment wrapText="1"/>
    </xf>
    <xf numFmtId="0" fontId="5" fillId="0" borderId="2" xfId="0" applyFont="1" applyBorder="1"/>
    <xf numFmtId="0" fontId="1" fillId="0" borderId="2" xfId="0" applyFont="1" applyBorder="1" applyAlignment="1">
      <alignment wrapText="1"/>
    </xf>
    <xf numFmtId="43" fontId="1" fillId="0" borderId="2" xfId="0" applyNumberFormat="1" applyFont="1" applyBorder="1" applyAlignment="1">
      <alignment wrapText="1"/>
    </xf>
    <xf numFmtId="43" fontId="11" fillId="0" borderId="2" xfId="0" applyNumberFormat="1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43" fontId="1" fillId="0" borderId="3" xfId="0" applyNumberFormat="1" applyFont="1" applyBorder="1" applyAlignment="1">
      <alignment wrapText="1"/>
    </xf>
    <xf numFmtId="43" fontId="11" fillId="0" borderId="3" xfId="0" applyNumberFormat="1" applyFont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3" fontId="4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</cellXfs>
  <cellStyles count="12">
    <cellStyle name="Comma 2" xfId="1" xr:uid="{00000000-0005-0000-0000-000000000000}"/>
    <cellStyle name="Comma 2 2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4" xfId="5" xr:uid="{00000000-0005-0000-0000-000005000000}"/>
    <cellStyle name="Normal 5" xfId="6" xr:uid="{00000000-0005-0000-0000-000006000000}"/>
    <cellStyle name="Normal 6" xfId="7" xr:uid="{00000000-0005-0000-0000-000007000000}"/>
    <cellStyle name="Normal 7" xfId="8" xr:uid="{00000000-0005-0000-0000-000008000000}"/>
    <cellStyle name="Normal 8" xfId="9" xr:uid="{00000000-0005-0000-0000-000009000000}"/>
    <cellStyle name="Percent 2" xfId="10" xr:uid="{00000000-0005-0000-0000-00000A000000}"/>
    <cellStyle name="Percent 2 2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8"/>
  <sheetViews>
    <sheetView topLeftCell="A3" workbookViewId="0">
      <pane ySplit="1" topLeftCell="D53" activePane="bottomLeft" state="frozen"/>
      <selection pane="bottomLeft" activeCell="T58" sqref="T58"/>
    </sheetView>
  </sheetViews>
  <sheetFormatPr defaultRowHeight="11.25"/>
  <cols>
    <col min="1" max="1" width="9.140625" style="1"/>
    <col min="2" max="2" width="23.28515625" style="2" hidden="1" customWidth="1"/>
    <col min="3" max="3" width="21.140625" style="2" hidden="1" customWidth="1"/>
    <col min="4" max="5" width="12.5703125" style="14" customWidth="1"/>
    <col min="6" max="6" width="9.140625" style="19"/>
    <col min="7" max="7" width="10.140625" style="14" customWidth="1"/>
    <col min="8" max="8" width="9.140625" style="14"/>
    <col min="9" max="10" width="9.140625" style="2"/>
    <col min="11" max="12" width="9.140625" style="14"/>
    <col min="13" max="13" width="9.140625" style="2"/>
    <col min="14" max="14" width="9.140625" style="14"/>
    <col min="15" max="15" width="9.140625" style="2"/>
    <col min="16" max="16" width="9.140625" style="14"/>
    <col min="17" max="17" width="10.7109375" style="14" customWidth="1"/>
    <col min="18" max="18" width="9.140625" style="2"/>
    <col min="19" max="19" width="9.140625" style="14"/>
    <col min="20" max="21" width="9.140625" style="2"/>
    <col min="22" max="32" width="9.140625" style="1"/>
    <col min="33" max="33" width="10.7109375" style="1" customWidth="1"/>
    <col min="34" max="16384" width="9.140625" style="1"/>
  </cols>
  <sheetData>
    <row r="1" spans="1:34" s="5" customFormat="1" ht="48" hidden="1" customHeight="1">
      <c r="A1" s="51" t="s">
        <v>0</v>
      </c>
      <c r="B1" s="53" t="s">
        <v>1</v>
      </c>
      <c r="C1" s="56" t="s">
        <v>2</v>
      </c>
      <c r="D1" s="56"/>
      <c r="E1" s="56"/>
      <c r="F1" s="56"/>
      <c r="G1" s="56"/>
      <c r="H1" s="56"/>
      <c r="I1" s="56"/>
      <c r="J1" s="56"/>
      <c r="K1" s="56"/>
      <c r="L1" s="52" t="s">
        <v>3</v>
      </c>
      <c r="M1" s="52"/>
      <c r="N1" s="52"/>
      <c r="O1" s="52"/>
      <c r="P1" s="52"/>
      <c r="Q1" s="52"/>
      <c r="R1" s="53" t="s">
        <v>4</v>
      </c>
      <c r="S1" s="53"/>
      <c r="T1" s="53"/>
      <c r="U1" s="53"/>
      <c r="V1" s="53"/>
      <c r="W1" s="43" t="s">
        <v>5</v>
      </c>
      <c r="X1" s="43"/>
      <c r="Y1" s="43"/>
      <c r="Z1" s="43"/>
      <c r="AA1" s="43"/>
      <c r="AB1" s="43"/>
      <c r="AC1" s="44" t="s">
        <v>6</v>
      </c>
      <c r="AD1" s="44"/>
      <c r="AE1" s="44"/>
      <c r="AF1" s="44"/>
      <c r="AG1" s="44"/>
      <c r="AH1" s="44"/>
    </row>
    <row r="2" spans="1:34" s="5" customFormat="1" ht="48" hidden="1" customHeight="1">
      <c r="A2" s="51"/>
      <c r="B2" s="53"/>
      <c r="C2" s="4" t="s">
        <v>7</v>
      </c>
      <c r="D2" s="49" t="s">
        <v>8</v>
      </c>
      <c r="E2" s="49"/>
      <c r="F2" s="50" t="s">
        <v>9</v>
      </c>
      <c r="G2" s="54" t="s">
        <v>10</v>
      </c>
      <c r="H2" s="54"/>
      <c r="I2" s="55" t="s">
        <v>11</v>
      </c>
      <c r="J2" s="55"/>
      <c r="K2" s="55"/>
      <c r="L2" s="46" t="s">
        <v>12</v>
      </c>
      <c r="M2" s="46"/>
      <c r="N2" s="46"/>
      <c r="O2" s="46" t="s">
        <v>13</v>
      </c>
      <c r="P2" s="47" t="s">
        <v>14</v>
      </c>
      <c r="Q2" s="47" t="s">
        <v>15</v>
      </c>
      <c r="R2" s="48" t="s">
        <v>16</v>
      </c>
      <c r="S2" s="48"/>
      <c r="T2" s="48"/>
      <c r="U2" s="48" t="s">
        <v>17</v>
      </c>
      <c r="V2" s="48"/>
      <c r="W2" s="41" t="s">
        <v>18</v>
      </c>
      <c r="X2" s="41"/>
      <c r="Y2" s="41"/>
      <c r="Z2" s="42" t="s">
        <v>19</v>
      </c>
      <c r="AA2" s="42"/>
      <c r="AB2" s="42"/>
      <c r="AC2" s="45" t="s">
        <v>20</v>
      </c>
      <c r="AD2" s="45" t="s">
        <v>21</v>
      </c>
      <c r="AE2" s="40" t="s">
        <v>22</v>
      </c>
      <c r="AF2" s="40" t="s">
        <v>23</v>
      </c>
      <c r="AG2" s="39" t="s">
        <v>24</v>
      </c>
      <c r="AH2" s="40" t="s">
        <v>25</v>
      </c>
    </row>
    <row r="3" spans="1:34" s="5" customFormat="1" ht="48" customHeight="1">
      <c r="A3" s="51"/>
      <c r="B3" s="53"/>
      <c r="C3" s="4" t="s">
        <v>26</v>
      </c>
      <c r="D3" s="15" t="s">
        <v>27</v>
      </c>
      <c r="E3" s="15" t="s">
        <v>28</v>
      </c>
      <c r="F3" s="50"/>
      <c r="G3" s="16" t="s">
        <v>29</v>
      </c>
      <c r="H3" s="16" t="s">
        <v>30</v>
      </c>
      <c r="I3" s="10" t="s">
        <v>31</v>
      </c>
      <c r="J3" s="10" t="s">
        <v>32</v>
      </c>
      <c r="K3" s="21" t="s">
        <v>33</v>
      </c>
      <c r="L3" s="23" t="s">
        <v>34</v>
      </c>
      <c r="M3" s="22" t="s">
        <v>35</v>
      </c>
      <c r="N3" s="23" t="s">
        <v>36</v>
      </c>
      <c r="O3" s="46"/>
      <c r="P3" s="47"/>
      <c r="Q3" s="47"/>
      <c r="R3" s="24" t="s">
        <v>37</v>
      </c>
      <c r="S3" s="25" t="s">
        <v>38</v>
      </c>
      <c r="T3" s="24" t="s">
        <v>39</v>
      </c>
      <c r="U3" s="24" t="s">
        <v>40</v>
      </c>
      <c r="V3" s="24" t="s">
        <v>41</v>
      </c>
      <c r="W3" s="11" t="s">
        <v>42</v>
      </c>
      <c r="X3" s="11" t="s">
        <v>43</v>
      </c>
      <c r="Y3" s="11" t="s">
        <v>44</v>
      </c>
      <c r="Z3" s="11" t="s">
        <v>45</v>
      </c>
      <c r="AA3" s="11" t="s">
        <v>46</v>
      </c>
      <c r="AB3" s="11" t="s">
        <v>47</v>
      </c>
      <c r="AC3" s="45"/>
      <c r="AD3" s="45"/>
      <c r="AE3" s="40"/>
      <c r="AF3" s="40"/>
      <c r="AG3" s="39"/>
      <c r="AH3" s="40"/>
    </row>
    <row r="4" spans="1:34" s="5" customFormat="1" ht="12" customHeight="1">
      <c r="A4" s="9">
        <v>2018</v>
      </c>
      <c r="B4" s="4"/>
      <c r="C4" s="4"/>
      <c r="D4" s="12"/>
      <c r="E4" s="12"/>
      <c r="F4" s="17"/>
      <c r="G4" s="12"/>
      <c r="H4" s="12"/>
      <c r="I4" s="4"/>
      <c r="J4" s="4"/>
      <c r="K4" s="12"/>
      <c r="L4" s="12"/>
      <c r="M4" s="4"/>
      <c r="N4" s="12"/>
      <c r="O4" s="4"/>
      <c r="P4" s="12"/>
      <c r="Q4" s="12"/>
      <c r="R4" s="4"/>
      <c r="S4" s="12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"/>
      <c r="AF4" s="3"/>
      <c r="AG4" s="4"/>
      <c r="AH4" s="3"/>
    </row>
    <row r="5" spans="1:34" s="5" customFormat="1" ht="12" customHeight="1">
      <c r="A5" s="6" t="s">
        <v>48</v>
      </c>
      <c r="B5" s="4"/>
      <c r="C5" s="4"/>
      <c r="D5" s="12">
        <v>49.9</v>
      </c>
      <c r="E5" s="12">
        <f>228.8-49.9</f>
        <v>178.9</v>
      </c>
      <c r="F5" s="17">
        <v>178.5</v>
      </c>
      <c r="G5" s="12">
        <v>16.8</v>
      </c>
      <c r="H5" s="12">
        <v>81</v>
      </c>
      <c r="I5" s="4"/>
      <c r="J5" s="4"/>
      <c r="K5" s="12">
        <v>92.9</v>
      </c>
      <c r="L5" s="12">
        <v>7970</v>
      </c>
      <c r="M5" s="4"/>
      <c r="N5" s="12">
        <v>109.9</v>
      </c>
      <c r="O5" s="4"/>
      <c r="P5" s="12">
        <v>121.2</v>
      </c>
      <c r="Q5" s="12">
        <v>8857.4</v>
      </c>
      <c r="R5" s="4"/>
      <c r="S5" s="12">
        <v>6.2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3"/>
      <c r="AF5" s="3"/>
      <c r="AG5" s="4"/>
      <c r="AH5" s="3"/>
    </row>
    <row r="6" spans="1:34" s="5" customFormat="1" ht="12" customHeight="1">
      <c r="A6" s="6" t="s">
        <v>49</v>
      </c>
      <c r="B6" s="4"/>
      <c r="C6" s="4"/>
      <c r="D6" s="12">
        <v>58.1</v>
      </c>
      <c r="E6" s="12">
        <f>236.6-D6</f>
        <v>178.5</v>
      </c>
      <c r="F6" s="20">
        <v>148.6</v>
      </c>
      <c r="G6" s="12">
        <v>22.6</v>
      </c>
      <c r="H6" s="12">
        <v>59.5</v>
      </c>
      <c r="I6" s="4"/>
      <c r="J6" s="4"/>
      <c r="K6" s="12">
        <v>83.3</v>
      </c>
      <c r="L6" s="12">
        <v>7785</v>
      </c>
      <c r="M6" s="4"/>
      <c r="N6" s="12">
        <v>93.2</v>
      </c>
      <c r="O6" s="4"/>
      <c r="P6" s="12">
        <v>83.5</v>
      </c>
      <c r="Q6" s="12">
        <v>8730.1</v>
      </c>
      <c r="R6" s="4"/>
      <c r="S6" s="12">
        <v>6.5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3"/>
      <c r="AF6" s="3"/>
      <c r="AG6" s="4"/>
      <c r="AH6" s="3"/>
    </row>
    <row r="7" spans="1:34" s="5" customFormat="1" ht="12" customHeight="1">
      <c r="A7" s="6" t="s">
        <v>50</v>
      </c>
      <c r="B7" s="4"/>
      <c r="C7" s="4"/>
      <c r="D7" s="12">
        <v>109.33</v>
      </c>
      <c r="E7" s="12">
        <f>361.4-109.33</f>
        <v>252.07</v>
      </c>
      <c r="F7" s="17">
        <v>316.39999999999998</v>
      </c>
      <c r="G7" s="12">
        <v>12</v>
      </c>
      <c r="H7" s="12">
        <v>95.9</v>
      </c>
      <c r="I7" s="4"/>
      <c r="J7" s="4"/>
      <c r="K7" s="12">
        <v>170.6</v>
      </c>
      <c r="L7" s="12">
        <v>8025</v>
      </c>
      <c r="M7" s="4"/>
      <c r="N7" s="12">
        <v>72</v>
      </c>
      <c r="O7" s="4"/>
      <c r="P7" s="12">
        <v>190.4</v>
      </c>
      <c r="Q7" s="12">
        <v>8975.4</v>
      </c>
      <c r="R7" s="4"/>
      <c r="S7" s="12">
        <v>14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3"/>
      <c r="AF7" s="3"/>
      <c r="AG7" s="4"/>
      <c r="AH7" s="3"/>
    </row>
    <row r="8" spans="1:34" s="5" customFormat="1" ht="12" customHeight="1">
      <c r="A8" s="6" t="s">
        <v>51</v>
      </c>
      <c r="B8" s="4"/>
      <c r="C8" s="4"/>
      <c r="D8" s="12">
        <v>123.8</v>
      </c>
      <c r="E8" s="12">
        <f>313.9-123.8</f>
        <v>190.09999999999997</v>
      </c>
      <c r="F8" s="17">
        <v>460.7</v>
      </c>
      <c r="G8" s="12">
        <v>13.5</v>
      </c>
      <c r="H8" s="12">
        <v>63.4</v>
      </c>
      <c r="I8" s="4"/>
      <c r="J8" s="4"/>
      <c r="K8" s="12">
        <v>182.9</v>
      </c>
      <c r="L8" s="12">
        <v>8080</v>
      </c>
      <c r="M8" s="4"/>
      <c r="N8" s="12">
        <v>96.3</v>
      </c>
      <c r="O8" s="4"/>
      <c r="P8" s="12">
        <v>199</v>
      </c>
      <c r="Q8" s="12">
        <v>8848.5</v>
      </c>
      <c r="R8" s="4"/>
      <c r="S8" s="12">
        <v>13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3"/>
      <c r="AF8" s="3"/>
      <c r="AG8" s="4"/>
      <c r="AH8" s="3"/>
    </row>
    <row r="9" spans="1:34" s="5" customFormat="1" ht="12" customHeight="1">
      <c r="A9" s="6" t="s">
        <v>52</v>
      </c>
      <c r="B9" s="4"/>
      <c r="C9" s="4"/>
      <c r="D9" s="12">
        <v>181.4</v>
      </c>
      <c r="E9" s="12">
        <f>493.6-181.4</f>
        <v>312.20000000000005</v>
      </c>
      <c r="F9" s="17">
        <v>611</v>
      </c>
      <c r="G9" s="12">
        <v>16</v>
      </c>
      <c r="H9" s="12">
        <v>114.3</v>
      </c>
      <c r="I9" s="4"/>
      <c r="J9" s="4"/>
      <c r="K9" s="12">
        <v>417</v>
      </c>
      <c r="L9" s="12">
        <v>8155</v>
      </c>
      <c r="M9" s="4"/>
      <c r="N9" s="12">
        <v>102.3</v>
      </c>
      <c r="O9" s="4"/>
      <c r="P9" s="12">
        <v>206.9</v>
      </c>
      <c r="Q9" s="12">
        <v>9196.7000000000007</v>
      </c>
      <c r="R9" s="4"/>
      <c r="S9" s="12">
        <v>9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3"/>
      <c r="AF9" s="3"/>
      <c r="AG9" s="4"/>
      <c r="AH9" s="3"/>
    </row>
    <row r="10" spans="1:34" s="5" customFormat="1" ht="12" customHeight="1">
      <c r="A10" s="6" t="s">
        <v>53</v>
      </c>
      <c r="B10" s="4"/>
      <c r="C10" s="4"/>
      <c r="D10" s="12">
        <v>140.9</v>
      </c>
      <c r="E10" s="12">
        <f>508.5-140.9</f>
        <v>367.6</v>
      </c>
      <c r="F10" s="17">
        <v>489.2</v>
      </c>
      <c r="G10" s="12">
        <v>13.5</v>
      </c>
      <c r="H10" s="12">
        <v>108.2</v>
      </c>
      <c r="I10" s="4"/>
      <c r="J10" s="4"/>
      <c r="K10" s="12">
        <v>297.7</v>
      </c>
      <c r="L10" s="12">
        <v>8195</v>
      </c>
      <c r="M10" s="4"/>
      <c r="N10" s="12">
        <v>116</v>
      </c>
      <c r="O10" s="4"/>
      <c r="P10" s="12">
        <v>210.4</v>
      </c>
      <c r="Q10" s="12">
        <v>9139.5</v>
      </c>
      <c r="R10" s="4"/>
      <c r="S10" s="12">
        <v>10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"/>
      <c r="AF10" s="3"/>
      <c r="AG10" s="4"/>
      <c r="AH10" s="3"/>
    </row>
    <row r="11" spans="1:34" s="5" customFormat="1" ht="12" customHeight="1">
      <c r="A11" s="6" t="s">
        <v>54</v>
      </c>
      <c r="B11" s="4"/>
      <c r="C11" s="4"/>
      <c r="D11" s="12">
        <v>245.8</v>
      </c>
      <c r="E11" s="12">
        <f>662.9-245.8</f>
        <v>417.09999999999997</v>
      </c>
      <c r="F11" s="17">
        <v>480.4</v>
      </c>
      <c r="G11" s="12">
        <v>75.400000000000006</v>
      </c>
      <c r="H11" s="12">
        <v>119.6</v>
      </c>
      <c r="I11" s="4"/>
      <c r="J11" s="4"/>
      <c r="K11" s="12">
        <v>236.1</v>
      </c>
      <c r="L11" s="12">
        <v>8120</v>
      </c>
      <c r="M11" s="4"/>
      <c r="N11" s="12">
        <v>87.5</v>
      </c>
      <c r="O11" s="4"/>
      <c r="P11" s="12">
        <v>184.3</v>
      </c>
      <c r="Q11" s="12">
        <v>9006.1</v>
      </c>
      <c r="R11" s="4"/>
      <c r="S11" s="12">
        <v>31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3"/>
      <c r="AF11" s="3"/>
      <c r="AG11" s="4"/>
      <c r="AH11" s="3"/>
    </row>
    <row r="12" spans="1:34" s="5" customFormat="1" ht="12" customHeight="1">
      <c r="A12" s="6" t="s">
        <v>55</v>
      </c>
      <c r="B12" s="4"/>
      <c r="C12" s="4"/>
      <c r="D12" s="12">
        <v>70.8</v>
      </c>
      <c r="E12" s="12">
        <f>332-D12</f>
        <v>261.2</v>
      </c>
      <c r="F12" s="17">
        <v>252</v>
      </c>
      <c r="G12" s="12">
        <v>9</v>
      </c>
      <c r="H12" s="12">
        <v>96.4</v>
      </c>
      <c r="I12" s="4"/>
      <c r="J12" s="4"/>
      <c r="K12" s="12">
        <v>100.5</v>
      </c>
      <c r="L12" s="12">
        <v>7155</v>
      </c>
      <c r="M12" s="4"/>
      <c r="N12" s="12">
        <v>76.7</v>
      </c>
      <c r="O12" s="4"/>
      <c r="P12" s="12">
        <v>103</v>
      </c>
      <c r="Q12" s="12"/>
      <c r="R12" s="4"/>
      <c r="S12" s="12">
        <v>10.5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3"/>
      <c r="AF12" s="3"/>
      <c r="AG12" s="4"/>
      <c r="AH12" s="3"/>
    </row>
    <row r="13" spans="1:34" s="5" customFormat="1" ht="12" customHeight="1">
      <c r="A13" s="6" t="s">
        <v>56</v>
      </c>
      <c r="B13" s="4"/>
      <c r="C13" s="4"/>
      <c r="D13" s="12">
        <v>158.4</v>
      </c>
      <c r="E13" s="12">
        <f>406.7-D13</f>
        <v>248.29999999999998</v>
      </c>
      <c r="F13" s="17">
        <v>475.4</v>
      </c>
      <c r="G13" s="12">
        <v>30.5</v>
      </c>
      <c r="H13" s="12">
        <v>129.69999999999999</v>
      </c>
      <c r="I13" s="4"/>
      <c r="J13" s="4"/>
      <c r="K13" s="12">
        <v>350</v>
      </c>
      <c r="L13" s="12">
        <v>8305</v>
      </c>
      <c r="M13" s="4"/>
      <c r="N13" s="12">
        <v>92.6</v>
      </c>
      <c r="O13" s="4"/>
      <c r="P13" s="12">
        <v>174.2</v>
      </c>
      <c r="Q13" s="12">
        <v>9034</v>
      </c>
      <c r="R13" s="4"/>
      <c r="S13" s="12">
        <v>11.8</v>
      </c>
      <c r="T13" s="4"/>
      <c r="U13" s="4"/>
      <c r="V13" s="4"/>
      <c r="W13" s="4"/>
      <c r="X13" s="4"/>
      <c r="Y13" s="4"/>
      <c r="Z13" s="4"/>
      <c r="AA13" s="4">
        <v>2</v>
      </c>
      <c r="AB13" s="4"/>
      <c r="AC13" s="4"/>
      <c r="AD13" s="4"/>
      <c r="AE13" s="3"/>
      <c r="AF13" s="3"/>
      <c r="AG13" s="4"/>
      <c r="AH13" s="3"/>
    </row>
    <row r="14" spans="1:34" s="5" customFormat="1" ht="12" customHeight="1">
      <c r="A14" s="6" t="s">
        <v>57</v>
      </c>
      <c r="B14" s="4"/>
      <c r="C14" s="4"/>
      <c r="D14" s="12">
        <v>82.8</v>
      </c>
      <c r="E14" s="12">
        <f>393-90-D14</f>
        <v>220.2</v>
      </c>
      <c r="F14" s="17">
        <v>234</v>
      </c>
      <c r="G14" s="12">
        <v>11.5</v>
      </c>
      <c r="H14" s="12">
        <v>63.7</v>
      </c>
      <c r="I14" s="4"/>
      <c r="J14" s="4"/>
      <c r="K14" s="12">
        <v>58.3</v>
      </c>
      <c r="L14" s="12">
        <v>7360</v>
      </c>
      <c r="M14" s="4"/>
      <c r="N14" s="12">
        <v>67.400000000000006</v>
      </c>
      <c r="O14" s="4"/>
      <c r="P14" s="12">
        <v>115.1</v>
      </c>
      <c r="Q14" s="12"/>
      <c r="R14" s="4"/>
      <c r="S14" s="12">
        <v>7.5</v>
      </c>
      <c r="T14" s="4"/>
      <c r="U14" s="4"/>
      <c r="V14" s="4"/>
      <c r="W14" s="4"/>
      <c r="X14" s="4"/>
      <c r="Y14" s="4">
        <v>4</v>
      </c>
      <c r="Z14" s="4"/>
      <c r="AA14" s="4">
        <v>2</v>
      </c>
      <c r="AB14" s="4"/>
      <c r="AC14" s="4"/>
      <c r="AD14" s="4"/>
      <c r="AE14" s="3"/>
      <c r="AF14" s="3"/>
      <c r="AG14" s="4"/>
      <c r="AH14" s="3"/>
    </row>
    <row r="15" spans="1:34" s="5" customFormat="1" ht="12" customHeight="1">
      <c r="A15" s="6" t="s">
        <v>58</v>
      </c>
      <c r="B15" s="4"/>
      <c r="C15" s="4"/>
      <c r="D15" s="12">
        <v>152.4</v>
      </c>
      <c r="E15" s="12">
        <f>586.2-D15</f>
        <v>433.80000000000007</v>
      </c>
      <c r="F15" s="17">
        <v>562.1</v>
      </c>
      <c r="G15" s="12">
        <v>50</v>
      </c>
      <c r="H15" s="12">
        <v>113.4</v>
      </c>
      <c r="I15" s="4"/>
      <c r="J15" s="4"/>
      <c r="K15" s="12">
        <v>299.2</v>
      </c>
      <c r="L15" s="12">
        <v>8185</v>
      </c>
      <c r="M15" s="4"/>
      <c r="N15" s="12">
        <v>84.7</v>
      </c>
      <c r="O15" s="4"/>
      <c r="P15" s="12">
        <v>114</v>
      </c>
      <c r="Q15" s="12">
        <v>9085.2999999999993</v>
      </c>
      <c r="R15" s="4"/>
      <c r="S15" s="12">
        <v>9</v>
      </c>
      <c r="T15" s="4"/>
      <c r="U15" s="4"/>
      <c r="V15" s="4"/>
      <c r="W15" s="4"/>
      <c r="X15" s="4"/>
      <c r="Y15" s="4">
        <v>2</v>
      </c>
      <c r="Z15" s="4"/>
      <c r="AA15" s="4">
        <v>2</v>
      </c>
      <c r="AB15" s="4"/>
      <c r="AC15" s="4"/>
      <c r="AD15" s="4"/>
      <c r="AE15" s="3"/>
      <c r="AF15" s="3"/>
      <c r="AG15" s="4"/>
      <c r="AH15" s="3"/>
    </row>
    <row r="16" spans="1:34" s="5" customFormat="1" ht="12" customHeight="1">
      <c r="A16" s="6" t="s">
        <v>59</v>
      </c>
      <c r="B16" s="4"/>
      <c r="C16" s="4"/>
      <c r="D16" s="12">
        <v>95.1</v>
      </c>
      <c r="E16" s="12">
        <f>345.9-D16</f>
        <v>250.79999999999998</v>
      </c>
      <c r="F16" s="17">
        <v>454.9</v>
      </c>
      <c r="G16" s="12">
        <v>13</v>
      </c>
      <c r="H16" s="12">
        <v>72.5</v>
      </c>
      <c r="I16" s="4"/>
      <c r="J16" s="4"/>
      <c r="K16" s="12">
        <v>248.4</v>
      </c>
      <c r="L16" s="12">
        <v>8320</v>
      </c>
      <c r="M16" s="4"/>
      <c r="N16" s="12">
        <v>98.9</v>
      </c>
      <c r="O16" s="4"/>
      <c r="P16" s="12">
        <v>134.30000000000001</v>
      </c>
      <c r="Q16" s="12">
        <v>9368.6</v>
      </c>
      <c r="R16" s="4"/>
      <c r="S16" s="12">
        <v>7.4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3"/>
      <c r="AF16" s="3"/>
      <c r="AG16" s="4"/>
      <c r="AH16" s="3"/>
    </row>
    <row r="17" spans="1:34" s="5" customFormat="1" ht="11.25" customHeight="1">
      <c r="A17" s="8">
        <v>2019</v>
      </c>
      <c r="B17" s="4"/>
      <c r="C17" s="4"/>
      <c r="D17" s="12"/>
      <c r="E17" s="12"/>
      <c r="F17" s="17"/>
      <c r="G17" s="12"/>
      <c r="H17" s="12"/>
      <c r="I17" s="4"/>
      <c r="J17" s="4"/>
      <c r="K17" s="12"/>
      <c r="L17" s="12"/>
      <c r="M17" s="4"/>
      <c r="N17" s="12"/>
      <c r="O17" s="4"/>
      <c r="P17" s="12"/>
      <c r="Q17" s="12"/>
      <c r="R17" s="4"/>
      <c r="S17" s="12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3"/>
      <c r="AF17" s="3"/>
      <c r="AG17" s="4"/>
      <c r="AH17" s="3"/>
    </row>
    <row r="18" spans="1:34">
      <c r="A18" s="6" t="s">
        <v>48</v>
      </c>
      <c r="B18" s="7"/>
      <c r="C18" s="7"/>
      <c r="D18" s="13">
        <v>117.6</v>
      </c>
      <c r="E18" s="13">
        <f>388.6-D18</f>
        <v>271</v>
      </c>
      <c r="F18" s="18">
        <v>314.89999999999998</v>
      </c>
      <c r="G18" s="13">
        <v>39.5</v>
      </c>
      <c r="H18" s="13">
        <v>88.2</v>
      </c>
      <c r="I18" s="7"/>
      <c r="J18" s="7"/>
      <c r="K18" s="13">
        <v>253.1</v>
      </c>
      <c r="L18" s="13">
        <v>8580</v>
      </c>
      <c r="M18" s="7"/>
      <c r="N18" s="13">
        <v>103</v>
      </c>
      <c r="O18" s="7"/>
      <c r="P18" s="13">
        <v>142.80000000000001</v>
      </c>
      <c r="Q18" s="13">
        <v>9562.5</v>
      </c>
      <c r="R18" s="7"/>
      <c r="S18" s="13">
        <v>13.6</v>
      </c>
      <c r="T18" s="7"/>
      <c r="U18" s="7"/>
      <c r="V18" s="6"/>
      <c r="W18" s="6"/>
      <c r="X18" s="6"/>
      <c r="Y18" s="6">
        <v>4</v>
      </c>
      <c r="Z18" s="6">
        <v>50</v>
      </c>
      <c r="AA18" s="6">
        <v>10</v>
      </c>
      <c r="AB18" s="6"/>
      <c r="AC18" s="6"/>
      <c r="AD18" s="6"/>
      <c r="AE18" s="6"/>
      <c r="AF18" s="6"/>
      <c r="AG18" s="6"/>
      <c r="AH18" s="6"/>
    </row>
    <row r="19" spans="1:34">
      <c r="A19" s="6" t="s">
        <v>49</v>
      </c>
      <c r="B19" s="7"/>
      <c r="C19" s="7"/>
      <c r="D19" s="13">
        <v>108.1</v>
      </c>
      <c r="E19" s="13">
        <f>356.1-D19</f>
        <v>248.00000000000003</v>
      </c>
      <c r="F19" s="18">
        <v>220.5</v>
      </c>
      <c r="G19" s="13">
        <v>21.4</v>
      </c>
      <c r="H19" s="13">
        <v>75.5</v>
      </c>
      <c r="I19" s="7"/>
      <c r="J19" s="7"/>
      <c r="K19" s="13">
        <v>231.8</v>
      </c>
      <c r="L19" s="13">
        <v>8295</v>
      </c>
      <c r="M19" s="7"/>
      <c r="N19" s="13">
        <v>90.6</v>
      </c>
      <c r="O19" s="7"/>
      <c r="P19" s="13">
        <v>118.6</v>
      </c>
      <c r="Q19" s="13">
        <v>9120.9</v>
      </c>
      <c r="R19" s="7"/>
      <c r="S19" s="13">
        <v>12.1</v>
      </c>
      <c r="T19" s="7"/>
      <c r="U19" s="7"/>
      <c r="V19" s="6"/>
      <c r="W19" s="6"/>
      <c r="X19" s="6"/>
      <c r="Y19" s="6">
        <v>4</v>
      </c>
      <c r="Z19" s="6">
        <v>4</v>
      </c>
      <c r="AA19" s="6">
        <v>4</v>
      </c>
      <c r="AB19" s="6"/>
      <c r="AC19" s="6"/>
      <c r="AD19" s="6"/>
      <c r="AE19" s="6"/>
      <c r="AF19" s="6"/>
      <c r="AG19" s="6"/>
      <c r="AH19" s="6"/>
    </row>
    <row r="20" spans="1:34">
      <c r="A20" s="6" t="s">
        <v>50</v>
      </c>
      <c r="B20" s="7"/>
      <c r="C20" s="7"/>
      <c r="D20" s="13">
        <v>119.3</v>
      </c>
      <c r="E20" s="13">
        <f>382-D20</f>
        <v>262.7</v>
      </c>
      <c r="F20" s="18">
        <v>267.3</v>
      </c>
      <c r="G20" s="13">
        <v>29.9</v>
      </c>
      <c r="H20" s="13">
        <v>83.4</v>
      </c>
      <c r="I20" s="7"/>
      <c r="J20" s="7"/>
      <c r="K20" s="13">
        <v>206.6</v>
      </c>
      <c r="L20" s="13">
        <v>8655</v>
      </c>
      <c r="M20" s="7"/>
      <c r="N20" s="13">
        <v>118</v>
      </c>
      <c r="O20" s="7"/>
      <c r="P20" s="13">
        <v>161.9</v>
      </c>
      <c r="Q20" s="13">
        <v>9677.7000000000007</v>
      </c>
      <c r="R20" s="7"/>
      <c r="S20" s="13">
        <v>9.8000000000000007</v>
      </c>
      <c r="T20" s="7"/>
      <c r="U20" s="7"/>
      <c r="V20" s="6"/>
      <c r="W20" s="6"/>
      <c r="X20" s="6"/>
      <c r="Y20" s="6">
        <v>4</v>
      </c>
      <c r="Z20" s="6">
        <v>25</v>
      </c>
      <c r="AA20" s="6">
        <v>6</v>
      </c>
      <c r="AB20" s="6"/>
      <c r="AC20" s="6"/>
      <c r="AD20" s="6"/>
      <c r="AE20" s="6"/>
      <c r="AF20" s="6"/>
      <c r="AG20" s="6"/>
      <c r="AH20" s="6"/>
    </row>
    <row r="21" spans="1:34">
      <c r="A21" s="6" t="s">
        <v>51</v>
      </c>
      <c r="B21" s="7"/>
      <c r="C21" s="7"/>
      <c r="D21" s="13">
        <v>122.4</v>
      </c>
      <c r="E21" s="13">
        <f>269.8-D21</f>
        <v>147.4</v>
      </c>
      <c r="F21" s="18">
        <v>246.7</v>
      </c>
      <c r="G21" s="13">
        <v>26</v>
      </c>
      <c r="H21" s="13">
        <v>86.5</v>
      </c>
      <c r="I21" s="7"/>
      <c r="J21" s="7"/>
      <c r="K21" s="13">
        <v>214.7</v>
      </c>
      <c r="L21" s="13">
        <v>8720</v>
      </c>
      <c r="M21" s="7"/>
      <c r="N21" s="13">
        <v>123</v>
      </c>
      <c r="O21" s="7"/>
      <c r="P21" s="13">
        <v>172.6</v>
      </c>
      <c r="Q21" s="13">
        <v>9724.4</v>
      </c>
      <c r="R21" s="7"/>
      <c r="S21" s="13">
        <v>16.899999999999999</v>
      </c>
      <c r="T21" s="7"/>
      <c r="U21" s="7"/>
      <c r="V21" s="6"/>
      <c r="W21" s="6">
        <v>50</v>
      </c>
      <c r="X21" s="6"/>
      <c r="Y21" s="6">
        <v>8</v>
      </c>
      <c r="Z21" s="6"/>
      <c r="AA21" s="6">
        <v>8</v>
      </c>
      <c r="AB21" s="6"/>
      <c r="AC21" s="6"/>
      <c r="AD21" s="6"/>
      <c r="AE21" s="6"/>
      <c r="AF21" s="6"/>
      <c r="AG21" s="6"/>
      <c r="AH21" s="6"/>
    </row>
    <row r="22" spans="1:34">
      <c r="A22" s="6" t="s">
        <v>52</v>
      </c>
      <c r="B22" s="7"/>
      <c r="C22" s="7"/>
      <c r="D22" s="13">
        <v>128.19999999999999</v>
      </c>
      <c r="E22" s="13">
        <f>413.6-D22</f>
        <v>285.40000000000003</v>
      </c>
      <c r="F22" s="18">
        <v>222.8</v>
      </c>
      <c r="G22" s="13">
        <v>23.5</v>
      </c>
      <c r="H22" s="13">
        <v>80.400000000000006</v>
      </c>
      <c r="I22" s="7"/>
      <c r="J22" s="7"/>
      <c r="K22" s="13">
        <v>222.3</v>
      </c>
      <c r="L22" s="13">
        <v>8785</v>
      </c>
      <c r="M22" s="7"/>
      <c r="N22" s="13">
        <v>127.1</v>
      </c>
      <c r="O22" s="7"/>
      <c r="P22" s="13">
        <v>180.2</v>
      </c>
      <c r="Q22" s="13">
        <v>9870.9</v>
      </c>
      <c r="R22" s="7"/>
      <c r="S22" s="13">
        <v>15.5</v>
      </c>
      <c r="T22" s="7"/>
      <c r="U22" s="7"/>
      <c r="V22" s="6"/>
      <c r="W22" s="6">
        <v>75</v>
      </c>
      <c r="X22" s="6"/>
      <c r="Y22" s="6">
        <v>14</v>
      </c>
      <c r="Z22" s="6">
        <v>18</v>
      </c>
      <c r="AA22" s="6"/>
      <c r="AB22" s="6"/>
      <c r="AC22" s="6"/>
      <c r="AD22" s="6"/>
      <c r="AE22" s="6"/>
      <c r="AF22" s="6"/>
      <c r="AG22" s="6"/>
      <c r="AH22" s="6"/>
    </row>
    <row r="23" spans="1:34">
      <c r="A23" s="6" t="s">
        <v>53</v>
      </c>
      <c r="B23" s="7"/>
      <c r="C23" s="7"/>
      <c r="D23" s="13">
        <v>116.9</v>
      </c>
      <c r="E23" s="13">
        <f>394-D23</f>
        <v>277.10000000000002</v>
      </c>
      <c r="F23" s="18">
        <v>190.5</v>
      </c>
      <c r="G23" s="13">
        <v>19.899999999999999</v>
      </c>
      <c r="H23" s="13">
        <v>76.400000000000006</v>
      </c>
      <c r="I23" s="7"/>
      <c r="J23" s="7"/>
      <c r="K23" s="13">
        <v>210.4</v>
      </c>
      <c r="L23" s="13">
        <v>8710</v>
      </c>
      <c r="M23" s="7"/>
      <c r="N23" s="13">
        <v>82.9</v>
      </c>
      <c r="O23" s="7"/>
      <c r="P23" s="13">
        <v>169.7</v>
      </c>
      <c r="Q23" s="13">
        <v>9957.2000000000007</v>
      </c>
      <c r="R23" s="7"/>
      <c r="S23" s="13">
        <v>9.6</v>
      </c>
      <c r="T23" s="7"/>
      <c r="U23" s="7"/>
      <c r="V23" s="6"/>
      <c r="W23" s="6"/>
      <c r="X23" s="6"/>
      <c r="Y23" s="6">
        <v>14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>
      <c r="A24" s="6" t="s">
        <v>54</v>
      </c>
      <c r="B24" s="7"/>
      <c r="C24" s="7"/>
      <c r="D24" s="13">
        <v>94.3</v>
      </c>
      <c r="E24" s="13">
        <f>347.4-D24</f>
        <v>253.09999999999997</v>
      </c>
      <c r="F24" s="18">
        <v>238.2</v>
      </c>
      <c r="G24" s="13">
        <v>17.3</v>
      </c>
      <c r="H24" s="13">
        <v>70.3</v>
      </c>
      <c r="I24" s="7"/>
      <c r="J24" s="7"/>
      <c r="K24" s="13">
        <v>190.9</v>
      </c>
      <c r="L24" s="13">
        <v>8365</v>
      </c>
      <c r="M24" s="7"/>
      <c r="N24" s="13">
        <v>77.7</v>
      </c>
      <c r="O24" s="7"/>
      <c r="P24" s="13">
        <v>123.7</v>
      </c>
      <c r="Q24" s="13">
        <v>10196.700000000001</v>
      </c>
      <c r="R24" s="7"/>
      <c r="S24" s="13">
        <v>12.8</v>
      </c>
      <c r="T24" s="7"/>
      <c r="U24" s="7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>
      <c r="A25" s="6" t="s">
        <v>55</v>
      </c>
      <c r="B25" s="7"/>
      <c r="C25" s="7"/>
      <c r="D25" s="13">
        <v>530.9</v>
      </c>
      <c r="E25" s="13">
        <f>771-D25</f>
        <v>240.10000000000002</v>
      </c>
      <c r="F25" s="18">
        <v>3218</v>
      </c>
      <c r="G25" s="13">
        <v>57.5</v>
      </c>
      <c r="H25" s="13">
        <v>77.5</v>
      </c>
      <c r="I25" s="7"/>
      <c r="J25" s="7"/>
      <c r="K25" s="13">
        <v>79.8</v>
      </c>
      <c r="L25" s="13">
        <v>10115</v>
      </c>
      <c r="M25" s="7"/>
      <c r="N25" s="13">
        <v>100.5</v>
      </c>
      <c r="O25" s="7"/>
      <c r="P25" s="13">
        <v>99.1</v>
      </c>
      <c r="Q25" s="13">
        <v>9954.6</v>
      </c>
      <c r="R25" s="7"/>
      <c r="S25" s="13">
        <v>89.9</v>
      </c>
      <c r="T25" s="7"/>
      <c r="U25" s="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>
      <c r="A26" s="6" t="s">
        <v>56</v>
      </c>
      <c r="B26" s="7"/>
      <c r="C26" s="7"/>
      <c r="D26" s="13">
        <v>675</v>
      </c>
      <c r="E26" s="13">
        <f>1108.4-D26</f>
        <v>433.40000000000009</v>
      </c>
      <c r="F26" s="18">
        <v>3106</v>
      </c>
      <c r="G26" s="13">
        <v>77</v>
      </c>
      <c r="H26" s="13">
        <v>105.6</v>
      </c>
      <c r="I26" s="7"/>
      <c r="J26" s="7"/>
      <c r="K26" s="13">
        <v>104</v>
      </c>
      <c r="L26" s="13">
        <v>11340</v>
      </c>
      <c r="M26" s="7"/>
      <c r="N26" s="13">
        <v>428.3</v>
      </c>
      <c r="O26" s="7"/>
      <c r="P26" s="13">
        <v>306.7</v>
      </c>
      <c r="Q26" s="13">
        <v>9713.6</v>
      </c>
      <c r="R26" s="7"/>
      <c r="S26" s="13">
        <v>79.599999999999994</v>
      </c>
      <c r="T26" s="7"/>
      <c r="U26" s="7"/>
      <c r="V26" s="6"/>
      <c r="W26" s="6"/>
      <c r="X26" s="6"/>
      <c r="Y26" s="6"/>
      <c r="Z26" s="6">
        <v>4</v>
      </c>
      <c r="AA26" s="6">
        <v>4</v>
      </c>
      <c r="AB26" s="6"/>
      <c r="AC26" s="6"/>
      <c r="AD26" s="6"/>
      <c r="AE26" s="6"/>
      <c r="AF26" s="6"/>
      <c r="AG26" s="6"/>
      <c r="AH26" s="6"/>
    </row>
    <row r="27" spans="1:34">
      <c r="A27" s="6" t="s">
        <v>57</v>
      </c>
      <c r="B27" s="7"/>
      <c r="C27" s="7"/>
      <c r="D27" s="13">
        <v>1015</v>
      </c>
      <c r="E27" s="13">
        <f>1684.5-1015</f>
        <v>669.5</v>
      </c>
      <c r="F27" s="18">
        <v>2770</v>
      </c>
      <c r="G27" s="13">
        <v>77.3</v>
      </c>
      <c r="H27" s="13">
        <v>112.6</v>
      </c>
      <c r="I27" s="7"/>
      <c r="J27" s="7"/>
      <c r="K27" s="13">
        <v>102</v>
      </c>
      <c r="L27" s="13">
        <v>11980</v>
      </c>
      <c r="M27" s="7"/>
      <c r="N27" s="13">
        <v>399</v>
      </c>
      <c r="O27" s="7"/>
      <c r="P27" s="13">
        <v>147</v>
      </c>
      <c r="Q27" s="13">
        <v>9451.2999999999993</v>
      </c>
      <c r="R27" s="7"/>
      <c r="S27" s="13">
        <v>64.400000000000006</v>
      </c>
      <c r="T27" s="7"/>
      <c r="U27" s="7"/>
      <c r="V27" s="6"/>
      <c r="W27" s="6"/>
      <c r="X27" s="6"/>
      <c r="Y27" s="6">
        <v>8</v>
      </c>
      <c r="Z27" s="6"/>
      <c r="AA27" s="6">
        <v>12</v>
      </c>
      <c r="AB27" s="6"/>
      <c r="AC27" s="6"/>
      <c r="AD27" s="6"/>
      <c r="AE27" s="6"/>
      <c r="AF27" s="6"/>
      <c r="AG27" s="6"/>
      <c r="AH27" s="6"/>
    </row>
    <row r="28" spans="1:34">
      <c r="A28" s="6" t="s">
        <v>58</v>
      </c>
      <c r="B28" s="7"/>
      <c r="C28" s="7"/>
      <c r="D28" s="13">
        <v>1745</v>
      </c>
      <c r="E28" s="13">
        <f>2706.8-D28</f>
        <v>961.80000000000018</v>
      </c>
      <c r="F28" s="18">
        <v>2640</v>
      </c>
      <c r="G28" s="13">
        <v>75</v>
      </c>
      <c r="H28" s="13">
        <v>79.8</v>
      </c>
      <c r="I28" s="7"/>
      <c r="J28" s="7"/>
      <c r="K28" s="13">
        <v>78.400000000000006</v>
      </c>
      <c r="L28" s="13">
        <v>11495</v>
      </c>
      <c r="M28" s="7"/>
      <c r="N28" s="13">
        <v>352</v>
      </c>
      <c r="O28" s="7"/>
      <c r="P28" s="13">
        <v>201.6</v>
      </c>
      <c r="Q28" s="13">
        <v>9863.2999999999993</v>
      </c>
      <c r="R28" s="7"/>
      <c r="S28" s="13">
        <v>72.2</v>
      </c>
      <c r="T28" s="7"/>
      <c r="U28" s="7"/>
      <c r="V28" s="6"/>
      <c r="W28" s="6"/>
      <c r="X28" s="6"/>
      <c r="Y28" s="6">
        <v>8</v>
      </c>
      <c r="Z28" s="6"/>
      <c r="AA28" s="6">
        <v>10</v>
      </c>
      <c r="AB28" s="6"/>
      <c r="AC28" s="6"/>
      <c r="AD28" s="6"/>
      <c r="AE28" s="6"/>
      <c r="AF28" s="6"/>
      <c r="AG28" s="6"/>
      <c r="AH28" s="6"/>
    </row>
    <row r="29" spans="1:34">
      <c r="A29" s="6" t="s">
        <v>59</v>
      </c>
      <c r="B29" s="7"/>
      <c r="C29" s="7"/>
      <c r="D29" s="13">
        <v>1425</v>
      </c>
      <c r="E29" s="13">
        <f>2640.9-D29</f>
        <v>1215.9000000000001</v>
      </c>
      <c r="F29" s="18">
        <v>3167</v>
      </c>
      <c r="G29" s="13">
        <v>60</v>
      </c>
      <c r="H29" s="13">
        <v>75</v>
      </c>
      <c r="I29" s="7"/>
      <c r="J29" s="7"/>
      <c r="K29" s="13">
        <v>75.900000000000006</v>
      </c>
      <c r="L29" s="13">
        <v>13425</v>
      </c>
      <c r="M29" s="7"/>
      <c r="N29" s="13">
        <v>437.6</v>
      </c>
      <c r="O29" s="7"/>
      <c r="P29" s="13">
        <v>226.1</v>
      </c>
      <c r="Q29" s="13">
        <v>10096.4</v>
      </c>
      <c r="R29" s="7"/>
      <c r="S29" s="13">
        <v>57</v>
      </c>
      <c r="T29" s="7"/>
      <c r="U29" s="7"/>
      <c r="V29" s="6"/>
      <c r="W29" s="6"/>
      <c r="X29" s="6"/>
      <c r="Y29" s="6">
        <v>2</v>
      </c>
      <c r="Z29" s="6"/>
      <c r="AA29" s="6">
        <v>10</v>
      </c>
      <c r="AB29" s="6"/>
      <c r="AC29" s="6"/>
      <c r="AD29" s="6"/>
      <c r="AE29" s="6"/>
      <c r="AF29" s="6"/>
      <c r="AG29" s="6"/>
      <c r="AH29" s="6"/>
    </row>
    <row r="30" spans="1:34">
      <c r="A30" s="9">
        <v>2020</v>
      </c>
      <c r="B30" s="7"/>
      <c r="C30" s="7"/>
      <c r="D30" s="13"/>
      <c r="E30" s="13"/>
      <c r="F30" s="18"/>
      <c r="G30" s="13"/>
      <c r="H30" s="13"/>
      <c r="I30" s="7"/>
      <c r="J30" s="7"/>
      <c r="K30" s="13"/>
      <c r="L30" s="13"/>
      <c r="M30" s="7"/>
      <c r="N30" s="13"/>
      <c r="O30" s="7"/>
      <c r="P30" s="13"/>
      <c r="Q30" s="13"/>
      <c r="R30" s="7"/>
      <c r="S30" s="13"/>
      <c r="T30" s="7"/>
      <c r="U30" s="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>
      <c r="A31" s="6" t="s">
        <v>48</v>
      </c>
      <c r="B31" s="7"/>
      <c r="C31" s="7"/>
      <c r="D31" s="13">
        <v>330.7</v>
      </c>
      <c r="E31" s="13">
        <f>921.1-D31</f>
        <v>590.40000000000009</v>
      </c>
      <c r="F31" s="18">
        <v>3335</v>
      </c>
      <c r="G31" s="13">
        <v>154.1</v>
      </c>
      <c r="H31" s="13">
        <v>252</v>
      </c>
      <c r="I31" s="7"/>
      <c r="J31" s="7"/>
      <c r="K31" s="13">
        <v>220.8</v>
      </c>
      <c r="L31" s="13">
        <v>8380</v>
      </c>
      <c r="M31" s="7"/>
      <c r="N31" s="13">
        <v>182.5</v>
      </c>
      <c r="O31" s="7"/>
      <c r="P31" s="13">
        <v>188.5</v>
      </c>
      <c r="Q31" s="13">
        <v>10251.9</v>
      </c>
      <c r="R31" s="7"/>
      <c r="S31" s="13"/>
      <c r="T31" s="7"/>
      <c r="U31" s="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>
      <c r="A32" s="6" t="s">
        <v>49</v>
      </c>
      <c r="B32" s="7"/>
      <c r="C32" s="7"/>
      <c r="D32" s="13">
        <v>722</v>
      </c>
      <c r="E32" s="13">
        <f>1212.1-D32</f>
        <v>490.09999999999991</v>
      </c>
      <c r="F32" s="18">
        <v>2263</v>
      </c>
      <c r="G32" s="13">
        <v>58</v>
      </c>
      <c r="H32" s="13">
        <v>70.099999999999994</v>
      </c>
      <c r="I32" s="7"/>
      <c r="J32" s="7"/>
      <c r="K32" s="13">
        <v>72.5</v>
      </c>
      <c r="L32" s="13">
        <v>7130</v>
      </c>
      <c r="M32" s="7"/>
      <c r="N32" s="13">
        <v>120</v>
      </c>
      <c r="O32" s="7"/>
      <c r="P32" s="13">
        <v>173.2</v>
      </c>
      <c r="Q32" s="13">
        <v>10507</v>
      </c>
      <c r="R32" s="7"/>
      <c r="S32" s="13"/>
      <c r="T32" s="7"/>
      <c r="U32" s="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>
      <c r="A33" s="6" t="s">
        <v>50</v>
      </c>
      <c r="B33" s="7"/>
      <c r="C33" s="7"/>
      <c r="D33" s="13">
        <v>76.2</v>
      </c>
      <c r="E33" s="13">
        <f>300.2-D33</f>
        <v>224</v>
      </c>
      <c r="F33" s="18">
        <v>329.5</v>
      </c>
      <c r="G33" s="13">
        <v>44</v>
      </c>
      <c r="H33" s="13">
        <v>73.900000000000006</v>
      </c>
      <c r="I33" s="7"/>
      <c r="J33" s="7"/>
      <c r="K33" s="13">
        <v>48.1</v>
      </c>
      <c r="L33" s="13">
        <v>1140</v>
      </c>
      <c r="M33" s="7"/>
      <c r="N33" s="13">
        <v>56.9</v>
      </c>
      <c r="O33" s="7"/>
      <c r="P33" s="13">
        <v>114.5</v>
      </c>
      <c r="Q33" s="13">
        <v>10338.6</v>
      </c>
      <c r="R33" s="7"/>
      <c r="S33" s="13"/>
      <c r="T33" s="7"/>
      <c r="U33" s="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>
      <c r="A34" s="26" t="s">
        <v>51</v>
      </c>
      <c r="B34" s="27"/>
      <c r="C34" s="27"/>
      <c r="D34" s="28">
        <v>17.100000000000001</v>
      </c>
      <c r="E34" s="28">
        <f>66.8-D34</f>
        <v>49.699999999999996</v>
      </c>
      <c r="F34" s="29">
        <v>33.4</v>
      </c>
      <c r="G34" s="28">
        <v>10.8</v>
      </c>
      <c r="H34" s="28">
        <v>17.8</v>
      </c>
      <c r="I34" s="27"/>
      <c r="J34" s="27"/>
      <c r="K34" s="28">
        <v>16.399999999999999</v>
      </c>
      <c r="L34" s="28"/>
      <c r="M34" s="27"/>
      <c r="N34" s="28"/>
      <c r="O34" s="27"/>
      <c r="P34" s="28"/>
      <c r="Q34" s="28">
        <v>2744.1</v>
      </c>
      <c r="R34" s="7"/>
      <c r="S34" s="13"/>
      <c r="T34" s="7"/>
      <c r="U34" s="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>
      <c r="A35" s="26" t="s">
        <v>52</v>
      </c>
      <c r="B35" s="27"/>
      <c r="C35" s="27"/>
      <c r="D35" s="28">
        <v>14.8</v>
      </c>
      <c r="E35" s="28">
        <f>59.5-D35</f>
        <v>44.7</v>
      </c>
      <c r="F35" s="29">
        <v>22</v>
      </c>
      <c r="G35" s="28">
        <v>14.8</v>
      </c>
      <c r="H35" s="28">
        <v>14.3</v>
      </c>
      <c r="I35" s="27"/>
      <c r="J35" s="27"/>
      <c r="K35" s="28">
        <v>14.2</v>
      </c>
      <c r="L35" s="28"/>
      <c r="M35" s="27"/>
      <c r="N35" s="28"/>
      <c r="O35" s="27"/>
      <c r="P35" s="28"/>
      <c r="Q35" s="28">
        <v>3062.7</v>
      </c>
      <c r="R35" s="7"/>
      <c r="S35" s="13"/>
      <c r="T35" s="7"/>
      <c r="U35" s="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>
      <c r="A36" s="26" t="s">
        <v>53</v>
      </c>
      <c r="B36" s="27"/>
      <c r="C36" s="27"/>
      <c r="D36" s="28">
        <v>12.3</v>
      </c>
      <c r="E36" s="28">
        <f>57.6-D36</f>
        <v>45.3</v>
      </c>
      <c r="F36" s="29">
        <v>31.9</v>
      </c>
      <c r="G36" s="28">
        <v>11.7</v>
      </c>
      <c r="H36" s="28">
        <v>12.9</v>
      </c>
      <c r="I36" s="27"/>
      <c r="J36" s="27"/>
      <c r="K36" s="28">
        <v>17.3</v>
      </c>
      <c r="L36" s="28"/>
      <c r="M36" s="27"/>
      <c r="N36" s="28"/>
      <c r="O36" s="27"/>
      <c r="P36" s="28"/>
      <c r="Q36" s="28">
        <v>2937.4</v>
      </c>
      <c r="R36" s="7"/>
      <c r="S36" s="13"/>
      <c r="T36" s="7"/>
      <c r="U36" s="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>
      <c r="A37" s="26" t="s">
        <v>54</v>
      </c>
      <c r="B37" s="27"/>
      <c r="C37" s="27"/>
      <c r="D37" s="28">
        <v>144.5</v>
      </c>
      <c r="E37" s="28">
        <f>381.6-D37</f>
        <v>237.10000000000002</v>
      </c>
      <c r="F37" s="29">
        <v>376.9</v>
      </c>
      <c r="G37" s="28">
        <v>32</v>
      </c>
      <c r="H37" s="28">
        <v>98.9</v>
      </c>
      <c r="I37" s="27"/>
      <c r="J37" s="27"/>
      <c r="K37" s="28">
        <v>41.9</v>
      </c>
      <c r="L37" s="28"/>
      <c r="M37" s="27"/>
      <c r="N37" s="28"/>
      <c r="O37" s="27"/>
      <c r="P37" s="28"/>
      <c r="Q37" s="28">
        <v>4301</v>
      </c>
      <c r="R37" s="7"/>
      <c r="S37" s="13"/>
      <c r="T37" s="7"/>
      <c r="U37" s="7"/>
      <c r="V37" s="6"/>
      <c r="W37" s="6"/>
      <c r="X37" s="6"/>
      <c r="Y37" s="6"/>
      <c r="Z37" s="6"/>
      <c r="AA37" s="6">
        <v>26</v>
      </c>
      <c r="AB37" s="6"/>
      <c r="AC37" s="6"/>
      <c r="AD37" s="6"/>
      <c r="AE37" s="6"/>
      <c r="AF37" s="6"/>
      <c r="AG37" s="6"/>
      <c r="AH37" s="6"/>
    </row>
    <row r="38" spans="1:34">
      <c r="A38" s="26" t="s">
        <v>55</v>
      </c>
      <c r="B38" s="27"/>
      <c r="C38" s="27"/>
      <c r="D38" s="28">
        <v>118.8</v>
      </c>
      <c r="E38" s="28">
        <f>390.3-D38</f>
        <v>271.5</v>
      </c>
      <c r="F38" s="29">
        <v>536</v>
      </c>
      <c r="G38" s="28">
        <v>28.5</v>
      </c>
      <c r="H38" s="28">
        <v>40.200000000000003</v>
      </c>
      <c r="I38" s="27"/>
      <c r="J38" s="27"/>
      <c r="K38" s="28">
        <v>37.700000000000003</v>
      </c>
      <c r="L38" s="28"/>
      <c r="M38" s="27"/>
      <c r="N38" s="28"/>
      <c r="O38" s="27"/>
      <c r="P38" s="28"/>
      <c r="Q38" s="28">
        <v>8504</v>
      </c>
      <c r="R38" s="7"/>
      <c r="S38" s="13"/>
      <c r="T38" s="7"/>
      <c r="U38" s="7"/>
      <c r="V38" s="6"/>
      <c r="W38" s="6"/>
      <c r="X38" s="6"/>
      <c r="Y38" s="6"/>
      <c r="Z38" s="6">
        <f>27+25</f>
        <v>52</v>
      </c>
      <c r="AA38" s="6">
        <f>4+2</f>
        <v>6</v>
      </c>
      <c r="AB38" s="6"/>
      <c r="AC38" s="6"/>
      <c r="AD38" s="6"/>
      <c r="AE38" s="6"/>
      <c r="AF38" s="6"/>
      <c r="AG38" s="6"/>
      <c r="AH38" s="6"/>
    </row>
    <row r="39" spans="1:34">
      <c r="A39" s="26" t="s">
        <v>56</v>
      </c>
      <c r="B39" s="27"/>
      <c r="C39" s="27"/>
      <c r="D39" s="28">
        <v>114.7</v>
      </c>
      <c r="E39" s="28">
        <f>315-D39</f>
        <v>200.3</v>
      </c>
      <c r="F39" s="29">
        <v>297</v>
      </c>
      <c r="G39" s="28">
        <v>21</v>
      </c>
      <c r="H39" s="28">
        <v>36.9</v>
      </c>
      <c r="I39" s="27"/>
      <c r="J39" s="27"/>
      <c r="K39" s="28">
        <v>39.299999999999997</v>
      </c>
      <c r="L39" s="28"/>
      <c r="M39" s="27"/>
      <c r="N39" s="28"/>
      <c r="O39" s="27"/>
      <c r="P39" s="28"/>
      <c r="Q39" s="28">
        <v>8114.1</v>
      </c>
      <c r="R39" s="7"/>
      <c r="S39" s="13"/>
      <c r="T39" s="7"/>
      <c r="U39" s="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>
      <c r="A40" s="6" t="s">
        <v>57</v>
      </c>
      <c r="B40" s="7"/>
      <c r="C40" s="7"/>
      <c r="D40" s="13">
        <v>81.5</v>
      </c>
      <c r="E40" s="13">
        <f>191.7-D40</f>
        <v>110.19999999999999</v>
      </c>
      <c r="F40" s="18">
        <v>298</v>
      </c>
      <c r="G40" s="13">
        <v>15</v>
      </c>
      <c r="H40" s="13">
        <v>37.200000000000003</v>
      </c>
      <c r="I40" s="7"/>
      <c r="J40" s="7"/>
      <c r="K40" s="13">
        <v>20.9</v>
      </c>
      <c r="L40" s="13">
        <v>1959</v>
      </c>
      <c r="M40" s="7"/>
      <c r="N40" s="13">
        <v>32.299999999999997</v>
      </c>
      <c r="O40" s="7"/>
      <c r="P40" s="13">
        <v>67.7</v>
      </c>
      <c r="Q40" s="13">
        <v>8515.1</v>
      </c>
      <c r="R40" s="7"/>
      <c r="S40" s="13"/>
      <c r="T40" s="7"/>
      <c r="U40" s="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>
      <c r="A41" s="6" t="s">
        <v>58</v>
      </c>
      <c r="B41" s="7"/>
      <c r="C41" s="7"/>
      <c r="D41" s="13">
        <v>126.5</v>
      </c>
      <c r="E41" s="13">
        <f>335.4-D41</f>
        <v>208.89999999999998</v>
      </c>
      <c r="F41" s="18">
        <v>330</v>
      </c>
      <c r="G41" s="13">
        <v>16.5</v>
      </c>
      <c r="H41" s="13">
        <v>47.5</v>
      </c>
      <c r="I41" s="7"/>
      <c r="J41" s="7"/>
      <c r="K41" s="13">
        <v>35.200000000000003</v>
      </c>
      <c r="L41" s="13">
        <v>1926</v>
      </c>
      <c r="M41" s="7"/>
      <c r="N41" s="13">
        <v>31.1</v>
      </c>
      <c r="O41" s="7"/>
      <c r="P41" s="13">
        <v>78.8</v>
      </c>
      <c r="Q41" s="13">
        <v>9003.6</v>
      </c>
      <c r="R41" s="7"/>
      <c r="S41" s="13"/>
      <c r="T41" s="7"/>
      <c r="U41" s="7"/>
      <c r="V41" s="6"/>
      <c r="W41" s="6">
        <f>25+25+25</f>
        <v>75</v>
      </c>
      <c r="X41" s="6"/>
      <c r="Y41" s="6">
        <f>2+2</f>
        <v>4</v>
      </c>
      <c r="Z41" s="6">
        <f>15+2+2</f>
        <v>19</v>
      </c>
      <c r="AA41" s="6">
        <f>2+2+2</f>
        <v>6</v>
      </c>
      <c r="AB41" s="6"/>
      <c r="AC41" s="6"/>
      <c r="AD41" s="6"/>
      <c r="AE41" s="6"/>
      <c r="AF41" s="6"/>
      <c r="AG41" s="6"/>
      <c r="AH41" s="6"/>
    </row>
    <row r="42" spans="1:34">
      <c r="A42" s="6" t="s">
        <v>59</v>
      </c>
      <c r="B42" s="7"/>
      <c r="C42" s="7"/>
      <c r="D42" s="13">
        <v>98.7</v>
      </c>
      <c r="E42" s="13">
        <f>279-D42</f>
        <v>180.3</v>
      </c>
      <c r="F42" s="18">
        <v>298</v>
      </c>
      <c r="G42" s="13">
        <v>21</v>
      </c>
      <c r="H42" s="13">
        <v>38.799999999999997</v>
      </c>
      <c r="I42" s="7"/>
      <c r="J42" s="7"/>
      <c r="K42" s="13">
        <v>24</v>
      </c>
      <c r="L42" s="13">
        <v>2167</v>
      </c>
      <c r="M42" s="7"/>
      <c r="N42" s="13">
        <v>26.8</v>
      </c>
      <c r="O42" s="7"/>
      <c r="P42" s="13">
        <v>81.099999999999994</v>
      </c>
      <c r="Q42" s="13">
        <v>9920.2000000000007</v>
      </c>
      <c r="R42" s="7"/>
      <c r="S42" s="13"/>
      <c r="T42" s="7"/>
      <c r="U42" s="7"/>
      <c r="V42" s="6"/>
      <c r="W42" s="6"/>
      <c r="X42" s="6"/>
      <c r="Y42" s="6"/>
      <c r="Z42" s="6">
        <f>27+27+27+27</f>
        <v>108</v>
      </c>
      <c r="AA42" s="6"/>
      <c r="AB42" s="6"/>
      <c r="AC42" s="6"/>
      <c r="AD42" s="6"/>
      <c r="AE42" s="6"/>
      <c r="AF42" s="6"/>
      <c r="AG42" s="6"/>
      <c r="AH42" s="6"/>
    </row>
    <row r="43" spans="1:34">
      <c r="A43" s="9">
        <v>2021</v>
      </c>
      <c r="B43" s="7"/>
      <c r="C43" s="7"/>
      <c r="D43" s="13"/>
      <c r="E43" s="13"/>
      <c r="F43" s="18"/>
      <c r="G43" s="13"/>
      <c r="H43" s="13"/>
      <c r="I43" s="7"/>
      <c r="J43" s="7"/>
      <c r="K43" s="13"/>
      <c r="L43" s="13"/>
      <c r="M43" s="7"/>
      <c r="N43" s="13"/>
      <c r="O43" s="7"/>
      <c r="P43" s="13"/>
      <c r="Q43" s="13"/>
      <c r="R43" s="7"/>
      <c r="S43" s="13"/>
      <c r="T43" s="7"/>
      <c r="U43" s="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>
      <c r="A44" s="6" t="s">
        <v>48</v>
      </c>
      <c r="B44" s="7"/>
      <c r="C44" s="7"/>
      <c r="D44" s="13">
        <v>157.80000000000001</v>
      </c>
      <c r="E44" s="13">
        <f>382.6-D44</f>
        <v>224.8</v>
      </c>
      <c r="F44" s="18">
        <v>402.1</v>
      </c>
      <c r="G44" s="13">
        <v>33.799999999999997</v>
      </c>
      <c r="H44" s="13">
        <v>34.799999999999997</v>
      </c>
      <c r="I44" s="7"/>
      <c r="J44" s="7"/>
      <c r="K44" s="13">
        <v>22.3</v>
      </c>
      <c r="L44" s="13">
        <v>2192</v>
      </c>
      <c r="M44" s="7"/>
      <c r="N44" s="13">
        <v>60.1</v>
      </c>
      <c r="O44" s="7"/>
      <c r="P44" s="13">
        <v>84.6</v>
      </c>
      <c r="Q44" s="13">
        <v>9697.5</v>
      </c>
      <c r="R44" s="7"/>
      <c r="S44" s="13"/>
      <c r="T44" s="7"/>
      <c r="U44" s="7"/>
      <c r="V44" s="6"/>
      <c r="W44" s="6"/>
      <c r="X44" s="6"/>
      <c r="Y44" s="6">
        <v>2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>
      <c r="A45" s="6" t="s">
        <v>49</v>
      </c>
      <c r="B45" s="7"/>
      <c r="C45" s="7"/>
      <c r="D45" s="13">
        <v>47.5</v>
      </c>
      <c r="E45" s="13">
        <f>132.9-D45</f>
        <v>85.4</v>
      </c>
      <c r="F45" s="18">
        <v>67.599999999999994</v>
      </c>
      <c r="G45" s="13">
        <v>12.5</v>
      </c>
      <c r="H45" s="13">
        <v>31.3</v>
      </c>
      <c r="I45" s="7"/>
      <c r="J45" s="7"/>
      <c r="K45" s="13">
        <v>28.2</v>
      </c>
      <c r="L45" s="13">
        <v>1966</v>
      </c>
      <c r="M45" s="7"/>
      <c r="N45" s="13">
        <v>86.6</v>
      </c>
      <c r="O45" s="7"/>
      <c r="P45" s="13">
        <v>75.5</v>
      </c>
      <c r="Q45" s="13">
        <v>9179.6</v>
      </c>
      <c r="R45" s="7"/>
      <c r="S45" s="13"/>
      <c r="T45" s="7"/>
      <c r="U45" s="7"/>
      <c r="V45" s="6"/>
      <c r="W45" s="6"/>
      <c r="X45" s="6"/>
      <c r="Y45" s="6">
        <f>2+2</f>
        <v>4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>
      <c r="A46" s="6" t="s">
        <v>50</v>
      </c>
      <c r="B46" s="7"/>
      <c r="C46" s="7"/>
      <c r="D46" s="13">
        <v>31.7</v>
      </c>
      <c r="E46" s="13">
        <f>211.6-D46</f>
        <v>179.9</v>
      </c>
      <c r="F46" s="18">
        <v>208.1</v>
      </c>
      <c r="G46" s="13">
        <v>17</v>
      </c>
      <c r="H46" s="13">
        <v>38</v>
      </c>
      <c r="I46" s="7"/>
      <c r="J46" s="7"/>
      <c r="K46" s="13">
        <v>22.7</v>
      </c>
      <c r="L46" s="13">
        <v>2470</v>
      </c>
      <c r="M46" s="7"/>
      <c r="N46" s="13">
        <v>63.9</v>
      </c>
      <c r="O46" s="7"/>
      <c r="P46" s="13">
        <v>115.7</v>
      </c>
      <c r="Q46" s="13">
        <v>9485.2999999999993</v>
      </c>
      <c r="R46" s="7"/>
      <c r="S46" s="13"/>
      <c r="T46" s="7"/>
      <c r="U46" s="7"/>
      <c r="V46" s="6"/>
      <c r="W46" s="6">
        <v>25</v>
      </c>
      <c r="X46" s="6"/>
      <c r="Y46" s="6">
        <v>2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>
      <c r="A47" s="6" t="s">
        <v>51</v>
      </c>
      <c r="B47" s="7"/>
      <c r="C47" s="7"/>
      <c r="D47" s="13">
        <v>142.6</v>
      </c>
      <c r="E47" s="13">
        <f>345.7-D47</f>
        <v>203.1</v>
      </c>
      <c r="F47" s="18">
        <v>371.9</v>
      </c>
      <c r="G47" s="13">
        <v>26</v>
      </c>
      <c r="H47" s="13">
        <v>31.6</v>
      </c>
      <c r="I47" s="7"/>
      <c r="J47" s="7"/>
      <c r="K47" s="13">
        <v>20.7</v>
      </c>
      <c r="L47" s="13">
        <v>1806</v>
      </c>
      <c r="M47" s="7"/>
      <c r="N47" s="13">
        <v>48.1</v>
      </c>
      <c r="O47" s="7"/>
      <c r="P47" s="13">
        <v>71.599999999999994</v>
      </c>
      <c r="Q47" s="13">
        <v>9873</v>
      </c>
      <c r="R47" s="7"/>
      <c r="S47" s="13"/>
      <c r="T47" s="7"/>
      <c r="U47" s="7"/>
      <c r="V47" s="6"/>
      <c r="W47" s="6"/>
      <c r="X47" s="6"/>
      <c r="Y47" s="6"/>
      <c r="Z47" s="6">
        <v>27</v>
      </c>
      <c r="AA47" s="6"/>
      <c r="AB47" s="6"/>
      <c r="AC47" s="6"/>
      <c r="AD47" s="6"/>
      <c r="AE47" s="6"/>
      <c r="AF47" s="6"/>
      <c r="AG47" s="6"/>
      <c r="AH47" s="6"/>
    </row>
    <row r="48" spans="1:34">
      <c r="A48" s="6" t="s">
        <v>52</v>
      </c>
      <c r="B48" s="7"/>
      <c r="C48" s="7"/>
      <c r="D48" s="13">
        <v>546.1</v>
      </c>
      <c r="E48" s="13">
        <f>814.9-D48</f>
        <v>268.79999999999995</v>
      </c>
      <c r="F48" s="18">
        <v>553.70000000000005</v>
      </c>
      <c r="G48" s="13">
        <v>46</v>
      </c>
      <c r="H48" s="13">
        <v>20</v>
      </c>
      <c r="I48" s="7"/>
      <c r="J48" s="7"/>
      <c r="K48" s="13">
        <v>110.2</v>
      </c>
      <c r="L48" s="13">
        <v>1462</v>
      </c>
      <c r="M48" s="7"/>
      <c r="N48" s="13">
        <v>72.7</v>
      </c>
      <c r="O48" s="7"/>
      <c r="P48" s="13">
        <v>74.7</v>
      </c>
      <c r="Q48" s="13">
        <v>10264.4</v>
      </c>
      <c r="R48" s="7"/>
      <c r="S48" s="13"/>
      <c r="T48" s="7"/>
      <c r="U48" s="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>
      <c r="A49" s="6" t="s">
        <v>53</v>
      </c>
      <c r="B49" s="7"/>
      <c r="C49" s="7"/>
      <c r="D49" s="13">
        <v>178.6</v>
      </c>
      <c r="E49" s="13">
        <f>561.6-D49</f>
        <v>383</v>
      </c>
      <c r="F49" s="18">
        <v>517</v>
      </c>
      <c r="G49" s="13">
        <v>68</v>
      </c>
      <c r="H49" s="13">
        <v>157.69999999999999</v>
      </c>
      <c r="I49" s="7"/>
      <c r="J49" s="7"/>
      <c r="K49" s="13">
        <v>387.9</v>
      </c>
      <c r="L49" s="13">
        <v>3932</v>
      </c>
      <c r="M49" s="7"/>
      <c r="N49" s="13">
        <v>91.4</v>
      </c>
      <c r="O49" s="7"/>
      <c r="P49" s="13">
        <v>78.900000000000006</v>
      </c>
      <c r="Q49" s="13">
        <v>9357.2999999999993</v>
      </c>
      <c r="R49" s="7"/>
      <c r="S49" s="13"/>
      <c r="T49" s="7"/>
      <c r="U49" s="7"/>
      <c r="V49" s="6"/>
      <c r="W49" s="6"/>
      <c r="X49" s="6"/>
      <c r="Y49" s="6">
        <v>4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>
      <c r="A50" s="6" t="s">
        <v>54</v>
      </c>
      <c r="B50" s="7"/>
      <c r="C50" s="7"/>
      <c r="D50" s="13">
        <v>72.5</v>
      </c>
      <c r="E50" s="13">
        <f>179.1-D50</f>
        <v>106.6</v>
      </c>
      <c r="F50" s="18">
        <v>155.69999999999999</v>
      </c>
      <c r="G50" s="13">
        <v>8.6999999999999993</v>
      </c>
      <c r="H50" s="13">
        <v>6.9</v>
      </c>
      <c r="I50" s="7"/>
      <c r="J50" s="7"/>
      <c r="K50" s="13">
        <v>43.7</v>
      </c>
      <c r="L50" s="13">
        <v>1690</v>
      </c>
      <c r="M50" s="7"/>
      <c r="N50" s="13">
        <v>49.4</v>
      </c>
      <c r="O50" s="7"/>
      <c r="P50" s="13">
        <v>73.5</v>
      </c>
      <c r="Q50" s="13">
        <v>8724.9</v>
      </c>
      <c r="R50" s="7"/>
      <c r="S50" s="13"/>
      <c r="T50" s="7"/>
      <c r="U50" s="7"/>
      <c r="V50" s="6"/>
      <c r="W50" s="6"/>
      <c r="X50" s="6"/>
      <c r="Y50" s="6"/>
      <c r="Z50" s="6">
        <v>52</v>
      </c>
      <c r="AA50" s="6">
        <v>6</v>
      </c>
      <c r="AB50" s="6"/>
      <c r="AC50" s="6"/>
      <c r="AD50" s="6"/>
      <c r="AE50" s="6"/>
      <c r="AF50" s="6"/>
      <c r="AG50" s="6"/>
      <c r="AH50" s="6"/>
    </row>
    <row r="51" spans="1:34">
      <c r="A51" s="6" t="s">
        <v>55</v>
      </c>
      <c r="B51" s="7"/>
      <c r="C51" s="7"/>
      <c r="D51" s="13">
        <v>149</v>
      </c>
      <c r="E51" s="13">
        <f>405.1-D51</f>
        <v>256.10000000000002</v>
      </c>
      <c r="F51" s="18">
        <v>377.1</v>
      </c>
      <c r="G51" s="13">
        <v>21.5</v>
      </c>
      <c r="H51" s="13">
        <v>68.5</v>
      </c>
      <c r="I51" s="7"/>
      <c r="J51" s="7"/>
      <c r="K51" s="13">
        <v>39</v>
      </c>
      <c r="L51" s="13">
        <v>3506</v>
      </c>
      <c r="M51" s="7"/>
      <c r="N51" s="13">
        <v>72.3</v>
      </c>
      <c r="O51" s="7"/>
      <c r="P51" s="13">
        <v>93.4</v>
      </c>
      <c r="Q51" s="13">
        <v>9285</v>
      </c>
      <c r="R51" s="7"/>
      <c r="S51" s="13"/>
      <c r="T51" s="7"/>
      <c r="U51" s="7"/>
      <c r="V51" s="6"/>
      <c r="W51" s="6"/>
      <c r="X51" s="6"/>
      <c r="Y51" s="6">
        <v>4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>
      <c r="A52" s="6" t="s">
        <v>56</v>
      </c>
      <c r="B52" s="7"/>
      <c r="C52" s="7"/>
      <c r="D52" s="13">
        <v>138.1</v>
      </c>
      <c r="E52" s="13">
        <f>381.5-D52</f>
        <v>243.4</v>
      </c>
      <c r="F52" s="18">
        <v>343</v>
      </c>
      <c r="G52" s="13">
        <v>18.7</v>
      </c>
      <c r="H52" s="13">
        <v>65</v>
      </c>
      <c r="I52" s="7"/>
      <c r="J52" s="7"/>
      <c r="K52" s="13">
        <v>36.1</v>
      </c>
      <c r="L52" s="13">
        <v>2532</v>
      </c>
      <c r="M52" s="7"/>
      <c r="N52" s="13">
        <v>77.2</v>
      </c>
      <c r="O52" s="7"/>
      <c r="P52" s="13">
        <v>77.099999999999994</v>
      </c>
      <c r="Q52" s="13">
        <v>9538.6</v>
      </c>
      <c r="R52" s="7"/>
      <c r="S52" s="13"/>
      <c r="T52" s="7"/>
      <c r="U52" s="7"/>
      <c r="V52" s="6"/>
      <c r="W52" s="6"/>
      <c r="X52" s="6"/>
      <c r="Y52" s="6">
        <v>6</v>
      </c>
      <c r="Z52" s="6">
        <v>27</v>
      </c>
      <c r="AA52" s="6"/>
      <c r="AB52" s="6"/>
      <c r="AC52" s="6"/>
      <c r="AD52" s="6"/>
      <c r="AE52" s="6"/>
      <c r="AF52" s="6"/>
      <c r="AG52" s="6"/>
      <c r="AH52" s="6"/>
    </row>
    <row r="53" spans="1:34">
      <c r="A53" s="6" t="s">
        <v>57</v>
      </c>
      <c r="B53" s="7"/>
      <c r="C53" s="7"/>
      <c r="D53" s="13">
        <v>85</v>
      </c>
      <c r="E53" s="13">
        <f>285.2-D53</f>
        <v>200.2</v>
      </c>
      <c r="F53" s="18">
        <v>496</v>
      </c>
      <c r="G53" s="13">
        <v>36</v>
      </c>
      <c r="H53" s="13">
        <v>17.2</v>
      </c>
      <c r="I53" s="7"/>
      <c r="J53" s="7"/>
      <c r="K53" s="13">
        <v>104.3</v>
      </c>
      <c r="L53" s="13">
        <v>4585</v>
      </c>
      <c r="M53" s="7"/>
      <c r="N53" s="13">
        <v>76.5</v>
      </c>
      <c r="O53" s="7"/>
      <c r="P53" s="13">
        <v>104.8</v>
      </c>
      <c r="Q53" s="13">
        <v>9760.6</v>
      </c>
      <c r="R53" s="7"/>
      <c r="S53" s="13"/>
      <c r="T53" s="7"/>
      <c r="U53" s="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>
      <c r="A54" s="6" t="s">
        <v>58</v>
      </c>
      <c r="B54" s="7"/>
      <c r="C54" s="7"/>
      <c r="D54" s="13">
        <v>84.4</v>
      </c>
      <c r="E54" s="13">
        <f>277.3-D54</f>
        <v>192.9</v>
      </c>
      <c r="F54" s="18">
        <v>464</v>
      </c>
      <c r="G54" s="13">
        <v>35</v>
      </c>
      <c r="H54" s="13">
        <v>13.6</v>
      </c>
      <c r="I54" s="7"/>
      <c r="J54" s="7"/>
      <c r="K54" s="13">
        <v>103.1</v>
      </c>
      <c r="L54" s="13">
        <v>3144</v>
      </c>
      <c r="M54" s="7"/>
      <c r="N54" s="13">
        <v>96.4</v>
      </c>
      <c r="O54" s="7"/>
      <c r="P54" s="13">
        <v>105.7</v>
      </c>
      <c r="Q54" s="13">
        <v>10122.4</v>
      </c>
      <c r="R54" s="7"/>
      <c r="S54" s="13"/>
      <c r="T54" s="7"/>
      <c r="U54" s="7"/>
      <c r="V54" s="6"/>
      <c r="W54" s="6">
        <f>25*3</f>
        <v>75</v>
      </c>
      <c r="X54" s="6"/>
      <c r="Y54" s="6">
        <v>6</v>
      </c>
      <c r="Z54" s="6">
        <v>65</v>
      </c>
      <c r="AA54" s="6">
        <v>6</v>
      </c>
      <c r="AB54" s="6"/>
      <c r="AC54" s="6"/>
      <c r="AD54" s="6"/>
      <c r="AE54" s="6"/>
      <c r="AF54" s="6"/>
      <c r="AG54" s="6"/>
      <c r="AH54" s="6"/>
    </row>
    <row r="55" spans="1:34">
      <c r="A55" s="35" t="s">
        <v>59</v>
      </c>
      <c r="B55" s="36"/>
      <c r="C55" s="36"/>
      <c r="D55" s="37">
        <v>161.9</v>
      </c>
      <c r="E55" s="37">
        <f>442.7-D55</f>
        <v>280.79999999999995</v>
      </c>
      <c r="F55" s="38">
        <v>478</v>
      </c>
      <c r="G55" s="37">
        <v>37</v>
      </c>
      <c r="H55" s="37">
        <v>57.4</v>
      </c>
      <c r="I55" s="36"/>
      <c r="J55" s="36"/>
      <c r="K55" s="37">
        <v>181</v>
      </c>
      <c r="L55" s="37">
        <v>4625</v>
      </c>
      <c r="M55" s="36"/>
      <c r="N55" s="37">
        <v>121.8</v>
      </c>
      <c r="O55" s="36"/>
      <c r="P55" s="37">
        <v>139.9</v>
      </c>
      <c r="Q55" s="37">
        <v>11922.9</v>
      </c>
      <c r="R55" s="36"/>
      <c r="S55" s="37"/>
      <c r="T55" s="36"/>
      <c r="U55" s="36"/>
      <c r="V55" s="35"/>
      <c r="W55" s="35"/>
      <c r="X55" s="35"/>
      <c r="Y55" s="35"/>
      <c r="Z55" s="35">
        <v>81</v>
      </c>
      <c r="AA55" s="35"/>
      <c r="AB55" s="35"/>
      <c r="AC55" s="35"/>
      <c r="AD55" s="35"/>
      <c r="AE55" s="35"/>
      <c r="AF55" s="35"/>
      <c r="AG55" s="35"/>
      <c r="AH55" s="35"/>
    </row>
    <row r="56" spans="1:34">
      <c r="A56" s="30">
        <v>2022</v>
      </c>
      <c r="B56" s="31"/>
      <c r="C56" s="31"/>
      <c r="D56" s="32"/>
      <c r="E56" s="32"/>
      <c r="F56" s="33"/>
      <c r="G56" s="32"/>
      <c r="H56" s="32"/>
      <c r="I56" s="31"/>
      <c r="J56" s="31"/>
      <c r="K56" s="32"/>
      <c r="L56" s="32"/>
      <c r="M56" s="31"/>
      <c r="N56" s="32"/>
      <c r="O56" s="31"/>
      <c r="P56" s="32"/>
      <c r="Q56" s="32"/>
      <c r="R56" s="31"/>
      <c r="S56" s="32"/>
      <c r="T56" s="31"/>
      <c r="U56" s="31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spans="1:34">
      <c r="A57" s="34" t="s">
        <v>48</v>
      </c>
      <c r="B57" s="31"/>
      <c r="C57" s="31"/>
      <c r="D57" s="32">
        <v>72.2</v>
      </c>
      <c r="E57" s="32">
        <f>212.2-D57</f>
        <v>140</v>
      </c>
      <c r="F57" s="33">
        <v>367</v>
      </c>
      <c r="G57" s="32">
        <v>13.5</v>
      </c>
      <c r="H57" s="32">
        <v>5.0999999999999996</v>
      </c>
      <c r="I57" s="31"/>
      <c r="J57" s="31"/>
      <c r="K57" s="32">
        <v>49.3</v>
      </c>
      <c r="L57" s="32">
        <v>3923</v>
      </c>
      <c r="M57" s="31"/>
      <c r="N57" s="32">
        <v>98</v>
      </c>
      <c r="O57" s="31"/>
      <c r="P57" s="32">
        <v>136.19999999999999</v>
      </c>
      <c r="Q57" s="32">
        <v>10672.8</v>
      </c>
      <c r="R57" s="31"/>
      <c r="S57" s="32"/>
      <c r="T57" s="31">
        <v>60.97</v>
      </c>
      <c r="U57" s="31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spans="1:34">
      <c r="A58" s="34" t="s">
        <v>49</v>
      </c>
      <c r="B58" s="31"/>
      <c r="C58" s="31"/>
      <c r="D58" s="32">
        <v>62.5</v>
      </c>
      <c r="E58" s="32">
        <f>156.3-D58</f>
        <v>93.800000000000011</v>
      </c>
      <c r="F58" s="33">
        <v>412</v>
      </c>
      <c r="G58" s="32">
        <v>13</v>
      </c>
      <c r="H58" s="32">
        <v>17.5</v>
      </c>
      <c r="I58" s="31"/>
      <c r="J58" s="31"/>
      <c r="K58" s="32">
        <v>53.6</v>
      </c>
      <c r="L58" s="32">
        <v>3757</v>
      </c>
      <c r="M58" s="31"/>
      <c r="N58" s="32">
        <v>52.2</v>
      </c>
      <c r="O58" s="31"/>
      <c r="P58" s="32">
        <v>99.7</v>
      </c>
      <c r="Q58" s="32">
        <v>10488.2</v>
      </c>
      <c r="R58" s="31"/>
      <c r="S58" s="32"/>
      <c r="T58" s="31"/>
      <c r="U58" s="31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spans="1:34">
      <c r="A59" s="34" t="s">
        <v>50</v>
      </c>
      <c r="B59" s="31"/>
      <c r="C59" s="31"/>
      <c r="D59" s="32"/>
      <c r="E59" s="32"/>
      <c r="F59" s="33"/>
      <c r="G59" s="32"/>
      <c r="H59" s="32"/>
      <c r="I59" s="31"/>
      <c r="J59" s="31"/>
      <c r="K59" s="32"/>
      <c r="L59" s="32"/>
      <c r="M59" s="31"/>
      <c r="N59" s="32"/>
      <c r="O59" s="31"/>
      <c r="P59" s="32"/>
      <c r="Q59" s="32"/>
      <c r="R59" s="31"/>
      <c r="S59" s="32"/>
      <c r="T59" s="31"/>
      <c r="U59" s="31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spans="1:34">
      <c r="A60" s="34" t="s">
        <v>51</v>
      </c>
      <c r="B60" s="31"/>
      <c r="C60" s="31"/>
      <c r="D60" s="32"/>
      <c r="E60" s="32"/>
      <c r="F60" s="33"/>
      <c r="G60" s="32"/>
      <c r="H60" s="32"/>
      <c r="I60" s="31"/>
      <c r="J60" s="31"/>
      <c r="K60" s="32"/>
      <c r="L60" s="32"/>
      <c r="M60" s="31"/>
      <c r="N60" s="32"/>
      <c r="O60" s="31"/>
      <c r="P60" s="32"/>
      <c r="Q60" s="32"/>
      <c r="R60" s="31"/>
      <c r="S60" s="32"/>
      <c r="T60" s="31"/>
      <c r="U60" s="31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spans="1:34">
      <c r="A61" s="34" t="s">
        <v>52</v>
      </c>
      <c r="B61" s="31"/>
      <c r="C61" s="31"/>
      <c r="D61" s="32"/>
      <c r="E61" s="32"/>
      <c r="F61" s="33"/>
      <c r="G61" s="32"/>
      <c r="H61" s="32"/>
      <c r="I61" s="31"/>
      <c r="J61" s="31"/>
      <c r="K61" s="32"/>
      <c r="L61" s="32"/>
      <c r="M61" s="31"/>
      <c r="N61" s="32"/>
      <c r="O61" s="31"/>
      <c r="P61" s="32"/>
      <c r="Q61" s="32"/>
      <c r="R61" s="31"/>
      <c r="S61" s="32"/>
      <c r="T61" s="31"/>
      <c r="U61" s="31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spans="1:34">
      <c r="A62" s="34" t="s">
        <v>53</v>
      </c>
      <c r="B62" s="31"/>
      <c r="C62" s="31"/>
      <c r="D62" s="32"/>
      <c r="E62" s="32"/>
      <c r="F62" s="33"/>
      <c r="G62" s="32"/>
      <c r="H62" s="32"/>
      <c r="I62" s="31"/>
      <c r="J62" s="31"/>
      <c r="K62" s="32"/>
      <c r="L62" s="32"/>
      <c r="M62" s="31"/>
      <c r="N62" s="32"/>
      <c r="O62" s="31"/>
      <c r="P62" s="32"/>
      <c r="Q62" s="32"/>
      <c r="R62" s="31"/>
      <c r="S62" s="32"/>
      <c r="T62" s="31"/>
      <c r="U62" s="31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spans="1:34">
      <c r="A63" s="34" t="s">
        <v>54</v>
      </c>
      <c r="B63" s="31"/>
      <c r="C63" s="31"/>
      <c r="D63" s="32"/>
      <c r="E63" s="32"/>
      <c r="F63" s="33"/>
      <c r="G63" s="32"/>
      <c r="H63" s="32"/>
      <c r="I63" s="31"/>
      <c r="J63" s="31"/>
      <c r="K63" s="32"/>
      <c r="L63" s="32"/>
      <c r="M63" s="31"/>
      <c r="N63" s="32"/>
      <c r="O63" s="31"/>
      <c r="P63" s="32"/>
      <c r="Q63" s="32"/>
      <c r="R63" s="31"/>
      <c r="S63" s="32"/>
      <c r="T63" s="31"/>
      <c r="U63" s="31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spans="1:34">
      <c r="A64" s="34" t="s">
        <v>55</v>
      </c>
      <c r="B64" s="31"/>
      <c r="C64" s="31"/>
      <c r="D64" s="32"/>
      <c r="E64" s="32"/>
      <c r="F64" s="33"/>
      <c r="G64" s="32"/>
      <c r="H64" s="32"/>
      <c r="I64" s="31"/>
      <c r="J64" s="31"/>
      <c r="K64" s="32"/>
      <c r="L64" s="32"/>
      <c r="M64" s="31"/>
      <c r="N64" s="32"/>
      <c r="O64" s="31"/>
      <c r="P64" s="32"/>
      <c r="Q64" s="32"/>
      <c r="R64" s="31"/>
      <c r="S64" s="32"/>
      <c r="T64" s="31"/>
      <c r="U64" s="31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spans="1:34">
      <c r="A65" s="34" t="s">
        <v>56</v>
      </c>
      <c r="B65" s="31"/>
      <c r="C65" s="31"/>
      <c r="D65" s="32"/>
      <c r="E65" s="32"/>
      <c r="F65" s="33"/>
      <c r="G65" s="32"/>
      <c r="H65" s="32"/>
      <c r="I65" s="31"/>
      <c r="J65" s="31"/>
      <c r="K65" s="32"/>
      <c r="L65" s="32"/>
      <c r="M65" s="31"/>
      <c r="N65" s="32"/>
      <c r="O65" s="31"/>
      <c r="P65" s="32"/>
      <c r="Q65" s="32"/>
      <c r="R65" s="31"/>
      <c r="S65" s="32"/>
      <c r="T65" s="31"/>
      <c r="U65" s="31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spans="1:34">
      <c r="A66" s="34" t="s">
        <v>57</v>
      </c>
      <c r="B66" s="31"/>
      <c r="C66" s="31"/>
      <c r="D66" s="32"/>
      <c r="E66" s="32"/>
      <c r="F66" s="33"/>
      <c r="G66" s="32"/>
      <c r="H66" s="32"/>
      <c r="I66" s="31"/>
      <c r="J66" s="31"/>
      <c r="K66" s="32"/>
      <c r="L66" s="32"/>
      <c r="M66" s="31"/>
      <c r="N66" s="32"/>
      <c r="O66" s="31"/>
      <c r="P66" s="32"/>
      <c r="Q66" s="32"/>
      <c r="R66" s="31"/>
      <c r="S66" s="32"/>
      <c r="T66" s="31"/>
      <c r="U66" s="31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spans="1:34">
      <c r="A67" s="34" t="s">
        <v>58</v>
      </c>
      <c r="B67" s="31"/>
      <c r="C67" s="31"/>
      <c r="D67" s="32"/>
      <c r="E67" s="32"/>
      <c r="F67" s="33"/>
      <c r="G67" s="32"/>
      <c r="H67" s="32"/>
      <c r="I67" s="31"/>
      <c r="J67" s="31"/>
      <c r="K67" s="32"/>
      <c r="L67" s="32"/>
      <c r="M67" s="31"/>
      <c r="N67" s="32"/>
      <c r="O67" s="31"/>
      <c r="P67" s="32"/>
      <c r="Q67" s="32"/>
      <c r="R67" s="31"/>
      <c r="S67" s="32"/>
      <c r="T67" s="31"/>
      <c r="U67" s="31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spans="1:34">
      <c r="A68" s="34" t="s">
        <v>59</v>
      </c>
      <c r="B68" s="31"/>
      <c r="C68" s="31"/>
      <c r="D68" s="32"/>
      <c r="E68" s="32"/>
      <c r="F68" s="33"/>
      <c r="G68" s="32"/>
      <c r="H68" s="32"/>
      <c r="I68" s="31"/>
      <c r="J68" s="31"/>
      <c r="K68" s="32"/>
      <c r="L68" s="32"/>
      <c r="M68" s="31"/>
      <c r="N68" s="32"/>
      <c r="O68" s="31"/>
      <c r="P68" s="32"/>
      <c r="Q68" s="32"/>
      <c r="R68" s="31"/>
      <c r="S68" s="32"/>
      <c r="T68" s="31"/>
      <c r="U68" s="31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</sheetData>
  <mergeCells count="25">
    <mergeCell ref="D2:E2"/>
    <mergeCell ref="F2:F3"/>
    <mergeCell ref="L2:N2"/>
    <mergeCell ref="A1:A3"/>
    <mergeCell ref="AC2:AC3"/>
    <mergeCell ref="L1:Q1"/>
    <mergeCell ref="R1:V1"/>
    <mergeCell ref="G2:H2"/>
    <mergeCell ref="I2:K2"/>
    <mergeCell ref="C1:K1"/>
    <mergeCell ref="B1:B3"/>
    <mergeCell ref="O2:O3"/>
    <mergeCell ref="P2:P3"/>
    <mergeCell ref="Q2:Q3"/>
    <mergeCell ref="R2:T2"/>
    <mergeCell ref="U2:V2"/>
    <mergeCell ref="AG2:AG3"/>
    <mergeCell ref="AH2:AH3"/>
    <mergeCell ref="W2:Y2"/>
    <mergeCell ref="Z2:AB2"/>
    <mergeCell ref="W1:AB1"/>
    <mergeCell ref="AC1:AH1"/>
    <mergeCell ref="AD2:AD3"/>
    <mergeCell ref="AE2:AE3"/>
    <mergeCell ref="AF2:AF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6BD4-C903-4837-ADCB-BE81ADFF46EB}">
  <dimension ref="A1:AH1048576"/>
  <sheetViews>
    <sheetView tabSelected="1" topLeftCell="A3" workbookViewId="0">
      <pane ySplit="1" topLeftCell="A4" activePane="bottomLeft" state="frozen"/>
      <selection pane="bottomLeft" activeCell="A4" sqref="A4:XFD4"/>
    </sheetView>
  </sheetViews>
  <sheetFormatPr defaultRowHeight="15"/>
  <cols>
    <col min="1" max="1" width="9.140625" style="1"/>
    <col min="2" max="2" width="23.28515625" style="2" hidden="1" customWidth="1"/>
    <col min="3" max="3" width="21.140625" style="2" hidden="1" customWidth="1"/>
    <col min="4" max="5" width="12.5703125" style="14" customWidth="1"/>
    <col min="6" max="6" width="9.140625" style="19"/>
    <col min="7" max="7" width="10.140625" style="14" customWidth="1"/>
    <col min="8" max="8" width="9.140625" style="14"/>
    <col min="9" max="10" width="9.140625" style="2"/>
    <col min="11" max="12" width="9.140625" style="14"/>
    <col min="13" max="13" width="9.140625" style="2"/>
    <col min="14" max="14" width="9.140625" style="14"/>
    <col min="15" max="15" width="9.140625" style="2"/>
    <col min="16" max="16" width="9.140625" style="14"/>
    <col min="17" max="17" width="10.7109375" style="14" customWidth="1"/>
    <col min="18" max="18" width="9.140625" style="2"/>
    <col min="19" max="19" width="9.140625" style="14"/>
    <col min="20" max="21" width="9.140625" style="2"/>
    <col min="22" max="32" width="9.140625" style="1"/>
    <col min="33" max="33" width="10.7109375" style="1" customWidth="1"/>
    <col min="34" max="16384" width="9.140625" style="1"/>
  </cols>
  <sheetData>
    <row r="1" spans="1:34" s="5" customFormat="1" ht="48" customHeight="1">
      <c r="A1" s="51" t="s">
        <v>0</v>
      </c>
      <c r="B1" s="53" t="s">
        <v>1</v>
      </c>
      <c r="C1" s="56" t="s">
        <v>2</v>
      </c>
      <c r="D1" s="56"/>
      <c r="E1" s="56"/>
      <c r="F1" s="56"/>
      <c r="G1" s="56"/>
      <c r="H1" s="56"/>
      <c r="I1" s="56"/>
      <c r="J1" s="56"/>
      <c r="K1" s="56"/>
      <c r="L1" s="52" t="s">
        <v>3</v>
      </c>
      <c r="M1" s="52"/>
      <c r="N1" s="52"/>
      <c r="O1" s="52"/>
      <c r="P1" s="52"/>
      <c r="Q1" s="52"/>
      <c r="R1" s="53" t="s">
        <v>4</v>
      </c>
      <c r="S1" s="53"/>
      <c r="T1" s="53"/>
      <c r="U1" s="53"/>
      <c r="V1" s="53"/>
      <c r="W1" s="43" t="s">
        <v>5</v>
      </c>
      <c r="X1" s="43"/>
      <c r="Y1" s="43"/>
      <c r="Z1" s="43"/>
      <c r="AA1" s="43"/>
      <c r="AB1" s="43"/>
      <c r="AC1" s="44" t="s">
        <v>6</v>
      </c>
      <c r="AD1" s="44"/>
      <c r="AE1" s="44"/>
      <c r="AF1" s="44"/>
      <c r="AG1" s="44"/>
      <c r="AH1" s="44"/>
    </row>
    <row r="2" spans="1:34" s="5" customFormat="1" ht="48" customHeight="1">
      <c r="A2" s="51"/>
      <c r="B2" s="53"/>
      <c r="C2" s="4" t="s">
        <v>7</v>
      </c>
      <c r="D2" s="49" t="s">
        <v>8</v>
      </c>
      <c r="E2" s="49"/>
      <c r="F2" s="50" t="s">
        <v>9</v>
      </c>
      <c r="G2" s="54" t="s">
        <v>10</v>
      </c>
      <c r="H2" s="54"/>
      <c r="I2" s="55" t="s">
        <v>11</v>
      </c>
      <c r="J2" s="55"/>
      <c r="K2" s="55"/>
      <c r="L2" s="46" t="s">
        <v>12</v>
      </c>
      <c r="M2" s="46"/>
      <c r="N2" s="46"/>
      <c r="O2" s="46" t="s">
        <v>13</v>
      </c>
      <c r="P2" s="47" t="s">
        <v>14</v>
      </c>
      <c r="Q2" s="47" t="s">
        <v>15</v>
      </c>
      <c r="R2" s="48" t="s">
        <v>16</v>
      </c>
      <c r="S2" s="48"/>
      <c r="T2" s="48"/>
      <c r="U2" s="48" t="s">
        <v>17</v>
      </c>
      <c r="V2" s="48"/>
      <c r="W2" s="41" t="s">
        <v>18</v>
      </c>
      <c r="X2" s="41"/>
      <c r="Y2" s="41"/>
      <c r="Z2" s="42" t="s">
        <v>19</v>
      </c>
      <c r="AA2" s="42"/>
      <c r="AB2" s="42"/>
      <c r="AC2" s="45" t="s">
        <v>20</v>
      </c>
      <c r="AD2" s="45" t="s">
        <v>21</v>
      </c>
      <c r="AE2" s="40" t="s">
        <v>22</v>
      </c>
      <c r="AF2" s="40" t="s">
        <v>23</v>
      </c>
      <c r="AG2" s="39" t="s">
        <v>24</v>
      </c>
      <c r="AH2" s="40" t="s">
        <v>25</v>
      </c>
    </row>
    <row r="3" spans="1:34" s="5" customFormat="1" ht="48" hidden="1" customHeight="1">
      <c r="A3" s="51"/>
      <c r="B3" s="53"/>
      <c r="C3" s="4" t="s">
        <v>26</v>
      </c>
      <c r="D3" s="15" t="s">
        <v>27</v>
      </c>
      <c r="E3" s="15" t="s">
        <v>28</v>
      </c>
      <c r="F3" s="50"/>
      <c r="G3" s="16" t="s">
        <v>29</v>
      </c>
      <c r="H3" s="16" t="s">
        <v>30</v>
      </c>
      <c r="I3" s="10" t="s">
        <v>31</v>
      </c>
      <c r="J3" s="10" t="s">
        <v>32</v>
      </c>
      <c r="K3" s="21" t="s">
        <v>33</v>
      </c>
      <c r="L3" s="23" t="s">
        <v>34</v>
      </c>
      <c r="M3" s="22" t="s">
        <v>35</v>
      </c>
      <c r="N3" s="23" t="s">
        <v>36</v>
      </c>
      <c r="O3" s="46"/>
      <c r="P3" s="47"/>
      <c r="Q3" s="47"/>
      <c r="R3" s="24" t="s">
        <v>37</v>
      </c>
      <c r="S3" s="25" t="s">
        <v>38</v>
      </c>
      <c r="T3" s="24" t="s">
        <v>39</v>
      </c>
      <c r="U3" s="24" t="s">
        <v>40</v>
      </c>
      <c r="V3" s="24" t="s">
        <v>41</v>
      </c>
      <c r="W3" s="11" t="s">
        <v>42</v>
      </c>
      <c r="X3" s="11" t="s">
        <v>43</v>
      </c>
      <c r="Y3" s="11" t="s">
        <v>44</v>
      </c>
      <c r="Z3" s="11" t="s">
        <v>45</v>
      </c>
      <c r="AA3" s="11" t="s">
        <v>46</v>
      </c>
      <c r="AB3" s="11" t="s">
        <v>47</v>
      </c>
      <c r="AC3" s="45"/>
      <c r="AD3" s="45"/>
      <c r="AE3" s="40"/>
      <c r="AF3" s="40"/>
      <c r="AG3" s="39"/>
      <c r="AH3" s="40"/>
    </row>
    <row r="4" spans="1:34" s="5" customFormat="1" ht="12" customHeight="1">
      <c r="A4" s="9">
        <v>2018</v>
      </c>
      <c r="B4" s="4"/>
      <c r="C4" s="4"/>
      <c r="D4" s="12"/>
      <c r="E4" s="12"/>
      <c r="F4" s="17"/>
      <c r="G4" s="12"/>
      <c r="H4" s="12"/>
      <c r="I4" s="4"/>
      <c r="J4" s="4"/>
      <c r="K4" s="12"/>
      <c r="L4" s="12"/>
      <c r="M4" s="4"/>
      <c r="N4" s="12"/>
      <c r="O4" s="4"/>
      <c r="P4" s="12"/>
      <c r="Q4" s="12"/>
      <c r="R4" s="4"/>
      <c r="S4" s="12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"/>
      <c r="AF4" s="3"/>
      <c r="AG4" s="4"/>
      <c r="AH4" s="3"/>
    </row>
    <row r="5" spans="1:34" s="5" customFormat="1" ht="12" customHeight="1">
      <c r="A5" s="6" t="s">
        <v>48</v>
      </c>
      <c r="B5" s="4"/>
      <c r="C5" s="4"/>
      <c r="D5" s="12">
        <v>94.7</v>
      </c>
      <c r="E5" s="12">
        <f>431.5-D5</f>
        <v>336.8</v>
      </c>
      <c r="F5" s="17">
        <v>261.5</v>
      </c>
      <c r="G5" s="12">
        <v>17</v>
      </c>
      <c r="H5" s="12">
        <v>54</v>
      </c>
      <c r="I5" s="4"/>
      <c r="J5" s="4"/>
      <c r="K5" s="12">
        <v>51.2</v>
      </c>
      <c r="L5" s="12">
        <v>7235</v>
      </c>
      <c r="M5" s="4"/>
      <c r="N5" s="12">
        <v>64.400000000000006</v>
      </c>
      <c r="O5" s="4"/>
      <c r="P5" s="12">
        <v>108.8</v>
      </c>
      <c r="Q5" s="12">
        <v>5778</v>
      </c>
      <c r="R5" s="4"/>
      <c r="S5" s="12">
        <v>10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3"/>
      <c r="AF5" s="3"/>
      <c r="AG5" s="4"/>
      <c r="AH5" s="3"/>
    </row>
    <row r="6" spans="1:34" s="5" customFormat="1" ht="12" customHeight="1">
      <c r="A6" s="6" t="s">
        <v>49</v>
      </c>
      <c r="B6" s="4"/>
      <c r="C6" s="4"/>
      <c r="D6" s="12">
        <v>104.5</v>
      </c>
      <c r="E6" s="12">
        <f>319.7-D6</f>
        <v>215.2</v>
      </c>
      <c r="F6" s="20">
        <v>237.7</v>
      </c>
      <c r="G6" s="12">
        <v>15</v>
      </c>
      <c r="H6" s="12">
        <v>40.299999999999997</v>
      </c>
      <c r="I6" s="4"/>
      <c r="J6" s="4"/>
      <c r="K6" s="12">
        <v>61.9</v>
      </c>
      <c r="L6" s="12">
        <v>6710</v>
      </c>
      <c r="M6" s="4"/>
      <c r="N6" s="12">
        <v>47.1</v>
      </c>
      <c r="O6" s="4"/>
      <c r="P6" s="12">
        <v>71.599999999999994</v>
      </c>
      <c r="Q6" s="12">
        <v>4698</v>
      </c>
      <c r="R6" s="4"/>
      <c r="S6" s="12">
        <v>7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3"/>
      <c r="AF6" s="3"/>
      <c r="AG6" s="4"/>
      <c r="AH6" s="3"/>
    </row>
    <row r="7" spans="1:34" s="5" customFormat="1" ht="12" customHeight="1">
      <c r="A7" s="6" t="s">
        <v>50</v>
      </c>
      <c r="B7" s="4"/>
      <c r="C7" s="4"/>
      <c r="D7" s="12">
        <v>110.3</v>
      </c>
      <c r="E7" s="12">
        <f>483.2-D7</f>
        <v>372.9</v>
      </c>
      <c r="F7" s="17">
        <v>234.5</v>
      </c>
      <c r="G7" s="12">
        <v>19.5</v>
      </c>
      <c r="H7" s="12">
        <v>67.900000000000006</v>
      </c>
      <c r="I7" s="4"/>
      <c r="J7" s="4"/>
      <c r="K7" s="12">
        <v>80.3</v>
      </c>
      <c r="L7" s="12">
        <v>6905</v>
      </c>
      <c r="M7" s="4"/>
      <c r="N7" s="12">
        <v>58.7</v>
      </c>
      <c r="O7" s="4"/>
      <c r="P7" s="12">
        <v>75.7</v>
      </c>
      <c r="Q7" s="12">
        <v>2901.78</v>
      </c>
      <c r="R7" s="4"/>
      <c r="S7" s="12">
        <v>18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3"/>
      <c r="AF7" s="3"/>
      <c r="AG7" s="4"/>
      <c r="AH7" s="3"/>
    </row>
    <row r="8" spans="1:34" s="5" customFormat="1" ht="12" customHeight="1">
      <c r="A8" s="6" t="s">
        <v>51</v>
      </c>
      <c r="B8" s="4"/>
      <c r="C8" s="4"/>
      <c r="D8" s="12">
        <v>106.4</v>
      </c>
      <c r="E8" s="12">
        <f>355.2-D8</f>
        <v>248.79999999999998</v>
      </c>
      <c r="F8" s="17">
        <v>295.5</v>
      </c>
      <c r="G8" s="12">
        <v>18</v>
      </c>
      <c r="H8" s="12">
        <v>88.1</v>
      </c>
      <c r="I8" s="4"/>
      <c r="J8" s="4"/>
      <c r="K8" s="12">
        <v>68.599999999999994</v>
      </c>
      <c r="L8" s="12">
        <v>7070</v>
      </c>
      <c r="M8" s="4"/>
      <c r="N8" s="12">
        <v>71.3</v>
      </c>
      <c r="O8" s="4"/>
      <c r="P8" s="12">
        <v>83</v>
      </c>
      <c r="Q8" s="12">
        <v>4327.2</v>
      </c>
      <c r="R8" s="4"/>
      <c r="S8" s="12">
        <v>14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3"/>
      <c r="AF8" s="3"/>
      <c r="AG8" s="4"/>
      <c r="AH8" s="3"/>
    </row>
    <row r="9" spans="1:34" s="5" customFormat="1" ht="12" customHeight="1">
      <c r="A9" s="6" t="s">
        <v>52</v>
      </c>
      <c r="B9" s="4"/>
      <c r="C9" s="4"/>
      <c r="D9" s="12">
        <v>132.1</v>
      </c>
      <c r="E9" s="12">
        <f>382.9-D9</f>
        <v>250.79999999999998</v>
      </c>
      <c r="F9" s="17">
        <v>226.9</v>
      </c>
      <c r="G9" s="12">
        <v>20</v>
      </c>
      <c r="H9" s="12">
        <v>55.7</v>
      </c>
      <c r="I9" s="4"/>
      <c r="J9" s="4"/>
      <c r="K9" s="12">
        <v>67.3</v>
      </c>
      <c r="L9" s="12">
        <v>7015</v>
      </c>
      <c r="M9" s="4"/>
      <c r="N9" s="12">
        <v>66</v>
      </c>
      <c r="O9" s="4"/>
      <c r="P9" s="12">
        <v>72.400000000000006</v>
      </c>
      <c r="Q9" s="12">
        <v>3583.2</v>
      </c>
      <c r="R9" s="4"/>
      <c r="S9" s="12">
        <v>11.5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3"/>
      <c r="AF9" s="3"/>
      <c r="AG9" s="4"/>
      <c r="AH9" s="3"/>
    </row>
    <row r="10" spans="1:34" s="5" customFormat="1" ht="12" customHeight="1">
      <c r="A10" s="6" t="s">
        <v>53</v>
      </c>
      <c r="B10" s="4"/>
      <c r="C10" s="4"/>
      <c r="D10" s="12">
        <v>164.8</v>
      </c>
      <c r="E10" s="12">
        <f>599.6-D10</f>
        <v>434.8</v>
      </c>
      <c r="F10" s="17">
        <v>310.2</v>
      </c>
      <c r="G10" s="12">
        <v>16</v>
      </c>
      <c r="H10" s="12">
        <v>120.1</v>
      </c>
      <c r="I10" s="4"/>
      <c r="J10" s="4"/>
      <c r="K10" s="12">
        <v>121.8</v>
      </c>
      <c r="L10" s="12">
        <v>7120</v>
      </c>
      <c r="M10" s="4"/>
      <c r="N10" s="12">
        <v>78.7</v>
      </c>
      <c r="O10" s="4"/>
      <c r="P10" s="12">
        <v>89.5</v>
      </c>
      <c r="Q10" s="12">
        <v>6040.8</v>
      </c>
      <c r="R10" s="4"/>
      <c r="S10" s="12">
        <v>8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"/>
      <c r="AF10" s="3"/>
      <c r="AG10" s="4"/>
      <c r="AH10" s="3"/>
    </row>
    <row r="11" spans="1:34" s="5" customFormat="1" ht="12" customHeight="1">
      <c r="A11" s="6" t="s">
        <v>54</v>
      </c>
      <c r="B11" s="4"/>
      <c r="C11" s="4"/>
      <c r="D11" s="12">
        <v>149.5</v>
      </c>
      <c r="E11" s="12">
        <f>479.2-D11</f>
        <v>329.7</v>
      </c>
      <c r="F11" s="17">
        <v>343.6</v>
      </c>
      <c r="G11" s="12">
        <v>8</v>
      </c>
      <c r="H11" s="12">
        <v>99.8</v>
      </c>
      <c r="I11" s="4"/>
      <c r="J11" s="4"/>
      <c r="K11" s="12">
        <v>132.80000000000001</v>
      </c>
      <c r="L11" s="12">
        <v>6745</v>
      </c>
      <c r="M11" s="4"/>
      <c r="N11" s="12">
        <v>59.5</v>
      </c>
      <c r="O11" s="4"/>
      <c r="P11" s="12">
        <v>92.3</v>
      </c>
      <c r="Q11" s="12">
        <v>6169.2</v>
      </c>
      <c r="R11" s="4"/>
      <c r="S11" s="12">
        <v>7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3"/>
      <c r="AF11" s="3"/>
      <c r="AG11" s="4"/>
      <c r="AH11" s="3"/>
    </row>
    <row r="12" spans="1:34" s="5" customFormat="1" ht="12" customHeight="1">
      <c r="A12" s="6" t="s">
        <v>55</v>
      </c>
      <c r="B12" s="4"/>
      <c r="C12" s="4"/>
      <c r="D12" s="12">
        <v>70.8</v>
      </c>
      <c r="E12" s="12">
        <f>332-D12</f>
        <v>261.2</v>
      </c>
      <c r="F12" s="17">
        <v>252</v>
      </c>
      <c r="G12" s="12">
        <v>9</v>
      </c>
      <c r="H12" s="12">
        <v>96.4</v>
      </c>
      <c r="I12" s="4"/>
      <c r="J12" s="4"/>
      <c r="K12" s="12">
        <v>100.5</v>
      </c>
      <c r="L12" s="12">
        <v>7155</v>
      </c>
      <c r="M12" s="4"/>
      <c r="N12" s="12">
        <v>76.7</v>
      </c>
      <c r="O12" s="4"/>
      <c r="P12" s="12">
        <v>103</v>
      </c>
      <c r="Q12" s="12">
        <v>5778</v>
      </c>
      <c r="R12" s="4"/>
      <c r="S12" s="12">
        <v>10.5</v>
      </c>
      <c r="T12" s="4"/>
      <c r="U12" s="4"/>
      <c r="V12" s="4"/>
      <c r="W12" s="4"/>
      <c r="X12" s="4"/>
      <c r="Y12" s="4"/>
      <c r="Z12" s="63">
        <v>25</v>
      </c>
      <c r="AA12" s="4"/>
      <c r="AB12" s="4"/>
      <c r="AC12" s="4"/>
      <c r="AD12" s="4"/>
      <c r="AE12" s="3"/>
      <c r="AF12" s="3"/>
      <c r="AG12" s="4"/>
      <c r="AH12" s="3"/>
    </row>
    <row r="13" spans="1:34" s="5" customFormat="1" ht="12" customHeight="1">
      <c r="A13" s="6" t="s">
        <v>56</v>
      </c>
      <c r="B13" s="4"/>
      <c r="C13" s="4"/>
      <c r="D13" s="12">
        <v>64.400000000000006</v>
      </c>
      <c r="E13" s="12">
        <f>325.1-D13</f>
        <v>260.70000000000005</v>
      </c>
      <c r="F13" s="17">
        <v>270.60000000000002</v>
      </c>
      <c r="G13" s="12">
        <v>7.5</v>
      </c>
      <c r="H13" s="12">
        <v>35.799999999999997</v>
      </c>
      <c r="I13" s="4"/>
      <c r="J13" s="4"/>
      <c r="K13" s="12">
        <v>102.2</v>
      </c>
      <c r="L13" s="12">
        <v>7210</v>
      </c>
      <c r="M13" s="4"/>
      <c r="N13" s="12">
        <v>55.3</v>
      </c>
      <c r="O13" s="4"/>
      <c r="P13" s="12">
        <v>107.2</v>
      </c>
      <c r="Q13" s="12">
        <v>5860.8</v>
      </c>
      <c r="R13" s="4"/>
      <c r="S13" s="12">
        <v>13</v>
      </c>
      <c r="T13" s="4"/>
      <c r="U13" s="4"/>
      <c r="V13" s="4"/>
      <c r="W13" s="4"/>
      <c r="X13" s="4"/>
      <c r="Y13" s="4"/>
      <c r="Z13" s="63">
        <v>25</v>
      </c>
      <c r="AA13" s="4"/>
      <c r="AB13" s="4"/>
      <c r="AC13" s="4"/>
      <c r="AD13" s="4"/>
      <c r="AE13" s="3"/>
      <c r="AF13" s="3"/>
      <c r="AG13" s="4"/>
      <c r="AH13" s="3"/>
    </row>
    <row r="14" spans="1:34" s="5" customFormat="1" ht="12" customHeight="1">
      <c r="A14" s="6" t="s">
        <v>57</v>
      </c>
      <c r="B14" s="4"/>
      <c r="C14" s="4"/>
      <c r="D14" s="12">
        <v>163.4</v>
      </c>
      <c r="E14" s="12">
        <f>533.5-D14</f>
        <v>370.1</v>
      </c>
      <c r="F14" s="17">
        <v>438.6</v>
      </c>
      <c r="G14" s="12">
        <v>5.5</v>
      </c>
      <c r="H14" s="12">
        <v>164.7</v>
      </c>
      <c r="I14" s="4"/>
      <c r="J14" s="4"/>
      <c r="K14" s="12">
        <v>291.2</v>
      </c>
      <c r="L14" s="12">
        <v>8460</v>
      </c>
      <c r="M14" s="4"/>
      <c r="N14" s="12">
        <v>106.9</v>
      </c>
      <c r="O14" s="4"/>
      <c r="P14" s="12">
        <v>181.1</v>
      </c>
      <c r="Q14" s="12">
        <v>7059.24</v>
      </c>
      <c r="R14" s="4"/>
      <c r="S14" s="12">
        <v>32</v>
      </c>
      <c r="T14" s="4"/>
      <c r="U14" s="4"/>
      <c r="V14" s="4"/>
      <c r="W14" s="4"/>
      <c r="X14" s="4"/>
      <c r="Y14" s="4"/>
      <c r="Z14" s="63">
        <v>25</v>
      </c>
      <c r="AA14" s="4">
        <v>2</v>
      </c>
      <c r="AB14" s="4"/>
      <c r="AC14" s="4"/>
      <c r="AD14" s="4"/>
      <c r="AE14" s="3"/>
      <c r="AF14" s="3"/>
      <c r="AG14" s="4"/>
      <c r="AH14" s="3"/>
    </row>
    <row r="15" spans="1:34" s="5" customFormat="1" ht="12" customHeight="1">
      <c r="A15" s="6" t="s">
        <v>58</v>
      </c>
      <c r="B15" s="4"/>
      <c r="C15" s="4"/>
      <c r="D15" s="12">
        <v>152.4</v>
      </c>
      <c r="E15" s="12">
        <f>586.2-D15</f>
        <v>433.80000000000007</v>
      </c>
      <c r="F15" s="17">
        <v>526.1</v>
      </c>
      <c r="G15" s="12">
        <v>50</v>
      </c>
      <c r="H15" s="12">
        <v>113.4</v>
      </c>
      <c r="I15" s="4"/>
      <c r="J15" s="4"/>
      <c r="K15" s="12">
        <v>299.2</v>
      </c>
      <c r="L15" s="12">
        <v>8185</v>
      </c>
      <c r="M15" s="4"/>
      <c r="N15" s="12">
        <v>84.7</v>
      </c>
      <c r="O15" s="4"/>
      <c r="P15" s="12">
        <v>114</v>
      </c>
      <c r="Q15" s="12">
        <v>7735.56</v>
      </c>
      <c r="R15" s="4"/>
      <c r="S15" s="12">
        <v>9</v>
      </c>
      <c r="T15" s="4"/>
      <c r="U15" s="4"/>
      <c r="V15" s="4"/>
      <c r="W15" s="4"/>
      <c r="X15" s="4"/>
      <c r="Y15" s="4"/>
      <c r="Z15" s="63">
        <v>25</v>
      </c>
      <c r="AA15" s="4">
        <v>3</v>
      </c>
      <c r="AB15" s="4"/>
      <c r="AC15" s="4"/>
      <c r="AD15" s="4"/>
      <c r="AE15" s="3"/>
      <c r="AF15" s="3"/>
      <c r="AG15" s="4"/>
      <c r="AH15" s="3"/>
    </row>
    <row r="16" spans="1:34" s="5" customFormat="1" ht="12" customHeight="1">
      <c r="A16" s="6" t="s">
        <v>59</v>
      </c>
      <c r="B16" s="4"/>
      <c r="C16" s="4"/>
      <c r="D16" s="12">
        <v>166.4</v>
      </c>
      <c r="E16" s="12">
        <f>599.4-D16</f>
        <v>433</v>
      </c>
      <c r="F16" s="17">
        <v>279.39999999999998</v>
      </c>
      <c r="G16" s="12">
        <v>17.5</v>
      </c>
      <c r="H16" s="12">
        <v>98.9</v>
      </c>
      <c r="I16" s="4"/>
      <c r="J16" s="4"/>
      <c r="K16" s="12">
        <v>88.3</v>
      </c>
      <c r="L16" s="12">
        <v>7405</v>
      </c>
      <c r="M16" s="4"/>
      <c r="N16" s="12">
        <v>86</v>
      </c>
      <c r="O16" s="4"/>
      <c r="P16" s="12">
        <v>116.4</v>
      </c>
      <c r="Q16" s="12">
        <v>8884.08</v>
      </c>
      <c r="R16" s="4"/>
      <c r="S16" s="12">
        <v>13.5</v>
      </c>
      <c r="T16" s="4"/>
      <c r="U16" s="4"/>
      <c r="V16" s="4"/>
      <c r="W16" s="4"/>
      <c r="X16" s="4"/>
      <c r="Y16" s="4"/>
      <c r="Z16" s="64">
        <v>25</v>
      </c>
      <c r="AA16" s="61">
        <v>2</v>
      </c>
      <c r="AB16" s="4"/>
      <c r="AC16" s="4"/>
      <c r="AD16" s="4"/>
      <c r="AE16" s="3"/>
      <c r="AF16" s="3"/>
      <c r="AG16" s="4"/>
      <c r="AH16" s="3"/>
    </row>
    <row r="17" spans="1:34" s="5" customFormat="1" ht="11.25" customHeight="1">
      <c r="A17" s="8">
        <v>2019</v>
      </c>
      <c r="B17" s="4"/>
      <c r="C17" s="4"/>
      <c r="D17" s="12"/>
      <c r="E17" s="12"/>
      <c r="F17" s="17"/>
      <c r="G17" s="12"/>
      <c r="H17" s="12"/>
      <c r="I17" s="4"/>
      <c r="J17" s="4"/>
      <c r="K17" s="12"/>
      <c r="L17" s="12"/>
      <c r="M17" s="4"/>
      <c r="N17" s="12"/>
      <c r="O17" s="4"/>
      <c r="P17" s="12"/>
      <c r="Q17" s="12"/>
      <c r="R17" s="4"/>
      <c r="S17" s="12"/>
      <c r="T17" s="4"/>
      <c r="U17" s="4"/>
      <c r="V17" s="4"/>
      <c r="W17" s="4"/>
      <c r="X17" s="4"/>
      <c r="Y17" s="59"/>
      <c r="Z17" s="65"/>
      <c r="AA17" s="58"/>
      <c r="AB17" s="60"/>
      <c r="AC17" s="4"/>
      <c r="AD17" s="4"/>
      <c r="AE17" s="3"/>
      <c r="AF17" s="3"/>
      <c r="AG17" s="4"/>
      <c r="AH17" s="3"/>
    </row>
    <row r="18" spans="1:34" ht="11.25">
      <c r="A18" s="6" t="s">
        <v>48</v>
      </c>
      <c r="B18" s="7"/>
      <c r="C18" s="7"/>
      <c r="D18" s="13">
        <v>140.5</v>
      </c>
      <c r="E18" s="13">
        <f>455.5-D18</f>
        <v>315</v>
      </c>
      <c r="F18" s="18">
        <v>259.10000000000002</v>
      </c>
      <c r="G18" s="13">
        <v>13.4</v>
      </c>
      <c r="H18" s="13">
        <v>103.2</v>
      </c>
      <c r="I18" s="7"/>
      <c r="J18" s="7"/>
      <c r="K18" s="13">
        <v>130</v>
      </c>
      <c r="L18" s="13">
        <v>7585</v>
      </c>
      <c r="M18" s="7"/>
      <c r="N18" s="13">
        <v>75.5</v>
      </c>
      <c r="O18" s="7"/>
      <c r="P18" s="13">
        <v>133.5</v>
      </c>
      <c r="Q18" s="13">
        <v>6933.6</v>
      </c>
      <c r="R18" s="7"/>
      <c r="S18" s="13">
        <v>18.8</v>
      </c>
      <c r="T18" s="7"/>
      <c r="U18" s="7"/>
      <c r="V18" s="6"/>
      <c r="W18" s="6"/>
      <c r="X18" s="6"/>
      <c r="Y18" s="6"/>
      <c r="Z18" s="66">
        <v>25</v>
      </c>
      <c r="AA18" s="62">
        <v>2</v>
      </c>
      <c r="AB18" s="6"/>
      <c r="AC18" s="6"/>
      <c r="AD18" s="6"/>
      <c r="AE18" s="6"/>
      <c r="AF18" s="6"/>
      <c r="AG18" s="6"/>
      <c r="AH18" s="6"/>
    </row>
    <row r="19" spans="1:34" ht="11.25">
      <c r="A19" s="6" t="s">
        <v>49</v>
      </c>
      <c r="B19" s="7"/>
      <c r="C19" s="7"/>
      <c r="D19" s="13">
        <v>136.1</v>
      </c>
      <c r="E19" s="13">
        <f>412-D19</f>
        <v>275.89999999999998</v>
      </c>
      <c r="F19" s="18">
        <v>249.8</v>
      </c>
      <c r="G19" s="13">
        <v>12.1</v>
      </c>
      <c r="H19" s="13">
        <v>95.6</v>
      </c>
      <c r="I19" s="7"/>
      <c r="J19" s="7"/>
      <c r="K19" s="13">
        <v>104.9</v>
      </c>
      <c r="L19" s="13">
        <v>6330</v>
      </c>
      <c r="M19" s="7"/>
      <c r="N19" s="13">
        <v>70.2</v>
      </c>
      <c r="O19" s="7"/>
      <c r="P19" s="13">
        <v>87.2</v>
      </c>
      <c r="Q19" s="13">
        <v>5637.6</v>
      </c>
      <c r="R19" s="7"/>
      <c r="S19" s="13">
        <v>12</v>
      </c>
      <c r="T19" s="7"/>
      <c r="U19" s="7"/>
      <c r="V19" s="6"/>
      <c r="W19" s="6"/>
      <c r="X19" s="6"/>
      <c r="Y19" s="6"/>
      <c r="Z19" s="67">
        <v>25</v>
      </c>
      <c r="AA19" s="57">
        <v>2</v>
      </c>
      <c r="AB19" s="6"/>
      <c r="AC19" s="6"/>
      <c r="AD19" s="6"/>
      <c r="AE19" s="6"/>
      <c r="AF19" s="6"/>
      <c r="AG19" s="6"/>
      <c r="AH19" s="6"/>
    </row>
    <row r="20" spans="1:34" ht="11.25">
      <c r="A20" s="6" t="s">
        <v>50</v>
      </c>
      <c r="B20" s="7"/>
      <c r="C20" s="7"/>
      <c r="D20" s="13">
        <v>82.1</v>
      </c>
      <c r="E20" s="13">
        <f>255.1-D20</f>
        <v>173</v>
      </c>
      <c r="F20" s="18">
        <v>198.7</v>
      </c>
      <c r="G20" s="13">
        <v>6</v>
      </c>
      <c r="H20" s="13">
        <v>40.200000000000003</v>
      </c>
      <c r="I20" s="7"/>
      <c r="J20" s="7"/>
      <c r="K20" s="13">
        <v>53.4</v>
      </c>
      <c r="L20" s="13">
        <v>6635</v>
      </c>
      <c r="M20" s="7"/>
      <c r="N20" s="13">
        <v>22.2</v>
      </c>
      <c r="O20" s="7"/>
      <c r="P20" s="13">
        <v>78.3</v>
      </c>
      <c r="Q20" s="13">
        <v>3482.1360000000004</v>
      </c>
      <c r="R20" s="7"/>
      <c r="S20" s="13">
        <v>6</v>
      </c>
      <c r="T20" s="7"/>
      <c r="U20" s="7"/>
      <c r="V20" s="6"/>
      <c r="W20" s="6"/>
      <c r="X20" s="6"/>
      <c r="Y20" s="6"/>
      <c r="Z20" s="67">
        <v>25</v>
      </c>
      <c r="AA20" s="57"/>
      <c r="AB20" s="6"/>
      <c r="AC20" s="6"/>
      <c r="AD20" s="6"/>
      <c r="AE20" s="6"/>
      <c r="AF20" s="6"/>
      <c r="AG20" s="6"/>
      <c r="AH20" s="6"/>
    </row>
    <row r="21" spans="1:34" ht="11.25">
      <c r="A21" s="6" t="s">
        <v>51</v>
      </c>
      <c r="B21" s="7"/>
      <c r="C21" s="7"/>
      <c r="D21" s="13">
        <v>107</v>
      </c>
      <c r="E21" s="13">
        <f>328.2-D21</f>
        <v>221.2</v>
      </c>
      <c r="F21" s="18">
        <v>218.8</v>
      </c>
      <c r="G21" s="13">
        <v>17.5</v>
      </c>
      <c r="H21" s="13">
        <v>61.9</v>
      </c>
      <c r="I21" s="7"/>
      <c r="J21" s="7"/>
      <c r="K21" s="13">
        <v>74</v>
      </c>
      <c r="L21" s="13">
        <v>6775</v>
      </c>
      <c r="M21" s="7"/>
      <c r="N21" s="13">
        <v>51.2</v>
      </c>
      <c r="O21" s="7"/>
      <c r="P21" s="13">
        <v>94.6</v>
      </c>
      <c r="Q21" s="13">
        <v>5192.6399999999994</v>
      </c>
      <c r="R21" s="7"/>
      <c r="S21" s="13">
        <v>10</v>
      </c>
      <c r="T21" s="7"/>
      <c r="U21" s="7"/>
      <c r="V21" s="6"/>
      <c r="W21" s="6"/>
      <c r="X21" s="6"/>
      <c r="Y21" s="6"/>
      <c r="Z21" s="67">
        <v>25</v>
      </c>
      <c r="AA21" s="6"/>
      <c r="AB21" s="6"/>
      <c r="AC21" s="6"/>
      <c r="AD21" s="6"/>
      <c r="AE21" s="6"/>
      <c r="AF21" s="6"/>
      <c r="AG21" s="6"/>
      <c r="AH21" s="6"/>
    </row>
    <row r="22" spans="1:34" ht="11.25">
      <c r="A22" s="6" t="s">
        <v>52</v>
      </c>
      <c r="B22" s="7"/>
      <c r="C22" s="7"/>
      <c r="D22" s="13">
        <v>94.6</v>
      </c>
      <c r="E22" s="13">
        <f>337.7-D22</f>
        <v>243.1</v>
      </c>
      <c r="F22" s="18">
        <v>212.2</v>
      </c>
      <c r="G22" s="13">
        <v>16.5</v>
      </c>
      <c r="H22" s="13">
        <v>78.8</v>
      </c>
      <c r="I22" s="7"/>
      <c r="J22" s="7"/>
      <c r="K22" s="13">
        <v>91.5</v>
      </c>
      <c r="L22" s="13">
        <v>6805</v>
      </c>
      <c r="M22" s="7"/>
      <c r="N22" s="13">
        <v>66.3</v>
      </c>
      <c r="O22" s="7"/>
      <c r="P22" s="13">
        <v>102.5</v>
      </c>
      <c r="Q22" s="13">
        <v>4299.84</v>
      </c>
      <c r="R22" s="7"/>
      <c r="S22" s="13">
        <v>16</v>
      </c>
      <c r="T22" s="7"/>
      <c r="U22" s="7"/>
      <c r="V22" s="6"/>
      <c r="W22" s="6"/>
      <c r="X22" s="6">
        <v>144</v>
      </c>
      <c r="Y22" s="6"/>
      <c r="Z22" s="67">
        <v>25</v>
      </c>
      <c r="AA22" s="6"/>
      <c r="AB22" s="6"/>
      <c r="AC22" s="6"/>
      <c r="AD22" s="6"/>
      <c r="AE22" s="6"/>
      <c r="AF22" s="6"/>
      <c r="AG22" s="6"/>
      <c r="AH22" s="6"/>
    </row>
    <row r="23" spans="1:34" ht="11.25">
      <c r="A23" s="6" t="s">
        <v>53</v>
      </c>
      <c r="B23" s="7"/>
      <c r="C23" s="7"/>
      <c r="D23" s="13">
        <v>64.2</v>
      </c>
      <c r="E23" s="13">
        <f>257.5-D23</f>
        <v>193.3</v>
      </c>
      <c r="F23" s="18">
        <v>312.60000000000002</v>
      </c>
      <c r="G23" s="13">
        <v>7</v>
      </c>
      <c r="H23" s="13">
        <v>22.4</v>
      </c>
      <c r="I23" s="7"/>
      <c r="J23" s="7"/>
      <c r="K23" s="13">
        <v>79.7</v>
      </c>
      <c r="L23" s="13">
        <v>6855</v>
      </c>
      <c r="M23" s="7"/>
      <c r="N23" s="13">
        <v>61.4</v>
      </c>
      <c r="O23" s="7"/>
      <c r="P23" s="13">
        <v>89.1</v>
      </c>
      <c r="Q23" s="13">
        <v>7248.96</v>
      </c>
      <c r="R23" s="7"/>
      <c r="S23" s="13">
        <v>7.5</v>
      </c>
      <c r="T23" s="7"/>
      <c r="U23" s="7"/>
      <c r="V23" s="6"/>
      <c r="W23" s="6"/>
      <c r="X23" s="6"/>
      <c r="Y23" s="6"/>
      <c r="Z23" s="67">
        <v>25</v>
      </c>
      <c r="AA23" s="6"/>
      <c r="AB23" s="6"/>
      <c r="AC23" s="6"/>
      <c r="AD23" s="6"/>
      <c r="AE23" s="6"/>
      <c r="AF23" s="6"/>
      <c r="AG23" s="6"/>
      <c r="AH23" s="6"/>
    </row>
    <row r="24" spans="1:34" ht="11.25">
      <c r="A24" s="6" t="s">
        <v>54</v>
      </c>
      <c r="B24" s="7"/>
      <c r="C24" s="7"/>
      <c r="D24" s="13">
        <v>80.900000000000006</v>
      </c>
      <c r="E24" s="13">
        <f>245.9-D24</f>
        <v>165</v>
      </c>
      <c r="F24" s="18">
        <v>214.7</v>
      </c>
      <c r="G24" s="13">
        <v>14.5</v>
      </c>
      <c r="H24" s="13">
        <v>56</v>
      </c>
      <c r="I24" s="7"/>
      <c r="J24" s="7"/>
      <c r="K24" s="13">
        <v>66.3</v>
      </c>
      <c r="L24" s="13">
        <v>6665</v>
      </c>
      <c r="M24" s="7"/>
      <c r="N24" s="13">
        <v>47</v>
      </c>
      <c r="O24" s="7"/>
      <c r="P24" s="13">
        <v>73</v>
      </c>
      <c r="Q24" s="13">
        <v>7403.04</v>
      </c>
      <c r="R24" s="7"/>
      <c r="S24" s="13">
        <v>10.8</v>
      </c>
      <c r="T24" s="7"/>
      <c r="U24" s="7"/>
      <c r="V24" s="6"/>
      <c r="W24" s="6"/>
      <c r="X24" s="6"/>
      <c r="Y24" s="6"/>
      <c r="Z24" s="67">
        <v>25</v>
      </c>
      <c r="AA24" s="6"/>
      <c r="AB24" s="6"/>
      <c r="AC24" s="6"/>
      <c r="AD24" s="6"/>
      <c r="AE24" s="6"/>
      <c r="AF24" s="6"/>
      <c r="AG24" s="6"/>
      <c r="AH24" s="6"/>
    </row>
    <row r="25" spans="1:34" ht="11.25">
      <c r="A25" s="6" t="s">
        <v>55</v>
      </c>
      <c r="B25" s="7"/>
      <c r="C25" s="7"/>
      <c r="D25" s="13">
        <v>171.9</v>
      </c>
      <c r="E25" s="13">
        <f>433.5-D25</f>
        <v>261.60000000000002</v>
      </c>
      <c r="F25" s="18">
        <v>449.4</v>
      </c>
      <c r="G25" s="13">
        <v>18</v>
      </c>
      <c r="H25" s="13">
        <v>66.3</v>
      </c>
      <c r="I25" s="7"/>
      <c r="J25" s="7"/>
      <c r="K25" s="13">
        <v>150.80000000000001</v>
      </c>
      <c r="L25" s="13">
        <v>6145</v>
      </c>
      <c r="M25" s="7"/>
      <c r="N25" s="13">
        <v>58.1</v>
      </c>
      <c r="O25" s="7"/>
      <c r="P25" s="13">
        <v>95.1</v>
      </c>
      <c r="Q25" s="13">
        <v>6933.6</v>
      </c>
      <c r="R25" s="7"/>
      <c r="S25" s="13">
        <v>31.7</v>
      </c>
      <c r="T25" s="7"/>
      <c r="U25" s="7"/>
      <c r="V25" s="6"/>
      <c r="W25" s="6"/>
      <c r="X25" s="6"/>
      <c r="Y25" s="6"/>
      <c r="Z25" s="67">
        <v>25</v>
      </c>
      <c r="AA25" s="6"/>
      <c r="AB25" s="6"/>
      <c r="AC25" s="6"/>
      <c r="AD25" s="6"/>
      <c r="AE25" s="6"/>
      <c r="AF25" s="6"/>
      <c r="AG25" s="6"/>
      <c r="AH25" s="6"/>
    </row>
    <row r="26" spans="1:34" ht="11.25">
      <c r="A26" s="6" t="s">
        <v>56</v>
      </c>
      <c r="B26" s="7"/>
      <c r="C26" s="7"/>
      <c r="D26" s="13">
        <v>97.5</v>
      </c>
      <c r="E26" s="13">
        <f>363.5-D26</f>
        <v>266</v>
      </c>
      <c r="F26" s="18">
        <v>449</v>
      </c>
      <c r="G26" s="13">
        <v>23</v>
      </c>
      <c r="H26" s="13">
        <v>74.5</v>
      </c>
      <c r="I26" s="7"/>
      <c r="J26" s="7"/>
      <c r="K26" s="13">
        <v>105.2</v>
      </c>
      <c r="L26" s="13">
        <v>6835</v>
      </c>
      <c r="M26" s="7"/>
      <c r="N26" s="13">
        <v>68.400000000000006</v>
      </c>
      <c r="O26" s="7"/>
      <c r="P26" s="13">
        <v>106.8</v>
      </c>
      <c r="Q26" s="13">
        <v>7032.96</v>
      </c>
      <c r="R26" s="7"/>
      <c r="S26" s="13">
        <v>17</v>
      </c>
      <c r="T26" s="7"/>
      <c r="U26" s="7"/>
      <c r="V26" s="6"/>
      <c r="W26" s="6"/>
      <c r="X26" s="6"/>
      <c r="Y26" s="6"/>
      <c r="Z26" s="67"/>
      <c r="AA26" s="6"/>
      <c r="AB26" s="6"/>
      <c r="AC26" s="6"/>
      <c r="AD26" s="6"/>
      <c r="AE26" s="6"/>
      <c r="AF26" s="6"/>
      <c r="AG26" s="6"/>
      <c r="AH26" s="6"/>
    </row>
    <row r="27" spans="1:34" ht="11.25">
      <c r="A27" s="6" t="s">
        <v>57</v>
      </c>
      <c r="B27" s="7"/>
      <c r="C27" s="7"/>
      <c r="D27" s="13">
        <v>116.8</v>
      </c>
      <c r="E27" s="13">
        <f>333-D27</f>
        <v>216.2</v>
      </c>
      <c r="F27" s="18">
        <v>903.1</v>
      </c>
      <c r="G27" s="13">
        <v>19.5</v>
      </c>
      <c r="H27" s="13">
        <v>108.5</v>
      </c>
      <c r="I27" s="7"/>
      <c r="J27" s="7"/>
      <c r="K27" s="13">
        <v>113.6</v>
      </c>
      <c r="L27" s="13">
        <v>7040</v>
      </c>
      <c r="M27" s="7"/>
      <c r="N27" s="13">
        <v>49.8</v>
      </c>
      <c r="O27" s="7"/>
      <c r="P27" s="13">
        <v>117.5</v>
      </c>
      <c r="Q27" s="13">
        <v>8471.0879999999997</v>
      </c>
      <c r="R27" s="7"/>
      <c r="S27" s="13">
        <v>18.5</v>
      </c>
      <c r="T27" s="7"/>
      <c r="U27" s="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11.25">
      <c r="A28" s="6" t="s">
        <v>58</v>
      </c>
      <c r="B28" s="7"/>
      <c r="C28" s="7"/>
      <c r="D28" s="13">
        <v>131.4</v>
      </c>
      <c r="E28" s="13">
        <f>378.5-D28</f>
        <v>247.1</v>
      </c>
      <c r="F28" s="18">
        <v>1136</v>
      </c>
      <c r="G28" s="13">
        <v>17</v>
      </c>
      <c r="H28" s="13">
        <v>58.3</v>
      </c>
      <c r="I28" s="7"/>
      <c r="J28" s="7"/>
      <c r="K28" s="13">
        <v>88</v>
      </c>
      <c r="L28" s="13">
        <v>6700</v>
      </c>
      <c r="M28" s="7"/>
      <c r="N28" s="13">
        <v>74</v>
      </c>
      <c r="O28" s="7"/>
      <c r="P28" s="13">
        <v>96.5</v>
      </c>
      <c r="Q28" s="13">
        <v>9282.6720000000005</v>
      </c>
      <c r="R28" s="7"/>
      <c r="S28" s="13">
        <v>19.5</v>
      </c>
      <c r="T28" s="7"/>
      <c r="U28" s="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t="11.25">
      <c r="A29" s="6" t="s">
        <v>59</v>
      </c>
      <c r="B29" s="7"/>
      <c r="C29" s="7"/>
      <c r="D29" s="13">
        <v>93</v>
      </c>
      <c r="E29" s="13">
        <f>291.4-D29</f>
        <v>198.39999999999998</v>
      </c>
      <c r="F29" s="18">
        <v>595</v>
      </c>
      <c r="G29" s="13">
        <v>4.5</v>
      </c>
      <c r="H29" s="13">
        <v>57.3</v>
      </c>
      <c r="I29" s="7"/>
      <c r="J29" s="7"/>
      <c r="K29" s="13">
        <v>68.900000000000006</v>
      </c>
      <c r="L29" s="13">
        <v>6965</v>
      </c>
      <c r="M29" s="7"/>
      <c r="N29" s="13">
        <v>57.8</v>
      </c>
      <c r="O29" s="7"/>
      <c r="P29" s="13">
        <v>128.5</v>
      </c>
      <c r="Q29" s="13">
        <v>7660.8959999999997</v>
      </c>
      <c r="R29" s="7"/>
      <c r="S29" s="13">
        <v>4</v>
      </c>
      <c r="T29" s="7"/>
      <c r="U29" s="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1.25">
      <c r="A30" s="9">
        <v>2020</v>
      </c>
      <c r="B30" s="7"/>
      <c r="C30" s="7"/>
      <c r="D30" s="13"/>
      <c r="E30" s="13"/>
      <c r="F30" s="18"/>
      <c r="G30" s="13"/>
      <c r="H30" s="13"/>
      <c r="I30" s="7"/>
      <c r="J30" s="7"/>
      <c r="K30" s="13"/>
      <c r="L30" s="13"/>
      <c r="M30" s="7"/>
      <c r="N30" s="13"/>
      <c r="O30" s="7"/>
      <c r="P30" s="13"/>
      <c r="Q30" s="13"/>
      <c r="R30" s="7"/>
      <c r="S30" s="13"/>
      <c r="T30" s="7"/>
      <c r="U30" s="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t="11.25">
      <c r="A31" s="6" t="s">
        <v>48</v>
      </c>
      <c r="B31" s="7"/>
      <c r="C31" s="7"/>
      <c r="D31" s="13">
        <v>86.7</v>
      </c>
      <c r="E31" s="13">
        <f>328.3-D31</f>
        <v>241.60000000000002</v>
      </c>
      <c r="F31" s="18">
        <v>554.20000000000005</v>
      </c>
      <c r="G31" s="13">
        <v>5.5</v>
      </c>
      <c r="H31" s="13">
        <v>79.8</v>
      </c>
      <c r="I31" s="7"/>
      <c r="J31" s="7"/>
      <c r="K31" s="13">
        <v>91.7</v>
      </c>
      <c r="L31" s="13">
        <v>4765</v>
      </c>
      <c r="M31" s="7"/>
      <c r="N31" s="13">
        <v>71.099999999999994</v>
      </c>
      <c r="O31" s="7"/>
      <c r="P31" s="13">
        <v>96.2</v>
      </c>
      <c r="Q31" s="13">
        <v>4574.25</v>
      </c>
      <c r="R31" s="13"/>
      <c r="S31" s="13"/>
      <c r="T31" s="13"/>
      <c r="U31" s="7"/>
      <c r="V31" s="6"/>
      <c r="W31" s="6"/>
      <c r="X31" s="6"/>
      <c r="Y31" s="6"/>
      <c r="Z31" s="6">
        <v>25</v>
      </c>
      <c r="AA31" s="6"/>
      <c r="AB31" s="6"/>
      <c r="AC31" s="6"/>
      <c r="AD31" s="6"/>
      <c r="AE31" s="6"/>
      <c r="AF31" s="6"/>
      <c r="AG31" s="6"/>
      <c r="AH31" s="6"/>
    </row>
    <row r="32" spans="1:34" ht="11.25">
      <c r="A32" s="6" t="s">
        <v>49</v>
      </c>
      <c r="B32" s="7"/>
      <c r="C32" s="7"/>
      <c r="D32" s="13">
        <v>105.2</v>
      </c>
      <c r="E32" s="13">
        <f>280.7-D32</f>
        <v>175.5</v>
      </c>
      <c r="F32" s="18">
        <v>312.7</v>
      </c>
      <c r="G32" s="13" t="s">
        <v>60</v>
      </c>
      <c r="H32" s="13">
        <v>75.7</v>
      </c>
      <c r="I32" s="7"/>
      <c r="J32" s="7"/>
      <c r="K32" s="13">
        <v>49.5</v>
      </c>
      <c r="L32" s="13">
        <v>3975</v>
      </c>
      <c r="M32" s="7"/>
      <c r="N32" s="13">
        <v>95.9</v>
      </c>
      <c r="O32" s="7"/>
      <c r="P32" s="13">
        <v>83.1</v>
      </c>
      <c r="Q32" s="13">
        <v>3719.25</v>
      </c>
      <c r="R32" s="13"/>
      <c r="S32" s="13"/>
      <c r="T32" s="13"/>
      <c r="U32" s="7"/>
      <c r="V32" s="6"/>
      <c r="W32" s="6"/>
      <c r="X32" s="6"/>
      <c r="Y32" s="6"/>
      <c r="Z32" s="6">
        <v>25</v>
      </c>
      <c r="AA32" s="6"/>
      <c r="AB32" s="6"/>
      <c r="AC32" s="6"/>
      <c r="AD32" s="6"/>
      <c r="AE32" s="6"/>
      <c r="AF32" s="6"/>
      <c r="AG32" s="6"/>
      <c r="AH32" s="6"/>
    </row>
    <row r="33" spans="1:34" ht="11.25">
      <c r="A33" s="6" t="s">
        <v>50</v>
      </c>
      <c r="B33" s="7"/>
      <c r="C33" s="7"/>
      <c r="D33" s="13">
        <v>16</v>
      </c>
      <c r="E33" s="13">
        <f>136.4-D33</f>
        <v>120.4</v>
      </c>
      <c r="F33" s="18">
        <v>178.9</v>
      </c>
      <c r="G33" s="13" t="s">
        <v>60</v>
      </c>
      <c r="H33" s="13">
        <v>59.4</v>
      </c>
      <c r="I33" s="7"/>
      <c r="J33" s="7"/>
      <c r="K33" s="13">
        <v>64.400000000000006</v>
      </c>
      <c r="L33" s="13">
        <v>965</v>
      </c>
      <c r="M33" s="7"/>
      <c r="N33" s="13">
        <v>70</v>
      </c>
      <c r="O33" s="7"/>
      <c r="P33" s="13">
        <v>54.5</v>
      </c>
      <c r="Q33" s="13">
        <v>2297.2425000000003</v>
      </c>
      <c r="R33" s="13"/>
      <c r="S33" s="13"/>
      <c r="T33" s="13"/>
      <c r="U33" s="7"/>
      <c r="V33" s="6"/>
      <c r="W33" s="6"/>
      <c r="X33" s="6"/>
      <c r="Y33" s="6"/>
      <c r="Z33" s="6">
        <v>25</v>
      </c>
      <c r="AA33" s="6"/>
      <c r="AB33" s="6"/>
      <c r="AC33" s="6"/>
      <c r="AD33" s="6"/>
      <c r="AE33" s="6"/>
      <c r="AF33" s="6"/>
      <c r="AG33" s="6"/>
      <c r="AH33" s="6"/>
    </row>
    <row r="34" spans="1:34" ht="11.25">
      <c r="A34" s="6" t="s">
        <v>51</v>
      </c>
      <c r="B34" s="7"/>
      <c r="C34" s="7"/>
      <c r="D34" s="13"/>
      <c r="E34" s="13"/>
      <c r="F34" s="18"/>
      <c r="G34" s="13"/>
      <c r="H34" s="13"/>
      <c r="I34" s="7"/>
      <c r="J34" s="7"/>
      <c r="K34" s="13"/>
      <c r="L34" s="13"/>
      <c r="M34" s="7"/>
      <c r="N34" s="13"/>
      <c r="O34" s="7"/>
      <c r="P34" s="13"/>
      <c r="Q34" s="13">
        <v>2303</v>
      </c>
      <c r="R34" s="13"/>
      <c r="S34" s="13"/>
      <c r="T34" s="13"/>
      <c r="U34" s="7"/>
      <c r="V34" s="6"/>
      <c r="W34" s="6"/>
      <c r="X34" s="6">
        <v>50</v>
      </c>
      <c r="Y34" s="6"/>
      <c r="Z34" s="6">
        <v>9</v>
      </c>
      <c r="AA34" s="6">
        <v>20</v>
      </c>
      <c r="AB34" s="6"/>
      <c r="AC34" s="6"/>
      <c r="AD34" s="6"/>
      <c r="AE34" s="6"/>
      <c r="AF34" s="6"/>
      <c r="AG34" s="6"/>
      <c r="AH34" s="6"/>
    </row>
    <row r="35" spans="1:34" ht="11.25">
      <c r="A35" s="6" t="s">
        <v>52</v>
      </c>
      <c r="B35" s="7"/>
      <c r="C35" s="7"/>
      <c r="D35" s="13"/>
      <c r="E35" s="13"/>
      <c r="F35" s="18"/>
      <c r="G35" s="13"/>
      <c r="H35" s="13"/>
      <c r="I35" s="7"/>
      <c r="J35" s="7"/>
      <c r="K35" s="13"/>
      <c r="L35" s="13"/>
      <c r="M35" s="7"/>
      <c r="N35" s="13"/>
      <c r="O35" s="7"/>
      <c r="P35" s="13"/>
      <c r="Q35" s="13">
        <v>3606</v>
      </c>
      <c r="R35" s="13"/>
      <c r="S35" s="13"/>
      <c r="T35" s="13"/>
      <c r="U35" s="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t="11.25">
      <c r="A36" s="6" t="s">
        <v>53</v>
      </c>
      <c r="B36" s="7"/>
      <c r="C36" s="7"/>
      <c r="D36" s="13"/>
      <c r="E36" s="13"/>
      <c r="F36" s="18"/>
      <c r="G36" s="13"/>
      <c r="H36" s="13"/>
      <c r="I36" s="7"/>
      <c r="J36" s="7"/>
      <c r="K36" s="13"/>
      <c r="L36" s="13"/>
      <c r="M36" s="7"/>
      <c r="N36" s="13"/>
      <c r="O36" s="7"/>
      <c r="P36" s="13"/>
      <c r="Q36" s="13">
        <v>2986</v>
      </c>
      <c r="R36" s="13"/>
      <c r="S36" s="13"/>
      <c r="T36" s="13"/>
      <c r="U36" s="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t="11.25">
      <c r="A37" s="6" t="s">
        <v>54</v>
      </c>
      <c r="B37" s="7"/>
      <c r="C37" s="7"/>
      <c r="D37" s="13"/>
      <c r="E37" s="13"/>
      <c r="F37" s="18"/>
      <c r="G37" s="13"/>
      <c r="H37" s="13"/>
      <c r="I37" s="7"/>
      <c r="J37" s="7"/>
      <c r="K37" s="13"/>
      <c r="L37" s="13"/>
      <c r="M37" s="7"/>
      <c r="N37" s="13"/>
      <c r="O37" s="7"/>
      <c r="P37" s="13"/>
      <c r="Q37" s="13">
        <v>5034</v>
      </c>
      <c r="R37" s="13"/>
      <c r="S37" s="13"/>
      <c r="T37" s="13"/>
      <c r="U37" s="7"/>
      <c r="V37" s="6"/>
      <c r="W37" s="6"/>
      <c r="X37" s="6"/>
      <c r="Y37" s="6"/>
      <c r="Z37" s="6">
        <v>25</v>
      </c>
      <c r="AA37" s="6"/>
      <c r="AB37" s="6"/>
      <c r="AC37" s="6"/>
      <c r="AD37" s="6"/>
      <c r="AE37" s="6"/>
      <c r="AF37" s="6"/>
      <c r="AG37" s="6"/>
      <c r="AH37" s="6"/>
    </row>
    <row r="38" spans="1:34" ht="11.25">
      <c r="A38" s="6" t="s">
        <v>55</v>
      </c>
      <c r="B38" s="7"/>
      <c r="C38" s="7"/>
      <c r="D38" s="13">
        <v>36.1</v>
      </c>
      <c r="E38" s="13">
        <f>128.2-D38</f>
        <v>92.1</v>
      </c>
      <c r="F38" s="18">
        <v>139.1</v>
      </c>
      <c r="G38" s="13" t="s">
        <v>60</v>
      </c>
      <c r="H38" s="13">
        <v>39.1</v>
      </c>
      <c r="I38" s="7"/>
      <c r="J38" s="7"/>
      <c r="K38" s="13">
        <v>34.5</v>
      </c>
      <c r="L38" s="13"/>
      <c r="M38" s="7"/>
      <c r="N38" s="13"/>
      <c r="O38" s="7"/>
      <c r="P38" s="13"/>
      <c r="Q38" s="13">
        <v>5141</v>
      </c>
      <c r="R38" s="13"/>
      <c r="S38" s="13"/>
      <c r="T38" s="13"/>
      <c r="U38" s="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t="11.25">
      <c r="A39" s="6" t="s">
        <v>56</v>
      </c>
      <c r="B39" s="7"/>
      <c r="C39" s="7"/>
      <c r="D39" s="13">
        <v>54.1</v>
      </c>
      <c r="E39" s="13">
        <f>142.9-D39</f>
        <v>88.800000000000011</v>
      </c>
      <c r="F39" s="18">
        <v>108.6</v>
      </c>
      <c r="G39" s="13"/>
      <c r="H39" s="13">
        <v>30.4</v>
      </c>
      <c r="I39" s="7"/>
      <c r="J39" s="7"/>
      <c r="K39" s="13">
        <v>37.799999999999997</v>
      </c>
      <c r="L39" s="13"/>
      <c r="M39" s="7"/>
      <c r="N39" s="13"/>
      <c r="O39" s="7"/>
      <c r="P39" s="13"/>
      <c r="Q39" s="13">
        <v>4091</v>
      </c>
      <c r="R39" s="13"/>
      <c r="S39" s="13"/>
      <c r="T39" s="13"/>
      <c r="U39" s="7"/>
      <c r="V39" s="6"/>
      <c r="W39" s="6"/>
      <c r="X39" s="6"/>
      <c r="Y39" s="6"/>
      <c r="Z39" s="6">
        <v>25</v>
      </c>
      <c r="AA39" s="6"/>
      <c r="AB39" s="6"/>
      <c r="AC39" s="6"/>
      <c r="AD39" s="6"/>
      <c r="AE39" s="6"/>
      <c r="AF39" s="6"/>
      <c r="AG39" s="6"/>
      <c r="AH39" s="6"/>
    </row>
    <row r="40" spans="1:34" ht="11.25">
      <c r="A40" s="6" t="s">
        <v>57</v>
      </c>
      <c r="B40" s="7"/>
      <c r="C40" s="7"/>
      <c r="D40" s="13">
        <v>66</v>
      </c>
      <c r="E40" s="13">
        <f>208.1-D40</f>
        <v>142.1</v>
      </c>
      <c r="F40" s="18">
        <v>128</v>
      </c>
      <c r="G40" s="13">
        <v>3</v>
      </c>
      <c r="H40" s="13">
        <v>36.5</v>
      </c>
      <c r="I40" s="7"/>
      <c r="J40" s="7"/>
      <c r="K40" s="13">
        <v>45.1</v>
      </c>
      <c r="L40" s="13">
        <v>2021</v>
      </c>
      <c r="M40" s="7"/>
      <c r="N40" s="13">
        <v>47.9</v>
      </c>
      <c r="O40" s="7"/>
      <c r="P40" s="13">
        <v>70.400000000000006</v>
      </c>
      <c r="Q40" s="13">
        <v>5588.5649999999996</v>
      </c>
      <c r="R40" s="13"/>
      <c r="S40" s="13"/>
      <c r="T40" s="13"/>
      <c r="U40" s="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t="11.25">
      <c r="A41" s="6" t="s">
        <v>58</v>
      </c>
      <c r="B41" s="7"/>
      <c r="C41" s="7"/>
      <c r="D41" s="13">
        <v>68</v>
      </c>
      <c r="E41" s="13">
        <f>198.1-D41</f>
        <v>130.1</v>
      </c>
      <c r="F41" s="18">
        <v>118</v>
      </c>
      <c r="G41" s="13">
        <v>3</v>
      </c>
      <c r="H41" s="13">
        <v>24</v>
      </c>
      <c r="I41" s="7"/>
      <c r="J41" s="7"/>
      <c r="K41" s="13">
        <v>34.4</v>
      </c>
      <c r="L41" s="13">
        <v>1777</v>
      </c>
      <c r="M41" s="7"/>
      <c r="N41" s="13">
        <v>36</v>
      </c>
      <c r="O41" s="7"/>
      <c r="P41" s="13">
        <v>61.7</v>
      </c>
      <c r="Q41" s="13">
        <v>6123.9850000000006</v>
      </c>
      <c r="R41" s="13"/>
      <c r="S41" s="13"/>
      <c r="T41" s="13"/>
      <c r="U41" s="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t="11.25">
      <c r="A42" s="6" t="s">
        <v>59</v>
      </c>
      <c r="B42" s="7"/>
      <c r="C42" s="7"/>
      <c r="D42" s="13">
        <v>59.9</v>
      </c>
      <c r="E42" s="13">
        <f>210.8-D42</f>
        <v>150.9</v>
      </c>
      <c r="F42" s="18">
        <v>129</v>
      </c>
      <c r="G42" s="13">
        <v>5</v>
      </c>
      <c r="H42" s="13">
        <v>25</v>
      </c>
      <c r="I42" s="7"/>
      <c r="J42" s="7"/>
      <c r="K42" s="13">
        <v>32.700000000000003</v>
      </c>
      <c r="L42" s="13">
        <v>1820</v>
      </c>
      <c r="M42" s="7"/>
      <c r="N42" s="13">
        <v>19.2</v>
      </c>
      <c r="O42" s="7"/>
      <c r="P42" s="13">
        <v>80.3</v>
      </c>
      <c r="Q42" s="13">
        <v>7033.23</v>
      </c>
      <c r="R42" s="13"/>
      <c r="S42" s="13"/>
      <c r="T42" s="13"/>
      <c r="U42" s="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t="11.25">
      <c r="A43" s="9">
        <v>2021</v>
      </c>
      <c r="B43" s="7"/>
      <c r="C43" s="7"/>
      <c r="D43" s="13"/>
      <c r="E43" s="13"/>
      <c r="F43" s="18"/>
      <c r="G43" s="13"/>
      <c r="H43" s="13"/>
      <c r="I43" s="7"/>
      <c r="J43" s="7"/>
      <c r="K43" s="13"/>
      <c r="L43" s="13"/>
      <c r="M43" s="7"/>
      <c r="N43" s="13"/>
      <c r="O43" s="7"/>
      <c r="P43" s="13"/>
      <c r="Q43" s="13"/>
      <c r="R43" s="7"/>
      <c r="S43" s="13"/>
      <c r="T43" s="7"/>
      <c r="U43" s="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t="11.25">
      <c r="A44" s="6" t="s">
        <v>48</v>
      </c>
      <c r="B44" s="7"/>
      <c r="C44" s="7"/>
      <c r="D44" s="13">
        <v>37.4</v>
      </c>
      <c r="E44" s="13">
        <f>100.9-D44</f>
        <v>63.500000000000007</v>
      </c>
      <c r="F44" s="18">
        <v>76.099999999999994</v>
      </c>
      <c r="G44" s="13">
        <v>1.5</v>
      </c>
      <c r="H44" s="13">
        <v>25.9</v>
      </c>
      <c r="I44" s="7"/>
      <c r="J44" s="7"/>
      <c r="K44" s="13">
        <v>30.8</v>
      </c>
      <c r="L44" s="13">
        <v>814</v>
      </c>
      <c r="M44" s="7"/>
      <c r="N44" s="13">
        <v>35.9</v>
      </c>
      <c r="O44" s="7"/>
      <c r="P44" s="13">
        <v>40.299999999999997</v>
      </c>
      <c r="Q44" s="13">
        <v>4815</v>
      </c>
      <c r="R44" s="7"/>
      <c r="S44" s="13"/>
      <c r="T44" s="7"/>
      <c r="U44" s="7"/>
      <c r="V44" s="6"/>
      <c r="W44" s="6"/>
      <c r="X44" s="6"/>
      <c r="Y44" s="6"/>
      <c r="Z44" s="6">
        <v>25</v>
      </c>
      <c r="AA44" s="6"/>
      <c r="AB44" s="6"/>
      <c r="AC44" s="6"/>
      <c r="AD44" s="6"/>
      <c r="AE44" s="6"/>
      <c r="AF44" s="6"/>
      <c r="AG44" s="6"/>
      <c r="AH44" s="6"/>
    </row>
    <row r="45" spans="1:34" ht="11.25">
      <c r="A45" s="6" t="s">
        <v>49</v>
      </c>
      <c r="B45" s="7"/>
      <c r="C45" s="7"/>
      <c r="D45" s="13">
        <v>46.7</v>
      </c>
      <c r="E45" s="13">
        <f>123.8-D45</f>
        <v>77.099999999999994</v>
      </c>
      <c r="F45" s="18">
        <v>74.2</v>
      </c>
      <c r="G45" s="13">
        <v>2</v>
      </c>
      <c r="H45" s="13">
        <v>27.2</v>
      </c>
      <c r="I45" s="7"/>
      <c r="J45" s="7"/>
      <c r="K45" s="13">
        <v>24</v>
      </c>
      <c r="L45" s="13">
        <v>838.5</v>
      </c>
      <c r="M45" s="7"/>
      <c r="N45" s="13">
        <v>31.8</v>
      </c>
      <c r="O45" s="7"/>
      <c r="P45" s="13">
        <v>42.1</v>
      </c>
      <c r="Q45" s="13">
        <v>3915</v>
      </c>
      <c r="R45" s="7"/>
      <c r="S45" s="13"/>
      <c r="T45" s="7"/>
      <c r="U45" s="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t="11.25">
      <c r="A46" s="6" t="s">
        <v>50</v>
      </c>
      <c r="B46" s="7"/>
      <c r="C46" s="7"/>
      <c r="D46" s="13">
        <v>42.7</v>
      </c>
      <c r="E46" s="13">
        <f>148.1-D46</f>
        <v>105.39999999999999</v>
      </c>
      <c r="F46" s="18">
        <v>101.7</v>
      </c>
      <c r="G46" s="13">
        <v>3</v>
      </c>
      <c r="H46" s="13">
        <v>27.7</v>
      </c>
      <c r="I46" s="7"/>
      <c r="J46" s="7"/>
      <c r="K46" s="13">
        <v>38.1</v>
      </c>
      <c r="L46" s="13">
        <v>2495</v>
      </c>
      <c r="M46" s="7"/>
      <c r="N46" s="13">
        <v>54.6</v>
      </c>
      <c r="O46" s="7"/>
      <c r="P46" s="13">
        <v>79.900000000000006</v>
      </c>
      <c r="Q46" s="13">
        <f>2303+5%*2303</f>
        <v>2418.15</v>
      </c>
      <c r="R46" s="7"/>
      <c r="S46" s="13"/>
      <c r="T46" s="7"/>
      <c r="U46" s="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t="11.25">
      <c r="A47" s="6" t="s">
        <v>51</v>
      </c>
      <c r="B47" s="7"/>
      <c r="C47" s="7"/>
      <c r="D47" s="13">
        <v>39.299999999999997</v>
      </c>
      <c r="E47" s="13">
        <f>109.8-D47</f>
        <v>70.5</v>
      </c>
      <c r="F47" s="18">
        <v>67.900000000000006</v>
      </c>
      <c r="G47" s="13">
        <v>1.5</v>
      </c>
      <c r="H47" s="13">
        <v>6.9</v>
      </c>
      <c r="I47" s="7"/>
      <c r="J47" s="7"/>
      <c r="K47" s="13">
        <v>15.4</v>
      </c>
      <c r="L47" s="13">
        <v>1518</v>
      </c>
      <c r="M47" s="7"/>
      <c r="N47" s="13">
        <v>25.4</v>
      </c>
      <c r="O47" s="7"/>
      <c r="P47" s="13">
        <v>66.099999999999994</v>
      </c>
      <c r="Q47" s="13">
        <v>3606</v>
      </c>
      <c r="R47" s="7"/>
      <c r="S47" s="13"/>
      <c r="T47" s="7"/>
      <c r="U47" s="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t="11.25">
      <c r="A48" s="6" t="s">
        <v>52</v>
      </c>
      <c r="B48" s="7"/>
      <c r="C48" s="7"/>
      <c r="D48" s="13">
        <v>29.7</v>
      </c>
      <c r="E48" s="13">
        <f>112.7-D48</f>
        <v>83</v>
      </c>
      <c r="F48" s="18">
        <v>75.900000000000006</v>
      </c>
      <c r="G48" s="13">
        <v>2</v>
      </c>
      <c r="H48" s="13">
        <v>31</v>
      </c>
      <c r="I48" s="7"/>
      <c r="J48" s="7"/>
      <c r="K48" s="13">
        <v>27.4</v>
      </c>
      <c r="L48" s="13">
        <v>1058</v>
      </c>
      <c r="M48" s="7"/>
      <c r="N48" s="13">
        <v>33.299999999999997</v>
      </c>
      <c r="O48" s="7"/>
      <c r="P48" s="13">
        <v>54.1</v>
      </c>
      <c r="Q48" s="13">
        <v>2986</v>
      </c>
      <c r="R48" s="7"/>
      <c r="S48" s="13"/>
      <c r="T48" s="7"/>
      <c r="U48" s="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t="11.25">
      <c r="A49" s="6" t="s">
        <v>53</v>
      </c>
      <c r="B49" s="7"/>
      <c r="C49" s="7"/>
      <c r="D49" s="13">
        <v>45.7</v>
      </c>
      <c r="E49" s="13">
        <f>142.6-D49</f>
        <v>96.899999999999991</v>
      </c>
      <c r="F49" s="18">
        <v>102.7</v>
      </c>
      <c r="G49" s="13">
        <v>2</v>
      </c>
      <c r="H49" s="13">
        <v>35.5</v>
      </c>
      <c r="I49" s="7"/>
      <c r="J49" s="7"/>
      <c r="K49" s="13">
        <v>56.8</v>
      </c>
      <c r="L49" s="13">
        <v>1994</v>
      </c>
      <c r="M49" s="7"/>
      <c r="N49" s="13">
        <v>81.3</v>
      </c>
      <c r="O49" s="7"/>
      <c r="P49" s="13">
        <v>83.7</v>
      </c>
      <c r="Q49" s="13">
        <v>5034</v>
      </c>
      <c r="R49" s="7"/>
      <c r="S49" s="13"/>
      <c r="T49" s="7"/>
      <c r="U49" s="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t="11.25">
      <c r="A50" s="6" t="s">
        <v>54</v>
      </c>
      <c r="B50" s="7"/>
      <c r="C50" s="7"/>
      <c r="D50" s="13">
        <v>36.9</v>
      </c>
      <c r="E50" s="13">
        <v>50.3</v>
      </c>
      <c r="F50" s="18">
        <v>72</v>
      </c>
      <c r="G50" s="13">
        <v>1</v>
      </c>
      <c r="H50" s="13">
        <v>6.6</v>
      </c>
      <c r="I50" s="7"/>
      <c r="J50" s="7"/>
      <c r="K50" s="13">
        <v>47.2</v>
      </c>
      <c r="L50" s="13">
        <v>1363</v>
      </c>
      <c r="M50" s="7"/>
      <c r="N50" s="13">
        <v>28.1</v>
      </c>
      <c r="O50" s="7"/>
      <c r="P50" s="13">
        <v>49.7</v>
      </c>
      <c r="Q50" s="13">
        <v>5141</v>
      </c>
      <c r="R50" s="7"/>
      <c r="S50" s="13"/>
      <c r="T50" s="7"/>
      <c r="U50" s="7"/>
      <c r="V50" s="6"/>
      <c r="W50" s="6"/>
      <c r="X50" s="6"/>
      <c r="Y50" s="6">
        <v>8</v>
      </c>
      <c r="Z50" s="6">
        <f>38+71</f>
        <v>109</v>
      </c>
      <c r="AA50" s="6">
        <v>16</v>
      </c>
      <c r="AB50" s="6"/>
      <c r="AC50" s="6"/>
      <c r="AD50" s="6"/>
      <c r="AE50" s="6"/>
      <c r="AF50" s="6"/>
      <c r="AG50" s="6"/>
      <c r="AH50" s="6"/>
    </row>
    <row r="51" spans="1:34" ht="11.25">
      <c r="A51" s="6" t="s">
        <v>55</v>
      </c>
      <c r="B51" s="7"/>
      <c r="C51" s="7"/>
      <c r="D51" s="13">
        <v>68.5</v>
      </c>
      <c r="E51" s="13">
        <v>66.3</v>
      </c>
      <c r="F51" s="18">
        <v>115.1</v>
      </c>
      <c r="G51" s="13">
        <v>2.5</v>
      </c>
      <c r="H51" s="13">
        <v>40.4</v>
      </c>
      <c r="I51" s="7"/>
      <c r="J51" s="7"/>
      <c r="K51" s="13">
        <v>48.8</v>
      </c>
      <c r="L51" s="13">
        <v>1937</v>
      </c>
      <c r="M51" s="7"/>
      <c r="N51" s="13">
        <v>34.5</v>
      </c>
      <c r="O51" s="7"/>
      <c r="P51" s="13">
        <v>84.6</v>
      </c>
      <c r="Q51" s="13">
        <v>4815</v>
      </c>
      <c r="R51" s="7"/>
      <c r="S51" s="13"/>
      <c r="T51" s="7"/>
      <c r="U51" s="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t="11.25">
      <c r="A52" s="6" t="s">
        <v>56</v>
      </c>
      <c r="B52" s="7"/>
      <c r="C52" s="7"/>
      <c r="D52" s="13">
        <v>41.4</v>
      </c>
      <c r="E52" s="13">
        <v>37.9</v>
      </c>
      <c r="F52" s="18">
        <v>55</v>
      </c>
      <c r="G52" s="13">
        <v>1.5</v>
      </c>
      <c r="H52" s="13">
        <v>28.1</v>
      </c>
      <c r="I52" s="7"/>
      <c r="J52" s="7"/>
      <c r="K52" s="13">
        <v>31.5</v>
      </c>
      <c r="L52" s="13">
        <v>1289</v>
      </c>
      <c r="M52" s="7"/>
      <c r="N52" s="13">
        <v>35.4</v>
      </c>
      <c r="O52" s="7"/>
      <c r="P52" s="13">
        <v>49.2</v>
      </c>
      <c r="Q52" s="13">
        <v>4884</v>
      </c>
      <c r="R52" s="7"/>
      <c r="S52" s="13"/>
      <c r="T52" s="7"/>
      <c r="U52" s="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t="11.25">
      <c r="A53" s="6" t="s">
        <v>57</v>
      </c>
      <c r="B53" s="7"/>
      <c r="C53" s="7"/>
      <c r="D53" s="13">
        <v>39</v>
      </c>
      <c r="E53" s="13">
        <f>123.3-D53</f>
        <v>84.3</v>
      </c>
      <c r="F53" s="18">
        <v>54.5</v>
      </c>
      <c r="G53" s="13">
        <v>2</v>
      </c>
      <c r="H53" s="13">
        <v>26.7</v>
      </c>
      <c r="I53" s="7"/>
      <c r="J53" s="7"/>
      <c r="K53" s="13">
        <v>31.8</v>
      </c>
      <c r="L53" s="13">
        <v>2200</v>
      </c>
      <c r="M53" s="7"/>
      <c r="N53" s="13">
        <v>30.6</v>
      </c>
      <c r="O53" s="7"/>
      <c r="P53" s="13">
        <v>72.900000000000006</v>
      </c>
      <c r="Q53" s="13">
        <v>5882.7</v>
      </c>
      <c r="R53" s="7"/>
      <c r="S53" s="13"/>
      <c r="T53" s="7"/>
      <c r="U53" s="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t="11.25">
      <c r="A54" s="6" t="s">
        <v>58</v>
      </c>
      <c r="B54" s="7"/>
      <c r="C54" s="7"/>
      <c r="D54" s="13">
        <v>48.1</v>
      </c>
      <c r="E54" s="13">
        <f>195.2-D54</f>
        <v>147.1</v>
      </c>
      <c r="F54" s="18">
        <v>88</v>
      </c>
      <c r="G54" s="13">
        <v>2</v>
      </c>
      <c r="H54" s="13">
        <v>32.799999999999997</v>
      </c>
      <c r="I54" s="7"/>
      <c r="J54" s="7"/>
      <c r="K54" s="13">
        <v>51.2</v>
      </c>
      <c r="L54" s="13">
        <v>2103</v>
      </c>
      <c r="M54" s="7"/>
      <c r="N54" s="13">
        <v>65.3</v>
      </c>
      <c r="O54" s="7"/>
      <c r="P54" s="13">
        <v>101.9</v>
      </c>
      <c r="Q54" s="13">
        <v>6446.3</v>
      </c>
      <c r="R54" s="7"/>
      <c r="S54" s="13"/>
      <c r="T54" s="7"/>
      <c r="U54" s="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t="11.25">
      <c r="A55" s="35" t="s">
        <v>59</v>
      </c>
      <c r="B55" s="36"/>
      <c r="C55" s="36"/>
      <c r="D55" s="37">
        <v>47.6</v>
      </c>
      <c r="E55" s="37">
        <f>170.3-D55</f>
        <v>122.70000000000002</v>
      </c>
      <c r="F55" s="38">
        <v>227</v>
      </c>
      <c r="G55" s="37">
        <v>5.5</v>
      </c>
      <c r="H55" s="37">
        <v>45.1</v>
      </c>
      <c r="I55" s="36"/>
      <c r="J55" s="36"/>
      <c r="K55" s="37">
        <v>54.1</v>
      </c>
      <c r="L55" s="37">
        <v>5785</v>
      </c>
      <c r="M55" s="36"/>
      <c r="N55" s="37">
        <v>67.099999999999994</v>
      </c>
      <c r="O55" s="36"/>
      <c r="P55" s="37">
        <v>55.9</v>
      </c>
      <c r="Q55" s="37">
        <v>7403.4</v>
      </c>
      <c r="R55" s="36"/>
      <c r="S55" s="37"/>
      <c r="T55" s="36"/>
      <c r="U55" s="36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</row>
    <row r="56" spans="1:34" ht="11.25">
      <c r="A56" s="30">
        <v>2022</v>
      </c>
      <c r="B56" s="31"/>
      <c r="C56" s="31"/>
      <c r="D56" s="32"/>
      <c r="E56" s="32"/>
      <c r="F56" s="33"/>
      <c r="G56" s="32"/>
      <c r="H56" s="32"/>
      <c r="I56" s="31"/>
      <c r="J56" s="31"/>
      <c r="K56" s="32"/>
      <c r="L56" s="32"/>
      <c r="M56" s="31"/>
      <c r="N56" s="32"/>
      <c r="O56" s="31"/>
      <c r="P56" s="32"/>
      <c r="Q56" s="32"/>
      <c r="R56" s="31"/>
      <c r="S56" s="32"/>
      <c r="T56" s="31"/>
      <c r="U56" s="31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spans="1:34">
      <c r="A57" s="34" t="s">
        <v>48</v>
      </c>
      <c r="B57" s="31"/>
      <c r="C57" s="31"/>
      <c r="D57" s="32"/>
      <c r="E57" s="32"/>
      <c r="F57" s="33"/>
      <c r="G57" s="32"/>
      <c r="H57" s="32"/>
      <c r="I57" s="31"/>
      <c r="J57" s="31"/>
      <c r="K57" s="32"/>
      <c r="L57" s="32"/>
      <c r="M57" s="31"/>
      <c r="N57" s="32"/>
      <c r="O57" s="31"/>
      <c r="P57" s="32"/>
      <c r="Q57" s="32"/>
      <c r="R57" s="31"/>
      <c r="S57" s="32"/>
      <c r="T57" s="31"/>
      <c r="U57" s="31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spans="1:34" ht="11.25">
      <c r="A58" s="34" t="s">
        <v>49</v>
      </c>
      <c r="B58" s="31"/>
      <c r="C58" s="31"/>
      <c r="D58" s="32"/>
      <c r="E58" s="32"/>
      <c r="F58" s="33"/>
      <c r="G58" s="32"/>
      <c r="H58" s="32"/>
      <c r="I58" s="31"/>
      <c r="J58" s="31"/>
      <c r="K58" s="32"/>
      <c r="L58" s="32"/>
      <c r="M58" s="31"/>
      <c r="N58" s="32"/>
      <c r="O58" s="31"/>
      <c r="P58" s="32"/>
      <c r="Q58" s="32"/>
      <c r="R58" s="31"/>
      <c r="S58" s="32"/>
      <c r="T58" s="31">
        <v>21.86</v>
      </c>
      <c r="U58" s="31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spans="1:34">
      <c r="A59" s="34" t="s">
        <v>50</v>
      </c>
      <c r="B59" s="31"/>
      <c r="C59" s="31"/>
      <c r="D59" s="32"/>
      <c r="E59" s="32"/>
      <c r="F59" s="33"/>
      <c r="G59" s="32"/>
      <c r="H59" s="32"/>
      <c r="I59" s="31"/>
      <c r="J59" s="31"/>
      <c r="K59" s="32"/>
      <c r="L59" s="32"/>
      <c r="M59" s="31"/>
      <c r="N59" s="32"/>
      <c r="O59" s="31"/>
      <c r="P59" s="32"/>
      <c r="Q59" s="32"/>
      <c r="R59" s="31"/>
      <c r="S59" s="32"/>
      <c r="T59" s="31"/>
      <c r="U59" s="31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spans="1:34">
      <c r="A60" s="34" t="s">
        <v>51</v>
      </c>
      <c r="B60" s="31"/>
      <c r="C60" s="31"/>
      <c r="D60" s="32"/>
      <c r="E60" s="32"/>
      <c r="F60" s="33"/>
      <c r="G60" s="32"/>
      <c r="H60" s="32"/>
      <c r="I60" s="31"/>
      <c r="J60" s="31"/>
      <c r="K60" s="32"/>
      <c r="L60" s="32"/>
      <c r="M60" s="31"/>
      <c r="N60" s="32"/>
      <c r="O60" s="31"/>
      <c r="P60" s="32"/>
      <c r="Q60" s="32"/>
      <c r="R60" s="31"/>
      <c r="S60" s="32"/>
      <c r="T60" s="31"/>
      <c r="U60" s="31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spans="1:34">
      <c r="A61" s="34" t="s">
        <v>52</v>
      </c>
      <c r="B61" s="31"/>
      <c r="C61" s="31"/>
      <c r="D61" s="32"/>
      <c r="E61" s="32"/>
      <c r="F61" s="33"/>
      <c r="G61" s="32"/>
      <c r="H61" s="32"/>
      <c r="I61" s="31"/>
      <c r="J61" s="31"/>
      <c r="K61" s="32"/>
      <c r="L61" s="32"/>
      <c r="M61" s="31"/>
      <c r="N61" s="32"/>
      <c r="O61" s="31"/>
      <c r="P61" s="32"/>
      <c r="Q61" s="32"/>
      <c r="R61" s="31"/>
      <c r="S61" s="32"/>
      <c r="T61" s="31"/>
      <c r="U61" s="31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spans="1:34">
      <c r="A62" s="34" t="s">
        <v>53</v>
      </c>
      <c r="B62" s="31"/>
      <c r="C62" s="31"/>
      <c r="D62" s="32"/>
      <c r="E62" s="32"/>
      <c r="F62" s="33"/>
      <c r="G62" s="32"/>
      <c r="H62" s="32"/>
      <c r="I62" s="31"/>
      <c r="J62" s="31"/>
      <c r="K62" s="32"/>
      <c r="L62" s="32"/>
      <c r="M62" s="31"/>
      <c r="N62" s="32"/>
      <c r="O62" s="31"/>
      <c r="P62" s="32"/>
      <c r="Q62" s="32"/>
      <c r="R62" s="31"/>
      <c r="S62" s="32"/>
      <c r="T62" s="31"/>
      <c r="U62" s="31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spans="1:34">
      <c r="A63" s="34" t="s">
        <v>54</v>
      </c>
      <c r="B63" s="31"/>
      <c r="C63" s="31"/>
      <c r="D63" s="32"/>
      <c r="E63" s="32"/>
      <c r="F63" s="33"/>
      <c r="G63" s="32"/>
      <c r="H63" s="32"/>
      <c r="I63" s="31"/>
      <c r="J63" s="31"/>
      <c r="K63" s="32"/>
      <c r="L63" s="32"/>
      <c r="M63" s="31"/>
      <c r="N63" s="32"/>
      <c r="O63" s="31"/>
      <c r="P63" s="32"/>
      <c r="Q63" s="32"/>
      <c r="R63" s="31"/>
      <c r="S63" s="32"/>
      <c r="T63" s="31"/>
      <c r="U63" s="31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spans="1:34">
      <c r="A64" s="34" t="s">
        <v>55</v>
      </c>
      <c r="B64" s="31"/>
      <c r="C64" s="31"/>
      <c r="D64" s="32"/>
      <c r="E64" s="32"/>
      <c r="F64" s="33"/>
      <c r="G64" s="32"/>
      <c r="H64" s="32"/>
      <c r="I64" s="31"/>
      <c r="J64" s="31"/>
      <c r="K64" s="32"/>
      <c r="L64" s="32"/>
      <c r="M64" s="31"/>
      <c r="N64" s="32"/>
      <c r="O64" s="31"/>
      <c r="P64" s="32"/>
      <c r="Q64" s="32"/>
      <c r="R64" s="31"/>
      <c r="S64" s="32"/>
      <c r="T64" s="31"/>
      <c r="U64" s="31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spans="1:34">
      <c r="A65" s="34" t="s">
        <v>56</v>
      </c>
      <c r="B65" s="31"/>
      <c r="C65" s="31"/>
      <c r="D65" s="32"/>
      <c r="E65" s="32"/>
      <c r="F65" s="33"/>
      <c r="G65" s="32"/>
      <c r="H65" s="32"/>
      <c r="I65" s="31"/>
      <c r="J65" s="31"/>
      <c r="K65" s="32"/>
      <c r="L65" s="32"/>
      <c r="M65" s="31"/>
      <c r="N65" s="32"/>
      <c r="O65" s="31"/>
      <c r="P65" s="32"/>
      <c r="Q65" s="32"/>
      <c r="R65" s="31"/>
      <c r="S65" s="32"/>
      <c r="T65" s="31"/>
      <c r="U65" s="31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spans="1:34">
      <c r="A66" s="34" t="s">
        <v>57</v>
      </c>
      <c r="B66" s="31"/>
      <c r="C66" s="31"/>
      <c r="D66" s="32"/>
      <c r="E66" s="32"/>
      <c r="F66" s="33"/>
      <c r="G66" s="32"/>
      <c r="H66" s="32"/>
      <c r="I66" s="31"/>
      <c r="J66" s="31"/>
      <c r="K66" s="32"/>
      <c r="L66" s="32"/>
      <c r="M66" s="31"/>
      <c r="N66" s="32"/>
      <c r="O66" s="31"/>
      <c r="P66" s="32"/>
      <c r="Q66" s="32"/>
      <c r="R66" s="31"/>
      <c r="S66" s="32"/>
      <c r="T66" s="31"/>
      <c r="U66" s="31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spans="1:34">
      <c r="A67" s="34" t="s">
        <v>58</v>
      </c>
      <c r="B67" s="31"/>
      <c r="C67" s="31"/>
      <c r="D67" s="32"/>
      <c r="E67" s="32"/>
      <c r="F67" s="33"/>
      <c r="G67" s="32"/>
      <c r="H67" s="32"/>
      <c r="I67" s="31"/>
      <c r="J67" s="31"/>
      <c r="K67" s="32"/>
      <c r="L67" s="32"/>
      <c r="M67" s="31"/>
      <c r="N67" s="32"/>
      <c r="O67" s="31"/>
      <c r="P67" s="32"/>
      <c r="Q67" s="32"/>
      <c r="R67" s="31"/>
      <c r="S67" s="32"/>
      <c r="T67" s="31"/>
      <c r="U67" s="31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spans="1:34">
      <c r="A68" s="34" t="s">
        <v>59</v>
      </c>
      <c r="B68" s="31"/>
      <c r="C68" s="31"/>
      <c r="D68" s="32"/>
      <c r="E68" s="32"/>
      <c r="F68" s="33"/>
      <c r="G68" s="32"/>
      <c r="H68" s="32"/>
      <c r="I68" s="31"/>
      <c r="J68" s="31"/>
      <c r="K68" s="32"/>
      <c r="L68" s="32"/>
      <c r="M68" s="31"/>
      <c r="N68" s="32"/>
      <c r="O68" s="31"/>
      <c r="P68" s="32"/>
      <c r="Q68" s="32"/>
      <c r="R68" s="31"/>
      <c r="S68" s="32"/>
      <c r="T68" s="31"/>
      <c r="U68" s="31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1048576" ht="15" customHeight="1"/>
  </sheetData>
  <mergeCells count="25">
    <mergeCell ref="AE2:AE3"/>
    <mergeCell ref="AF2:AF3"/>
    <mergeCell ref="AG2:AG3"/>
    <mergeCell ref="AH2:AH3"/>
    <mergeCell ref="AC1:AH1"/>
    <mergeCell ref="D2:E2"/>
    <mergeCell ref="F2:F3"/>
    <mergeCell ref="G2:H2"/>
    <mergeCell ref="I2:K2"/>
    <mergeCell ref="L2:N2"/>
    <mergeCell ref="O2:O3"/>
    <mergeCell ref="P2:P3"/>
    <mergeCell ref="Q2:Q3"/>
    <mergeCell ref="R2:T2"/>
    <mergeCell ref="W1:AB1"/>
    <mergeCell ref="W2:Y2"/>
    <mergeCell ref="Z2:AB2"/>
    <mergeCell ref="AC2:AC3"/>
    <mergeCell ref="AD2:AD3"/>
    <mergeCell ref="A1:A3"/>
    <mergeCell ref="B1:B3"/>
    <mergeCell ref="C1:K1"/>
    <mergeCell ref="L1:Q1"/>
    <mergeCell ref="R1:V1"/>
    <mergeCell ref="U2:V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0" ma:contentTypeDescription="Create a new document." ma:contentTypeScope="" ma:versionID="9ef5dea78e23dc44f2aede2b8a39957c">
  <xsd:schema xmlns:xsd="http://www.w3.org/2001/XMLSchema" xmlns:xs="http://www.w3.org/2001/XMLSchema" xmlns:p="http://schemas.microsoft.com/office/2006/metadata/properties" xmlns:ns2="2e11796f-5f26-4c51-a1e5-22e0f1616a71" targetNamespace="http://schemas.microsoft.com/office/2006/metadata/properties" ma:root="true" ma:fieldsID="2e5a7c5e344fbe82f5274f28b139bd3f" ns2:_="">
    <xsd:import namespace="2e11796f-5f26-4c51-a1e5-22e0f1616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3B045-DB90-4121-B240-9FA96D37F594}"/>
</file>

<file path=customXml/itemProps2.xml><?xml version="1.0" encoding="utf-8"?>
<ds:datastoreItem xmlns:ds="http://schemas.openxmlformats.org/officeDocument/2006/customXml" ds:itemID="{A114FBB0-FF9E-4E98-9821-98D0310BD9B3}"/>
</file>

<file path=customXml/itemProps3.xml><?xml version="1.0" encoding="utf-8"?>
<ds:datastoreItem xmlns:ds="http://schemas.openxmlformats.org/officeDocument/2006/customXml" ds:itemID="{6C37B24D-BF72-4160-907E-DB84F83E3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Dinna Wiji Safitri Safitri</dc:creator>
  <cp:keywords/>
  <dc:description/>
  <cp:lastModifiedBy>Dinna Wiji Safitri Safitri</cp:lastModifiedBy>
  <cp:revision/>
  <dcterms:created xsi:type="dcterms:W3CDTF">2022-03-21T03:09:33Z</dcterms:created>
  <dcterms:modified xsi:type="dcterms:W3CDTF">2022-03-22T04:15:02Z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