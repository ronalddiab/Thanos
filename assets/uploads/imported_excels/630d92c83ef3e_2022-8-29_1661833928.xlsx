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972" documentId="13_ncr:1_{76C55D63-F869-4AF5-AAA3-3D809A91432B}" xr6:coauthVersionLast="47" xr6:coauthVersionMax="47" xr10:uidLastSave="{5F932521-C2B1-4E76-8663-66D5C990F5C5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4" i="27" l="1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L37" i="27"/>
  <c r="L36" i="27"/>
  <c r="L35" i="27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L34" i="27" s="1"/>
  <c r="F34" i="27"/>
  <c r="C34" i="27"/>
  <c r="D34" i="27" s="1"/>
  <c r="K33" i="27"/>
  <c r="L33" i="27" s="1"/>
  <c r="F33" i="27"/>
  <c r="C33" i="27"/>
  <c r="D33" i="27" s="1"/>
  <c r="K32" i="27"/>
  <c r="L32" i="27" s="1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26" i="26" l="1"/>
  <c r="L30" i="27"/>
  <c r="H37" i="27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<sst xmlns="http://schemas.openxmlformats.org/spreadsheetml/2006/main" count="72" uniqueCount="33">
  <si>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</si>
  <si>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</si>
  <si>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</si>
  <si>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</si>
  <si>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</si>
  <si>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</si>
  <si>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</si>
  <si>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</si>
  <si>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</si>
  <si>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</si>
  <si>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</si>
  <si>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</si>
  <si>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</si>
  <si>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</si>
  <si>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</si>
  <si>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August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</si>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</sst>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2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82" xfId="6" applyFont="1" applyBorder="1" applyAlignment="1">
      <alignment vertical="center"/>
    </xf>
    <xf numFmtId="0" fontId="10" fillId="0" borderId="54" xfId="6" applyFont="1" applyBorder="1" applyAlignment="1">
      <alignment vertical="center"/>
    </xf>
    <xf numFmtId="0" fontId="10" fillId="0" borderId="60" xfId="6" applyFont="1" applyBorder="1" applyAlignment="1">
      <alignment horizontal="center" vertical="center"/>
    </xf>
    <xf numFmtId="164" fontId="10" fillId="3" borderId="5" xfId="6" applyNumberFormat="1" applyFont="1" applyFill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164" fontId="10" fillId="3" borderId="85" xfId="6" applyNumberFormat="1" applyFont="1" applyFill="1" applyBorder="1" applyAlignment="1">
      <alignment horizontal="center" vertical="center"/>
    </xf>
    <xf numFmtId="164" fontId="10" fillId="0" borderId="86" xfId="6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vertical="center"/>
    </xf>
    <xf numFmtId="0" fontId="12" fillId="0" borderId="52" xfId="6" applyFont="1" applyBorder="1" applyAlignment="1">
      <alignment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A10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8</v>
      </c>
      <c r="D2" s="10">
        <v>2022</v>
      </c>
      <c r="E2" s="11">
        <f>IF(Electricity!F8&lt;0,0,Electricity!F8)</f>
        <v>22447.750000005726</v>
      </c>
      <c r="F2" s="80">
        <v>9.3200000000000005E-2</v>
      </c>
      <c r="G2" s="11">
        <f>IF('Water, Gas, Diesel'!K6&lt;0,0,'Water, Gas, Diesel'!K6)</f>
        <v>0</v>
      </c>
      <c r="H2" s="80">
        <v>0.7</v>
      </c>
      <c r="I2" s="11">
        <f>IF('Water, Gas, Diesel'!C6&lt;0,0,'Water, Gas, Diesel'!C6)</f>
        <v>1293</v>
      </c>
      <c r="J2" s="80">
        <v>0.21186441</v>
      </c>
      <c r="K2" s="11">
        <f>IF('Water, Gas, Diesel'!F6&lt;0,0,'Water, Gas, Diesel'!F6)</f>
        <v>220</v>
      </c>
      <c r="L2" s="80">
        <v>1.6949000000000001</v>
      </c>
      <c r="M2" s="11">
        <f>Electricity!H8</f>
        <v>94</v>
      </c>
      <c r="O2" s="101"/>
    </row>
    <row r="3" spans="1:15">
      <c r="A3" s="8" t="s">
        <v>13</v>
      </c>
      <c r="B3" s="9">
        <f>B2+1</f>
        <v>2</v>
      </c>
      <c r="C3" s="9">
        <v>8</v>
      </c>
      <c r="D3" s="10">
        <v>2022</v>
      </c>
      <c r="E3" s="11">
        <f>IF(Electricity!F9&lt;0,0,Electricity!F9)</f>
        <v>25439.999999994143</v>
      </c>
      <c r="F3" s="80">
        <v>9.3200000000000005E-2</v>
      </c>
      <c r="G3" s="11">
        <f>IF('Water, Gas, Diesel'!K7&lt;0,0,'Water, Gas, Diesel'!K7)</f>
        <v>0</v>
      </c>
      <c r="H3" s="80">
        <v>0.7</v>
      </c>
      <c r="I3" s="11">
        <f>IF('Water, Gas, Diesel'!C7&lt;0,0,'Water, Gas, Diesel'!C7)</f>
        <v>1568</v>
      </c>
      <c r="J3" s="80">
        <v>0.21186441</v>
      </c>
      <c r="K3" s="11">
        <f>IF('Water, Gas, Diesel'!F7&lt;0,0,'Water, Gas, Diesel'!F7)</f>
        <v>278</v>
      </c>
      <c r="L3" s="80">
        <v>1.6949000000000001</v>
      </c>
      <c r="M3" s="11">
        <f>Electricity!H9</f>
        <v>101</v>
      </c>
    </row>
    <row r="4" spans="1:15">
      <c r="A4" s="8" t="s">
        <v>13</v>
      </c>
      <c r="B4" s="9">
        <f t="shared" ref="B4:B32" si="0">B3+1</f>
        <v>3</v>
      </c>
      <c r="C4" s="9">
        <v>8</v>
      </c>
      <c r="D4" s="10">
        <v>2022</v>
      </c>
      <c r="E4" s="11">
        <f>IF(Electricity!F10&lt;0,0,Electricity!F10)</f>
        <v>23447.500000006585</v>
      </c>
      <c r="F4" s="80">
        <v>9.3200000000000005E-2</v>
      </c>
      <c r="G4" s="11">
        <f>IF('Water, Gas, Diesel'!K8&lt;0,0,'Water, Gas, Diesel'!K8)</f>
        <v>0</v>
      </c>
      <c r="H4" s="80">
        <v>0.7</v>
      </c>
      <c r="I4" s="11">
        <f>IF('Water, Gas, Diesel'!C8&lt;0,0,'Water, Gas, Diesel'!C8)</f>
        <v>1500</v>
      </c>
      <c r="J4" s="80">
        <v>0.21186441</v>
      </c>
      <c r="K4" s="11">
        <f>IF('Water, Gas, Diesel'!F8&lt;0,0,'Water, Gas, Diesel'!F8)</f>
        <v>252</v>
      </c>
      <c r="L4" s="80">
        <v>1.6949000000000001</v>
      </c>
      <c r="M4" s="11">
        <f>Electricity!H10</f>
        <v>100</v>
      </c>
    </row>
    <row r="5" spans="1:15">
      <c r="A5" s="8" t="s">
        <v>13</v>
      </c>
      <c r="B5" s="9">
        <f t="shared" si="0"/>
        <v>4</v>
      </c>
      <c r="C5" s="9">
        <v>8</v>
      </c>
      <c r="D5" s="10">
        <v>2022</v>
      </c>
      <c r="E5" s="11">
        <f>IF(Electricity!F11&lt;0,0,Electricity!F11)</f>
        <v>23764.999999998508</v>
      </c>
      <c r="F5" s="80">
        <v>9.3200000000000005E-2</v>
      </c>
      <c r="G5" s="11">
        <f>IF('Water, Gas, Diesel'!K9&lt;0,0,'Water, Gas, Diesel'!K9)</f>
        <v>0</v>
      </c>
      <c r="H5" s="80">
        <v>0.7</v>
      </c>
      <c r="I5" s="11">
        <f>IF('Water, Gas, Diesel'!C9&lt;0,0,'Water, Gas, Diesel'!C9)</f>
        <v>1468</v>
      </c>
      <c r="J5" s="80">
        <v>0.21186441</v>
      </c>
      <c r="K5" s="11">
        <f>IF('Water, Gas, Diesel'!F9&lt;0,0,'Water, Gas, Diesel'!F9)</f>
        <v>225</v>
      </c>
      <c r="L5" s="80">
        <v>1.6949000000000001</v>
      </c>
      <c r="M5" s="11">
        <f>Electricity!H11</f>
        <v>89</v>
      </c>
    </row>
    <row r="6" spans="1:15">
      <c r="A6" s="8" t="s">
        <v>13</v>
      </c>
      <c r="B6" s="9">
        <f t="shared" si="0"/>
        <v>5</v>
      </c>
      <c r="C6" s="9">
        <v>8</v>
      </c>
      <c r="D6" s="10">
        <v>2022</v>
      </c>
      <c r="E6" s="11">
        <f>IF(Electricity!F12&lt;0,0,Electricity!F12)</f>
        <v>24244.999999996253</v>
      </c>
      <c r="F6" s="80">
        <v>9.3200000000000005E-2</v>
      </c>
      <c r="G6" s="11">
        <f>IF('Water, Gas, Diesel'!K10&lt;0,0,'Water, Gas, Diesel'!K10)</f>
        <v>0</v>
      </c>
      <c r="H6" s="80">
        <v>0.7</v>
      </c>
      <c r="I6" s="11">
        <f>IF('Water, Gas, Diesel'!C10&lt;0,0,'Water, Gas, Diesel'!C10)</f>
        <v>2124</v>
      </c>
      <c r="J6" s="80">
        <v>0.21186441</v>
      </c>
      <c r="K6" s="11">
        <f>IF('Water, Gas, Diesel'!F10&lt;0,0,'Water, Gas, Diesel'!F10)</f>
        <v>280</v>
      </c>
      <c r="L6" s="80">
        <v>1.6949000000000001</v>
      </c>
      <c r="M6" s="11">
        <f>Electricity!H12</f>
        <v>80</v>
      </c>
    </row>
    <row r="7" spans="1:15">
      <c r="A7" s="8" t="s">
        <v>13</v>
      </c>
      <c r="B7" s="9">
        <f t="shared" si="0"/>
        <v>6</v>
      </c>
      <c r="C7" s="9">
        <v>8</v>
      </c>
      <c r="D7" s="10">
        <v>2022</v>
      </c>
      <c r="E7" s="11">
        <f>IF(Electricity!F13&lt;0,0,Electricity!F13)</f>
        <v>27260.000000001128</v>
      </c>
      <c r="F7" s="80">
        <v>9.3200000000000005E-2</v>
      </c>
      <c r="G7" s="11">
        <f>IF('Water, Gas, Diesel'!K11&lt;0,0,'Water, Gas, Diesel'!K11)</f>
        <v>0</v>
      </c>
      <c r="H7" s="80">
        <v>0.7</v>
      </c>
      <c r="I7" s="11">
        <f>IF('Water, Gas, Diesel'!C11&lt;0,0,'Water, Gas, Diesel'!C11)</f>
        <v>1158</v>
      </c>
      <c r="J7" s="80">
        <v>0.21186441</v>
      </c>
      <c r="K7" s="11">
        <f>IF('Water, Gas, Diesel'!F11&lt;0,0,'Water, Gas, Diesel'!F11)</f>
        <v>308</v>
      </c>
      <c r="L7" s="80">
        <v>1.6949000000000001</v>
      </c>
      <c r="M7" s="11">
        <f>Electricity!H13</f>
        <v>77</v>
      </c>
    </row>
    <row r="8" spans="1:15">
      <c r="A8" s="8" t="s">
        <v>13</v>
      </c>
      <c r="B8" s="9">
        <f t="shared" si="0"/>
        <v>7</v>
      </c>
      <c r="C8" s="9">
        <v>8</v>
      </c>
      <c r="D8" s="10">
        <v>2022</v>
      </c>
      <c r="E8" s="11">
        <f>IF(Electricity!F14&lt;0,0,Electricity!F14)</f>
        <v>23730.000000000473</v>
      </c>
      <c r="F8" s="80">
        <v>9.3200000000000005E-2</v>
      </c>
      <c r="G8" s="11">
        <f>IF('Water, Gas, Diesel'!K12&lt;0,0,'Water, Gas, Diesel'!K12)</f>
        <v>0</v>
      </c>
      <c r="H8" s="80">
        <v>0.7</v>
      </c>
      <c r="I8" s="11">
        <f>IF('Water, Gas, Diesel'!C12&lt;0,0,'Water, Gas, Diesel'!C12)</f>
        <v>1525</v>
      </c>
      <c r="J8" s="80">
        <v>0.21186441</v>
      </c>
      <c r="K8" s="11">
        <f>IF('Water, Gas, Diesel'!F12&lt;0,0,'Water, Gas, Diesel'!F12)</f>
        <v>221</v>
      </c>
      <c r="L8" s="80">
        <v>1.6949000000000001</v>
      </c>
      <c r="M8" s="11">
        <f>Electricity!H14</f>
        <v>90</v>
      </c>
    </row>
    <row r="9" spans="1:15">
      <c r="A9" s="8" t="s">
        <v>13</v>
      </c>
      <c r="B9" s="9">
        <f t="shared" si="0"/>
        <v>8</v>
      </c>
      <c r="C9" s="9">
        <v>8</v>
      </c>
      <c r="D9" s="10">
        <v>2022</v>
      </c>
      <c r="E9" s="11">
        <f>IF(Electricity!F15&lt;0,0,Electricity!F15)</f>
        <v>22775.000000001455</v>
      </c>
      <c r="F9" s="80">
        <v>9.3200000000000005E-2</v>
      </c>
      <c r="G9" s="11">
        <f>IF('Water, Gas, Diesel'!K13&lt;0,0,'Water, Gas, Diesel'!K13)</f>
        <v>0</v>
      </c>
      <c r="H9" s="80">
        <v>0.7</v>
      </c>
      <c r="I9" s="11">
        <f>IF('Water, Gas, Diesel'!C13&lt;0,0,'Water, Gas, Diesel'!C13)</f>
        <v>1450</v>
      </c>
      <c r="J9" s="80">
        <v>0.21186441</v>
      </c>
      <c r="K9" s="11">
        <f>IF('Water, Gas, Diesel'!F13&lt;0,0,'Water, Gas, Diesel'!F13)</f>
        <v>236</v>
      </c>
      <c r="L9" s="80">
        <v>1.6949000000000001</v>
      </c>
      <c r="M9" s="11">
        <f>Electricity!H15</f>
        <v>93</v>
      </c>
    </row>
    <row r="10" spans="1:15">
      <c r="A10" s="8" t="s">
        <v>13</v>
      </c>
      <c r="B10" s="9">
        <f t="shared" si="0"/>
        <v>9</v>
      </c>
      <c r="C10" s="9">
        <v>8</v>
      </c>
      <c r="D10" s="10">
        <v>2022</v>
      </c>
      <c r="E10" s="11">
        <f>IF(Electricity!F16&lt;0,0,Electricity!F16)</f>
        <v>23467.499999997017</v>
      </c>
      <c r="F10" s="80">
        <v>9.3200000000000005E-2</v>
      </c>
      <c r="G10" s="11">
        <f>IF('Water, Gas, Diesel'!K14&lt;0,0,'Water, Gas, Diesel'!K14)</f>
        <v>0</v>
      </c>
      <c r="H10" s="80">
        <v>0.7</v>
      </c>
      <c r="I10" s="11">
        <f>IF('Water, Gas, Diesel'!C14&lt;0,0,'Water, Gas, Diesel'!C14)</f>
        <v>1787</v>
      </c>
      <c r="J10" s="80">
        <v>0.21186441</v>
      </c>
      <c r="K10" s="11">
        <f>IF('Water, Gas, Diesel'!F14&lt;0,0,'Water, Gas, Diesel'!F14)</f>
        <v>258</v>
      </c>
      <c r="L10" s="80">
        <v>1.6949000000000001</v>
      </c>
      <c r="M10" s="11">
        <f>Electricity!H16</f>
        <v>119</v>
      </c>
    </row>
    <row r="11" spans="1:15">
      <c r="A11" s="8" t="s">
        <v>13</v>
      </c>
      <c r="B11" s="9">
        <f t="shared" si="0"/>
        <v>10</v>
      </c>
      <c r="C11" s="9">
        <v>8</v>
      </c>
      <c r="D11" s="10">
        <v>2022</v>
      </c>
      <c r="E11" s="11">
        <f>IF(Electricity!F17&lt;0,0,Electricity!F17)</f>
        <v>25947.500000002037</v>
      </c>
      <c r="F11" s="80">
        <v>9.3200000000000005E-2</v>
      </c>
      <c r="G11" s="11">
        <f>IF('Water, Gas, Diesel'!K15&lt;0,0,'Water, Gas, Diesel'!K15)</f>
        <v>0</v>
      </c>
      <c r="H11" s="80">
        <v>0.7</v>
      </c>
      <c r="I11" s="11">
        <f>IF('Water, Gas, Diesel'!C15&lt;0,0,'Water, Gas, Diesel'!C15)</f>
        <v>1237</v>
      </c>
      <c r="J11" s="80">
        <v>0.21186441</v>
      </c>
      <c r="K11" s="11">
        <f>IF('Water, Gas, Diesel'!F15&lt;0,0,'Water, Gas, Diesel'!F15)</f>
        <v>246</v>
      </c>
      <c r="L11" s="80">
        <v>1.6949000000000001</v>
      </c>
      <c r="M11" s="11">
        <f>Electricity!H17</f>
        <v>113</v>
      </c>
    </row>
    <row r="12" spans="1:15">
      <c r="A12" s="8" t="s">
        <v>13</v>
      </c>
      <c r="B12" s="9">
        <f t="shared" si="0"/>
        <v>11</v>
      </c>
      <c r="C12" s="9">
        <v>8</v>
      </c>
      <c r="D12" s="10">
        <v>2022</v>
      </c>
      <c r="E12" s="11">
        <f>IF(Electricity!F18&lt;0,0,Electricity!F18)</f>
        <v>23387.499999998909</v>
      </c>
      <c r="F12" s="80">
        <v>9.3200000000000005E-2</v>
      </c>
      <c r="G12" s="11">
        <f>IF('Water, Gas, Diesel'!K16&lt;0,0,'Water, Gas, Diesel'!K16)</f>
        <v>0</v>
      </c>
      <c r="H12" s="80">
        <v>0.7</v>
      </c>
      <c r="I12" s="11">
        <f>IF('Water, Gas, Diesel'!C16&lt;0,0,'Water, Gas, Diesel'!C16)</f>
        <v>1443</v>
      </c>
      <c r="J12" s="80">
        <v>0.21186441</v>
      </c>
      <c r="K12" s="11">
        <f>IF('Water, Gas, Diesel'!F16&lt;0,0,'Water, Gas, Diesel'!F16)</f>
        <v>150</v>
      </c>
      <c r="L12" s="80">
        <v>1.6949000000000001</v>
      </c>
      <c r="M12" s="11">
        <f>Electricity!H18</f>
        <v>83</v>
      </c>
    </row>
    <row r="13" spans="1:15">
      <c r="A13" s="8" t="s">
        <v>13</v>
      </c>
      <c r="B13" s="9">
        <f t="shared" si="0"/>
        <v>12</v>
      </c>
      <c r="C13" s="9">
        <v>8</v>
      </c>
      <c r="D13" s="10">
        <v>2022</v>
      </c>
      <c r="E13" s="11">
        <f>IF(Electricity!F19&lt;0,0,Electricity!F19)</f>
        <v>8569.999999999709</v>
      </c>
      <c r="F13" s="80">
        <v>9.3200000000000005E-2</v>
      </c>
      <c r="G13" s="11">
        <f>IF('Water, Gas, Diesel'!K17&lt;0,0,'Water, Gas, Diesel'!K17)</f>
        <v>0</v>
      </c>
      <c r="H13" s="80">
        <v>0.7</v>
      </c>
      <c r="I13" s="11">
        <f>IF('Water, Gas, Diesel'!C17&lt;0,0,'Water, Gas, Diesel'!C17)</f>
        <v>263</v>
      </c>
      <c r="J13" s="80">
        <v>0.21186441</v>
      </c>
      <c r="K13" s="11">
        <f>IF('Water, Gas, Diesel'!F17&lt;0,0,'Water, Gas, Diesel'!F17)</f>
        <v>44</v>
      </c>
      <c r="L13" s="80">
        <v>1.6949000000000001</v>
      </c>
      <c r="M13" s="11">
        <f>Electricity!H19</f>
        <v>84</v>
      </c>
    </row>
    <row r="14" spans="1:15">
      <c r="A14" s="8" t="s">
        <v>13</v>
      </c>
      <c r="B14" s="9">
        <f t="shared" si="0"/>
        <v>13</v>
      </c>
      <c r="C14" s="9">
        <v>8</v>
      </c>
      <c r="D14" s="10">
        <v>2022</v>
      </c>
      <c r="E14" s="11">
        <f>IF(Electricity!F20&lt;0,0,Electricity!F20)</f>
        <v>40512.499999999818</v>
      </c>
      <c r="F14" s="80">
        <v>9.3200000000000005E-2</v>
      </c>
      <c r="G14" s="11">
        <f>IF('Water, Gas, Diesel'!K18&lt;0,0,'Water, Gas, Diesel'!K18)</f>
        <v>0</v>
      </c>
      <c r="H14" s="80">
        <v>0.7</v>
      </c>
      <c r="I14" s="11">
        <f>IF('Water, Gas, Diesel'!C18&lt;0,0,'Water, Gas, Diesel'!C18)</f>
        <v>2432</v>
      </c>
      <c r="J14" s="80">
        <v>0.21186441</v>
      </c>
      <c r="K14" s="11">
        <f>IF('Water, Gas, Diesel'!F18&lt;0,0,'Water, Gas, Diesel'!F18)</f>
        <v>509</v>
      </c>
      <c r="L14" s="80">
        <v>1.6949000000000001</v>
      </c>
      <c r="M14" s="11">
        <f>Electricity!H20</f>
        <v>84</v>
      </c>
    </row>
    <row r="15" spans="1:15">
      <c r="A15" s="8" t="s">
        <v>13</v>
      </c>
      <c r="B15" s="9">
        <f t="shared" si="0"/>
        <v>14</v>
      </c>
      <c r="C15" s="9">
        <v>8</v>
      </c>
      <c r="D15" s="10">
        <v>2022</v>
      </c>
      <c r="E15" s="11">
        <f>IF(Electricity!F21&lt;0,0,Electricity!F21)</f>
        <v>21932.499999998072</v>
      </c>
      <c r="F15" s="80">
        <v>9.3200000000000005E-2</v>
      </c>
      <c r="G15" s="11">
        <f>IF('Water, Gas, Diesel'!K19&lt;0,0,'Water, Gas, Diesel'!K19)</f>
        <v>0</v>
      </c>
      <c r="H15" s="80">
        <v>0.7</v>
      </c>
      <c r="I15" s="11">
        <f>IF('Water, Gas, Diesel'!C19&lt;0,0,'Water, Gas, Diesel'!C19)</f>
        <v>1503</v>
      </c>
      <c r="J15" s="80">
        <v>0.21186441</v>
      </c>
      <c r="K15" s="11">
        <f>IF('Water, Gas, Diesel'!F19&lt;0,0,'Water, Gas, Diesel'!F19)</f>
        <v>266</v>
      </c>
      <c r="L15" s="80">
        <v>1.6949000000000001</v>
      </c>
      <c r="M15" s="11">
        <f>Electricity!H21</f>
        <v>89</v>
      </c>
    </row>
    <row r="16" spans="1:15">
      <c r="A16" s="8" t="s">
        <v>13</v>
      </c>
      <c r="B16" s="9">
        <f t="shared" si="0"/>
        <v>15</v>
      </c>
      <c r="C16" s="9">
        <v>8</v>
      </c>
      <c r="D16" s="10">
        <v>2022</v>
      </c>
      <c r="E16" s="11">
        <f>IF(Electricity!F22&lt;0,0,Electricity!F22)</f>
        <v>22857.500000000073</v>
      </c>
      <c r="F16" s="80">
        <v>9.3200000000000005E-2</v>
      </c>
      <c r="G16" s="11">
        <f>IF('Water, Gas, Diesel'!K20&lt;0,0,'Water, Gas, Diesel'!K20)</f>
        <v>0</v>
      </c>
      <c r="H16" s="80">
        <v>0.7</v>
      </c>
      <c r="I16" s="11">
        <f>IF('Water, Gas, Diesel'!C20&lt;0,0,'Water, Gas, Diesel'!C20)</f>
        <v>1365</v>
      </c>
      <c r="J16" s="80">
        <v>0.21186441</v>
      </c>
      <c r="K16" s="11">
        <f>IF('Water, Gas, Diesel'!F20&lt;0,0,'Water, Gas, Diesel'!F20)</f>
        <v>246</v>
      </c>
      <c r="L16" s="80">
        <v>1.6949000000000001</v>
      </c>
      <c r="M16" s="11">
        <f>Electricity!H22</f>
        <v>112</v>
      </c>
    </row>
    <row r="17" spans="1:13">
      <c r="A17" s="8" t="s">
        <v>13</v>
      </c>
      <c r="B17" s="9">
        <f t="shared" si="0"/>
        <v>16</v>
      </c>
      <c r="C17" s="9">
        <v>8</v>
      </c>
      <c r="D17" s="10">
        <v>2022</v>
      </c>
      <c r="E17" s="11">
        <f>IF(Electricity!F23&lt;0,0,Electricity!F23)</f>
        <v>22995.000000005348</v>
      </c>
      <c r="F17" s="80">
        <v>9.3200000000000005E-2</v>
      </c>
      <c r="G17" s="11">
        <f>IF('Water, Gas, Diesel'!K21&lt;0,0,'Water, Gas, Diesel'!K21)</f>
        <v>0</v>
      </c>
      <c r="H17" s="80">
        <v>0.7</v>
      </c>
      <c r="I17" s="11">
        <f>IF('Water, Gas, Diesel'!C21&lt;0,0,'Water, Gas, Diesel'!C21)</f>
        <v>1328</v>
      </c>
      <c r="J17" s="80">
        <v>0.21186441</v>
      </c>
      <c r="K17" s="11">
        <f>IF('Water, Gas, Diesel'!F21&lt;0,0,'Water, Gas, Diesel'!F21)</f>
        <v>303</v>
      </c>
      <c r="L17" s="80">
        <v>1.6949000000000001</v>
      </c>
      <c r="M17" s="11">
        <f>Electricity!H23</f>
        <v>100</v>
      </c>
    </row>
    <row r="18" spans="1:13">
      <c r="A18" s="8" t="s">
        <v>13</v>
      </c>
      <c r="B18" s="9">
        <f t="shared" si="0"/>
        <v>17</v>
      </c>
      <c r="C18" s="9">
        <v>8</v>
      </c>
      <c r="D18" s="10">
        <v>2022</v>
      </c>
      <c r="E18" s="11">
        <f>IF(Electricity!F24&lt;0,0,Electricity!F24)</f>
        <v>25242.499999999382</v>
      </c>
      <c r="F18" s="80">
        <v>9.3200000000000005E-2</v>
      </c>
      <c r="G18" s="11">
        <f>IF('Water, Gas, Diesel'!K22&lt;0,0,'Water, Gas, Diesel'!K22)</f>
        <v>0</v>
      </c>
      <c r="H18" s="80">
        <v>0.7</v>
      </c>
      <c r="I18" s="11">
        <f>IF('Water, Gas, Diesel'!C22&lt;0,0,'Water, Gas, Diesel'!C22)</f>
        <v>1561</v>
      </c>
      <c r="J18" s="80">
        <v>0.21186441</v>
      </c>
      <c r="K18" s="11">
        <f>IF('Water, Gas, Diesel'!F22&lt;0,0,'Water, Gas, Diesel'!F22)</f>
        <v>232</v>
      </c>
      <c r="L18" s="80">
        <v>1.6949000000000001</v>
      </c>
      <c r="M18" s="11">
        <f>Electricity!H24</f>
        <v>115</v>
      </c>
    </row>
    <row r="19" spans="1:13">
      <c r="A19" s="8" t="s">
        <v>13</v>
      </c>
      <c r="B19" s="9">
        <f t="shared" si="0"/>
        <v>18</v>
      </c>
      <c r="C19" s="9">
        <v>8</v>
      </c>
      <c r="D19" s="10">
        <v>2022</v>
      </c>
      <c r="E19" s="11">
        <f>IF(Electricity!F25&lt;0,0,Electricity!F25)</f>
        <v>24664.999999999964</v>
      </c>
      <c r="F19" s="80">
        <v>9.3200000000000005E-2</v>
      </c>
      <c r="G19" s="11">
        <f>IF('Water, Gas, Diesel'!K23&lt;0,0,'Water, Gas, Diesel'!K23)</f>
        <v>0</v>
      </c>
      <c r="H19" s="80">
        <v>0.7</v>
      </c>
      <c r="I19" s="11">
        <f>IF('Water, Gas, Diesel'!C23&lt;0,0,'Water, Gas, Diesel'!C23)</f>
        <v>1633</v>
      </c>
      <c r="J19" s="80">
        <v>0.21186441</v>
      </c>
      <c r="K19" s="11">
        <f>IF('Water, Gas, Diesel'!F23&lt;0,0,'Water, Gas, Diesel'!F23)</f>
        <v>270</v>
      </c>
      <c r="L19" s="80">
        <v>1.6949000000000001</v>
      </c>
      <c r="M19" s="11">
        <f>Electricity!H25</f>
        <v>104</v>
      </c>
    </row>
    <row r="20" spans="1:13">
      <c r="A20" s="8" t="s">
        <v>13</v>
      </c>
      <c r="B20" s="9">
        <f t="shared" si="0"/>
        <v>19</v>
      </c>
      <c r="C20" s="9">
        <v>8</v>
      </c>
      <c r="D20" s="10">
        <v>2022</v>
      </c>
      <c r="E20" s="11">
        <f>IF(Electricity!F26&lt;0,0,Electricity!F26)</f>
        <v>22457.499999995889</v>
      </c>
      <c r="F20" s="80">
        <v>9.3200000000000005E-2</v>
      </c>
      <c r="G20" s="11">
        <f>IF('Water, Gas, Diesel'!K24&lt;0,0,'Water, Gas, Diesel'!K24)</f>
        <v>0</v>
      </c>
      <c r="H20" s="80">
        <v>0.7</v>
      </c>
      <c r="I20" s="11">
        <f>IF('Water, Gas, Diesel'!C24&lt;0,0,'Water, Gas, Diesel'!C24)</f>
        <v>1370</v>
      </c>
      <c r="J20" s="80">
        <v>0.21186441</v>
      </c>
      <c r="K20" s="11">
        <f>IF('Water, Gas, Diesel'!F24&lt;0,0,'Water, Gas, Diesel'!F24)</f>
        <v>281</v>
      </c>
      <c r="L20" s="80">
        <v>1.6949000000000001</v>
      </c>
      <c r="M20" s="11">
        <f>Electricity!H26</f>
        <v>73</v>
      </c>
    </row>
    <row r="21" spans="1:13">
      <c r="A21" s="8" t="s">
        <v>13</v>
      </c>
      <c r="B21" s="9">
        <f t="shared" si="0"/>
        <v>20</v>
      </c>
      <c r="C21" s="9">
        <v>8</v>
      </c>
      <c r="D21" s="10">
        <v>2022</v>
      </c>
      <c r="E21" s="11">
        <f>IF(Electricity!F27&lt;0,0,Electricity!F27)</f>
        <v>21842.500000002474</v>
      </c>
      <c r="F21" s="80">
        <v>9.3200000000000005E-2</v>
      </c>
      <c r="G21" s="11">
        <f>IF('Water, Gas, Diesel'!K25&lt;0,0,'Water, Gas, Diesel'!K25)</f>
        <v>0</v>
      </c>
      <c r="H21" s="80">
        <v>0.7</v>
      </c>
      <c r="I21" s="11">
        <f>IF('Water, Gas, Diesel'!C25&lt;0,0,'Water, Gas, Diesel'!C25)</f>
        <v>1323</v>
      </c>
      <c r="J21" s="80">
        <v>0.21186441</v>
      </c>
      <c r="K21" s="11">
        <f>IF('Water, Gas, Diesel'!F25&lt;0,0,'Water, Gas, Diesel'!F25)</f>
        <v>245</v>
      </c>
      <c r="L21" s="80">
        <v>1.6949000000000001</v>
      </c>
      <c r="M21" s="11">
        <f>Electricity!H27</f>
        <v>63</v>
      </c>
    </row>
    <row r="22" spans="1:13">
      <c r="A22" s="8" t="s">
        <v>13</v>
      </c>
      <c r="B22" s="9">
        <f t="shared" si="0"/>
        <v>21</v>
      </c>
      <c r="C22" s="9">
        <v>8</v>
      </c>
      <c r="D22" s="10">
        <v>2022</v>
      </c>
      <c r="E22" s="11">
        <f>IF(Electricity!F28&lt;0,0,Electricity!F28)</f>
        <v>22440.000000001419</v>
      </c>
      <c r="F22" s="80">
        <v>9.3200000000000005E-2</v>
      </c>
      <c r="G22" s="11">
        <f>IF('Water, Gas, Diesel'!K26&lt;0,0,'Water, Gas, Diesel'!K26)</f>
        <v>0</v>
      </c>
      <c r="H22" s="80">
        <v>0.7</v>
      </c>
      <c r="I22" s="11">
        <f>IF('Water, Gas, Diesel'!C26&lt;0,0,'Water, Gas, Diesel'!C26)</f>
        <v>1307</v>
      </c>
      <c r="J22" s="80">
        <v>0.21186441</v>
      </c>
      <c r="K22" s="11">
        <f>IF('Water, Gas, Diesel'!F26&lt;0,0,'Water, Gas, Diesel'!F26)</f>
        <v>206</v>
      </c>
      <c r="L22" s="80">
        <v>1.6949000000000001</v>
      </c>
      <c r="M22" s="11">
        <f>Electricity!H28</f>
        <v>63</v>
      </c>
    </row>
    <row r="23" spans="1:13">
      <c r="A23" s="8" t="s">
        <v>13</v>
      </c>
      <c r="B23" s="9">
        <f t="shared" si="0"/>
        <v>22</v>
      </c>
      <c r="C23" s="9">
        <v>8</v>
      </c>
      <c r="D23" s="10">
        <v>2022</v>
      </c>
      <c r="E23" s="11">
        <f>IF(Electricity!F29&lt;0,0,Electricity!F29)</f>
        <v>21189.999999996871</v>
      </c>
      <c r="F23" s="80">
        <v>9.3200000000000005E-2</v>
      </c>
      <c r="G23" s="11">
        <f>IF('Water, Gas, Diesel'!K27&lt;0,0,'Water, Gas, Diesel'!K27)</f>
        <v>0</v>
      </c>
      <c r="H23" s="80">
        <v>0.7</v>
      </c>
      <c r="I23" s="11">
        <f>IF('Water, Gas, Diesel'!C27&lt;0,0,'Water, Gas, Diesel'!C27)</f>
        <v>1383</v>
      </c>
      <c r="J23" s="80">
        <v>0.21186441</v>
      </c>
      <c r="K23" s="11">
        <f>IF('Water, Gas, Diesel'!F27&lt;0,0,'Water, Gas, Diesel'!F27)</f>
        <v>213</v>
      </c>
      <c r="L23" s="80">
        <v>1.6949000000000001</v>
      </c>
      <c r="M23" s="11">
        <f>Electricity!H29</f>
        <v>77</v>
      </c>
    </row>
    <row r="24" spans="1:13">
      <c r="A24" s="8" t="s">
        <v>13</v>
      </c>
      <c r="B24" s="9">
        <f t="shared" si="0"/>
        <v>23</v>
      </c>
      <c r="C24" s="9">
        <v>8</v>
      </c>
      <c r="D24" s="10">
        <v>2022</v>
      </c>
      <c r="E24" s="11">
        <f>IF(Electricity!F30&lt;0,0,Electricity!F30)</f>
        <v>23644.999999996799</v>
      </c>
      <c r="F24" s="80">
        <v>9.3200000000000005E-2</v>
      </c>
      <c r="G24" s="11">
        <f>IF('Water, Gas, Diesel'!K28&lt;0,0,'Water, Gas, Diesel'!K28)</f>
        <v>0</v>
      </c>
      <c r="H24" s="80">
        <v>0.7</v>
      </c>
      <c r="I24" s="11">
        <f>IF('Water, Gas, Diesel'!C28&lt;0,0,'Water, Gas, Diesel'!C28)</f>
        <v>1300</v>
      </c>
      <c r="J24" s="80">
        <v>0.21186441</v>
      </c>
      <c r="K24" s="11">
        <f>IF('Water, Gas, Diesel'!F28&lt;0,0,'Water, Gas, Diesel'!F28)</f>
        <v>246</v>
      </c>
      <c r="L24" s="80">
        <v>1.6949000000000001</v>
      </c>
      <c r="M24" s="11">
        <f>Electricity!H30</f>
        <v>103</v>
      </c>
    </row>
    <row r="25" spans="1:13">
      <c r="A25" s="8" t="s">
        <v>13</v>
      </c>
      <c r="B25" s="9">
        <f t="shared" si="0"/>
        <v>24</v>
      </c>
      <c r="C25" s="9">
        <v>8</v>
      </c>
      <c r="D25" s="10">
        <v>2022</v>
      </c>
      <c r="E25" s="11">
        <f>IF(Electricity!F31&lt;0,0,Electricity!F31)</f>
        <v>21170.000000001892</v>
      </c>
      <c r="F25" s="80">
        <v>9.3200000000000005E-2</v>
      </c>
      <c r="G25" s="11">
        <f>IF('Water, Gas, Diesel'!K29&lt;0,0,'Water, Gas, Diesel'!K29)</f>
        <v>0</v>
      </c>
      <c r="H25" s="80">
        <v>0.7</v>
      </c>
      <c r="I25" s="11">
        <f>IF('Water, Gas, Diesel'!C29&lt;0,0,'Water, Gas, Diesel'!C29)</f>
        <v>1069</v>
      </c>
      <c r="J25" s="80">
        <v>0.21186441</v>
      </c>
      <c r="K25" s="11">
        <f>IF('Water, Gas, Diesel'!F29&lt;0,0,'Water, Gas, Diesel'!F29)</f>
        <v>209</v>
      </c>
      <c r="L25" s="80">
        <v>1.6949000000000001</v>
      </c>
      <c r="M25" s="11">
        <f>Electricity!H31</f>
        <v>92</v>
      </c>
    </row>
    <row r="26" spans="1:13">
      <c r="A26" s="8" t="s">
        <v>13</v>
      </c>
      <c r="B26" s="9">
        <f>B25+1</f>
        <v>25</v>
      </c>
      <c r="C26" s="9">
        <v>8</v>
      </c>
      <c r="D26" s="10">
        <v>2022</v>
      </c>
      <c r="E26" s="11">
        <f>IF(Electricity!F32&lt;0,0,Electricity!F32)</f>
        <v>24382.500000001528</v>
      </c>
      <c r="F26" s="80">
        <v>9.3200000000000005E-2</v>
      </c>
      <c r="G26" s="11">
        <f>IF('Water, Gas, Diesel'!K30&lt;0,0,'Water, Gas, Diesel'!K30)</f>
        <v>0</v>
      </c>
      <c r="H26" s="80">
        <v>0.7</v>
      </c>
      <c r="I26" s="11">
        <f>IF('Water, Gas, Diesel'!C30&lt;0,0,'Water, Gas, Diesel'!C30)</f>
        <v>1319</v>
      </c>
      <c r="J26" s="80">
        <v>0.21186441</v>
      </c>
      <c r="K26" s="11">
        <f>IF('Water, Gas, Diesel'!F30&lt;0,0,'Water, Gas, Diesel'!F30)</f>
        <v>267</v>
      </c>
      <c r="L26" s="80">
        <v>1.6949000000000001</v>
      </c>
      <c r="M26" s="11">
        <f>Electricity!H32</f>
        <v>82</v>
      </c>
    </row>
    <row r="27" spans="1:13">
      <c r="A27" s="8" t="s">
        <v>13</v>
      </c>
      <c r="B27" s="9">
        <f t="shared" si="0"/>
        <v>26</v>
      </c>
      <c r="C27" s="9">
        <v>8</v>
      </c>
      <c r="D27" s="10">
        <v>2022</v>
      </c>
      <c r="E27" s="11">
        <f>IF(Electricity!F33&lt;0,0,Electricity!F33)</f>
        <v>24112.500000001091</v>
      </c>
      <c r="F27" s="80">
        <v>9.3200000000000005E-2</v>
      </c>
      <c r="G27" s="11">
        <f>IF('Water, Gas, Diesel'!K31&lt;0,0,'Water, Gas, Diesel'!K31)</f>
        <v>0</v>
      </c>
      <c r="H27" s="80">
        <v>0.7</v>
      </c>
      <c r="I27" s="11">
        <f>IF('Water, Gas, Diesel'!C31&lt;0,0,'Water, Gas, Diesel'!C31)</f>
        <v>1333</v>
      </c>
      <c r="J27" s="80">
        <v>0.21186441</v>
      </c>
      <c r="K27" s="11">
        <f>IF('Water, Gas, Diesel'!F31&lt;0,0,'Water, Gas, Diesel'!F31)</f>
        <v>232</v>
      </c>
      <c r="L27" s="80">
        <v>1.6949000000000001</v>
      </c>
      <c r="M27" s="11">
        <f>Electricity!H33</f>
        <v>75</v>
      </c>
    </row>
    <row r="28" spans="1:13">
      <c r="A28" s="8" t="s">
        <v>13</v>
      </c>
      <c r="B28" s="9">
        <f t="shared" si="0"/>
        <v>27</v>
      </c>
      <c r="C28" s="9">
        <v>8</v>
      </c>
      <c r="D28" s="10">
        <v>2022</v>
      </c>
      <c r="E28" s="11">
        <f>IF(Electricity!F34&lt;0,0,Electricity!F34)</f>
        <v>22477.499999999964</v>
      </c>
      <c r="F28" s="80">
        <v>9.3200000000000005E-2</v>
      </c>
      <c r="G28" s="11">
        <f>IF('Water, Gas, Diesel'!K32&lt;0,0,'Water, Gas, Diesel'!K32)</f>
        <v>0</v>
      </c>
      <c r="H28" s="80">
        <v>0.7</v>
      </c>
      <c r="I28" s="11">
        <f>IF('Water, Gas, Diesel'!C32&lt;0,0,'Water, Gas, Diesel'!C32)</f>
        <v>1377</v>
      </c>
      <c r="J28" s="80">
        <v>0.21186441</v>
      </c>
      <c r="K28" s="11">
        <f>IF('Water, Gas, Diesel'!F32&lt;0,0,'Water, Gas, Diesel'!F32)</f>
        <v>237</v>
      </c>
      <c r="L28" s="80">
        <v>1.6949000000000001</v>
      </c>
      <c r="M28" s="11">
        <f>Electricity!H34</f>
        <v>79</v>
      </c>
    </row>
    <row r="29" spans="1:13">
      <c r="A29" s="8" t="s">
        <v>13</v>
      </c>
      <c r="B29" s="9">
        <f t="shared" si="0"/>
        <v>28</v>
      </c>
      <c r="C29" s="9">
        <v>8</v>
      </c>
      <c r="D29" s="10">
        <v>2022</v>
      </c>
      <c r="E29" s="11">
        <f>IF(Electricity!F35&lt;0,0,Electricity!F35)</f>
        <v>20557.499999999891</v>
      </c>
      <c r="F29" s="80">
        <v>9.3200000000000005E-2</v>
      </c>
      <c r="G29" s="11">
        <f>IF('Water, Gas, Diesel'!K33&lt;0,0,'Water, Gas, Diesel'!K33)</f>
        <v>0</v>
      </c>
      <c r="H29" s="80">
        <v>0.7</v>
      </c>
      <c r="I29" s="11">
        <f>IF('Water, Gas, Diesel'!C33&lt;0,0,'Water, Gas, Diesel'!C33)</f>
        <v>1233</v>
      </c>
      <c r="J29" s="80">
        <v>0.21186441</v>
      </c>
      <c r="K29" s="11">
        <f>IF('Water, Gas, Diesel'!F33&lt;0,0,'Water, Gas, Diesel'!F33)</f>
        <v>208</v>
      </c>
      <c r="L29" s="80">
        <v>1.6949000000000001</v>
      </c>
      <c r="M29" s="11">
        <f>Electricity!H35</f>
        <v>71</v>
      </c>
    </row>
    <row r="30" spans="1:13">
      <c r="A30" s="8" t="s">
        <v>13</v>
      </c>
      <c r="B30" s="9">
        <f t="shared" si="0"/>
        <v>29</v>
      </c>
      <c r="C30" s="9">
        <v>8</v>
      </c>
      <c r="D30" s="10">
        <v>2022</v>
      </c>
      <c r="E30" s="11">
        <f>IF(Electricity!F36&lt;0,0,Electricity!F36)</f>
        <v>0</v>
      </c>
      <c r="F30" s="80">
        <v>9.3200000000000005E-2</v>
      </c>
      <c r="G30" s="11">
        <f>IF('Water, Gas, Diesel'!K34&lt;0,0,'Water, Gas, Diesel'!K34)</f>
        <v>11630</v>
      </c>
      <c r="H30" s="80">
        <v>0.7</v>
      </c>
      <c r="I30" s="11">
        <f>IF('Water, Gas, Diesel'!C34&lt;0,0,'Water, Gas, Diesel'!C34)</f>
        <v>0</v>
      </c>
      <c r="J30" s="80">
        <v>0.21186441</v>
      </c>
      <c r="K30" s="11">
        <f>IF('Water, Gas, Diesel'!F34&lt;0,0,'Water, Gas, Diesel'!F34)</f>
        <v>0</v>
      </c>
      <c r="L30" s="80">
        <v>1.6949000000000001</v>
      </c>
      <c r="M30" s="11">
        <f>Electricity!H36</f>
        <v>63</v>
      </c>
    </row>
    <row r="31" spans="1:13">
      <c r="A31" s="8" t="s">
        <v>13</v>
      </c>
      <c r="B31" s="9">
        <f t="shared" si="0"/>
        <v>30</v>
      </c>
      <c r="C31" s="9">
        <v>8</v>
      </c>
      <c r="D31" s="10">
        <v>2022</v>
      </c>
      <c r="E31" s="11">
        <f>IF(Electricity!F37&lt;0,0,Electricity!F37)</f>
        <v>0</v>
      </c>
      <c r="F31" s="80">
        <v>9.3200000000000005E-2</v>
      </c>
      <c r="G31" s="11">
        <f>IF('Water, Gas, Diesel'!K35&lt;0,0,'Water, Gas, Diesel'!K35)</f>
        <v>0</v>
      </c>
      <c r="H31" s="80">
        <v>0.7</v>
      </c>
      <c r="I31" s="11">
        <f>IF('Water, Gas, Diesel'!C35&lt;0,0,'Water, Gas, Diesel'!C35)</f>
        <v>0</v>
      </c>
      <c r="J31" s="80">
        <v>0.21186441</v>
      </c>
      <c r="K31" s="11">
        <f>IF('Water, Gas, Diesel'!F35&lt;0,0,'Water, Gas, Diesel'!F35)</f>
        <v>0</v>
      </c>
      <c r="L31" s="80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8</v>
      </c>
      <c r="D32" s="10">
        <v>2022</v>
      </c>
      <c r="E32" s="11">
        <f>IF(Electricity!F38&lt;0,0,Electricity!F38)</f>
        <v>0</v>
      </c>
      <c r="F32" s="80">
        <v>9.3200000000000005E-2</v>
      </c>
      <c r="G32" s="11">
        <f>IF('Water, Gas, Diesel'!K36&lt;0,0,'Water, Gas, Diesel'!K36)</f>
        <v>0</v>
      </c>
      <c r="H32" s="80">
        <v>0.7</v>
      </c>
      <c r="I32" s="11">
        <f>IF('Water, Gas, Diesel'!C36&lt;0,0,'Water, Gas, Diesel'!C36)</f>
        <v>0</v>
      </c>
      <c r="J32" s="80">
        <v>0.21186441</v>
      </c>
      <c r="K32" s="11">
        <f>IF('Water, Gas, Diesel'!F36&lt;0,0,'Water, Gas, Diesel'!F36)</f>
        <v>0</v>
      </c>
      <c r="L32" s="80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32" activePane="bottomLeft" state="frozen"/>
      <selection pane="bottomLeft" activeCell="L38" sqref="L38"/>
      <selection activeCell="E1" sqref="E1"/>
    </sheetView>
  </sheetViews>
  <sheetFormatPr defaultColWidth="9.140625" defaultRowHeight="15"/>
  <cols>
    <col min="1" max="1" width="11.85546875" style="56" customWidth="1"/>
    <col min="2" max="5" width="21.28515625" style="16" customWidth="1"/>
    <col min="6" max="6" width="21.28515625" style="57" customWidth="1"/>
    <col min="7" max="7" width="21.28515625" style="56" customWidth="1"/>
    <col min="8" max="8" width="11.28515625" style="59" bestFit="1" customWidth="1"/>
    <col min="9" max="16384" width="9.140625" style="16"/>
  </cols>
  <sheetData>
    <row r="1" spans="1:8" ht="28.5" customHeight="1">
      <c r="A1" s="92" t="s">
        <v>14</v>
      </c>
      <c r="B1" s="142"/>
      <c r="C1" s="143"/>
      <c r="D1" s="143"/>
      <c r="E1" s="143"/>
      <c r="F1" s="143"/>
      <c r="G1" s="143"/>
      <c r="H1" s="144"/>
    </row>
    <row r="2" spans="1:8" ht="15.75" customHeight="1">
      <c r="A2" s="147" t="s">
        <v>15</v>
      </c>
      <c r="B2" s="150" t="s">
        <v>16</v>
      </c>
      <c r="C2" s="151"/>
      <c r="D2" s="151"/>
      <c r="E2" s="152"/>
      <c r="F2" s="153" t="s">
        <v>17</v>
      </c>
      <c r="G2" s="155" t="s">
        <v>18</v>
      </c>
      <c r="H2" s="145" t="s">
        <v>19</v>
      </c>
    </row>
    <row r="3" spans="1:8">
      <c r="A3" s="148"/>
      <c r="B3" s="157" t="s">
        <v>20</v>
      </c>
      <c r="C3" s="158"/>
      <c r="D3" s="157" t="s">
        <v>21</v>
      </c>
      <c r="E3" s="158"/>
      <c r="F3" s="153"/>
      <c r="G3" s="155"/>
      <c r="H3" s="145"/>
    </row>
    <row r="4" spans="1:8">
      <c r="A4" s="148"/>
      <c r="B4" s="159"/>
      <c r="C4" s="160"/>
      <c r="D4" s="159"/>
      <c r="E4" s="160"/>
      <c r="F4" s="153"/>
      <c r="G4" s="155"/>
      <c r="H4" s="145"/>
    </row>
    <row r="5" spans="1:8">
      <c r="A5" s="149"/>
      <c r="B5" s="17" t="s">
        <v>22</v>
      </c>
      <c r="C5" s="61" t="s">
        <v>23</v>
      </c>
      <c r="D5" s="62" t="s">
        <v>22</v>
      </c>
      <c r="E5" s="61" t="s">
        <v>23</v>
      </c>
      <c r="F5" s="154"/>
      <c r="G5" s="156"/>
      <c r="H5" s="146"/>
    </row>
    <row r="6" spans="1:8" ht="15.75" hidden="1">
      <c r="A6" s="93"/>
      <c r="B6" s="24"/>
      <c r="C6" s="63"/>
      <c r="D6" s="64"/>
      <c r="E6" s="63"/>
      <c r="F6" s="27"/>
      <c r="G6" s="65"/>
      <c r="H6" s="133"/>
    </row>
    <row r="7" spans="1:8" ht="27.75" customHeight="1">
      <c r="A7" s="94">
        <v>31</v>
      </c>
      <c r="B7" s="67">
        <v>15540.606</v>
      </c>
      <c r="C7" s="68">
        <f t="shared" ref="C7:C24" si="0">(B8-B7)*2500</f>
        <v>13854.750000000422</v>
      </c>
      <c r="D7" s="67">
        <v>15923.325999999999</v>
      </c>
      <c r="E7" s="68">
        <f t="shared" ref="E7:E24" si="1">(D8-D7)*2500</f>
        <v>16340.000000000146</v>
      </c>
      <c r="F7" s="91">
        <f t="shared" ref="F7:F38" si="2">C7+E7</f>
        <v>30194.750000000568</v>
      </c>
      <c r="G7" s="66">
        <f>F7*0.0932</f>
        <v>2814.1507000000529</v>
      </c>
      <c r="H7" s="134">
        <v>103</v>
      </c>
    </row>
    <row r="8" spans="1:8" ht="30.95" customHeight="1">
      <c r="A8" s="95">
        <v>1</v>
      </c>
      <c r="B8" s="90">
        <v>15546.1479</v>
      </c>
      <c r="C8" s="69">
        <f t="shared" si="0"/>
        <v>12830.250000001797</v>
      </c>
      <c r="D8" s="70">
        <v>15929.861999999999</v>
      </c>
      <c r="E8" s="69">
        <f t="shared" si="1"/>
        <v>9617.500000003929</v>
      </c>
      <c r="F8" s="50">
        <f t="shared" si="2"/>
        <v>22447.750000005726</v>
      </c>
      <c r="G8" s="66">
        <f t="shared" ref="G8:G39" si="3">F8*0.0932</f>
        <v>2092.1303000005337</v>
      </c>
      <c r="H8" s="96">
        <v>94</v>
      </c>
    </row>
    <row r="9" spans="1:8" ht="30.95" customHeight="1">
      <c r="A9" s="97">
        <v>2</v>
      </c>
      <c r="B9" s="135">
        <v>15551.28</v>
      </c>
      <c r="C9" s="39">
        <f t="shared" si="0"/>
        <v>14717.499999997017</v>
      </c>
      <c r="D9" s="70">
        <v>15933.709000000001</v>
      </c>
      <c r="E9" s="39">
        <f t="shared" si="1"/>
        <v>10722.499999997126</v>
      </c>
      <c r="F9" s="47">
        <f t="shared" si="2"/>
        <v>25439.999999994143</v>
      </c>
      <c r="G9" s="66">
        <f t="shared" si="3"/>
        <v>2371.0079999994541</v>
      </c>
      <c r="H9" s="136">
        <v>101</v>
      </c>
    </row>
    <row r="10" spans="1:8" ht="30.95" customHeight="1">
      <c r="A10" s="95">
        <v>3</v>
      </c>
      <c r="B10" s="71">
        <v>15557.166999999999</v>
      </c>
      <c r="C10" s="69">
        <f t="shared" si="0"/>
        <v>13075.000000003456</v>
      </c>
      <c r="D10" s="72">
        <v>15937.998</v>
      </c>
      <c r="E10" s="69">
        <f t="shared" si="1"/>
        <v>10372.500000003129</v>
      </c>
      <c r="F10" s="50">
        <f t="shared" si="2"/>
        <v>23447.500000006585</v>
      </c>
      <c r="G10" s="66">
        <f t="shared" si="3"/>
        <v>2185.3070000006137</v>
      </c>
      <c r="H10" s="136">
        <v>100</v>
      </c>
    </row>
    <row r="11" spans="1:8" ht="30.95" customHeight="1">
      <c r="A11" s="97">
        <v>4</v>
      </c>
      <c r="B11" s="73">
        <v>15562.397000000001</v>
      </c>
      <c r="C11" s="39">
        <f t="shared" si="0"/>
        <v>13589.999999999236</v>
      </c>
      <c r="D11" s="74">
        <v>15942.147000000001</v>
      </c>
      <c r="E11" s="39">
        <f t="shared" si="1"/>
        <v>10174.999999999272</v>
      </c>
      <c r="F11" s="47">
        <f t="shared" si="2"/>
        <v>23764.999999998508</v>
      </c>
      <c r="G11" s="66">
        <f t="shared" si="3"/>
        <v>2214.897999999861</v>
      </c>
      <c r="H11" s="136">
        <v>89</v>
      </c>
    </row>
    <row r="12" spans="1:8" ht="30.95" customHeight="1">
      <c r="A12" s="95">
        <v>5</v>
      </c>
      <c r="B12" s="75">
        <v>15567.833000000001</v>
      </c>
      <c r="C12" s="69">
        <f t="shared" si="0"/>
        <v>13732.499999996435</v>
      </c>
      <c r="D12" s="72">
        <v>15946.217000000001</v>
      </c>
      <c r="E12" s="69">
        <f t="shared" si="1"/>
        <v>10512.499999999818</v>
      </c>
      <c r="F12" s="50">
        <f t="shared" si="2"/>
        <v>24244.999999996253</v>
      </c>
      <c r="G12" s="66">
        <f t="shared" si="3"/>
        <v>2259.6339999996508</v>
      </c>
      <c r="H12" s="136">
        <v>80</v>
      </c>
    </row>
    <row r="13" spans="1:8" ht="30.95" customHeight="1">
      <c r="A13" s="97">
        <v>6</v>
      </c>
      <c r="B13" s="73">
        <v>15573.325999999999</v>
      </c>
      <c r="C13" s="39">
        <f t="shared" si="0"/>
        <v>16397.500000002765</v>
      </c>
      <c r="D13" s="74">
        <v>15950.422</v>
      </c>
      <c r="E13" s="39">
        <f t="shared" si="1"/>
        <v>10862.499999998363</v>
      </c>
      <c r="F13" s="47">
        <f t="shared" si="2"/>
        <v>27260.000000001128</v>
      </c>
      <c r="G13" s="66">
        <f t="shared" si="3"/>
        <v>2540.6320000001051</v>
      </c>
      <c r="H13" s="136">
        <v>77</v>
      </c>
    </row>
    <row r="14" spans="1:8" ht="30.95" customHeight="1">
      <c r="A14" s="95">
        <v>7</v>
      </c>
      <c r="B14" s="75">
        <v>15579.885</v>
      </c>
      <c r="C14" s="69">
        <f t="shared" si="0"/>
        <v>13812.499999999091</v>
      </c>
      <c r="D14" s="98">
        <v>15954.767</v>
      </c>
      <c r="E14" s="69">
        <f t="shared" si="1"/>
        <v>9917.5000000013824</v>
      </c>
      <c r="F14" s="50">
        <f t="shared" si="2"/>
        <v>23730.000000000473</v>
      </c>
      <c r="G14" s="66">
        <f t="shared" si="3"/>
        <v>2211.6360000000441</v>
      </c>
      <c r="H14" s="136">
        <v>90</v>
      </c>
    </row>
    <row r="15" spans="1:8" ht="30.95" customHeight="1">
      <c r="A15" s="97">
        <v>8</v>
      </c>
      <c r="B15" s="73">
        <v>15585.41</v>
      </c>
      <c r="C15" s="39">
        <f t="shared" si="0"/>
        <v>13450.000000002547</v>
      </c>
      <c r="D15" s="76">
        <v>15958.734</v>
      </c>
      <c r="E15" s="39">
        <f t="shared" si="1"/>
        <v>9324.9999999989086</v>
      </c>
      <c r="F15" s="47">
        <f t="shared" si="2"/>
        <v>22775.000000001455</v>
      </c>
      <c r="G15" s="66">
        <f t="shared" si="3"/>
        <v>2122.6300000001356</v>
      </c>
      <c r="H15" s="136">
        <v>93</v>
      </c>
    </row>
    <row r="16" spans="1:8" ht="30.95" customHeight="1">
      <c r="A16" s="95">
        <v>9</v>
      </c>
      <c r="B16" s="137">
        <v>15590.79</v>
      </c>
      <c r="C16" s="69">
        <f t="shared" si="0"/>
        <v>13667.499999996835</v>
      </c>
      <c r="D16" s="77">
        <v>15962.464</v>
      </c>
      <c r="E16" s="69">
        <f t="shared" si="1"/>
        <v>9800.0000000001819</v>
      </c>
      <c r="F16" s="50">
        <f t="shared" si="2"/>
        <v>23467.499999997017</v>
      </c>
      <c r="G16" s="66">
        <f t="shared" si="3"/>
        <v>2187.170999999722</v>
      </c>
      <c r="H16" s="136">
        <v>119</v>
      </c>
    </row>
    <row r="17" spans="1:8" ht="30.95" customHeight="1">
      <c r="A17" s="97">
        <v>10</v>
      </c>
      <c r="B17" s="75">
        <v>15596.257</v>
      </c>
      <c r="C17" s="39">
        <f t="shared" si="0"/>
        <v>14845.000000000255</v>
      </c>
      <c r="D17" s="98">
        <v>15966.384</v>
      </c>
      <c r="E17" s="39">
        <f t="shared" si="1"/>
        <v>11102.500000001783</v>
      </c>
      <c r="F17" s="47">
        <f t="shared" si="2"/>
        <v>25947.500000002037</v>
      </c>
      <c r="G17" s="66">
        <f t="shared" si="3"/>
        <v>2418.3070000001899</v>
      </c>
      <c r="H17" s="136">
        <v>113</v>
      </c>
    </row>
    <row r="18" spans="1:8" ht="30.95" customHeight="1">
      <c r="A18" s="95">
        <v>11</v>
      </c>
      <c r="B18" s="73">
        <v>15602.195</v>
      </c>
      <c r="C18" s="69">
        <f t="shared" si="0"/>
        <v>13620.0000000008</v>
      </c>
      <c r="D18" s="76">
        <v>15970.825000000001</v>
      </c>
      <c r="E18" s="69">
        <f t="shared" si="1"/>
        <v>9767.4999999981083</v>
      </c>
      <c r="F18" s="50">
        <f t="shared" si="2"/>
        <v>23387.499999998909</v>
      </c>
      <c r="G18" s="66">
        <f t="shared" si="3"/>
        <v>2179.7149999998983</v>
      </c>
      <c r="H18" s="136">
        <v>83</v>
      </c>
    </row>
    <row r="19" spans="1:8" ht="30.95" customHeight="1">
      <c r="A19" s="97">
        <v>12</v>
      </c>
      <c r="B19" s="140">
        <v>15607.643</v>
      </c>
      <c r="C19" s="39">
        <f t="shared" si="0"/>
        <v>5727.4999999981446</v>
      </c>
      <c r="D19" s="141">
        <v>15974.732</v>
      </c>
      <c r="E19" s="39">
        <f t="shared" si="1"/>
        <v>2842.5000000015643</v>
      </c>
      <c r="F19" s="47">
        <f t="shared" si="2"/>
        <v>8569.999999999709</v>
      </c>
      <c r="G19" s="66">
        <f t="shared" si="3"/>
        <v>798.72399999997288</v>
      </c>
      <c r="H19" s="136">
        <v>84</v>
      </c>
    </row>
    <row r="20" spans="1:8" ht="30.95" customHeight="1">
      <c r="A20" s="95">
        <v>13</v>
      </c>
      <c r="B20" s="75">
        <v>15609.933999999999</v>
      </c>
      <c r="C20" s="69">
        <f t="shared" si="0"/>
        <v>25002.500000000509</v>
      </c>
      <c r="D20" s="98">
        <v>15975.869000000001</v>
      </c>
      <c r="E20" s="69">
        <f t="shared" si="1"/>
        <v>15509.999999999309</v>
      </c>
      <c r="F20" s="50">
        <f t="shared" si="2"/>
        <v>40512.499999999818</v>
      </c>
      <c r="G20" s="66">
        <f t="shared" si="3"/>
        <v>3775.764999999983</v>
      </c>
      <c r="H20" s="136">
        <v>84</v>
      </c>
    </row>
    <row r="21" spans="1:8" ht="30.95" customHeight="1">
      <c r="A21" s="97">
        <v>14</v>
      </c>
      <c r="B21" s="73">
        <v>15619.934999999999</v>
      </c>
      <c r="C21" s="39">
        <f t="shared" si="0"/>
        <v>10622.499999999491</v>
      </c>
      <c r="D21" s="78">
        <v>15982.073</v>
      </c>
      <c r="E21" s="39">
        <f t="shared" si="1"/>
        <v>11309.999999998581</v>
      </c>
      <c r="F21" s="47">
        <f t="shared" si="2"/>
        <v>21932.499999998072</v>
      </c>
      <c r="G21" s="66">
        <f t="shared" si="3"/>
        <v>2044.1089999998203</v>
      </c>
      <c r="H21" s="136">
        <v>89</v>
      </c>
    </row>
    <row r="22" spans="1:8" ht="30.95" customHeight="1">
      <c r="A22" s="95">
        <v>15</v>
      </c>
      <c r="B22" s="73">
        <v>15624.183999999999</v>
      </c>
      <c r="C22" s="69">
        <f t="shared" si="0"/>
        <v>13175.000000001091</v>
      </c>
      <c r="D22" s="76">
        <v>15986.597</v>
      </c>
      <c r="E22" s="69">
        <f t="shared" si="1"/>
        <v>9682.4999999989814</v>
      </c>
      <c r="F22" s="50">
        <f t="shared" si="2"/>
        <v>22857.500000000073</v>
      </c>
      <c r="G22" s="66">
        <f t="shared" si="3"/>
        <v>2130.3190000000068</v>
      </c>
      <c r="H22" s="136">
        <v>112</v>
      </c>
    </row>
    <row r="23" spans="1:8" ht="30.95" customHeight="1">
      <c r="A23" s="97">
        <v>16</v>
      </c>
      <c r="B23" s="81">
        <v>15629.454</v>
      </c>
      <c r="C23" s="39">
        <f t="shared" si="0"/>
        <v>13182.500000002619</v>
      </c>
      <c r="D23" s="82">
        <v>15990.47</v>
      </c>
      <c r="E23" s="39">
        <f t="shared" si="1"/>
        <v>9812.5000000027285</v>
      </c>
      <c r="F23" s="47">
        <f t="shared" si="2"/>
        <v>22995.000000005348</v>
      </c>
      <c r="G23" s="66">
        <f t="shared" si="3"/>
        <v>2143.1340000004984</v>
      </c>
      <c r="H23" s="136">
        <v>100</v>
      </c>
    </row>
    <row r="24" spans="1:8" ht="30.95" customHeight="1">
      <c r="A24" s="95">
        <v>17</v>
      </c>
      <c r="B24" s="83">
        <v>15634.727000000001</v>
      </c>
      <c r="C24" s="69">
        <f t="shared" si="0"/>
        <v>14592.499999998836</v>
      </c>
      <c r="D24" s="98">
        <v>15994.395</v>
      </c>
      <c r="E24" s="69">
        <f t="shared" si="1"/>
        <v>10650.000000000546</v>
      </c>
      <c r="F24" s="50">
        <f t="shared" si="2"/>
        <v>25242.499999999382</v>
      </c>
      <c r="G24" s="66">
        <f t="shared" si="3"/>
        <v>2352.6009999999424</v>
      </c>
      <c r="H24" s="136">
        <v>115</v>
      </c>
    </row>
    <row r="25" spans="1:8" ht="30.95" customHeight="1">
      <c r="A25" s="97">
        <v>18</v>
      </c>
      <c r="B25" s="73">
        <v>15640.564</v>
      </c>
      <c r="C25" s="39">
        <f>(B26-B25)*2500</f>
        <v>14112.500000001091</v>
      </c>
      <c r="D25" s="76">
        <v>15998.655000000001</v>
      </c>
      <c r="E25" s="39">
        <f>(D26-D25)*2500</f>
        <v>10552.499999998872</v>
      </c>
      <c r="F25" s="47">
        <f t="shared" si="2"/>
        <v>24664.999999999964</v>
      </c>
      <c r="G25" s="66">
        <f t="shared" si="3"/>
        <v>2298.7779999999966</v>
      </c>
      <c r="H25" s="136">
        <v>104</v>
      </c>
    </row>
    <row r="26" spans="1:8" ht="30.95" customHeight="1">
      <c r="A26" s="95">
        <v>19</v>
      </c>
      <c r="B26" s="75">
        <v>15646.209000000001</v>
      </c>
      <c r="C26" s="69">
        <f t="shared" ref="C26:C38" si="4">(B27-B26)*2500</f>
        <v>13179.999999997563</v>
      </c>
      <c r="D26" s="98">
        <v>16002.876</v>
      </c>
      <c r="E26" s="69">
        <f t="shared" ref="E26:E38" si="5">(D27-D26)*2500</f>
        <v>9277.4999999983265</v>
      </c>
      <c r="F26" s="47">
        <f t="shared" si="2"/>
        <v>22457.499999995889</v>
      </c>
      <c r="G26" s="66">
        <f t="shared" si="3"/>
        <v>2093.0389999996169</v>
      </c>
      <c r="H26" s="136">
        <v>73</v>
      </c>
    </row>
    <row r="27" spans="1:8" ht="30.95" customHeight="1">
      <c r="A27" s="97">
        <v>20</v>
      </c>
      <c r="B27" s="73">
        <v>15651.481</v>
      </c>
      <c r="C27" s="39">
        <f t="shared" si="4"/>
        <v>12882.500000000618</v>
      </c>
      <c r="D27" s="78">
        <v>16006.587</v>
      </c>
      <c r="E27" s="39">
        <f t="shared" si="5"/>
        <v>8960.0000000018554</v>
      </c>
      <c r="F27" s="50">
        <f t="shared" si="2"/>
        <v>21842.500000002474</v>
      </c>
      <c r="G27" s="66">
        <f t="shared" si="3"/>
        <v>2035.7210000002306</v>
      </c>
      <c r="H27" s="136">
        <v>63</v>
      </c>
    </row>
    <row r="28" spans="1:8" ht="30.95" customHeight="1">
      <c r="A28" s="95">
        <v>21</v>
      </c>
      <c r="B28" s="75">
        <v>15656.634</v>
      </c>
      <c r="C28" s="69">
        <f t="shared" si="4"/>
        <v>13107.500000000982</v>
      </c>
      <c r="D28" s="98">
        <v>16010.171</v>
      </c>
      <c r="E28" s="69">
        <f t="shared" si="5"/>
        <v>9332.5000000004366</v>
      </c>
      <c r="F28" s="47">
        <f t="shared" si="2"/>
        <v>22440.000000001419</v>
      </c>
      <c r="G28" s="66">
        <f t="shared" si="3"/>
        <v>2091.4080000001322</v>
      </c>
      <c r="H28" s="136">
        <v>63</v>
      </c>
    </row>
    <row r="29" spans="1:8" ht="30.95" customHeight="1">
      <c r="A29" s="97">
        <v>22</v>
      </c>
      <c r="B29" s="73">
        <v>15661.877</v>
      </c>
      <c r="C29" s="39">
        <f t="shared" si="4"/>
        <v>12159.999999998945</v>
      </c>
      <c r="D29" s="76">
        <v>16013.904</v>
      </c>
      <c r="E29" s="39">
        <f t="shared" si="5"/>
        <v>9029.9999999979264</v>
      </c>
      <c r="F29" s="50">
        <f t="shared" si="2"/>
        <v>21189.999999996871</v>
      </c>
      <c r="G29" s="66">
        <f t="shared" si="3"/>
        <v>1974.9079999997084</v>
      </c>
      <c r="H29" s="136">
        <v>77</v>
      </c>
    </row>
    <row r="30" spans="1:8" ht="30.95" customHeight="1">
      <c r="A30" s="95">
        <v>23</v>
      </c>
      <c r="B30" s="75">
        <v>15666.741</v>
      </c>
      <c r="C30" s="69">
        <f t="shared" si="4"/>
        <v>13672.499999997854</v>
      </c>
      <c r="D30" s="98">
        <v>16017.516</v>
      </c>
      <c r="E30" s="69">
        <f t="shared" si="5"/>
        <v>9972.499999998945</v>
      </c>
      <c r="F30" s="47">
        <f t="shared" si="2"/>
        <v>23644.999999996799</v>
      </c>
      <c r="G30" s="66">
        <f t="shared" si="3"/>
        <v>2203.7139999997016</v>
      </c>
      <c r="H30" s="136">
        <v>103</v>
      </c>
    </row>
    <row r="31" spans="1:8" ht="30.95" customHeight="1">
      <c r="A31" s="97">
        <v>24</v>
      </c>
      <c r="B31" s="73">
        <v>15672.21</v>
      </c>
      <c r="C31" s="39">
        <f t="shared" si="4"/>
        <v>12262.500000001637</v>
      </c>
      <c r="D31" s="76">
        <v>16021.504999999999</v>
      </c>
      <c r="E31" s="39">
        <f t="shared" si="5"/>
        <v>8907.5000000002547</v>
      </c>
      <c r="F31" s="50">
        <f t="shared" si="2"/>
        <v>21170.000000001892</v>
      </c>
      <c r="G31" s="66">
        <f t="shared" si="3"/>
        <v>1973.0440000001763</v>
      </c>
      <c r="H31" s="136">
        <v>92</v>
      </c>
    </row>
    <row r="32" spans="1:8" ht="30.95" customHeight="1">
      <c r="A32" s="95">
        <v>25</v>
      </c>
      <c r="B32" s="75">
        <v>15677.115</v>
      </c>
      <c r="C32" s="69">
        <f t="shared" si="4"/>
        <v>14127.4999999996</v>
      </c>
      <c r="D32" s="98">
        <v>16025.067999999999</v>
      </c>
      <c r="E32" s="69">
        <f t="shared" si="5"/>
        <v>10255.000000001928</v>
      </c>
      <c r="F32" s="47">
        <f t="shared" si="2"/>
        <v>24382.500000001528</v>
      </c>
      <c r="G32" s="66">
        <f t="shared" si="3"/>
        <v>2272.4490000001424</v>
      </c>
      <c r="H32" s="136">
        <v>82</v>
      </c>
    </row>
    <row r="33" spans="1:8" ht="30.95" customHeight="1">
      <c r="A33" s="97">
        <v>26</v>
      </c>
      <c r="B33" s="73">
        <v>15682.766</v>
      </c>
      <c r="C33" s="39">
        <f t="shared" si="4"/>
        <v>14075.000000002547</v>
      </c>
      <c r="D33" s="76">
        <v>16029.17</v>
      </c>
      <c r="E33" s="39">
        <f t="shared" si="5"/>
        <v>10037.499999998545</v>
      </c>
      <c r="F33" s="50">
        <f t="shared" si="2"/>
        <v>24112.500000001091</v>
      </c>
      <c r="G33" s="66">
        <f t="shared" si="3"/>
        <v>2247.2850000001017</v>
      </c>
      <c r="H33" s="136">
        <v>75</v>
      </c>
    </row>
    <row r="34" spans="1:8" ht="30.95" customHeight="1">
      <c r="A34" s="95">
        <v>27</v>
      </c>
      <c r="B34" s="75">
        <v>15688.396000000001</v>
      </c>
      <c r="C34" s="69">
        <f t="shared" si="4"/>
        <v>13299.999999999272</v>
      </c>
      <c r="D34" s="98">
        <v>16033.184999999999</v>
      </c>
      <c r="E34" s="39">
        <f t="shared" si="5"/>
        <v>9177.5000000006912</v>
      </c>
      <c r="F34" s="47">
        <f t="shared" si="2"/>
        <v>22477.499999999964</v>
      </c>
      <c r="G34" s="66">
        <f t="shared" si="3"/>
        <v>2094.9029999999966</v>
      </c>
      <c r="H34" s="136">
        <v>79</v>
      </c>
    </row>
    <row r="35" spans="1:8" ht="30.95" customHeight="1">
      <c r="A35" s="97">
        <v>28</v>
      </c>
      <c r="B35" s="79">
        <v>15693.716</v>
      </c>
      <c r="C35" s="39">
        <f t="shared" si="4"/>
        <v>11867.499999998472</v>
      </c>
      <c r="D35" s="76">
        <v>16036.856</v>
      </c>
      <c r="E35" s="39">
        <f t="shared" si="5"/>
        <v>8690.0000000014188</v>
      </c>
      <c r="F35" s="47">
        <f t="shared" si="2"/>
        <v>20557.499999999891</v>
      </c>
      <c r="G35" s="66">
        <f t="shared" si="3"/>
        <v>1915.9589999999898</v>
      </c>
      <c r="H35" s="136">
        <v>71</v>
      </c>
    </row>
    <row r="36" spans="1:8" ht="30.95" customHeight="1">
      <c r="A36" s="95">
        <v>29</v>
      </c>
      <c r="B36" s="75">
        <v>15698.463</v>
      </c>
      <c r="C36" s="68">
        <f t="shared" si="4"/>
        <v>-39246157.5</v>
      </c>
      <c r="D36" s="56">
        <v>16040.332</v>
      </c>
      <c r="E36" s="68">
        <f t="shared" si="5"/>
        <v>-40100830</v>
      </c>
      <c r="F36" s="42">
        <f t="shared" si="2"/>
        <v>-79346987.5</v>
      </c>
      <c r="G36" s="66">
        <f t="shared" si="3"/>
        <v>-7395139.2350000003</v>
      </c>
      <c r="H36" s="96">
        <v>63</v>
      </c>
    </row>
    <row r="37" spans="1:8" ht="30.95" customHeight="1">
      <c r="A37" s="102">
        <v>30</v>
      </c>
      <c r="B37" s="103"/>
      <c r="C37" s="104">
        <f>(B38-B37)*2500</f>
        <v>0</v>
      </c>
      <c r="D37" s="105"/>
      <c r="E37" s="104">
        <f>(D38-D37)*2500</f>
        <v>0</v>
      </c>
      <c r="F37" s="106">
        <f t="shared" si="2"/>
        <v>0</v>
      </c>
      <c r="G37" s="66">
        <f t="shared" si="3"/>
        <v>0</v>
      </c>
      <c r="H37" s="170"/>
    </row>
    <row r="38" spans="1:8" ht="30.95" customHeight="1">
      <c r="A38" s="95">
        <v>31</v>
      </c>
      <c r="B38" s="40"/>
      <c r="C38" s="69">
        <f t="shared" si="4"/>
        <v>0</v>
      </c>
      <c r="D38" s="98"/>
      <c r="E38" s="69">
        <f t="shared" si="5"/>
        <v>0</v>
      </c>
      <c r="F38" s="50">
        <f t="shared" si="2"/>
        <v>0</v>
      </c>
      <c r="G38" s="131">
        <f t="shared" si="3"/>
        <v>0</v>
      </c>
      <c r="H38" s="171"/>
    </row>
    <row r="39" spans="1:8" ht="30.95" customHeight="1">
      <c r="A39" s="125">
        <v>1</v>
      </c>
      <c r="B39" s="126"/>
      <c r="C39" s="127">
        <f t="shared" ref="C39" si="6">(B40-B39)*2500</f>
        <v>0</v>
      </c>
      <c r="D39" s="128"/>
      <c r="E39" s="127">
        <f t="shared" ref="E39" si="7">(D40-D39)*2500</f>
        <v>0</v>
      </c>
      <c r="F39" s="129">
        <f t="shared" ref="F39" si="8">C39+E39</f>
        <v>0</v>
      </c>
      <c r="G39" s="130">
        <f t="shared" si="3"/>
        <v>0</v>
      </c>
      <c r="H39" s="132"/>
    </row>
    <row r="40" spans="1:8">
      <c r="B40" s="56"/>
      <c r="C40" s="56"/>
      <c r="D40" s="56"/>
      <c r="E40" s="56"/>
    </row>
    <row r="41" spans="1:8">
      <c r="B41" s="56"/>
      <c r="C41" s="56"/>
      <c r="D41" s="56"/>
      <c r="E41" s="56"/>
    </row>
    <row r="42" spans="1:8">
      <c r="B42" s="56"/>
      <c r="C42" s="56"/>
      <c r="D42" s="56"/>
      <c r="E42" s="56"/>
    </row>
    <row r="43" spans="1:8">
      <c r="B43" s="56"/>
      <c r="C43" s="56"/>
      <c r="D43" s="56"/>
      <c r="E43" s="56"/>
    </row>
    <row r="44" spans="1:8">
      <c r="B44" s="56"/>
      <c r="C44" s="56"/>
      <c r="D44" s="56"/>
      <c r="E44" s="56"/>
    </row>
    <row r="45" spans="1:8">
      <c r="B45" s="56"/>
      <c r="C45" s="56"/>
      <c r="D45" s="56"/>
      <c r="E45" s="56"/>
    </row>
    <row r="46" spans="1:8">
      <c r="B46" s="56"/>
      <c r="C46" s="56"/>
      <c r="D46" s="56"/>
      <c r="E46" s="56"/>
      <c r="F46" s="58"/>
      <c r="G46" s="16"/>
    </row>
    <row r="47" spans="1:8">
      <c r="B47" s="56"/>
      <c r="C47" s="56"/>
      <c r="D47" s="56"/>
      <c r="E47" s="56"/>
      <c r="F47" s="58"/>
      <c r="G47" s="16"/>
    </row>
    <row r="48" spans="1:8">
      <c r="B48" s="56"/>
      <c r="C48" s="56"/>
      <c r="D48" s="56"/>
      <c r="E48" s="56"/>
      <c r="F48" s="58"/>
      <c r="G48" s="16"/>
    </row>
    <row r="49" spans="1:7">
      <c r="B49" s="56"/>
      <c r="C49" s="56"/>
      <c r="D49" s="56"/>
      <c r="E49" s="56"/>
      <c r="F49" s="58"/>
      <c r="G49" s="16"/>
    </row>
    <row r="50" spans="1:7">
      <c r="B50" s="56"/>
      <c r="C50" s="56"/>
      <c r="D50" s="56"/>
      <c r="E50" s="56"/>
      <c r="F50" s="58"/>
      <c r="G50" s="16"/>
    </row>
    <row r="51" spans="1:7">
      <c r="A51" s="59"/>
      <c r="B51" s="56"/>
      <c r="C51" s="56"/>
      <c r="D51" s="56"/>
      <c r="E51" s="56"/>
      <c r="F51" s="58"/>
      <c r="G51" s="16"/>
    </row>
    <row r="52" spans="1:7">
      <c r="A52" s="59"/>
      <c r="B52" s="56"/>
      <c r="C52" s="56"/>
      <c r="D52" s="56"/>
      <c r="E52" s="56"/>
      <c r="F52" s="58"/>
      <c r="G52" s="16"/>
    </row>
    <row r="53" spans="1:7">
      <c r="A53" s="59"/>
      <c r="B53" s="56"/>
      <c r="C53" s="56"/>
      <c r="D53" s="56"/>
      <c r="E53" s="56"/>
      <c r="F53" s="58"/>
      <c r="G53" s="16"/>
    </row>
    <row r="54" spans="1:7">
      <c r="A54" s="59"/>
      <c r="B54" s="56"/>
      <c r="C54" s="56"/>
      <c r="D54" s="56"/>
      <c r="E54" s="56"/>
      <c r="F54" s="58"/>
      <c r="G54" s="16"/>
    </row>
    <row r="55" spans="1:7">
      <c r="A55" s="59"/>
      <c r="B55" s="56"/>
      <c r="C55" s="56"/>
      <c r="D55" s="56"/>
      <c r="E55" s="56"/>
      <c r="F55" s="58"/>
      <c r="G55" s="16"/>
    </row>
    <row r="56" spans="1:7">
      <c r="A56" s="59"/>
      <c r="B56" s="56"/>
      <c r="C56" s="56"/>
      <c r="D56" s="56"/>
      <c r="E56" s="56"/>
      <c r="F56" s="58"/>
      <c r="G56" s="16"/>
    </row>
    <row r="57" spans="1:7">
      <c r="A57" s="59"/>
      <c r="B57" s="56"/>
      <c r="C57" s="56"/>
      <c r="D57" s="56"/>
      <c r="E57" s="56"/>
      <c r="F57" s="58"/>
      <c r="G57" s="16"/>
    </row>
    <row r="58" spans="1:7">
      <c r="A58" s="59"/>
      <c r="B58" s="56"/>
      <c r="C58" s="56"/>
      <c r="D58" s="56"/>
      <c r="E58" s="56"/>
      <c r="F58" s="58"/>
      <c r="G58" s="16"/>
    </row>
    <row r="59" spans="1:7">
      <c r="A59" s="59"/>
      <c r="B59" s="56"/>
      <c r="C59" s="56"/>
      <c r="D59" s="56"/>
      <c r="E59" s="56"/>
      <c r="F59" s="58"/>
      <c r="G59" s="16"/>
    </row>
    <row r="60" spans="1:7">
      <c r="A60" s="59"/>
      <c r="B60" s="56"/>
      <c r="C60" s="56"/>
      <c r="D60" s="56"/>
      <c r="E60" s="56"/>
      <c r="F60" s="58"/>
      <c r="G60" s="16"/>
    </row>
    <row r="61" spans="1:7">
      <c r="A61" s="59"/>
      <c r="B61" s="56"/>
      <c r="C61" s="56"/>
      <c r="D61" s="56"/>
      <c r="E61" s="56"/>
      <c r="F61" s="58"/>
      <c r="G61" s="16"/>
    </row>
    <row r="62" spans="1:7">
      <c r="A62" s="59"/>
      <c r="B62" s="56"/>
      <c r="C62" s="56"/>
      <c r="D62" s="56"/>
      <c r="E62" s="56"/>
      <c r="F62" s="58"/>
      <c r="G62" s="16"/>
    </row>
    <row r="63" spans="1:7">
      <c r="A63" s="59"/>
      <c r="B63" s="56"/>
      <c r="C63" s="56"/>
      <c r="D63" s="56"/>
      <c r="E63" s="56"/>
      <c r="F63" s="58"/>
      <c r="G63" s="16"/>
    </row>
    <row r="64" spans="1:7">
      <c r="A64" s="59"/>
      <c r="B64" s="56"/>
      <c r="C64" s="56"/>
      <c r="D64" s="56"/>
      <c r="E64" s="56"/>
      <c r="F64" s="58"/>
      <c r="G64" s="16"/>
    </row>
    <row r="65" spans="1:7">
      <c r="A65" s="59"/>
      <c r="B65" s="56"/>
      <c r="C65" s="56"/>
      <c r="D65" s="56"/>
      <c r="E65" s="56"/>
      <c r="F65" s="58"/>
      <c r="G65" s="16"/>
    </row>
    <row r="66" spans="1:7">
      <c r="A66" s="59"/>
      <c r="B66" s="56"/>
      <c r="C66" s="56"/>
      <c r="D66" s="56"/>
      <c r="E66" s="56"/>
      <c r="F66" s="58"/>
      <c r="G66" s="16"/>
    </row>
    <row r="67" spans="1:7">
      <c r="A67" s="59"/>
      <c r="B67" s="56"/>
      <c r="C67" s="56"/>
      <c r="D67" s="56"/>
      <c r="E67" s="56"/>
      <c r="F67" s="58"/>
      <c r="G67" s="16"/>
    </row>
    <row r="68" spans="1:7">
      <c r="A68" s="59"/>
      <c r="B68" s="56"/>
      <c r="C68" s="56"/>
      <c r="D68" s="56"/>
      <c r="E68" s="56"/>
      <c r="F68" s="58"/>
      <c r="G68" s="16"/>
    </row>
    <row r="69" spans="1:7">
      <c r="A69" s="59"/>
      <c r="B69" s="56"/>
      <c r="C69" s="56"/>
      <c r="D69" s="56"/>
      <c r="E69" s="56"/>
      <c r="F69" s="58"/>
      <c r="G69" s="16"/>
    </row>
    <row r="70" spans="1:7">
      <c r="A70" s="59"/>
      <c r="B70" s="56"/>
      <c r="C70" s="56"/>
      <c r="D70" s="56"/>
      <c r="E70" s="56"/>
      <c r="F70" s="58"/>
      <c r="G70" s="16"/>
    </row>
    <row r="71" spans="1:7">
      <c r="A71" s="59"/>
      <c r="B71" s="56"/>
      <c r="C71" s="56"/>
      <c r="D71" s="56"/>
      <c r="E71" s="56"/>
      <c r="F71" s="58"/>
      <c r="G71" s="16"/>
    </row>
    <row r="72" spans="1:7">
      <c r="A72" s="59"/>
      <c r="B72" s="56"/>
      <c r="C72" s="56"/>
      <c r="D72" s="56"/>
      <c r="E72" s="56"/>
      <c r="F72" s="58"/>
      <c r="G72" s="16"/>
    </row>
    <row r="73" spans="1:7">
      <c r="A73" s="59"/>
      <c r="B73" s="56"/>
      <c r="C73" s="56"/>
      <c r="D73" s="56"/>
      <c r="E73" s="56"/>
      <c r="F73" s="58"/>
      <c r="G73" s="16"/>
    </row>
    <row r="74" spans="1:7">
      <c r="A74" s="59"/>
      <c r="B74" s="56"/>
      <c r="C74" s="56"/>
      <c r="D74" s="56"/>
      <c r="E74" s="56"/>
      <c r="F74" s="58"/>
      <c r="G74" s="16"/>
    </row>
    <row r="75" spans="1:7">
      <c r="A75" s="59"/>
      <c r="B75" s="56"/>
      <c r="C75" s="56"/>
      <c r="D75" s="56"/>
      <c r="E75" s="56"/>
      <c r="F75" s="58"/>
      <c r="G75" s="16"/>
    </row>
    <row r="76" spans="1:7">
      <c r="A76" s="59"/>
      <c r="B76" s="56"/>
      <c r="C76" s="56"/>
      <c r="D76" s="56"/>
      <c r="E76" s="56"/>
      <c r="F76" s="58"/>
      <c r="G76" s="16"/>
    </row>
    <row r="77" spans="1:7">
      <c r="A77" s="59"/>
      <c r="B77" s="56"/>
      <c r="C77" s="56"/>
      <c r="D77" s="56"/>
      <c r="E77" s="56"/>
      <c r="F77" s="58"/>
      <c r="G77" s="16"/>
    </row>
    <row r="78" spans="1:7">
      <c r="A78" s="59"/>
      <c r="B78" s="56"/>
      <c r="C78" s="56"/>
      <c r="D78" s="56"/>
      <c r="E78" s="56"/>
      <c r="F78" s="58"/>
      <c r="G78" s="16"/>
    </row>
    <row r="79" spans="1:7">
      <c r="A79" s="59"/>
      <c r="B79" s="56"/>
      <c r="C79" s="56"/>
      <c r="D79" s="56"/>
      <c r="E79" s="56"/>
      <c r="F79" s="58"/>
      <c r="G79" s="16"/>
    </row>
    <row r="80" spans="1:7">
      <c r="A80" s="59"/>
      <c r="B80" s="56"/>
      <c r="C80" s="56"/>
      <c r="D80" s="56"/>
      <c r="E80" s="56"/>
      <c r="F80" s="58"/>
      <c r="G80" s="16"/>
    </row>
    <row r="81" spans="1:7">
      <c r="A81" s="59"/>
      <c r="B81" s="56"/>
      <c r="C81" s="56"/>
      <c r="D81" s="56"/>
      <c r="E81" s="56"/>
      <c r="F81" s="58"/>
      <c r="G81" s="16"/>
    </row>
    <row r="82" spans="1:7">
      <c r="A82" s="59"/>
      <c r="B82" s="56"/>
      <c r="C82" s="56"/>
      <c r="D82" s="56"/>
      <c r="E82" s="56"/>
      <c r="F82" s="58"/>
      <c r="G82" s="16"/>
    </row>
    <row r="83" spans="1:7">
      <c r="A83" s="59"/>
      <c r="B83" s="56"/>
      <c r="C83" s="56"/>
      <c r="D83" s="56"/>
      <c r="E83" s="56"/>
      <c r="F83" s="58"/>
      <c r="G83" s="16"/>
    </row>
    <row r="84" spans="1:7">
      <c r="A84" s="59"/>
      <c r="B84" s="56"/>
      <c r="C84" s="56"/>
      <c r="D84" s="56"/>
      <c r="E84" s="56"/>
      <c r="F84" s="58"/>
      <c r="G84" s="16"/>
    </row>
    <row r="85" spans="1:7">
      <c r="A85" s="59"/>
      <c r="B85" s="56"/>
      <c r="C85" s="56"/>
      <c r="D85" s="56"/>
      <c r="E85" s="56"/>
      <c r="F85" s="58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8" activePane="bottomLeft" state="frozen"/>
      <selection pane="bottomLeft" activeCell="N35" sqref="N35"/>
    </sheetView>
  </sheetViews>
  <sheetFormatPr defaultRowHeight="15"/>
  <cols>
    <col min="1" max="1" width="10.7109375" style="56" customWidth="1"/>
    <col min="2" max="2" width="12.7109375" style="16" customWidth="1"/>
    <col min="3" max="6" width="12.7109375" style="58" customWidth="1"/>
    <col min="7" max="9" width="12.7109375" style="16" customWidth="1"/>
    <col min="10" max="12" width="12.7109375" style="60" customWidth="1"/>
    <col min="13" max="13" width="12.7109375" style="16" customWidth="1"/>
    <col min="14" max="16384" width="9.140625" style="16"/>
  </cols>
  <sheetData>
    <row r="1" spans="1:12" ht="30" customHeight="1">
      <c r="A1" s="157" t="s">
        <v>14</v>
      </c>
      <c r="B1" s="162" t="s">
        <v>24</v>
      </c>
      <c r="C1" s="163"/>
      <c r="D1" s="164"/>
      <c r="E1" s="165" t="s">
        <v>25</v>
      </c>
      <c r="F1" s="163"/>
      <c r="G1" s="163"/>
      <c r="H1" s="163"/>
      <c r="I1" s="164"/>
      <c r="J1" s="165" t="s">
        <v>26</v>
      </c>
      <c r="K1" s="163"/>
      <c r="L1" s="166"/>
    </row>
    <row r="2" spans="1:12" ht="27" customHeight="1">
      <c r="A2" s="161"/>
      <c r="B2" s="167"/>
      <c r="C2" s="168"/>
      <c r="D2" s="169"/>
      <c r="E2" s="167"/>
      <c r="F2" s="168"/>
      <c r="G2" s="168"/>
      <c r="H2" s="168"/>
      <c r="I2" s="169"/>
      <c r="J2" s="167"/>
      <c r="K2" s="168"/>
      <c r="L2" s="169"/>
    </row>
    <row r="3" spans="1:12" ht="59.25" customHeight="1">
      <c r="A3" s="89" t="s">
        <v>15</v>
      </c>
      <c r="B3" s="17" t="s">
        <v>22</v>
      </c>
      <c r="C3" s="18" t="s">
        <v>27</v>
      </c>
      <c r="D3" s="19" t="s">
        <v>28</v>
      </c>
      <c r="E3" s="86" t="s">
        <v>22</v>
      </c>
      <c r="F3" s="20" t="s">
        <v>23</v>
      </c>
      <c r="G3" s="21" t="s">
        <v>29</v>
      </c>
      <c r="H3" s="21" t="s">
        <v>30</v>
      </c>
      <c r="I3" s="85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7">
        <v>31</v>
      </c>
      <c r="B5" s="87">
        <v>6963781</v>
      </c>
      <c r="C5" s="99">
        <f>B6-B5</f>
        <v>1491</v>
      </c>
      <c r="D5" s="34">
        <f>C5*0.21186441</f>
        <v>315.88983531000002</v>
      </c>
      <c r="E5" s="35">
        <v>549092</v>
      </c>
      <c r="F5" s="100">
        <f>E6-E5</f>
        <v>249</v>
      </c>
      <c r="G5" s="36">
        <f>F5*0.84746</f>
        <v>211.01754</v>
      </c>
      <c r="H5" s="36">
        <f>F5*0.84746</f>
        <v>211.01754</v>
      </c>
      <c r="I5" s="88">
        <f>G5+H5</f>
        <v>422.03507999999999</v>
      </c>
      <c r="J5" s="37">
        <f>5360+6350</f>
        <v>11710</v>
      </c>
      <c r="K5" s="38">
        <f>J5-J6</f>
        <v>80</v>
      </c>
      <c r="L5" s="39">
        <f>K5*0.7</f>
        <v>56</v>
      </c>
    </row>
    <row r="6" spans="1:12" ht="32.450000000000003" customHeight="1">
      <c r="A6" s="40">
        <v>1</v>
      </c>
      <c r="B6" s="87">
        <v>6965272</v>
      </c>
      <c r="C6" s="52">
        <f t="shared" ref="C6:C15" si="0">B7-B6</f>
        <v>1293</v>
      </c>
      <c r="D6" s="41">
        <f>C6*0.21186441</f>
        <v>273.94068213000003</v>
      </c>
      <c r="E6" s="42">
        <v>549341</v>
      </c>
      <c r="F6" s="53">
        <f t="shared" ref="F6:F15" si="1">E7-E6</f>
        <v>220</v>
      </c>
      <c r="G6" s="43">
        <f>F6*0.84746</f>
        <v>186.44120000000001</v>
      </c>
      <c r="H6" s="43">
        <f>F6*0.84746</f>
        <v>186.44120000000001</v>
      </c>
      <c r="I6" s="44">
        <f t="shared" ref="I6:I36" si="2">G6+H6</f>
        <v>372.88240000000002</v>
      </c>
      <c r="J6" s="37">
        <f>5280+6350</f>
        <v>11630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6966565</v>
      </c>
      <c r="C7" s="54">
        <f t="shared" si="0"/>
        <v>1568</v>
      </c>
      <c r="D7" s="46">
        <f>C7*0.21186441</f>
        <v>332.20339488000002</v>
      </c>
      <c r="E7" s="47">
        <v>549561</v>
      </c>
      <c r="F7" s="55">
        <f t="shared" si="1"/>
        <v>278</v>
      </c>
      <c r="G7" s="48">
        <f t="shared" ref="G7:G36" si="4">F7*0.84746</f>
        <v>235.59387999999998</v>
      </c>
      <c r="H7" s="48">
        <f t="shared" ref="H7:H36" si="5">F7*0.84746</f>
        <v>235.59387999999998</v>
      </c>
      <c r="I7" s="49">
        <f t="shared" si="2"/>
        <v>471.18775999999997</v>
      </c>
      <c r="J7" s="37">
        <f>5280+6350</f>
        <v>11630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6968133</v>
      </c>
      <c r="C8" s="52">
        <f t="shared" si="0"/>
        <v>1500</v>
      </c>
      <c r="D8" s="46">
        <f t="shared" ref="D8:D36" si="7">C8*0.21186441</f>
        <v>317.79661500000003</v>
      </c>
      <c r="E8" s="47">
        <v>549839</v>
      </c>
      <c r="F8" s="53">
        <f t="shared" si="1"/>
        <v>252</v>
      </c>
      <c r="G8" s="43">
        <f t="shared" si="4"/>
        <v>213.55992000000001</v>
      </c>
      <c r="H8" s="43">
        <f t="shared" si="5"/>
        <v>213.55992000000001</v>
      </c>
      <c r="I8" s="49">
        <f t="shared" si="2"/>
        <v>427.11984000000001</v>
      </c>
      <c r="J8" s="37">
        <f>5280+6350</f>
        <v>11630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6969633</v>
      </c>
      <c r="C9" s="54">
        <f t="shared" si="0"/>
        <v>1468</v>
      </c>
      <c r="D9" s="46">
        <f t="shared" si="7"/>
        <v>311.01695388000002</v>
      </c>
      <c r="E9" s="47">
        <v>550091</v>
      </c>
      <c r="F9" s="55">
        <f t="shared" si="1"/>
        <v>225</v>
      </c>
      <c r="G9" s="48">
        <f t="shared" si="4"/>
        <v>190.67849999999999</v>
      </c>
      <c r="H9" s="48">
        <f t="shared" si="5"/>
        <v>190.67849999999999</v>
      </c>
      <c r="I9" s="49">
        <f t="shared" si="2"/>
        <v>381.35699999999997</v>
      </c>
      <c r="J9" s="37">
        <f>5280+6350</f>
        <v>11630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6971101</v>
      </c>
      <c r="C10" s="52">
        <f t="shared" si="0"/>
        <v>2124</v>
      </c>
      <c r="D10" s="46">
        <f t="shared" si="7"/>
        <v>450.00000684000003</v>
      </c>
      <c r="E10" s="47">
        <v>550316</v>
      </c>
      <c r="F10" s="53">
        <f t="shared" si="1"/>
        <v>280</v>
      </c>
      <c r="G10" s="43">
        <f t="shared" si="4"/>
        <v>237.28880000000001</v>
      </c>
      <c r="H10" s="43">
        <f t="shared" si="5"/>
        <v>237.28880000000001</v>
      </c>
      <c r="I10" s="49">
        <f t="shared" si="2"/>
        <v>474.57760000000002</v>
      </c>
      <c r="J10" s="37">
        <f>5280+6350</f>
        <v>11630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6973225</v>
      </c>
      <c r="C11" s="54">
        <f t="shared" si="0"/>
        <v>1158</v>
      </c>
      <c r="D11" s="46">
        <f t="shared" si="7"/>
        <v>245.33898678</v>
      </c>
      <c r="E11" s="47">
        <v>550596</v>
      </c>
      <c r="F11" s="55">
        <f t="shared" si="1"/>
        <v>308</v>
      </c>
      <c r="G11" s="48">
        <f t="shared" si="4"/>
        <v>261.01767999999998</v>
      </c>
      <c r="H11" s="48">
        <f t="shared" si="5"/>
        <v>261.01767999999998</v>
      </c>
      <c r="I11" s="49">
        <f t="shared" si="2"/>
        <v>522.03535999999997</v>
      </c>
      <c r="J11" s="37">
        <f>5280+6350</f>
        <v>11630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6974383</v>
      </c>
      <c r="C12" s="52">
        <f t="shared" si="0"/>
        <v>1525</v>
      </c>
      <c r="D12" s="46">
        <f t="shared" si="7"/>
        <v>323.09322524999999</v>
      </c>
      <c r="E12" s="47">
        <v>550904</v>
      </c>
      <c r="F12" s="53">
        <f t="shared" si="1"/>
        <v>221</v>
      </c>
      <c r="G12" s="43">
        <f t="shared" si="4"/>
        <v>187.28865999999999</v>
      </c>
      <c r="H12" s="43">
        <f t="shared" si="5"/>
        <v>187.28865999999999</v>
      </c>
      <c r="I12" s="49">
        <f t="shared" si="2"/>
        <v>374.57731999999999</v>
      </c>
      <c r="J12" s="37">
        <f>5280+6350</f>
        <v>11630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6975908</v>
      </c>
      <c r="C13" s="54">
        <f t="shared" si="0"/>
        <v>1450</v>
      </c>
      <c r="D13" s="46">
        <f t="shared" si="7"/>
        <v>307.2033945</v>
      </c>
      <c r="E13" s="47">
        <v>551125</v>
      </c>
      <c r="F13" s="55">
        <f t="shared" si="1"/>
        <v>236</v>
      </c>
      <c r="G13" s="48">
        <f t="shared" si="4"/>
        <v>200.00056000000001</v>
      </c>
      <c r="H13" s="48">
        <f t="shared" si="5"/>
        <v>200.00056000000001</v>
      </c>
      <c r="I13" s="49">
        <f t="shared" si="2"/>
        <v>400.00112000000001</v>
      </c>
      <c r="J13" s="37">
        <f>5280+6350</f>
        <v>11630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6977358</v>
      </c>
      <c r="C14" s="52">
        <f t="shared" si="0"/>
        <v>1787</v>
      </c>
      <c r="D14" s="46">
        <f t="shared" si="7"/>
        <v>378.60170067000001</v>
      </c>
      <c r="E14" s="47">
        <v>551361</v>
      </c>
      <c r="F14" s="53">
        <f t="shared" si="1"/>
        <v>258</v>
      </c>
      <c r="G14" s="48">
        <f t="shared" si="4"/>
        <v>218.64467999999999</v>
      </c>
      <c r="H14" s="43">
        <f t="shared" si="5"/>
        <v>218.64467999999999</v>
      </c>
      <c r="I14" s="49">
        <f t="shared" si="2"/>
        <v>437.28935999999999</v>
      </c>
      <c r="J14" s="37">
        <f>5280+6350</f>
        <v>11630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138">
        <v>6979145</v>
      </c>
      <c r="C15" s="54">
        <f t="shared" si="0"/>
        <v>1237</v>
      </c>
      <c r="D15" s="46">
        <f t="shared" si="7"/>
        <v>262.07627517000003</v>
      </c>
      <c r="E15" s="47">
        <v>551619</v>
      </c>
      <c r="F15" s="55">
        <f t="shared" si="1"/>
        <v>246</v>
      </c>
      <c r="G15" s="48">
        <f t="shared" si="4"/>
        <v>208.47515999999999</v>
      </c>
      <c r="H15" s="48">
        <f t="shared" si="5"/>
        <v>208.47515999999999</v>
      </c>
      <c r="I15" s="49">
        <f t="shared" si="2"/>
        <v>416.95031999999998</v>
      </c>
      <c r="J15" s="37">
        <f>5280+6350</f>
        <v>11630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6980382</v>
      </c>
      <c r="C16" s="52">
        <f>B17-B16</f>
        <v>1443</v>
      </c>
      <c r="D16" s="46">
        <f t="shared" si="7"/>
        <v>305.72034363</v>
      </c>
      <c r="E16" s="47">
        <v>551865</v>
      </c>
      <c r="F16" s="53">
        <f>E17-E16</f>
        <v>150</v>
      </c>
      <c r="G16" s="43">
        <f t="shared" si="4"/>
        <v>127.119</v>
      </c>
      <c r="H16" s="43">
        <f t="shared" si="5"/>
        <v>127.119</v>
      </c>
      <c r="I16" s="49">
        <f t="shared" si="2"/>
        <v>254.238</v>
      </c>
      <c r="J16" s="37">
        <f>5280+6350</f>
        <v>11630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139">
        <v>6981825</v>
      </c>
      <c r="C17" s="54">
        <f t="shared" ref="C17:C35" si="8">B18-B17</f>
        <v>263</v>
      </c>
      <c r="D17" s="46">
        <f t="shared" si="7"/>
        <v>55.72033983</v>
      </c>
      <c r="E17" s="47">
        <v>552015</v>
      </c>
      <c r="F17" s="55">
        <f t="shared" ref="F17:F35" si="9">E18-E17</f>
        <v>44</v>
      </c>
      <c r="G17" s="48">
        <f t="shared" si="4"/>
        <v>37.288240000000002</v>
      </c>
      <c r="H17" s="48">
        <f t="shared" si="5"/>
        <v>37.288240000000002</v>
      </c>
      <c r="I17" s="49">
        <f t="shared" si="2"/>
        <v>74.576480000000004</v>
      </c>
      <c r="J17" s="37">
        <f>5280+6350</f>
        <v>11630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139">
        <v>6982088</v>
      </c>
      <c r="C18" s="52">
        <f t="shared" si="8"/>
        <v>2432</v>
      </c>
      <c r="D18" s="46">
        <f t="shared" si="7"/>
        <v>515.25424511999995</v>
      </c>
      <c r="E18" s="50">
        <v>552059</v>
      </c>
      <c r="F18" s="53">
        <f t="shared" si="9"/>
        <v>509</v>
      </c>
      <c r="G18" s="43">
        <f t="shared" si="4"/>
        <v>431.35714000000002</v>
      </c>
      <c r="H18" s="43">
        <f t="shared" si="5"/>
        <v>431.35714000000002</v>
      </c>
      <c r="I18" s="49">
        <f t="shared" si="2"/>
        <v>862.71428000000003</v>
      </c>
      <c r="J18" s="37">
        <f>5280+6350</f>
        <v>11630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6984520</v>
      </c>
      <c r="C19" s="54">
        <f t="shared" si="8"/>
        <v>1503</v>
      </c>
      <c r="D19" s="46">
        <f t="shared" si="7"/>
        <v>318.43220823000001</v>
      </c>
      <c r="E19" s="51">
        <v>552568</v>
      </c>
      <c r="F19" s="55">
        <f t="shared" si="9"/>
        <v>266</v>
      </c>
      <c r="G19" s="48">
        <f t="shared" si="4"/>
        <v>225.42436000000001</v>
      </c>
      <c r="H19" s="48">
        <f t="shared" si="5"/>
        <v>225.42436000000001</v>
      </c>
      <c r="I19" s="49">
        <f t="shared" si="2"/>
        <v>450.84872000000001</v>
      </c>
      <c r="J19" s="37">
        <f>5280+6350</f>
        <v>11630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6986023</v>
      </c>
      <c r="C20" s="52">
        <f t="shared" si="8"/>
        <v>1365</v>
      </c>
      <c r="D20" s="46">
        <f t="shared" si="7"/>
        <v>289.19491965000003</v>
      </c>
      <c r="E20" s="50">
        <v>552834</v>
      </c>
      <c r="F20" s="53">
        <f t="shared" si="9"/>
        <v>246</v>
      </c>
      <c r="G20" s="43">
        <f t="shared" si="4"/>
        <v>208.47515999999999</v>
      </c>
      <c r="H20" s="43">
        <f t="shared" si="5"/>
        <v>208.47515999999999</v>
      </c>
      <c r="I20" s="49">
        <f t="shared" si="2"/>
        <v>416.95031999999998</v>
      </c>
      <c r="J20" s="37">
        <f>5280+6350</f>
        <v>11630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3">
        <v>6987388</v>
      </c>
      <c r="C21" s="54">
        <f t="shared" si="8"/>
        <v>1328</v>
      </c>
      <c r="D21" s="46">
        <f t="shared" si="7"/>
        <v>281.35593648000003</v>
      </c>
      <c r="E21" s="84">
        <v>553080</v>
      </c>
      <c r="F21" s="55">
        <f t="shared" si="9"/>
        <v>303</v>
      </c>
      <c r="G21" s="48">
        <f t="shared" si="4"/>
        <v>256.78037999999998</v>
      </c>
      <c r="H21" s="48">
        <f t="shared" si="5"/>
        <v>256.78037999999998</v>
      </c>
      <c r="I21" s="49">
        <f t="shared" si="2"/>
        <v>513.56075999999996</v>
      </c>
      <c r="J21" s="37">
        <f>5280+6350</f>
        <v>11630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6988716</v>
      </c>
      <c r="C22" s="52">
        <f t="shared" si="8"/>
        <v>1561</v>
      </c>
      <c r="D22" s="46">
        <f t="shared" si="7"/>
        <v>330.72034401000002</v>
      </c>
      <c r="E22" s="51">
        <v>553383</v>
      </c>
      <c r="F22" s="53">
        <f t="shared" si="9"/>
        <v>232</v>
      </c>
      <c r="G22" s="43">
        <f t="shared" si="4"/>
        <v>196.61071999999999</v>
      </c>
      <c r="H22" s="43">
        <f t="shared" si="5"/>
        <v>196.61071999999999</v>
      </c>
      <c r="I22" s="49">
        <f t="shared" si="2"/>
        <v>393.22143999999997</v>
      </c>
      <c r="J22" s="37">
        <f>5280+6350</f>
        <v>11630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6990277</v>
      </c>
      <c r="C23" s="54">
        <f t="shared" si="8"/>
        <v>1633</v>
      </c>
      <c r="D23" s="46">
        <f t="shared" si="7"/>
        <v>345.97458153000002</v>
      </c>
      <c r="E23" s="51">
        <v>553615</v>
      </c>
      <c r="F23" s="55">
        <f t="shared" si="9"/>
        <v>270</v>
      </c>
      <c r="G23" s="48">
        <f t="shared" si="4"/>
        <v>228.8142</v>
      </c>
      <c r="H23" s="48">
        <f t="shared" si="5"/>
        <v>228.8142</v>
      </c>
      <c r="I23" s="49">
        <f t="shared" si="2"/>
        <v>457.6284</v>
      </c>
      <c r="J23" s="37">
        <f>5280+6350</f>
        <v>11630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6991910</v>
      </c>
      <c r="C24" s="52">
        <f t="shared" si="8"/>
        <v>1370</v>
      </c>
      <c r="D24" s="46">
        <f t="shared" si="7"/>
        <v>290.25424170000002</v>
      </c>
      <c r="E24" s="51">
        <v>553885</v>
      </c>
      <c r="F24" s="53">
        <f t="shared" si="9"/>
        <v>281</v>
      </c>
      <c r="G24" s="43">
        <f t="shared" si="4"/>
        <v>238.13625999999999</v>
      </c>
      <c r="H24" s="43">
        <f t="shared" si="5"/>
        <v>238.13625999999999</v>
      </c>
      <c r="I24" s="49">
        <f t="shared" si="2"/>
        <v>476.27251999999999</v>
      </c>
      <c r="J24" s="37">
        <f>5280+6350</f>
        <v>11630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6993280</v>
      </c>
      <c r="C25" s="54">
        <f t="shared" si="8"/>
        <v>1323</v>
      </c>
      <c r="D25" s="46">
        <f t="shared" si="7"/>
        <v>280.29661442999998</v>
      </c>
      <c r="E25" s="51">
        <v>554166</v>
      </c>
      <c r="F25" s="55">
        <f t="shared" si="9"/>
        <v>245</v>
      </c>
      <c r="G25" s="48">
        <f t="shared" si="4"/>
        <v>207.6277</v>
      </c>
      <c r="H25" s="48">
        <f t="shared" si="5"/>
        <v>207.6277</v>
      </c>
      <c r="I25" s="49">
        <f t="shared" si="2"/>
        <v>415.25540000000001</v>
      </c>
      <c r="J25" s="37">
        <f>5280+6350</f>
        <v>11630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6994603</v>
      </c>
      <c r="C26" s="52">
        <f t="shared" si="8"/>
        <v>1307</v>
      </c>
      <c r="D26" s="46">
        <f t="shared" si="7"/>
        <v>276.90678387000003</v>
      </c>
      <c r="E26" s="51">
        <v>554411</v>
      </c>
      <c r="F26" s="53">
        <f t="shared" si="9"/>
        <v>206</v>
      </c>
      <c r="G26" s="43">
        <f t="shared" si="4"/>
        <v>174.57676000000001</v>
      </c>
      <c r="H26" s="43">
        <f t="shared" si="5"/>
        <v>174.57676000000001</v>
      </c>
      <c r="I26" s="49">
        <f t="shared" si="2"/>
        <v>349.15352000000001</v>
      </c>
      <c r="J26" s="37">
        <f>5280+6350</f>
        <v>11630</v>
      </c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>
        <v>6995910</v>
      </c>
      <c r="C27" s="54">
        <f t="shared" si="8"/>
        <v>1383</v>
      </c>
      <c r="D27" s="46">
        <f t="shared" si="7"/>
        <v>293.00847902999999</v>
      </c>
      <c r="E27" s="51">
        <v>554617</v>
      </c>
      <c r="F27" s="55">
        <f t="shared" si="9"/>
        <v>213</v>
      </c>
      <c r="G27" s="48">
        <f t="shared" si="4"/>
        <v>180.50898000000001</v>
      </c>
      <c r="H27" s="48">
        <f t="shared" si="5"/>
        <v>180.50898000000001</v>
      </c>
      <c r="I27" s="49">
        <f t="shared" si="2"/>
        <v>361.01796000000002</v>
      </c>
      <c r="J27" s="37">
        <f>5280+6350</f>
        <v>11630</v>
      </c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>
        <v>6997293</v>
      </c>
      <c r="C28" s="52">
        <f t="shared" si="8"/>
        <v>1300</v>
      </c>
      <c r="D28" s="46">
        <f t="shared" si="7"/>
        <v>275.42373300000003</v>
      </c>
      <c r="E28" s="51">
        <v>554830</v>
      </c>
      <c r="F28" s="53">
        <f t="shared" si="9"/>
        <v>246</v>
      </c>
      <c r="G28" s="43">
        <f t="shared" si="4"/>
        <v>208.47515999999999</v>
      </c>
      <c r="H28" s="43">
        <f t="shared" si="5"/>
        <v>208.47515999999999</v>
      </c>
      <c r="I28" s="49">
        <f t="shared" si="2"/>
        <v>416.95031999999998</v>
      </c>
      <c r="J28" s="37">
        <f>5280+6350</f>
        <v>11630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6998593</v>
      </c>
      <c r="C29" s="54">
        <f t="shared" si="8"/>
        <v>1069</v>
      </c>
      <c r="D29" s="46">
        <f t="shared" si="7"/>
        <v>226.48305429000001</v>
      </c>
      <c r="E29" s="51">
        <v>555076</v>
      </c>
      <c r="F29" s="55">
        <f t="shared" si="9"/>
        <v>209</v>
      </c>
      <c r="G29" s="48">
        <f t="shared" si="4"/>
        <v>177.11913999999999</v>
      </c>
      <c r="H29" s="48">
        <f t="shared" si="5"/>
        <v>177.11913999999999</v>
      </c>
      <c r="I29" s="49">
        <f t="shared" si="2"/>
        <v>354.23827999999997</v>
      </c>
      <c r="J29" s="37">
        <f>5280+6350</f>
        <v>11630</v>
      </c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>
        <v>6999662</v>
      </c>
      <c r="C30" s="52">
        <f t="shared" si="8"/>
        <v>1319</v>
      </c>
      <c r="D30" s="46">
        <f t="shared" si="7"/>
        <v>279.44915679000002</v>
      </c>
      <c r="E30" s="51">
        <v>555285</v>
      </c>
      <c r="F30" s="53">
        <f t="shared" si="9"/>
        <v>267</v>
      </c>
      <c r="G30" s="43">
        <f t="shared" si="4"/>
        <v>226.27181999999999</v>
      </c>
      <c r="H30" s="43">
        <f t="shared" si="5"/>
        <v>226.27181999999999</v>
      </c>
      <c r="I30" s="49">
        <f t="shared" si="2"/>
        <v>452.54363999999998</v>
      </c>
      <c r="J30" s="37">
        <f>5280+6350</f>
        <v>11630</v>
      </c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>
        <v>7000981</v>
      </c>
      <c r="C31" s="54">
        <f t="shared" si="8"/>
        <v>1333</v>
      </c>
      <c r="D31" s="46">
        <f t="shared" si="7"/>
        <v>282.41525853000002</v>
      </c>
      <c r="E31" s="51">
        <v>555552</v>
      </c>
      <c r="F31" s="55">
        <f t="shared" si="9"/>
        <v>232</v>
      </c>
      <c r="G31" s="48">
        <f t="shared" si="4"/>
        <v>196.61071999999999</v>
      </c>
      <c r="H31" s="48">
        <f t="shared" si="5"/>
        <v>196.61071999999999</v>
      </c>
      <c r="I31" s="49">
        <f t="shared" si="2"/>
        <v>393.22143999999997</v>
      </c>
      <c r="J31" s="37">
        <f>5280+6350</f>
        <v>11630</v>
      </c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>
        <v>7002314</v>
      </c>
      <c r="C32" s="52">
        <f t="shared" si="8"/>
        <v>1377</v>
      </c>
      <c r="D32" s="46">
        <f t="shared" si="7"/>
        <v>291.73729257000002</v>
      </c>
      <c r="E32" s="51">
        <v>555784</v>
      </c>
      <c r="F32" s="54">
        <f t="shared" si="9"/>
        <v>237</v>
      </c>
      <c r="G32" s="43">
        <f t="shared" si="4"/>
        <v>200.84801999999999</v>
      </c>
      <c r="H32" s="43">
        <f t="shared" si="5"/>
        <v>200.84801999999999</v>
      </c>
      <c r="I32" s="49">
        <f t="shared" si="2"/>
        <v>401.69603999999998</v>
      </c>
      <c r="J32" s="37">
        <f>5280+6350</f>
        <v>11630</v>
      </c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>
        <v>7003691</v>
      </c>
      <c r="C33" s="54">
        <f t="shared" si="8"/>
        <v>1233</v>
      </c>
      <c r="D33" s="46">
        <f t="shared" si="7"/>
        <v>261.22881753000001</v>
      </c>
      <c r="E33" s="51">
        <v>556021</v>
      </c>
      <c r="F33" s="53">
        <f t="shared" si="9"/>
        <v>208</v>
      </c>
      <c r="G33" s="48">
        <f t="shared" si="4"/>
        <v>176.27168</v>
      </c>
      <c r="H33" s="48">
        <f t="shared" si="5"/>
        <v>176.27168</v>
      </c>
      <c r="I33" s="49">
        <f t="shared" si="2"/>
        <v>352.54336000000001</v>
      </c>
      <c r="J33" s="37">
        <f>5280+6350</f>
        <v>11630</v>
      </c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>
        <v>7004924</v>
      </c>
      <c r="C34" s="54">
        <f t="shared" si="8"/>
        <v>-7004924</v>
      </c>
      <c r="D34" s="46">
        <f t="shared" si="7"/>
        <v>-1484094.09035484</v>
      </c>
      <c r="E34" s="51">
        <v>556229</v>
      </c>
      <c r="F34" s="54">
        <f t="shared" si="9"/>
        <v>-556229</v>
      </c>
      <c r="G34" s="43">
        <f t="shared" si="4"/>
        <v>-471381.82834000001</v>
      </c>
      <c r="H34" s="43">
        <f t="shared" si="5"/>
        <v>-471381.82834000001</v>
      </c>
      <c r="I34" s="49">
        <f t="shared" si="2"/>
        <v>-942763.65668000001</v>
      </c>
      <c r="J34" s="37">
        <f>5280+6350</f>
        <v>11630</v>
      </c>
      <c r="K34" s="38">
        <f t="shared" si="3"/>
        <v>11630</v>
      </c>
      <c r="L34" s="39">
        <f t="shared" si="6"/>
        <v>8140.9999999999991</v>
      </c>
    </row>
    <row r="35" spans="1:12" ht="32.450000000000003" customHeight="1">
      <c r="A35" s="110">
        <v>30</v>
      </c>
      <c r="B35" s="111"/>
      <c r="C35" s="112">
        <f t="shared" si="8"/>
        <v>0</v>
      </c>
      <c r="D35" s="113">
        <f t="shared" si="7"/>
        <v>0</v>
      </c>
      <c r="E35" s="106"/>
      <c r="F35" s="112">
        <f t="shared" si="9"/>
        <v>0</v>
      </c>
      <c r="G35" s="114">
        <f t="shared" si="4"/>
        <v>0</v>
      </c>
      <c r="H35" s="114">
        <f t="shared" si="5"/>
        <v>0</v>
      </c>
      <c r="I35" s="115">
        <f t="shared" si="2"/>
        <v>0</v>
      </c>
      <c r="J35" s="116"/>
      <c r="K35" s="117">
        <f t="shared" si="3"/>
        <v>0</v>
      </c>
      <c r="L35" s="39">
        <f t="shared" si="6"/>
        <v>0</v>
      </c>
    </row>
    <row r="36" spans="1:12" ht="32.450000000000003" customHeight="1">
      <c r="A36" s="107">
        <v>31</v>
      </c>
      <c r="B36" s="108"/>
      <c r="C36" s="118">
        <f t="shared" ref="C36" si="10">B37-B36</f>
        <v>0</v>
      </c>
      <c r="D36" s="119">
        <f t="shared" si="7"/>
        <v>0</v>
      </c>
      <c r="E36" s="109"/>
      <c r="F36" s="118">
        <f t="shared" ref="F36" si="11">E37-E36</f>
        <v>0</v>
      </c>
      <c r="G36" s="120">
        <f t="shared" ref="G36" si="12">F36*0.84746</f>
        <v>0</v>
      </c>
      <c r="H36" s="120">
        <f t="shared" ref="H36" si="13">F36*0.84746</f>
        <v>0</v>
      </c>
      <c r="I36" s="121">
        <f t="shared" ref="I36" si="14">G36+H36</f>
        <v>0</v>
      </c>
      <c r="J36" s="122"/>
      <c r="K36" s="123">
        <f t="shared" ref="K36" si="15">J36-J37</f>
        <v>0</v>
      </c>
      <c r="L36" s="124">
        <f>K36*0.7</f>
        <v>0</v>
      </c>
    </row>
    <row r="37" spans="1:12" ht="32.450000000000003" customHeight="1">
      <c r="A37" s="107">
        <v>1</v>
      </c>
      <c r="B37" s="108"/>
      <c r="C37" s="118">
        <f t="shared" ref="C37" si="16">B38-B37</f>
        <v>0</v>
      </c>
      <c r="D37" s="119">
        <f t="shared" ref="D37" si="17">C37*0.21186441</f>
        <v>0</v>
      </c>
      <c r="E37" s="109"/>
      <c r="F37" s="118">
        <f t="shared" ref="F37" si="18">E38-E37</f>
        <v>0</v>
      </c>
      <c r="G37" s="120">
        <f t="shared" ref="G37" si="19">F37*0.84746</f>
        <v>0</v>
      </c>
      <c r="H37" s="120">
        <f t="shared" ref="H37" si="20">F37*0.84746</f>
        <v>0</v>
      </c>
      <c r="I37" s="121">
        <f t="shared" ref="I37" si="21">G37+H37</f>
        <v>0</v>
      </c>
      <c r="J37" s="122"/>
      <c r="K37" s="123">
        <f t="shared" ref="K37" si="22">J37-J38</f>
        <v>0</v>
      </c>
      <c r="L37" s="124">
        <f>K37*0.7</f>
        <v>0</v>
      </c>
    </row>
    <row r="38" spans="1:12">
      <c r="B38" s="56"/>
      <c r="C38" s="57"/>
      <c r="D38" s="57"/>
      <c r="J38" s="56"/>
      <c r="K38" s="56"/>
      <c r="L38" s="56"/>
    </row>
    <row r="39" spans="1:12">
      <c r="B39" s="56"/>
      <c r="C39" s="57"/>
      <c r="D39" s="57"/>
      <c r="J39" s="56"/>
      <c r="K39" s="56"/>
      <c r="L39" s="56"/>
    </row>
    <row r="40" spans="1:12">
      <c r="B40" s="56"/>
      <c r="C40" s="57"/>
      <c r="D40" s="57"/>
      <c r="J40" s="56"/>
      <c r="K40" s="56"/>
      <c r="L40" s="56"/>
    </row>
    <row r="41" spans="1:12">
      <c r="B41" s="56"/>
      <c r="C41" s="57"/>
      <c r="D41" s="57"/>
      <c r="J41" s="56"/>
      <c r="K41" s="56"/>
      <c r="L41" s="56"/>
    </row>
    <row r="42" spans="1:12">
      <c r="B42" s="56"/>
      <c r="C42" s="57"/>
      <c r="D42" s="57"/>
      <c r="J42" s="56"/>
      <c r="K42" s="56"/>
      <c r="L42" s="56"/>
    </row>
    <row r="43" spans="1:12">
      <c r="B43" s="56"/>
      <c r="C43" s="57"/>
      <c r="D43" s="57"/>
      <c r="J43" s="56"/>
      <c r="K43" s="56"/>
      <c r="L43" s="56"/>
    </row>
    <row r="44" spans="1:12">
      <c r="B44" s="56"/>
      <c r="C44" s="57"/>
      <c r="D44" s="57"/>
      <c r="J44" s="56"/>
      <c r="K44" s="56"/>
      <c r="L44" s="56"/>
    </row>
    <row r="45" spans="1:12">
      <c r="B45" s="56"/>
      <c r="C45" s="57"/>
      <c r="D45" s="57"/>
      <c r="J45" s="56"/>
      <c r="K45" s="56"/>
      <c r="L45" s="56"/>
    </row>
    <row r="46" spans="1:12">
      <c r="B46" s="56"/>
      <c r="C46" s="57"/>
      <c r="D46" s="57"/>
      <c r="J46" s="56"/>
      <c r="K46" s="56"/>
      <c r="L46" s="56"/>
    </row>
    <row r="47" spans="1:12">
      <c r="B47" s="56"/>
      <c r="C47" s="57"/>
      <c r="D47" s="57"/>
      <c r="J47" s="56"/>
      <c r="K47" s="56"/>
      <c r="L47" s="56"/>
    </row>
    <row r="48" spans="1:12">
      <c r="B48" s="56"/>
      <c r="C48" s="57"/>
      <c r="D48" s="57"/>
      <c r="J48" s="56"/>
      <c r="K48" s="56"/>
      <c r="L48" s="56"/>
    </row>
    <row r="49" spans="1:12">
      <c r="A49" s="59"/>
      <c r="B49" s="56"/>
      <c r="C49" s="57"/>
      <c r="D49" s="57"/>
      <c r="J49" s="56"/>
      <c r="K49" s="56"/>
      <c r="L49" s="56"/>
    </row>
    <row r="50" spans="1:12">
      <c r="A50" s="59"/>
      <c r="B50" s="56"/>
      <c r="C50" s="57"/>
      <c r="D50" s="57"/>
      <c r="J50" s="56"/>
      <c r="K50" s="56"/>
      <c r="L50" s="56"/>
    </row>
    <row r="51" spans="1:12">
      <c r="A51" s="59"/>
      <c r="B51" s="56"/>
      <c r="C51" s="57"/>
      <c r="D51" s="57"/>
      <c r="J51" s="56"/>
      <c r="K51" s="56"/>
      <c r="L51" s="56"/>
    </row>
    <row r="52" spans="1:12">
      <c r="A52" s="59"/>
      <c r="B52" s="56"/>
      <c r="C52" s="57"/>
      <c r="D52" s="57"/>
      <c r="J52" s="56"/>
      <c r="K52" s="56"/>
      <c r="L52" s="56"/>
    </row>
    <row r="53" spans="1:12">
      <c r="A53" s="59"/>
      <c r="B53" s="56"/>
      <c r="C53" s="57"/>
      <c r="D53" s="57"/>
      <c r="J53" s="56"/>
      <c r="K53" s="56"/>
      <c r="L53" s="56"/>
    </row>
    <row r="54" spans="1:12">
      <c r="A54" s="59"/>
      <c r="B54" s="56"/>
      <c r="C54" s="57"/>
      <c r="D54" s="57"/>
      <c r="J54" s="56"/>
      <c r="K54" s="56"/>
      <c r="L54" s="56"/>
    </row>
    <row r="55" spans="1:12">
      <c r="A55" s="59"/>
      <c r="B55" s="56"/>
      <c r="C55" s="57"/>
      <c r="D55" s="57"/>
      <c r="J55" s="56"/>
      <c r="K55" s="56"/>
      <c r="L55" s="56"/>
    </row>
    <row r="56" spans="1:12">
      <c r="A56" s="59"/>
      <c r="B56" s="56"/>
      <c r="C56" s="57"/>
      <c r="D56" s="57"/>
      <c r="J56" s="56"/>
      <c r="K56" s="56"/>
      <c r="L56" s="56"/>
    </row>
    <row r="57" spans="1:12">
      <c r="A57" s="59"/>
      <c r="B57" s="56"/>
      <c r="C57" s="57"/>
      <c r="D57" s="57"/>
      <c r="J57" s="56"/>
      <c r="K57" s="56"/>
      <c r="L57" s="56"/>
    </row>
    <row r="58" spans="1:12">
      <c r="A58" s="59"/>
      <c r="B58" s="56"/>
      <c r="C58" s="57"/>
      <c r="D58" s="57"/>
      <c r="J58" s="56"/>
      <c r="K58" s="56"/>
      <c r="L58" s="56"/>
    </row>
    <row r="59" spans="1:12">
      <c r="A59" s="59"/>
      <c r="B59" s="56"/>
      <c r="C59" s="57"/>
      <c r="D59" s="57"/>
      <c r="J59" s="56"/>
      <c r="K59" s="56"/>
      <c r="L59" s="56"/>
    </row>
    <row r="60" spans="1:12">
      <c r="A60" s="59"/>
      <c r="B60" s="56"/>
      <c r="C60" s="57"/>
      <c r="D60" s="57"/>
      <c r="J60" s="56"/>
      <c r="K60" s="56"/>
      <c r="L60" s="56"/>
    </row>
    <row r="61" spans="1:12">
      <c r="A61" s="59"/>
      <c r="B61" s="56"/>
      <c r="C61" s="57"/>
      <c r="D61" s="57"/>
      <c r="J61" s="56"/>
      <c r="K61" s="56"/>
      <c r="L61" s="56"/>
    </row>
    <row r="62" spans="1:12">
      <c r="A62" s="59"/>
      <c r="B62" s="56"/>
      <c r="C62" s="57"/>
      <c r="D62" s="57"/>
      <c r="J62" s="56"/>
      <c r="K62" s="56"/>
      <c r="L62" s="56"/>
    </row>
    <row r="63" spans="1:12">
      <c r="A63" s="59"/>
      <c r="B63" s="56"/>
      <c r="C63" s="57"/>
      <c r="D63" s="57"/>
      <c r="J63" s="56"/>
      <c r="K63" s="56"/>
      <c r="L63" s="56"/>
    </row>
    <row r="64" spans="1:12">
      <c r="A64" s="59"/>
      <c r="B64" s="56"/>
      <c r="C64" s="57"/>
      <c r="D64" s="57"/>
      <c r="J64" s="56"/>
      <c r="K64" s="56"/>
      <c r="L64" s="56"/>
    </row>
    <row r="65" spans="1:12">
      <c r="A65" s="59"/>
      <c r="B65" s="56"/>
      <c r="C65" s="57"/>
      <c r="D65" s="57"/>
      <c r="J65" s="56"/>
      <c r="K65" s="56"/>
      <c r="L65" s="56"/>
    </row>
    <row r="66" spans="1:12">
      <c r="A66" s="59"/>
      <c r="B66" s="56"/>
      <c r="C66" s="57"/>
      <c r="D66" s="57"/>
      <c r="J66" s="56"/>
      <c r="K66" s="56"/>
      <c r="L66" s="56"/>
    </row>
    <row r="67" spans="1:12">
      <c r="A67" s="59"/>
      <c r="B67" s="56"/>
      <c r="C67" s="57"/>
      <c r="D67" s="57"/>
      <c r="J67" s="56"/>
      <c r="K67" s="56"/>
      <c r="L67" s="56"/>
    </row>
    <row r="68" spans="1:12">
      <c r="A68" s="59"/>
      <c r="B68" s="56"/>
      <c r="C68" s="57"/>
      <c r="D68" s="57"/>
      <c r="J68" s="56"/>
      <c r="K68" s="56"/>
      <c r="L68" s="56"/>
    </row>
    <row r="69" spans="1:12">
      <c r="A69" s="59"/>
      <c r="B69" s="56"/>
      <c r="C69" s="57"/>
      <c r="D69" s="57"/>
      <c r="J69" s="56"/>
      <c r="K69" s="56"/>
      <c r="L69" s="56"/>
    </row>
    <row r="70" spans="1:12">
      <c r="A70" s="59"/>
      <c r="B70" s="56"/>
      <c r="C70" s="57"/>
      <c r="D70" s="57"/>
      <c r="J70" s="56"/>
      <c r="K70" s="56"/>
      <c r="L70" s="56"/>
    </row>
    <row r="71" spans="1:12">
      <c r="A71" s="59"/>
      <c r="B71" s="56"/>
      <c r="C71" s="57"/>
      <c r="D71" s="57"/>
      <c r="J71" s="56"/>
      <c r="K71" s="56"/>
      <c r="L71" s="56"/>
    </row>
    <row r="72" spans="1:12">
      <c r="A72" s="59"/>
      <c r="B72" s="56"/>
      <c r="C72" s="57"/>
      <c r="D72" s="57"/>
      <c r="J72" s="56"/>
      <c r="K72" s="56"/>
      <c r="L72" s="56"/>
    </row>
    <row r="73" spans="1:12">
      <c r="A73" s="59"/>
      <c r="B73" s="56"/>
      <c r="C73" s="57"/>
      <c r="D73" s="57"/>
      <c r="J73" s="56"/>
      <c r="K73" s="56"/>
      <c r="L73" s="56"/>
    </row>
    <row r="74" spans="1:12">
      <c r="A74" s="59"/>
      <c r="B74" s="56"/>
      <c r="C74" s="57"/>
      <c r="D74" s="57"/>
      <c r="J74" s="56"/>
      <c r="K74" s="56"/>
      <c r="L74" s="56"/>
    </row>
    <row r="75" spans="1:12">
      <c r="A75" s="59"/>
      <c r="B75" s="56"/>
      <c r="C75" s="57"/>
      <c r="D75" s="57"/>
      <c r="J75" s="56"/>
      <c r="K75" s="56"/>
      <c r="L75" s="56"/>
    </row>
    <row r="76" spans="1:12">
      <c r="A76" s="59"/>
      <c r="B76" s="56"/>
      <c r="C76" s="57"/>
      <c r="D76" s="57"/>
      <c r="J76" s="56"/>
      <c r="K76" s="56"/>
      <c r="L76" s="56"/>
    </row>
    <row r="77" spans="1:12">
      <c r="A77" s="59"/>
      <c r="B77" s="56"/>
      <c r="C77" s="57"/>
      <c r="D77" s="57"/>
      <c r="J77" s="56"/>
      <c r="K77" s="56"/>
      <c r="L77" s="56"/>
    </row>
    <row r="78" spans="1:12">
      <c r="A78" s="59"/>
      <c r="B78" s="56"/>
      <c r="C78" s="57"/>
      <c r="D78" s="57"/>
      <c r="J78" s="56"/>
      <c r="K78" s="56"/>
      <c r="L78" s="56"/>
    </row>
    <row r="79" spans="1:12">
      <c r="A79" s="59"/>
      <c r="B79" s="56"/>
      <c r="C79" s="57"/>
      <c r="D79" s="57"/>
      <c r="J79" s="56"/>
      <c r="K79" s="56"/>
      <c r="L79" s="56"/>
    </row>
    <row r="80" spans="1:12">
      <c r="A80" s="59"/>
      <c r="B80" s="56"/>
      <c r="C80" s="57"/>
      <c r="D80" s="57"/>
      <c r="J80" s="56"/>
      <c r="K80" s="56"/>
      <c r="L80" s="56"/>
    </row>
    <row r="81" spans="1:12">
      <c r="A81" s="59"/>
      <c r="B81" s="56"/>
      <c r="C81" s="57"/>
      <c r="D81" s="57"/>
      <c r="J81" s="56"/>
      <c r="K81" s="56"/>
      <c r="L81" s="56"/>
    </row>
    <row r="82" spans="1:12">
      <c r="A82" s="59"/>
      <c r="B82" s="56"/>
      <c r="C82" s="57"/>
      <c r="D82" s="57"/>
      <c r="J82" s="56"/>
      <c r="K82" s="56"/>
      <c r="L82" s="56"/>
    </row>
    <row r="83" spans="1:12">
      <c r="A83" s="59"/>
      <c r="B83" s="56"/>
      <c r="C83" s="57"/>
      <c r="D83" s="57"/>
      <c r="J83" s="56"/>
      <c r="K83" s="56"/>
      <c r="L83" s="56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2022-08-30T04:31:17Z</dcterms:modified>
  <cp:category/>
  <cp:contentStatus/>
</cp:coreProperties>
</file>