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31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<sst xmlns="http://schemas.openxmlformats.org/spreadsheetml/2006/main" count="106" uniqueCount="33">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</sst>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I11" sqref="I11:I1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11</v>
      </c>
      <c r="D2" s="9">
        <v>2019</v>
      </c>
      <c r="E2" s="20">
        <f>Submetering!E3</f>
        <v>8552.25</v>
      </c>
      <c r="F2" s="16">
        <v>0.12</v>
      </c>
      <c r="G2" s="20">
        <f>Submetering!F3+Submetering!G3</f>
        <v>128.79546392439255</v>
      </c>
      <c r="H2" s="16">
        <v>0.71</v>
      </c>
      <c r="I2" s="20">
        <f>Submetering!J3+Submetering!I3+Submetering!H3</f>
        <v>75.95</v>
      </c>
      <c r="J2" s="16">
        <v>2.3196172978505634</v>
      </c>
      <c r="K2" s="20">
        <f>Submetering!K2</f>
        <v>53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11</v>
      </c>
      <c r="D3" s="9">
        <v>2019</v>
      </c>
      <c r="E3" s="20">
        <f>Submetering!E4</f>
        <v>8264.25</v>
      </c>
      <c r="F3" s="16">
        <v>0.12</v>
      </c>
      <c r="G3" s="20">
        <f>Submetering!F4+Submetering!G4</f>
        <v>138.3085545673832</v>
      </c>
      <c r="H3" s="16">
        <v>0.71</v>
      </c>
      <c r="I3" s="20">
        <f>Submetering!J4+Submetering!I4+Submetering!H4</f>
        <v>74.53</v>
      </c>
      <c r="J3" s="16">
        <v>2.3196172978505634</v>
      </c>
      <c r="K3" s="20">
        <f>Submetering!K3</f>
        <v>49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11</v>
      </c>
      <c r="D4" s="9">
        <v>2019</v>
      </c>
      <c r="E4" s="20">
        <f>Submetering!E5</f>
        <v>8525.25</v>
      </c>
      <c r="F4" s="16">
        <v>0.12</v>
      </c>
      <c r="G4" s="20">
        <f>Submetering!F5+Submetering!G5</f>
        <v>258.78848278728975</v>
      </c>
      <c r="H4" s="16">
        <v>0.71</v>
      </c>
      <c r="I4" s="20">
        <f>Submetering!J5+Submetering!I5+Submetering!H5</f>
        <v>84.468000000000004</v>
      </c>
      <c r="J4" s="16">
        <v>2.3196172978505634</v>
      </c>
      <c r="K4" s="20">
        <f>Submetering!K4</f>
        <v>66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11</v>
      </c>
      <c r="D5" s="9">
        <v>2019</v>
      </c>
      <c r="E5" s="20">
        <f>Submetering!E6</f>
        <v>8572.5</v>
      </c>
      <c r="F5" s="16">
        <v>0.12</v>
      </c>
      <c r="G5" s="20">
        <f>Submetering!F6+Submetering!G6</f>
        <v>244.0574765836449</v>
      </c>
      <c r="H5" s="16">
        <v>0.71</v>
      </c>
      <c r="I5" s="20">
        <f>Submetering!J6+Submetering!I6+Submetering!H6</f>
        <v>84.33</v>
      </c>
      <c r="J5" s="16">
        <v>2.3196172978505634</v>
      </c>
      <c r="K5" s="20">
        <f>Submetering!K5</f>
        <v>81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11</v>
      </c>
      <c r="D6" s="9">
        <v>2019</v>
      </c>
      <c r="E6" s="20">
        <f>Submetering!E7</f>
        <v>8678.25</v>
      </c>
      <c r="F6" s="16">
        <v>0.12</v>
      </c>
      <c r="G6" s="20">
        <f>Submetering!F7+Submetering!G7</f>
        <v>298.27913076906543</v>
      </c>
      <c r="H6" s="16">
        <v>0.71</v>
      </c>
      <c r="I6" s="20">
        <f>Submetering!J7+Submetering!I7+Submetering!H7</f>
        <v>83.643000000000001</v>
      </c>
      <c r="J6" s="16">
        <v>2.3196172978505634</v>
      </c>
      <c r="K6" s="20">
        <f>Submetering!K6</f>
        <v>73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11</v>
      </c>
      <c r="D7" s="9">
        <v>2019</v>
      </c>
      <c r="E7" s="20">
        <f>Submetering!E8</f>
        <v>9060.75</v>
      </c>
      <c r="F7" s="16">
        <v>0.12</v>
      </c>
      <c r="G7" s="20">
        <f>Submetering!F8+Submetering!G8</f>
        <v>363.63994247299064</v>
      </c>
      <c r="H7" s="16">
        <v>0.71</v>
      </c>
      <c r="I7" s="20">
        <f>Submetering!J8+Submetering!I8+Submetering!H8</f>
        <v>89.643000000000001</v>
      </c>
      <c r="J7" s="16">
        <v>2.3196172978505634</v>
      </c>
      <c r="K7" s="20">
        <f>Submetering!K7</f>
        <v>86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11</v>
      </c>
      <c r="D8" s="9">
        <v>2019</v>
      </c>
      <c r="E8" s="20">
        <f>Submetering!E9</f>
        <v>9405</v>
      </c>
      <c r="F8" s="16">
        <v>0.12</v>
      </c>
      <c r="G8" s="20">
        <f>Submetering!F9+Submetering!G9</f>
        <v>378.35744648028037</v>
      </c>
      <c r="H8" s="16">
        <v>0.71</v>
      </c>
      <c r="I8" s="20">
        <f>Submetering!J9+Submetering!I9+Submetering!H9</f>
        <v>99.965999999999994</v>
      </c>
      <c r="J8" s="16">
        <v>2.3196172978505634</v>
      </c>
      <c r="K8" s="20">
        <f>Submetering!K8</f>
        <v>86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11</v>
      </c>
      <c r="D9" s="9">
        <v>2019</v>
      </c>
      <c r="E9" s="20">
        <f>Submetering!E9</f>
        <v>9405</v>
      </c>
      <c r="F9" s="16">
        <v>0.12</v>
      </c>
      <c r="G9" s="20">
        <f>Submetering!F10+Submetering!G10</f>
        <v>365.52161707289724</v>
      </c>
      <c r="H9" s="16">
        <v>0.71</v>
      </c>
      <c r="I9" s="20">
        <f>Submetering!J10+Submetering!I10+Submetering!H10</f>
        <v>92.774000000000001</v>
      </c>
      <c r="J9" s="16">
        <v>2.3196172978505634</v>
      </c>
      <c r="K9" s="20">
        <f>Submetering!K9</f>
        <v>102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11</v>
      </c>
      <c r="D10" s="9">
        <v>2019</v>
      </c>
      <c r="E10" s="20">
        <f>Submetering!E10</f>
        <v>9128.25</v>
      </c>
      <c r="F10" s="16">
        <v>0.12</v>
      </c>
      <c r="G10" s="20">
        <f>Submetering!F11+Submetering!G11</f>
        <v>529.77478363878504</v>
      </c>
      <c r="H10" s="16">
        <v>0.71</v>
      </c>
      <c r="I10" s="20">
        <f>Submetering!J10+Submetering!I10+Submetering!H10</f>
        <v>92.774000000000001</v>
      </c>
      <c r="J10" s="16">
        <v>2.3196172978505634</v>
      </c>
      <c r="K10" s="20">
        <f>Submetering!K10</f>
        <v>102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11</v>
      </c>
      <c r="D11" s="9">
        <v>2019</v>
      </c>
      <c r="E11" s="20">
        <f>Submetering!E11</f>
        <v>8552.25</v>
      </c>
      <c r="F11" s="16">
        <v>0.12</v>
      </c>
      <c r="G11" s="20">
        <f>Submetering!F11+Submetering!G11</f>
        <v>529.77478363878504</v>
      </c>
      <c r="H11" s="16">
        <v>0.71</v>
      </c>
      <c r="I11" s="20">
        <f>Submetering!J11+Submetering!I11+Submetering!H11</f>
        <v>91.763000000000005</v>
      </c>
      <c r="J11" s="16">
        <v>2.3196172978505634</v>
      </c>
      <c r="K11" s="20">
        <f>Submetering!K11</f>
        <v>92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11</v>
      </c>
      <c r="D12" s="9">
        <v>2019</v>
      </c>
      <c r="E12" s="20">
        <f>Submetering!E12</f>
        <v>8730</v>
      </c>
      <c r="F12" s="16">
        <v>0.12</v>
      </c>
      <c r="G12" s="20">
        <f>Submetering!F12+Submetering!G12</f>
        <v>493.27953326710281</v>
      </c>
      <c r="H12" s="16">
        <v>0.71</v>
      </c>
      <c r="I12" s="20">
        <f>Submetering!J12+Submetering!I12+Submetering!H12</f>
        <v>102.754</v>
      </c>
      <c r="J12" s="16">
        <v>2.3196172978505634</v>
      </c>
      <c r="K12" s="20">
        <f>Submetering!K12</f>
        <v>87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11</v>
      </c>
      <c r="D13" s="9">
        <v>2019</v>
      </c>
      <c r="E13" s="20">
        <f>Submetering!E13</f>
        <v>8703</v>
      </c>
      <c r="F13" s="16">
        <v>0.12</v>
      </c>
      <c r="G13" s="20">
        <f>Submetering!F13+Submetering!G13</f>
        <v>416.85920899373832</v>
      </c>
      <c r="H13" s="16">
        <v>0.71</v>
      </c>
      <c r="I13" s="20">
        <f>Submetering!J13+Submetering!I13+Submetering!H13</f>
        <v>96.23</v>
      </c>
      <c r="J13" s="16">
        <v>2.3196172978505634</v>
      </c>
      <c r="K13" s="20">
        <f>Submetering!K13</f>
        <v>81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11</v>
      </c>
      <c r="D14" s="9">
        <v>2019</v>
      </c>
      <c r="E14" s="20">
        <f>Submetering!E14</f>
        <v>8469</v>
      </c>
      <c r="F14" s="16">
        <v>0.12</v>
      </c>
      <c r="G14" s="20">
        <f>Submetering!F14+Submetering!G14</f>
        <v>460.48519201037385</v>
      </c>
      <c r="H14" s="16">
        <v>0.71</v>
      </c>
      <c r="I14" s="20">
        <f>Submetering!H12+Submetering!J12+Submetering!I12</f>
        <v>102.75399999999999</v>
      </c>
      <c r="J14" s="16">
        <v>2.3196172978505634</v>
      </c>
      <c r="K14" s="20">
        <f>Submetering!K14</f>
        <v>45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11</v>
      </c>
      <c r="D15" s="9">
        <v>2019</v>
      </c>
      <c r="E15" s="20">
        <f>Submetering!E15</f>
        <v>8410.5</v>
      </c>
      <c r="F15" s="16">
        <v>0.12</v>
      </c>
      <c r="G15" s="20">
        <f>Submetering!F15+Submetering!G15</f>
        <v>526.51996990700934</v>
      </c>
      <c r="H15" s="16">
        <v>0.71</v>
      </c>
      <c r="I15" s="20">
        <f>Submetering!J15+Submetering!I15+Submetering!H15</f>
        <v>76.289000000000001</v>
      </c>
      <c r="J15" s="16">
        <v>2.3196172978505634</v>
      </c>
      <c r="K15" s="20">
        <f>Submetering!K15</f>
        <v>68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11</v>
      </c>
      <c r="D16" s="9">
        <v>2019</v>
      </c>
      <c r="E16" s="20">
        <f>Submetering!E16</f>
        <v>8181</v>
      </c>
      <c r="F16" s="16">
        <v>0.12</v>
      </c>
      <c r="G16" s="20">
        <f>Submetering!F16+Submetering!G16</f>
        <v>500.3917973251402</v>
      </c>
      <c r="H16" s="16">
        <v>0.71</v>
      </c>
      <c r="I16" s="20">
        <f>Submetering!J16+Submetering!I16+Submetering!H16</f>
        <v>71.022000000000006</v>
      </c>
      <c r="J16" s="16">
        <v>2.3196172978505634</v>
      </c>
      <c r="K16" s="20">
        <f>Submetering!K16</f>
        <v>45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11</v>
      </c>
      <c r="D17" s="9">
        <v>2019</v>
      </c>
      <c r="E17" s="20">
        <f>Submetering!E17</f>
        <v>7850.25</v>
      </c>
      <c r="F17" s="16">
        <v>0.12</v>
      </c>
      <c r="G17" s="20">
        <f>Submetering!F17+Submetering!G17</f>
        <v>480.9166291872898</v>
      </c>
      <c r="H17" s="16">
        <v>0.71</v>
      </c>
      <c r="I17" s="20">
        <f>Submetering!J17+Submetering!I17+Submetering!H17</f>
        <v>69.319999999999993</v>
      </c>
      <c r="J17" s="16">
        <v>2.3196172978505634</v>
      </c>
      <c r="K17" s="20">
        <f>Submetering!K17</f>
        <v>37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11</v>
      </c>
      <c r="D18" s="9">
        <v>2019</v>
      </c>
      <c r="E18" s="20">
        <f>Submetering!E18</f>
        <v>7949.25</v>
      </c>
      <c r="F18" s="16">
        <v>0.12</v>
      </c>
      <c r="G18" s="20">
        <f>Submetering!F18+Submetering!G18</f>
        <v>553.72841408476631</v>
      </c>
      <c r="H18" s="16">
        <v>0.71</v>
      </c>
      <c r="I18" s="20">
        <f>Submetering!J18+Submetering!I18+Submetering!H18</f>
        <v>59.103000000000002</v>
      </c>
      <c r="J18" s="16">
        <v>2.3196172978505634</v>
      </c>
      <c r="K18" s="20">
        <f>Submetering!K18</f>
        <v>41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11</v>
      </c>
      <c r="D19" s="9">
        <v>2019</v>
      </c>
      <c r="E19" s="20">
        <f>Submetering!E19</f>
        <v>8100</v>
      </c>
      <c r="F19" s="16">
        <v>0.12</v>
      </c>
      <c r="G19" s="20">
        <f>Submetering!F19+Submetering!G19</f>
        <v>493.38637983345797</v>
      </c>
      <c r="H19" s="16">
        <v>0.71</v>
      </c>
      <c r="I19" s="20">
        <f>Submetering!J19+Submetering!I19+Submetering!H19</f>
        <v>76.817000000000007</v>
      </c>
      <c r="J19" s="16">
        <v>2.3196172978505634</v>
      </c>
      <c r="K19" s="20">
        <f>Submetering!K19</f>
        <v>59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11</v>
      </c>
      <c r="D20" s="9">
        <v>2019</v>
      </c>
      <c r="E20" s="20">
        <f>Submetering!E20</f>
        <v>8003.25</v>
      </c>
      <c r="F20" s="16">
        <v>0.12</v>
      </c>
      <c r="G20" s="20">
        <f>Submetering!F20+Submetering!G20</f>
        <v>520.85372489738324</v>
      </c>
      <c r="H20" s="16">
        <v>0.71</v>
      </c>
      <c r="I20" s="20">
        <f>Submetering!J20+Submetering!I20+Submetering!H20</f>
        <v>78.736999999999995</v>
      </c>
      <c r="J20" s="16">
        <v>2.3196172978505634</v>
      </c>
      <c r="K20" s="20">
        <f>Submetering!K20</f>
        <v>79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11</v>
      </c>
      <c r="D21" s="9">
        <v>2019</v>
      </c>
      <c r="E21" s="20">
        <f>Submetering!E21</f>
        <v>8041.5</v>
      </c>
      <c r="F21" s="16">
        <v>0.12</v>
      </c>
      <c r="G21" s="20">
        <f>Submetering!F21+Submetering!G21</f>
        <v>589.44596821869175</v>
      </c>
      <c r="H21" s="16">
        <v>0.71</v>
      </c>
      <c r="I21" s="20">
        <f>Submetering!J21+Submetering!I21+Submetering!H21</f>
        <v>87.814999999999998</v>
      </c>
      <c r="J21" s="16">
        <v>2.3196172978505634</v>
      </c>
      <c r="K21" s="20">
        <f>Submetering!K21</f>
        <v>67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11</v>
      </c>
      <c r="D22" s="9">
        <v>2019</v>
      </c>
      <c r="E22" s="20">
        <f>Submetering!E22</f>
        <v>8271</v>
      </c>
      <c r="F22" s="16">
        <v>0.12</v>
      </c>
      <c r="G22" s="20">
        <f>Submetering!F22+Submetering!G22</f>
        <v>484.39654755504671</v>
      </c>
      <c r="H22" s="16">
        <v>0.71</v>
      </c>
      <c r="I22" s="20">
        <f>Submetering!J22+Submetering!I22+Submetering!H22</f>
        <v>81.352000000000004</v>
      </c>
      <c r="J22" s="16">
        <v>2.3196172978505634</v>
      </c>
      <c r="K22" s="20">
        <f>Submetering!K22</f>
        <v>85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11</v>
      </c>
      <c r="D23" s="9">
        <v>2019</v>
      </c>
      <c r="E23" s="20">
        <f>Submetering!E23</f>
        <v>8610.75</v>
      </c>
      <c r="F23" s="16">
        <v>0.12</v>
      </c>
      <c r="G23" s="20">
        <f>Submetering!F23+Submetering!G23</f>
        <v>480.74338324140189</v>
      </c>
      <c r="H23" s="16">
        <v>0.71</v>
      </c>
      <c r="I23" s="20">
        <f>Submetering!J23+Submetering!I23+Submetering!H23</f>
        <v>89.539000000000001</v>
      </c>
      <c r="J23" s="16">
        <v>2.3196172978505634</v>
      </c>
      <c r="K23" s="20">
        <f>Submetering!K23</f>
        <v>63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11</v>
      </c>
      <c r="D24" s="9">
        <v>2019</v>
      </c>
      <c r="E24" s="20">
        <f>Submetering!E24</f>
        <v>8097.75</v>
      </c>
      <c r="F24" s="16">
        <v>0.12</v>
      </c>
      <c r="G24" s="20">
        <f>Submetering!F24+Submetering!G24</f>
        <v>451.23020855504677</v>
      </c>
      <c r="H24" s="16">
        <v>0.71</v>
      </c>
      <c r="I24" s="20">
        <f>Submetering!J24+Submetering!I24+Submetering!H24</f>
        <v>74.88</v>
      </c>
      <c r="J24" s="16">
        <v>2.3196172978505634</v>
      </c>
      <c r="K24" s="20">
        <f>Submetering!K24</f>
        <v>46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11</v>
      </c>
      <c r="D25" s="9">
        <v>2019</v>
      </c>
      <c r="E25" s="20">
        <f>Submetering!E25</f>
        <v>7870.5</v>
      </c>
      <c r="F25" s="16">
        <v>0.12</v>
      </c>
      <c r="G25" s="20">
        <f>Submetering!F25+Submetering!G25</f>
        <v>371.30472293186921</v>
      </c>
      <c r="H25" s="16">
        <v>0.71</v>
      </c>
      <c r="I25" s="20">
        <f>Submetering!J25+Submetering!I25+Submetering!H25</f>
        <v>65.382000000000005</v>
      </c>
      <c r="J25" s="16">
        <v>2.3196172978505634</v>
      </c>
      <c r="K25" s="20">
        <f>Submetering!K25</f>
        <v>51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11</v>
      </c>
      <c r="D26" s="9">
        <v>2019</v>
      </c>
      <c r="E26" s="20">
        <f>Submetering!E26</f>
        <v>8374.5</v>
      </c>
      <c r="F26" s="16">
        <v>0.12</v>
      </c>
      <c r="G26" s="20">
        <f>Submetering!F26+Submetering!G26</f>
        <v>321.56460196205609</v>
      </c>
      <c r="H26" s="16">
        <v>0.71</v>
      </c>
      <c r="I26" s="20">
        <f>Submetering!J26+Submetering!I26+Submetering!H26</f>
        <v>82.176999999999992</v>
      </c>
      <c r="J26" s="16">
        <v>2.3196172978505634</v>
      </c>
      <c r="K26" s="20">
        <f>Submetering!K26</f>
        <v>72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11</v>
      </c>
      <c r="D27" s="9">
        <v>2019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11</v>
      </c>
      <c r="D28" s="9">
        <v>2019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11</v>
      </c>
      <c r="D29" s="9">
        <v>2019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11</v>
      </c>
      <c r="D30" s="9">
        <v>2019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11</v>
      </c>
      <c r="D31" s="9">
        <v>2019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K27" sqref="K27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11</v>
      </c>
      <c r="D2" s="6">
        <v>2019</v>
      </c>
      <c r="E2" s="20">
        <v>8568</v>
      </c>
      <c r="F2" s="20">
        <v>155.43946191682244</v>
      </c>
      <c r="G2" s="20">
        <v>13.999080741214954</v>
      </c>
      <c r="H2" s="20">
        <v>6.59</v>
      </c>
      <c r="I2" s="20">
        <v>36</v>
      </c>
      <c r="J2" s="20">
        <v>29</v>
      </c>
      <c r="K2" s="20">
        <v>53</v>
      </c>
    </row>
    <row r="3" spans="1:12" x14ac:dyDescent="0.25">
      <c r="A3" s="17" t="s">
        <v>32</v>
      </c>
      <c r="B3" s="6">
        <f>B2+1</f>
        <v>2</v>
      </c>
      <c r="C3" s="6">
        <v>11</v>
      </c>
      <c r="D3" s="6">
        <v>2019</v>
      </c>
      <c r="E3" s="20">
        <v>8552.25</v>
      </c>
      <c r="F3" s="20">
        <v>113.77146483644862</v>
      </c>
      <c r="G3" s="20">
        <v>15.023999087943926</v>
      </c>
      <c r="H3" s="20">
        <v>6.95</v>
      </c>
      <c r="I3" s="20">
        <v>41</v>
      </c>
      <c r="J3" s="20">
        <v>28</v>
      </c>
      <c r="K3" s="20">
        <v>49</v>
      </c>
    </row>
    <row r="4" spans="1:12" x14ac:dyDescent="0.25">
      <c r="A4" s="17" t="s">
        <v>32</v>
      </c>
      <c r="B4" s="6">
        <f t="shared" ref="B4:B31" si="0">B3+1</f>
        <v>3</v>
      </c>
      <c r="C4" s="6">
        <v>11</v>
      </c>
      <c r="D4" s="6">
        <v>2019</v>
      </c>
      <c r="E4" s="20">
        <v>8264.25</v>
      </c>
      <c r="F4" s="20">
        <v>121.24512745420562</v>
      </c>
      <c r="G4" s="20">
        <v>17.063427113177571</v>
      </c>
      <c r="H4" s="20">
        <v>6.53</v>
      </c>
      <c r="I4" s="20">
        <v>38</v>
      </c>
      <c r="J4" s="20">
        <v>30</v>
      </c>
      <c r="K4" s="20">
        <v>66</v>
      </c>
    </row>
    <row r="5" spans="1:12" x14ac:dyDescent="0.25">
      <c r="A5" s="17" t="s">
        <v>32</v>
      </c>
      <c r="B5" s="6">
        <f t="shared" si="0"/>
        <v>4</v>
      </c>
      <c r="C5" s="6">
        <v>11</v>
      </c>
      <c r="D5" s="6">
        <v>2019</v>
      </c>
      <c r="E5" s="20">
        <v>8525.25</v>
      </c>
      <c r="F5" s="20">
        <v>242.28849481401872</v>
      </c>
      <c r="G5" s="20">
        <v>16.499987973271029</v>
      </c>
      <c r="H5" s="20">
        <v>10.468</v>
      </c>
      <c r="I5" s="20">
        <v>42</v>
      </c>
      <c r="J5" s="20">
        <v>32</v>
      </c>
      <c r="K5" s="20">
        <v>81</v>
      </c>
    </row>
    <row r="6" spans="1:12" x14ac:dyDescent="0.25">
      <c r="A6" s="17" t="s">
        <v>32</v>
      </c>
      <c r="B6" s="6">
        <f t="shared" si="0"/>
        <v>5</v>
      </c>
      <c r="C6" s="6">
        <v>11</v>
      </c>
      <c r="D6" s="6">
        <v>2019</v>
      </c>
      <c r="E6" s="20">
        <v>8572.5</v>
      </c>
      <c r="F6" s="20">
        <v>225.76139493177573</v>
      </c>
      <c r="G6" s="20">
        <v>18.296081651869162</v>
      </c>
      <c r="H6" s="20">
        <v>9.33</v>
      </c>
      <c r="I6" s="20">
        <v>46</v>
      </c>
      <c r="J6" s="20">
        <v>29</v>
      </c>
      <c r="K6" s="20">
        <v>73</v>
      </c>
    </row>
    <row r="7" spans="1:12" x14ac:dyDescent="0.25">
      <c r="A7" s="17" t="s">
        <v>32</v>
      </c>
      <c r="B7" s="6">
        <f t="shared" si="0"/>
        <v>6</v>
      </c>
      <c r="C7" s="6">
        <v>11</v>
      </c>
      <c r="D7" s="6">
        <v>2019</v>
      </c>
      <c r="E7" s="20">
        <v>8678.25</v>
      </c>
      <c r="F7" s="20">
        <v>282.1681952149533</v>
      </c>
      <c r="G7" s="20">
        <v>16.11093555411215</v>
      </c>
      <c r="H7" s="20">
        <v>6.6429999999999998</v>
      </c>
      <c r="I7" s="20">
        <v>48</v>
      </c>
      <c r="J7" s="20">
        <v>29</v>
      </c>
      <c r="K7" s="20">
        <v>86</v>
      </c>
    </row>
    <row r="8" spans="1:12" x14ac:dyDescent="0.25">
      <c r="A8" s="17" t="s">
        <v>32</v>
      </c>
      <c r="B8" s="6">
        <f t="shared" si="0"/>
        <v>7</v>
      </c>
      <c r="C8" s="6">
        <v>11</v>
      </c>
      <c r="D8" s="6">
        <v>2019</v>
      </c>
      <c r="E8" s="20">
        <v>9060.75</v>
      </c>
      <c r="F8" s="20">
        <v>346.79134719252335</v>
      </c>
      <c r="G8" s="20">
        <v>16.848595280467293</v>
      </c>
      <c r="H8" s="20">
        <v>6.6429999999999998</v>
      </c>
      <c r="I8" s="6">
        <v>51</v>
      </c>
      <c r="J8" s="20">
        <v>32</v>
      </c>
      <c r="K8" s="20">
        <v>86</v>
      </c>
    </row>
    <row r="9" spans="1:12" x14ac:dyDescent="0.25">
      <c r="A9" s="17" t="s">
        <v>32</v>
      </c>
      <c r="B9" s="6">
        <f t="shared" si="0"/>
        <v>8</v>
      </c>
      <c r="C9" s="6">
        <v>11</v>
      </c>
      <c r="D9" s="6">
        <v>2019</v>
      </c>
      <c r="E9" s="20">
        <v>9405</v>
      </c>
      <c r="F9" s="20">
        <v>362.42700596822431</v>
      </c>
      <c r="G9" s="20">
        <v>15.930440512056075</v>
      </c>
      <c r="H9" s="20">
        <v>6.9660000000000002</v>
      </c>
      <c r="I9" s="6">
        <v>60</v>
      </c>
      <c r="J9" s="20">
        <v>33</v>
      </c>
      <c r="K9" s="20">
        <v>102</v>
      </c>
    </row>
    <row r="10" spans="1:12" x14ac:dyDescent="0.25">
      <c r="A10" s="17" t="s">
        <v>32</v>
      </c>
      <c r="B10" s="6">
        <f t="shared" si="0"/>
        <v>9</v>
      </c>
      <c r="C10" s="6">
        <v>11</v>
      </c>
      <c r="D10" s="6">
        <v>2019</v>
      </c>
      <c r="E10" s="20">
        <v>9128.25</v>
      </c>
      <c r="F10" s="20">
        <v>348.52161707289724</v>
      </c>
      <c r="G10" s="20">
        <v>17</v>
      </c>
      <c r="H10" s="20">
        <v>6.774</v>
      </c>
      <c r="I10" s="6">
        <v>57</v>
      </c>
      <c r="J10" s="20">
        <v>29</v>
      </c>
      <c r="K10" s="20">
        <v>102</v>
      </c>
    </row>
    <row r="11" spans="1:12" x14ac:dyDescent="0.25">
      <c r="A11" s="17" t="s">
        <v>32</v>
      </c>
      <c r="B11" s="6">
        <f t="shared" si="0"/>
        <v>10</v>
      </c>
      <c r="C11" s="6">
        <v>11</v>
      </c>
      <c r="D11" s="6">
        <v>2019</v>
      </c>
      <c r="E11" s="20">
        <v>8552.25</v>
      </c>
      <c r="F11" s="20">
        <v>515.66281861214952</v>
      </c>
      <c r="G11" s="20">
        <v>14.111965026635517</v>
      </c>
      <c r="H11" s="20">
        <v>6.7629999999999999</v>
      </c>
      <c r="I11" s="6">
        <v>54</v>
      </c>
      <c r="J11" s="20">
        <v>31</v>
      </c>
      <c r="K11" s="20">
        <v>92</v>
      </c>
    </row>
    <row r="12" spans="1:12" x14ac:dyDescent="0.25">
      <c r="A12" s="17" t="s">
        <v>32</v>
      </c>
      <c r="B12" s="6">
        <f t="shared" si="0"/>
        <v>11</v>
      </c>
      <c r="C12" s="6">
        <v>11</v>
      </c>
      <c r="D12" s="6">
        <v>2019</v>
      </c>
      <c r="E12" s="20">
        <v>8730</v>
      </c>
      <c r="F12" s="20">
        <v>477.78568628037385</v>
      </c>
      <c r="G12" s="20">
        <v>15.493846986728974</v>
      </c>
      <c r="H12" s="20">
        <v>10.754</v>
      </c>
      <c r="I12" s="20">
        <v>59</v>
      </c>
      <c r="J12" s="20">
        <v>33</v>
      </c>
      <c r="K12" s="20">
        <v>87</v>
      </c>
    </row>
    <row r="13" spans="1:12" x14ac:dyDescent="0.25">
      <c r="A13" s="17" t="s">
        <v>32</v>
      </c>
      <c r="B13" s="6">
        <f t="shared" si="0"/>
        <v>12</v>
      </c>
      <c r="C13" s="6">
        <v>11</v>
      </c>
      <c r="D13" s="6">
        <v>2019</v>
      </c>
      <c r="E13" s="20">
        <v>8703</v>
      </c>
      <c r="F13" s="20">
        <v>400.64880830841122</v>
      </c>
      <c r="G13" s="20">
        <v>16.210400685327105</v>
      </c>
      <c r="H13" s="20">
        <v>10.23</v>
      </c>
      <c r="I13" s="20">
        <v>57</v>
      </c>
      <c r="J13" s="20">
        <v>29</v>
      </c>
      <c r="K13" s="20">
        <v>81</v>
      </c>
    </row>
    <row r="14" spans="1:12" x14ac:dyDescent="0.25">
      <c r="A14" s="17" t="s">
        <v>32</v>
      </c>
      <c r="B14" s="6">
        <f t="shared" si="0"/>
        <v>13</v>
      </c>
      <c r="C14" s="6">
        <v>11</v>
      </c>
      <c r="D14" s="6">
        <v>2019</v>
      </c>
      <c r="E14" s="20">
        <v>8469</v>
      </c>
      <c r="F14" s="20">
        <v>440.09062992429909</v>
      </c>
      <c r="G14" s="20">
        <v>20.394562086074767</v>
      </c>
      <c r="H14" s="20">
        <v>11.066000000000001</v>
      </c>
      <c r="I14" s="20">
        <v>52</v>
      </c>
      <c r="J14" s="20">
        <v>30</v>
      </c>
      <c r="K14" s="20">
        <v>45</v>
      </c>
    </row>
    <row r="15" spans="1:12" x14ac:dyDescent="0.25">
      <c r="A15" s="17" t="s">
        <v>32</v>
      </c>
      <c r="B15" s="6">
        <f t="shared" si="0"/>
        <v>14</v>
      </c>
      <c r="C15" s="6">
        <v>11</v>
      </c>
      <c r="D15" s="6">
        <v>2019</v>
      </c>
      <c r="E15" s="20">
        <v>8410.5</v>
      </c>
      <c r="F15" s="20">
        <v>511.69359191401873</v>
      </c>
      <c r="G15" s="20">
        <v>14.826377992990654</v>
      </c>
      <c r="H15" s="20">
        <v>6.2889999999999997</v>
      </c>
      <c r="I15" s="20">
        <v>40</v>
      </c>
      <c r="J15" s="20">
        <v>30</v>
      </c>
      <c r="K15" s="20">
        <v>68</v>
      </c>
    </row>
    <row r="16" spans="1:12" x14ac:dyDescent="0.25">
      <c r="A16" s="17" t="s">
        <v>32</v>
      </c>
      <c r="B16" s="6">
        <f t="shared" si="0"/>
        <v>15</v>
      </c>
      <c r="C16" s="6">
        <v>11</v>
      </c>
      <c r="D16" s="6">
        <v>2019</v>
      </c>
      <c r="E16" s="20">
        <v>8181</v>
      </c>
      <c r="F16" s="20">
        <v>484.56257950934582</v>
      </c>
      <c r="G16" s="20">
        <v>15.829217815794395</v>
      </c>
      <c r="H16" s="20">
        <v>6.0220000000000002</v>
      </c>
      <c r="I16" s="20">
        <v>37</v>
      </c>
      <c r="J16" s="20">
        <v>28</v>
      </c>
      <c r="K16" s="20">
        <v>45</v>
      </c>
    </row>
    <row r="17" spans="1:11" x14ac:dyDescent="0.25">
      <c r="A17" s="17" t="s">
        <v>32</v>
      </c>
      <c r="B17" s="6">
        <f t="shared" si="0"/>
        <v>16</v>
      </c>
      <c r="C17" s="6">
        <v>11</v>
      </c>
      <c r="D17" s="6">
        <v>2019</v>
      </c>
      <c r="E17" s="20">
        <v>7850.25</v>
      </c>
      <c r="F17" s="20">
        <v>464.19313346635522</v>
      </c>
      <c r="G17" s="20">
        <v>16.723495720934579</v>
      </c>
      <c r="H17" s="20">
        <v>6.32</v>
      </c>
      <c r="I17" s="20">
        <v>37</v>
      </c>
      <c r="J17" s="20">
        <v>26</v>
      </c>
      <c r="K17" s="20">
        <v>37</v>
      </c>
    </row>
    <row r="18" spans="1:11" x14ac:dyDescent="0.25">
      <c r="A18" s="17" t="s">
        <v>32</v>
      </c>
      <c r="B18" s="6">
        <f t="shared" si="0"/>
        <v>17</v>
      </c>
      <c r="C18" s="6">
        <v>11</v>
      </c>
      <c r="D18" s="6">
        <v>2019</v>
      </c>
      <c r="E18" s="20">
        <v>7949.25</v>
      </c>
      <c r="F18" s="20">
        <v>534.41909997943924</v>
      </c>
      <c r="G18" s="20">
        <v>19.309314105327104</v>
      </c>
      <c r="H18" s="20">
        <v>6.1029999999999998</v>
      </c>
      <c r="I18" s="20">
        <v>29</v>
      </c>
      <c r="J18" s="20">
        <v>24</v>
      </c>
      <c r="K18" s="20">
        <v>41</v>
      </c>
    </row>
    <row r="19" spans="1:11" x14ac:dyDescent="0.25">
      <c r="A19" s="17" t="s">
        <v>32</v>
      </c>
      <c r="B19" s="6">
        <f t="shared" si="0"/>
        <v>18</v>
      </c>
      <c r="C19" s="6">
        <v>11</v>
      </c>
      <c r="D19" s="6">
        <v>2019</v>
      </c>
      <c r="E19" s="20">
        <v>8100</v>
      </c>
      <c r="F19" s="20">
        <v>479.06773573084115</v>
      </c>
      <c r="G19" s="20">
        <v>14.318644102616824</v>
      </c>
      <c r="H19" s="20">
        <v>10.817</v>
      </c>
      <c r="I19" s="20">
        <v>37</v>
      </c>
      <c r="J19" s="20">
        <v>29</v>
      </c>
      <c r="K19" s="20">
        <v>59</v>
      </c>
    </row>
    <row r="20" spans="1:11" x14ac:dyDescent="0.25">
      <c r="A20" s="17" t="s">
        <v>32</v>
      </c>
      <c r="B20" s="6">
        <f t="shared" si="0"/>
        <v>19</v>
      </c>
      <c r="C20" s="6">
        <v>11</v>
      </c>
      <c r="D20" s="6">
        <v>2019</v>
      </c>
      <c r="E20" s="20">
        <v>8003.25</v>
      </c>
      <c r="F20" s="20">
        <v>505.45005944859815</v>
      </c>
      <c r="G20" s="20">
        <v>15.403665448785047</v>
      </c>
      <c r="H20" s="20">
        <v>9.7370000000000001</v>
      </c>
      <c r="I20" s="20">
        <v>42</v>
      </c>
      <c r="J20" s="20">
        <v>27</v>
      </c>
      <c r="K20" s="20">
        <v>79</v>
      </c>
    </row>
    <row r="21" spans="1:11" x14ac:dyDescent="0.25">
      <c r="A21" s="17" t="s">
        <v>32</v>
      </c>
      <c r="B21" s="6">
        <f t="shared" si="0"/>
        <v>20</v>
      </c>
      <c r="C21" s="6">
        <v>11</v>
      </c>
      <c r="D21" s="6">
        <v>2019</v>
      </c>
      <c r="E21" s="20">
        <v>8041.5</v>
      </c>
      <c r="F21" s="20">
        <v>565.87137429345808</v>
      </c>
      <c r="G21" s="20">
        <v>23.574593925233646</v>
      </c>
      <c r="H21" s="20">
        <v>8.8149999999999995</v>
      </c>
      <c r="I21" s="20">
        <v>49</v>
      </c>
      <c r="J21" s="20">
        <v>30</v>
      </c>
      <c r="K21" s="20">
        <v>67</v>
      </c>
    </row>
    <row r="22" spans="1:11" x14ac:dyDescent="0.25">
      <c r="A22" s="17" t="s">
        <v>32</v>
      </c>
      <c r="B22" s="6">
        <f t="shared" si="0"/>
        <v>21</v>
      </c>
      <c r="C22" s="6">
        <v>11</v>
      </c>
      <c r="D22" s="6">
        <v>2019</v>
      </c>
      <c r="E22" s="20">
        <v>8271</v>
      </c>
      <c r="F22" s="20">
        <v>458.07051774672897</v>
      </c>
      <c r="G22" s="20">
        <v>26.32602980831776</v>
      </c>
      <c r="H22" s="20">
        <v>6.3520000000000003</v>
      </c>
      <c r="I22" s="20">
        <v>44</v>
      </c>
      <c r="J22" s="20">
        <v>31</v>
      </c>
      <c r="K22" s="20">
        <v>85</v>
      </c>
    </row>
    <row r="23" spans="1:11" x14ac:dyDescent="0.25">
      <c r="A23" s="17" t="s">
        <v>32</v>
      </c>
      <c r="B23" s="6">
        <f t="shared" si="0"/>
        <v>22</v>
      </c>
      <c r="C23" s="6">
        <v>11</v>
      </c>
      <c r="D23" s="6">
        <v>2019</v>
      </c>
      <c r="E23" s="20">
        <v>8610.75</v>
      </c>
      <c r="F23" s="20">
        <v>455.15277690093461</v>
      </c>
      <c r="G23" s="20">
        <v>25.590606340467289</v>
      </c>
      <c r="H23" s="20">
        <v>6.5389999999999997</v>
      </c>
      <c r="I23" s="20">
        <v>53</v>
      </c>
      <c r="J23" s="20">
        <v>30</v>
      </c>
      <c r="K23" s="20">
        <v>63</v>
      </c>
    </row>
    <row r="24" spans="1:11" x14ac:dyDescent="0.25">
      <c r="A24" s="17" t="s">
        <v>32</v>
      </c>
      <c r="B24" s="6">
        <f t="shared" si="0"/>
        <v>23</v>
      </c>
      <c r="C24" s="6">
        <v>11</v>
      </c>
      <c r="D24" s="6">
        <v>2019</v>
      </c>
      <c r="E24" s="20">
        <v>8097.75</v>
      </c>
      <c r="F24" s="20">
        <v>432.07599928411219</v>
      </c>
      <c r="G24" s="20">
        <v>19.154209270934579</v>
      </c>
      <c r="H24" s="20">
        <v>6.88</v>
      </c>
      <c r="I24" s="20">
        <v>40</v>
      </c>
      <c r="J24" s="20">
        <v>28</v>
      </c>
      <c r="K24" s="20">
        <v>46</v>
      </c>
    </row>
    <row r="25" spans="1:11" x14ac:dyDescent="0.25">
      <c r="A25" s="17" t="s">
        <v>32</v>
      </c>
      <c r="B25" s="6">
        <f t="shared" si="0"/>
        <v>24</v>
      </c>
      <c r="C25" s="6">
        <v>11</v>
      </c>
      <c r="D25" s="6">
        <v>2019</v>
      </c>
      <c r="E25" s="20">
        <v>7870.5</v>
      </c>
      <c r="F25" s="20">
        <v>354.13306190280377</v>
      </c>
      <c r="G25" s="20">
        <v>17.171661029065422</v>
      </c>
      <c r="H25" s="20">
        <v>6.3819999999999997</v>
      </c>
      <c r="I25" s="20">
        <v>35</v>
      </c>
      <c r="J25" s="20">
        <v>24</v>
      </c>
      <c r="K25" s="20">
        <v>51</v>
      </c>
    </row>
    <row r="26" spans="1:11" x14ac:dyDescent="0.25">
      <c r="A26" s="17" t="s">
        <v>32</v>
      </c>
      <c r="B26" s="6">
        <f>B25+1</f>
        <v>25</v>
      </c>
      <c r="C26" s="6">
        <v>11</v>
      </c>
      <c r="D26" s="6">
        <v>2019</v>
      </c>
      <c r="E26" s="20">
        <v>8374.5</v>
      </c>
      <c r="F26" s="20">
        <v>310.00319230747664</v>
      </c>
      <c r="G26" s="20">
        <v>11.561409654579439</v>
      </c>
      <c r="H26" s="20">
        <v>11.177</v>
      </c>
      <c r="I26" s="20">
        <v>41</v>
      </c>
      <c r="J26" s="20">
        <v>30</v>
      </c>
      <c r="K26" s="20">
        <v>72</v>
      </c>
    </row>
    <row r="27" spans="1:11" x14ac:dyDescent="0.25">
      <c r="A27" s="17" t="s">
        <v>32</v>
      </c>
      <c r="B27" s="6">
        <f t="shared" si="0"/>
        <v>26</v>
      </c>
      <c r="C27" s="6">
        <v>11</v>
      </c>
      <c r="D27" s="6">
        <v>2019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11</v>
      </c>
      <c r="D28" s="6">
        <v>2019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11</v>
      </c>
      <c r="D29" s="6">
        <v>2019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11</v>
      </c>
      <c r="D30" s="6">
        <v>2019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11</v>
      </c>
      <c r="D31" s="6">
        <v>2019</v>
      </c>
      <c r="K31" s="20"/>
    </row>
    <row r="32" spans="1:11" x14ac:dyDescent="0.25"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2019-11-26T15:31:42Z</dcterms:modified>
</cp:coreProperties>
</file>