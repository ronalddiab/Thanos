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05" yWindow="-285" windowWidth="15795" windowHeight="12345" tabRatio="581" firstSheet="2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X2" i="3"/>
  <c r="A13" i="1"/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25" l="1"/>
  <c r="AK26" l="1"/>
  <c r="AK27" l="1"/>
  <c r="AK28" l="1"/>
  <c r="AK29" l="1"/>
  <c r="AK30" l="1"/>
  <c r="AK31" l="1"/>
  <c r="AK32" l="1"/>
  <c r="AK33" l="1"/>
  <c r="F37" i="73" l="1"/>
  <c r="AS36" i="7"/>
  <c r="AU36" s="1"/>
  <c r="P33" i="3"/>
  <c r="F37" i="5"/>
  <c r="F38"/>
  <c r="AX13"/>
  <c r="AX18" s="1"/>
  <c r="AX27" s="1"/>
  <c r="AX28" s="1"/>
  <c r="AX29" s="1"/>
  <c r="AX30" s="1"/>
  <c r="AX31" s="1"/>
  <c r="AX32" s="1"/>
  <c r="AX33" s="1"/>
  <c r="AX34" s="1"/>
  <c r="AX35" s="1"/>
  <c r="AV13"/>
  <c r="AV18" s="1"/>
  <c r="AV27" s="1"/>
  <c r="AV28" s="1"/>
  <c r="AV29" s="1"/>
  <c r="AV30" s="1"/>
  <c r="AV31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26" s="1"/>
  <c r="AT27" s="1"/>
  <c r="AT28" s="1"/>
  <c r="AT29" s="1"/>
  <c r="AT30" s="1"/>
  <c r="AT31" s="1"/>
  <c r="AT32" s="1"/>
  <c r="AT33" s="1"/>
  <c r="AT34" s="1"/>
  <c r="AT35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6" s="1"/>
  <c r="F25" s="1"/>
  <c r="F26" s="1"/>
  <c r="F27" s="1"/>
  <c r="F28" s="1"/>
  <c r="F29" s="1"/>
  <c r="F30" s="1"/>
  <c r="F31" s="1"/>
  <c r="F32" s="1"/>
  <c r="F33" s="1"/>
  <c r="W28" s="1"/>
  <c r="G3"/>
  <c r="H3"/>
  <c r="H25" s="1"/>
  <c r="H26" s="1"/>
  <c r="H27" s="1"/>
  <c r="H28" s="1"/>
  <c r="H29" s="1"/>
  <c r="H30" s="1"/>
  <c r="H31" s="1"/>
  <c r="H32" s="1"/>
  <c r="H33" s="1"/>
  <c r="W27" s="1"/>
  <c r="I3"/>
  <c r="J3"/>
  <c r="J7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6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24" s="1"/>
  <c r="R25" s="1"/>
  <c r="R26" s="1"/>
  <c r="R27" s="1"/>
  <c r="R28" s="1"/>
  <c r="R29" s="1"/>
  <c r="R30" s="1"/>
  <c r="R31" s="1"/>
  <c r="R32" s="1"/>
  <c r="S2"/>
  <c r="T2"/>
  <c r="T7" s="1"/>
  <c r="T10" s="1"/>
  <c r="T22" s="1"/>
  <c r="T24" s="1"/>
  <c r="T25" s="1"/>
  <c r="T26" s="1"/>
  <c r="T27" s="1"/>
  <c r="T28" s="1"/>
  <c r="T29" s="1"/>
  <c r="T30" s="1"/>
  <c r="T31" s="1"/>
  <c r="T32" s="1"/>
  <c r="U2"/>
  <c r="V2"/>
  <c r="W2"/>
  <c r="X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4" s="1"/>
  <c r="H16" s="1"/>
  <c r="H17" s="1"/>
  <c r="H18" s="1"/>
  <c r="H20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2" s="1"/>
  <c r="G24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1" s="1"/>
  <c r="X23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10" s="1"/>
  <c r="F11" s="1"/>
  <c r="F13" s="1"/>
  <c r="F14" s="1"/>
  <c r="F17" s="1"/>
  <c r="F20" s="1"/>
  <c r="F21" s="1"/>
  <c r="F22" s="1"/>
  <c r="F23" s="1"/>
  <c r="F26" s="1"/>
  <c r="F27" s="1"/>
  <c r="F28" s="1"/>
  <c r="F29" s="1"/>
  <c r="F30" s="1"/>
  <c r="F31" s="1"/>
  <c r="F32" s="1"/>
  <c r="F33" s="1"/>
  <c r="F34" s="1"/>
  <c r="G4"/>
  <c r="H4"/>
  <c r="H8" s="1"/>
  <c r="H11" s="1"/>
  <c r="H13" s="1"/>
  <c r="H14" s="1"/>
  <c r="H17" s="1"/>
  <c r="H20" s="1"/>
  <c r="H22" s="1"/>
  <c r="H23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5" s="1"/>
  <c r="K17" s="1"/>
  <c r="K18" s="1"/>
  <c r="K20" s="1"/>
  <c r="K21" s="1"/>
  <c r="K26" s="1"/>
  <c r="K27" s="1"/>
  <c r="K28" s="1"/>
  <c r="K29" s="1"/>
  <c r="K30" s="1"/>
  <c r="K31" s="1"/>
  <c r="K32" s="1"/>
  <c r="K33" s="1"/>
  <c r="K34" s="1"/>
  <c r="L4"/>
  <c r="M4"/>
  <c r="M5" s="1"/>
  <c r="M6" s="1"/>
  <c r="M9" s="1"/>
  <c r="M11" s="1"/>
  <c r="M12" s="1"/>
  <c r="M15" s="1"/>
  <c r="M17" s="1"/>
  <c r="M18" s="1"/>
  <c r="M20" s="1"/>
  <c r="M21" s="1"/>
  <c r="M24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10" s="1"/>
  <c r="P13" s="1"/>
  <c r="P15" s="1"/>
  <c r="P16" s="1"/>
  <c r="P18" s="1"/>
  <c r="P19" s="1"/>
  <c r="P22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13" s="1"/>
  <c r="Q16" s="1"/>
  <c r="Q18" s="1"/>
  <c r="Q19" s="1"/>
  <c r="Q22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M10" i="2" l="1"/>
  <c r="AN10" s="1"/>
  <c r="E10" s="1"/>
  <c r="H8" i="82" s="1"/>
  <c r="B7" i="7"/>
  <c r="AS5"/>
  <c r="AM11" i="2" l="1"/>
  <c r="AN11" s="1"/>
  <c r="E11" s="1"/>
  <c r="H9" i="82" s="1"/>
  <c r="B8" i="7"/>
  <c r="AY5"/>
  <c r="AX5"/>
  <c r="AM12" i="2" l="1"/>
  <c r="AN12" s="1"/>
  <c r="E12" s="1"/>
  <c r="H10" i="82" s="1"/>
  <c r="B9" i="7"/>
  <c r="H25" i="2"/>
  <c r="H26" s="1"/>
  <c r="H27" s="1"/>
  <c r="H28" s="1"/>
  <c r="H29" s="1"/>
  <c r="H30" s="1"/>
  <c r="H31" s="1"/>
  <c r="H32" s="1"/>
  <c r="H33" s="1"/>
  <c r="F25"/>
  <c r="F26" s="1"/>
  <c r="F27" s="1"/>
  <c r="F28" s="1"/>
  <c r="F29" s="1"/>
  <c r="F30" s="1"/>
  <c r="F31" s="1"/>
  <c r="F32" s="1"/>
  <c r="F33" s="1"/>
  <c r="J25"/>
  <c r="J26" s="1"/>
  <c r="J27" s="1"/>
  <c r="J28" s="1"/>
  <c r="J29" s="1"/>
  <c r="J30" s="1"/>
  <c r="J31" s="1"/>
  <c r="J32" s="1"/>
  <c r="J33" s="1"/>
  <c r="L25"/>
  <c r="L26" s="1"/>
  <c r="L27" s="1"/>
  <c r="L28" s="1"/>
  <c r="L29" s="1"/>
  <c r="L30" s="1"/>
  <c r="L31" s="1"/>
  <c r="L32" s="1"/>
  <c r="L33" s="1"/>
  <c r="P25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4"/>
  <c r="W15" s="1"/>
  <c r="W24" s="1"/>
  <c r="W25" s="1"/>
  <c r="W26" s="1"/>
  <c r="W27" s="1"/>
  <c r="W28" s="1"/>
  <c r="W29" s="1"/>
  <c r="W30" s="1"/>
  <c r="W31" s="1"/>
  <c r="W32" s="1"/>
  <c r="W33" s="1"/>
  <c r="Y14"/>
  <c r="Y15" s="1"/>
  <c r="Y16" s="1"/>
  <c r="Y17" s="1"/>
  <c r="Y20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22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M13" l="1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M14" i="2" l="1"/>
  <c r="AN14" s="1"/>
  <c r="E14" s="1"/>
  <c r="H12" i="82" s="1"/>
  <c r="B11" i="7"/>
  <c r="V32" i="1"/>
  <c r="U32"/>
  <c r="AM15" i="2" l="1"/>
  <c r="AN15" s="1"/>
  <c r="E15" s="1"/>
  <c r="H13" i="82" s="1"/>
  <c r="B12" i="7"/>
  <c r="AM16" i="2" l="1"/>
  <c r="AN16" s="1"/>
  <c r="E16" s="1"/>
  <c r="H14" i="82" s="1"/>
  <c r="B13" i="7"/>
  <c r="A14" i="5"/>
  <c r="AM17" i="2" l="1"/>
  <c r="AN17" s="1"/>
  <c r="E17" s="1"/>
  <c r="H15" i="82" s="1"/>
  <c r="B14" i="7"/>
  <c r="AM18" i="2" l="1"/>
  <c r="AN18" s="1"/>
  <c r="E18" s="1"/>
  <c r="H16" i="82" s="1"/>
  <c r="B15" i="7"/>
  <c r="AM19" i="2" l="1"/>
  <c r="AN19" s="1"/>
  <c r="E19" s="1"/>
  <c r="H17" i="82" s="1"/>
  <c r="B16" i="7"/>
  <c r="AT36"/>
  <c r="AT37" s="1"/>
  <c r="W16" i="76"/>
  <c r="W15"/>
  <c r="AM20" i="2" l="1"/>
  <c r="AN20" s="1"/>
  <c r="E20" s="1"/>
  <c r="H18" i="82" s="1"/>
  <c r="B17" i="7"/>
  <c r="E6" i="3"/>
  <c r="AM21" i="2" l="1"/>
  <c r="AN21" s="1"/>
  <c r="E21" s="1"/>
  <c r="H19" i="82" s="1"/>
  <c r="B18" i="7"/>
  <c r="AM22" i="2" l="1"/>
  <c r="AN22" s="1"/>
  <c r="E22" s="1"/>
  <c r="H20" i="82" s="1"/>
  <c r="B19" i="7"/>
  <c r="K5" i="73"/>
  <c r="G5"/>
  <c r="D5"/>
  <c r="AM23" i="2" l="1"/>
  <c r="AN23" s="1"/>
  <c r="E23" s="1"/>
  <c r="H21" i="82" s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7"/>
  <c r="AC34" i="76"/>
  <c r="AB34" s="1"/>
  <c r="AL26" i="2" l="1"/>
  <c r="AM25"/>
  <c r="AN25" s="1"/>
  <c r="E25" s="1"/>
  <c r="H23" i="82" s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7"/>
  <c r="I35" i="79"/>
  <c r="K35" i="5"/>
  <c r="Q16" i="2"/>
  <c r="AL29" l="1"/>
  <c r="AM28"/>
  <c r="AN28" s="1"/>
  <c r="E28" s="1"/>
  <c r="H26" i="82" s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M32"/>
  <c r="AN32" s="1"/>
  <c r="E32" s="1"/>
  <c r="H30" i="82" s="1"/>
  <c r="B29" i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I12" s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D7" i="75"/>
  <c r="E7" s="1"/>
  <c r="J6" i="65"/>
  <c r="J5"/>
  <c r="J10"/>
  <c r="J8"/>
  <c r="I36" i="76"/>
  <c r="K36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W7"/>
  <c r="AJ6" i="1" s="1"/>
  <c r="AK6" s="1"/>
  <c r="D14" i="65"/>
  <c r="AG13" i="2"/>
  <c r="AG6"/>
  <c r="H14" i="65"/>
  <c r="B4" i="63"/>
  <c r="AF14" i="2"/>
  <c r="H15" i="65" s="1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Q34" l="1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AS39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I37"/>
  <c r="K31" i="81"/>
  <c r="J35" i="5"/>
  <c r="L31" i="81" s="1"/>
  <c r="K38" i="5" l="1"/>
  <c r="D6" i="77"/>
  <c r="E6" s="1"/>
  <c r="G6"/>
  <c r="AC28" i="76"/>
  <c r="AC27"/>
  <c r="F6" i="77" l="1"/>
  <c r="AC29" i="76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V26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one part from the tank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OFF all the night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taken at 3:00am</t>
        </r>
      </text>
    </comment>
    <comment ref="A23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was taken at 9:30am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<sst xmlns="http://schemas.openxmlformats.org/spreadsheetml/2006/main" count="667" uniqueCount="423">
  <si>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</si>
  <si>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</si>
  <si>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</si>
  <si>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</si>
  <si>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</si>
  <si>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</si>
  <si>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</si>
  <si>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</si>
  <si>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</si>
  <si>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</si>
  <si>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</si>
  <si>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</si>
  <si>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</si>
  <si>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</si>
  <si>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</si>
  <si>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</si>
  <si>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</si>
  <si>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</si>
  <si>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</si>
  <si>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</si>
  <si>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</si>
  <si>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</si>
  <si>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</si>
  <si>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</si>
  <si>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</si>
  <si>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</si>
  <si>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</si>
  <si>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</si>
  <si>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</si>
  <si>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</si>
  <si>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</si>
  <si>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</si>
  <si>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</si>
  <si>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</si>
  <si>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</si>
  <si>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</si>
  <si>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</si>
  <si>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</si>
  <si>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</si>
  <si>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</si>
  <si>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</si>
  <si>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</si>
  <si>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</si>
  <si>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</si>
  <si>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</si>
  <si>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</si>
  <si>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</si>
  <si>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</si>
  <si>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</si>
  <si>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</si>
  <si>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</si>
  <si>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</si>
  <si>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</si>
  <si>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</si>
  <si>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</si>
  <si>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</si>
  <si>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</si>
  <si>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</si>
  <si>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</si>
  <si>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</si>
  <si>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</si>
  <si>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</si>
  <si>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</si>
  <si>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</si>
  <si>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</si>
  <si>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</si>
  <si>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</si>
  <si>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</si>
  <si>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</si>
  <si>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</si>
  <si>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</si>
  <si>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</si>
  <si>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</si>
  <si>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</si>
  <si>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</si>
  <si>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</si>
  <si>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</si>
  <si>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</si>
  <si>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</si>
  <si>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</si>
  <si>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</si>
  <si>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</si>
  <si>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</si>
  <si>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</si>
  <si>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</si>
  <si>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</si>
  <si>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</si>
  <si>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</si>
  <si>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</si>
  <si>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</si>
  <si>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</si>
  <si>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</si>
  <si>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</si>
  <si>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</si>
  <si>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</si>
  <si>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</si>
  <si>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</si>
  <si>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</si>
  <si>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</si>
  <si>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</si>
  <si>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</si>
  <si>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</si>
  <si>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</si>
  <si>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</si>
  <si>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</si>
  <si>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</si>
  <si>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</si>
  <si>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</si>
  <si>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</si>
  <si>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</si>
  <si>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</si>
  <si>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</si>
  <si>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</si>
  <si>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</si>
  <si>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</si>
  <si>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</si>
  <si>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</si>
  <si>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</si>
  <si>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</si>
  <si>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</si>
  <si>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</si>
  <si>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</si>
  <si>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</si>
  <si>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</si>
  <si>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</si>
  <si>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</si>
  <si>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</si>
  <si>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</si>
  <si>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</si>
  <si>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</si>
  <si>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</si>
  <si>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</si>
  <si>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</si>
  <si>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</si>
  <si>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</si>
  <si>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</si>
  <si>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</si>
  <si>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</si>
  <si>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</si>
  <si>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</si>
  <si>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</si>
  <si>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</si>
  <si>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</si>
  <si>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</si>
  <si>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</si>
  <si>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</si>
  <si>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</si>
  <si>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</si>
  <si>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</si>
  <si>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</si>
  <si>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</si>
  <si>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</si>
  <si>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</si>
  <si>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</si>
  <si>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</si>
  <si>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</si>
  <si>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</si>
  <si>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</si>
  <si>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</si>
  <si>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</si>
  <si>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</si>
  <si>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</si>
  <si>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</si>
  <si>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</si>
  <si>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</si>
  <si>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</si>
  <si>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</si>
  <si>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</si>
  <si>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</si>
  <si>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</si>
  <si>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</si>
  <si>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</si>
  <si>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</si>
  <si>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</si>
  <si>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</si>
  <si>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</si>
  <si>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</si>
  <si>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</si>
  <si>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</si>
  <si>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</si>
  <si>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</si>
  <si>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</si>
  <si>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</si>
  <si>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</si>
  <si>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</si>
  <si>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</si>
  <si>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</si>
  <si>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</si>
  <si>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</si>
  <si>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</si>
  <si>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</si>
  <si>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</si>
  <si>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</si>
  <si>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</si>
  <si>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</si>
  <si>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</si>
  <si>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</si>
  <si>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</si>
  <si>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</si>
  <si>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</si>
  <si>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</si>
  <si>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</si>
  <si>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</si>
  <si>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</si>
  <si>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</si>
  <si>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</si>
  <si>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</si>
  <si>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</si>
  <si>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</si>
  <si>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</si>
  <si>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</si>
  <si>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</si>
  <si>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</si>
  <si>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</si>
  <si>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</si>
  <si>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</si>
  <si>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</si>
  <si>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</si>
  <si>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</si>
  <si>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</si>
  <si>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</si>
  <si>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</si>
  <si>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</si>
  <si>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</si>
  <si>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</si>
  <si>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</si>
  <si>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</si>
  <si>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</si>
  <si>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</si>
  <si>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</si>
  <si>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</si>
  <si>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</si>
  <si>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</si>
  <si>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</si>
  <si>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</si>
  <si>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</si>
  <si>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</si>
  <si>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</si>
  <si>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</si>
  <si>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</si>
  <si>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</si>
  <si>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</si>
  <si>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</si>
  <si>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</si>
  <si>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</si>
  <si>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</si>
  <si>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</si>
  <si>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</si>
  <si>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</si>
  <si>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</si>
  <si>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</si>
  <si>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</si>
  <si>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</si>
  <si>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</si>
  <si>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</si>
  <si>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</si>
  <si>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</si>
  <si>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</si>
  <si>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</si>
  <si>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</si>
  <si>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</si>
  <si>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</si>
  <si>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</si>
  <si>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</si>
  <si>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</si>
  <si>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</si>
  <si>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</si>
  <si>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</si>
  <si>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</si>
  <si>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</si>
  <si>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</si>
  <si>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</si>
  <si>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</si>
  <si>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</si>
  <si>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</si>
  <si>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</si>
  <si>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</si>
  <si>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</si>
  <si>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</si>
  <si>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</si>
  <si>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</si>
  <si>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</si>
  <si>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</si>
  <si>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</si>
  <si>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</si>
  <si>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</si>
  <si>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</si>
  <si>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</si>
  <si>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</si>
  <si>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</si>
  <si>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</si>
  <si>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</si>
  <si>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</si>
  <si>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</si>
  <si>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</si>
  <si>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</si>
  <si>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</si>
  <si>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</si>
  <si>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</si>
  <si>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</si>
  <si>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</si>
  <si>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</si>
  <si>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</si>
  <si>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</si>
  <si>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</si>
  <si>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</si>
  <si>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</si>
  <si>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</si>
  <si>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</si>
  <si>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</si>
  <si>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</si>
  <si>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</si>
  <si>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</si>
  <si>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</si>
  <si>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</si>
  <si>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</si>
  <si>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</si>
  <si>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</si>
  <si>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</si>
  <si>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</si>
  <si>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</si>
  <si>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</si>
  <si>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</si>
  <si>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</si>
  <si>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</si>
  <si>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</si>
  <si>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</si>
  <si>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</si>
  <si>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</si>
  <si>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</si>
  <si>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</si>
  <si>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</si>
  <si>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</si>
  <si>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</si>
  <si>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</si>
  <si>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</si>
  <si>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</si>
  <si>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</si>
  <si>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</si>
  <si>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</si>
  <si>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</si>
  <si>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</si>
  <si>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</si>
  <si>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</si>
  <si>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</si>
  <si>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</si>
  <si>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</si>
  <si>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</si>
  <si>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</si>
  <si>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</si>
  <si>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</si>
  <si>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</si>
  <si>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</si>
  <si>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</si>
  <si>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</si>
  <si>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</si>
  <si>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</si>
  <si>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</si>
  <si>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</si>
  <si>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</si>
  <si>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</si>
  <si>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</si>
  <si>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</si>
  <si>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</si>
  <si>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</si>
  <si>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</si>
  <si>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</si>
  <si>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</si>
  <si>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</si>
  <si>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</si>
  <si>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</si>
  <si>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</si>
  <si>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</si>
  <si>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</si>
  <si>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</si>
  <si>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</si>
  <si>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</si>
  <si>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</si>
  <si>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</si>
  <si>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</si>
  <si>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</si>
  <si>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</si>
  <si>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</si>
  <si>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</si>
  <si>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</si>
  <si>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</si>
  <si>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</si>
  <si>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</si>
  <si>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</si>
  <si>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</si>
  <si>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</si>
  <si>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</si>
  <si>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</si>
  <si>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</si>
  <si>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</si>
  <si>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</si>
  <si>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</si>
  <si>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</si>
  <si>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</si>
  <si>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</si>
  <si>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</si>
  <si>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</si>
  <si>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</si>
  <si>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</si>
  <si>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</si>
  <si>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</si>
  <si>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</si>
  <si>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</si>
  <si>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</si>
  <si>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</si>
  <si>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</si>
  <si>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</si>
  <si>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</si>
  <si>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</si>
  <si>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</si>
  <si>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</si>
  <si>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</si>
  <si>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</si>
  <si>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</si>
  <si>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</si>
  <si>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</si>
  <si>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</si>
  <si>
    <t>off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</si>
</sst>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8" borderId="1" xfId="1" applyNumberFormat="1" applyFont="1" applyFill="1" applyBorder="1" applyAlignment="1">
      <alignment wrapText="1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12140</c:v>
                </c:pt>
                <c:pt idx="19">
                  <c:v>13379</c:v>
                </c:pt>
                <c:pt idx="20">
                  <c:v>12606</c:v>
                </c:pt>
                <c:pt idx="21">
                  <c:v>13830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8324608"/>
        <c:axId val="138690944"/>
      </c:lineChart>
      <c:catAx>
        <c:axId val="13832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90944"/>
        <c:crosses val="autoZero"/>
        <c:auto val="1"/>
        <c:lblAlgn val="ctr"/>
        <c:lblOffset val="100"/>
      </c:catAx>
      <c:valAx>
        <c:axId val="138690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2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8715904"/>
        <c:axId val="138717440"/>
      </c:lineChart>
      <c:catAx>
        <c:axId val="13871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17440"/>
        <c:crosses val="autoZero"/>
        <c:auto val="1"/>
        <c:lblAlgn val="ctr"/>
        <c:lblOffset val="100"/>
      </c:catAx>
      <c:valAx>
        <c:axId val="13871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24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8729728"/>
        <c:axId val="101068800"/>
      </c:lineChart>
      <c:catAx>
        <c:axId val="13872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68800"/>
        <c:crosses val="autoZero"/>
        <c:auto val="1"/>
        <c:lblAlgn val="ctr"/>
        <c:lblOffset val="100"/>
      </c:catAx>
      <c:valAx>
        <c:axId val="1010688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2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821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1097472"/>
        <c:axId val="101099008"/>
      </c:lineChart>
      <c:catAx>
        <c:axId val="10109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99008"/>
        <c:crosses val="autoZero"/>
        <c:auto val="1"/>
        <c:lblAlgn val="ctr"/>
        <c:lblOffset val="100"/>
      </c:catAx>
      <c:valAx>
        <c:axId val="101099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9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282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215.46666666666667</c:v>
                </c:pt>
                <c:pt idx="18">
                  <c:v>184.52631578947367</c:v>
                </c:pt>
                <c:pt idx="19">
                  <c:v>217.8</c:v>
                </c:pt>
                <c:pt idx="20">
                  <c:v>213.05263157894737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1275136"/>
        <c:axId val="101276672"/>
      </c:lineChart>
      <c:catAx>
        <c:axId val="10127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76672"/>
        <c:crosses val="autoZero"/>
        <c:auto val="1"/>
        <c:lblAlgn val="ctr"/>
        <c:lblOffset val="100"/>
      </c:catAx>
      <c:valAx>
        <c:axId val="101276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7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91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1424512"/>
        <c:axId val="101745792"/>
      </c:lineChart>
      <c:catAx>
        <c:axId val="10142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45792"/>
        <c:crosses val="autoZero"/>
        <c:auto val="1"/>
        <c:lblAlgn val="ctr"/>
        <c:lblOffset val="100"/>
      </c:catAx>
      <c:valAx>
        <c:axId val="10174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2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1864576"/>
        <c:axId val="101866112"/>
      </c:lineChart>
      <c:catAx>
        <c:axId val="10186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66112"/>
        <c:crosses val="autoZero"/>
        <c:auto val="1"/>
        <c:lblAlgn val="ctr"/>
        <c:lblOffset val="100"/>
      </c:catAx>
      <c:valAx>
        <c:axId val="10186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6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188</c:v>
                </c:pt>
                <c:pt idx="18">
                  <c:v>0</c:v>
                </c:pt>
                <c:pt idx="19">
                  <c:v>166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1894400"/>
        <c:axId val="137891840"/>
      </c:lineChart>
      <c:catAx>
        <c:axId val="10189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91840"/>
        <c:crosses val="autoZero"/>
        <c:auto val="1"/>
        <c:lblAlgn val="ctr"/>
        <c:lblOffset val="100"/>
      </c:catAx>
      <c:valAx>
        <c:axId val="13789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7928704"/>
        <c:axId val="137930240"/>
      </c:lineChart>
      <c:catAx>
        <c:axId val="1379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30240"/>
        <c:crosses val="autoZero"/>
        <c:auto val="1"/>
        <c:lblAlgn val="ctr"/>
        <c:lblOffset val="100"/>
      </c:catAx>
      <c:valAx>
        <c:axId val="137930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913"/>
          <c:w val="0.1272403315177484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1979648"/>
        <c:axId val="101981184"/>
      </c:lineChart>
      <c:catAx>
        <c:axId val="10197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81184"/>
        <c:crosses val="autoZero"/>
        <c:auto val="1"/>
        <c:lblAlgn val="ctr"/>
        <c:lblOffset val="100"/>
      </c:catAx>
      <c:valAx>
        <c:axId val="10198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7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1915648"/>
        <c:axId val="101933824"/>
      </c:lineChart>
      <c:catAx>
        <c:axId val="10191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33824"/>
        <c:crosses val="autoZero"/>
        <c:auto val="1"/>
        <c:lblAlgn val="ctr"/>
        <c:lblOffset val="100"/>
      </c:catAx>
      <c:valAx>
        <c:axId val="101933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1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2659200"/>
        <c:axId val="102660736"/>
      </c:lineChart>
      <c:catAx>
        <c:axId val="10265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60736"/>
        <c:crosses val="autoZero"/>
        <c:auto val="1"/>
        <c:lblAlgn val="ctr"/>
        <c:lblOffset val="100"/>
      </c:catAx>
      <c:valAx>
        <c:axId val="10266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5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64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158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200</c:v>
                </c:pt>
                <c:pt idx="13">
                  <c:v>48</c:v>
                </c:pt>
                <c:pt idx="14">
                  <c:v>57</c:v>
                </c:pt>
                <c:pt idx="15">
                  <c:v>184</c:v>
                </c:pt>
                <c:pt idx="16">
                  <c:v>82</c:v>
                </c:pt>
                <c:pt idx="17">
                  <c:v>139</c:v>
                </c:pt>
                <c:pt idx="18">
                  <c:v>129</c:v>
                </c:pt>
                <c:pt idx="19">
                  <c:v>100</c:v>
                </c:pt>
                <c:pt idx="20">
                  <c:v>104</c:v>
                </c:pt>
                <c:pt idx="21">
                  <c:v>97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2693888"/>
        <c:axId val="102392576"/>
      </c:lineChart>
      <c:catAx>
        <c:axId val="10269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92576"/>
        <c:crosses val="autoZero"/>
        <c:auto val="1"/>
        <c:lblAlgn val="ctr"/>
        <c:lblOffset val="100"/>
      </c:catAx>
      <c:valAx>
        <c:axId val="10239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9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913"/>
          <c:w val="0.135416885389362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2425344"/>
        <c:axId val="102426880"/>
      </c:lineChart>
      <c:catAx>
        <c:axId val="10242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6880"/>
        <c:crosses val="autoZero"/>
        <c:auto val="1"/>
        <c:lblAlgn val="ctr"/>
        <c:lblOffset val="100"/>
      </c:catAx>
      <c:valAx>
        <c:axId val="102426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91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12140</c:v>
                </c:pt>
                <c:pt idx="19">
                  <c:v>13379</c:v>
                </c:pt>
                <c:pt idx="20">
                  <c:v>12606</c:v>
                </c:pt>
                <c:pt idx="21">
                  <c:v>13830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2713984"/>
        <c:axId val="102723968"/>
      </c:lineChart>
      <c:catAx>
        <c:axId val="10271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23968"/>
        <c:crosses val="autoZero"/>
        <c:auto val="1"/>
        <c:lblAlgn val="ctr"/>
        <c:lblOffset val="100"/>
      </c:catAx>
      <c:valAx>
        <c:axId val="102723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2752640"/>
        <c:axId val="102754176"/>
      </c:lineChart>
      <c:catAx>
        <c:axId val="10275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54176"/>
        <c:crosses val="autoZero"/>
        <c:auto val="1"/>
        <c:lblAlgn val="ctr"/>
        <c:lblOffset val="100"/>
      </c:catAx>
      <c:valAx>
        <c:axId val="102754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5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913"/>
          <c:w val="0.135416885389362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2799232"/>
        <c:axId val="102800768"/>
      </c:lineChart>
      <c:catAx>
        <c:axId val="10279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00768"/>
        <c:crosses val="autoZero"/>
        <c:auto val="1"/>
        <c:lblAlgn val="ctr"/>
        <c:lblOffset val="100"/>
      </c:catAx>
      <c:valAx>
        <c:axId val="102800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9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44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-3610.1290322580899</c:v>
                </c:pt>
                <c:pt idx="8">
                  <c:v>-4836.8387096774095</c:v>
                </c:pt>
                <c:pt idx="9">
                  <c:v>-1492.8387096774095</c:v>
                </c:pt>
                <c:pt idx="10">
                  <c:v>-5073.5161290322576</c:v>
                </c:pt>
                <c:pt idx="11">
                  <c:v>-3136.7741935484082</c:v>
                </c:pt>
                <c:pt idx="12">
                  <c:v>-4530.161290322576</c:v>
                </c:pt>
                <c:pt idx="13">
                  <c:v>-3443.4516129032272</c:v>
                </c:pt>
                <c:pt idx="14">
                  <c:v>-2246.3225806451665</c:v>
                </c:pt>
                <c:pt idx="15">
                  <c:v>-3680.1290322580317</c:v>
                </c:pt>
                <c:pt idx="16">
                  <c:v>-4223.483870967757</c:v>
                </c:pt>
                <c:pt idx="17">
                  <c:v>-4056.8064516129089</c:v>
                </c:pt>
                <c:pt idx="18">
                  <c:v>-3208.2741935483937</c:v>
                </c:pt>
                <c:pt idx="19">
                  <c:v>-3868.4677419354703</c:v>
                </c:pt>
                <c:pt idx="20">
                  <c:v>-2599.6774193548335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2813056"/>
        <c:axId val="102925440"/>
      </c:lineChart>
      <c:catAx>
        <c:axId val="10281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25440"/>
        <c:crosses val="autoZero"/>
        <c:auto val="1"/>
        <c:lblAlgn val="ctr"/>
        <c:lblOffset val="100"/>
      </c:catAx>
      <c:valAx>
        <c:axId val="102925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2946304"/>
        <c:axId val="102947840"/>
      </c:lineChart>
      <c:catAx>
        <c:axId val="10294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47840"/>
        <c:crosses val="autoZero"/>
        <c:auto val="1"/>
        <c:lblAlgn val="ctr"/>
        <c:lblOffset val="100"/>
      </c:catAx>
      <c:valAx>
        <c:axId val="10294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4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3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2845440"/>
        <c:axId val="102847232"/>
      </c:lineChart>
      <c:catAx>
        <c:axId val="10284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47232"/>
        <c:crosses val="autoZero"/>
        <c:auto val="1"/>
        <c:lblAlgn val="ctr"/>
        <c:lblOffset val="100"/>
      </c:catAx>
      <c:valAx>
        <c:axId val="1028472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4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61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2880000"/>
        <c:axId val="102881536"/>
      </c:lineChart>
      <c:catAx>
        <c:axId val="10288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81536"/>
        <c:crosses val="autoZero"/>
        <c:auto val="1"/>
        <c:lblAlgn val="ctr"/>
        <c:lblOffset val="100"/>
      </c:catAx>
      <c:valAx>
        <c:axId val="102881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8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2979840"/>
        <c:axId val="102985728"/>
      </c:lineChart>
      <c:catAx>
        <c:axId val="10297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85728"/>
        <c:crosses val="autoZero"/>
        <c:auto val="1"/>
        <c:lblAlgn val="ctr"/>
        <c:lblOffset val="100"/>
      </c:catAx>
      <c:valAx>
        <c:axId val="10298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92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188</c:v>
                </c:pt>
                <c:pt idx="18">
                  <c:v>0</c:v>
                </c:pt>
                <c:pt idx="19">
                  <c:v>166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3014400"/>
        <c:axId val="103015936"/>
      </c:lineChart>
      <c:catAx>
        <c:axId val="10301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15936"/>
        <c:crosses val="autoZero"/>
        <c:auto val="1"/>
        <c:lblAlgn val="ctr"/>
        <c:lblOffset val="100"/>
      </c:catAx>
      <c:valAx>
        <c:axId val="10301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1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91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3052800"/>
        <c:axId val="103054336"/>
      </c:lineChart>
      <c:catAx>
        <c:axId val="10305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54336"/>
        <c:crosses val="autoZero"/>
        <c:auto val="1"/>
        <c:lblAlgn val="ctr"/>
        <c:lblOffset val="100"/>
      </c:catAx>
      <c:valAx>
        <c:axId val="10305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5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2826"/>
          <c:w val="0.1234311819809362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3092608"/>
        <c:axId val="103094144"/>
      </c:lineChart>
      <c:catAx>
        <c:axId val="103092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94144"/>
        <c:crosses val="autoZero"/>
        <c:auto val="1"/>
        <c:lblAlgn val="ctr"/>
        <c:lblOffset val="100"/>
      </c:catAx>
      <c:valAx>
        <c:axId val="1030941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9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419"/>
          <c:w val="0.1569039853282294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215.46666666666667</c:v>
                </c:pt>
                <c:pt idx="18">
                  <c:v>184.52631578947367</c:v>
                </c:pt>
                <c:pt idx="19">
                  <c:v>217.8</c:v>
                </c:pt>
                <c:pt idx="20">
                  <c:v>213.05263157894737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3122432"/>
        <c:axId val="103123968"/>
      </c:lineChart>
      <c:catAx>
        <c:axId val="10312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23968"/>
        <c:crosses val="autoZero"/>
        <c:auto val="1"/>
        <c:lblAlgn val="ctr"/>
        <c:lblOffset val="100"/>
      </c:catAx>
      <c:valAx>
        <c:axId val="1031239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2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97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3226752"/>
        <c:axId val="103236736"/>
      </c:lineChart>
      <c:catAx>
        <c:axId val="10322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36736"/>
        <c:crosses val="autoZero"/>
        <c:auto val="1"/>
        <c:lblAlgn val="ctr"/>
        <c:lblOffset val="100"/>
      </c:catAx>
      <c:valAx>
        <c:axId val="10323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2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61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3348864"/>
        <c:axId val="103416192"/>
      </c:lineChart>
      <c:catAx>
        <c:axId val="1033488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16192"/>
        <c:crosses val="autoZero"/>
        <c:auto val="1"/>
        <c:lblAlgn val="ctr"/>
        <c:lblOffset val="100"/>
      </c:catAx>
      <c:valAx>
        <c:axId val="103416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4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41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12390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35">
          <cell r="V35">
            <v>10834</v>
          </cell>
        </row>
      </sheetData>
      <sheetData sheetId="4" refreshError="1"/>
      <sheetData sheetId="5" refreshError="1"/>
      <sheetData sheetId="6" refreshError="1"/>
      <sheetData sheetId="7">
        <row r="36">
          <cell r="AX36">
            <v>-37789.819354838735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55">
          <cell r="AA55">
            <v>112189</v>
          </cell>
        </row>
      </sheetData>
      <sheetData sheetId="13" refreshError="1"/>
      <sheetData sheetId="14" refreshError="1"/>
      <sheetData sheetId="15">
        <row r="6">
          <cell r="B6">
            <v>62</v>
          </cell>
        </row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0.45742591766872237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0.2024297396541363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0.14990314622791667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0.20426837785215227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0.4580902409442531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0.35849448325014904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0.16422770651143312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11896</v>
      </c>
      <c r="F9" s="328">
        <f>SUM('EDl log'!T11)</f>
        <v>0.32593194888040822</v>
      </c>
      <c r="G9" s="203">
        <f>-tanks!AW13</f>
        <v>158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13733</v>
      </c>
      <c r="F10" s="328">
        <f>SUM('EDl log'!T12)</f>
        <v>0.37588888367809919</v>
      </c>
      <c r="G10" s="203">
        <f>-tanks!AW14</f>
        <v>110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14893</v>
      </c>
      <c r="F11" s="328">
        <f>SUM('EDl log'!T13)</f>
        <v>0.11211255277691268</v>
      </c>
      <c r="G11" s="203">
        <f>-tanks!AW15</f>
        <v>115</v>
      </c>
      <c r="H11" s="328">
        <f>SUM(tanks!AV15)</f>
        <v>1.05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14674</v>
      </c>
      <c r="F12" s="328">
        <f>SUM('EDl log'!T14)</f>
        <v>0.36699442125180282</v>
      </c>
      <c r="G12" s="203">
        <f>-tanks!AW16</f>
        <v>135</v>
      </c>
      <c r="H12" s="328">
        <f>SUM(tanks!AV16)</f>
        <v>1.05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12497</v>
      </c>
      <c r="F13" s="328">
        <f>SUM('EDl log'!T15)</f>
        <v>0.26553112430644082</v>
      </c>
      <c r="G13" s="203">
        <f>-tanks!AW17</f>
        <v>200</v>
      </c>
      <c r="H13" s="328">
        <f>SUM(tanks!AV17)</f>
        <v>1.05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12554</v>
      </c>
      <c r="F14" s="328">
        <f>SUM('EDl log'!T16)</f>
        <v>0.39153640760368946</v>
      </c>
      <c r="G14" s="203">
        <f>-tanks!AW18</f>
        <v>48</v>
      </c>
      <c r="H14" s="328">
        <f>SUM(tanks!AV18)</f>
        <v>1.05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11380</v>
      </c>
      <c r="F15" s="328">
        <f>SUM('EDl log'!T17)</f>
        <v>0.33292962147204408</v>
      </c>
      <c r="G15" s="203">
        <f>-tanks!AW19</f>
        <v>57</v>
      </c>
      <c r="H15" s="328">
        <f>SUM(tanks!AV19)</f>
        <v>1.05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13190</v>
      </c>
      <c r="F16" s="328">
        <f>SUM('EDl log'!T18)</f>
        <v>0.17921538080397587</v>
      </c>
      <c r="G16" s="203">
        <f>-tanks!AW20</f>
        <v>184</v>
      </c>
      <c r="H16" s="328">
        <f>SUM(tanks!AV20)</f>
        <v>1.05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12267</v>
      </c>
      <c r="F17" s="328">
        <f>SUM('EDl log'!T19)</f>
        <v>0.32872334527471453</v>
      </c>
      <c r="G17" s="203">
        <f>-tanks!AW21</f>
        <v>82</v>
      </c>
      <c r="H17" s="328">
        <f>SUM(tanks!AV21)</f>
        <v>1.05</v>
      </c>
      <c r="I17" s="10">
        <f>('B5'!AU20)*0.51</f>
        <v>0</v>
      </c>
      <c r="J17" s="308">
        <f>'B5'!AX20/0.51</f>
        <v>1.5686274509803921</v>
      </c>
      <c r="K17" s="203">
        <f>WATER!I21</f>
        <v>220</v>
      </c>
      <c r="L17" s="329">
        <f>SUM(WATER!J21)</f>
        <v>1.1363636363636365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12955</v>
      </c>
      <c r="F18" s="328">
        <f>SUM('EDl log'!T20)</f>
        <v>0.34666766819254502</v>
      </c>
      <c r="G18" s="203">
        <f>-tanks!AW22</f>
        <v>139</v>
      </c>
      <c r="H18" s="328">
        <f>SUM(tanks!AV22)</f>
        <v>1.05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12140</v>
      </c>
      <c r="F19" s="328">
        <f>SUM('EDl log'!T21)</f>
        <v>0.35695118077278232</v>
      </c>
      <c r="G19" s="203">
        <f>-tanks!AW23</f>
        <v>129</v>
      </c>
      <c r="H19" s="328">
        <f>SUM(tanks!AV23)</f>
        <v>1.05</v>
      </c>
      <c r="I19" s="10">
        <f>('B5'!AU22)*0.51</f>
        <v>0</v>
      </c>
      <c r="J19" s="308">
        <f>'B5'!AX22/0.51</f>
        <v>1.5686274509803921</v>
      </c>
      <c r="K19" s="203">
        <f>WATER!I23</f>
        <v>188</v>
      </c>
      <c r="L19" s="329">
        <f>SUM(WATER!J23)</f>
        <v>1.3297872340425532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13379</v>
      </c>
      <c r="F20" s="328">
        <f>SUM('EDl log'!T22)</f>
        <v>0.25807477023730013</v>
      </c>
      <c r="G20" s="203">
        <f>-tanks!AW24</f>
        <v>100</v>
      </c>
      <c r="H20" s="328">
        <f>SUM(tanks!AV24)</f>
        <v>1.103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12606</v>
      </c>
      <c r="F21" s="328">
        <f>SUM('EDl log'!T23)</f>
        <v>0.33125988759420288</v>
      </c>
      <c r="G21" s="203">
        <f>-tanks!AW25</f>
        <v>104</v>
      </c>
      <c r="H21" s="328">
        <f>SUM(tanks!AV25)</f>
        <v>1.103</v>
      </c>
      <c r="I21" s="10">
        <f>('B5'!AU24)*0.51</f>
        <v>0</v>
      </c>
      <c r="J21" s="308">
        <f>'B5'!AX24/0.51</f>
        <v>1.5686274509803921</v>
      </c>
      <c r="K21" s="203">
        <f>WATER!I25</f>
        <v>166</v>
      </c>
      <c r="L21" s="329">
        <f>SUM(WATER!J25)</f>
        <v>1.5060240963855422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13830</v>
      </c>
      <c r="F22" s="328">
        <f>SUM('EDl log'!T24)</f>
        <v>0.2033016180084859</v>
      </c>
      <c r="G22" s="203">
        <f>-tanks!AW26</f>
        <v>97</v>
      </c>
      <c r="H22" s="328">
        <f>SUM(tanks!AV26)</f>
        <v>1.103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8">
        <f>SUM('EDl log'!T25)</f>
        <v>0</v>
      </c>
      <c r="G23" s="203">
        <f>-tanks!AW27</f>
        <v>0</v>
      </c>
      <c r="H23" s="328">
        <f>SUM(tanks!AV27)</f>
        <v>1.103</v>
      </c>
      <c r="I23" s="10">
        <f>('B5'!AU26)*0.51</f>
        <v>0</v>
      </c>
      <c r="J23" s="308">
        <f>'B5'!AX26/0.51</f>
        <v>1.5686274509803921</v>
      </c>
      <c r="K23" s="203">
        <f>WATER!I27</f>
        <v>0</v>
      </c>
      <c r="L23" s="329">
        <f>SUM(WATER!J27)</f>
        <v>0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8">
        <f>SUM('EDl log'!T26)</f>
        <v>0</v>
      </c>
      <c r="G24" s="203">
        <f>-tanks!AW28</f>
        <v>0</v>
      </c>
      <c r="H24" s="328">
        <f>SUM(tanks!AV28)</f>
        <v>1.103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8">
        <f>SUM('EDl log'!T27)</f>
        <v>0</v>
      </c>
      <c r="G25" s="203">
        <f>-tanks!AW29</f>
        <v>0</v>
      </c>
      <c r="H25" s="328">
        <f>SUM(tanks!AV29)</f>
        <v>1.103</v>
      </c>
      <c r="I25" s="10">
        <f>('B5'!AU28)*0.51</f>
        <v>0</v>
      </c>
      <c r="J25" s="308">
        <f>'B5'!AX28/0.51</f>
        <v>1.5686274509803921</v>
      </c>
      <c r="K25" s="203">
        <f>WATER!I29</f>
        <v>0</v>
      </c>
      <c r="L25" s="329">
        <f>SUM(WATER!J29)</f>
        <v>0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8">
        <f>SUM('EDl log'!T28)</f>
        <v>0</v>
      </c>
      <c r="G26" s="203">
        <f>-tanks!AW30</f>
        <v>0</v>
      </c>
      <c r="H26" s="328">
        <f>SUM(tanks!AV30)</f>
        <v>1.103</v>
      </c>
      <c r="I26" s="10">
        <f>('B5'!AU29)*0.51</f>
        <v>0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1.103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1.103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1.103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1.103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1.103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2102</v>
      </c>
      <c r="F9" s="203">
        <f>ELEC!K11</f>
        <v>5162</v>
      </c>
      <c r="G9" s="203">
        <f>ELEC!I11</f>
        <v>880</v>
      </c>
      <c r="H9" s="203">
        <f>ELEC!E11</f>
        <v>3014</v>
      </c>
      <c r="I9" s="203">
        <f>ELEC!G11</f>
        <v>738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2354</v>
      </c>
      <c r="F10" s="203">
        <f>ELEC!K12</f>
        <v>6288</v>
      </c>
      <c r="G10" s="203">
        <f>ELEC!I12</f>
        <v>1038</v>
      </c>
      <c r="H10" s="203">
        <f>ELEC!E12</f>
        <v>3346</v>
      </c>
      <c r="I10" s="203">
        <f>ELEC!G12</f>
        <v>707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2492</v>
      </c>
      <c r="F11" s="203">
        <f>ELEC!K13</f>
        <v>4428</v>
      </c>
      <c r="G11" s="203">
        <f>ELEC!I13</f>
        <v>1016</v>
      </c>
      <c r="H11" s="203">
        <f>ELEC!E13</f>
        <v>6244</v>
      </c>
      <c r="I11" s="203">
        <f>ELEC!G13</f>
        <v>713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2600</v>
      </c>
      <c r="F12" s="203">
        <f>ELEC!K14</f>
        <v>2772</v>
      </c>
      <c r="G12" s="203">
        <f>ELEC!I14</f>
        <v>966</v>
      </c>
      <c r="H12" s="203">
        <f>ELEC!E14</f>
        <v>7647</v>
      </c>
      <c r="I12" s="203">
        <f>ELEC!G14</f>
        <v>689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2178</v>
      </c>
      <c r="F13" s="203">
        <f>ELEC!K15</f>
        <v>2518</v>
      </c>
      <c r="G13" s="203">
        <f>ELEC!I15</f>
        <v>940</v>
      </c>
      <c r="H13" s="203">
        <f>ELEC!E15</f>
        <v>6192</v>
      </c>
      <c r="I13" s="203">
        <f>ELEC!G15</f>
        <v>669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2500</v>
      </c>
      <c r="F14" s="203">
        <f>ELEC!K16</f>
        <v>2238</v>
      </c>
      <c r="G14" s="203">
        <f>ELEC!I16</f>
        <v>1014</v>
      </c>
      <c r="H14" s="203">
        <f>ELEC!E16</f>
        <v>6129</v>
      </c>
      <c r="I14" s="203">
        <f>ELEC!G16</f>
        <v>673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1942</v>
      </c>
      <c r="F15" s="203">
        <f>ELEC!K17</f>
        <v>2116</v>
      </c>
      <c r="G15" s="203">
        <f>ELEC!I17</f>
        <v>830</v>
      </c>
      <c r="H15" s="203">
        <f>ELEC!E17</f>
        <v>5834</v>
      </c>
      <c r="I15" s="203">
        <f>ELEC!G17</f>
        <v>658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2324</v>
      </c>
      <c r="F16" s="203">
        <f>ELEC!K18</f>
        <v>4824</v>
      </c>
      <c r="G16" s="203">
        <f>ELEC!I18</f>
        <v>996</v>
      </c>
      <c r="H16" s="203">
        <f>ELEC!E18</f>
        <v>4340</v>
      </c>
      <c r="I16" s="203">
        <f>ELEC!G18</f>
        <v>706</v>
      </c>
      <c r="J16" s="203">
        <f>WATER!Y20</f>
        <v>113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2344</v>
      </c>
      <c r="F17" s="203">
        <f>ELEC!K19</f>
        <v>3468</v>
      </c>
      <c r="G17" s="203">
        <f>ELEC!I19</f>
        <v>1038</v>
      </c>
      <c r="H17" s="203">
        <f>ELEC!E19</f>
        <v>4710</v>
      </c>
      <c r="I17" s="203">
        <f>ELEC!G19</f>
        <v>707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2272</v>
      </c>
      <c r="F18" s="203">
        <f>ELEC!K20</f>
        <v>2328</v>
      </c>
      <c r="G18" s="203">
        <f>ELEC!I20</f>
        <v>1094</v>
      </c>
      <c r="H18" s="203">
        <f>ELEC!E20</f>
        <v>6488</v>
      </c>
      <c r="I18" s="203">
        <f>ELEC!G20</f>
        <v>773</v>
      </c>
      <c r="J18" s="203">
        <f>WATER!Y22</f>
        <v>58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2374</v>
      </c>
      <c r="F19" s="203">
        <f>ELEC!K21</f>
        <v>2364</v>
      </c>
      <c r="G19" s="203">
        <f>ELEC!I21</f>
        <v>1012</v>
      </c>
      <c r="H19" s="203">
        <f>ELEC!E21</f>
        <v>5643</v>
      </c>
      <c r="I19" s="203">
        <f>ELEC!G21</f>
        <v>747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2406</v>
      </c>
      <c r="F20" s="203">
        <f>ELEC!K22</f>
        <v>6006</v>
      </c>
      <c r="G20" s="203">
        <f>ELEC!I22</f>
        <v>1032</v>
      </c>
      <c r="H20" s="203">
        <f>ELEC!E22</f>
        <v>3290</v>
      </c>
      <c r="I20" s="203">
        <f>ELEC!G22</f>
        <v>645</v>
      </c>
      <c r="J20" s="203">
        <f>WATER!Y24</f>
        <v>122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2352</v>
      </c>
      <c r="F21" s="203">
        <f>ELEC!K23</f>
        <v>2466</v>
      </c>
      <c r="G21" s="203">
        <f>ELEC!I23</f>
        <v>994</v>
      </c>
      <c r="H21" s="203">
        <f>ELEC!E23</f>
        <v>6170</v>
      </c>
      <c r="I21" s="203">
        <f>ELEC!G23</f>
        <v>624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2352</v>
      </c>
      <c r="F22" s="203">
        <f>ELEC!K24</f>
        <v>2436</v>
      </c>
      <c r="G22" s="203">
        <f>ELEC!I24</f>
        <v>1062</v>
      </c>
      <c r="H22" s="203">
        <f>ELEC!E24</f>
        <v>7334</v>
      </c>
      <c r="I22" s="203">
        <f>ELEC!G24</f>
        <v>646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opLeftCell="H1" zoomScale="90" zoomScaleNormal="90" zoomScaleSheetLayoutView="100" workbookViewId="0">
      <pane ySplit="2" topLeftCell="A3" activePane="bottomLeft" state="frozen"/>
      <selection activeCell="C1" sqref="C1"/>
      <selection pane="bottomLeft" activeCell="Q25" sqref="Q25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48" t="s">
        <v>418</v>
      </c>
      <c r="AL1" s="648"/>
      <c r="AM1" s="648"/>
      <c r="AN1" s="649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09" t="s">
        <v>417</v>
      </c>
      <c r="AL2" s="610" t="s">
        <v>416</v>
      </c>
      <c r="AM2" s="610" t="s">
        <v>391</v>
      </c>
      <c r="AN2" s="627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1">
        <v>44347</v>
      </c>
      <c r="AK3" s="633">
        <v>333631</v>
      </c>
      <c r="AL3" s="633">
        <v>431020</v>
      </c>
      <c r="AM3" s="634">
        <f>AK3+AL3</f>
        <v>764651</v>
      </c>
      <c r="AN3" s="634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7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4">
        <v>17216.967000000001</v>
      </c>
      <c r="Q4" s="464">
        <f t="shared" ref="Q4:Q13" si="1">(P4-P3)*1000</f>
        <v>9514.9999999994179</v>
      </c>
      <c r="R4" s="636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1">
        <v>44348</v>
      </c>
      <c r="AK4" s="462">
        <v>335894</v>
      </c>
      <c r="AL4" s="634">
        <v>431712</v>
      </c>
      <c r="AM4" s="634">
        <f>AK4+AL4</f>
        <v>767606</v>
      </c>
      <c r="AN4" s="634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7">
        <v>4032752.4</v>
      </c>
      <c r="G5" s="310">
        <f>F5-F4</f>
        <v>826.79999999981374</v>
      </c>
      <c r="H5" s="638">
        <v>17886168</v>
      </c>
      <c r="I5" s="310">
        <f>H5-H4</f>
        <v>1106</v>
      </c>
      <c r="J5" s="639">
        <v>29134362</v>
      </c>
      <c r="K5" s="310">
        <f>J5-J4</f>
        <v>5676</v>
      </c>
      <c r="L5" s="638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40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8">
        <v>32576</v>
      </c>
      <c r="X5" s="446">
        <f t="shared" si="3"/>
        <v>14</v>
      </c>
      <c r="Y5" s="639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1">
        <v>44349</v>
      </c>
      <c r="AK5" s="462">
        <v>338482</v>
      </c>
      <c r="AL5" s="634">
        <v>431719</v>
      </c>
      <c r="AM5" s="634">
        <f t="shared" ref="AM5:AM33" si="13">AK5+AL5</f>
        <v>770201</v>
      </c>
      <c r="AN5" s="634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4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1">
        <v>44350</v>
      </c>
      <c r="AK6" s="462">
        <v>342095</v>
      </c>
      <c r="AL6" s="635">
        <v>431919</v>
      </c>
      <c r="AM6" s="634">
        <f t="shared" si="13"/>
        <v>774014</v>
      </c>
      <c r="AN6" s="634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4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1">
        <v>44351</v>
      </c>
      <c r="AK7" s="462">
        <v>345431</v>
      </c>
      <c r="AL7" s="635">
        <v>432394</v>
      </c>
      <c r="AM7" s="634">
        <f t="shared" si="13"/>
        <v>777825</v>
      </c>
      <c r="AN7" s="634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4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1">
        <v>44352</v>
      </c>
      <c r="AK8" s="462">
        <v>348088</v>
      </c>
      <c r="AL8" s="635">
        <v>432341</v>
      </c>
      <c r="AM8" s="634">
        <f t="shared" si="13"/>
        <v>780429</v>
      </c>
      <c r="AN8" s="634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4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1">
        <v>44353</v>
      </c>
      <c r="AK9" s="462">
        <v>350597</v>
      </c>
      <c r="AL9" s="635">
        <v>432717</v>
      </c>
      <c r="AM9" s="634">
        <f t="shared" si="13"/>
        <v>783314</v>
      </c>
      <c r="AN9" s="634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4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1">
        <v>44354</v>
      </c>
      <c r="AK10" s="462">
        <v>354127</v>
      </c>
      <c r="AL10" s="635">
        <v>432929</v>
      </c>
      <c r="AM10" s="634">
        <f t="shared" si="13"/>
        <v>787056</v>
      </c>
      <c r="AN10" s="634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3014</v>
      </c>
      <c r="F11" s="442">
        <v>4037139</v>
      </c>
      <c r="G11" s="310">
        <f t="shared" si="15"/>
        <v>738</v>
      </c>
      <c r="H11" s="442">
        <v>17891906</v>
      </c>
      <c r="I11" s="310">
        <f t="shared" si="16"/>
        <v>880</v>
      </c>
      <c r="J11" s="442">
        <v>29173442</v>
      </c>
      <c r="K11" s="310">
        <f t="shared" si="17"/>
        <v>5162</v>
      </c>
      <c r="L11" s="442">
        <v>24253480</v>
      </c>
      <c r="M11" s="310">
        <f t="shared" si="18"/>
        <v>2102</v>
      </c>
      <c r="N11" s="309">
        <f t="shared" si="19"/>
        <v>11896</v>
      </c>
      <c r="O11" s="463">
        <f t="shared" ref="O11:O31" si="27">IF(B11&gt;0,N11/B11,0)</f>
        <v>0</v>
      </c>
      <c r="P11" s="584">
        <v>17304.764999999999</v>
      </c>
      <c r="Q11" s="446">
        <f t="shared" si="1"/>
        <v>10330.999999998312</v>
      </c>
      <c r="R11" s="446">
        <f t="shared" si="24"/>
        <v>1565.000000001688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v>32669</v>
      </c>
      <c r="X11" s="446">
        <f t="shared" si="26"/>
        <v>14</v>
      </c>
      <c r="Y11" s="442">
        <v>796836</v>
      </c>
      <c r="Z11" s="446">
        <f t="shared" si="25"/>
        <v>2762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14</v>
      </c>
      <c r="AF11" s="469">
        <f t="shared" si="4"/>
        <v>2762</v>
      </c>
      <c r="AG11" s="461">
        <f t="shared" ref="AG11:AG31" si="28">IF(AE11&gt;0,AF11/AE11,0)</f>
        <v>197.28571428571428</v>
      </c>
      <c r="AI11" s="462">
        <f>R11-'EDl log'!B11</f>
        <v>-1061836.9999999984</v>
      </c>
      <c r="AJ11" s="611">
        <v>44355</v>
      </c>
      <c r="AK11" s="462">
        <v>356725</v>
      </c>
      <c r="AL11" s="635">
        <v>433345</v>
      </c>
      <c r="AM11" s="634">
        <f t="shared" si="13"/>
        <v>790070</v>
      </c>
      <c r="AN11" s="634">
        <f t="shared" si="23"/>
        <v>3014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3346</v>
      </c>
      <c r="F12" s="442">
        <v>4037846</v>
      </c>
      <c r="G12" s="310">
        <f t="shared" si="15"/>
        <v>707</v>
      </c>
      <c r="H12" s="442">
        <v>17892944</v>
      </c>
      <c r="I12" s="310">
        <f t="shared" si="16"/>
        <v>1038</v>
      </c>
      <c r="J12" s="442">
        <v>29179730</v>
      </c>
      <c r="K12" s="310">
        <f t="shared" si="17"/>
        <v>6288</v>
      </c>
      <c r="L12" s="442">
        <v>24255834</v>
      </c>
      <c r="M12" s="310">
        <f t="shared" si="18"/>
        <v>2354</v>
      </c>
      <c r="N12" s="309">
        <f>M12+K12+I12+G12+E12</f>
        <v>13733</v>
      </c>
      <c r="O12" s="463">
        <f t="shared" si="27"/>
        <v>0</v>
      </c>
      <c r="P12" s="584">
        <v>17318.005000000001</v>
      </c>
      <c r="Q12" s="446">
        <f t="shared" si="1"/>
        <v>13240.000000001601</v>
      </c>
      <c r="R12" s="446">
        <f t="shared" si="24"/>
        <v>492.99999999839929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v>32684</v>
      </c>
      <c r="X12" s="446">
        <f t="shared" si="26"/>
        <v>15</v>
      </c>
      <c r="Y12" s="442">
        <v>800305</v>
      </c>
      <c r="Z12" s="446">
        <f t="shared" si="25"/>
        <v>3469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15</v>
      </c>
      <c r="AF12" s="469">
        <f t="shared" si="4"/>
        <v>3469</v>
      </c>
      <c r="AG12" s="461">
        <f t="shared" si="28"/>
        <v>231.26666666666668</v>
      </c>
      <c r="AI12" s="462">
        <f>R12-'EDl log'!B12</f>
        <v>-1063311.0000000016</v>
      </c>
      <c r="AJ12" s="611">
        <v>44356</v>
      </c>
      <c r="AK12" s="462">
        <v>359901</v>
      </c>
      <c r="AL12" s="635">
        <v>433515</v>
      </c>
      <c r="AM12" s="634">
        <f t="shared" si="13"/>
        <v>793416</v>
      </c>
      <c r="AN12" s="634">
        <f t="shared" si="23"/>
        <v>3346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6244</v>
      </c>
      <c r="F13" s="442">
        <v>4038559</v>
      </c>
      <c r="G13" s="310">
        <f t="shared" si="15"/>
        <v>713</v>
      </c>
      <c r="H13" s="442">
        <v>17893960</v>
      </c>
      <c r="I13" s="310">
        <f t="shared" si="16"/>
        <v>1016</v>
      </c>
      <c r="J13" s="442">
        <v>29184158</v>
      </c>
      <c r="K13" s="310">
        <f t="shared" si="17"/>
        <v>4428</v>
      </c>
      <c r="L13" s="442">
        <v>24258326</v>
      </c>
      <c r="M13" s="310">
        <f t="shared" si="18"/>
        <v>2492</v>
      </c>
      <c r="N13" s="309">
        <f>M13+K13+I13+G13+E13</f>
        <v>14893</v>
      </c>
      <c r="O13" s="463">
        <f t="shared" si="27"/>
        <v>0</v>
      </c>
      <c r="P13" s="584">
        <v>17331.901999999998</v>
      </c>
      <c r="Q13" s="446">
        <f t="shared" si="1"/>
        <v>13896.999999997206</v>
      </c>
      <c r="R13" s="446">
        <f t="shared" si="24"/>
        <v>996.00000000279397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v>32691</v>
      </c>
      <c r="X13" s="446">
        <f t="shared" si="26"/>
        <v>7</v>
      </c>
      <c r="Y13" s="442">
        <v>801841</v>
      </c>
      <c r="Z13" s="446">
        <f t="shared" si="25"/>
        <v>1536</v>
      </c>
      <c r="AA13" s="442">
        <v>35950</v>
      </c>
      <c r="AB13" s="446">
        <f t="shared" si="21"/>
        <v>11</v>
      </c>
      <c r="AC13" s="442">
        <v>964432</v>
      </c>
      <c r="AD13" s="446">
        <f t="shared" si="22"/>
        <v>2787</v>
      </c>
      <c r="AE13" s="468">
        <f t="shared" si="12"/>
        <v>18</v>
      </c>
      <c r="AF13" s="469">
        <f t="shared" si="4"/>
        <v>4323</v>
      </c>
      <c r="AG13" s="461">
        <f t="shared" si="28"/>
        <v>240.16666666666666</v>
      </c>
      <c r="AI13" s="462">
        <f>R13-'EDl log'!B13</f>
        <v>-1063500.9999999972</v>
      </c>
      <c r="AJ13" s="611">
        <v>44357</v>
      </c>
      <c r="AK13" s="462">
        <v>365855</v>
      </c>
      <c r="AL13" s="635">
        <v>433805</v>
      </c>
      <c r="AM13" s="634">
        <f t="shared" si="13"/>
        <v>799660</v>
      </c>
      <c r="AN13" s="634">
        <f t="shared" si="23"/>
        <v>6244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7647</v>
      </c>
      <c r="F14" s="442">
        <v>4039248</v>
      </c>
      <c r="G14" s="310">
        <f t="shared" si="15"/>
        <v>689</v>
      </c>
      <c r="H14" s="442">
        <v>17894926</v>
      </c>
      <c r="I14" s="310">
        <f t="shared" si="16"/>
        <v>966</v>
      </c>
      <c r="J14" s="442">
        <v>29186930</v>
      </c>
      <c r="K14" s="310">
        <f t="shared" si="17"/>
        <v>2772</v>
      </c>
      <c r="L14" s="442">
        <v>24260926</v>
      </c>
      <c r="M14" s="310">
        <f t="shared" si="18"/>
        <v>2600</v>
      </c>
      <c r="N14" s="309">
        <f t="shared" si="19"/>
        <v>14674</v>
      </c>
      <c r="O14" s="463">
        <f t="shared" si="27"/>
        <v>0</v>
      </c>
      <c r="P14" s="584">
        <v>17345.991999999998</v>
      </c>
      <c r="Q14" s="446">
        <f>(P14-P13)*1000</f>
        <v>14090.000000000146</v>
      </c>
      <c r="R14" s="446">
        <f>N14-Q14</f>
        <v>583.99999999985448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ref="W14:W33" si="29">W13</f>
        <v>32691</v>
      </c>
      <c r="X14" s="446">
        <f t="shared" si="26"/>
        <v>0</v>
      </c>
      <c r="Y14" s="442">
        <f t="shared" ref="Y14:Y33" si="30">Y13</f>
        <v>801841</v>
      </c>
      <c r="Z14" s="446">
        <f t="shared" si="25"/>
        <v>0</v>
      </c>
      <c r="AA14" s="442">
        <v>35967</v>
      </c>
      <c r="AB14" s="446">
        <f t="shared" si="21"/>
        <v>17</v>
      </c>
      <c r="AC14" s="442">
        <v>968167</v>
      </c>
      <c r="AD14" s="446">
        <f t="shared" si="22"/>
        <v>3735</v>
      </c>
      <c r="AE14" s="468">
        <f t="shared" si="12"/>
        <v>17</v>
      </c>
      <c r="AF14" s="469">
        <f t="shared" si="4"/>
        <v>3735</v>
      </c>
      <c r="AG14" s="461">
        <f t="shared" si="28"/>
        <v>219.70588235294119</v>
      </c>
      <c r="AI14" s="462">
        <f>R14-'EDl log'!B14</f>
        <v>-1064389.0000000002</v>
      </c>
      <c r="AJ14" s="611">
        <v>44358</v>
      </c>
      <c r="AK14" s="462">
        <v>373315</v>
      </c>
      <c r="AL14" s="635">
        <v>433992</v>
      </c>
      <c r="AM14" s="634">
        <f t="shared" si="13"/>
        <v>807307</v>
      </c>
      <c r="AN14" s="634">
        <f t="shared" si="23"/>
        <v>7647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6192</v>
      </c>
      <c r="F15" s="442">
        <v>4039917</v>
      </c>
      <c r="G15" s="310">
        <f t="shared" si="15"/>
        <v>669</v>
      </c>
      <c r="H15" s="442">
        <v>17895866</v>
      </c>
      <c r="I15" s="310">
        <f t="shared" si="16"/>
        <v>940</v>
      </c>
      <c r="J15" s="442">
        <v>29189448</v>
      </c>
      <c r="K15" s="310">
        <f t="shared" si="17"/>
        <v>2518</v>
      </c>
      <c r="L15" s="442">
        <v>24263104</v>
      </c>
      <c r="M15" s="310">
        <f t="shared" si="18"/>
        <v>2178</v>
      </c>
      <c r="N15" s="309">
        <f t="shared" si="19"/>
        <v>12497</v>
      </c>
      <c r="O15" s="463">
        <f t="shared" si="27"/>
        <v>0</v>
      </c>
      <c r="P15" s="584">
        <v>17357.441999999999</v>
      </c>
      <c r="Q15" s="446">
        <f t="shared" ref="Q15:Q31" si="31">(P15-P14)*1000</f>
        <v>11450.000000000728</v>
      </c>
      <c r="R15" s="446">
        <f t="shared" ref="R15:R31" si="32">N15-Q15</f>
        <v>1046.9999999992724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29"/>
        <v>32691</v>
      </c>
      <c r="X15" s="446">
        <f t="shared" si="26"/>
        <v>0</v>
      </c>
      <c r="Y15" s="442">
        <f t="shared" si="30"/>
        <v>801841</v>
      </c>
      <c r="Z15" s="446">
        <f t="shared" si="25"/>
        <v>0</v>
      </c>
      <c r="AA15" s="442">
        <v>35982</v>
      </c>
      <c r="AB15" s="446">
        <f t="shared" si="21"/>
        <v>15</v>
      </c>
      <c r="AC15" s="442">
        <v>971276</v>
      </c>
      <c r="AD15" s="446">
        <f t="shared" si="22"/>
        <v>3109</v>
      </c>
      <c r="AE15" s="468">
        <f t="shared" si="12"/>
        <v>15</v>
      </c>
      <c r="AF15" s="469">
        <f t="shared" si="4"/>
        <v>3109</v>
      </c>
      <c r="AG15" s="461">
        <f t="shared" si="28"/>
        <v>207.26666666666668</v>
      </c>
      <c r="AI15" s="462">
        <f>R15-'EDl log'!B15</f>
        <v>-1064651.0000000007</v>
      </c>
      <c r="AJ15" s="611">
        <v>44359</v>
      </c>
      <c r="AK15" s="462">
        <v>379256</v>
      </c>
      <c r="AL15" s="635">
        <v>434243</v>
      </c>
      <c r="AM15" s="634">
        <f t="shared" si="13"/>
        <v>813499</v>
      </c>
      <c r="AN15" s="634">
        <f t="shared" si="23"/>
        <v>6192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6129</v>
      </c>
      <c r="F16" s="442">
        <v>4040590</v>
      </c>
      <c r="G16" s="310">
        <f t="shared" si="15"/>
        <v>673</v>
      </c>
      <c r="H16" s="442">
        <v>17896880</v>
      </c>
      <c r="I16" s="310">
        <f t="shared" si="16"/>
        <v>1014</v>
      </c>
      <c r="J16" s="442">
        <v>29191686</v>
      </c>
      <c r="K16" s="310">
        <f t="shared" si="17"/>
        <v>2238</v>
      </c>
      <c r="L16" s="442">
        <v>24265604</v>
      </c>
      <c r="M16" s="310">
        <f t="shared" si="18"/>
        <v>2500</v>
      </c>
      <c r="N16" s="309">
        <f t="shared" si="19"/>
        <v>12554</v>
      </c>
      <c r="O16" s="463">
        <f t="shared" si="27"/>
        <v>0</v>
      </c>
      <c r="P16" s="584">
        <v>17370.71</v>
      </c>
      <c r="Q16" s="446">
        <f>(P16-P15)*1000</f>
        <v>13268.000000000029</v>
      </c>
      <c r="R16" s="446">
        <f t="shared" si="32"/>
        <v>-714.0000000000291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v>32691</v>
      </c>
      <c r="X16" s="446">
        <f t="shared" si="26"/>
        <v>0</v>
      </c>
      <c r="Y16" s="442">
        <f t="shared" si="30"/>
        <v>801841</v>
      </c>
      <c r="Z16" s="446">
        <f t="shared" si="25"/>
        <v>0</v>
      </c>
      <c r="AA16" s="442">
        <v>35999</v>
      </c>
      <c r="AB16" s="446">
        <f t="shared" si="21"/>
        <v>17</v>
      </c>
      <c r="AC16" s="442">
        <v>974628</v>
      </c>
      <c r="AD16" s="446">
        <f t="shared" si="22"/>
        <v>3352</v>
      </c>
      <c r="AE16" s="468">
        <f t="shared" si="12"/>
        <v>17</v>
      </c>
      <c r="AF16" s="469">
        <f t="shared" si="4"/>
        <v>3352</v>
      </c>
      <c r="AG16" s="461">
        <f t="shared" si="28"/>
        <v>197.1764705882353</v>
      </c>
      <c r="AI16" s="462">
        <f>R16-'EDl log'!B16</f>
        <v>-1066998</v>
      </c>
      <c r="AJ16" s="611">
        <v>44360</v>
      </c>
      <c r="AK16" s="462">
        <v>385143</v>
      </c>
      <c r="AL16" s="635">
        <v>434485</v>
      </c>
      <c r="AM16" s="634">
        <f t="shared" si="13"/>
        <v>819628</v>
      </c>
      <c r="AN16" s="634">
        <f t="shared" si="23"/>
        <v>6129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5834</v>
      </c>
      <c r="F17" s="442">
        <v>4041248</v>
      </c>
      <c r="G17" s="310">
        <f t="shared" si="15"/>
        <v>658</v>
      </c>
      <c r="H17" s="442">
        <v>17897710</v>
      </c>
      <c r="I17" s="310">
        <f t="shared" si="16"/>
        <v>830</v>
      </c>
      <c r="J17" s="442">
        <v>29193802</v>
      </c>
      <c r="K17" s="310">
        <f t="shared" si="17"/>
        <v>2116</v>
      </c>
      <c r="L17" s="442">
        <v>24267546</v>
      </c>
      <c r="M17" s="310">
        <f t="shared" si="18"/>
        <v>1942</v>
      </c>
      <c r="N17" s="309">
        <f t="shared" si="19"/>
        <v>11380</v>
      </c>
      <c r="O17" s="463">
        <f t="shared" si="27"/>
        <v>0</v>
      </c>
      <c r="P17" s="584">
        <v>17379.304</v>
      </c>
      <c r="Q17" s="446">
        <f t="shared" si="31"/>
        <v>8594.0000000009604</v>
      </c>
      <c r="R17" s="446">
        <f t="shared" si="32"/>
        <v>2785.9999999990396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v>32691</v>
      </c>
      <c r="X17" s="446">
        <f>W17-W16</f>
        <v>0</v>
      </c>
      <c r="Y17" s="442">
        <f t="shared" si="30"/>
        <v>801841</v>
      </c>
      <c r="Z17" s="446">
        <f>Y17-Y16</f>
        <v>0</v>
      </c>
      <c r="AA17" s="442">
        <v>36014</v>
      </c>
      <c r="AB17" s="446">
        <f>AA17-AA16</f>
        <v>15</v>
      </c>
      <c r="AC17" s="442">
        <v>977695</v>
      </c>
      <c r="AD17" s="446">
        <f t="shared" si="22"/>
        <v>3067</v>
      </c>
      <c r="AE17" s="468">
        <f t="shared" si="12"/>
        <v>15</v>
      </c>
      <c r="AF17" s="469">
        <f t="shared" si="4"/>
        <v>3067</v>
      </c>
      <c r="AG17" s="461">
        <f t="shared" si="28"/>
        <v>204.46666666666667</v>
      </c>
      <c r="AI17" s="462">
        <f>R17-'EDl log'!B17</f>
        <v>-1064217.0000000009</v>
      </c>
      <c r="AJ17" s="611">
        <v>44361</v>
      </c>
      <c r="AK17" s="462">
        <v>390620</v>
      </c>
      <c r="AL17" s="635">
        <v>434842</v>
      </c>
      <c r="AM17" s="634">
        <f t="shared" si="13"/>
        <v>825462</v>
      </c>
      <c r="AN17" s="634">
        <f t="shared" si="23"/>
        <v>5834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4340</v>
      </c>
      <c r="F18" s="639">
        <v>4041954</v>
      </c>
      <c r="G18" s="310">
        <f t="shared" si="15"/>
        <v>706</v>
      </c>
      <c r="H18" s="638">
        <v>17898706</v>
      </c>
      <c r="I18" s="310">
        <f t="shared" si="16"/>
        <v>996</v>
      </c>
      <c r="J18" s="639">
        <v>29198626</v>
      </c>
      <c r="K18" s="310">
        <f t="shared" si="17"/>
        <v>4824</v>
      </c>
      <c r="L18" s="638">
        <v>24269870</v>
      </c>
      <c r="M18" s="310">
        <f t="shared" si="18"/>
        <v>2324</v>
      </c>
      <c r="N18" s="309">
        <f t="shared" si="19"/>
        <v>13190</v>
      </c>
      <c r="O18" s="463">
        <f t="shared" si="27"/>
        <v>0</v>
      </c>
      <c r="P18" s="640">
        <v>17391.748</v>
      </c>
      <c r="Q18" s="446">
        <f t="shared" si="31"/>
        <v>12443.999999999505</v>
      </c>
      <c r="R18" s="446">
        <f t="shared" si="32"/>
        <v>746.00000000049477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638">
        <v>32702</v>
      </c>
      <c r="X18" s="446">
        <f t="shared" si="26"/>
        <v>11</v>
      </c>
      <c r="Y18" s="639">
        <v>804179</v>
      </c>
      <c r="Z18" s="446">
        <f t="shared" si="25"/>
        <v>2338</v>
      </c>
      <c r="AA18" s="638">
        <v>36020</v>
      </c>
      <c r="AB18" s="446">
        <f t="shared" si="21"/>
        <v>6</v>
      </c>
      <c r="AC18" s="639">
        <v>978935</v>
      </c>
      <c r="AD18" s="446">
        <f t="shared" ref="AD18:AD31" si="33">AC18-AC17</f>
        <v>1240</v>
      </c>
      <c r="AE18" s="468">
        <f t="shared" si="12"/>
        <v>17</v>
      </c>
      <c r="AF18" s="469">
        <f t="shared" si="4"/>
        <v>3578</v>
      </c>
      <c r="AG18" s="461">
        <f t="shared" si="28"/>
        <v>210.47058823529412</v>
      </c>
      <c r="AI18" s="462">
        <f>R18-'EDl log'!B18</f>
        <v>-1066781.9999999995</v>
      </c>
      <c r="AJ18" s="611">
        <v>44362</v>
      </c>
      <c r="AK18" s="633">
        <v>394712</v>
      </c>
      <c r="AL18" s="633">
        <v>435090</v>
      </c>
      <c r="AM18" s="634">
        <f t="shared" si="13"/>
        <v>829802</v>
      </c>
      <c r="AN18" s="634">
        <f t="shared" si="23"/>
        <v>4340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4710</v>
      </c>
      <c r="F19" s="442">
        <v>4042661</v>
      </c>
      <c r="G19" s="310">
        <f t="shared" si="15"/>
        <v>707</v>
      </c>
      <c r="H19" s="442">
        <v>17899744</v>
      </c>
      <c r="I19" s="310">
        <f t="shared" si="16"/>
        <v>1038</v>
      </c>
      <c r="J19" s="442">
        <v>29202094</v>
      </c>
      <c r="K19" s="310">
        <f t="shared" si="17"/>
        <v>3468</v>
      </c>
      <c r="L19" s="442">
        <v>24272214</v>
      </c>
      <c r="M19" s="310">
        <f t="shared" si="18"/>
        <v>2344</v>
      </c>
      <c r="N19" s="309">
        <f t="shared" si="19"/>
        <v>12267</v>
      </c>
      <c r="O19" s="463">
        <f t="shared" si="27"/>
        <v>0</v>
      </c>
      <c r="P19" s="584">
        <v>17405.023000000001</v>
      </c>
      <c r="Q19" s="446">
        <f t="shared" si="31"/>
        <v>13275.000000001455</v>
      </c>
      <c r="R19" s="446">
        <f t="shared" si="32"/>
        <v>-1008.0000000014552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v>32709</v>
      </c>
      <c r="X19" s="446">
        <f t="shared" si="26"/>
        <v>7</v>
      </c>
      <c r="Y19" s="442">
        <v>805616</v>
      </c>
      <c r="Z19" s="446">
        <f t="shared" si="25"/>
        <v>1437</v>
      </c>
      <c r="AA19" s="442">
        <v>36028</v>
      </c>
      <c r="AB19" s="446">
        <f t="shared" si="21"/>
        <v>8</v>
      </c>
      <c r="AC19" s="442">
        <v>980604</v>
      </c>
      <c r="AD19" s="446">
        <f t="shared" si="33"/>
        <v>1669</v>
      </c>
      <c r="AE19" s="468">
        <f t="shared" si="12"/>
        <v>15</v>
      </c>
      <c r="AF19" s="469">
        <f t="shared" si="4"/>
        <v>3106</v>
      </c>
      <c r="AG19" s="461">
        <f t="shared" si="28"/>
        <v>207.06666666666666</v>
      </c>
      <c r="AI19" s="462">
        <f>R19-'EDl log'!B19</f>
        <v>-1069350.0000000014</v>
      </c>
      <c r="AJ19" s="611">
        <v>44363</v>
      </c>
      <c r="AK19" s="462">
        <v>399112</v>
      </c>
      <c r="AL19" s="635">
        <v>435400</v>
      </c>
      <c r="AM19" s="634">
        <f t="shared" si="13"/>
        <v>834512</v>
      </c>
      <c r="AN19" s="634">
        <f t="shared" si="23"/>
        <v>4710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6488</v>
      </c>
      <c r="F20" s="442">
        <v>4043434</v>
      </c>
      <c r="G20" s="310">
        <f t="shared" si="15"/>
        <v>773</v>
      </c>
      <c r="H20" s="442">
        <v>17900838</v>
      </c>
      <c r="I20" s="310">
        <f t="shared" si="16"/>
        <v>1094</v>
      </c>
      <c r="J20" s="442">
        <v>29204422</v>
      </c>
      <c r="K20" s="310">
        <f t="shared" si="17"/>
        <v>2328</v>
      </c>
      <c r="L20" s="442">
        <v>24274486</v>
      </c>
      <c r="M20" s="310">
        <f t="shared" si="18"/>
        <v>2272</v>
      </c>
      <c r="N20" s="309">
        <f t="shared" si="19"/>
        <v>12955</v>
      </c>
      <c r="O20" s="463">
        <f t="shared" si="27"/>
        <v>0</v>
      </c>
      <c r="P20" s="584">
        <v>17415.099999999999</v>
      </c>
      <c r="Q20" s="446">
        <f t="shared" si="31"/>
        <v>10076.999999997497</v>
      </c>
      <c r="R20" s="446">
        <f t="shared" si="32"/>
        <v>2878.0000000025029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v>32709</v>
      </c>
      <c r="X20" s="446">
        <f t="shared" si="26"/>
        <v>0</v>
      </c>
      <c r="Y20" s="442">
        <f t="shared" si="30"/>
        <v>805616</v>
      </c>
      <c r="Z20" s="446">
        <f t="shared" si="25"/>
        <v>0</v>
      </c>
      <c r="AA20" s="442">
        <v>36044</v>
      </c>
      <c r="AB20" s="446">
        <f t="shared" si="21"/>
        <v>16</v>
      </c>
      <c r="AC20" s="442">
        <v>983863</v>
      </c>
      <c r="AD20" s="446">
        <f t="shared" si="33"/>
        <v>3259</v>
      </c>
      <c r="AE20" s="468">
        <f t="shared" si="12"/>
        <v>16</v>
      </c>
      <c r="AF20" s="469">
        <f t="shared" si="4"/>
        <v>3259</v>
      </c>
      <c r="AG20" s="461">
        <f t="shared" si="28"/>
        <v>203.6875</v>
      </c>
      <c r="AI20" s="462">
        <f>R20-'EDl log'!B20</f>
        <v>-1065944.9999999974</v>
      </c>
      <c r="AJ20" s="611">
        <v>44364</v>
      </c>
      <c r="AK20" s="462">
        <v>405216</v>
      </c>
      <c r="AL20" s="635">
        <v>435784</v>
      </c>
      <c r="AM20" s="634">
        <f t="shared" si="13"/>
        <v>841000</v>
      </c>
      <c r="AN20" s="634">
        <f t="shared" si="23"/>
        <v>6488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5643</v>
      </c>
      <c r="F21" s="442">
        <v>4044181</v>
      </c>
      <c r="G21" s="310">
        <f t="shared" si="15"/>
        <v>747</v>
      </c>
      <c r="H21" s="442">
        <v>17901850</v>
      </c>
      <c r="I21" s="310">
        <f t="shared" si="16"/>
        <v>1012</v>
      </c>
      <c r="J21" s="442">
        <v>29206786</v>
      </c>
      <c r="K21" s="310">
        <f t="shared" si="17"/>
        <v>2364</v>
      </c>
      <c r="L21" s="442">
        <v>24276860</v>
      </c>
      <c r="M21" s="310">
        <f t="shared" si="18"/>
        <v>2374</v>
      </c>
      <c r="N21" s="309">
        <f t="shared" si="19"/>
        <v>12140</v>
      </c>
      <c r="O21" s="463">
        <f t="shared" si="27"/>
        <v>0</v>
      </c>
      <c r="P21" s="584">
        <v>17426.61</v>
      </c>
      <c r="Q21" s="446">
        <f>(P21-P20)*1000</f>
        <v>11510.000000002037</v>
      </c>
      <c r="R21" s="446">
        <f t="shared" si="32"/>
        <v>629.99999999796273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v>32710</v>
      </c>
      <c r="X21" s="446">
        <f t="shared" si="26"/>
        <v>1</v>
      </c>
      <c r="Y21" s="442">
        <v>805914</v>
      </c>
      <c r="Z21" s="446">
        <f t="shared" si="25"/>
        <v>298</v>
      </c>
      <c r="AA21" s="442">
        <v>36058</v>
      </c>
      <c r="AB21" s="446">
        <f t="shared" si="21"/>
        <v>14</v>
      </c>
      <c r="AC21" s="442">
        <v>986797</v>
      </c>
      <c r="AD21" s="446">
        <f t="shared" si="33"/>
        <v>2934</v>
      </c>
      <c r="AE21" s="468">
        <f t="shared" si="12"/>
        <v>15</v>
      </c>
      <c r="AF21" s="469">
        <f t="shared" si="4"/>
        <v>3232</v>
      </c>
      <c r="AG21" s="461">
        <f t="shared" si="28"/>
        <v>215.46666666666667</v>
      </c>
      <c r="AI21" s="462">
        <f>R21-'EDl log'!B21</f>
        <v>-1068704.0000000021</v>
      </c>
      <c r="AJ21" s="611">
        <v>44365</v>
      </c>
      <c r="AK21" s="462">
        <v>410727</v>
      </c>
      <c r="AL21" s="635">
        <v>435916</v>
      </c>
      <c r="AM21" s="634">
        <f t="shared" si="13"/>
        <v>846643</v>
      </c>
      <c r="AN21" s="634">
        <f t="shared" si="23"/>
        <v>5643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3290</v>
      </c>
      <c r="F22" s="442">
        <v>4044826</v>
      </c>
      <c r="G22" s="310">
        <f t="shared" si="15"/>
        <v>645</v>
      </c>
      <c r="H22" s="442">
        <v>17902882</v>
      </c>
      <c r="I22" s="310">
        <f t="shared" si="16"/>
        <v>1032</v>
      </c>
      <c r="J22" s="442">
        <v>29212792</v>
      </c>
      <c r="K22" s="310">
        <f t="shared" si="17"/>
        <v>6006</v>
      </c>
      <c r="L22" s="442">
        <v>24279266</v>
      </c>
      <c r="M22" s="310">
        <f t="shared" si="18"/>
        <v>2406</v>
      </c>
      <c r="N22" s="309">
        <f t="shared" si="19"/>
        <v>13379</v>
      </c>
      <c r="O22" s="463">
        <f t="shared" si="27"/>
        <v>0</v>
      </c>
      <c r="P22" s="584">
        <v>17439.623</v>
      </c>
      <c r="Q22" s="446">
        <f t="shared" si="31"/>
        <v>13012.99999999901</v>
      </c>
      <c r="R22" s="446">
        <f t="shared" si="32"/>
        <v>366.00000000098953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v>32729</v>
      </c>
      <c r="X22" s="446">
        <f t="shared" si="26"/>
        <v>19</v>
      </c>
      <c r="Y22" s="442">
        <v>809420</v>
      </c>
      <c r="Z22" s="446">
        <f t="shared" si="25"/>
        <v>3506</v>
      </c>
      <c r="AA22" s="442">
        <v>36058</v>
      </c>
      <c r="AB22" s="446">
        <f t="shared" si="21"/>
        <v>0</v>
      </c>
      <c r="AC22" s="442">
        <f t="shared" si="11"/>
        <v>986797</v>
      </c>
      <c r="AD22" s="446">
        <f t="shared" si="33"/>
        <v>0</v>
      </c>
      <c r="AE22" s="468">
        <f t="shared" si="12"/>
        <v>19</v>
      </c>
      <c r="AF22" s="469">
        <f t="shared" si="4"/>
        <v>3506</v>
      </c>
      <c r="AG22" s="461">
        <f t="shared" si="28"/>
        <v>184.52631578947367</v>
      </c>
      <c r="AI22" s="462">
        <f>R22-'EDl log'!B22</f>
        <v>-1069325.9999999991</v>
      </c>
      <c r="AJ22" s="611">
        <v>44366</v>
      </c>
      <c r="AK22" s="462">
        <v>413849</v>
      </c>
      <c r="AL22" s="635">
        <v>436084</v>
      </c>
      <c r="AM22" s="634">
        <f t="shared" si="13"/>
        <v>849933</v>
      </c>
      <c r="AN22" s="634">
        <f t="shared" si="23"/>
        <v>3290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6170</v>
      </c>
      <c r="F23" s="442">
        <v>4045450</v>
      </c>
      <c r="G23" s="310">
        <f t="shared" si="15"/>
        <v>624</v>
      </c>
      <c r="H23" s="442">
        <v>17903876</v>
      </c>
      <c r="I23" s="310">
        <f t="shared" si="16"/>
        <v>994</v>
      </c>
      <c r="J23" s="442">
        <v>29215258</v>
      </c>
      <c r="K23" s="310">
        <f t="shared" si="17"/>
        <v>2466</v>
      </c>
      <c r="L23" s="442">
        <v>24281618</v>
      </c>
      <c r="M23" s="310">
        <f t="shared" si="18"/>
        <v>2352</v>
      </c>
      <c r="N23" s="309">
        <f t="shared" si="19"/>
        <v>12606</v>
      </c>
      <c r="O23" s="463">
        <f t="shared" si="27"/>
        <v>0</v>
      </c>
      <c r="P23" s="584">
        <v>17453.134999999998</v>
      </c>
      <c r="Q23" s="446">
        <f t="shared" si="31"/>
        <v>13511.999999998807</v>
      </c>
      <c r="R23" s="446">
        <f t="shared" si="32"/>
        <v>-905.99999999880674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v>32730</v>
      </c>
      <c r="X23" s="446">
        <f t="shared" si="26"/>
        <v>1</v>
      </c>
      <c r="Y23" s="442">
        <v>809664</v>
      </c>
      <c r="Z23" s="446">
        <f t="shared" si="25"/>
        <v>244</v>
      </c>
      <c r="AA23" s="442">
        <v>36072</v>
      </c>
      <c r="AB23" s="446">
        <f t="shared" si="21"/>
        <v>14</v>
      </c>
      <c r="AC23" s="442">
        <v>989820</v>
      </c>
      <c r="AD23" s="446">
        <f t="shared" si="33"/>
        <v>3023</v>
      </c>
      <c r="AE23" s="468">
        <f t="shared" si="12"/>
        <v>15</v>
      </c>
      <c r="AF23" s="469">
        <f t="shared" si="4"/>
        <v>3267</v>
      </c>
      <c r="AG23" s="461">
        <f t="shared" si="28"/>
        <v>217.8</v>
      </c>
      <c r="AI23" s="462">
        <f>R23-'EDl log'!B23</f>
        <v>-1071443.9999999988</v>
      </c>
      <c r="AJ23" s="611">
        <v>44367</v>
      </c>
      <c r="AK23" s="462">
        <v>419666</v>
      </c>
      <c r="AL23" s="635">
        <v>436437</v>
      </c>
      <c r="AM23" s="634">
        <f t="shared" si="13"/>
        <v>856103</v>
      </c>
      <c r="AN23" s="634">
        <f t="shared" si="23"/>
        <v>6170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7334</v>
      </c>
      <c r="F24" s="442">
        <v>4046096</v>
      </c>
      <c r="G24" s="310">
        <f t="shared" si="15"/>
        <v>646</v>
      </c>
      <c r="H24" s="442">
        <v>17904938</v>
      </c>
      <c r="I24" s="435">
        <f t="shared" si="16"/>
        <v>1062</v>
      </c>
      <c r="J24" s="442">
        <v>29217694</v>
      </c>
      <c r="K24" s="310">
        <f t="shared" si="17"/>
        <v>2436</v>
      </c>
      <c r="L24" s="442">
        <v>24283970</v>
      </c>
      <c r="M24" s="310">
        <f t="shared" si="18"/>
        <v>2352</v>
      </c>
      <c r="N24" s="309">
        <f t="shared" si="19"/>
        <v>13830</v>
      </c>
      <c r="O24" s="463">
        <f t="shared" si="27"/>
        <v>0</v>
      </c>
      <c r="P24" s="584">
        <v>17464.633000000002</v>
      </c>
      <c r="Q24" s="446">
        <f t="shared" si="31"/>
        <v>11498.000000003231</v>
      </c>
      <c r="R24" s="446">
        <f t="shared" si="32"/>
        <v>2331.9999999967695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29"/>
        <v>32730</v>
      </c>
      <c r="X24" s="446">
        <f t="shared" si="26"/>
        <v>0</v>
      </c>
      <c r="Y24" s="442">
        <v>809664</v>
      </c>
      <c r="Z24" s="446">
        <f t="shared" si="25"/>
        <v>0</v>
      </c>
      <c r="AA24" s="442">
        <v>36091</v>
      </c>
      <c r="AB24" s="446">
        <f t="shared" si="21"/>
        <v>19</v>
      </c>
      <c r="AC24" s="442">
        <v>993868</v>
      </c>
      <c r="AD24" s="446">
        <f t="shared" si="33"/>
        <v>4048</v>
      </c>
      <c r="AE24" s="468">
        <f t="shared" si="12"/>
        <v>19</v>
      </c>
      <c r="AF24" s="469">
        <f t="shared" si="4"/>
        <v>4048</v>
      </c>
      <c r="AG24" s="461">
        <f t="shared" si="28"/>
        <v>213.05263157894737</v>
      </c>
      <c r="AI24" s="462">
        <f>R24-'EDl log'!B24</f>
        <v>-1068462.0000000033</v>
      </c>
      <c r="AJ24" s="611">
        <v>44368</v>
      </c>
      <c r="AK24" s="462">
        <v>426876</v>
      </c>
      <c r="AL24" s="635">
        <v>436561</v>
      </c>
      <c r="AM24" s="634">
        <f t="shared" si="13"/>
        <v>863437</v>
      </c>
      <c r="AN24" s="634">
        <f t="shared" si="23"/>
        <v>7334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0</v>
      </c>
      <c r="F25" s="442">
        <f t="shared" ref="F25:F33" si="34">F24</f>
        <v>4046096</v>
      </c>
      <c r="G25" s="310">
        <f t="shared" si="15"/>
        <v>0</v>
      </c>
      <c r="H25" s="442">
        <f t="shared" ref="H25:H33" si="35">H24</f>
        <v>17904938</v>
      </c>
      <c r="I25" s="310">
        <f t="shared" si="16"/>
        <v>0</v>
      </c>
      <c r="J25" s="442">
        <f t="shared" ref="J25:J33" si="36">J24</f>
        <v>29217694</v>
      </c>
      <c r="K25" s="310">
        <f t="shared" si="17"/>
        <v>0</v>
      </c>
      <c r="L25" s="442">
        <f t="shared" ref="L25:L33" si="37">L24</f>
        <v>24283970</v>
      </c>
      <c r="M25" s="310">
        <f t="shared" si="18"/>
        <v>0</v>
      </c>
      <c r="N25" s="309">
        <f t="shared" si="19"/>
        <v>0</v>
      </c>
      <c r="O25" s="463">
        <f t="shared" si="27"/>
        <v>0</v>
      </c>
      <c r="P25" s="584">
        <f t="shared" ref="P25:P33" si="38">P24</f>
        <v>17464.633000000002</v>
      </c>
      <c r="Q25" s="446">
        <f t="shared" si="31"/>
        <v>0</v>
      </c>
      <c r="R25" s="446">
        <f t="shared" si="32"/>
        <v>0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f t="shared" si="29"/>
        <v>32730</v>
      </c>
      <c r="X25" s="446">
        <f t="shared" si="26"/>
        <v>0</v>
      </c>
      <c r="Y25" s="442">
        <f t="shared" si="30"/>
        <v>809664</v>
      </c>
      <c r="Z25" s="446">
        <f t="shared" si="25"/>
        <v>0</v>
      </c>
      <c r="AA25" s="442">
        <f t="shared" si="10"/>
        <v>36091</v>
      </c>
      <c r="AB25" s="446">
        <f t="shared" si="21"/>
        <v>0</v>
      </c>
      <c r="AC25" s="442">
        <f t="shared" si="11"/>
        <v>993868</v>
      </c>
      <c r="AD25" s="446">
        <f t="shared" si="33"/>
        <v>0</v>
      </c>
      <c r="AE25" s="468">
        <f t="shared" si="12"/>
        <v>0</v>
      </c>
      <c r="AF25" s="469">
        <f t="shared" si="4"/>
        <v>0</v>
      </c>
      <c r="AG25" s="461">
        <f t="shared" si="28"/>
        <v>0</v>
      </c>
      <c r="AI25" s="462">
        <f>R25-'EDl log'!B25</f>
        <v>-1070794</v>
      </c>
      <c r="AJ25" s="611">
        <v>44369</v>
      </c>
      <c r="AK25" s="462">
        <f t="shared" ref="AK25:AK33" si="39">AK24</f>
        <v>426876</v>
      </c>
      <c r="AL25" s="635">
        <f t="shared" ref="AL25:AL33" si="40">AL24</f>
        <v>436561</v>
      </c>
      <c r="AM25" s="634">
        <f t="shared" si="13"/>
        <v>863437</v>
      </c>
      <c r="AN25" s="634">
        <f t="shared" si="23"/>
        <v>0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0</v>
      </c>
      <c r="F26" s="442">
        <f t="shared" si="34"/>
        <v>4046096</v>
      </c>
      <c r="G26" s="310">
        <f t="shared" si="15"/>
        <v>0</v>
      </c>
      <c r="H26" s="442">
        <f t="shared" si="35"/>
        <v>17904938</v>
      </c>
      <c r="I26" s="310">
        <f t="shared" si="16"/>
        <v>0</v>
      </c>
      <c r="J26" s="442">
        <f t="shared" si="36"/>
        <v>29217694</v>
      </c>
      <c r="K26" s="310">
        <f t="shared" si="17"/>
        <v>0</v>
      </c>
      <c r="L26" s="442">
        <f t="shared" si="37"/>
        <v>24283970</v>
      </c>
      <c r="M26" s="310">
        <f t="shared" si="18"/>
        <v>0</v>
      </c>
      <c r="N26" s="309">
        <f t="shared" si="19"/>
        <v>0</v>
      </c>
      <c r="O26" s="463">
        <f t="shared" si="27"/>
        <v>0</v>
      </c>
      <c r="P26" s="584">
        <f t="shared" si="38"/>
        <v>17464.633000000002</v>
      </c>
      <c r="Q26" s="446">
        <f t="shared" si="31"/>
        <v>0</v>
      </c>
      <c r="R26" s="446">
        <f t="shared" si="32"/>
        <v>0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f t="shared" si="29"/>
        <v>32730</v>
      </c>
      <c r="X26" s="446">
        <f t="shared" si="26"/>
        <v>0</v>
      </c>
      <c r="Y26" s="442">
        <f t="shared" si="30"/>
        <v>809664</v>
      </c>
      <c r="Z26" s="446">
        <f t="shared" si="25"/>
        <v>0</v>
      </c>
      <c r="AA26" s="442">
        <f t="shared" si="10"/>
        <v>36091</v>
      </c>
      <c r="AB26" s="446">
        <f t="shared" si="21"/>
        <v>0</v>
      </c>
      <c r="AC26" s="442">
        <f t="shared" si="11"/>
        <v>993868</v>
      </c>
      <c r="AD26" s="446">
        <f t="shared" si="33"/>
        <v>0</v>
      </c>
      <c r="AE26" s="468">
        <f t="shared" si="12"/>
        <v>0</v>
      </c>
      <c r="AF26" s="469">
        <f t="shared" si="4"/>
        <v>0</v>
      </c>
      <c r="AG26" s="461">
        <f t="shared" si="28"/>
        <v>0</v>
      </c>
      <c r="AI26" s="462">
        <f>R26-'EDl log'!B26</f>
        <v>-1070794</v>
      </c>
      <c r="AJ26" s="611">
        <v>44370</v>
      </c>
      <c r="AK26" s="462">
        <f t="shared" si="39"/>
        <v>426876</v>
      </c>
      <c r="AL26" s="635">
        <f t="shared" si="40"/>
        <v>436561</v>
      </c>
      <c r="AM26" s="634">
        <f t="shared" si="13"/>
        <v>863437</v>
      </c>
      <c r="AN26" s="634">
        <f t="shared" si="23"/>
        <v>0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0</v>
      </c>
      <c r="F27" s="442">
        <f t="shared" si="34"/>
        <v>4046096</v>
      </c>
      <c r="G27" s="310">
        <f t="shared" si="15"/>
        <v>0</v>
      </c>
      <c r="H27" s="442">
        <f t="shared" si="35"/>
        <v>17904938</v>
      </c>
      <c r="I27" s="310">
        <f t="shared" si="16"/>
        <v>0</v>
      </c>
      <c r="J27" s="442">
        <f t="shared" si="36"/>
        <v>29217694</v>
      </c>
      <c r="K27" s="310">
        <f t="shared" si="17"/>
        <v>0</v>
      </c>
      <c r="L27" s="442">
        <f t="shared" si="37"/>
        <v>24283970</v>
      </c>
      <c r="M27" s="310">
        <f t="shared" si="18"/>
        <v>0</v>
      </c>
      <c r="N27" s="309">
        <f t="shared" si="19"/>
        <v>0</v>
      </c>
      <c r="O27" s="463">
        <f t="shared" si="27"/>
        <v>0</v>
      </c>
      <c r="P27" s="584">
        <f t="shared" si="38"/>
        <v>17464.633000000002</v>
      </c>
      <c r="Q27" s="446">
        <f t="shared" si="31"/>
        <v>0</v>
      </c>
      <c r="R27" s="446">
        <f t="shared" si="32"/>
        <v>0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f t="shared" si="29"/>
        <v>32730</v>
      </c>
      <c r="X27" s="446">
        <f t="shared" si="26"/>
        <v>0</v>
      </c>
      <c r="Y27" s="442">
        <f t="shared" si="30"/>
        <v>809664</v>
      </c>
      <c r="Z27" s="446">
        <f t="shared" si="25"/>
        <v>0</v>
      </c>
      <c r="AA27" s="442">
        <f t="shared" si="10"/>
        <v>36091</v>
      </c>
      <c r="AB27" s="446">
        <f t="shared" si="21"/>
        <v>0</v>
      </c>
      <c r="AC27" s="442">
        <f t="shared" si="11"/>
        <v>993868</v>
      </c>
      <c r="AD27" s="446">
        <f t="shared" si="33"/>
        <v>0</v>
      </c>
      <c r="AE27" s="468">
        <f t="shared" si="12"/>
        <v>0</v>
      </c>
      <c r="AF27" s="469">
        <f t="shared" si="4"/>
        <v>0</v>
      </c>
      <c r="AG27" s="461">
        <f t="shared" si="28"/>
        <v>0</v>
      </c>
      <c r="AI27" s="462">
        <f>R27-'EDl log'!B27</f>
        <v>-1070794</v>
      </c>
      <c r="AJ27" s="611">
        <v>44371</v>
      </c>
      <c r="AK27" s="462">
        <f t="shared" si="39"/>
        <v>426876</v>
      </c>
      <c r="AL27" s="635">
        <f t="shared" si="40"/>
        <v>436561</v>
      </c>
      <c r="AM27" s="634">
        <f t="shared" si="13"/>
        <v>863437</v>
      </c>
      <c r="AN27" s="634">
        <f t="shared" si="23"/>
        <v>0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0</v>
      </c>
      <c r="F28" s="442">
        <f t="shared" si="34"/>
        <v>4046096</v>
      </c>
      <c r="G28" s="310">
        <f>F28-F27</f>
        <v>0</v>
      </c>
      <c r="H28" s="442">
        <f t="shared" si="35"/>
        <v>17904938</v>
      </c>
      <c r="I28" s="310">
        <f t="shared" si="16"/>
        <v>0</v>
      </c>
      <c r="J28" s="442">
        <f t="shared" si="36"/>
        <v>29217694</v>
      </c>
      <c r="K28" s="310">
        <f t="shared" si="17"/>
        <v>0</v>
      </c>
      <c r="L28" s="442">
        <f t="shared" si="37"/>
        <v>24283970</v>
      </c>
      <c r="M28" s="310">
        <f t="shared" si="18"/>
        <v>0</v>
      </c>
      <c r="N28" s="309">
        <f t="shared" si="19"/>
        <v>0</v>
      </c>
      <c r="O28" s="463">
        <f t="shared" si="27"/>
        <v>0</v>
      </c>
      <c r="P28" s="584">
        <f t="shared" si="38"/>
        <v>17464.633000000002</v>
      </c>
      <c r="Q28" s="446">
        <f t="shared" si="31"/>
        <v>0</v>
      </c>
      <c r="R28" s="446">
        <f t="shared" si="32"/>
        <v>0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f t="shared" si="29"/>
        <v>32730</v>
      </c>
      <c r="X28" s="446">
        <f t="shared" si="26"/>
        <v>0</v>
      </c>
      <c r="Y28" s="442">
        <f t="shared" si="30"/>
        <v>809664</v>
      </c>
      <c r="Z28" s="446">
        <f t="shared" si="25"/>
        <v>0</v>
      </c>
      <c r="AA28" s="442">
        <f t="shared" si="10"/>
        <v>36091</v>
      </c>
      <c r="AB28" s="446">
        <f t="shared" si="21"/>
        <v>0</v>
      </c>
      <c r="AC28" s="442">
        <f t="shared" si="11"/>
        <v>993868</v>
      </c>
      <c r="AD28" s="446">
        <f t="shared" si="33"/>
        <v>0</v>
      </c>
      <c r="AE28" s="468">
        <f t="shared" si="12"/>
        <v>0</v>
      </c>
      <c r="AF28" s="469">
        <f t="shared" si="4"/>
        <v>0</v>
      </c>
      <c r="AG28" s="461">
        <f t="shared" si="28"/>
        <v>0</v>
      </c>
      <c r="AI28" s="462">
        <f>R28-'EDl log'!B28</f>
        <v>-1070794</v>
      </c>
      <c r="AJ28" s="611">
        <v>44372</v>
      </c>
      <c r="AK28" s="462">
        <f t="shared" si="39"/>
        <v>426876</v>
      </c>
      <c r="AL28" s="635">
        <f t="shared" si="40"/>
        <v>436561</v>
      </c>
      <c r="AM28" s="634">
        <f t="shared" si="13"/>
        <v>863437</v>
      </c>
      <c r="AN28" s="634">
        <f t="shared" si="23"/>
        <v>0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si="34"/>
        <v>4046096</v>
      </c>
      <c r="G29" s="310">
        <f t="shared" si="15"/>
        <v>0</v>
      </c>
      <c r="H29" s="442">
        <f t="shared" si="35"/>
        <v>17904938</v>
      </c>
      <c r="I29" s="310">
        <f t="shared" si="16"/>
        <v>0</v>
      </c>
      <c r="J29" s="442">
        <f t="shared" si="36"/>
        <v>29217694</v>
      </c>
      <c r="K29" s="310">
        <f t="shared" si="17"/>
        <v>0</v>
      </c>
      <c r="L29" s="442">
        <f t="shared" si="37"/>
        <v>24283970</v>
      </c>
      <c r="M29" s="310">
        <f t="shared" si="18"/>
        <v>0</v>
      </c>
      <c r="N29" s="309">
        <f t="shared" si="19"/>
        <v>0</v>
      </c>
      <c r="O29" s="463">
        <f t="shared" si="27"/>
        <v>0</v>
      </c>
      <c r="P29" s="584">
        <f t="shared" si="38"/>
        <v>17464.633000000002</v>
      </c>
      <c r="Q29" s="446">
        <f t="shared" si="31"/>
        <v>0</v>
      </c>
      <c r="R29" s="446">
        <f t="shared" si="32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29"/>
        <v>32730</v>
      </c>
      <c r="X29" s="446">
        <f t="shared" si="26"/>
        <v>0</v>
      </c>
      <c r="Y29" s="442">
        <f t="shared" si="30"/>
        <v>809664</v>
      </c>
      <c r="Z29" s="446">
        <f t="shared" si="25"/>
        <v>0</v>
      </c>
      <c r="AA29" s="442">
        <f t="shared" si="10"/>
        <v>36091</v>
      </c>
      <c r="AB29" s="446">
        <f t="shared" si="21"/>
        <v>0</v>
      </c>
      <c r="AC29" s="442">
        <f t="shared" si="11"/>
        <v>993868</v>
      </c>
      <c r="AD29" s="446">
        <f t="shared" si="33"/>
        <v>0</v>
      </c>
      <c r="AE29" s="468">
        <f t="shared" si="12"/>
        <v>0</v>
      </c>
      <c r="AF29" s="469">
        <f t="shared" si="4"/>
        <v>0</v>
      </c>
      <c r="AG29" s="461">
        <f t="shared" si="28"/>
        <v>0</v>
      </c>
      <c r="AI29" s="462">
        <f>R29-'EDl log'!B29</f>
        <v>-1070794</v>
      </c>
      <c r="AJ29" s="611">
        <v>44373</v>
      </c>
      <c r="AK29" s="462">
        <f t="shared" si="39"/>
        <v>426876</v>
      </c>
      <c r="AL29" s="635">
        <f t="shared" si="40"/>
        <v>436561</v>
      </c>
      <c r="AM29" s="634">
        <f t="shared" si="13"/>
        <v>863437</v>
      </c>
      <c r="AN29" s="634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34"/>
        <v>4046096</v>
      </c>
      <c r="G30" s="310">
        <f t="shared" si="15"/>
        <v>0</v>
      </c>
      <c r="H30" s="442">
        <f t="shared" si="35"/>
        <v>17904938</v>
      </c>
      <c r="I30" s="310">
        <f t="shared" si="16"/>
        <v>0</v>
      </c>
      <c r="J30" s="442">
        <f t="shared" si="36"/>
        <v>29217694</v>
      </c>
      <c r="K30" s="310">
        <f t="shared" si="17"/>
        <v>0</v>
      </c>
      <c r="L30" s="442">
        <f t="shared" si="37"/>
        <v>24283970</v>
      </c>
      <c r="M30" s="310">
        <f t="shared" si="18"/>
        <v>0</v>
      </c>
      <c r="N30" s="309">
        <f t="shared" si="19"/>
        <v>0</v>
      </c>
      <c r="O30" s="463">
        <f t="shared" si="27"/>
        <v>0</v>
      </c>
      <c r="P30" s="584">
        <f t="shared" si="38"/>
        <v>17464.633000000002</v>
      </c>
      <c r="Q30" s="446">
        <f t="shared" si="31"/>
        <v>0</v>
      </c>
      <c r="R30" s="446">
        <f t="shared" si="32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29"/>
        <v>32730</v>
      </c>
      <c r="X30" s="446">
        <f t="shared" si="26"/>
        <v>0</v>
      </c>
      <c r="Y30" s="442">
        <f t="shared" si="30"/>
        <v>809664</v>
      </c>
      <c r="Z30" s="446">
        <f t="shared" si="25"/>
        <v>0</v>
      </c>
      <c r="AA30" s="442">
        <f t="shared" si="10"/>
        <v>36091</v>
      </c>
      <c r="AB30" s="446">
        <f t="shared" si="21"/>
        <v>0</v>
      </c>
      <c r="AC30" s="442">
        <f t="shared" si="11"/>
        <v>993868</v>
      </c>
      <c r="AD30" s="446">
        <f t="shared" si="33"/>
        <v>0</v>
      </c>
      <c r="AE30" s="468">
        <f t="shared" si="12"/>
        <v>0</v>
      </c>
      <c r="AF30" s="469">
        <f t="shared" si="4"/>
        <v>0</v>
      </c>
      <c r="AG30" s="461">
        <f t="shared" si="28"/>
        <v>0</v>
      </c>
      <c r="AI30" s="462">
        <f>R30-'EDl log'!B30</f>
        <v>-1070794</v>
      </c>
      <c r="AJ30" s="611">
        <v>44374</v>
      </c>
      <c r="AK30" s="462">
        <f t="shared" si="39"/>
        <v>426876</v>
      </c>
      <c r="AL30" s="635">
        <f t="shared" si="40"/>
        <v>436561</v>
      </c>
      <c r="AM30" s="634">
        <f t="shared" si="13"/>
        <v>863437</v>
      </c>
      <c r="AN30" s="634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34"/>
        <v>4046096</v>
      </c>
      <c r="G31" s="310">
        <f t="shared" si="15"/>
        <v>0</v>
      </c>
      <c r="H31" s="442">
        <f t="shared" si="35"/>
        <v>17904938</v>
      </c>
      <c r="I31" s="310">
        <f t="shared" si="16"/>
        <v>0</v>
      </c>
      <c r="J31" s="442">
        <f t="shared" si="36"/>
        <v>29217694</v>
      </c>
      <c r="K31" s="310">
        <f t="shared" si="17"/>
        <v>0</v>
      </c>
      <c r="L31" s="442">
        <f t="shared" si="37"/>
        <v>24283970</v>
      </c>
      <c r="M31" s="310">
        <f t="shared" si="18"/>
        <v>0</v>
      </c>
      <c r="N31" s="309">
        <f t="shared" si="19"/>
        <v>0</v>
      </c>
      <c r="O31" s="463">
        <f t="shared" si="27"/>
        <v>0</v>
      </c>
      <c r="P31" s="584">
        <f t="shared" si="38"/>
        <v>17464.633000000002</v>
      </c>
      <c r="Q31" s="446">
        <f t="shared" si="31"/>
        <v>0</v>
      </c>
      <c r="R31" s="446">
        <f t="shared" si="32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29"/>
        <v>32730</v>
      </c>
      <c r="X31" s="466">
        <f t="shared" si="26"/>
        <v>0</v>
      </c>
      <c r="Y31" s="442">
        <f t="shared" si="30"/>
        <v>809664</v>
      </c>
      <c r="Z31" s="446">
        <f t="shared" si="25"/>
        <v>0</v>
      </c>
      <c r="AA31" s="442">
        <f t="shared" si="10"/>
        <v>36091</v>
      </c>
      <c r="AB31" s="446">
        <f t="shared" si="21"/>
        <v>0</v>
      </c>
      <c r="AC31" s="442">
        <f t="shared" si="11"/>
        <v>993868</v>
      </c>
      <c r="AD31" s="446">
        <f t="shared" si="33"/>
        <v>0</v>
      </c>
      <c r="AE31" s="468">
        <f t="shared" si="12"/>
        <v>0</v>
      </c>
      <c r="AF31" s="469">
        <f t="shared" si="4"/>
        <v>0</v>
      </c>
      <c r="AG31" s="461">
        <f t="shared" si="28"/>
        <v>0</v>
      </c>
      <c r="AI31" s="462">
        <f>R31-'EDl log'!B31</f>
        <v>-1070794</v>
      </c>
      <c r="AJ31" s="611">
        <v>44375</v>
      </c>
      <c r="AK31" s="462">
        <f t="shared" si="39"/>
        <v>426876</v>
      </c>
      <c r="AL31" s="635">
        <f t="shared" si="40"/>
        <v>436561</v>
      </c>
      <c r="AM31" s="634">
        <f t="shared" si="13"/>
        <v>863437</v>
      </c>
      <c r="AN31" s="634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34"/>
        <v>4046096</v>
      </c>
      <c r="G32" s="310">
        <f t="shared" si="15"/>
        <v>0</v>
      </c>
      <c r="H32" s="442">
        <f t="shared" si="35"/>
        <v>17904938</v>
      </c>
      <c r="I32" s="310">
        <f t="shared" si="16"/>
        <v>0</v>
      </c>
      <c r="J32" s="442">
        <f t="shared" si="36"/>
        <v>29217694</v>
      </c>
      <c r="K32" s="310">
        <f t="shared" si="17"/>
        <v>0</v>
      </c>
      <c r="L32" s="442">
        <f t="shared" si="37"/>
        <v>24283970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4">
        <f t="shared" si="38"/>
        <v>17464.633000000002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29"/>
        <v>32730</v>
      </c>
      <c r="X32" s="466">
        <f>W32-W31</f>
        <v>0</v>
      </c>
      <c r="Y32" s="442">
        <f t="shared" si="30"/>
        <v>809664</v>
      </c>
      <c r="Z32" s="446">
        <f>Y32-Y31</f>
        <v>0</v>
      </c>
      <c r="AA32" s="442">
        <f t="shared" si="10"/>
        <v>36091</v>
      </c>
      <c r="AB32" s="446">
        <f>AA32-AA31</f>
        <v>0</v>
      </c>
      <c r="AC32" s="442">
        <f t="shared" si="11"/>
        <v>993868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-1070794</v>
      </c>
      <c r="AJ32" s="611">
        <v>44376</v>
      </c>
      <c r="AK32" s="462">
        <f t="shared" si="39"/>
        <v>426876</v>
      </c>
      <c r="AL32" s="635">
        <f t="shared" si="40"/>
        <v>436561</v>
      </c>
      <c r="AM32" s="634">
        <f t="shared" si="13"/>
        <v>863437</v>
      </c>
      <c r="AN32" s="634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34"/>
        <v>4046096</v>
      </c>
      <c r="G33" s="310">
        <f t="shared" si="15"/>
        <v>0</v>
      </c>
      <c r="H33" s="442">
        <f t="shared" si="35"/>
        <v>17904938</v>
      </c>
      <c r="I33" s="310">
        <f t="shared" si="16"/>
        <v>0</v>
      </c>
      <c r="J33" s="442">
        <f t="shared" si="36"/>
        <v>29217694</v>
      </c>
      <c r="K33" s="310">
        <f t="shared" si="17"/>
        <v>0</v>
      </c>
      <c r="L33" s="442">
        <f t="shared" si="37"/>
        <v>24283970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4">
        <f t="shared" si="38"/>
        <v>17464.633000000002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29"/>
        <v>32730</v>
      </c>
      <c r="X33" s="466">
        <f>W33-W32</f>
        <v>0</v>
      </c>
      <c r="Y33" s="442">
        <f t="shared" si="30"/>
        <v>809664</v>
      </c>
      <c r="Z33" s="446">
        <f>Y33-Y32</f>
        <v>0</v>
      </c>
      <c r="AA33" s="442">
        <f t="shared" si="10"/>
        <v>36091</v>
      </c>
      <c r="AB33" s="446">
        <f>AA33-AA32</f>
        <v>0</v>
      </c>
      <c r="AC33" s="442">
        <f t="shared" si="11"/>
        <v>993868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-1070794</v>
      </c>
      <c r="AJ33" s="611">
        <v>44377</v>
      </c>
      <c r="AK33" s="462">
        <f t="shared" si="39"/>
        <v>426876</v>
      </c>
      <c r="AL33" s="635">
        <f t="shared" si="40"/>
        <v>436561</v>
      </c>
      <c r="AM33" s="634">
        <f t="shared" si="13"/>
        <v>863437</v>
      </c>
      <c r="AN33" s="634">
        <f t="shared" si="23"/>
        <v>0</v>
      </c>
    </row>
    <row r="34" spans="1:40">
      <c r="AK34" s="612"/>
      <c r="AL34" s="613"/>
      <c r="AM34" s="613"/>
      <c r="AN34" s="613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topLeftCell="E1" zoomScale="90" zoomScaleNormal="90" workbookViewId="0">
      <pane ySplit="1" topLeftCell="A3" activePane="bottomLeft" state="frozen"/>
      <selection activeCell="K1" sqref="K1"/>
      <selection pane="bottomLeft" activeCell="AD25" sqref="AD2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30.75" thickBot="1">
      <c r="F1" s="658" t="s">
        <v>2</v>
      </c>
      <c r="G1" s="659"/>
      <c r="H1" s="659"/>
      <c r="I1" s="660"/>
      <c r="J1" s="281">
        <f>J35</f>
        <v>62.136363636363633</v>
      </c>
      <c r="K1" s="661" t="s">
        <v>4</v>
      </c>
      <c r="L1" s="662"/>
      <c r="M1" s="662"/>
      <c r="N1" s="662"/>
      <c r="O1" s="663"/>
      <c r="P1" s="652" t="s">
        <v>6</v>
      </c>
      <c r="Q1" s="653"/>
      <c r="R1" s="653"/>
      <c r="S1" s="653"/>
      <c r="T1" s="654"/>
      <c r="U1" s="395"/>
      <c r="V1" s="27" t="s">
        <v>104</v>
      </c>
      <c r="W1" s="396"/>
      <c r="X1" s="652" t="s">
        <v>8</v>
      </c>
      <c r="Y1" s="653"/>
      <c r="Z1" s="653"/>
      <c r="AA1" s="653"/>
      <c r="AB1" s="653"/>
      <c r="AC1" s="655" t="s">
        <v>10</v>
      </c>
      <c r="AD1" s="656"/>
      <c r="AE1" s="656"/>
      <c r="AF1" s="657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0"/>
      <c r="R2" s="651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v>216</v>
      </c>
      <c r="C12" s="577">
        <v>223</v>
      </c>
      <c r="D12" s="45">
        <f t="shared" si="32"/>
        <v>11</v>
      </c>
      <c r="E12" s="45">
        <f t="shared" si="13"/>
        <v>92.18</v>
      </c>
      <c r="F12" s="577">
        <v>1845</v>
      </c>
      <c r="G12" s="52">
        <f t="shared" si="0"/>
        <v>1</v>
      </c>
      <c r="H12" s="577">
        <v>13720</v>
      </c>
      <c r="I12" s="394">
        <f t="shared" si="1"/>
        <v>56</v>
      </c>
      <c r="J12" s="66">
        <f t="shared" si="14"/>
        <v>56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v>2101</v>
      </c>
      <c r="Q12" s="577">
        <v>176637</v>
      </c>
      <c r="R12" s="393">
        <f t="shared" si="44"/>
        <v>102</v>
      </c>
      <c r="S12" s="52">
        <f t="shared" si="5"/>
        <v>1</v>
      </c>
      <c r="T12" s="67">
        <f t="shared" si="35"/>
        <v>0</v>
      </c>
      <c r="U12" s="400">
        <f t="shared" si="18"/>
        <v>2</v>
      </c>
      <c r="V12" s="62">
        <f t="shared" si="19"/>
        <v>158</v>
      </c>
      <c r="W12" s="398">
        <f t="shared" si="20"/>
        <v>79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158</v>
      </c>
      <c r="AJ12" s="316">
        <f>-tanks!AW13</f>
        <v>158</v>
      </c>
      <c r="AK12" s="316">
        <f t="shared" si="27"/>
        <v>0</v>
      </c>
      <c r="AL12" s="316">
        <f t="shared" si="9"/>
        <v>2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v>200</v>
      </c>
      <c r="C13" s="577">
        <v>208</v>
      </c>
      <c r="D13" s="45">
        <f t="shared" si="32"/>
        <v>15</v>
      </c>
      <c r="E13" s="45">
        <f t="shared" si="13"/>
        <v>125.70000000000002</v>
      </c>
      <c r="F13" s="577">
        <f t="shared" si="42"/>
        <v>1845</v>
      </c>
      <c r="G13" s="52">
        <f t="shared" si="0"/>
        <v>0</v>
      </c>
      <c r="H13" s="577">
        <f t="shared" si="43"/>
        <v>13720</v>
      </c>
      <c r="I13" s="394">
        <f t="shared" si="1"/>
        <v>0</v>
      </c>
      <c r="J13" s="66">
        <f t="shared" si="14"/>
        <v>0</v>
      </c>
      <c r="K13" s="577">
        <v>2334</v>
      </c>
      <c r="L13" s="52">
        <f t="shared" si="16"/>
        <v>1</v>
      </c>
      <c r="M13" s="577">
        <v>172161</v>
      </c>
      <c r="N13" s="394">
        <f t="shared" si="2"/>
        <v>110</v>
      </c>
      <c r="O13" s="64">
        <f t="shared" si="3"/>
        <v>1869</v>
      </c>
      <c r="P13" s="577">
        <f t="shared" si="33"/>
        <v>2101</v>
      </c>
      <c r="Q13" s="577">
        <f t="shared" si="34"/>
        <v>176637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1</v>
      </c>
      <c r="V13" s="62">
        <f>R13+N13+I13:I13</f>
        <v>110</v>
      </c>
      <c r="W13" s="398">
        <f t="shared" si="20"/>
        <v>110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110</v>
      </c>
      <c r="AJ13" s="316">
        <f>-tanks!AW14</f>
        <v>110</v>
      </c>
      <c r="AK13" s="316">
        <f t="shared" si="27"/>
        <v>0</v>
      </c>
      <c r="AL13" s="316">
        <f t="shared" si="9"/>
        <v>1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v>246</v>
      </c>
      <c r="C14" s="577">
        <v>251</v>
      </c>
      <c r="D14" s="45">
        <f t="shared" si="32"/>
        <v>-43</v>
      </c>
      <c r="E14" s="45">
        <f t="shared" si="13"/>
        <v>-360.34000000000003</v>
      </c>
      <c r="F14" s="577">
        <f t="shared" si="42"/>
        <v>1845</v>
      </c>
      <c r="G14" s="52">
        <f t="shared" si="0"/>
        <v>0</v>
      </c>
      <c r="H14" s="577">
        <f t="shared" si="43"/>
        <v>13720</v>
      </c>
      <c r="I14" s="394">
        <f t="shared" si="1"/>
        <v>0</v>
      </c>
      <c r="J14" s="66">
        <f t="shared" si="14"/>
        <v>0</v>
      </c>
      <c r="K14" s="577">
        <v>2335</v>
      </c>
      <c r="L14" s="52">
        <f t="shared" si="16"/>
        <v>1</v>
      </c>
      <c r="M14" s="577">
        <v>172230</v>
      </c>
      <c r="N14" s="394">
        <f t="shared" si="2"/>
        <v>69</v>
      </c>
      <c r="O14" s="64">
        <f t="shared" si="3"/>
        <v>1869</v>
      </c>
      <c r="P14" s="577">
        <v>2102</v>
      </c>
      <c r="Q14" s="577">
        <v>176683</v>
      </c>
      <c r="R14" s="393">
        <f t="shared" si="44"/>
        <v>46</v>
      </c>
      <c r="S14" s="52">
        <f t="shared" si="5"/>
        <v>1</v>
      </c>
      <c r="T14" s="67">
        <f t="shared" si="35"/>
        <v>0</v>
      </c>
      <c r="U14" s="400">
        <f t="shared" si="18"/>
        <v>2</v>
      </c>
      <c r="V14" s="62">
        <f t="shared" si="19"/>
        <v>115</v>
      </c>
      <c r="W14" s="398">
        <f t="shared" si="20"/>
        <v>57.5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115</v>
      </c>
      <c r="AJ14" s="316">
        <f>-tanks!AW15</f>
        <v>115</v>
      </c>
      <c r="AK14" s="316">
        <f t="shared" si="27"/>
        <v>0</v>
      </c>
      <c r="AL14" s="316">
        <f t="shared" si="9"/>
        <v>2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v>229</v>
      </c>
      <c r="C15" s="577">
        <v>236</v>
      </c>
      <c r="D15" s="45">
        <f t="shared" si="32"/>
        <v>15</v>
      </c>
      <c r="E15" s="45">
        <f t="shared" si="13"/>
        <v>125.70000000000002</v>
      </c>
      <c r="F15" s="577">
        <v>1846</v>
      </c>
      <c r="G15" s="52">
        <f t="shared" si="0"/>
        <v>1</v>
      </c>
      <c r="H15" s="577">
        <v>13830</v>
      </c>
      <c r="I15" s="394">
        <f t="shared" si="1"/>
        <v>110</v>
      </c>
      <c r="J15" s="66">
        <f t="shared" si="14"/>
        <v>110</v>
      </c>
      <c r="K15" s="577">
        <f t="shared" si="15"/>
        <v>2335</v>
      </c>
      <c r="L15" s="52">
        <f t="shared" si="16"/>
        <v>0</v>
      </c>
      <c r="M15" s="577">
        <f t="shared" si="17"/>
        <v>172230</v>
      </c>
      <c r="N15" s="394">
        <f t="shared" si="2"/>
        <v>0</v>
      </c>
      <c r="O15" s="64">
        <f t="shared" si="3"/>
        <v>1869</v>
      </c>
      <c r="P15" s="577">
        <f t="shared" si="33"/>
        <v>2102</v>
      </c>
      <c r="Q15" s="577">
        <v>176708</v>
      </c>
      <c r="R15" s="393">
        <f t="shared" si="44"/>
        <v>25</v>
      </c>
      <c r="S15" s="52">
        <f t="shared" si="5"/>
        <v>0</v>
      </c>
      <c r="T15" s="67">
        <f t="shared" si="35"/>
        <v>0</v>
      </c>
      <c r="U15" s="400">
        <f t="shared" si="18"/>
        <v>1</v>
      </c>
      <c r="V15" s="62">
        <f t="shared" si="19"/>
        <v>135</v>
      </c>
      <c r="W15" s="398">
        <f t="shared" si="20"/>
        <v>135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135</v>
      </c>
      <c r="AJ15" s="316">
        <f>-tanks!AW16</f>
        <v>135</v>
      </c>
      <c r="AK15" s="316">
        <f t="shared" si="27"/>
        <v>0</v>
      </c>
      <c r="AL15" s="316">
        <f t="shared" si="9"/>
        <v>1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v>219</v>
      </c>
      <c r="C16" s="577">
        <v>225</v>
      </c>
      <c r="D16" s="45">
        <f t="shared" si="32"/>
        <v>11</v>
      </c>
      <c r="E16" s="45">
        <f t="shared" si="13"/>
        <v>92.18</v>
      </c>
      <c r="F16" s="577">
        <v>1847</v>
      </c>
      <c r="G16" s="52">
        <f t="shared" si="0"/>
        <v>1</v>
      </c>
      <c r="H16" s="577">
        <v>13919</v>
      </c>
      <c r="I16" s="394">
        <f t="shared" si="1"/>
        <v>89</v>
      </c>
      <c r="J16" s="66">
        <f t="shared" si="14"/>
        <v>89</v>
      </c>
      <c r="K16" s="577">
        <v>2336</v>
      </c>
      <c r="L16" s="52">
        <f t="shared" si="16"/>
        <v>1</v>
      </c>
      <c r="M16" s="577">
        <v>172287</v>
      </c>
      <c r="N16" s="394">
        <f t="shared" si="2"/>
        <v>57</v>
      </c>
      <c r="O16" s="64">
        <f t="shared" si="3"/>
        <v>1869</v>
      </c>
      <c r="P16" s="577">
        <f t="shared" si="33"/>
        <v>2102</v>
      </c>
      <c r="Q16" s="577">
        <f t="shared" si="34"/>
        <v>176708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2</v>
      </c>
      <c r="V16" s="62">
        <f t="shared" si="19"/>
        <v>146</v>
      </c>
      <c r="W16" s="398">
        <f t="shared" si="20"/>
        <v>73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v>365755</v>
      </c>
      <c r="AF16" s="305">
        <f t="shared" si="25"/>
        <v>54</v>
      </c>
      <c r="AG16" s="209">
        <f t="shared" si="37"/>
        <v>0</v>
      </c>
      <c r="AH16" s="62">
        <f t="shared" si="38"/>
        <v>54</v>
      </c>
      <c r="AI16" s="316">
        <f t="shared" si="26"/>
        <v>200</v>
      </c>
      <c r="AJ16" s="316">
        <f>-tanks!AW17</f>
        <v>200</v>
      </c>
      <c r="AK16" s="316">
        <f t="shared" si="27"/>
        <v>0</v>
      </c>
      <c r="AL16" s="316">
        <f t="shared" si="9"/>
        <v>2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v>204</v>
      </c>
      <c r="C17" s="577">
        <v>211</v>
      </c>
      <c r="D17" s="45">
        <f t="shared" si="32"/>
        <v>14</v>
      </c>
      <c r="E17" s="45">
        <f t="shared" si="13"/>
        <v>117.32000000000001</v>
      </c>
      <c r="F17" s="577">
        <f t="shared" si="42"/>
        <v>1847</v>
      </c>
      <c r="G17" s="52">
        <f t="shared" si="0"/>
        <v>0</v>
      </c>
      <c r="H17" s="577">
        <f t="shared" si="43"/>
        <v>13919</v>
      </c>
      <c r="I17" s="394">
        <f t="shared" si="1"/>
        <v>0</v>
      </c>
      <c r="J17" s="66">
        <f t="shared" si="14"/>
        <v>0</v>
      </c>
      <c r="K17" s="577">
        <f t="shared" si="15"/>
        <v>2336</v>
      </c>
      <c r="L17" s="52">
        <f t="shared" si="16"/>
        <v>0</v>
      </c>
      <c r="M17" s="577">
        <f t="shared" si="17"/>
        <v>172287</v>
      </c>
      <c r="N17" s="394">
        <f t="shared" si="2"/>
        <v>0</v>
      </c>
      <c r="O17" s="64">
        <f t="shared" si="3"/>
        <v>1869</v>
      </c>
      <c r="P17" s="577">
        <v>2103</v>
      </c>
      <c r="Q17" s="577">
        <v>176756</v>
      </c>
      <c r="R17" s="393">
        <f t="shared" si="44"/>
        <v>48</v>
      </c>
      <c r="S17" s="52">
        <f t="shared" si="5"/>
        <v>1</v>
      </c>
      <c r="T17" s="67">
        <f t="shared" si="35"/>
        <v>0</v>
      </c>
      <c r="U17" s="400">
        <f t="shared" si="18"/>
        <v>1</v>
      </c>
      <c r="V17" s="62">
        <f t="shared" si="19"/>
        <v>48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365755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48</v>
      </c>
      <c r="AJ17" s="316">
        <f>-tanks!AW18</f>
        <v>48</v>
      </c>
      <c r="AK17" s="316">
        <f t="shared" si="27"/>
        <v>0</v>
      </c>
      <c r="AL17" s="316">
        <f t="shared" si="9"/>
        <v>1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v>193</v>
      </c>
      <c r="C18" s="577">
        <v>199</v>
      </c>
      <c r="D18" s="45">
        <f t="shared" si="32"/>
        <v>12</v>
      </c>
      <c r="E18" s="45">
        <f t="shared" si="13"/>
        <v>100.56</v>
      </c>
      <c r="F18" s="577">
        <v>1848</v>
      </c>
      <c r="G18" s="52">
        <f t="shared" si="0"/>
        <v>1</v>
      </c>
      <c r="H18" s="577">
        <v>13976</v>
      </c>
      <c r="I18" s="394">
        <f t="shared" si="1"/>
        <v>57</v>
      </c>
      <c r="J18" s="66">
        <f t="shared" si="14"/>
        <v>57</v>
      </c>
      <c r="K18" s="577">
        <f t="shared" si="15"/>
        <v>2336</v>
      </c>
      <c r="L18" s="52">
        <f t="shared" si="16"/>
        <v>0</v>
      </c>
      <c r="M18" s="577">
        <f t="shared" si="17"/>
        <v>172287</v>
      </c>
      <c r="N18" s="394">
        <f t="shared" si="2"/>
        <v>0</v>
      </c>
      <c r="O18" s="64">
        <v>1869</v>
      </c>
      <c r="P18" s="577">
        <f t="shared" si="33"/>
        <v>2103</v>
      </c>
      <c r="Q18" s="577">
        <f t="shared" si="34"/>
        <v>176756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1</v>
      </c>
      <c r="V18" s="62">
        <f t="shared" si="19"/>
        <v>57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5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365755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57</v>
      </c>
      <c r="AJ18" s="316">
        <f>-tanks!AW19</f>
        <v>57</v>
      </c>
      <c r="AK18" s="316">
        <f t="shared" si="27"/>
        <v>0</v>
      </c>
      <c r="AL18" s="316">
        <f t="shared" si="9"/>
        <v>1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v>225</v>
      </c>
      <c r="C19" s="577">
        <v>231</v>
      </c>
      <c r="D19" s="45">
        <f t="shared" si="32"/>
        <v>-32</v>
      </c>
      <c r="E19" s="45">
        <f t="shared" si="13"/>
        <v>-268.16000000000003</v>
      </c>
      <c r="F19" s="577">
        <v>1850</v>
      </c>
      <c r="G19" s="52">
        <f t="shared" si="0"/>
        <v>2</v>
      </c>
      <c r="H19" s="577">
        <v>14077</v>
      </c>
      <c r="I19" s="394">
        <f t="shared" si="1"/>
        <v>101</v>
      </c>
      <c r="J19" s="66">
        <f t="shared" si="14"/>
        <v>50.5</v>
      </c>
      <c r="K19" s="577">
        <v>2337</v>
      </c>
      <c r="L19" s="52">
        <f t="shared" si="16"/>
        <v>1</v>
      </c>
      <c r="M19" s="577">
        <v>172370</v>
      </c>
      <c r="N19" s="394">
        <f t="shared" si="2"/>
        <v>83</v>
      </c>
      <c r="O19" s="64">
        <f t="shared" ref="O19:O34" si="46">O18</f>
        <v>1869</v>
      </c>
      <c r="P19" s="577">
        <f t="shared" si="33"/>
        <v>2103</v>
      </c>
      <c r="Q19" s="577">
        <f t="shared" si="34"/>
        <v>176756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3</v>
      </c>
      <c r="V19" s="62">
        <f t="shared" si="19"/>
        <v>184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5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365755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184</v>
      </c>
      <c r="AJ19" s="316">
        <f>-tanks!AW20</f>
        <v>184</v>
      </c>
      <c r="AK19" s="316">
        <f t="shared" si="27"/>
        <v>0</v>
      </c>
      <c r="AL19" s="316">
        <f t="shared" si="9"/>
        <v>3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v>213</v>
      </c>
      <c r="C20" s="577">
        <v>219</v>
      </c>
      <c r="D20" s="45">
        <f>C19-C20</f>
        <v>12</v>
      </c>
      <c r="E20" s="45">
        <f t="shared" si="13"/>
        <v>100.56</v>
      </c>
      <c r="F20" s="577">
        <f t="shared" si="42"/>
        <v>1850</v>
      </c>
      <c r="G20" s="52">
        <f t="shared" si="0"/>
        <v>0</v>
      </c>
      <c r="H20" s="577">
        <f t="shared" si="43"/>
        <v>14077</v>
      </c>
      <c r="I20" s="394">
        <f t="shared" si="1"/>
        <v>0</v>
      </c>
      <c r="J20" s="66">
        <f t="shared" si="14"/>
        <v>0</v>
      </c>
      <c r="K20" s="577">
        <f t="shared" si="15"/>
        <v>2337</v>
      </c>
      <c r="L20" s="52">
        <f t="shared" si="16"/>
        <v>0</v>
      </c>
      <c r="M20" s="577">
        <f t="shared" si="17"/>
        <v>172370</v>
      </c>
      <c r="N20" s="394">
        <f t="shared" si="2"/>
        <v>0</v>
      </c>
      <c r="O20" s="64">
        <f t="shared" si="46"/>
        <v>1869</v>
      </c>
      <c r="P20" s="577">
        <v>2104</v>
      </c>
      <c r="Q20" s="577">
        <v>176838</v>
      </c>
      <c r="R20" s="393">
        <f t="shared" si="44"/>
        <v>82</v>
      </c>
      <c r="S20" s="52">
        <f t="shared" si="5"/>
        <v>1</v>
      </c>
      <c r="T20" s="67">
        <f t="shared" si="35"/>
        <v>0</v>
      </c>
      <c r="U20" s="400">
        <f t="shared" si="18"/>
        <v>1</v>
      </c>
      <c r="V20" s="62">
        <f t="shared" si="19"/>
        <v>82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5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365755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82</v>
      </c>
      <c r="AJ20" s="316">
        <f>-tanks!AW21</f>
        <v>82</v>
      </c>
      <c r="AK20" s="316">
        <f t="shared" si="27"/>
        <v>0</v>
      </c>
      <c r="AL20" s="316">
        <f t="shared" si="9"/>
        <v>1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v>199</v>
      </c>
      <c r="C21" s="577">
        <v>206</v>
      </c>
      <c r="D21" s="45">
        <f t="shared" ref="D21:D32" si="47">C20-C21</f>
        <v>13</v>
      </c>
      <c r="E21" s="45">
        <f t="shared" si="13"/>
        <v>108.94000000000001</v>
      </c>
      <c r="F21" s="577">
        <f t="shared" si="42"/>
        <v>1850</v>
      </c>
      <c r="G21" s="52">
        <f t="shared" si="0"/>
        <v>0</v>
      </c>
      <c r="H21" s="577">
        <v>14125</v>
      </c>
      <c r="I21" s="394">
        <f t="shared" si="1"/>
        <v>48</v>
      </c>
      <c r="J21" s="66">
        <f t="shared" si="14"/>
        <v>0</v>
      </c>
      <c r="K21" s="577">
        <f t="shared" si="15"/>
        <v>2337</v>
      </c>
      <c r="L21" s="52">
        <f t="shared" si="16"/>
        <v>0</v>
      </c>
      <c r="M21" s="577">
        <f t="shared" si="17"/>
        <v>172370</v>
      </c>
      <c r="N21" s="394">
        <f t="shared" si="2"/>
        <v>0</v>
      </c>
      <c r="O21" s="64">
        <f t="shared" si="46"/>
        <v>1869</v>
      </c>
      <c r="P21" s="577">
        <v>2105</v>
      </c>
      <c r="Q21" s="577">
        <v>176929</v>
      </c>
      <c r="R21" s="393">
        <f t="shared" si="44"/>
        <v>91</v>
      </c>
      <c r="S21" s="52">
        <f t="shared" si="5"/>
        <v>1</v>
      </c>
      <c r="T21" s="67">
        <f t="shared" si="35"/>
        <v>0</v>
      </c>
      <c r="U21" s="400">
        <f t="shared" si="18"/>
        <v>1</v>
      </c>
      <c r="V21" s="62">
        <f t="shared" si="19"/>
        <v>139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5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365755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139</v>
      </c>
      <c r="AJ21" s="316">
        <f>-tanks!AW22</f>
        <v>139</v>
      </c>
      <c r="AK21" s="316">
        <f t="shared" si="27"/>
        <v>0</v>
      </c>
      <c r="AL21" s="316">
        <f t="shared" si="9"/>
        <v>1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v>186</v>
      </c>
      <c r="C22" s="577">
        <v>192</v>
      </c>
      <c r="D22" s="45">
        <f t="shared" si="47"/>
        <v>14</v>
      </c>
      <c r="E22" s="45">
        <f t="shared" si="13"/>
        <v>117.32000000000001</v>
      </c>
      <c r="F22" s="577">
        <f t="shared" si="42"/>
        <v>1850</v>
      </c>
      <c r="G22" s="52">
        <f t="shared" si="0"/>
        <v>0</v>
      </c>
      <c r="H22" s="577">
        <f t="shared" si="43"/>
        <v>14125</v>
      </c>
      <c r="I22" s="394">
        <f t="shared" si="1"/>
        <v>0</v>
      </c>
      <c r="J22" s="66">
        <f t="shared" si="14"/>
        <v>0</v>
      </c>
      <c r="K22" s="577">
        <v>2338</v>
      </c>
      <c r="L22" s="52">
        <f t="shared" si="16"/>
        <v>1</v>
      </c>
      <c r="M22" s="577">
        <v>172499</v>
      </c>
      <c r="N22" s="394">
        <f t="shared" si="2"/>
        <v>129</v>
      </c>
      <c r="O22" s="64">
        <f t="shared" si="46"/>
        <v>1869</v>
      </c>
      <c r="P22" s="577">
        <f t="shared" si="33"/>
        <v>2105</v>
      </c>
      <c r="Q22" s="577">
        <f t="shared" si="34"/>
        <v>176929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1</v>
      </c>
      <c r="V22" s="62">
        <f t="shared" si="19"/>
        <v>129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5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365755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129</v>
      </c>
      <c r="AJ22" s="316">
        <f>-tanks!AW23</f>
        <v>129</v>
      </c>
      <c r="AK22" s="316">
        <f t="shared" si="27"/>
        <v>0</v>
      </c>
      <c r="AL22" s="316">
        <f t="shared" si="9"/>
        <v>1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v>191.5</v>
      </c>
      <c r="C23" s="577">
        <v>199</v>
      </c>
      <c r="D23" s="45">
        <f t="shared" si="47"/>
        <v>-7</v>
      </c>
      <c r="E23" s="45">
        <f t="shared" si="13"/>
        <v>-58.660000000000004</v>
      </c>
      <c r="F23" s="577">
        <f t="shared" si="42"/>
        <v>1850</v>
      </c>
      <c r="G23" s="52">
        <f t="shared" si="0"/>
        <v>0</v>
      </c>
      <c r="H23" s="577">
        <f t="shared" si="43"/>
        <v>14125</v>
      </c>
      <c r="I23" s="394">
        <f t="shared" si="1"/>
        <v>0</v>
      </c>
      <c r="J23" s="66">
        <f t="shared" si="14"/>
        <v>0</v>
      </c>
      <c r="K23" s="577">
        <v>2339</v>
      </c>
      <c r="L23" s="52">
        <f t="shared" si="16"/>
        <v>1</v>
      </c>
      <c r="M23" s="577">
        <v>172553</v>
      </c>
      <c r="N23" s="394">
        <f t="shared" si="2"/>
        <v>54</v>
      </c>
      <c r="O23" s="64">
        <f t="shared" si="46"/>
        <v>1869</v>
      </c>
      <c r="P23" s="577">
        <v>2106</v>
      </c>
      <c r="Q23" s="577">
        <v>176975</v>
      </c>
      <c r="R23" s="393">
        <f t="shared" si="44"/>
        <v>46</v>
      </c>
      <c r="S23" s="52">
        <f t="shared" si="5"/>
        <v>1</v>
      </c>
      <c r="T23" s="67">
        <f t="shared" si="35"/>
        <v>0</v>
      </c>
      <c r="U23" s="400">
        <f t="shared" si="18"/>
        <v>2</v>
      </c>
      <c r="V23" s="62">
        <f t="shared" si="19"/>
        <v>100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5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365755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100</v>
      </c>
      <c r="AJ23" s="316">
        <f>-tanks!AW24</f>
        <v>100</v>
      </c>
      <c r="AK23" s="316">
        <f>SUM(AJ23-AI23)</f>
        <v>0</v>
      </c>
      <c r="AL23" s="316">
        <f>S23+L23+G23</f>
        <v>2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v>179</v>
      </c>
      <c r="C24" s="577">
        <v>186</v>
      </c>
      <c r="D24" s="45">
        <f t="shared" si="47"/>
        <v>13</v>
      </c>
      <c r="E24" s="45">
        <f t="shared" si="13"/>
        <v>108.94000000000001</v>
      </c>
      <c r="F24" s="577">
        <v>1851</v>
      </c>
      <c r="G24" s="52">
        <f t="shared" si="0"/>
        <v>1</v>
      </c>
      <c r="H24" s="577">
        <v>14205</v>
      </c>
      <c r="I24" s="394">
        <f t="shared" si="1"/>
        <v>80</v>
      </c>
      <c r="J24" s="66">
        <f t="shared" si="14"/>
        <v>80</v>
      </c>
      <c r="K24" s="577">
        <v>2339</v>
      </c>
      <c r="L24" s="52">
        <f t="shared" si="16"/>
        <v>0</v>
      </c>
      <c r="M24" s="577">
        <f t="shared" si="17"/>
        <v>172553</v>
      </c>
      <c r="N24" s="394">
        <f t="shared" si="2"/>
        <v>0</v>
      </c>
      <c r="O24" s="64">
        <f t="shared" si="46"/>
        <v>1869</v>
      </c>
      <c r="P24" s="577">
        <f t="shared" si="33"/>
        <v>2106</v>
      </c>
      <c r="Q24" s="577">
        <v>176999</v>
      </c>
      <c r="R24" s="393">
        <f t="shared" si="44"/>
        <v>24</v>
      </c>
      <c r="S24" s="52">
        <f t="shared" si="5"/>
        <v>0</v>
      </c>
      <c r="T24" s="67">
        <f t="shared" si="35"/>
        <v>0</v>
      </c>
      <c r="U24" s="400">
        <f t="shared" si="18"/>
        <v>1</v>
      </c>
      <c r="V24" s="62">
        <f t="shared" si="19"/>
        <v>104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48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365755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104</v>
      </c>
      <c r="AJ24" s="316">
        <f>-tanks!AW25</f>
        <v>104</v>
      </c>
      <c r="AK24" s="316">
        <f t="shared" si="27"/>
        <v>0</v>
      </c>
      <c r="AL24" s="316">
        <f t="shared" si="9"/>
        <v>1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49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v>209</v>
      </c>
      <c r="C25" s="577">
        <v>216</v>
      </c>
      <c r="D25" s="45">
        <f t="shared" si="47"/>
        <v>-30</v>
      </c>
      <c r="E25" s="45">
        <f t="shared" si="13"/>
        <v>-251.40000000000003</v>
      </c>
      <c r="F25" s="577">
        <v>1852</v>
      </c>
      <c r="G25" s="52">
        <f t="shared" si="0"/>
        <v>1</v>
      </c>
      <c r="H25" s="577">
        <v>14235</v>
      </c>
      <c r="I25" s="394">
        <f t="shared" si="1"/>
        <v>30</v>
      </c>
      <c r="J25" s="66">
        <f t="shared" si="14"/>
        <v>30</v>
      </c>
      <c r="K25" s="577">
        <v>2340</v>
      </c>
      <c r="L25" s="52">
        <f t="shared" si="16"/>
        <v>1</v>
      </c>
      <c r="M25" s="577">
        <v>172620</v>
      </c>
      <c r="N25" s="394">
        <f t="shared" si="2"/>
        <v>67</v>
      </c>
      <c r="O25" s="64">
        <f t="shared" si="46"/>
        <v>1869</v>
      </c>
      <c r="P25" s="577">
        <f t="shared" si="33"/>
        <v>2106</v>
      </c>
      <c r="Q25" s="577">
        <f t="shared" si="34"/>
        <v>176999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2</v>
      </c>
      <c r="V25" s="62">
        <f t="shared" si="19"/>
        <v>97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48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365755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97</v>
      </c>
      <c r="AJ25" s="316">
        <f>-tanks!AW26</f>
        <v>97</v>
      </c>
      <c r="AK25" s="316">
        <f t="shared" si="27"/>
        <v>0</v>
      </c>
      <c r="AL25" s="316">
        <f t="shared" si="9"/>
        <v>2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0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49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f t="shared" ref="B26:B34" si="51">B25</f>
        <v>209</v>
      </c>
      <c r="C26" s="577">
        <f t="shared" ref="C26:C34" si="52">C25</f>
        <v>216</v>
      </c>
      <c r="D26" s="45">
        <f t="shared" si="47"/>
        <v>0</v>
      </c>
      <c r="E26" s="45">
        <f t="shared" si="13"/>
        <v>0</v>
      </c>
      <c r="F26" s="577">
        <f t="shared" si="42"/>
        <v>1852</v>
      </c>
      <c r="G26" s="52">
        <f t="shared" si="0"/>
        <v>0</v>
      </c>
      <c r="H26" s="577">
        <f t="shared" si="43"/>
        <v>14235</v>
      </c>
      <c r="I26" s="394">
        <f t="shared" si="1"/>
        <v>0</v>
      </c>
      <c r="J26" s="66">
        <f t="shared" si="14"/>
        <v>0</v>
      </c>
      <c r="K26" s="577">
        <f t="shared" si="15"/>
        <v>2340</v>
      </c>
      <c r="L26" s="52">
        <f t="shared" si="16"/>
        <v>0</v>
      </c>
      <c r="M26" s="577">
        <f t="shared" si="17"/>
        <v>172620</v>
      </c>
      <c r="N26" s="394">
        <f t="shared" si="2"/>
        <v>0</v>
      </c>
      <c r="O26" s="64">
        <f t="shared" si="46"/>
        <v>1869</v>
      </c>
      <c r="P26" s="577">
        <f t="shared" si="33"/>
        <v>2106</v>
      </c>
      <c r="Q26" s="577">
        <f t="shared" si="34"/>
        <v>176999</v>
      </c>
      <c r="R26" s="393">
        <f t="shared" si="44"/>
        <v>0</v>
      </c>
      <c r="S26" s="52">
        <f t="shared" si="5"/>
        <v>0</v>
      </c>
      <c r="T26" s="67">
        <f t="shared" si="35"/>
        <v>0</v>
      </c>
      <c r="U26" s="400">
        <f t="shared" si="18"/>
        <v>0</v>
      </c>
      <c r="V26" s="62">
        <f t="shared" si="19"/>
        <v>0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48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365755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0</v>
      </c>
      <c r="AJ26" s="316">
        <f>-tanks!AW27</f>
        <v>0</v>
      </c>
      <c r="AK26" s="316">
        <f t="shared" si="27"/>
        <v>0</v>
      </c>
      <c r="AL26" s="316">
        <f t="shared" si="9"/>
        <v>0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0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49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f t="shared" si="51"/>
        <v>209</v>
      </c>
      <c r="C27" s="577">
        <f t="shared" si="52"/>
        <v>216</v>
      </c>
      <c r="D27" s="45">
        <f t="shared" si="47"/>
        <v>0</v>
      </c>
      <c r="E27" s="45">
        <f t="shared" si="13"/>
        <v>0</v>
      </c>
      <c r="F27" s="577">
        <f t="shared" si="42"/>
        <v>1852</v>
      </c>
      <c r="G27" s="52">
        <f t="shared" si="0"/>
        <v>0</v>
      </c>
      <c r="H27" s="577">
        <f t="shared" si="43"/>
        <v>14235</v>
      </c>
      <c r="I27" s="394">
        <f t="shared" si="1"/>
        <v>0</v>
      </c>
      <c r="J27" s="66">
        <f t="shared" si="14"/>
        <v>0</v>
      </c>
      <c r="K27" s="577">
        <f t="shared" si="15"/>
        <v>2340</v>
      </c>
      <c r="L27" s="52">
        <f t="shared" si="16"/>
        <v>0</v>
      </c>
      <c r="M27" s="577">
        <f t="shared" si="17"/>
        <v>172620</v>
      </c>
      <c r="N27" s="394">
        <f t="shared" si="2"/>
        <v>0</v>
      </c>
      <c r="O27" s="64">
        <f t="shared" si="46"/>
        <v>1869</v>
      </c>
      <c r="P27" s="577">
        <f t="shared" si="33"/>
        <v>2106</v>
      </c>
      <c r="Q27" s="577">
        <f t="shared" si="34"/>
        <v>176999</v>
      </c>
      <c r="R27" s="393">
        <f t="shared" si="44"/>
        <v>0</v>
      </c>
      <c r="S27" s="52">
        <f t="shared" si="5"/>
        <v>0</v>
      </c>
      <c r="T27" s="67">
        <f t="shared" si="35"/>
        <v>0</v>
      </c>
      <c r="U27" s="400">
        <f t="shared" si="18"/>
        <v>0</v>
      </c>
      <c r="V27" s="62">
        <f t="shared" si="19"/>
        <v>0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48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365755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0</v>
      </c>
      <c r="AJ27" s="316">
        <f>-tanks!AW28</f>
        <v>0</v>
      </c>
      <c r="AK27" s="316">
        <f t="shared" si="27"/>
        <v>0</v>
      </c>
      <c r="AL27" s="316">
        <f t="shared" si="9"/>
        <v>0</v>
      </c>
      <c r="AM27" s="316">
        <f t="shared" si="28"/>
        <v>0</v>
      </c>
      <c r="AN27" s="577">
        <f t="shared" si="10"/>
        <v>67</v>
      </c>
      <c r="AO27" s="318">
        <f t="shared" ref="AO27:AO34" si="53">(AN27/100)*3000</f>
        <v>2010.0000000000002</v>
      </c>
      <c r="AP27" s="577">
        <f t="shared" si="11"/>
        <v>55</v>
      </c>
      <c r="AQ27" s="318">
        <f t="shared" si="50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49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f t="shared" si="51"/>
        <v>209</v>
      </c>
      <c r="C28" s="577">
        <f t="shared" si="52"/>
        <v>216</v>
      </c>
      <c r="D28" s="45">
        <f t="shared" si="47"/>
        <v>0</v>
      </c>
      <c r="E28" s="45">
        <f t="shared" si="13"/>
        <v>0</v>
      </c>
      <c r="F28" s="577">
        <f t="shared" si="42"/>
        <v>1852</v>
      </c>
      <c r="G28" s="52">
        <f t="shared" si="0"/>
        <v>0</v>
      </c>
      <c r="H28" s="577">
        <f t="shared" si="43"/>
        <v>14235</v>
      </c>
      <c r="I28" s="394">
        <f t="shared" si="1"/>
        <v>0</v>
      </c>
      <c r="J28" s="66">
        <f t="shared" si="14"/>
        <v>0</v>
      </c>
      <c r="K28" s="577">
        <f t="shared" si="15"/>
        <v>2340</v>
      </c>
      <c r="L28" s="52">
        <f t="shared" si="16"/>
        <v>0</v>
      </c>
      <c r="M28" s="577">
        <f t="shared" si="17"/>
        <v>172620</v>
      </c>
      <c r="N28" s="394">
        <f t="shared" si="2"/>
        <v>0</v>
      </c>
      <c r="O28" s="64">
        <f t="shared" si="46"/>
        <v>1869</v>
      </c>
      <c r="P28" s="577">
        <f t="shared" si="33"/>
        <v>2106</v>
      </c>
      <c r="Q28" s="577">
        <f t="shared" si="34"/>
        <v>176999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0</v>
      </c>
      <c r="V28" s="62">
        <f t="shared" si="19"/>
        <v>0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48"/>
        <v>0</v>
      </c>
      <c r="AC28" s="577">
        <f t="shared" si="7"/>
        <v>1938</v>
      </c>
      <c r="AD28" s="45">
        <f t="shared" si="8"/>
        <v>0</v>
      </c>
      <c r="AE28" s="577">
        <f t="shared" si="24"/>
        <v>365755</v>
      </c>
      <c r="AF28" s="305">
        <f t="shared" si="25"/>
        <v>0</v>
      </c>
      <c r="AG28" s="209">
        <f t="shared" si="37"/>
        <v>0</v>
      </c>
      <c r="AH28" s="62">
        <f t="shared" si="38"/>
        <v>0</v>
      </c>
      <c r="AI28" s="316">
        <f t="shared" si="26"/>
        <v>0</v>
      </c>
      <c r="AJ28" s="316">
        <f>-tanks!AW29</f>
        <v>0</v>
      </c>
      <c r="AK28" s="316">
        <f t="shared" si="27"/>
        <v>0</v>
      </c>
      <c r="AL28" s="316">
        <f t="shared" si="9"/>
        <v>0</v>
      </c>
      <c r="AM28" s="316">
        <f t="shared" si="28"/>
        <v>0</v>
      </c>
      <c r="AN28" s="577">
        <f t="shared" si="10"/>
        <v>67</v>
      </c>
      <c r="AO28" s="318">
        <f t="shared" si="53"/>
        <v>2010.0000000000002</v>
      </c>
      <c r="AP28" s="577">
        <f t="shared" si="11"/>
        <v>55</v>
      </c>
      <c r="AQ28" s="318">
        <f t="shared" si="50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49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f t="shared" si="51"/>
        <v>209</v>
      </c>
      <c r="C29" s="577">
        <f t="shared" si="52"/>
        <v>216</v>
      </c>
      <c r="D29" s="45">
        <f t="shared" si="47"/>
        <v>0</v>
      </c>
      <c r="E29" s="45">
        <f t="shared" si="13"/>
        <v>0</v>
      </c>
      <c r="F29" s="577">
        <f t="shared" si="42"/>
        <v>1852</v>
      </c>
      <c r="G29" s="52">
        <f t="shared" si="0"/>
        <v>0</v>
      </c>
      <c r="H29" s="577">
        <f t="shared" si="43"/>
        <v>14235</v>
      </c>
      <c r="I29" s="394">
        <f t="shared" si="1"/>
        <v>0</v>
      </c>
      <c r="J29" s="66">
        <f t="shared" si="14"/>
        <v>0</v>
      </c>
      <c r="K29" s="577">
        <f t="shared" si="15"/>
        <v>2340</v>
      </c>
      <c r="L29" s="52">
        <f t="shared" si="16"/>
        <v>0</v>
      </c>
      <c r="M29" s="577">
        <f t="shared" si="17"/>
        <v>172620</v>
      </c>
      <c r="N29" s="394">
        <f t="shared" si="2"/>
        <v>0</v>
      </c>
      <c r="O29" s="64">
        <f t="shared" si="46"/>
        <v>1869</v>
      </c>
      <c r="P29" s="577">
        <f t="shared" si="33"/>
        <v>2106</v>
      </c>
      <c r="Q29" s="577">
        <f t="shared" si="34"/>
        <v>176999</v>
      </c>
      <c r="R29" s="393">
        <f t="shared" si="44"/>
        <v>0</v>
      </c>
      <c r="S29" s="52">
        <f t="shared" si="5"/>
        <v>0</v>
      </c>
      <c r="T29" s="67">
        <f t="shared" si="35"/>
        <v>0</v>
      </c>
      <c r="U29" s="400">
        <f t="shared" si="18"/>
        <v>0</v>
      </c>
      <c r="V29" s="62">
        <f t="shared" si="19"/>
        <v>0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48"/>
        <v>0</v>
      </c>
      <c r="AC29" s="577">
        <f t="shared" si="7"/>
        <v>1938</v>
      </c>
      <c r="AD29" s="45">
        <f t="shared" si="8"/>
        <v>0</v>
      </c>
      <c r="AE29" s="577">
        <f t="shared" si="24"/>
        <v>365755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0</v>
      </c>
      <c r="AJ29" s="316">
        <f>-tanks!AW30</f>
        <v>0</v>
      </c>
      <c r="AK29" s="316">
        <f t="shared" si="27"/>
        <v>0</v>
      </c>
      <c r="AL29" s="316">
        <f t="shared" si="9"/>
        <v>0</v>
      </c>
      <c r="AM29" s="316">
        <f t="shared" si="28"/>
        <v>0</v>
      </c>
      <c r="AN29" s="577">
        <f t="shared" si="10"/>
        <v>67</v>
      </c>
      <c r="AO29" s="318">
        <f t="shared" si="53"/>
        <v>2010.0000000000002</v>
      </c>
      <c r="AP29" s="577">
        <f t="shared" si="11"/>
        <v>55</v>
      </c>
      <c r="AQ29" s="318">
        <f t="shared" si="50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5490</v>
      </c>
      <c r="AU29" s="318">
        <f>AT28-AT29+AV29</f>
        <v>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si="51"/>
        <v>209</v>
      </c>
      <c r="C30" s="577">
        <f t="shared" si="52"/>
        <v>216</v>
      </c>
      <c r="D30" s="45">
        <f t="shared" si="47"/>
        <v>0</v>
      </c>
      <c r="E30" s="45">
        <f t="shared" si="13"/>
        <v>0</v>
      </c>
      <c r="F30" s="577">
        <f t="shared" si="42"/>
        <v>1852</v>
      </c>
      <c r="G30" s="52">
        <f t="shared" si="0"/>
        <v>0</v>
      </c>
      <c r="H30" s="577">
        <f t="shared" si="43"/>
        <v>14235</v>
      </c>
      <c r="I30" s="394">
        <f t="shared" si="1"/>
        <v>0</v>
      </c>
      <c r="J30" s="66">
        <f t="shared" si="14"/>
        <v>0</v>
      </c>
      <c r="K30" s="577">
        <f t="shared" si="15"/>
        <v>2340</v>
      </c>
      <c r="L30" s="52">
        <f t="shared" si="16"/>
        <v>0</v>
      </c>
      <c r="M30" s="577">
        <f t="shared" si="17"/>
        <v>172620</v>
      </c>
      <c r="N30" s="394">
        <f t="shared" si="2"/>
        <v>0</v>
      </c>
      <c r="O30" s="64">
        <f t="shared" si="46"/>
        <v>1869</v>
      </c>
      <c r="P30" s="577">
        <f t="shared" si="33"/>
        <v>2106</v>
      </c>
      <c r="Q30" s="577">
        <f t="shared" si="34"/>
        <v>176999</v>
      </c>
      <c r="R30" s="393">
        <f t="shared" si="44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48"/>
        <v>0</v>
      </c>
      <c r="AC30" s="577">
        <f t="shared" si="7"/>
        <v>1938</v>
      </c>
      <c r="AD30" s="45">
        <f t="shared" si="8"/>
        <v>0</v>
      </c>
      <c r="AE30" s="577">
        <f t="shared" si="24"/>
        <v>365755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67</v>
      </c>
      <c r="AO30" s="318">
        <f t="shared" si="53"/>
        <v>2010.0000000000002</v>
      </c>
      <c r="AP30" s="577">
        <f t="shared" si="11"/>
        <v>55</v>
      </c>
      <c r="AQ30" s="318">
        <f t="shared" si="50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49"/>
        <v>5490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51"/>
        <v>209</v>
      </c>
      <c r="C31" s="577">
        <f t="shared" si="52"/>
        <v>216</v>
      </c>
      <c r="D31" s="45">
        <f t="shared" si="47"/>
        <v>0</v>
      </c>
      <c r="E31" s="45">
        <f t="shared" si="13"/>
        <v>0</v>
      </c>
      <c r="F31" s="577">
        <f t="shared" si="42"/>
        <v>1852</v>
      </c>
      <c r="G31" s="52">
        <f t="shared" si="0"/>
        <v>0</v>
      </c>
      <c r="H31" s="577">
        <f t="shared" si="43"/>
        <v>14235</v>
      </c>
      <c r="I31" s="394">
        <f t="shared" si="1"/>
        <v>0</v>
      </c>
      <c r="J31" s="66">
        <f t="shared" si="14"/>
        <v>0</v>
      </c>
      <c r="K31" s="577">
        <f t="shared" si="15"/>
        <v>2340</v>
      </c>
      <c r="L31" s="52">
        <f t="shared" si="16"/>
        <v>0</v>
      </c>
      <c r="M31" s="577">
        <f t="shared" si="17"/>
        <v>172620</v>
      </c>
      <c r="N31" s="394">
        <f t="shared" si="2"/>
        <v>0</v>
      </c>
      <c r="O31" s="64">
        <f t="shared" si="46"/>
        <v>1869</v>
      </c>
      <c r="P31" s="577">
        <f t="shared" si="33"/>
        <v>2106</v>
      </c>
      <c r="Q31" s="577">
        <f t="shared" si="34"/>
        <v>176999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48"/>
        <v>0</v>
      </c>
      <c r="AC31" s="577">
        <f t="shared" si="7"/>
        <v>1938</v>
      </c>
      <c r="AD31" s="269">
        <f t="shared" si="8"/>
        <v>0</v>
      </c>
      <c r="AE31" s="577">
        <f t="shared" si="24"/>
        <v>365755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67</v>
      </c>
      <c r="AO31" s="318">
        <f t="shared" si="53"/>
        <v>2010.0000000000002</v>
      </c>
      <c r="AP31" s="577">
        <f t="shared" si="11"/>
        <v>55</v>
      </c>
      <c r="AQ31" s="318">
        <f t="shared" si="50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49"/>
        <v>5490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51"/>
        <v>209</v>
      </c>
      <c r="C32" s="577">
        <f t="shared" si="52"/>
        <v>216</v>
      </c>
      <c r="D32" s="45">
        <f t="shared" si="47"/>
        <v>0</v>
      </c>
      <c r="E32" s="45">
        <f t="shared" si="13"/>
        <v>0</v>
      </c>
      <c r="F32" s="577">
        <f t="shared" si="42"/>
        <v>1852</v>
      </c>
      <c r="G32" s="52">
        <f t="shared" si="0"/>
        <v>0</v>
      </c>
      <c r="H32" s="577">
        <f t="shared" si="43"/>
        <v>14235</v>
      </c>
      <c r="I32" s="394">
        <f t="shared" si="1"/>
        <v>0</v>
      </c>
      <c r="J32" s="66">
        <f t="shared" si="14"/>
        <v>0</v>
      </c>
      <c r="K32" s="577">
        <f t="shared" si="15"/>
        <v>2340</v>
      </c>
      <c r="L32" s="52">
        <f t="shared" si="16"/>
        <v>0</v>
      </c>
      <c r="M32" s="577">
        <f t="shared" si="17"/>
        <v>172620</v>
      </c>
      <c r="N32" s="394">
        <f t="shared" si="2"/>
        <v>0</v>
      </c>
      <c r="O32" s="64">
        <f t="shared" si="46"/>
        <v>1869</v>
      </c>
      <c r="P32" s="577">
        <f t="shared" si="33"/>
        <v>2106</v>
      </c>
      <c r="Q32" s="577">
        <f t="shared" si="34"/>
        <v>176999</v>
      </c>
      <c r="R32" s="393">
        <f t="shared" si="44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48"/>
        <v>0</v>
      </c>
      <c r="AC32" s="577">
        <f t="shared" si="7"/>
        <v>1938</v>
      </c>
      <c r="AD32" s="269">
        <f t="shared" si="8"/>
        <v>0</v>
      </c>
      <c r="AE32" s="577">
        <f t="shared" si="24"/>
        <v>365755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67</v>
      </c>
      <c r="AO32" s="318">
        <f t="shared" si="53"/>
        <v>2010.0000000000002</v>
      </c>
      <c r="AP32" s="577">
        <f t="shared" si="11"/>
        <v>55</v>
      </c>
      <c r="AQ32" s="318">
        <f t="shared" si="50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49"/>
        <v>5490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51"/>
        <v>209</v>
      </c>
      <c r="C33" s="577">
        <f t="shared" si="52"/>
        <v>216</v>
      </c>
      <c r="D33" s="45">
        <f>C32-C33</f>
        <v>0</v>
      </c>
      <c r="E33" s="45">
        <f>D33*8.38</f>
        <v>0</v>
      </c>
      <c r="F33" s="577">
        <f t="shared" si="42"/>
        <v>1852</v>
      </c>
      <c r="G33" s="52">
        <f>F33-F32</f>
        <v>0</v>
      </c>
      <c r="H33" s="577">
        <f t="shared" si="43"/>
        <v>14235</v>
      </c>
      <c r="I33" s="394">
        <f>SUM(H33-H32)</f>
        <v>0</v>
      </c>
      <c r="J33" s="66">
        <f>IF(G33&gt;0,I33/G33,0)</f>
        <v>0</v>
      </c>
      <c r="K33" s="577">
        <f t="shared" si="15"/>
        <v>2340</v>
      </c>
      <c r="L33" s="52">
        <f>K33-K32</f>
        <v>0</v>
      </c>
      <c r="M33" s="577">
        <f t="shared" si="17"/>
        <v>172620</v>
      </c>
      <c r="N33" s="394">
        <f>M33-M32</f>
        <v>0</v>
      </c>
      <c r="O33" s="64">
        <f t="shared" si="46"/>
        <v>1869</v>
      </c>
      <c r="P33" s="577">
        <f t="shared" si="33"/>
        <v>2106</v>
      </c>
      <c r="Q33" s="577">
        <f t="shared" si="34"/>
        <v>176999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1938</v>
      </c>
      <c r="AD33" s="269">
        <f>AC33-AC32</f>
        <v>0</v>
      </c>
      <c r="AE33" s="577">
        <f t="shared" si="24"/>
        <v>365755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67</v>
      </c>
      <c r="AO33" s="318">
        <f t="shared" si="53"/>
        <v>2010.0000000000002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5490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51"/>
        <v>209</v>
      </c>
      <c r="C34" s="577">
        <f t="shared" si="52"/>
        <v>216</v>
      </c>
      <c r="D34" s="45">
        <f>C33-C34</f>
        <v>0</v>
      </c>
      <c r="E34" s="45">
        <f>D34*8.38</f>
        <v>0</v>
      </c>
      <c r="F34" s="577">
        <f t="shared" si="42"/>
        <v>1852</v>
      </c>
      <c r="G34" s="52">
        <f>F34-F33</f>
        <v>0</v>
      </c>
      <c r="H34" s="577">
        <f t="shared" si="43"/>
        <v>14235</v>
      </c>
      <c r="I34" s="394">
        <f>SUM(H34-H33)</f>
        <v>0</v>
      </c>
      <c r="J34" s="66">
        <f>IF(G34&gt;0,I34/G34,0)</f>
        <v>0</v>
      </c>
      <c r="K34" s="577">
        <f t="shared" si="15"/>
        <v>2340</v>
      </c>
      <c r="L34" s="52">
        <f>K34-K33</f>
        <v>0</v>
      </c>
      <c r="M34" s="577">
        <f t="shared" si="17"/>
        <v>172620</v>
      </c>
      <c r="N34" s="394">
        <f>M34-M33</f>
        <v>0</v>
      </c>
      <c r="O34" s="64">
        <f t="shared" si="46"/>
        <v>1869</v>
      </c>
      <c r="P34" s="577">
        <f t="shared" si="33"/>
        <v>2106</v>
      </c>
      <c r="Q34" s="577">
        <f t="shared" si="34"/>
        <v>176999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1938</v>
      </c>
      <c r="AD34" s="269">
        <f>AC34-AC33</f>
        <v>0</v>
      </c>
      <c r="AE34" s="577">
        <f t="shared" si="24"/>
        <v>365755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67</v>
      </c>
      <c r="AO34" s="318">
        <f t="shared" si="53"/>
        <v>2010.0000000000002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5490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62.136363636363633</v>
      </c>
      <c r="V35" s="62">
        <f>SUM(V5:V34)</f>
        <v>2342</v>
      </c>
      <c r="AE35" s="71" t="s">
        <v>383</v>
      </c>
      <c r="AG35" s="342"/>
      <c r="AH35" s="62">
        <f>SUM(AH5:AH34)</f>
        <v>255</v>
      </c>
      <c r="AL35" s="62">
        <f>SUM(AL5:AL34)</f>
        <v>30</v>
      </c>
      <c r="AM35" s="62">
        <f>SUM(AM5:AM34)</f>
        <v>2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2597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0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abSelected="1" topLeftCell="AK1" zoomScale="90" zoomScaleNormal="90" workbookViewId="0">
      <pane ySplit="3" topLeftCell="A16" activePane="bottomLeft" state="frozen"/>
      <selection pane="bottomLeft" activeCell="AX28" sqref="AX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8073312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67" t="s">
        <v>95</v>
      </c>
      <c r="AS2" s="668"/>
      <c r="AT2" s="668"/>
      <c r="AU2" s="668"/>
      <c r="AV2" s="669"/>
      <c r="AW2" s="667" t="s">
        <v>96</v>
      </c>
      <c r="AX2" s="668"/>
      <c r="AY2" s="669"/>
      <c r="AZ2" s="667" t="s">
        <v>98</v>
      </c>
      <c r="BA2" s="668"/>
      <c r="BB2" s="669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64" t="s">
        <v>126</v>
      </c>
      <c r="AO3" s="665"/>
      <c r="AP3" s="666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6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134</v>
      </c>
      <c r="AW12" s="5">
        <v>2.9</v>
      </c>
      <c r="AX12" s="201">
        <v>41</v>
      </c>
      <c r="AY12" s="424">
        <f t="shared" si="5"/>
        <v>136.80000000000001</v>
      </c>
      <c r="AZ12" s="424">
        <f t="shared" si="31"/>
        <v>147.4</v>
      </c>
      <c r="BA12" s="424">
        <f t="shared" si="32"/>
        <v>118.89999999999999</v>
      </c>
      <c r="BB12" s="21">
        <f t="shared" si="33"/>
        <v>0</v>
      </c>
      <c r="BC12" s="21">
        <f t="shared" si="34"/>
        <v>-9.9000000000000057</v>
      </c>
      <c r="BD12" s="21">
        <f t="shared" si="34"/>
        <v>-34.799999999999997</v>
      </c>
      <c r="BE12" s="24">
        <f t="shared" si="35"/>
        <v>-44.7</v>
      </c>
      <c r="BF12" s="96">
        <f t="shared" si="6"/>
        <v>44.7</v>
      </c>
      <c r="BG12" s="82">
        <f t="shared" si="7"/>
        <v>-44.7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6781</v>
      </c>
      <c r="L13" s="83">
        <f t="shared" si="39"/>
        <v>5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-5</v>
      </c>
      <c r="AL13" s="325">
        <f t="shared" si="29"/>
        <v>0</v>
      </c>
      <c r="AM13" s="325">
        <f>'General information '!D13</f>
        <v>25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134</v>
      </c>
      <c r="AW13" s="5">
        <v>2.9</v>
      </c>
      <c r="AX13" s="201">
        <f t="shared" ref="AX13:AX35" si="43">AX12</f>
        <v>41</v>
      </c>
      <c r="AY13" s="424">
        <f t="shared" si="5"/>
        <v>136.80000000000001</v>
      </c>
      <c r="AZ13" s="424">
        <f t="shared" si="31"/>
        <v>147.4</v>
      </c>
      <c r="BA13" s="424">
        <f t="shared" si="32"/>
        <v>118.89999999999999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6781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v>130</v>
      </c>
      <c r="AW14" s="5">
        <v>2.9</v>
      </c>
      <c r="AX14" s="201">
        <v>57</v>
      </c>
      <c r="AY14" s="424">
        <f t="shared" si="5"/>
        <v>136.80000000000001</v>
      </c>
      <c r="AZ14" s="424">
        <f t="shared" si="31"/>
        <v>143</v>
      </c>
      <c r="BA14" s="424">
        <f t="shared" si="32"/>
        <v>165.29999999999998</v>
      </c>
      <c r="BB14" s="21">
        <f t="shared" si="33"/>
        <v>0</v>
      </c>
      <c r="BC14" s="21">
        <f t="shared" si="34"/>
        <v>-4.4000000000000057</v>
      </c>
      <c r="BD14" s="21">
        <f t="shared" si="34"/>
        <v>46.399999999999991</v>
      </c>
      <c r="BE14" s="24">
        <f t="shared" si="35"/>
        <v>41.999999999999986</v>
      </c>
      <c r="BF14" s="96">
        <f t="shared" si="6"/>
        <v>-41.999999999999986</v>
      </c>
      <c r="BG14" s="82">
        <f t="shared" si="7"/>
        <v>41.999999999999986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6782</v>
      </c>
      <c r="L15" s="83">
        <f t="shared" si="39"/>
        <v>1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-1</v>
      </c>
      <c r="AL15" s="325">
        <f t="shared" si="29"/>
        <v>0</v>
      </c>
      <c r="AM15" s="325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v>126</v>
      </c>
      <c r="AW15" s="5">
        <v>2.9</v>
      </c>
      <c r="AX15" s="201">
        <v>68</v>
      </c>
      <c r="AY15" s="424">
        <f t="shared" si="5"/>
        <v>136.80000000000001</v>
      </c>
      <c r="AZ15" s="424">
        <f t="shared" si="31"/>
        <v>138.60000000000002</v>
      </c>
      <c r="BA15" s="424">
        <f t="shared" si="32"/>
        <v>197.2</v>
      </c>
      <c r="BB15" s="21">
        <f t="shared" si="33"/>
        <v>0</v>
      </c>
      <c r="BC15" s="21">
        <f t="shared" si="34"/>
        <v>-4.3999999999999773</v>
      </c>
      <c r="BD15" s="21">
        <f t="shared" si="34"/>
        <v>31.900000000000006</v>
      </c>
      <c r="BE15" s="24">
        <f t="shared" si="35"/>
        <v>27.500000000000028</v>
      </c>
      <c r="BF15" s="96">
        <f t="shared" si="6"/>
        <v>-27.500000000000028</v>
      </c>
      <c r="BG15" s="82">
        <f t="shared" si="7"/>
        <v>27.500000000000028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6782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26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v>124</v>
      </c>
      <c r="AW16" s="5">
        <v>2.9</v>
      </c>
      <c r="AX16" s="201">
        <v>66</v>
      </c>
      <c r="AY16" s="424">
        <f t="shared" si="5"/>
        <v>136.80000000000001</v>
      </c>
      <c r="AZ16" s="424">
        <f t="shared" si="31"/>
        <v>136.4</v>
      </c>
      <c r="BA16" s="424">
        <f t="shared" si="32"/>
        <v>191.4</v>
      </c>
      <c r="BB16" s="21">
        <f t="shared" si="33"/>
        <v>0</v>
      </c>
      <c r="BC16" s="21">
        <f t="shared" si="34"/>
        <v>-2.2000000000000171</v>
      </c>
      <c r="BD16" s="21">
        <f t="shared" si="34"/>
        <v>-5.7999999999999829</v>
      </c>
      <c r="BE16" s="24">
        <f t="shared" si="35"/>
        <v>-8</v>
      </c>
      <c r="BF16" s="96">
        <f t="shared" si="6"/>
        <v>8</v>
      </c>
      <c r="BG16" s="82">
        <f t="shared" si="7"/>
        <v>-8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6782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24.5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v>121</v>
      </c>
      <c r="AW17" s="5">
        <v>2.9</v>
      </c>
      <c r="AX17" s="201">
        <v>52</v>
      </c>
      <c r="AY17" s="424">
        <f t="shared" si="5"/>
        <v>136.80000000000001</v>
      </c>
      <c r="AZ17" s="424">
        <f t="shared" si="31"/>
        <v>133.10000000000002</v>
      </c>
      <c r="BA17" s="424">
        <f t="shared" si="32"/>
        <v>150.79999999999998</v>
      </c>
      <c r="BB17" s="21">
        <f t="shared" si="33"/>
        <v>0</v>
      </c>
      <c r="BC17" s="21">
        <f t="shared" si="34"/>
        <v>-3.2999999999999829</v>
      </c>
      <c r="BD17" s="21">
        <f t="shared" si="34"/>
        <v>-40.600000000000023</v>
      </c>
      <c r="BE17" s="24">
        <f t="shared" si="35"/>
        <v>-43.900000000000006</v>
      </c>
      <c r="BF17" s="96">
        <f t="shared" si="6"/>
        <v>43.900000000000006</v>
      </c>
      <c r="BG17" s="82">
        <f t="shared" si="7"/>
        <v>-43.900000000000006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6782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23.5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121</v>
      </c>
      <c r="AW18" s="5">
        <v>2.9</v>
      </c>
      <c r="AX18" s="201">
        <f t="shared" si="43"/>
        <v>52</v>
      </c>
      <c r="AY18" s="424">
        <f t="shared" si="5"/>
        <v>136.80000000000001</v>
      </c>
      <c r="AZ18" s="424">
        <f t="shared" si="31"/>
        <v>133.10000000000002</v>
      </c>
      <c r="BA18" s="424">
        <f t="shared" si="32"/>
        <v>150.79999999999998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6783</v>
      </c>
      <c r="L19" s="83">
        <f t="shared" si="39"/>
        <v>1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-1</v>
      </c>
      <c r="AL19" s="325">
        <f t="shared" si="29"/>
        <v>0</v>
      </c>
      <c r="AM19" s="325">
        <f>'General information '!D19</f>
        <v>23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v>152</v>
      </c>
      <c r="AU19" s="423">
        <f t="shared" si="41"/>
        <v>1.1000000000000001</v>
      </c>
      <c r="AV19" s="201">
        <v>114</v>
      </c>
      <c r="AW19" s="5">
        <v>2.9</v>
      </c>
      <c r="AX19" s="201">
        <v>29</v>
      </c>
      <c r="AY19" s="424">
        <f>AS19*AT19</f>
        <v>136.80000000000001</v>
      </c>
      <c r="AZ19" s="424">
        <f>AU19*AV19</f>
        <v>125.4</v>
      </c>
      <c r="BA19" s="424">
        <f>AW19*AX19</f>
        <v>84.1</v>
      </c>
      <c r="BB19" s="21">
        <f t="shared" ref="BB19:BD20" si="47">AY19-AY18</f>
        <v>0</v>
      </c>
      <c r="BC19" s="21">
        <f t="shared" si="47"/>
        <v>-7.7000000000000171</v>
      </c>
      <c r="BD19" s="21">
        <f t="shared" si="47"/>
        <v>-66.699999999999989</v>
      </c>
      <c r="BE19" s="24">
        <f>SUM(BB19:BD19)</f>
        <v>-74.400000000000006</v>
      </c>
      <c r="BF19" s="96">
        <f t="shared" si="6"/>
        <v>74.400000000000006</v>
      </c>
      <c r="BG19" s="82">
        <f t="shared" si="7"/>
        <v>-74.400000000000006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6783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v>152149</v>
      </c>
      <c r="Y20" s="322">
        <f t="shared" si="40"/>
        <v>113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113</v>
      </c>
      <c r="AL20" s="325">
        <f t="shared" si="29"/>
        <v>0</v>
      </c>
      <c r="AM20" s="325">
        <f>'General information '!D20</f>
        <v>24.5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v>24</v>
      </c>
      <c r="AU20" s="423">
        <f t="shared" si="41"/>
        <v>1.1000000000000001</v>
      </c>
      <c r="AV20" s="201">
        <v>109</v>
      </c>
      <c r="AW20" s="5">
        <v>2.9</v>
      </c>
      <c r="AX20" s="201">
        <v>72</v>
      </c>
      <c r="AY20" s="424">
        <f>AS20*AT20</f>
        <v>21.6</v>
      </c>
      <c r="AZ20" s="424">
        <f>AU20*AV20</f>
        <v>119.9</v>
      </c>
      <c r="BA20" s="424">
        <f>AW20*AX20</f>
        <v>208.79999999999998</v>
      </c>
      <c r="BB20" s="21">
        <f t="shared" si="47"/>
        <v>-115.20000000000002</v>
      </c>
      <c r="BC20" s="21">
        <f t="shared" si="47"/>
        <v>-5.5</v>
      </c>
      <c r="BD20" s="21">
        <f t="shared" si="47"/>
        <v>124.69999999999999</v>
      </c>
      <c r="BE20" s="24">
        <f>SUM(BB20:BD20)</f>
        <v>3.9999999999999716</v>
      </c>
      <c r="BF20" s="96">
        <f t="shared" si="6"/>
        <v>-3.9999999999999716</v>
      </c>
      <c r="BG20" s="82">
        <f t="shared" si="7"/>
        <v>3.9999999999999716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v>620750</v>
      </c>
      <c r="H21" s="5">
        <f t="shared" si="11"/>
        <v>220</v>
      </c>
      <c r="I21" s="5">
        <f t="shared" si="12"/>
        <v>220</v>
      </c>
      <c r="J21" s="332">
        <f t="shared" si="0"/>
        <v>1.1363636363636365</v>
      </c>
      <c r="K21" s="5">
        <f>'Swimming Pool quality check '!H21</f>
        <v>6784</v>
      </c>
      <c r="L21" s="83">
        <f t="shared" si="39"/>
        <v>1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152149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-1</v>
      </c>
      <c r="AL21" s="325">
        <f t="shared" si="29"/>
        <v>0</v>
      </c>
      <c r="AM21" s="325">
        <f>'General information '!D21</f>
        <v>25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v>154</v>
      </c>
      <c r="AU21" s="423">
        <f t="shared" si="41"/>
        <v>1.1000000000000001</v>
      </c>
      <c r="AV21" s="201">
        <v>103</v>
      </c>
      <c r="AW21" s="5">
        <v>2.9</v>
      </c>
      <c r="AX21" s="201">
        <v>55</v>
      </c>
      <c r="AY21" s="424">
        <f>AS21*AT21</f>
        <v>138.6</v>
      </c>
      <c r="AZ21" s="424">
        <f>AU21*AV21</f>
        <v>113.30000000000001</v>
      </c>
      <c r="BA21" s="424">
        <f>AW21*AX21</f>
        <v>159.5</v>
      </c>
      <c r="BB21" s="21">
        <f t="shared" si="33"/>
        <v>117</v>
      </c>
      <c r="BC21" s="21">
        <f t="shared" si="34"/>
        <v>-6.5999999999999943</v>
      </c>
      <c r="BD21" s="21">
        <f t="shared" si="34"/>
        <v>-49.299999999999983</v>
      </c>
      <c r="BE21" s="24">
        <f t="shared" si="35"/>
        <v>61.100000000000023</v>
      </c>
      <c r="BF21" s="96">
        <f t="shared" si="6"/>
        <v>158.89999999999998</v>
      </c>
      <c r="BG21" s="82">
        <f t="shared" si="7"/>
        <v>61.100000000000023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620750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6785</v>
      </c>
      <c r="L22" s="83">
        <f t="shared" si="39"/>
        <v>1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v>152207</v>
      </c>
      <c r="Y22" s="322">
        <f t="shared" si="40"/>
        <v>58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v>2206.6</v>
      </c>
      <c r="AH22" s="83">
        <f t="shared" si="26"/>
        <v>1.999999999998181E-2</v>
      </c>
      <c r="AI22" s="83">
        <f t="shared" si="27"/>
        <v>1.999999999998181E-2</v>
      </c>
      <c r="AJ22" s="324">
        <f t="shared" si="28"/>
        <v>0</v>
      </c>
      <c r="AK22" s="325">
        <f t="shared" si="38"/>
        <v>57</v>
      </c>
      <c r="AL22" s="325">
        <f t="shared" si="29"/>
        <v>0</v>
      </c>
      <c r="AM22" s="325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v>100</v>
      </c>
      <c r="AU22" s="423">
        <f t="shared" si="41"/>
        <v>1.1000000000000001</v>
      </c>
      <c r="AV22" s="201">
        <v>100</v>
      </c>
      <c r="AW22" s="5">
        <v>2.9</v>
      </c>
      <c r="AX22" s="201">
        <v>57</v>
      </c>
      <c r="AY22" s="424">
        <f t="shared" si="5"/>
        <v>90</v>
      </c>
      <c r="AZ22" s="424">
        <f t="shared" si="31"/>
        <v>110.00000000000001</v>
      </c>
      <c r="BA22" s="424">
        <f t="shared" si="32"/>
        <v>165.29999999999998</v>
      </c>
      <c r="BB22" s="21">
        <f>AY22-AY21</f>
        <v>-48.599999999999994</v>
      </c>
      <c r="BC22" s="21">
        <f t="shared" si="33"/>
        <v>-3.2999999999999972</v>
      </c>
      <c r="BD22" s="21">
        <f t="shared" si="33"/>
        <v>5.7999999999999829</v>
      </c>
      <c r="BE22" s="24">
        <f t="shared" si="35"/>
        <v>-46.100000000000009</v>
      </c>
      <c r="BF22" s="96">
        <f t="shared" si="6"/>
        <v>46.100000000000009</v>
      </c>
      <c r="BG22" s="82">
        <f t="shared" si="7"/>
        <v>-46.100000000000009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v>620938</v>
      </c>
      <c r="H23" s="5">
        <f t="shared" si="11"/>
        <v>188</v>
      </c>
      <c r="I23" s="5">
        <f t="shared" si="12"/>
        <v>188</v>
      </c>
      <c r="J23" s="332">
        <f t="shared" si="0"/>
        <v>1.3297872340425532</v>
      </c>
      <c r="K23" s="5">
        <f>'Swimming Pool quality check '!H23</f>
        <v>6787</v>
      </c>
      <c r="L23" s="273">
        <f t="shared" si="39"/>
        <v>2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152207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2206.6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-2</v>
      </c>
      <c r="AL23" s="325">
        <f t="shared" si="29"/>
        <v>0</v>
      </c>
      <c r="AM23" s="325">
        <f>'General information '!D23</f>
        <v>25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v>203</v>
      </c>
      <c r="AU23" s="423">
        <f t="shared" si="41"/>
        <v>1.1000000000000001</v>
      </c>
      <c r="AV23" s="201">
        <v>95</v>
      </c>
      <c r="AW23" s="5">
        <v>2.9</v>
      </c>
      <c r="AX23" s="201">
        <v>38</v>
      </c>
      <c r="AY23" s="424">
        <f t="shared" si="5"/>
        <v>182.70000000000002</v>
      </c>
      <c r="AZ23" s="424">
        <f t="shared" si="31"/>
        <v>104.50000000000001</v>
      </c>
      <c r="BA23" s="424">
        <f t="shared" si="32"/>
        <v>110.2</v>
      </c>
      <c r="BB23" s="21">
        <f t="shared" si="33"/>
        <v>92.700000000000017</v>
      </c>
      <c r="BC23" s="21">
        <f t="shared" si="33"/>
        <v>-5.5</v>
      </c>
      <c r="BD23" s="21">
        <f t="shared" si="33"/>
        <v>-55.09999999999998</v>
      </c>
      <c r="BE23" s="24">
        <f t="shared" si="35"/>
        <v>32.100000000000037</v>
      </c>
      <c r="BF23" s="96">
        <f t="shared" si="6"/>
        <v>155.89999999999998</v>
      </c>
      <c r="BG23" s="82">
        <f t="shared" si="7"/>
        <v>32.100000000000023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620938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6787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v>152329</v>
      </c>
      <c r="Y24" s="322">
        <f t="shared" si="40"/>
        <v>122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2206.6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122</v>
      </c>
      <c r="AL24" s="325">
        <f t="shared" si="29"/>
        <v>0</v>
      </c>
      <c r="AM24" s="325">
        <f>'General information '!D24</f>
        <v>26.5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v>72</v>
      </c>
      <c r="AU24" s="423">
        <f t="shared" si="41"/>
        <v>1.1000000000000001</v>
      </c>
      <c r="AV24" s="201">
        <v>92</v>
      </c>
      <c r="AW24" s="5">
        <v>2.9</v>
      </c>
      <c r="AX24" s="201">
        <v>60</v>
      </c>
      <c r="AY24" s="424">
        <f t="shared" si="5"/>
        <v>64.8</v>
      </c>
      <c r="AZ24" s="424">
        <f t="shared" si="31"/>
        <v>101.2</v>
      </c>
      <c r="BA24" s="424">
        <f t="shared" si="32"/>
        <v>174</v>
      </c>
      <c r="BB24" s="21">
        <f t="shared" si="33"/>
        <v>-117.90000000000002</v>
      </c>
      <c r="BC24" s="21">
        <f t="shared" si="33"/>
        <v>-3.3000000000000114</v>
      </c>
      <c r="BD24" s="21">
        <f t="shared" si="33"/>
        <v>63.8</v>
      </c>
      <c r="BE24" s="24">
        <f t="shared" si="35"/>
        <v>-57.400000000000034</v>
      </c>
      <c r="BF24" s="96">
        <f t="shared" si="6"/>
        <v>57.400000000000034</v>
      </c>
      <c r="BG24" s="82">
        <f t="shared" si="7"/>
        <v>-57.400000000000034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v>621104</v>
      </c>
      <c r="H25" s="5">
        <f t="shared" si="11"/>
        <v>166</v>
      </c>
      <c r="I25" s="5">
        <f t="shared" si="12"/>
        <v>166</v>
      </c>
      <c r="J25" s="332">
        <f t="shared" si="0"/>
        <v>1.5060240963855422</v>
      </c>
      <c r="K25" s="5">
        <f>'Swimming Pool quality check '!H25</f>
        <v>6788</v>
      </c>
      <c r="L25" s="273">
        <f t="shared" si="39"/>
        <v>1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152329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2206.6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-1</v>
      </c>
      <c r="AL25" s="325">
        <f t="shared" si="29"/>
        <v>0</v>
      </c>
      <c r="AM25" s="325">
        <f>'General information '!D25</f>
        <v>25.5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v>173</v>
      </c>
      <c r="AU25" s="423">
        <f t="shared" si="41"/>
        <v>1.1000000000000001</v>
      </c>
      <c r="AV25" s="201">
        <v>89</v>
      </c>
      <c r="AW25" s="5">
        <v>2.9</v>
      </c>
      <c r="AX25" s="201">
        <v>47</v>
      </c>
      <c r="AY25" s="424">
        <f t="shared" si="5"/>
        <v>155.70000000000002</v>
      </c>
      <c r="AZ25" s="424">
        <f t="shared" si="31"/>
        <v>97.9</v>
      </c>
      <c r="BA25" s="424">
        <f t="shared" si="32"/>
        <v>136.29999999999998</v>
      </c>
      <c r="BB25" s="21">
        <f t="shared" si="33"/>
        <v>90.90000000000002</v>
      </c>
      <c r="BC25" s="21">
        <f t="shared" si="33"/>
        <v>-3.2999999999999972</v>
      </c>
      <c r="BD25" s="21">
        <f t="shared" si="33"/>
        <v>-37.700000000000017</v>
      </c>
      <c r="BE25" s="24">
        <f t="shared" si="35"/>
        <v>49.900000000000006</v>
      </c>
      <c r="BF25" s="96">
        <f t="shared" si="6"/>
        <v>116.1</v>
      </c>
      <c r="BG25" s="82">
        <f t="shared" si="7"/>
        <v>49.900000000000006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621104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6788</v>
      </c>
      <c r="L26" s="273">
        <f t="shared" si="39"/>
        <v>0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152329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2206.6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0</v>
      </c>
      <c r="AL26" s="325">
        <f>SUM(AJ26-W26)</f>
        <v>0</v>
      </c>
      <c r="AM26" s="325">
        <f>'General information '!D26</f>
        <v>25.5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173</v>
      </c>
      <c r="AU26" s="423">
        <f t="shared" si="41"/>
        <v>1.1000000000000001</v>
      </c>
      <c r="AV26" s="201">
        <v>205</v>
      </c>
      <c r="AW26" s="5">
        <v>2.9</v>
      </c>
      <c r="AX26" s="201">
        <v>48</v>
      </c>
      <c r="AY26" s="424">
        <f t="shared" si="5"/>
        <v>155.70000000000002</v>
      </c>
      <c r="AZ26" s="424">
        <f t="shared" si="31"/>
        <v>225.50000000000003</v>
      </c>
      <c r="BA26" s="424">
        <f t="shared" si="32"/>
        <v>139.19999999999999</v>
      </c>
      <c r="BB26" s="21">
        <f>AY26-AY25</f>
        <v>0</v>
      </c>
      <c r="BC26" s="21">
        <f t="shared" si="33"/>
        <v>127.60000000000002</v>
      </c>
      <c r="BD26" s="21">
        <f t="shared" si="33"/>
        <v>2.9000000000000057</v>
      </c>
      <c r="BE26" s="24">
        <f t="shared" si="35"/>
        <v>130.50000000000003</v>
      </c>
      <c r="BF26" s="96">
        <f t="shared" si="6"/>
        <v>-130.50000000000003</v>
      </c>
      <c r="BG26" s="82">
        <f t="shared" si="7"/>
        <v>130.50000000000003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f t="shared" si="36"/>
        <v>621104</v>
      </c>
      <c r="H27" s="5">
        <f t="shared" si="11"/>
        <v>0</v>
      </c>
      <c r="I27" s="5">
        <f t="shared" si="12"/>
        <v>0</v>
      </c>
      <c r="J27" s="332">
        <f t="shared" si="0"/>
        <v>0</v>
      </c>
      <c r="K27" s="5">
        <f>'Swimming Pool quality check '!H27</f>
        <v>6788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152329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2206.6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f t="shared" si="48"/>
        <v>173</v>
      </c>
      <c r="AU27" s="423">
        <f t="shared" si="41"/>
        <v>1.1000000000000001</v>
      </c>
      <c r="AV27" s="201">
        <f t="shared" si="42"/>
        <v>205</v>
      </c>
      <c r="AW27" s="5">
        <v>2.9</v>
      </c>
      <c r="AX27" s="201">
        <f t="shared" si="43"/>
        <v>48</v>
      </c>
      <c r="AY27" s="424">
        <f t="shared" si="5"/>
        <v>155.70000000000002</v>
      </c>
      <c r="AZ27" s="424">
        <f t="shared" si="31"/>
        <v>225.50000000000003</v>
      </c>
      <c r="BA27" s="424">
        <f t="shared" si="32"/>
        <v>139.19999999999999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621104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6788</v>
      </c>
      <c r="L28" s="273">
        <f t="shared" si="39"/>
        <v>0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152329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2206.6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0</v>
      </c>
      <c r="AL28" s="325">
        <f t="shared" si="29"/>
        <v>0</v>
      </c>
      <c r="AM28" s="32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f t="shared" si="48"/>
        <v>173</v>
      </c>
      <c r="AU28" s="423">
        <f t="shared" si="41"/>
        <v>1.1000000000000001</v>
      </c>
      <c r="AV28" s="201">
        <f t="shared" si="42"/>
        <v>205</v>
      </c>
      <c r="AW28" s="5">
        <v>2.9</v>
      </c>
      <c r="AX28" s="201">
        <f t="shared" si="43"/>
        <v>48</v>
      </c>
      <c r="AY28" s="424">
        <f t="shared" si="5"/>
        <v>155.70000000000002</v>
      </c>
      <c r="AZ28" s="424">
        <f t="shared" si="31"/>
        <v>225.50000000000003</v>
      </c>
      <c r="BA28" s="424">
        <f t="shared" si="32"/>
        <v>139.19999999999999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f t="shared" si="36"/>
        <v>621104</v>
      </c>
      <c r="H29" s="5">
        <f t="shared" si="11"/>
        <v>0</v>
      </c>
      <c r="I29" s="5">
        <f t="shared" si="12"/>
        <v>0</v>
      </c>
      <c r="J29" s="332">
        <f t="shared" si="0"/>
        <v>0</v>
      </c>
      <c r="K29" s="5">
        <f>'Swimming Pool quality check '!H29</f>
        <v>6788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2">
        <f t="shared" si="17"/>
        <v>0</v>
      </c>
      <c r="X29" s="5">
        <f t="shared" si="18"/>
        <v>152329</v>
      </c>
      <c r="Y29" s="322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229.86</v>
      </c>
      <c r="AF29" s="83">
        <f t="shared" si="24"/>
        <v>0</v>
      </c>
      <c r="AG29" s="5">
        <f t="shared" si="25"/>
        <v>2206.6</v>
      </c>
      <c r="AH29" s="83">
        <f t="shared" si="26"/>
        <v>0</v>
      </c>
      <c r="AI29" s="83">
        <f t="shared" si="27"/>
        <v>0</v>
      </c>
      <c r="AJ29" s="324">
        <f t="shared" si="28"/>
        <v>0</v>
      </c>
      <c r="AK29" s="325">
        <f t="shared" si="38"/>
        <v>0</v>
      </c>
      <c r="AL29" s="325">
        <f t="shared" si="29"/>
        <v>0</v>
      </c>
      <c r="AM29" s="32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f t="shared" si="48"/>
        <v>173</v>
      </c>
      <c r="AU29" s="423">
        <f t="shared" si="41"/>
        <v>1.1000000000000001</v>
      </c>
      <c r="AV29" s="201">
        <f t="shared" si="42"/>
        <v>205</v>
      </c>
      <c r="AW29" s="5">
        <v>2.9</v>
      </c>
      <c r="AX29" s="201">
        <f t="shared" si="43"/>
        <v>48</v>
      </c>
      <c r="AY29" s="424">
        <f t="shared" si="5"/>
        <v>155.70000000000002</v>
      </c>
      <c r="AZ29" s="424">
        <f t="shared" si="31"/>
        <v>225.50000000000003</v>
      </c>
      <c r="BA29" s="424">
        <f t="shared" si="32"/>
        <v>139.19999999999999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621104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6788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2">
        <f t="shared" si="17"/>
        <v>0</v>
      </c>
      <c r="X30" s="5">
        <f t="shared" si="18"/>
        <v>152329</v>
      </c>
      <c r="Y30" s="322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229.86</v>
      </c>
      <c r="AF30" s="83">
        <f t="shared" si="24"/>
        <v>0</v>
      </c>
      <c r="AG30" s="5">
        <f t="shared" si="25"/>
        <v>2206.6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f t="shared" si="48"/>
        <v>173</v>
      </c>
      <c r="AU30" s="423">
        <f t="shared" si="41"/>
        <v>1.1000000000000001</v>
      </c>
      <c r="AV30" s="201">
        <f t="shared" si="42"/>
        <v>205</v>
      </c>
      <c r="AW30" s="5">
        <v>2.9</v>
      </c>
      <c r="AX30" s="201">
        <f t="shared" si="43"/>
        <v>48</v>
      </c>
      <c r="AY30" s="424">
        <f t="shared" si="5"/>
        <v>155.70000000000002</v>
      </c>
      <c r="AZ30" s="424">
        <f t="shared" si="31"/>
        <v>225.50000000000003</v>
      </c>
      <c r="BA30" s="424">
        <f t="shared" si="32"/>
        <v>139.19999999999999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621104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6788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2">
        <f t="shared" si="17"/>
        <v>0</v>
      </c>
      <c r="X31" s="5">
        <f t="shared" si="18"/>
        <v>152329</v>
      </c>
      <c r="Y31" s="322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229.86</v>
      </c>
      <c r="AF31" s="83">
        <f t="shared" si="24"/>
        <v>0</v>
      </c>
      <c r="AG31" s="5">
        <f t="shared" si="25"/>
        <v>2206.6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0</v>
      </c>
      <c r="AL31" s="325">
        <f t="shared" si="29"/>
        <v>0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6">
        <f t="shared" si="30"/>
        <v>44373</v>
      </c>
      <c r="AS31" s="422">
        <f t="shared" si="48"/>
        <v>0.9</v>
      </c>
      <c r="AT31" s="201">
        <f t="shared" si="48"/>
        <v>173</v>
      </c>
      <c r="AU31" s="423">
        <f t="shared" si="41"/>
        <v>1.1000000000000001</v>
      </c>
      <c r="AV31" s="201">
        <f t="shared" si="42"/>
        <v>205</v>
      </c>
      <c r="AW31" s="5">
        <v>2.9</v>
      </c>
      <c r="AX31" s="201">
        <f t="shared" si="43"/>
        <v>48</v>
      </c>
      <c r="AY31" s="424">
        <f t="shared" si="5"/>
        <v>155.70000000000002</v>
      </c>
      <c r="AZ31" s="424">
        <f t="shared" si="31"/>
        <v>225.50000000000003</v>
      </c>
      <c r="BA31" s="424">
        <f t="shared" si="32"/>
        <v>139.19999999999999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621104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6788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2">
        <f t="shared" si="17"/>
        <v>0</v>
      </c>
      <c r="X32" s="5">
        <f t="shared" si="18"/>
        <v>152329</v>
      </c>
      <c r="Y32" s="322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229.86</v>
      </c>
      <c r="AF32" s="83">
        <f t="shared" si="24"/>
        <v>0</v>
      </c>
      <c r="AG32" s="5">
        <f t="shared" si="25"/>
        <v>2206.6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173</v>
      </c>
      <c r="AU32" s="423">
        <f t="shared" si="41"/>
        <v>1.1000000000000001</v>
      </c>
      <c r="AV32" s="201">
        <f t="shared" si="42"/>
        <v>205</v>
      </c>
      <c r="AW32" s="5">
        <v>2.9</v>
      </c>
      <c r="AX32" s="201">
        <f t="shared" si="43"/>
        <v>48</v>
      </c>
      <c r="AY32" s="424">
        <f t="shared" si="5"/>
        <v>155.70000000000002</v>
      </c>
      <c r="AZ32" s="424">
        <f t="shared" si="31"/>
        <v>225.50000000000003</v>
      </c>
      <c r="BA32" s="424">
        <f t="shared" si="32"/>
        <v>139.19999999999999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621104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6788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2">
        <f t="shared" si="17"/>
        <v>0</v>
      </c>
      <c r="X33" s="5">
        <f t="shared" si="18"/>
        <v>152329</v>
      </c>
      <c r="Y33" s="322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229.86</v>
      </c>
      <c r="AF33" s="83">
        <f>AE33-AE32</f>
        <v>0</v>
      </c>
      <c r="AG33" s="5">
        <f t="shared" si="25"/>
        <v>2206.6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173</v>
      </c>
      <c r="AU33" s="423">
        <f t="shared" si="41"/>
        <v>1.1000000000000001</v>
      </c>
      <c r="AV33" s="201">
        <f t="shared" si="42"/>
        <v>205</v>
      </c>
      <c r="AW33" s="5">
        <v>2.9</v>
      </c>
      <c r="AX33" s="201">
        <f t="shared" si="43"/>
        <v>48</v>
      </c>
      <c r="AY33" s="424">
        <f t="shared" si="5"/>
        <v>155.70000000000002</v>
      </c>
      <c r="AZ33" s="424">
        <f t="shared" si="31"/>
        <v>225.50000000000003</v>
      </c>
      <c r="BA33" s="424">
        <f t="shared" si="32"/>
        <v>139.19999999999999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621104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6788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474</v>
      </c>
      <c r="W34" s="322">
        <f>+V34-V33</f>
        <v>0</v>
      </c>
      <c r="X34" s="5">
        <f t="shared" si="18"/>
        <v>152329</v>
      </c>
      <c r="Y34" s="322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229.86</v>
      </c>
      <c r="AF34" s="83">
        <f>AE34-AE33</f>
        <v>0</v>
      </c>
      <c r="AG34" s="5">
        <f t="shared" si="25"/>
        <v>2206.6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173</v>
      </c>
      <c r="AU34" s="423">
        <f>AU33</f>
        <v>1.1000000000000001</v>
      </c>
      <c r="AV34" s="201">
        <f t="shared" si="42"/>
        <v>205</v>
      </c>
      <c r="AW34" s="5">
        <v>2.9</v>
      </c>
      <c r="AX34" s="201">
        <f t="shared" si="43"/>
        <v>48</v>
      </c>
      <c r="AY34" s="424">
        <f t="shared" si="5"/>
        <v>155.70000000000002</v>
      </c>
      <c r="AZ34" s="424">
        <f>AU34*AV34</f>
        <v>225.50000000000003</v>
      </c>
      <c r="BA34" s="424">
        <f>AW34*AX34</f>
        <v>139.19999999999999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621104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6788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474</v>
      </c>
      <c r="W35" s="322">
        <f>+V35-V34</f>
        <v>0</v>
      </c>
      <c r="X35" s="5">
        <f t="shared" si="18"/>
        <v>152329</v>
      </c>
      <c r="Y35" s="322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229.86</v>
      </c>
      <c r="AF35" s="83">
        <f>AE35-AE34</f>
        <v>0</v>
      </c>
      <c r="AG35" s="5">
        <f t="shared" si="25"/>
        <v>2206.6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173</v>
      </c>
      <c r="AU35" s="423">
        <f>AU34</f>
        <v>1.1000000000000001</v>
      </c>
      <c r="AV35" s="201">
        <f t="shared" si="42"/>
        <v>205</v>
      </c>
      <c r="AW35" s="5">
        <v>2.9</v>
      </c>
      <c r="AX35" s="201">
        <f t="shared" si="43"/>
        <v>48</v>
      </c>
      <c r="AY35" s="424">
        <f t="shared" si="5"/>
        <v>155.70000000000002</v>
      </c>
      <c r="AZ35" s="424">
        <f>AU35*AV35</f>
        <v>225.50000000000003</v>
      </c>
      <c r="BA35" s="424">
        <f>AW35*AX35</f>
        <v>139.19999999999999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683</v>
      </c>
      <c r="I36" s="410">
        <f>SUM(I6:I35)</f>
        <v>683</v>
      </c>
      <c r="L36" s="268">
        <f>SUM(L7:L35)</f>
        <v>13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0</v>
      </c>
      <c r="AK36" s="325" t="e">
        <f>SUM(Y36-L36)</f>
        <v>#REF!</v>
      </c>
      <c r="AL36" s="320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683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683</v>
      </c>
      <c r="H38" s="1">
        <f>SUM(H37+C37)</f>
        <v>7500</v>
      </c>
      <c r="K38" s="1">
        <f>SUM(H38/G38)</f>
        <v>10.980966325036603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C1" zoomScale="110" zoomScaleNormal="110" workbookViewId="0">
      <pane ySplit="1" topLeftCell="A8" activePane="bottomLeft" state="frozen"/>
      <selection pane="bottomLeft" activeCell="V23" sqref="V23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10.5703125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12390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12390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12390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12390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12390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12390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12390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12390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.7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v>12335</v>
      </c>
      <c r="S10" s="286">
        <f t="shared" si="4"/>
        <v>15</v>
      </c>
      <c r="T10" s="531">
        <f t="shared" si="27"/>
        <v>380590</v>
      </c>
      <c r="U10" s="286">
        <f t="shared" si="17"/>
        <v>3750</v>
      </c>
      <c r="V10" s="286">
        <v>250</v>
      </c>
      <c r="W10" s="336"/>
      <c r="X10" s="287">
        <f t="shared" si="18"/>
        <v>12390</v>
      </c>
      <c r="Y10" s="286" t="str">
        <f t="shared" ref="Y10:Y20" si="30">IF(R10-X10&lt;=0,"ok","oil change")</f>
        <v>ok</v>
      </c>
      <c r="Z10" s="286">
        <f t="shared" si="6"/>
        <v>15</v>
      </c>
      <c r="AA10" s="286">
        <f t="shared" si="19"/>
        <v>3750</v>
      </c>
      <c r="AB10" s="286">
        <f t="shared" si="20"/>
        <v>250</v>
      </c>
      <c r="AC10" s="286">
        <f t="shared" si="21"/>
        <v>250</v>
      </c>
      <c r="AD10" s="73">
        <f>ELEC!Q11</f>
        <v>10330.999999998312</v>
      </c>
      <c r="AE10" s="73">
        <f t="shared" si="23"/>
        <v>688.7333333332208</v>
      </c>
      <c r="AF10" s="401">
        <f t="shared" si="24"/>
        <v>0.430458333333263</v>
      </c>
      <c r="AG10" s="402">
        <f t="shared" si="25"/>
        <v>137.74666666664416</v>
      </c>
      <c r="AH10" s="402">
        <f t="shared" si="22"/>
        <v>112.25333333335584</v>
      </c>
      <c r="AI10" s="73">
        <f t="shared" si="26"/>
        <v>2659.0337552738274</v>
      </c>
      <c r="AJ10" s="288">
        <f t="shared" si="7"/>
        <v>0.25738396624472576</v>
      </c>
      <c r="AK10" s="288">
        <f t="shared" si="8"/>
        <v>177.26891701825517</v>
      </c>
    </row>
    <row r="11" spans="1:37" ht="15.75" thickBot="1">
      <c r="A11" s="4">
        <f>ELEC!C12</f>
        <v>44356</v>
      </c>
      <c r="B11" s="530">
        <v>10189</v>
      </c>
      <c r="C11" s="286">
        <f t="shared" si="9"/>
        <v>7</v>
      </c>
      <c r="D11" s="531">
        <v>425366.8</v>
      </c>
      <c r="E11" s="286">
        <f t="shared" si="10"/>
        <v>691.79999999998836</v>
      </c>
      <c r="F11" s="286">
        <f t="shared" si="0"/>
        <v>98.828571428569759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v>12349</v>
      </c>
      <c r="S11" s="286">
        <f t="shared" si="4"/>
        <v>14</v>
      </c>
      <c r="T11" s="531">
        <v>384090</v>
      </c>
      <c r="U11" s="286">
        <f t="shared" si="17"/>
        <v>3500</v>
      </c>
      <c r="V11" s="286">
        <v>250</v>
      </c>
      <c r="W11" s="336"/>
      <c r="X11" s="287">
        <f t="shared" si="18"/>
        <v>12390</v>
      </c>
      <c r="Y11" s="286" t="str">
        <f t="shared" si="30"/>
        <v>ok</v>
      </c>
      <c r="Z11" s="286">
        <f t="shared" si="6"/>
        <v>21</v>
      </c>
      <c r="AA11" s="286">
        <f t="shared" si="19"/>
        <v>4191.7999999999884</v>
      </c>
      <c r="AB11" s="286">
        <f t="shared" si="20"/>
        <v>348.82857142856977</v>
      </c>
      <c r="AC11" s="286">
        <f t="shared" si="21"/>
        <v>199.60952380952327</v>
      </c>
      <c r="AD11" s="73">
        <f>ELEC!Q12</f>
        <v>13240.000000001601</v>
      </c>
      <c r="AE11" s="73">
        <f t="shared" si="23"/>
        <v>630.47619047626665</v>
      </c>
      <c r="AF11" s="401">
        <f t="shared" si="24"/>
        <v>0.39404761904766666</v>
      </c>
      <c r="AG11" s="402">
        <f t="shared" si="25"/>
        <v>126.09523809525334</v>
      </c>
      <c r="AH11" s="402">
        <f t="shared" si="22"/>
        <v>73.514285714269931</v>
      </c>
      <c r="AI11" s="73">
        <f t="shared" si="26"/>
        <v>3407.7637130805811</v>
      </c>
      <c r="AJ11" s="288">
        <f t="shared" si="7"/>
        <v>0.25738396624472576</v>
      </c>
      <c r="AK11" s="288">
        <f t="shared" si="8"/>
        <v>162.2744625276467</v>
      </c>
    </row>
    <row r="12" spans="1:37" ht="15.75" thickBot="1">
      <c r="A12" s="4">
        <f>ELEC!C13</f>
        <v>44357</v>
      </c>
      <c r="B12" s="530">
        <v>10204</v>
      </c>
      <c r="C12" s="286">
        <f t="shared" si="9"/>
        <v>15</v>
      </c>
      <c r="D12" s="531">
        <v>426571</v>
      </c>
      <c r="E12" s="286">
        <f t="shared" si="10"/>
        <v>1204.2000000000116</v>
      </c>
      <c r="F12" s="286">
        <f t="shared" si="0"/>
        <v>80.280000000000783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v>12352</v>
      </c>
      <c r="S12" s="286">
        <f t="shared" si="4"/>
        <v>3</v>
      </c>
      <c r="T12" s="531">
        <v>384840</v>
      </c>
      <c r="U12" s="286">
        <f t="shared" si="17"/>
        <v>750</v>
      </c>
      <c r="V12" s="286">
        <v>250</v>
      </c>
      <c r="W12" s="336"/>
      <c r="X12" s="287">
        <f t="shared" si="18"/>
        <v>12390</v>
      </c>
      <c r="Y12" s="286" t="str">
        <f t="shared" si="30"/>
        <v>ok</v>
      </c>
      <c r="Z12" s="286">
        <f t="shared" si="6"/>
        <v>18</v>
      </c>
      <c r="AA12" s="286">
        <f t="shared" si="19"/>
        <v>1954.2000000000116</v>
      </c>
      <c r="AB12" s="286">
        <f t="shared" si="20"/>
        <v>330.28000000000077</v>
      </c>
      <c r="AC12" s="286">
        <f t="shared" si="21"/>
        <v>108.56666666666732</v>
      </c>
      <c r="AD12" s="73">
        <f>ELEC!Q13</f>
        <v>13896.999999997206</v>
      </c>
      <c r="AE12" s="73">
        <f t="shared" si="23"/>
        <v>772.05555555540036</v>
      </c>
      <c r="AF12" s="401">
        <f t="shared" si="24"/>
        <v>0.48253472222212523</v>
      </c>
      <c r="AG12" s="402">
        <f t="shared" si="25"/>
        <v>154.41111111108006</v>
      </c>
      <c r="AH12" s="402">
        <f t="shared" si="22"/>
        <v>-45.844444444412744</v>
      </c>
      <c r="AI12" s="73">
        <f t="shared" si="26"/>
        <v>3576.8649789022347</v>
      </c>
      <c r="AJ12" s="288">
        <f t="shared" si="7"/>
        <v>0.25738396624472576</v>
      </c>
      <c r="AK12" s="288">
        <f t="shared" si="8"/>
        <v>198.71472105012415</v>
      </c>
    </row>
    <row r="13" spans="1:37" ht="15.75" thickBot="1">
      <c r="A13" s="4">
        <f>ELEC!C14</f>
        <v>44358</v>
      </c>
      <c r="B13" s="530">
        <v>10214</v>
      </c>
      <c r="C13" s="286">
        <f t="shared" si="9"/>
        <v>10</v>
      </c>
      <c r="D13" s="531">
        <v>428008</v>
      </c>
      <c r="E13" s="286">
        <f t="shared" si="10"/>
        <v>1437</v>
      </c>
      <c r="F13" s="286">
        <f t="shared" si="0"/>
        <v>143.69999999999999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v>12362</v>
      </c>
      <c r="S13" s="286">
        <f t="shared" si="4"/>
        <v>10</v>
      </c>
      <c r="T13" s="531">
        <v>369841</v>
      </c>
      <c r="U13" s="286">
        <f t="shared" si="17"/>
        <v>2500</v>
      </c>
      <c r="V13" s="286">
        <v>250</v>
      </c>
      <c r="W13" s="336"/>
      <c r="X13" s="287">
        <f t="shared" si="18"/>
        <v>12390</v>
      </c>
      <c r="Y13" s="286" t="str">
        <f t="shared" si="30"/>
        <v>ok</v>
      </c>
      <c r="Z13" s="286">
        <f t="shared" si="6"/>
        <v>20</v>
      </c>
      <c r="AA13" s="286">
        <f t="shared" si="19"/>
        <v>3937</v>
      </c>
      <c r="AB13" s="286">
        <f t="shared" si="20"/>
        <v>393.7</v>
      </c>
      <c r="AC13" s="286">
        <f t="shared" si="21"/>
        <v>196.85</v>
      </c>
      <c r="AD13" s="73">
        <f>ELEC!Q14</f>
        <v>14090.000000000146</v>
      </c>
      <c r="AE13" s="73">
        <f t="shared" si="23"/>
        <v>704.50000000000728</v>
      </c>
      <c r="AF13" s="401">
        <f t="shared" si="24"/>
        <v>0.44031250000000455</v>
      </c>
      <c r="AG13" s="402">
        <f t="shared" si="25"/>
        <v>140.90000000000146</v>
      </c>
      <c r="AH13" s="402">
        <f t="shared" si="22"/>
        <v>55.949999999998539</v>
      </c>
      <c r="AI13" s="73">
        <f t="shared" si="26"/>
        <v>3626.5400843882235</v>
      </c>
      <c r="AJ13" s="288">
        <f t="shared" si="7"/>
        <v>0.25738396624472576</v>
      </c>
      <c r="AK13" s="288">
        <f t="shared" si="8"/>
        <v>181.32700421941118</v>
      </c>
    </row>
    <row r="14" spans="1:37" ht="15.75" thickBot="1">
      <c r="A14" s="4">
        <f>ELEC!C15</f>
        <v>44359</v>
      </c>
      <c r="B14" s="530">
        <v>10221</v>
      </c>
      <c r="C14" s="286">
        <f t="shared" si="9"/>
        <v>7</v>
      </c>
      <c r="D14" s="531">
        <v>429020</v>
      </c>
      <c r="E14" s="286">
        <f t="shared" si="10"/>
        <v>1012</v>
      </c>
      <c r="F14" s="286">
        <f t="shared" si="0"/>
        <v>144.57142857142858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v>12377</v>
      </c>
      <c r="S14" s="286">
        <f t="shared" si="4"/>
        <v>15</v>
      </c>
      <c r="T14" s="531">
        <v>373591</v>
      </c>
      <c r="U14" s="286">
        <f t="shared" si="17"/>
        <v>3750</v>
      </c>
      <c r="V14" s="286">
        <v>250</v>
      </c>
      <c r="W14" s="336"/>
      <c r="X14" s="287">
        <f t="shared" si="18"/>
        <v>12390</v>
      </c>
      <c r="Y14" s="286" t="str">
        <f t="shared" si="30"/>
        <v>ok</v>
      </c>
      <c r="Z14" s="286">
        <f t="shared" si="6"/>
        <v>22</v>
      </c>
      <c r="AA14" s="286">
        <f t="shared" si="19"/>
        <v>4762</v>
      </c>
      <c r="AB14" s="286">
        <f t="shared" si="20"/>
        <v>394.57142857142856</v>
      </c>
      <c r="AC14" s="286">
        <f t="shared" si="21"/>
        <v>216.45454545454547</v>
      </c>
      <c r="AD14" s="73">
        <f>ELEC!Q15</f>
        <v>11450.000000000728</v>
      </c>
      <c r="AE14" s="73">
        <f t="shared" si="23"/>
        <v>520.45454545457858</v>
      </c>
      <c r="AF14" s="401">
        <f t="shared" si="24"/>
        <v>0.32528409090911159</v>
      </c>
      <c r="AG14" s="402">
        <f t="shared" si="25"/>
        <v>104.09090909091572</v>
      </c>
      <c r="AH14" s="402">
        <f t="shared" si="22"/>
        <v>112.36363636362975</v>
      </c>
      <c r="AI14" s="73">
        <f t="shared" si="26"/>
        <v>2947.0464135022971</v>
      </c>
      <c r="AJ14" s="288">
        <f t="shared" si="7"/>
        <v>0.25738396624472576</v>
      </c>
      <c r="AK14" s="288">
        <f t="shared" si="8"/>
        <v>133.95665515919532</v>
      </c>
    </row>
    <row r="15" spans="1:37" ht="15.75" thickBot="1">
      <c r="A15" s="4">
        <f>ELEC!C16</f>
        <v>44360</v>
      </c>
      <c r="B15" s="530">
        <v>10237</v>
      </c>
      <c r="C15" s="286">
        <f t="shared" si="9"/>
        <v>16</v>
      </c>
      <c r="D15" s="531">
        <v>432006</v>
      </c>
      <c r="E15" s="286">
        <f t="shared" si="10"/>
        <v>2986</v>
      </c>
      <c r="F15" s="286">
        <f t="shared" si="0"/>
        <v>186.625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v>12378</v>
      </c>
      <c r="S15" s="286">
        <f t="shared" si="4"/>
        <v>1</v>
      </c>
      <c r="T15" s="531">
        <v>369842</v>
      </c>
      <c r="U15" s="286">
        <f t="shared" si="17"/>
        <v>250</v>
      </c>
      <c r="V15" s="286">
        <v>250</v>
      </c>
      <c r="W15" s="336"/>
      <c r="X15" s="287">
        <f t="shared" si="18"/>
        <v>12390</v>
      </c>
      <c r="Y15" s="286" t="str">
        <f t="shared" si="30"/>
        <v>ok</v>
      </c>
      <c r="Z15" s="286">
        <f t="shared" si="6"/>
        <v>17</v>
      </c>
      <c r="AA15" s="286">
        <f t="shared" si="19"/>
        <v>3236</v>
      </c>
      <c r="AB15" s="286">
        <f t="shared" si="20"/>
        <v>436.625</v>
      </c>
      <c r="AC15" s="286">
        <f t="shared" si="21"/>
        <v>190.35294117647058</v>
      </c>
      <c r="AD15" s="73">
        <f>ELEC!Q16</f>
        <v>13268.000000000029</v>
      </c>
      <c r="AE15" s="73">
        <f t="shared" si="23"/>
        <v>780.47058823529585</v>
      </c>
      <c r="AF15" s="401">
        <f t="shared" si="24"/>
        <v>0.48779411764705993</v>
      </c>
      <c r="AG15" s="402">
        <f t="shared" si="25"/>
        <v>156.09411764705919</v>
      </c>
      <c r="AH15" s="402">
        <f t="shared" si="22"/>
        <v>34.258823529411387</v>
      </c>
      <c r="AI15" s="73">
        <f t="shared" si="26"/>
        <v>3414.970464135029</v>
      </c>
      <c r="AJ15" s="288">
        <f t="shared" si="7"/>
        <v>0.25738396624472576</v>
      </c>
      <c r="AK15" s="288">
        <f t="shared" si="8"/>
        <v>200.88061553735466</v>
      </c>
    </row>
    <row r="16" spans="1:37" ht="15.75" thickBot="1">
      <c r="A16" s="4">
        <f>ELEC!C17</f>
        <v>44361</v>
      </c>
      <c r="B16" s="530">
        <v>10237</v>
      </c>
      <c r="C16" s="286">
        <f t="shared" si="9"/>
        <v>0</v>
      </c>
      <c r="D16" s="531">
        <f t="shared" si="29"/>
        <v>432006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v>12392</v>
      </c>
      <c r="S16" s="286">
        <f t="shared" si="4"/>
        <v>14</v>
      </c>
      <c r="T16" s="531">
        <v>373342</v>
      </c>
      <c r="U16" s="286">
        <f t="shared" si="17"/>
        <v>3500</v>
      </c>
      <c r="V16" s="286">
        <v>250</v>
      </c>
      <c r="W16" s="336"/>
      <c r="X16" s="287">
        <f t="shared" si="18"/>
        <v>12390</v>
      </c>
      <c r="Y16" s="286" t="str">
        <f t="shared" si="30"/>
        <v>oil change</v>
      </c>
      <c r="Z16" s="286">
        <f t="shared" si="6"/>
        <v>14</v>
      </c>
      <c r="AA16" s="286">
        <f t="shared" si="19"/>
        <v>3500</v>
      </c>
      <c r="AB16" s="286">
        <f t="shared" si="20"/>
        <v>250</v>
      </c>
      <c r="AC16" s="286">
        <f t="shared" si="21"/>
        <v>250</v>
      </c>
      <c r="AD16" s="73">
        <f>ELEC!Q17</f>
        <v>8594.0000000009604</v>
      </c>
      <c r="AE16" s="73">
        <f t="shared" si="23"/>
        <v>613.85714285721144</v>
      </c>
      <c r="AF16" s="401">
        <f t="shared" si="24"/>
        <v>0.38366071428575715</v>
      </c>
      <c r="AG16" s="402">
        <f t="shared" si="25"/>
        <v>122.77142857144229</v>
      </c>
      <c r="AH16" s="402">
        <f t="shared" si="22"/>
        <v>127.22857142855771</v>
      </c>
      <c r="AI16" s="73">
        <f t="shared" si="26"/>
        <v>2211.9578059074202</v>
      </c>
      <c r="AJ16" s="288">
        <f t="shared" si="7"/>
        <v>0.25738396624472576</v>
      </c>
      <c r="AK16" s="288">
        <f t="shared" si="8"/>
        <v>157.99698613624429</v>
      </c>
    </row>
    <row r="17" spans="1:37" ht="15.75" thickBot="1">
      <c r="A17" s="4">
        <f>ELEC!C18</f>
        <v>44362</v>
      </c>
      <c r="B17" s="530">
        <v>10243</v>
      </c>
      <c r="C17" s="286">
        <f t="shared" si="9"/>
        <v>6</v>
      </c>
      <c r="D17" s="531">
        <v>433281</v>
      </c>
      <c r="E17" s="286">
        <f t="shared" si="10"/>
        <v>1275</v>
      </c>
      <c r="F17" s="286">
        <f t="shared" si="0"/>
        <v>212.5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647">
        <v>12405</v>
      </c>
      <c r="S17" s="286">
        <f t="shared" si="4"/>
        <v>13</v>
      </c>
      <c r="T17" s="531">
        <v>369842</v>
      </c>
      <c r="U17" s="286">
        <f t="shared" si="17"/>
        <v>3250</v>
      </c>
      <c r="V17" s="286">
        <v>250</v>
      </c>
      <c r="W17" s="336"/>
      <c r="X17" s="287">
        <f t="shared" si="18"/>
        <v>12390</v>
      </c>
      <c r="Y17" s="286" t="str">
        <f t="shared" si="30"/>
        <v>oil change</v>
      </c>
      <c r="Z17" s="286">
        <f t="shared" si="6"/>
        <v>19</v>
      </c>
      <c r="AA17" s="286">
        <f t="shared" si="19"/>
        <v>4525</v>
      </c>
      <c r="AB17" s="286">
        <f t="shared" si="20"/>
        <v>462.5</v>
      </c>
      <c r="AC17" s="286">
        <f t="shared" si="21"/>
        <v>238.15789473684211</v>
      </c>
      <c r="AD17" s="73">
        <f>ELEC!Q18</f>
        <v>12443.999999999505</v>
      </c>
      <c r="AE17" s="73">
        <f t="shared" si="23"/>
        <v>654.94736842102657</v>
      </c>
      <c r="AF17" s="401">
        <f t="shared" si="24"/>
        <v>0.40934210526314163</v>
      </c>
      <c r="AG17" s="402">
        <f t="shared" si="25"/>
        <v>130.98947368420534</v>
      </c>
      <c r="AH17" s="402">
        <f t="shared" si="22"/>
        <v>107.16842105263677</v>
      </c>
      <c r="AI17" s="73">
        <f t="shared" si="26"/>
        <v>3202.88607594924</v>
      </c>
      <c r="AJ17" s="288">
        <f t="shared" si="7"/>
        <v>0.25738396624472576</v>
      </c>
      <c r="AK17" s="288">
        <f t="shared" si="8"/>
        <v>168.57295136574947</v>
      </c>
    </row>
    <row r="18" spans="1:37" ht="15.75" thickBot="1">
      <c r="A18" s="4">
        <f>ELEC!C19</f>
        <v>44363</v>
      </c>
      <c r="B18" s="530">
        <v>10256</v>
      </c>
      <c r="C18" s="286">
        <f t="shared" si="9"/>
        <v>13</v>
      </c>
      <c r="D18" s="531">
        <v>435767</v>
      </c>
      <c r="E18" s="286">
        <f t="shared" si="10"/>
        <v>2486</v>
      </c>
      <c r="F18" s="286">
        <f t="shared" si="0"/>
        <v>191.23076923076923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v>12409</v>
      </c>
      <c r="S18" s="286">
        <f t="shared" si="4"/>
        <v>4</v>
      </c>
      <c r="T18" s="531">
        <v>370842</v>
      </c>
      <c r="U18" s="286">
        <f t="shared" si="17"/>
        <v>1000</v>
      </c>
      <c r="V18" s="286">
        <v>250</v>
      </c>
      <c r="W18" s="336"/>
      <c r="X18" s="287">
        <v>12540</v>
      </c>
      <c r="Y18" s="286" t="str">
        <f t="shared" si="30"/>
        <v>ok</v>
      </c>
      <c r="Z18" s="286">
        <f t="shared" si="6"/>
        <v>17</v>
      </c>
      <c r="AA18" s="286">
        <f t="shared" si="19"/>
        <v>3486</v>
      </c>
      <c r="AB18" s="286">
        <f t="shared" si="20"/>
        <v>441.23076923076923</v>
      </c>
      <c r="AC18" s="286">
        <f t="shared" si="21"/>
        <v>205.05882352941177</v>
      </c>
      <c r="AD18" s="73">
        <f>ELEC!Q19</f>
        <v>13275.000000001455</v>
      </c>
      <c r="AE18" s="73">
        <f t="shared" si="23"/>
        <v>780.88235294126207</v>
      </c>
      <c r="AF18" s="401">
        <f t="shared" si="24"/>
        <v>0.48805147058828879</v>
      </c>
      <c r="AG18" s="402">
        <f t="shared" si="25"/>
        <v>156.17647058825241</v>
      </c>
      <c r="AH18" s="402">
        <f t="shared" si="22"/>
        <v>48.882352941159354</v>
      </c>
      <c r="AI18" s="73">
        <f t="shared" si="26"/>
        <v>3416.7721518991088</v>
      </c>
      <c r="AJ18" s="288">
        <f t="shared" si="7"/>
        <v>0.25738396624472576</v>
      </c>
      <c r="AK18" s="288">
        <f t="shared" si="8"/>
        <v>200.98659717053582</v>
      </c>
    </row>
    <row r="19" spans="1:37" ht="15.75" thickBot="1">
      <c r="A19" s="4">
        <f>ELEC!C20</f>
        <v>44364</v>
      </c>
      <c r="B19" s="530">
        <v>10269</v>
      </c>
      <c r="C19" s="286">
        <f t="shared" si="9"/>
        <v>13</v>
      </c>
      <c r="D19" s="531">
        <v>438387</v>
      </c>
      <c r="E19" s="286">
        <f t="shared" si="10"/>
        <v>2620</v>
      </c>
      <c r="F19" s="286">
        <f t="shared" si="0"/>
        <v>201.53846153846155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1">IF(J19-P19&lt;=0,"ok","oil change")</f>
        <v>ok</v>
      </c>
      <c r="R19" s="531">
        <v>12417</v>
      </c>
      <c r="S19" s="286">
        <f t="shared" si="4"/>
        <v>8</v>
      </c>
      <c r="T19" s="531">
        <v>372842</v>
      </c>
      <c r="U19" s="286">
        <f t="shared" si="17"/>
        <v>2000</v>
      </c>
      <c r="V19" s="286">
        <v>250</v>
      </c>
      <c r="W19" s="336"/>
      <c r="X19" s="287">
        <f t="shared" si="18"/>
        <v>12540</v>
      </c>
      <c r="Y19" s="286" t="str">
        <f t="shared" si="30"/>
        <v>ok</v>
      </c>
      <c r="Z19" s="286">
        <f t="shared" si="6"/>
        <v>21</v>
      </c>
      <c r="AA19" s="286">
        <f t="shared" si="19"/>
        <v>4620</v>
      </c>
      <c r="AB19" s="286">
        <f t="shared" si="20"/>
        <v>451.53846153846155</v>
      </c>
      <c r="AC19" s="286">
        <f t="shared" si="21"/>
        <v>220</v>
      </c>
      <c r="AD19" s="73">
        <f>ELEC!Q20</f>
        <v>10076.999999997497</v>
      </c>
      <c r="AE19" s="73">
        <f t="shared" si="23"/>
        <v>479.85714285702369</v>
      </c>
      <c r="AF19" s="401">
        <f t="shared" si="24"/>
        <v>0.29991071428563981</v>
      </c>
      <c r="AG19" s="402">
        <f t="shared" si="25"/>
        <v>95.971428571404743</v>
      </c>
      <c r="AH19" s="402">
        <f t="shared" si="22"/>
        <v>124.02857142859526</v>
      </c>
      <c r="AI19" s="73">
        <f t="shared" si="26"/>
        <v>2593.6582278474571</v>
      </c>
      <c r="AJ19" s="288">
        <f t="shared" si="7"/>
        <v>0.25738396624472576</v>
      </c>
      <c r="AK19" s="288">
        <f t="shared" si="8"/>
        <v>123.50753465940272</v>
      </c>
    </row>
    <row r="20" spans="1:37" ht="15.75" thickBot="1">
      <c r="A20" s="4">
        <f>ELEC!C21</f>
        <v>44365</v>
      </c>
      <c r="B20" s="530">
        <v>10281</v>
      </c>
      <c r="C20" s="286">
        <f>B20-B19</f>
        <v>12</v>
      </c>
      <c r="D20" s="531">
        <v>439843</v>
      </c>
      <c r="E20" s="286">
        <f t="shared" si="10"/>
        <v>1456</v>
      </c>
      <c r="F20" s="286">
        <f t="shared" si="0"/>
        <v>121.33333333333333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1"/>
        <v>ok</v>
      </c>
      <c r="R20" s="531">
        <v>12424</v>
      </c>
      <c r="S20" s="286">
        <f t="shared" si="4"/>
        <v>7</v>
      </c>
      <c r="T20" s="531">
        <v>374592</v>
      </c>
      <c r="U20" s="286">
        <f t="shared" si="17"/>
        <v>1750</v>
      </c>
      <c r="V20" s="286">
        <v>250</v>
      </c>
      <c r="W20" s="336"/>
      <c r="X20" s="287">
        <f t="shared" si="18"/>
        <v>12540</v>
      </c>
      <c r="Y20" s="286" t="str">
        <f t="shared" si="30"/>
        <v>ok</v>
      </c>
      <c r="Z20" s="286">
        <f t="shared" si="6"/>
        <v>19</v>
      </c>
      <c r="AA20" s="286">
        <f t="shared" si="19"/>
        <v>3206</v>
      </c>
      <c r="AB20" s="286">
        <f t="shared" si="20"/>
        <v>371.33333333333331</v>
      </c>
      <c r="AC20" s="286">
        <f t="shared" si="21"/>
        <v>168.73684210526315</v>
      </c>
      <c r="AD20" s="73">
        <f>ELEC!Q21</f>
        <v>11510.000000002037</v>
      </c>
      <c r="AE20" s="73">
        <f t="shared" si="23"/>
        <v>605.78947368431773</v>
      </c>
      <c r="AF20" s="401">
        <f t="shared" si="24"/>
        <v>0.37861842105269861</v>
      </c>
      <c r="AG20" s="402">
        <f t="shared" si="25"/>
        <v>121.15789473686355</v>
      </c>
      <c r="AH20" s="402">
        <f t="shared" si="22"/>
        <v>47.578947368399596</v>
      </c>
      <c r="AI20" s="73">
        <f>AD20*AJ20</f>
        <v>2962.4894514773177</v>
      </c>
      <c r="AJ20" s="288">
        <f t="shared" si="7"/>
        <v>0.25738396624472576</v>
      </c>
      <c r="AK20" s="288">
        <f t="shared" si="8"/>
        <v>155.92049744617461</v>
      </c>
    </row>
    <row r="21" spans="1:37" ht="15.75" thickBot="1">
      <c r="A21" s="4">
        <f>ELEC!C22</f>
        <v>44366</v>
      </c>
      <c r="B21" s="530">
        <v>10293</v>
      </c>
      <c r="C21" s="286">
        <f>B21-B20</f>
        <v>12</v>
      </c>
      <c r="D21" s="531">
        <v>440996</v>
      </c>
      <c r="E21" s="286">
        <f t="shared" si="10"/>
        <v>1153</v>
      </c>
      <c r="F21" s="286">
        <f t="shared" si="0"/>
        <v>96.083333333333329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1"/>
        <v>ok</v>
      </c>
      <c r="R21" s="531">
        <v>12432</v>
      </c>
      <c r="S21" s="286">
        <f t="shared" si="4"/>
        <v>8</v>
      </c>
      <c r="T21" s="531">
        <v>369849</v>
      </c>
      <c r="U21" s="286">
        <f t="shared" si="17"/>
        <v>2000</v>
      </c>
      <c r="V21" s="286">
        <v>250</v>
      </c>
      <c r="W21" s="196"/>
      <c r="X21" s="287">
        <f t="shared" si="18"/>
        <v>12540</v>
      </c>
      <c r="Y21" s="286" t="str">
        <f>Y20</f>
        <v>ok</v>
      </c>
      <c r="Z21" s="286">
        <f t="shared" si="6"/>
        <v>20</v>
      </c>
      <c r="AA21" s="286">
        <f t="shared" si="19"/>
        <v>3153</v>
      </c>
      <c r="AB21" s="286">
        <f t="shared" si="20"/>
        <v>346.08333333333331</v>
      </c>
      <c r="AC21" s="286">
        <f t="shared" si="21"/>
        <v>157.65</v>
      </c>
      <c r="AD21" s="73">
        <f>ELEC!Q22</f>
        <v>13012.99999999901</v>
      </c>
      <c r="AE21" s="73">
        <f t="shared" si="23"/>
        <v>650.64999999995052</v>
      </c>
      <c r="AF21" s="401">
        <f t="shared" si="24"/>
        <v>0.40665624999996908</v>
      </c>
      <c r="AG21" s="402">
        <f t="shared" si="25"/>
        <v>130.1299999999901</v>
      </c>
      <c r="AH21" s="402">
        <f t="shared" si="22"/>
        <v>27.520000000009901</v>
      </c>
      <c r="AI21" s="73">
        <f t="shared" si="26"/>
        <v>3349.3375527423618</v>
      </c>
      <c r="AJ21" s="288">
        <f t="shared" si="7"/>
        <v>0.25738396624472576</v>
      </c>
      <c r="AK21" s="288">
        <f t="shared" si="8"/>
        <v>167.4668776371181</v>
      </c>
    </row>
    <row r="22" spans="1:37" ht="15.75" thickBot="1">
      <c r="A22" s="4">
        <f>ELEC!C23</f>
        <v>44367</v>
      </c>
      <c r="B22" s="530">
        <v>10311</v>
      </c>
      <c r="C22" s="286">
        <f t="shared" si="9"/>
        <v>18</v>
      </c>
      <c r="D22" s="531">
        <v>442725</v>
      </c>
      <c r="E22" s="286">
        <f>150*C22</f>
        <v>2700</v>
      </c>
      <c r="F22" s="286">
        <f t="shared" si="0"/>
        <v>150</v>
      </c>
      <c r="G22" s="196"/>
      <c r="H22" s="270">
        <f t="shared" si="11"/>
        <v>10310</v>
      </c>
      <c r="I22" s="286" t="str">
        <f t="shared" si="1"/>
        <v>oil change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1"/>
        <v>ok</v>
      </c>
      <c r="R22" s="531">
        <v>12432</v>
      </c>
      <c r="S22" s="286">
        <f t="shared" si="4"/>
        <v>0</v>
      </c>
      <c r="T22" s="531">
        <f t="shared" si="27"/>
        <v>369849</v>
      </c>
      <c r="U22" s="286">
        <v>0</v>
      </c>
      <c r="V22" s="286">
        <v>250</v>
      </c>
      <c r="W22" s="196"/>
      <c r="X22" s="287">
        <f t="shared" si="18"/>
        <v>12540</v>
      </c>
      <c r="Y22" s="286" t="str">
        <f t="shared" ref="Y22:Y30" si="32">IF(R22-X22&lt;=0,"ok","oil change")</f>
        <v>ok</v>
      </c>
      <c r="Z22" s="286">
        <f t="shared" si="6"/>
        <v>18</v>
      </c>
      <c r="AA22" s="286">
        <f t="shared" si="19"/>
        <v>2700</v>
      </c>
      <c r="AB22" s="286">
        <f t="shared" si="20"/>
        <v>400</v>
      </c>
      <c r="AC22" s="286">
        <f t="shared" si="21"/>
        <v>150</v>
      </c>
      <c r="AD22" s="73">
        <f>ELEC!Q23</f>
        <v>13511.999999998807</v>
      </c>
      <c r="AE22" s="73">
        <f t="shared" si="23"/>
        <v>750.66666666660035</v>
      </c>
      <c r="AF22" s="401">
        <f t="shared" si="24"/>
        <v>0.46916666666662521</v>
      </c>
      <c r="AG22" s="402">
        <f t="shared" si="25"/>
        <v>150.13333333332008</v>
      </c>
      <c r="AH22" s="402">
        <f t="shared" si="22"/>
        <v>-0.13333333332008124</v>
      </c>
      <c r="AI22" s="73">
        <f t="shared" si="26"/>
        <v>3477.7721518984272</v>
      </c>
      <c r="AJ22" s="288">
        <f t="shared" si="7"/>
        <v>0.25738396624472576</v>
      </c>
      <c r="AK22" s="288">
        <f t="shared" si="8"/>
        <v>193.20956399435707</v>
      </c>
    </row>
    <row r="23" spans="1:37" ht="15.75" thickBot="1">
      <c r="A23" s="4">
        <f>ELEC!C24</f>
        <v>44368</v>
      </c>
      <c r="B23" s="530">
        <v>10323</v>
      </c>
      <c r="C23" s="286">
        <f t="shared" si="9"/>
        <v>12</v>
      </c>
      <c r="D23" s="531">
        <v>446899</v>
      </c>
      <c r="E23" s="286">
        <f>150*C23</f>
        <v>1800</v>
      </c>
      <c r="F23" s="286">
        <f t="shared" si="0"/>
        <v>150</v>
      </c>
      <c r="G23" s="196"/>
      <c r="H23" s="270">
        <f t="shared" si="11"/>
        <v>10310</v>
      </c>
      <c r="I23" s="286" t="str">
        <f t="shared" si="1"/>
        <v>oil change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1"/>
        <v>ok</v>
      </c>
      <c r="R23" s="531">
        <v>12442</v>
      </c>
      <c r="S23" s="286">
        <f>R23-R22</f>
        <v>10</v>
      </c>
      <c r="T23" s="531">
        <v>369851</v>
      </c>
      <c r="U23" s="286">
        <f t="shared" si="17"/>
        <v>2500</v>
      </c>
      <c r="V23" s="286">
        <v>250</v>
      </c>
      <c r="W23" s="196"/>
      <c r="X23" s="287">
        <f t="shared" si="18"/>
        <v>12540</v>
      </c>
      <c r="Y23" s="286" t="str">
        <f t="shared" si="32"/>
        <v>ok</v>
      </c>
      <c r="Z23" s="286">
        <f t="shared" si="6"/>
        <v>22</v>
      </c>
      <c r="AA23" s="286">
        <f t="shared" si="19"/>
        <v>4300</v>
      </c>
      <c r="AB23" s="286">
        <f t="shared" si="20"/>
        <v>400</v>
      </c>
      <c r="AC23" s="286">
        <f t="shared" si="21"/>
        <v>195.45454545454547</v>
      </c>
      <c r="AD23" s="73">
        <f>ELEC!Q24</f>
        <v>11498.000000003231</v>
      </c>
      <c r="AE23" s="73">
        <f t="shared" si="23"/>
        <v>522.63636363651051</v>
      </c>
      <c r="AF23" s="401">
        <f t="shared" si="24"/>
        <v>0.32664772727281904</v>
      </c>
      <c r="AG23" s="402">
        <f t="shared" si="25"/>
        <v>104.52727272730209</v>
      </c>
      <c r="AH23" s="402">
        <f t="shared" si="22"/>
        <v>90.927272727243377</v>
      </c>
      <c r="AI23" s="73">
        <f t="shared" si="26"/>
        <v>2959.4008438826882</v>
      </c>
      <c r="AJ23" s="288">
        <f t="shared" si="7"/>
        <v>0.25738396624472576</v>
      </c>
      <c r="AK23" s="288">
        <f t="shared" si="8"/>
        <v>134.51822017648581</v>
      </c>
    </row>
    <row r="24" spans="1:37" ht="15.75" thickBot="1">
      <c r="A24" s="4">
        <f>ELEC!C25</f>
        <v>44369</v>
      </c>
      <c r="B24" s="530">
        <f t="shared" si="28"/>
        <v>10323</v>
      </c>
      <c r="C24" s="286">
        <f t="shared" si="9"/>
        <v>0</v>
      </c>
      <c r="D24" s="531">
        <f t="shared" si="29"/>
        <v>446899</v>
      </c>
      <c r="E24" s="286">
        <f t="shared" si="10"/>
        <v>0</v>
      </c>
      <c r="F24" s="286">
        <f t="shared" si="0"/>
        <v>0</v>
      </c>
      <c r="G24" s="196"/>
      <c r="H24" s="270">
        <f t="shared" si="11"/>
        <v>10310</v>
      </c>
      <c r="I24" s="286" t="str">
        <f t="shared" si="1"/>
        <v>oil change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1"/>
        <v>ok</v>
      </c>
      <c r="R24" s="531">
        <f t="shared" ref="R24:R32" si="33">R23</f>
        <v>12442</v>
      </c>
      <c r="S24" s="286">
        <f t="shared" si="4"/>
        <v>0</v>
      </c>
      <c r="T24" s="531">
        <f t="shared" si="27"/>
        <v>369851</v>
      </c>
      <c r="U24" s="286">
        <f t="shared" si="17"/>
        <v>0</v>
      </c>
      <c r="V24" s="286">
        <v>250</v>
      </c>
      <c r="W24" s="196"/>
      <c r="X24" s="287">
        <f t="shared" si="18"/>
        <v>12540</v>
      </c>
      <c r="Y24" s="286" t="str">
        <f t="shared" si="32"/>
        <v>ok</v>
      </c>
      <c r="Z24" s="286">
        <f t="shared" si="6"/>
        <v>0</v>
      </c>
      <c r="AA24" s="286">
        <f t="shared" si="19"/>
        <v>0</v>
      </c>
      <c r="AB24" s="286">
        <f t="shared" si="20"/>
        <v>250</v>
      </c>
      <c r="AC24" s="286">
        <f t="shared" si="21"/>
        <v>0</v>
      </c>
      <c r="AD24" s="73">
        <f>ELEC!Q25</f>
        <v>0</v>
      </c>
      <c r="AE24" s="73" t="e">
        <f t="shared" si="23"/>
        <v>#DIV/0!</v>
      </c>
      <c r="AF24" s="401" t="e">
        <f t="shared" si="24"/>
        <v>#DIV/0!</v>
      </c>
      <c r="AG24" s="402" t="e">
        <f t="shared" si="25"/>
        <v>#DIV/0!</v>
      </c>
      <c r="AH24" s="402" t="e">
        <f t="shared" si="22"/>
        <v>#DIV/0!</v>
      </c>
      <c r="AI24" s="73">
        <f t="shared" si="26"/>
        <v>0</v>
      </c>
      <c r="AJ24" s="288">
        <f t="shared" si="7"/>
        <v>0.25738396624472576</v>
      </c>
      <c r="AK24" s="288" t="e">
        <f t="shared" si="8"/>
        <v>#DIV/0!</v>
      </c>
    </row>
    <row r="25" spans="1:37" ht="15.75" thickBot="1">
      <c r="A25" s="4">
        <f>ELEC!C26</f>
        <v>44370</v>
      </c>
      <c r="B25" s="530">
        <f t="shared" si="28"/>
        <v>10323</v>
      </c>
      <c r="C25" s="286">
        <f t="shared" si="9"/>
        <v>0</v>
      </c>
      <c r="D25" s="531">
        <f t="shared" si="29"/>
        <v>446899</v>
      </c>
      <c r="E25" s="286">
        <f t="shared" si="10"/>
        <v>0</v>
      </c>
      <c r="F25" s="286">
        <f t="shared" si="0"/>
        <v>0</v>
      </c>
      <c r="G25" s="196"/>
      <c r="H25" s="270">
        <f t="shared" si="11"/>
        <v>10310</v>
      </c>
      <c r="I25" s="286" t="str">
        <f t="shared" si="1"/>
        <v>oil change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1"/>
        <v>ok</v>
      </c>
      <c r="R25" s="531">
        <f t="shared" si="33"/>
        <v>12442</v>
      </c>
      <c r="S25" s="286">
        <f t="shared" si="4"/>
        <v>0</v>
      </c>
      <c r="T25" s="531">
        <f t="shared" si="27"/>
        <v>369851</v>
      </c>
      <c r="U25" s="286">
        <f t="shared" si="17"/>
        <v>0</v>
      </c>
      <c r="V25" s="286">
        <v>250</v>
      </c>
      <c r="W25" s="196"/>
      <c r="X25" s="287">
        <f t="shared" si="18"/>
        <v>12540</v>
      </c>
      <c r="Y25" s="286" t="str">
        <f t="shared" si="32"/>
        <v>ok</v>
      </c>
      <c r="Z25" s="286">
        <f t="shared" si="6"/>
        <v>0</v>
      </c>
      <c r="AA25" s="286">
        <f t="shared" si="19"/>
        <v>0</v>
      </c>
      <c r="AB25" s="286">
        <f t="shared" si="20"/>
        <v>250</v>
      </c>
      <c r="AC25" s="286">
        <f t="shared" si="21"/>
        <v>0</v>
      </c>
      <c r="AD25" s="73">
        <f>ELEC!Q26</f>
        <v>0</v>
      </c>
      <c r="AE25" s="73" t="e">
        <f t="shared" si="23"/>
        <v>#DIV/0!</v>
      </c>
      <c r="AF25" s="401" t="e">
        <f t="shared" si="24"/>
        <v>#DIV/0!</v>
      </c>
      <c r="AG25" s="402" t="e">
        <f t="shared" si="25"/>
        <v>#DIV/0!</v>
      </c>
      <c r="AH25" s="402" t="e">
        <f t="shared" si="22"/>
        <v>#DIV/0!</v>
      </c>
      <c r="AI25" s="73">
        <f t="shared" si="26"/>
        <v>0</v>
      </c>
      <c r="AJ25" s="288">
        <f t="shared" si="7"/>
        <v>0.25738396624472576</v>
      </c>
      <c r="AK25" s="288" t="e">
        <f t="shared" si="8"/>
        <v>#DIV/0!</v>
      </c>
    </row>
    <row r="26" spans="1:37" ht="15.75" thickBot="1">
      <c r="A26" s="4">
        <f>ELEC!C27</f>
        <v>44371</v>
      </c>
      <c r="B26" s="530">
        <f t="shared" si="28"/>
        <v>10323</v>
      </c>
      <c r="C26" s="286">
        <f t="shared" si="9"/>
        <v>0</v>
      </c>
      <c r="D26" s="531">
        <f t="shared" si="29"/>
        <v>446899</v>
      </c>
      <c r="E26" s="286">
        <f>SUM(D26-D25)</f>
        <v>0</v>
      </c>
      <c r="F26" s="286">
        <f t="shared" si="0"/>
        <v>0</v>
      </c>
      <c r="G26" s="196"/>
      <c r="H26" s="270">
        <f t="shared" si="11"/>
        <v>10310</v>
      </c>
      <c r="I26" s="286" t="str">
        <f t="shared" si="1"/>
        <v>oil change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1"/>
        <v>ok</v>
      </c>
      <c r="R26" s="531">
        <f t="shared" si="33"/>
        <v>12442</v>
      </c>
      <c r="S26" s="286">
        <f t="shared" si="4"/>
        <v>0</v>
      </c>
      <c r="T26" s="531">
        <f t="shared" si="27"/>
        <v>369851</v>
      </c>
      <c r="U26" s="286">
        <f t="shared" si="17"/>
        <v>0</v>
      </c>
      <c r="V26" s="286">
        <v>250</v>
      </c>
      <c r="W26" s="196"/>
      <c r="X26" s="287">
        <f t="shared" si="18"/>
        <v>12540</v>
      </c>
      <c r="Y26" s="286" t="str">
        <f t="shared" si="32"/>
        <v>ok</v>
      </c>
      <c r="Z26" s="286">
        <f t="shared" si="6"/>
        <v>0</v>
      </c>
      <c r="AA26" s="286">
        <f t="shared" si="19"/>
        <v>0</v>
      </c>
      <c r="AB26" s="286">
        <f t="shared" si="20"/>
        <v>250</v>
      </c>
      <c r="AC26" s="286">
        <f t="shared" si="21"/>
        <v>0</v>
      </c>
      <c r="AD26" s="73">
        <f>ELEC!Q27</f>
        <v>0</v>
      </c>
      <c r="AE26" s="73" t="e">
        <f t="shared" si="23"/>
        <v>#DIV/0!</v>
      </c>
      <c r="AF26" s="401" t="e">
        <f t="shared" si="24"/>
        <v>#DIV/0!</v>
      </c>
      <c r="AG26" s="402" t="e">
        <f t="shared" si="25"/>
        <v>#DIV/0!</v>
      </c>
      <c r="AH26" s="402" t="e">
        <f t="shared" si="22"/>
        <v>#DIV/0!</v>
      </c>
      <c r="AI26" s="73">
        <f t="shared" si="26"/>
        <v>0</v>
      </c>
      <c r="AJ26" s="288">
        <f t="shared" si="7"/>
        <v>0.25738396624472576</v>
      </c>
      <c r="AK26" s="288" t="e">
        <f t="shared" si="8"/>
        <v>#DIV/0!</v>
      </c>
    </row>
    <row r="27" spans="1:37" ht="15.75" thickBot="1">
      <c r="A27" s="4">
        <f>ELEC!C28</f>
        <v>44372</v>
      </c>
      <c r="B27" s="530">
        <f t="shared" si="28"/>
        <v>10323</v>
      </c>
      <c r="C27" s="286">
        <f t="shared" si="9"/>
        <v>0</v>
      </c>
      <c r="D27" s="531">
        <f t="shared" si="29"/>
        <v>446899</v>
      </c>
      <c r="E27" s="286">
        <f t="shared" si="10"/>
        <v>0</v>
      </c>
      <c r="F27" s="286">
        <f t="shared" si="0"/>
        <v>0</v>
      </c>
      <c r="G27" s="196"/>
      <c r="H27" s="270">
        <f t="shared" si="11"/>
        <v>10310</v>
      </c>
      <c r="I27" s="286" t="str">
        <f>IF(B27-H27&lt;=0,"ok","oil change")</f>
        <v>oil change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1"/>
        <v>ok</v>
      </c>
      <c r="R27" s="531">
        <f t="shared" si="33"/>
        <v>12442</v>
      </c>
      <c r="S27" s="286">
        <f t="shared" si="4"/>
        <v>0</v>
      </c>
      <c r="T27" s="531">
        <f t="shared" si="27"/>
        <v>369851</v>
      </c>
      <c r="U27" s="286">
        <f t="shared" si="17"/>
        <v>0</v>
      </c>
      <c r="V27" s="286">
        <v>250</v>
      </c>
      <c r="W27" s="196"/>
      <c r="X27" s="287">
        <f t="shared" si="18"/>
        <v>12540</v>
      </c>
      <c r="Y27" s="286" t="str">
        <f t="shared" si="32"/>
        <v>ok</v>
      </c>
      <c r="Z27" s="286">
        <f t="shared" si="6"/>
        <v>0</v>
      </c>
      <c r="AA27" s="286">
        <f t="shared" si="19"/>
        <v>0</v>
      </c>
      <c r="AB27" s="286">
        <f t="shared" si="20"/>
        <v>250</v>
      </c>
      <c r="AC27" s="286">
        <f t="shared" si="21"/>
        <v>0</v>
      </c>
      <c r="AD27" s="73">
        <f>ELEC!Q28</f>
        <v>0</v>
      </c>
      <c r="AE27" s="73" t="e">
        <f t="shared" si="23"/>
        <v>#DIV/0!</v>
      </c>
      <c r="AF27" s="401" t="e">
        <f t="shared" si="24"/>
        <v>#DIV/0!</v>
      </c>
      <c r="AG27" s="402" t="e">
        <f t="shared" si="25"/>
        <v>#DIV/0!</v>
      </c>
      <c r="AH27" s="402" t="e">
        <f t="shared" si="22"/>
        <v>#DIV/0!</v>
      </c>
      <c r="AI27" s="73">
        <f t="shared" si="26"/>
        <v>0</v>
      </c>
      <c r="AJ27" s="288">
        <f t="shared" si="7"/>
        <v>0.25738396624472576</v>
      </c>
      <c r="AK27" s="288" t="e">
        <f t="shared" si="8"/>
        <v>#DIV/0!</v>
      </c>
    </row>
    <row r="28" spans="1:37" ht="15.75" thickBot="1">
      <c r="A28" s="4">
        <f>ELEC!C29</f>
        <v>44373</v>
      </c>
      <c r="B28" s="530">
        <f t="shared" si="28"/>
        <v>10323</v>
      </c>
      <c r="C28" s="286">
        <f t="shared" si="9"/>
        <v>0</v>
      </c>
      <c r="D28" s="531">
        <f t="shared" si="29"/>
        <v>446899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10310</v>
      </c>
      <c r="I28" s="286" t="str">
        <f t="shared" si="1"/>
        <v>oil change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1"/>
        <v>ok</v>
      </c>
      <c r="R28" s="531">
        <f t="shared" si="33"/>
        <v>12442</v>
      </c>
      <c r="S28" s="286">
        <f t="shared" si="4"/>
        <v>0</v>
      </c>
      <c r="T28" s="531">
        <f t="shared" si="27"/>
        <v>369851</v>
      </c>
      <c r="U28" s="286">
        <f t="shared" si="17"/>
        <v>0</v>
      </c>
      <c r="V28" s="286">
        <v>250</v>
      </c>
      <c r="W28" s="196"/>
      <c r="X28" s="287">
        <f t="shared" si="18"/>
        <v>12540</v>
      </c>
      <c r="Y28" s="286" t="str">
        <f t="shared" si="32"/>
        <v>ok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.75" thickBot="1">
      <c r="A29" s="4">
        <f>ELEC!C30</f>
        <v>44374</v>
      </c>
      <c r="B29" s="530">
        <f t="shared" si="28"/>
        <v>10323</v>
      </c>
      <c r="C29" s="286">
        <f t="shared" si="9"/>
        <v>0</v>
      </c>
      <c r="D29" s="531">
        <f t="shared" si="29"/>
        <v>446899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10310</v>
      </c>
      <c r="I29" s="286" t="str">
        <f t="shared" si="1"/>
        <v>oil change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1"/>
        <v>ok</v>
      </c>
      <c r="R29" s="531">
        <f t="shared" si="33"/>
        <v>12442</v>
      </c>
      <c r="S29" s="286">
        <f t="shared" si="4"/>
        <v>0</v>
      </c>
      <c r="T29" s="531">
        <f t="shared" si="27"/>
        <v>369851</v>
      </c>
      <c r="U29" s="286">
        <f t="shared" si="17"/>
        <v>0</v>
      </c>
      <c r="V29" s="286">
        <v>250</v>
      </c>
      <c r="W29" s="196"/>
      <c r="X29" s="287">
        <f t="shared" si="18"/>
        <v>12540</v>
      </c>
      <c r="Y29" s="286" t="str">
        <f t="shared" si="32"/>
        <v>ok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.75" thickBot="1">
      <c r="A30" s="4">
        <f>ELEC!C31</f>
        <v>44375</v>
      </c>
      <c r="B30" s="530">
        <f t="shared" si="28"/>
        <v>10323</v>
      </c>
      <c r="C30" s="286">
        <f t="shared" si="9"/>
        <v>0</v>
      </c>
      <c r="D30" s="531">
        <f t="shared" si="29"/>
        <v>446899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10310</v>
      </c>
      <c r="I30" s="286" t="str">
        <f t="shared" si="1"/>
        <v>oil change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1"/>
        <v>ok</v>
      </c>
      <c r="R30" s="531">
        <f t="shared" si="33"/>
        <v>12442</v>
      </c>
      <c r="S30" s="286">
        <f t="shared" si="4"/>
        <v>0</v>
      </c>
      <c r="T30" s="531">
        <f t="shared" si="27"/>
        <v>369851</v>
      </c>
      <c r="U30" s="286">
        <f t="shared" si="17"/>
        <v>0</v>
      </c>
      <c r="V30" s="286">
        <v>250</v>
      </c>
      <c r="W30" s="284"/>
      <c r="X30" s="287">
        <f t="shared" si="18"/>
        <v>12540</v>
      </c>
      <c r="Y30" s="286" t="str">
        <f t="shared" si="32"/>
        <v>ok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.75" thickBot="1">
      <c r="A31" s="4">
        <f>ELEC!C32</f>
        <v>44376</v>
      </c>
      <c r="B31" s="530">
        <f t="shared" si="28"/>
        <v>10323</v>
      </c>
      <c r="C31" s="286">
        <f>B31-B30</f>
        <v>0</v>
      </c>
      <c r="D31" s="531">
        <f t="shared" si="29"/>
        <v>446899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10310</v>
      </c>
      <c r="I31" s="286" t="str">
        <f>IF(B31-H31&lt;=0,"ok","oil change")</f>
        <v>oil change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3"/>
        <v>12442</v>
      </c>
      <c r="S31" s="286">
        <f>R31-R30</f>
        <v>0</v>
      </c>
      <c r="T31" s="531">
        <f t="shared" si="27"/>
        <v>369851</v>
      </c>
      <c r="U31" s="286">
        <f t="shared" si="17"/>
        <v>0</v>
      </c>
      <c r="V31" s="286">
        <v>250</v>
      </c>
      <c r="W31" s="336"/>
      <c r="X31" s="287">
        <f t="shared" si="18"/>
        <v>12540</v>
      </c>
      <c r="Y31" s="286" t="str">
        <f>IF(R31-X31&lt;=0,"ok","oil change")</f>
        <v>ok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10323</v>
      </c>
      <c r="C32" s="286">
        <f>B32-B31</f>
        <v>0</v>
      </c>
      <c r="D32" s="531">
        <f t="shared" si="29"/>
        <v>446899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10310</v>
      </c>
      <c r="I32" s="286" t="str">
        <f>IF(B32-H32&lt;=0,"ok","oil change")</f>
        <v>oil change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3"/>
        <v>12442</v>
      </c>
      <c r="S32" s="286">
        <f>R32-R31</f>
        <v>0</v>
      </c>
      <c r="T32" s="531">
        <f t="shared" si="27"/>
        <v>369851</v>
      </c>
      <c r="U32" s="286">
        <f t="shared" si="17"/>
        <v>0</v>
      </c>
      <c r="V32" s="286">
        <v>250</v>
      </c>
      <c r="W32" s="336"/>
      <c r="X32" s="287">
        <f t="shared" si="18"/>
        <v>12540</v>
      </c>
      <c r="Y32" s="286" t="str">
        <f>IF(R32-X32&lt;=0,"ok","oil change")</f>
        <v>ok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383</v>
      </c>
      <c r="V33" s="40"/>
      <c r="X33">
        <v>341</v>
      </c>
      <c r="Z33" s="419">
        <f>SUM(Z3:Z32)</f>
        <v>383</v>
      </c>
    </row>
    <row r="34" spans="3:26">
      <c r="C34" s="40">
        <f>SUM(C3:C32)</f>
        <v>200</v>
      </c>
      <c r="K34" s="40">
        <f>SUM(K3:K32)</f>
        <v>0</v>
      </c>
      <c r="S34" s="40">
        <f>SUM(S3:S32)</f>
        <v>183</v>
      </c>
      <c r="U34" s="40"/>
      <c r="V34" s="40"/>
      <c r="X34" s="40"/>
    </row>
  </sheetData>
  <conditionalFormatting sqref="K3:K32 S3:S32 Z3:Z32 C3:C32">
    <cfRule type="cellIs" dxfId="6" priority="11" stopIfTrue="1" operator="equal">
      <formula>0</formula>
    </cfRule>
  </conditionalFormatting>
  <conditionalFormatting sqref="AA3:AB32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topLeftCell="A7" zoomScale="90" zoomScaleNormal="90" workbookViewId="0">
      <pane xSplit="1" topLeftCell="AK1" activePane="topRight" state="frozen"/>
      <selection pane="topRight" activeCell="AT26" sqref="AT26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1406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2" t="s">
        <v>108</v>
      </c>
      <c r="AS3" s="672" t="s">
        <v>233</v>
      </c>
      <c r="AT3" s="670" t="s">
        <v>301</v>
      </c>
      <c r="AU3" s="671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3"/>
      <c r="AS4" s="673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20" si="18">SUM(AR6-AR5-AT6)</f>
        <v>-4486.8387096774313</v>
      </c>
      <c r="AT6" s="353"/>
      <c r="AU6" s="641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1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20" si="42">Y8+AO8</f>
        <v>70412.451612903242</v>
      </c>
      <c r="AS8" s="197">
        <f t="shared" si="18"/>
        <v>-2097.8709677419174</v>
      </c>
      <c r="AT8" s="353">
        <v>15285</v>
      </c>
      <c r="AU8" s="641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1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1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1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1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2659.0337552738274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216</v>
      </c>
      <c r="C13" s="203">
        <f t="shared" si="20"/>
        <v>4647.4838709677415</v>
      </c>
      <c r="D13">
        <f t="shared" si="21"/>
        <v>216</v>
      </c>
      <c r="E13" s="203">
        <f t="shared" si="20"/>
        <v>4647.4838709677415</v>
      </c>
      <c r="F13">
        <f t="shared" si="22"/>
        <v>216</v>
      </c>
      <c r="G13" s="203">
        <f t="shared" si="1"/>
        <v>4647.4838709677415</v>
      </c>
      <c r="H13" s="203">
        <f t="shared" si="23"/>
        <v>216</v>
      </c>
      <c r="I13" s="203">
        <f t="shared" si="2"/>
        <v>4647.4838709677415</v>
      </c>
      <c r="J13" s="203">
        <f t="shared" si="24"/>
        <v>216</v>
      </c>
      <c r="K13" s="203">
        <f t="shared" si="3"/>
        <v>4647.4838709677415</v>
      </c>
      <c r="L13" s="203">
        <f t="shared" si="25"/>
        <v>216</v>
      </c>
      <c r="M13" s="203">
        <f t="shared" si="4"/>
        <v>4647.4838709677415</v>
      </c>
      <c r="N13" s="203">
        <f t="shared" si="26"/>
        <v>216</v>
      </c>
      <c r="O13" s="203">
        <f t="shared" si="5"/>
        <v>4647.4838709677415</v>
      </c>
      <c r="P13" s="203">
        <f t="shared" si="27"/>
        <v>216</v>
      </c>
      <c r="Q13" s="203">
        <f t="shared" si="6"/>
        <v>4647.4838709677415</v>
      </c>
      <c r="R13" s="203">
        <f t="shared" si="28"/>
        <v>216</v>
      </c>
      <c r="S13" s="203">
        <f t="shared" si="7"/>
        <v>4647.4838709677415</v>
      </c>
      <c r="T13" s="203">
        <f t="shared" si="29"/>
        <v>216</v>
      </c>
      <c r="U13" s="203">
        <f t="shared" si="8"/>
        <v>4647.4838709677415</v>
      </c>
      <c r="V13" s="203">
        <f t="shared" si="30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31"/>
        <v>51122.322580645159</v>
      </c>
      <c r="Z13" s="203">
        <f>'B5'!C12</f>
        <v>223</v>
      </c>
      <c r="AA13" s="203">
        <f t="shared" si="32"/>
        <v>2230</v>
      </c>
      <c r="AB13" s="203">
        <f t="shared" si="33"/>
        <v>223</v>
      </c>
      <c r="AC13" s="203">
        <f t="shared" si="32"/>
        <v>2230</v>
      </c>
      <c r="AD13" s="203">
        <f t="shared" si="34"/>
        <v>223</v>
      </c>
      <c r="AE13" s="203">
        <f t="shared" si="11"/>
        <v>2230</v>
      </c>
      <c r="AF13" s="203">
        <f t="shared" si="35"/>
        <v>223</v>
      </c>
      <c r="AG13" s="203">
        <f t="shared" si="12"/>
        <v>2230</v>
      </c>
      <c r="AH13" s="203">
        <f t="shared" si="36"/>
        <v>223</v>
      </c>
      <c r="AI13" s="203">
        <f t="shared" si="13"/>
        <v>2230</v>
      </c>
      <c r="AJ13" s="203">
        <f t="shared" si="37"/>
        <v>223</v>
      </c>
      <c r="AK13" s="203">
        <f t="shared" si="14"/>
        <v>2230</v>
      </c>
      <c r="AL13" s="203">
        <f t="shared" si="38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17"/>
        <v>15610</v>
      </c>
      <c r="AP13" s="553"/>
      <c r="AQ13" s="223">
        <f t="shared" si="39"/>
        <v>0.71778339873771269</v>
      </c>
      <c r="AR13" s="38">
        <f t="shared" si="42"/>
        <v>66732.322580645152</v>
      </c>
      <c r="AS13" s="197">
        <f t="shared" si="18"/>
        <v>-3610.1290322580899</v>
      </c>
      <c r="AT13" s="353"/>
      <c r="AU13" s="641"/>
      <c r="AV13" s="511">
        <f t="shared" si="43"/>
        <v>1.0029999999999999</v>
      </c>
      <c r="AW13" s="289">
        <f>-SUM('B5'!AI12)</f>
        <v>-158</v>
      </c>
      <c r="AX13" s="289">
        <f t="shared" si="19"/>
        <v>-3452.1290322580899</v>
      </c>
      <c r="AY13" s="37">
        <f t="shared" si="40"/>
        <v>-3610.1290322580899</v>
      </c>
      <c r="AZ13" s="100">
        <f>ELEC!A11</f>
        <v>0</v>
      </c>
      <c r="BA13" s="118">
        <f>'General information '!D13</f>
        <v>25</v>
      </c>
      <c r="BB13" s="392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(305/1185)*ELEC!Q12</f>
        <v>3407.7637130805811</v>
      </c>
      <c r="BF13" s="14"/>
      <c r="BG13" s="14" t="e">
        <f>#REF!-BE13</f>
        <v>#REF!</v>
      </c>
      <c r="BH13" s="11"/>
      <c r="BI13">
        <v>5</v>
      </c>
      <c r="BJ13">
        <f t="shared" si="41"/>
        <v>-690.42580645161797</v>
      </c>
      <c r="BK13" s="578">
        <f>GEN!AF10</f>
        <v>0.430458333333263</v>
      </c>
    </row>
    <row r="14" spans="1:63">
      <c r="A14" s="441">
        <f>ELEC!C12</f>
        <v>44356</v>
      </c>
      <c r="B14">
        <f>'B5'!B13</f>
        <v>200</v>
      </c>
      <c r="C14" s="203">
        <f t="shared" si="20"/>
        <v>4303.2258064516127</v>
      </c>
      <c r="D14">
        <f t="shared" si="21"/>
        <v>200</v>
      </c>
      <c r="E14" s="203">
        <f t="shared" si="20"/>
        <v>4303.2258064516127</v>
      </c>
      <c r="F14">
        <f t="shared" si="22"/>
        <v>200</v>
      </c>
      <c r="G14" s="203">
        <f t="shared" si="1"/>
        <v>4303.2258064516127</v>
      </c>
      <c r="H14" s="203">
        <f t="shared" si="23"/>
        <v>200</v>
      </c>
      <c r="I14" s="203">
        <f t="shared" si="2"/>
        <v>4303.2258064516127</v>
      </c>
      <c r="J14" s="203">
        <f t="shared" si="24"/>
        <v>200</v>
      </c>
      <c r="K14" s="203">
        <f t="shared" si="3"/>
        <v>4303.2258064516127</v>
      </c>
      <c r="L14" s="203">
        <f t="shared" si="25"/>
        <v>200</v>
      </c>
      <c r="M14" s="203">
        <f t="shared" si="4"/>
        <v>4303.2258064516127</v>
      </c>
      <c r="N14" s="203">
        <f t="shared" si="26"/>
        <v>200</v>
      </c>
      <c r="O14" s="203">
        <f t="shared" si="5"/>
        <v>4303.2258064516127</v>
      </c>
      <c r="P14" s="203">
        <f t="shared" si="27"/>
        <v>200</v>
      </c>
      <c r="Q14" s="203">
        <f t="shared" si="6"/>
        <v>4303.2258064516127</v>
      </c>
      <c r="R14" s="203">
        <f t="shared" si="28"/>
        <v>200</v>
      </c>
      <c r="S14" s="203">
        <f t="shared" si="7"/>
        <v>4303.2258064516127</v>
      </c>
      <c r="T14" s="203">
        <f t="shared" si="29"/>
        <v>200</v>
      </c>
      <c r="U14" s="203">
        <f t="shared" si="8"/>
        <v>4303.2258064516127</v>
      </c>
      <c r="V14" s="203">
        <f t="shared" si="30"/>
        <v>200</v>
      </c>
      <c r="W14" s="203">
        <f t="shared" si="9"/>
        <v>4303.2258064516127</v>
      </c>
      <c r="X14" s="35">
        <f t="shared" si="10"/>
        <v>0.64516129032258063</v>
      </c>
      <c r="Y14" s="36">
        <f t="shared" si="31"/>
        <v>47335.483870967742</v>
      </c>
      <c r="Z14" s="203">
        <f>'B5'!C13</f>
        <v>208</v>
      </c>
      <c r="AA14" s="203">
        <f t="shared" si="32"/>
        <v>2080</v>
      </c>
      <c r="AB14" s="203">
        <f t="shared" si="33"/>
        <v>208</v>
      </c>
      <c r="AC14" s="203">
        <f t="shared" si="32"/>
        <v>2080</v>
      </c>
      <c r="AD14" s="203">
        <f t="shared" si="34"/>
        <v>208</v>
      </c>
      <c r="AE14" s="203">
        <f t="shared" si="11"/>
        <v>2080</v>
      </c>
      <c r="AF14" s="203">
        <f t="shared" si="35"/>
        <v>208</v>
      </c>
      <c r="AG14" s="203">
        <f t="shared" si="12"/>
        <v>2080</v>
      </c>
      <c r="AH14" s="203">
        <f t="shared" si="36"/>
        <v>208</v>
      </c>
      <c r="AI14" s="203">
        <f t="shared" si="13"/>
        <v>2080</v>
      </c>
      <c r="AJ14" s="203">
        <f t="shared" si="37"/>
        <v>208</v>
      </c>
      <c r="AK14" s="203">
        <f t="shared" si="14"/>
        <v>2080</v>
      </c>
      <c r="AL14" s="203">
        <f t="shared" si="38"/>
        <v>208</v>
      </c>
      <c r="AM14" s="203">
        <f t="shared" si="15"/>
        <v>2080</v>
      </c>
      <c r="AN14" s="35">
        <f t="shared" si="16"/>
        <v>0.74285714285714288</v>
      </c>
      <c r="AO14" s="36">
        <f t="shared" si="17"/>
        <v>14560</v>
      </c>
      <c r="AQ14" s="223">
        <f t="shared" si="39"/>
        <v>0.6657575978376653</v>
      </c>
      <c r="AR14" s="38">
        <f t="shared" si="42"/>
        <v>61895.483870967742</v>
      </c>
      <c r="AS14" s="197">
        <f t="shared" si="18"/>
        <v>-4836.8387096774095</v>
      </c>
      <c r="AT14" s="353"/>
      <c r="AU14" s="641"/>
      <c r="AV14" s="511">
        <f t="shared" si="43"/>
        <v>1.0029999999999999</v>
      </c>
      <c r="AW14" s="289">
        <f>-SUM('B5'!AI13)</f>
        <v>-110</v>
      </c>
      <c r="AX14" s="289">
        <f t="shared" si="19"/>
        <v>-4726.8387096774095</v>
      </c>
      <c r="AY14" s="37">
        <f t="shared" si="40"/>
        <v>-4836.8387096774095</v>
      </c>
      <c r="AZ14" s="100">
        <f>ELEC!A12</f>
        <v>0</v>
      </c>
      <c r="BA14" s="118">
        <f>'General information '!D14</f>
        <v>24.5</v>
      </c>
      <c r="BB14" s="392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(305/1185)*ELEC!Q13</f>
        <v>3576.8649789022347</v>
      </c>
      <c r="BF14" s="14"/>
      <c r="BG14" s="14" t="e">
        <f>#REF!-BE14</f>
        <v>#REF!</v>
      </c>
      <c r="BH14" s="11"/>
      <c r="BI14">
        <v>3</v>
      </c>
      <c r="BJ14">
        <f t="shared" si="41"/>
        <v>-1575.6129032258032</v>
      </c>
      <c r="BK14" s="578">
        <f>GEN!AF11</f>
        <v>0.39404761904766666</v>
      </c>
    </row>
    <row r="15" spans="1:63" ht="13.5" customHeight="1">
      <c r="A15" s="441">
        <f>ELEC!C13</f>
        <v>44357</v>
      </c>
      <c r="B15">
        <f>'B5'!B14</f>
        <v>246</v>
      </c>
      <c r="C15" s="203">
        <f>B15*$B$4</f>
        <v>5292.9677419354839</v>
      </c>
      <c r="D15">
        <f t="shared" si="21"/>
        <v>246</v>
      </c>
      <c r="E15" s="203">
        <f t="shared" si="20"/>
        <v>5292.9677419354839</v>
      </c>
      <c r="F15">
        <f t="shared" si="22"/>
        <v>246</v>
      </c>
      <c r="G15" s="203">
        <f t="shared" si="1"/>
        <v>5292.9677419354839</v>
      </c>
      <c r="H15" s="203">
        <f t="shared" si="23"/>
        <v>246</v>
      </c>
      <c r="I15" s="203">
        <f t="shared" si="2"/>
        <v>5292.9677419354839</v>
      </c>
      <c r="J15" s="203">
        <f t="shared" si="24"/>
        <v>246</v>
      </c>
      <c r="K15" s="203">
        <f t="shared" si="3"/>
        <v>5292.9677419354839</v>
      </c>
      <c r="L15" s="203">
        <f t="shared" si="25"/>
        <v>246</v>
      </c>
      <c r="M15" s="203">
        <f t="shared" si="4"/>
        <v>5292.9677419354839</v>
      </c>
      <c r="N15" s="203">
        <f t="shared" si="26"/>
        <v>246</v>
      </c>
      <c r="O15" s="203">
        <f t="shared" si="5"/>
        <v>5292.9677419354839</v>
      </c>
      <c r="P15" s="203">
        <f t="shared" si="27"/>
        <v>246</v>
      </c>
      <c r="Q15" s="203">
        <f t="shared" si="6"/>
        <v>5292.9677419354839</v>
      </c>
      <c r="R15" s="203">
        <f t="shared" si="28"/>
        <v>246</v>
      </c>
      <c r="S15" s="203">
        <f t="shared" si="7"/>
        <v>5292.9677419354839</v>
      </c>
      <c r="T15" s="203">
        <f t="shared" si="29"/>
        <v>246</v>
      </c>
      <c r="U15" s="203">
        <f t="shared" si="8"/>
        <v>5292.9677419354839</v>
      </c>
      <c r="V15" s="203">
        <f t="shared" si="30"/>
        <v>246</v>
      </c>
      <c r="W15" s="203">
        <f t="shared" si="9"/>
        <v>5292.9677419354839</v>
      </c>
      <c r="X15" s="35">
        <f t="shared" si="10"/>
        <v>0.79354838709677422</v>
      </c>
      <c r="Y15" s="36">
        <f t="shared" si="31"/>
        <v>58222.645161290326</v>
      </c>
      <c r="Z15" s="203">
        <f>'B5'!C14</f>
        <v>251</v>
      </c>
      <c r="AA15" s="203">
        <f t="shared" si="32"/>
        <v>2510</v>
      </c>
      <c r="AB15" s="203">
        <f t="shared" si="33"/>
        <v>251</v>
      </c>
      <c r="AC15" s="203">
        <f t="shared" si="32"/>
        <v>2510</v>
      </c>
      <c r="AD15" s="203">
        <f t="shared" si="34"/>
        <v>251</v>
      </c>
      <c r="AE15" s="203">
        <f t="shared" si="11"/>
        <v>2510</v>
      </c>
      <c r="AF15" s="203">
        <f t="shared" si="35"/>
        <v>251</v>
      </c>
      <c r="AG15" s="203">
        <f t="shared" si="12"/>
        <v>2510</v>
      </c>
      <c r="AH15" s="203">
        <f t="shared" si="36"/>
        <v>251</v>
      </c>
      <c r="AI15" s="203">
        <f t="shared" si="13"/>
        <v>2510</v>
      </c>
      <c r="AJ15" s="203">
        <f t="shared" si="37"/>
        <v>251</v>
      </c>
      <c r="AK15" s="203">
        <f t="shared" si="14"/>
        <v>2510</v>
      </c>
      <c r="AL15" s="203">
        <f t="shared" si="38"/>
        <v>251</v>
      </c>
      <c r="AM15" s="203">
        <f t="shared" si="15"/>
        <v>2510</v>
      </c>
      <c r="AN15" s="35">
        <f t="shared" si="16"/>
        <v>0.89642857142857146</v>
      </c>
      <c r="AO15" s="36">
        <f t="shared" si="17"/>
        <v>17570</v>
      </c>
      <c r="AQ15" s="223">
        <f t="shared" si="39"/>
        <v>0.81523765904367362</v>
      </c>
      <c r="AR15" s="38">
        <f t="shared" si="42"/>
        <v>75792.645161290333</v>
      </c>
      <c r="AS15" s="197">
        <f t="shared" si="18"/>
        <v>-1492.8387096774095</v>
      </c>
      <c r="AT15" s="353">
        <v>15390</v>
      </c>
      <c r="AU15" s="641">
        <v>1.05</v>
      </c>
      <c r="AV15" s="511">
        <f>IF(AT15&gt;0,AU15,AV14)</f>
        <v>1.05</v>
      </c>
      <c r="AW15" s="289">
        <f>-SUM('B5'!AI14)</f>
        <v>-115</v>
      </c>
      <c r="AX15" s="289">
        <f t="shared" si="19"/>
        <v>-1377.8387096774095</v>
      </c>
      <c r="AY15" s="37">
        <f t="shared" si="40"/>
        <v>-1492.8387096774095</v>
      </c>
      <c r="AZ15" s="100">
        <f>ELEC!A13</f>
        <v>0</v>
      </c>
      <c r="BA15" s="118">
        <f>'General information '!D15</f>
        <v>25</v>
      </c>
      <c r="BB15" s="392">
        <f>SUM('General information '!E15)</f>
        <v>0.65</v>
      </c>
      <c r="BC15" s="3">
        <f t="shared" si="44"/>
        <v>1</v>
      </c>
      <c r="BD15" s="102">
        <v>19222</v>
      </c>
      <c r="BE15" s="14">
        <f>(305/1185)*ELEC!Q14</f>
        <v>3626.5400843882235</v>
      </c>
      <c r="BF15" s="14"/>
      <c r="BG15" s="14" t="e">
        <f>#REF!-BE15</f>
        <v>#REF!</v>
      </c>
      <c r="BH15" s="11"/>
      <c r="BI15">
        <v>4</v>
      </c>
      <c r="BJ15">
        <f t="shared" si="41"/>
        <v>-344.45967741935237</v>
      </c>
      <c r="BK15" s="578">
        <f>GEN!AF12</f>
        <v>0.48253472222212523</v>
      </c>
    </row>
    <row r="16" spans="1:63">
      <c r="A16" s="441">
        <f>ELEC!C14</f>
        <v>44358</v>
      </c>
      <c r="B16">
        <f>'B5'!B15</f>
        <v>229</v>
      </c>
      <c r="C16" s="203">
        <f t="shared" si="20"/>
        <v>4927.1935483870966</v>
      </c>
      <c r="D16">
        <f t="shared" si="21"/>
        <v>229</v>
      </c>
      <c r="E16" s="203">
        <f t="shared" si="20"/>
        <v>4927.1935483870966</v>
      </c>
      <c r="F16">
        <f t="shared" si="22"/>
        <v>229</v>
      </c>
      <c r="G16" s="203">
        <f t="shared" si="1"/>
        <v>4927.1935483870966</v>
      </c>
      <c r="H16" s="203">
        <f t="shared" si="23"/>
        <v>229</v>
      </c>
      <c r="I16" s="203">
        <f t="shared" si="2"/>
        <v>4927.1935483870966</v>
      </c>
      <c r="J16" s="203">
        <f t="shared" si="24"/>
        <v>229</v>
      </c>
      <c r="K16" s="203">
        <f t="shared" si="3"/>
        <v>4927.1935483870966</v>
      </c>
      <c r="L16" s="203">
        <f t="shared" si="25"/>
        <v>229</v>
      </c>
      <c r="M16" s="203">
        <f t="shared" si="4"/>
        <v>4927.1935483870966</v>
      </c>
      <c r="N16" s="203">
        <f t="shared" si="26"/>
        <v>229</v>
      </c>
      <c r="O16" s="203">
        <f t="shared" si="5"/>
        <v>4927.1935483870966</v>
      </c>
      <c r="P16" s="203">
        <f t="shared" si="27"/>
        <v>229</v>
      </c>
      <c r="Q16" s="203">
        <f t="shared" si="6"/>
        <v>4927.1935483870966</v>
      </c>
      <c r="R16" s="203">
        <f t="shared" si="28"/>
        <v>229</v>
      </c>
      <c r="S16" s="203">
        <f t="shared" si="7"/>
        <v>4927.1935483870966</v>
      </c>
      <c r="T16" s="203">
        <f t="shared" si="29"/>
        <v>229</v>
      </c>
      <c r="U16" s="203">
        <f t="shared" si="8"/>
        <v>4927.1935483870966</v>
      </c>
      <c r="V16" s="203">
        <f t="shared" si="30"/>
        <v>229</v>
      </c>
      <c r="W16" s="203">
        <f t="shared" si="9"/>
        <v>4927.1935483870966</v>
      </c>
      <c r="X16" s="35">
        <f t="shared" si="10"/>
        <v>0.738709677419355</v>
      </c>
      <c r="Y16" s="36">
        <f t="shared" si="31"/>
        <v>54199.129032258075</v>
      </c>
      <c r="Z16" s="203">
        <f>'B5'!C15</f>
        <v>236</v>
      </c>
      <c r="AA16" s="203">
        <f t="shared" si="32"/>
        <v>2360</v>
      </c>
      <c r="AB16" s="203">
        <f t="shared" si="33"/>
        <v>236</v>
      </c>
      <c r="AC16" s="203">
        <f t="shared" si="32"/>
        <v>2360</v>
      </c>
      <c r="AD16" s="203">
        <f t="shared" si="34"/>
        <v>236</v>
      </c>
      <c r="AE16" s="203">
        <f t="shared" si="11"/>
        <v>2360</v>
      </c>
      <c r="AF16" s="203">
        <f t="shared" si="35"/>
        <v>236</v>
      </c>
      <c r="AG16" s="203">
        <f t="shared" si="12"/>
        <v>2360</v>
      </c>
      <c r="AH16" s="203">
        <f t="shared" si="36"/>
        <v>236</v>
      </c>
      <c r="AI16" s="203">
        <f t="shared" si="13"/>
        <v>2360</v>
      </c>
      <c r="AJ16" s="203">
        <f t="shared" si="37"/>
        <v>236</v>
      </c>
      <c r="AK16" s="203">
        <f t="shared" si="14"/>
        <v>2360</v>
      </c>
      <c r="AL16" s="203">
        <f t="shared" si="38"/>
        <v>236</v>
      </c>
      <c r="AM16" s="203">
        <f t="shared" si="15"/>
        <v>2360</v>
      </c>
      <c r="AN16" s="35">
        <f t="shared" si="16"/>
        <v>0.84285714285714286</v>
      </c>
      <c r="AO16" s="36">
        <f t="shared" si="17"/>
        <v>16520</v>
      </c>
      <c r="AQ16" s="223">
        <f t="shared" si="39"/>
        <v>0.76066611844958665</v>
      </c>
      <c r="AR16" s="38">
        <f t="shared" si="42"/>
        <v>70719.129032258075</v>
      </c>
      <c r="AS16" s="197">
        <f t="shared" si="18"/>
        <v>-5073.5161290322576</v>
      </c>
      <c r="AT16" s="353"/>
      <c r="AU16" s="643"/>
      <c r="AV16" s="511">
        <f>IF(AT16&gt;0,AU16,AV15)</f>
        <v>1.05</v>
      </c>
      <c r="AW16" s="289">
        <f>-SUM('B5'!AI15)</f>
        <v>-135</v>
      </c>
      <c r="AX16" s="289">
        <f t="shared" si="19"/>
        <v>-4938.5161290322576</v>
      </c>
      <c r="AY16" s="37">
        <f t="shared" si="40"/>
        <v>-5073.5161290322576</v>
      </c>
      <c r="AZ16" s="100">
        <f>ELEC!A14</f>
        <v>0</v>
      </c>
      <c r="BA16" s="118">
        <f>'General information '!D16</f>
        <v>26</v>
      </c>
      <c r="BB16" s="392">
        <f>SUM('General information '!E16)</f>
        <v>0.49</v>
      </c>
      <c r="BC16" s="3">
        <f t="shared" si="44"/>
        <v>0</v>
      </c>
      <c r="BD16" s="102">
        <v>19222</v>
      </c>
      <c r="BE16" s="14">
        <f>(305/1185)*ELEC!Q15</f>
        <v>2947.0464135022971</v>
      </c>
      <c r="BF16" s="14"/>
      <c r="BG16" s="14" t="e">
        <f>#REF!-BE16</f>
        <v>#REF!</v>
      </c>
      <c r="BH16" s="11"/>
      <c r="BI16">
        <v>3</v>
      </c>
      <c r="BJ16">
        <f t="shared" si="41"/>
        <v>-1646.1720430107525</v>
      </c>
      <c r="BK16" s="578">
        <f>GEN!AF13</f>
        <v>0.44031250000000455</v>
      </c>
    </row>
    <row r="17" spans="1:64">
      <c r="A17" s="441">
        <f>ELEC!C15</f>
        <v>44359</v>
      </c>
      <c r="B17">
        <f>'B5'!B16</f>
        <v>219</v>
      </c>
      <c r="C17" s="203">
        <f t="shared" si="20"/>
        <v>4712.0322580645161</v>
      </c>
      <c r="D17">
        <f t="shared" si="21"/>
        <v>219</v>
      </c>
      <c r="E17" s="203">
        <f t="shared" si="20"/>
        <v>4712.0322580645161</v>
      </c>
      <c r="F17">
        <f t="shared" si="22"/>
        <v>219</v>
      </c>
      <c r="G17" s="203">
        <f t="shared" si="1"/>
        <v>4712.0322580645161</v>
      </c>
      <c r="H17" s="203">
        <f t="shared" si="23"/>
        <v>219</v>
      </c>
      <c r="I17" s="203">
        <f t="shared" si="2"/>
        <v>4712.0322580645161</v>
      </c>
      <c r="J17" s="203">
        <f t="shared" si="24"/>
        <v>219</v>
      </c>
      <c r="K17" s="203">
        <f t="shared" si="3"/>
        <v>4712.0322580645161</v>
      </c>
      <c r="L17" s="203">
        <f t="shared" si="25"/>
        <v>219</v>
      </c>
      <c r="M17" s="203">
        <f t="shared" si="4"/>
        <v>4712.0322580645161</v>
      </c>
      <c r="N17" s="203">
        <f t="shared" si="26"/>
        <v>219</v>
      </c>
      <c r="O17" s="203">
        <f t="shared" si="5"/>
        <v>4712.0322580645161</v>
      </c>
      <c r="P17" s="203">
        <f t="shared" si="27"/>
        <v>219</v>
      </c>
      <c r="Q17" s="203">
        <f t="shared" si="6"/>
        <v>4712.0322580645161</v>
      </c>
      <c r="R17" s="203">
        <f t="shared" si="28"/>
        <v>219</v>
      </c>
      <c r="S17" s="203">
        <f t="shared" si="7"/>
        <v>4712.0322580645161</v>
      </c>
      <c r="T17" s="203">
        <f t="shared" si="29"/>
        <v>219</v>
      </c>
      <c r="U17" s="203">
        <f t="shared" si="8"/>
        <v>4712.0322580645161</v>
      </c>
      <c r="V17" s="203">
        <f t="shared" si="30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31"/>
        <v>51832.354838709674</v>
      </c>
      <c r="Z17" s="203">
        <f>'B5'!C16</f>
        <v>225</v>
      </c>
      <c r="AA17" s="203">
        <f t="shared" si="32"/>
        <v>2250</v>
      </c>
      <c r="AB17" s="203">
        <f t="shared" si="33"/>
        <v>225</v>
      </c>
      <c r="AC17" s="203">
        <f t="shared" si="32"/>
        <v>2250</v>
      </c>
      <c r="AD17" s="203">
        <f t="shared" si="34"/>
        <v>225</v>
      </c>
      <c r="AE17" s="203">
        <f t="shared" si="11"/>
        <v>2250</v>
      </c>
      <c r="AF17" s="203">
        <f t="shared" si="35"/>
        <v>225</v>
      </c>
      <c r="AG17" s="203">
        <f t="shared" si="12"/>
        <v>2250</v>
      </c>
      <c r="AH17" s="203">
        <f t="shared" si="36"/>
        <v>225</v>
      </c>
      <c r="AI17" s="203">
        <f t="shared" si="13"/>
        <v>2250</v>
      </c>
      <c r="AJ17" s="203">
        <f t="shared" si="37"/>
        <v>225</v>
      </c>
      <c r="AK17" s="203">
        <f t="shared" si="14"/>
        <v>2250</v>
      </c>
      <c r="AL17" s="203">
        <f t="shared" si="38"/>
        <v>225</v>
      </c>
      <c r="AM17" s="203">
        <f t="shared" si="15"/>
        <v>2250</v>
      </c>
      <c r="AN17" s="35">
        <f t="shared" si="16"/>
        <v>0.8035714285714286</v>
      </c>
      <c r="AO17" s="36">
        <f>SUM(AA17+AC17+AE17+AG17+AI17+AK17+AM17)</f>
        <v>15750</v>
      </c>
      <c r="AQ17" s="223">
        <f t="shared" si="39"/>
        <v>0.72692647992588644</v>
      </c>
      <c r="AR17" s="38">
        <f t="shared" si="42"/>
        <v>67582.354838709667</v>
      </c>
      <c r="AS17" s="197">
        <f t="shared" si="18"/>
        <v>-3136.7741935484082</v>
      </c>
      <c r="AT17" s="353"/>
      <c r="AU17" s="641"/>
      <c r="AV17" s="511">
        <f t="shared" si="43"/>
        <v>1.05</v>
      </c>
      <c r="AW17" s="289">
        <f>-SUM('B5'!AI16)</f>
        <v>-200</v>
      </c>
      <c r="AX17" s="289">
        <f t="shared" si="19"/>
        <v>-2936.7741935484082</v>
      </c>
      <c r="AY17" s="37">
        <f t="shared" si="40"/>
        <v>-3136.7741935484082</v>
      </c>
      <c r="AZ17" s="100">
        <f>ELEC!A15</f>
        <v>0</v>
      </c>
      <c r="BA17" s="118">
        <f>'General information '!D17</f>
        <v>24.5</v>
      </c>
      <c r="BB17" s="392">
        <f>SUM('General information '!E17)</f>
        <v>0.67</v>
      </c>
      <c r="BC17" s="3">
        <f t="shared" si="44"/>
        <v>0</v>
      </c>
      <c r="BD17" s="102">
        <v>19222</v>
      </c>
      <c r="BE17" s="14">
        <f>(305/1185)*ELEC!Q16</f>
        <v>3414.970464135029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204</v>
      </c>
      <c r="C18" s="203">
        <f t="shared" si="20"/>
        <v>4389.2903225806449</v>
      </c>
      <c r="D18">
        <f t="shared" si="21"/>
        <v>204</v>
      </c>
      <c r="E18" s="203">
        <f t="shared" si="20"/>
        <v>4389.2903225806449</v>
      </c>
      <c r="F18">
        <f t="shared" si="22"/>
        <v>204</v>
      </c>
      <c r="G18" s="203">
        <f t="shared" si="1"/>
        <v>4389.2903225806449</v>
      </c>
      <c r="H18" s="203">
        <f t="shared" si="23"/>
        <v>204</v>
      </c>
      <c r="I18" s="203">
        <f t="shared" si="2"/>
        <v>4389.2903225806449</v>
      </c>
      <c r="J18" s="203">
        <f t="shared" si="24"/>
        <v>204</v>
      </c>
      <c r="K18" s="203">
        <f t="shared" si="3"/>
        <v>4389.2903225806449</v>
      </c>
      <c r="L18" s="203">
        <f t="shared" si="25"/>
        <v>204</v>
      </c>
      <c r="M18" s="203">
        <f t="shared" si="4"/>
        <v>4389.2903225806449</v>
      </c>
      <c r="N18" s="203">
        <f t="shared" si="26"/>
        <v>204</v>
      </c>
      <c r="O18" s="203">
        <f t="shared" si="5"/>
        <v>4389.2903225806449</v>
      </c>
      <c r="P18" s="203">
        <f t="shared" si="27"/>
        <v>204</v>
      </c>
      <c r="Q18" s="203">
        <f t="shared" si="6"/>
        <v>4389.2903225806449</v>
      </c>
      <c r="R18" s="203">
        <f t="shared" si="28"/>
        <v>204</v>
      </c>
      <c r="S18" s="203">
        <f t="shared" si="7"/>
        <v>4389.2903225806449</v>
      </c>
      <c r="T18" s="203">
        <f t="shared" si="29"/>
        <v>204</v>
      </c>
      <c r="U18" s="203">
        <f t="shared" si="8"/>
        <v>4389.2903225806449</v>
      </c>
      <c r="V18" s="203">
        <f t="shared" si="30"/>
        <v>204</v>
      </c>
      <c r="W18" s="203">
        <f t="shared" si="9"/>
        <v>4389.2903225806449</v>
      </c>
      <c r="X18" s="35">
        <f t="shared" si="10"/>
        <v>0.65806451612903216</v>
      </c>
      <c r="Y18" s="36">
        <f t="shared" si="31"/>
        <v>48282.193548387091</v>
      </c>
      <c r="Z18" s="203">
        <f>'B5'!C17</f>
        <v>211</v>
      </c>
      <c r="AA18" s="203">
        <f t="shared" si="32"/>
        <v>2110</v>
      </c>
      <c r="AB18" s="203">
        <f t="shared" si="33"/>
        <v>211</v>
      </c>
      <c r="AC18" s="203">
        <f t="shared" si="32"/>
        <v>2110</v>
      </c>
      <c r="AD18" s="203">
        <f t="shared" si="34"/>
        <v>211</v>
      </c>
      <c r="AE18" s="203">
        <f t="shared" si="11"/>
        <v>2110</v>
      </c>
      <c r="AF18" s="203">
        <f t="shared" si="35"/>
        <v>211</v>
      </c>
      <c r="AG18" s="203">
        <f t="shared" si="12"/>
        <v>2110</v>
      </c>
      <c r="AH18" s="203">
        <f t="shared" si="36"/>
        <v>211</v>
      </c>
      <c r="AI18" s="203">
        <f t="shared" si="13"/>
        <v>2110</v>
      </c>
      <c r="AJ18" s="203">
        <f t="shared" si="37"/>
        <v>211</v>
      </c>
      <c r="AK18" s="203">
        <f t="shared" si="14"/>
        <v>2110</v>
      </c>
      <c r="AL18" s="203">
        <f t="shared" si="38"/>
        <v>211</v>
      </c>
      <c r="AM18" s="203">
        <f t="shared" si="15"/>
        <v>2110</v>
      </c>
      <c r="AN18" s="35">
        <f t="shared" si="16"/>
        <v>0.75357142857142856</v>
      </c>
      <c r="AO18" s="36">
        <f t="shared" si="17"/>
        <v>14770</v>
      </c>
      <c r="AQ18" s="223">
        <f t="shared" si="39"/>
        <v>0.67819934977290619</v>
      </c>
      <c r="AR18" s="38">
        <f t="shared" si="42"/>
        <v>63052.193548387091</v>
      </c>
      <c r="AS18" s="197">
        <f t="shared" si="18"/>
        <v>-4530.161290322576</v>
      </c>
      <c r="AT18" s="353"/>
      <c r="AU18" s="641"/>
      <c r="AV18" s="511">
        <f>IF(AT18&gt;0,AU18,AV17)</f>
        <v>1.05</v>
      </c>
      <c r="AW18" s="289">
        <f>-SUM('B5'!AI17)</f>
        <v>-48</v>
      </c>
      <c r="AX18" s="289">
        <f t="shared" si="19"/>
        <v>-4482.161290322576</v>
      </c>
      <c r="AY18" s="37">
        <f t="shared" si="40"/>
        <v>-4530.161290322576</v>
      </c>
      <c r="AZ18" s="100">
        <f>ELEC!A16</f>
        <v>0</v>
      </c>
      <c r="BA18" s="118">
        <f>'General information '!D18</f>
        <v>23.5</v>
      </c>
      <c r="BB18" s="392">
        <f>SUM('General information '!E18)</f>
        <v>0.7</v>
      </c>
      <c r="BC18" s="3">
        <f t="shared" si="44"/>
        <v>0</v>
      </c>
      <c r="BD18" s="102">
        <v>19222</v>
      </c>
      <c r="BE18" s="14">
        <f>(305/1185)*ELEC!Q17</f>
        <v>2211.9578059074202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193</v>
      </c>
      <c r="C19" s="203">
        <f t="shared" si="20"/>
        <v>4152.6129032258068</v>
      </c>
      <c r="D19">
        <f t="shared" si="21"/>
        <v>193</v>
      </c>
      <c r="E19" s="203">
        <f t="shared" si="20"/>
        <v>4152.6129032258068</v>
      </c>
      <c r="F19">
        <f t="shared" si="22"/>
        <v>193</v>
      </c>
      <c r="G19" s="203">
        <f t="shared" si="1"/>
        <v>4152.6129032258068</v>
      </c>
      <c r="H19" s="203">
        <f t="shared" si="23"/>
        <v>193</v>
      </c>
      <c r="I19" s="203">
        <f t="shared" si="2"/>
        <v>4152.6129032258068</v>
      </c>
      <c r="J19" s="203">
        <f t="shared" si="24"/>
        <v>193</v>
      </c>
      <c r="K19" s="203">
        <f t="shared" si="3"/>
        <v>4152.6129032258068</v>
      </c>
      <c r="L19" s="203">
        <f t="shared" si="25"/>
        <v>193</v>
      </c>
      <c r="M19" s="203">
        <f t="shared" si="4"/>
        <v>4152.6129032258068</v>
      </c>
      <c r="N19" s="203">
        <f t="shared" si="26"/>
        <v>193</v>
      </c>
      <c r="O19" s="203">
        <f t="shared" si="5"/>
        <v>4152.6129032258068</v>
      </c>
      <c r="P19" s="203">
        <f t="shared" si="27"/>
        <v>193</v>
      </c>
      <c r="Q19" s="203">
        <f t="shared" si="6"/>
        <v>4152.6129032258068</v>
      </c>
      <c r="R19" s="203">
        <f t="shared" si="28"/>
        <v>193</v>
      </c>
      <c r="S19" s="203">
        <f t="shared" si="7"/>
        <v>4152.6129032258068</v>
      </c>
      <c r="T19" s="203">
        <f t="shared" si="29"/>
        <v>193</v>
      </c>
      <c r="U19" s="203">
        <f t="shared" si="8"/>
        <v>4152.6129032258068</v>
      </c>
      <c r="V19" s="203">
        <f t="shared" si="30"/>
        <v>193</v>
      </c>
      <c r="W19" s="203">
        <f t="shared" si="9"/>
        <v>4152.6129032258068</v>
      </c>
      <c r="X19" s="35">
        <f t="shared" si="10"/>
        <v>0.62258064516129019</v>
      </c>
      <c r="Y19" s="36">
        <f t="shared" si="31"/>
        <v>45678.741935483864</v>
      </c>
      <c r="Z19" s="203">
        <f>'B5'!C18</f>
        <v>199</v>
      </c>
      <c r="AA19" s="203">
        <f t="shared" si="32"/>
        <v>1990</v>
      </c>
      <c r="AB19" s="203">
        <f t="shared" si="33"/>
        <v>199</v>
      </c>
      <c r="AC19" s="203">
        <f t="shared" si="32"/>
        <v>1990</v>
      </c>
      <c r="AD19" s="203">
        <f t="shared" si="34"/>
        <v>199</v>
      </c>
      <c r="AE19" s="203">
        <f t="shared" si="11"/>
        <v>1990</v>
      </c>
      <c r="AF19" s="203">
        <f t="shared" si="35"/>
        <v>199</v>
      </c>
      <c r="AG19" s="203">
        <f t="shared" si="12"/>
        <v>1990</v>
      </c>
      <c r="AH19" s="203">
        <f t="shared" si="36"/>
        <v>199</v>
      </c>
      <c r="AI19" s="203">
        <f t="shared" si="13"/>
        <v>1990</v>
      </c>
      <c r="AJ19" s="203">
        <f t="shared" si="37"/>
        <v>199</v>
      </c>
      <c r="AK19" s="203">
        <f t="shared" si="14"/>
        <v>1990</v>
      </c>
      <c r="AL19" s="203">
        <f t="shared" si="38"/>
        <v>199</v>
      </c>
      <c r="AM19" s="203">
        <f t="shared" si="15"/>
        <v>1990</v>
      </c>
      <c r="AN19" s="35">
        <f t="shared" si="16"/>
        <v>0.71071428571428574</v>
      </c>
      <c r="AO19" s="36">
        <f t="shared" si="17"/>
        <v>13930</v>
      </c>
      <c r="AQ19" s="223">
        <f t="shared" si="39"/>
        <v>0.64116104050213896</v>
      </c>
      <c r="AR19" s="38">
        <f t="shared" si="42"/>
        <v>59608.741935483864</v>
      </c>
      <c r="AS19" s="197">
        <f t="shared" si="18"/>
        <v>-3443.4516129032272</v>
      </c>
      <c r="AT19" s="353"/>
      <c r="AU19" s="641"/>
      <c r="AV19" s="511">
        <f t="shared" si="43"/>
        <v>1.05</v>
      </c>
      <c r="AW19" s="289">
        <f>-SUM('B5'!AI18)</f>
        <v>-57</v>
      </c>
      <c r="AX19" s="289">
        <f t="shared" si="19"/>
        <v>-3386.4516129032272</v>
      </c>
      <c r="AY19" s="37">
        <f t="shared" si="40"/>
        <v>-3443.4516129032272</v>
      </c>
      <c r="AZ19" s="100">
        <f>ELEC!A17</f>
        <v>0</v>
      </c>
      <c r="BA19" s="118">
        <f>'General information '!D19</f>
        <v>23</v>
      </c>
      <c r="BB19" s="392">
        <f>SUM('General information '!E19)</f>
        <v>0.64</v>
      </c>
      <c r="BC19" s="3">
        <f t="shared" si="44"/>
        <v>0</v>
      </c>
      <c r="BD19" s="102">
        <v>19222</v>
      </c>
      <c r="BE19" s="14">
        <f>(305/1185)*ELEC!Q18</f>
        <v>3202.88607594924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225</v>
      </c>
      <c r="C20" s="203">
        <f t="shared" si="20"/>
        <v>4841.1290322580644</v>
      </c>
      <c r="D20">
        <f t="shared" si="21"/>
        <v>225</v>
      </c>
      <c r="E20" s="203">
        <f t="shared" si="20"/>
        <v>4841.1290322580644</v>
      </c>
      <c r="F20">
        <f t="shared" si="22"/>
        <v>225</v>
      </c>
      <c r="G20" s="203">
        <f t="shared" si="1"/>
        <v>4841.1290322580644</v>
      </c>
      <c r="H20" s="203">
        <f t="shared" si="23"/>
        <v>225</v>
      </c>
      <c r="I20" s="203">
        <f t="shared" si="2"/>
        <v>4841.1290322580644</v>
      </c>
      <c r="J20" s="203">
        <f t="shared" si="24"/>
        <v>225</v>
      </c>
      <c r="K20" s="203">
        <f t="shared" si="3"/>
        <v>4841.1290322580644</v>
      </c>
      <c r="L20" s="203">
        <f t="shared" si="25"/>
        <v>225</v>
      </c>
      <c r="M20" s="203">
        <f t="shared" si="4"/>
        <v>4841.1290322580644</v>
      </c>
      <c r="N20" s="203">
        <f t="shared" si="26"/>
        <v>225</v>
      </c>
      <c r="O20" s="203">
        <f t="shared" si="5"/>
        <v>4841.1290322580644</v>
      </c>
      <c r="P20" s="203">
        <f t="shared" si="27"/>
        <v>225</v>
      </c>
      <c r="Q20" s="203">
        <f t="shared" si="6"/>
        <v>4841.1290322580644</v>
      </c>
      <c r="R20" s="203">
        <f t="shared" si="28"/>
        <v>225</v>
      </c>
      <c r="S20" s="203">
        <f t="shared" si="7"/>
        <v>4841.1290322580644</v>
      </c>
      <c r="T20" s="203">
        <f t="shared" si="29"/>
        <v>225</v>
      </c>
      <c r="U20" s="203">
        <f t="shared" si="8"/>
        <v>4841.1290322580644</v>
      </c>
      <c r="V20" s="203">
        <f t="shared" si="30"/>
        <v>225</v>
      </c>
      <c r="W20" s="203">
        <f t="shared" si="9"/>
        <v>4841.1290322580644</v>
      </c>
      <c r="X20" s="35">
        <f t="shared" si="10"/>
        <v>0.72580645161290303</v>
      </c>
      <c r="Y20" s="36">
        <f t="shared" si="31"/>
        <v>53252.419354838697</v>
      </c>
      <c r="Z20" s="203">
        <f>'B5'!C19</f>
        <v>231</v>
      </c>
      <c r="AA20" s="203">
        <f t="shared" si="32"/>
        <v>2310</v>
      </c>
      <c r="AB20" s="203">
        <f t="shared" si="33"/>
        <v>231</v>
      </c>
      <c r="AC20" s="203">
        <f t="shared" si="32"/>
        <v>2310</v>
      </c>
      <c r="AD20" s="203">
        <f t="shared" si="34"/>
        <v>231</v>
      </c>
      <c r="AE20" s="203">
        <f t="shared" si="11"/>
        <v>2310</v>
      </c>
      <c r="AF20" s="203">
        <f t="shared" si="35"/>
        <v>231</v>
      </c>
      <c r="AG20" s="203">
        <f t="shared" si="12"/>
        <v>2310</v>
      </c>
      <c r="AH20" s="203">
        <f t="shared" si="36"/>
        <v>231</v>
      </c>
      <c r="AI20" s="203">
        <f t="shared" si="13"/>
        <v>2310</v>
      </c>
      <c r="AJ20" s="203">
        <f t="shared" si="37"/>
        <v>231</v>
      </c>
      <c r="AK20" s="203">
        <f t="shared" si="14"/>
        <v>2310</v>
      </c>
      <c r="AL20" s="203">
        <f t="shared" si="38"/>
        <v>231</v>
      </c>
      <c r="AM20" s="203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3">
        <f t="shared" si="39"/>
        <v>0.7467185044082898</v>
      </c>
      <c r="AR20" s="38">
        <f t="shared" si="42"/>
        <v>69422.419354838697</v>
      </c>
      <c r="AS20" s="197">
        <f t="shared" si="18"/>
        <v>-2246.3225806451665</v>
      </c>
      <c r="AT20" s="353">
        <v>12060</v>
      </c>
      <c r="AU20" s="641">
        <v>1.05</v>
      </c>
      <c r="AV20" s="511">
        <f t="shared" si="43"/>
        <v>1.05</v>
      </c>
      <c r="AW20" s="289">
        <f>-SUM('B5'!AI19)</f>
        <v>-184</v>
      </c>
      <c r="AX20" s="289">
        <f t="shared" si="19"/>
        <v>-2062.3225806451665</v>
      </c>
      <c r="AY20" s="37">
        <f t="shared" si="40"/>
        <v>-2246.3225806451665</v>
      </c>
      <c r="AZ20" s="100">
        <f>ELEC!A18</f>
        <v>0</v>
      </c>
      <c r="BA20" s="118">
        <f>'General information '!D20</f>
        <v>24.5</v>
      </c>
      <c r="BB20" s="392">
        <f>SUM('General information '!E20)</f>
        <v>0.61</v>
      </c>
      <c r="BC20" s="3">
        <f t="shared" si="44"/>
        <v>1</v>
      </c>
      <c r="BD20" s="102">
        <v>19222</v>
      </c>
      <c r="BE20" s="14">
        <f>(305/1185)*ELEC!Q19</f>
        <v>3416.7721518991088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213</v>
      </c>
      <c r="C21" s="203">
        <f t="shared" si="20"/>
        <v>4582.9354838709678</v>
      </c>
      <c r="D21">
        <f t="shared" si="21"/>
        <v>213</v>
      </c>
      <c r="E21" s="203">
        <f t="shared" si="20"/>
        <v>4582.9354838709678</v>
      </c>
      <c r="F21">
        <f t="shared" si="22"/>
        <v>213</v>
      </c>
      <c r="G21" s="203">
        <f t="shared" si="1"/>
        <v>4582.9354838709678</v>
      </c>
      <c r="H21" s="203">
        <f t="shared" si="23"/>
        <v>213</v>
      </c>
      <c r="I21" s="203">
        <f t="shared" si="2"/>
        <v>4582.9354838709678</v>
      </c>
      <c r="J21" s="203">
        <f t="shared" si="24"/>
        <v>213</v>
      </c>
      <c r="K21" s="203">
        <f t="shared" si="3"/>
        <v>4582.9354838709678</v>
      </c>
      <c r="L21" s="203">
        <f t="shared" si="25"/>
        <v>213</v>
      </c>
      <c r="M21" s="203">
        <f t="shared" si="4"/>
        <v>4582.9354838709678</v>
      </c>
      <c r="N21" s="203">
        <f t="shared" si="26"/>
        <v>213</v>
      </c>
      <c r="O21" s="203">
        <f t="shared" si="5"/>
        <v>4582.9354838709678</v>
      </c>
      <c r="P21" s="203">
        <f t="shared" si="27"/>
        <v>213</v>
      </c>
      <c r="Q21" s="203">
        <f t="shared" si="6"/>
        <v>4582.9354838709678</v>
      </c>
      <c r="R21" s="203">
        <f t="shared" si="28"/>
        <v>213</v>
      </c>
      <c r="S21" s="203">
        <f t="shared" si="7"/>
        <v>4582.9354838709678</v>
      </c>
      <c r="T21" s="203">
        <f t="shared" si="29"/>
        <v>213</v>
      </c>
      <c r="U21" s="203">
        <f t="shared" si="8"/>
        <v>4582.9354838709678</v>
      </c>
      <c r="V21" s="203">
        <f t="shared" si="30"/>
        <v>213</v>
      </c>
      <c r="W21" s="203">
        <f t="shared" si="9"/>
        <v>4582.9354838709678</v>
      </c>
      <c r="X21" s="35">
        <f t="shared" si="10"/>
        <v>0.68709677419354853</v>
      </c>
      <c r="Y21" s="36">
        <f t="shared" si="31"/>
        <v>50412.290322580659</v>
      </c>
      <c r="Z21" s="203">
        <f>'B5'!C20</f>
        <v>219</v>
      </c>
      <c r="AA21" s="203">
        <f t="shared" si="32"/>
        <v>2190</v>
      </c>
      <c r="AB21" s="203">
        <f t="shared" si="33"/>
        <v>219</v>
      </c>
      <c r="AC21" s="203">
        <f t="shared" si="32"/>
        <v>2190</v>
      </c>
      <c r="AD21" s="203">
        <f t="shared" si="34"/>
        <v>219</v>
      </c>
      <c r="AE21" s="203">
        <f t="shared" si="11"/>
        <v>2190</v>
      </c>
      <c r="AF21" s="203">
        <f t="shared" si="35"/>
        <v>219</v>
      </c>
      <c r="AG21" s="203">
        <f t="shared" si="12"/>
        <v>2190</v>
      </c>
      <c r="AH21" s="203">
        <f t="shared" si="36"/>
        <v>219</v>
      </c>
      <c r="AI21" s="203">
        <f t="shared" si="13"/>
        <v>2190</v>
      </c>
      <c r="AJ21" s="203">
        <f t="shared" si="37"/>
        <v>219</v>
      </c>
      <c r="AK21" s="203">
        <f t="shared" si="14"/>
        <v>2190</v>
      </c>
      <c r="AL21" s="203">
        <f t="shared" si="38"/>
        <v>219</v>
      </c>
      <c r="AM21" s="203">
        <f t="shared" si="15"/>
        <v>2190</v>
      </c>
      <c r="AN21" s="35">
        <f t="shared" si="16"/>
        <v>0.78214285714285714</v>
      </c>
      <c r="AO21" s="36">
        <f t="shared" si="17"/>
        <v>15330</v>
      </c>
      <c r="AQ21" s="223">
        <f t="shared" si="39"/>
        <v>0.70713445544348352</v>
      </c>
      <c r="AR21" s="38">
        <f>Y21+AO21</f>
        <v>65742.290322580666</v>
      </c>
      <c r="AS21" s="197">
        <f t="shared" ref="AS21:AS35" si="45">SUM(AR21-AR20-AT21)</f>
        <v>-3680.1290322580317</v>
      </c>
      <c r="AT21" s="353"/>
      <c r="AU21" s="641"/>
      <c r="AV21" s="511">
        <f t="shared" si="43"/>
        <v>1.05</v>
      </c>
      <c r="AW21" s="289">
        <f>-SUM('B5'!AI20)</f>
        <v>-82</v>
      </c>
      <c r="AX21" s="289">
        <f t="shared" si="19"/>
        <v>-3598.1290322580317</v>
      </c>
      <c r="AY21" s="37">
        <f t="shared" si="40"/>
        <v>-3680.1290322580317</v>
      </c>
      <c r="AZ21" s="100">
        <f>ELEC!A19</f>
        <v>0</v>
      </c>
      <c r="BA21" s="118">
        <f>'General information '!D21</f>
        <v>25</v>
      </c>
      <c r="BB21" s="392">
        <f>SUM('General information '!E21)</f>
        <v>0.67</v>
      </c>
      <c r="BC21" s="3">
        <f t="shared" si="44"/>
        <v>0</v>
      </c>
      <c r="BD21" s="102">
        <v>19222</v>
      </c>
      <c r="BE21" s="14">
        <f>(305/1185)*ELEC!Q20</f>
        <v>2593.6582278474571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199</v>
      </c>
      <c r="C22" s="203">
        <f t="shared" si="20"/>
        <v>4281.7096774193551</v>
      </c>
      <c r="D22">
        <f t="shared" si="21"/>
        <v>199</v>
      </c>
      <c r="E22" s="203">
        <f t="shared" si="20"/>
        <v>4281.7096774193551</v>
      </c>
      <c r="F22">
        <f t="shared" si="22"/>
        <v>199</v>
      </c>
      <c r="G22" s="203">
        <f t="shared" si="1"/>
        <v>4281.7096774193551</v>
      </c>
      <c r="H22" s="203">
        <f t="shared" si="23"/>
        <v>199</v>
      </c>
      <c r="I22" s="203">
        <f t="shared" si="2"/>
        <v>4281.7096774193551</v>
      </c>
      <c r="J22" s="203">
        <f t="shared" si="24"/>
        <v>199</v>
      </c>
      <c r="K22" s="203">
        <f t="shared" si="3"/>
        <v>4281.7096774193551</v>
      </c>
      <c r="L22" s="203">
        <f t="shared" si="25"/>
        <v>199</v>
      </c>
      <c r="M22" s="203">
        <f t="shared" si="4"/>
        <v>4281.7096774193551</v>
      </c>
      <c r="N22" s="203">
        <f t="shared" si="26"/>
        <v>199</v>
      </c>
      <c r="O22" s="203">
        <f t="shared" si="5"/>
        <v>4281.7096774193551</v>
      </c>
      <c r="P22" s="203">
        <f t="shared" si="27"/>
        <v>199</v>
      </c>
      <c r="Q22" s="203">
        <f t="shared" si="6"/>
        <v>4281.7096774193551</v>
      </c>
      <c r="R22" s="203">
        <f t="shared" si="28"/>
        <v>199</v>
      </c>
      <c r="S22" s="203">
        <f t="shared" si="7"/>
        <v>4281.7096774193551</v>
      </c>
      <c r="T22" s="203">
        <f t="shared" si="29"/>
        <v>199</v>
      </c>
      <c r="U22" s="203">
        <f t="shared" si="8"/>
        <v>4281.7096774193551</v>
      </c>
      <c r="V22" s="203">
        <f t="shared" si="30"/>
        <v>199</v>
      </c>
      <c r="W22" s="203">
        <f t="shared" si="9"/>
        <v>4281.7096774193551</v>
      </c>
      <c r="X22" s="35">
        <f t="shared" si="10"/>
        <v>0.64193548387096777</v>
      </c>
      <c r="Y22" s="36">
        <f t="shared" si="31"/>
        <v>47098.806451612909</v>
      </c>
      <c r="Z22" s="203">
        <f>'B5'!C21</f>
        <v>206</v>
      </c>
      <c r="AA22" s="203">
        <f t="shared" si="32"/>
        <v>2060</v>
      </c>
      <c r="AB22" s="203">
        <f t="shared" si="33"/>
        <v>206</v>
      </c>
      <c r="AC22" s="203">
        <f t="shared" si="32"/>
        <v>2060</v>
      </c>
      <c r="AD22" s="203">
        <f t="shared" si="34"/>
        <v>206</v>
      </c>
      <c r="AE22" s="203">
        <f t="shared" si="11"/>
        <v>2060</v>
      </c>
      <c r="AF22" s="203">
        <f t="shared" si="35"/>
        <v>206</v>
      </c>
      <c r="AG22" s="203">
        <f t="shared" si="12"/>
        <v>2060</v>
      </c>
      <c r="AH22" s="203">
        <f t="shared" si="36"/>
        <v>206</v>
      </c>
      <c r="AI22" s="203">
        <f t="shared" si="13"/>
        <v>2060</v>
      </c>
      <c r="AJ22" s="203">
        <f t="shared" si="37"/>
        <v>206</v>
      </c>
      <c r="AK22" s="203">
        <f t="shared" si="14"/>
        <v>2060</v>
      </c>
      <c r="AL22" s="203">
        <f t="shared" si="38"/>
        <v>206</v>
      </c>
      <c r="AM22" s="203">
        <f t="shared" si="15"/>
        <v>2060</v>
      </c>
      <c r="AN22" s="35">
        <f t="shared" si="16"/>
        <v>0.73571428571428577</v>
      </c>
      <c r="AO22" s="36">
        <f t="shared" si="17"/>
        <v>14420</v>
      </c>
      <c r="AQ22" s="223">
        <f t="shared" si="39"/>
        <v>0.6617059960375703</v>
      </c>
      <c r="AR22" s="38">
        <f t="shared" ref="AR22:AR35" si="46">Y22+AO22</f>
        <v>61518.806451612909</v>
      </c>
      <c r="AS22" s="197">
        <f t="shared" si="45"/>
        <v>-4223.483870967757</v>
      </c>
      <c r="AT22" s="353"/>
      <c r="AU22" s="641"/>
      <c r="AV22" s="511">
        <f t="shared" si="43"/>
        <v>1.05</v>
      </c>
      <c r="AW22" s="289">
        <f>-SUM('B5'!AI21)</f>
        <v>-139</v>
      </c>
      <c r="AX22" s="289">
        <f t="shared" si="19"/>
        <v>-4084.483870967757</v>
      </c>
      <c r="AY22" s="37">
        <f t="shared" si="40"/>
        <v>-4223.483870967757</v>
      </c>
      <c r="AZ22" s="100">
        <f>ELEC!A20</f>
        <v>0</v>
      </c>
      <c r="BA22" s="118">
        <f>'General information '!D22</f>
        <v>24.5</v>
      </c>
      <c r="BB22" s="392">
        <f>SUM('General information '!E22)</f>
        <v>0.65</v>
      </c>
      <c r="BC22" s="3">
        <f t="shared" si="44"/>
        <v>0</v>
      </c>
      <c r="BD22" s="102">
        <v>19222</v>
      </c>
      <c r="BE22" s="14">
        <f>(305/1185)*ELEC!Q21</f>
        <v>2962.4894514773177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186</v>
      </c>
      <c r="C23" s="203">
        <f t="shared" si="20"/>
        <v>4002</v>
      </c>
      <c r="D23">
        <f t="shared" si="21"/>
        <v>186</v>
      </c>
      <c r="E23" s="203">
        <f t="shared" si="20"/>
        <v>4002</v>
      </c>
      <c r="F23">
        <f t="shared" si="22"/>
        <v>186</v>
      </c>
      <c r="G23" s="203">
        <f t="shared" si="1"/>
        <v>4002</v>
      </c>
      <c r="H23" s="203">
        <f t="shared" si="23"/>
        <v>186</v>
      </c>
      <c r="I23" s="203">
        <f t="shared" si="2"/>
        <v>4002</v>
      </c>
      <c r="J23" s="203">
        <f t="shared" si="24"/>
        <v>186</v>
      </c>
      <c r="K23" s="203">
        <f t="shared" si="3"/>
        <v>4002</v>
      </c>
      <c r="L23" s="203">
        <f t="shared" si="25"/>
        <v>186</v>
      </c>
      <c r="M23" s="203">
        <f t="shared" si="4"/>
        <v>4002</v>
      </c>
      <c r="N23" s="203">
        <f t="shared" si="26"/>
        <v>186</v>
      </c>
      <c r="O23" s="203">
        <f t="shared" si="5"/>
        <v>4002</v>
      </c>
      <c r="P23" s="203">
        <f t="shared" si="27"/>
        <v>186</v>
      </c>
      <c r="Q23" s="203">
        <f t="shared" si="6"/>
        <v>4002</v>
      </c>
      <c r="R23" s="203">
        <f t="shared" si="28"/>
        <v>186</v>
      </c>
      <c r="S23" s="203">
        <f t="shared" si="7"/>
        <v>4002</v>
      </c>
      <c r="T23" s="203">
        <f t="shared" si="29"/>
        <v>186</v>
      </c>
      <c r="U23" s="203">
        <f t="shared" si="8"/>
        <v>4002</v>
      </c>
      <c r="V23" s="203">
        <f t="shared" si="30"/>
        <v>186</v>
      </c>
      <c r="W23" s="203">
        <f t="shared" si="9"/>
        <v>4002</v>
      </c>
      <c r="X23" s="35">
        <f t="shared" si="10"/>
        <v>0.6</v>
      </c>
      <c r="Y23" s="36">
        <f t="shared" si="31"/>
        <v>44022</v>
      </c>
      <c r="Z23" s="203">
        <f>'B5'!C22</f>
        <v>192</v>
      </c>
      <c r="AA23" s="203">
        <f t="shared" si="32"/>
        <v>1920</v>
      </c>
      <c r="AB23" s="203">
        <f t="shared" si="33"/>
        <v>192</v>
      </c>
      <c r="AC23" s="203">
        <f t="shared" si="32"/>
        <v>1920</v>
      </c>
      <c r="AD23" s="203">
        <f t="shared" si="34"/>
        <v>192</v>
      </c>
      <c r="AE23" s="203">
        <f t="shared" si="11"/>
        <v>1920</v>
      </c>
      <c r="AF23" s="203">
        <f t="shared" si="35"/>
        <v>192</v>
      </c>
      <c r="AG23" s="203">
        <f t="shared" si="12"/>
        <v>1920</v>
      </c>
      <c r="AH23" s="203">
        <f t="shared" si="36"/>
        <v>192</v>
      </c>
      <c r="AI23" s="203">
        <f t="shared" si="13"/>
        <v>1920</v>
      </c>
      <c r="AJ23" s="203">
        <f t="shared" si="37"/>
        <v>192</v>
      </c>
      <c r="AK23" s="203">
        <f t="shared" si="14"/>
        <v>1920</v>
      </c>
      <c r="AL23" s="203">
        <f t="shared" si="38"/>
        <v>192</v>
      </c>
      <c r="AM23" s="203">
        <f t="shared" si="15"/>
        <v>1920</v>
      </c>
      <c r="AN23" s="35">
        <f t="shared" si="16"/>
        <v>0.68571428571428572</v>
      </c>
      <c r="AO23" s="36">
        <f t="shared" si="17"/>
        <v>13440</v>
      </c>
      <c r="AQ23" s="223">
        <f t="shared" si="39"/>
        <v>0.61807034527266858</v>
      </c>
      <c r="AR23" s="38">
        <f t="shared" si="46"/>
        <v>57462</v>
      </c>
      <c r="AS23" s="197">
        <f t="shared" si="45"/>
        <v>-4056.8064516129089</v>
      </c>
      <c r="AT23" s="353"/>
      <c r="AU23" s="641"/>
      <c r="AV23" s="511">
        <f t="shared" si="43"/>
        <v>1.05</v>
      </c>
      <c r="AW23" s="289">
        <f>-SUM('B5'!AI22)</f>
        <v>-129</v>
      </c>
      <c r="AX23" s="289">
        <f t="shared" si="19"/>
        <v>-3927.8064516129089</v>
      </c>
      <c r="AY23" s="37">
        <f t="shared" si="40"/>
        <v>-4056.8064516129089</v>
      </c>
      <c r="AZ23" s="100">
        <f>ELEC!A21</f>
        <v>0</v>
      </c>
      <c r="BA23" s="118">
        <f>'General information '!D23</f>
        <v>25</v>
      </c>
      <c r="BB23" s="392">
        <f>SUM('General information '!E23)</f>
        <v>0.65</v>
      </c>
      <c r="BC23" s="3">
        <f t="shared" si="44"/>
        <v>0</v>
      </c>
      <c r="BD23" s="102">
        <v>19222</v>
      </c>
      <c r="BE23" s="14">
        <f>(305/1185)*ELEC!Q22</f>
        <v>3349.3375527423618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191.5</v>
      </c>
      <c r="C24" s="203">
        <f t="shared" si="20"/>
        <v>4120.3387096774195</v>
      </c>
      <c r="D24">
        <f t="shared" si="21"/>
        <v>191.5</v>
      </c>
      <c r="E24" s="203">
        <f t="shared" si="20"/>
        <v>4120.3387096774195</v>
      </c>
      <c r="F24">
        <f t="shared" si="22"/>
        <v>191.5</v>
      </c>
      <c r="G24" s="203">
        <f t="shared" si="1"/>
        <v>4120.3387096774195</v>
      </c>
      <c r="H24" s="203">
        <f t="shared" si="23"/>
        <v>191.5</v>
      </c>
      <c r="I24" s="203">
        <f t="shared" si="2"/>
        <v>4120.3387096774195</v>
      </c>
      <c r="J24" s="203">
        <f t="shared" si="24"/>
        <v>191.5</v>
      </c>
      <c r="K24" s="203">
        <f t="shared" si="3"/>
        <v>4120.3387096774195</v>
      </c>
      <c r="L24" s="203">
        <f t="shared" si="25"/>
        <v>191.5</v>
      </c>
      <c r="M24" s="203">
        <f t="shared" si="4"/>
        <v>4120.3387096774195</v>
      </c>
      <c r="N24" s="203">
        <f t="shared" si="26"/>
        <v>191.5</v>
      </c>
      <c r="O24" s="203">
        <f t="shared" si="5"/>
        <v>4120.3387096774195</v>
      </c>
      <c r="P24" s="203">
        <f t="shared" si="27"/>
        <v>191.5</v>
      </c>
      <c r="Q24" s="203">
        <f t="shared" si="6"/>
        <v>4120.3387096774195</v>
      </c>
      <c r="R24" s="203">
        <f t="shared" si="28"/>
        <v>191.5</v>
      </c>
      <c r="S24" s="203">
        <f t="shared" si="7"/>
        <v>4120.3387096774195</v>
      </c>
      <c r="T24" s="203">
        <f t="shared" si="29"/>
        <v>191.5</v>
      </c>
      <c r="U24" s="203">
        <f t="shared" si="8"/>
        <v>4120.3387096774195</v>
      </c>
      <c r="V24" s="203">
        <f t="shared" si="30"/>
        <v>191.5</v>
      </c>
      <c r="W24" s="203">
        <f t="shared" si="9"/>
        <v>4120.3387096774195</v>
      </c>
      <c r="X24" s="35">
        <f t="shared" si="10"/>
        <v>0.61774193548387091</v>
      </c>
      <c r="Y24" s="36">
        <f t="shared" si="31"/>
        <v>45323.725806451606</v>
      </c>
      <c r="Z24" s="203">
        <f>'B5'!C23</f>
        <v>199</v>
      </c>
      <c r="AA24" s="203">
        <f t="shared" si="32"/>
        <v>1990</v>
      </c>
      <c r="AB24" s="203">
        <f t="shared" si="33"/>
        <v>199</v>
      </c>
      <c r="AC24" s="203">
        <f t="shared" si="32"/>
        <v>1990</v>
      </c>
      <c r="AD24" s="203">
        <f t="shared" si="34"/>
        <v>199</v>
      </c>
      <c r="AE24" s="203">
        <f t="shared" si="11"/>
        <v>1990</v>
      </c>
      <c r="AF24" s="203">
        <f t="shared" si="35"/>
        <v>199</v>
      </c>
      <c r="AG24" s="203">
        <f t="shared" si="12"/>
        <v>1990</v>
      </c>
      <c r="AH24" s="203">
        <f t="shared" si="36"/>
        <v>199</v>
      </c>
      <c r="AI24" s="203">
        <f t="shared" si="13"/>
        <v>1990</v>
      </c>
      <c r="AJ24" s="203">
        <f t="shared" si="37"/>
        <v>199</v>
      </c>
      <c r="AK24" s="203">
        <f t="shared" si="14"/>
        <v>1990</v>
      </c>
      <c r="AL24" s="203">
        <f t="shared" si="38"/>
        <v>199</v>
      </c>
      <c r="AM24" s="203">
        <f t="shared" si="15"/>
        <v>1990</v>
      </c>
      <c r="AN24" s="35">
        <f t="shared" si="16"/>
        <v>0.71071428571428574</v>
      </c>
      <c r="AO24" s="36">
        <f t="shared" si="17"/>
        <v>13930</v>
      </c>
      <c r="AQ24" s="223">
        <f t="shared" si="39"/>
        <v>0.63734243096108001</v>
      </c>
      <c r="AR24" s="38">
        <f t="shared" si="46"/>
        <v>59253.725806451606</v>
      </c>
      <c r="AS24" s="197">
        <f t="shared" si="45"/>
        <v>-3208.2741935483937</v>
      </c>
      <c r="AT24" s="353">
        <v>5000</v>
      </c>
      <c r="AU24" s="641">
        <v>1.103</v>
      </c>
      <c r="AV24" s="511">
        <f t="shared" si="43"/>
        <v>1.103</v>
      </c>
      <c r="AW24" s="289">
        <f>-SUM('B5'!AI23)</f>
        <v>-100</v>
      </c>
      <c r="AX24" s="289">
        <f t="shared" si="19"/>
        <v>-3108.2741935483937</v>
      </c>
      <c r="AY24" s="37">
        <f t="shared" si="40"/>
        <v>-3208.2741935483937</v>
      </c>
      <c r="AZ24" s="100">
        <f>ELEC!A22</f>
        <v>0</v>
      </c>
      <c r="BA24" s="118">
        <f>'General information '!D24</f>
        <v>26.5</v>
      </c>
      <c r="BB24" s="392">
        <f>SUM('General information '!E24)</f>
        <v>0.48</v>
      </c>
      <c r="BC24" s="3">
        <f t="shared" si="44"/>
        <v>1</v>
      </c>
      <c r="BD24" s="102">
        <v>19222</v>
      </c>
      <c r="BE24" s="14">
        <f>(305/1185)*ELEC!Q23</f>
        <v>3477.7721518984272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179</v>
      </c>
      <c r="C25" s="203">
        <f t="shared" si="20"/>
        <v>3851.3870967741937</v>
      </c>
      <c r="D25">
        <f t="shared" si="21"/>
        <v>179</v>
      </c>
      <c r="E25" s="203">
        <f t="shared" si="20"/>
        <v>3851.3870967741937</v>
      </c>
      <c r="F25">
        <f t="shared" si="22"/>
        <v>179</v>
      </c>
      <c r="G25" s="203">
        <f t="shared" si="1"/>
        <v>3851.3870967741937</v>
      </c>
      <c r="H25" s="203">
        <f t="shared" si="23"/>
        <v>179</v>
      </c>
      <c r="I25" s="203">
        <f t="shared" si="2"/>
        <v>3851.3870967741937</v>
      </c>
      <c r="J25" s="203">
        <f t="shared" si="24"/>
        <v>179</v>
      </c>
      <c r="K25" s="203">
        <f t="shared" si="3"/>
        <v>3851.3870967741937</v>
      </c>
      <c r="L25" s="203">
        <f t="shared" si="25"/>
        <v>179</v>
      </c>
      <c r="M25" s="203">
        <f t="shared" si="4"/>
        <v>3851.3870967741937</v>
      </c>
      <c r="N25" s="203">
        <f t="shared" si="26"/>
        <v>179</v>
      </c>
      <c r="O25" s="203">
        <f t="shared" si="5"/>
        <v>3851.3870967741937</v>
      </c>
      <c r="P25" s="203">
        <f t="shared" si="27"/>
        <v>179</v>
      </c>
      <c r="Q25" s="203">
        <f t="shared" si="6"/>
        <v>3851.3870967741937</v>
      </c>
      <c r="R25" s="203">
        <f t="shared" si="28"/>
        <v>179</v>
      </c>
      <c r="S25" s="203">
        <f t="shared" si="7"/>
        <v>3851.3870967741937</v>
      </c>
      <c r="T25" s="203">
        <f t="shared" si="29"/>
        <v>179</v>
      </c>
      <c r="U25" s="203">
        <f t="shared" si="8"/>
        <v>3851.3870967741937</v>
      </c>
      <c r="V25" s="203">
        <f t="shared" si="30"/>
        <v>179</v>
      </c>
      <c r="W25" s="203">
        <f t="shared" si="9"/>
        <v>3851.3870967741937</v>
      </c>
      <c r="X25" s="35">
        <f t="shared" si="10"/>
        <v>0.57741935483870976</v>
      </c>
      <c r="Y25" s="36">
        <f t="shared" si="31"/>
        <v>42365.258064516136</v>
      </c>
      <c r="Z25" s="203">
        <f>'B5'!C24</f>
        <v>186</v>
      </c>
      <c r="AA25" s="203">
        <f t="shared" si="32"/>
        <v>1860</v>
      </c>
      <c r="AB25" s="203">
        <f t="shared" si="33"/>
        <v>186</v>
      </c>
      <c r="AC25" s="203">
        <f t="shared" si="32"/>
        <v>1860</v>
      </c>
      <c r="AD25" s="203">
        <f t="shared" si="34"/>
        <v>186</v>
      </c>
      <c r="AE25" s="203">
        <f t="shared" si="11"/>
        <v>1860</v>
      </c>
      <c r="AF25" s="203">
        <f t="shared" si="35"/>
        <v>186</v>
      </c>
      <c r="AG25" s="203">
        <f t="shared" si="12"/>
        <v>1860</v>
      </c>
      <c r="AH25" s="203">
        <f t="shared" si="36"/>
        <v>186</v>
      </c>
      <c r="AI25" s="203">
        <f t="shared" si="13"/>
        <v>1860</v>
      </c>
      <c r="AJ25" s="203">
        <f t="shared" si="37"/>
        <v>186</v>
      </c>
      <c r="AK25" s="203">
        <f t="shared" si="14"/>
        <v>1860</v>
      </c>
      <c r="AL25" s="203">
        <f t="shared" si="38"/>
        <v>186</v>
      </c>
      <c r="AM25" s="203">
        <f t="shared" si="15"/>
        <v>1860</v>
      </c>
      <c r="AN25" s="35">
        <f t="shared" si="16"/>
        <v>0.66428571428571426</v>
      </c>
      <c r="AO25" s="36">
        <f t="shared" si="17"/>
        <v>13020</v>
      </c>
      <c r="AQ25" s="223">
        <f t="shared" si="39"/>
        <v>0.59573258109622607</v>
      </c>
      <c r="AR25" s="38">
        <f t="shared" si="46"/>
        <v>55385.258064516136</v>
      </c>
      <c r="AS25" s="197">
        <f t="shared" si="45"/>
        <v>-3868.4677419354703</v>
      </c>
      <c r="AT25" s="353"/>
      <c r="AU25" s="643"/>
      <c r="AV25" s="511">
        <f t="shared" si="43"/>
        <v>1.103</v>
      </c>
      <c r="AW25" s="289">
        <f>-SUM('B5'!AI24)</f>
        <v>-104</v>
      </c>
      <c r="AX25" s="289">
        <f t="shared" si="19"/>
        <v>-3764.4677419354703</v>
      </c>
      <c r="AY25" s="37">
        <f t="shared" si="40"/>
        <v>-3868.4677419354703</v>
      </c>
      <c r="AZ25" s="100">
        <f>ELEC!A23</f>
        <v>0</v>
      </c>
      <c r="BA25" s="118">
        <f>'General information '!D25</f>
        <v>25.5</v>
      </c>
      <c r="BB25" s="392">
        <f>SUM('General information '!E25)</f>
        <v>0.65</v>
      </c>
      <c r="BC25" s="3">
        <f t="shared" si="44"/>
        <v>0</v>
      </c>
      <c r="BD25" s="102">
        <v>19222</v>
      </c>
      <c r="BE25" s="14">
        <f>(305/1185)*ELEC!Q24</f>
        <v>2959.4008438826882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209</v>
      </c>
      <c r="C26" s="203">
        <f t="shared" si="20"/>
        <v>4496.8709677419356</v>
      </c>
      <c r="D26">
        <f t="shared" si="21"/>
        <v>209</v>
      </c>
      <c r="E26" s="203">
        <f t="shared" si="20"/>
        <v>4496.8709677419356</v>
      </c>
      <c r="F26">
        <f t="shared" si="22"/>
        <v>209</v>
      </c>
      <c r="G26" s="203">
        <f t="shared" si="1"/>
        <v>4496.8709677419356</v>
      </c>
      <c r="H26" s="203">
        <f t="shared" si="23"/>
        <v>209</v>
      </c>
      <c r="I26" s="203">
        <f t="shared" si="2"/>
        <v>4496.8709677419356</v>
      </c>
      <c r="J26" s="203">
        <f t="shared" si="24"/>
        <v>209</v>
      </c>
      <c r="K26" s="203">
        <f t="shared" si="3"/>
        <v>4496.8709677419356</v>
      </c>
      <c r="L26" s="203">
        <f t="shared" si="25"/>
        <v>209</v>
      </c>
      <c r="M26" s="203">
        <f t="shared" si="4"/>
        <v>4496.8709677419356</v>
      </c>
      <c r="N26" s="203">
        <f t="shared" si="26"/>
        <v>209</v>
      </c>
      <c r="O26" s="203">
        <f t="shared" si="5"/>
        <v>4496.8709677419356</v>
      </c>
      <c r="P26" s="203">
        <f t="shared" si="27"/>
        <v>209</v>
      </c>
      <c r="Q26" s="203">
        <f t="shared" si="6"/>
        <v>4496.8709677419356</v>
      </c>
      <c r="R26" s="203">
        <f t="shared" si="28"/>
        <v>209</v>
      </c>
      <c r="S26" s="203">
        <f t="shared" si="7"/>
        <v>4496.8709677419356</v>
      </c>
      <c r="T26" s="203">
        <f t="shared" si="29"/>
        <v>209</v>
      </c>
      <c r="U26" s="203">
        <f t="shared" si="8"/>
        <v>4496.8709677419356</v>
      </c>
      <c r="V26" s="203">
        <f t="shared" si="30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31"/>
        <v>49465.580645161303</v>
      </c>
      <c r="Z26" s="203">
        <f>'B5'!C25</f>
        <v>216</v>
      </c>
      <c r="AA26" s="203">
        <f t="shared" si="32"/>
        <v>2160</v>
      </c>
      <c r="AB26" s="203">
        <f t="shared" si="33"/>
        <v>216</v>
      </c>
      <c r="AC26" s="203">
        <f t="shared" si="32"/>
        <v>2160</v>
      </c>
      <c r="AD26" s="203">
        <f t="shared" si="34"/>
        <v>216</v>
      </c>
      <c r="AE26" s="203">
        <f t="shared" si="11"/>
        <v>2160</v>
      </c>
      <c r="AF26" s="203">
        <f t="shared" si="35"/>
        <v>216</v>
      </c>
      <c r="AG26" s="203">
        <f t="shared" si="12"/>
        <v>2160</v>
      </c>
      <c r="AH26" s="203">
        <f t="shared" si="36"/>
        <v>216</v>
      </c>
      <c r="AI26" s="203">
        <f t="shared" si="13"/>
        <v>2160</v>
      </c>
      <c r="AJ26" s="203">
        <f t="shared" si="37"/>
        <v>216</v>
      </c>
      <c r="AK26" s="203">
        <f t="shared" si="14"/>
        <v>2160</v>
      </c>
      <c r="AL26" s="203">
        <f t="shared" si="38"/>
        <v>216</v>
      </c>
      <c r="AM26" s="203">
        <f t="shared" si="15"/>
        <v>2160</v>
      </c>
      <c r="AN26" s="35">
        <f t="shared" si="16"/>
        <v>0.77142857142857146</v>
      </c>
      <c r="AO26" s="36">
        <f t="shared" si="17"/>
        <v>15120</v>
      </c>
      <c r="AQ26" s="223">
        <f t="shared" si="39"/>
        <v>0.69469270350824253</v>
      </c>
      <c r="AR26" s="38">
        <f t="shared" si="46"/>
        <v>64585.580645161303</v>
      </c>
      <c r="AS26" s="197">
        <f t="shared" si="45"/>
        <v>-2599.6774193548335</v>
      </c>
      <c r="AT26" s="353">
        <v>11800</v>
      </c>
      <c r="AU26" s="641">
        <v>1.103</v>
      </c>
      <c r="AV26" s="511">
        <f t="shared" si="43"/>
        <v>1.103</v>
      </c>
      <c r="AW26" s="289">
        <f>-SUM('B5'!AI25)</f>
        <v>-97</v>
      </c>
      <c r="AX26" s="289">
        <f t="shared" si="19"/>
        <v>-2502.6774193548335</v>
      </c>
      <c r="AY26" s="37">
        <f t="shared" si="40"/>
        <v>-2599.6774193548335</v>
      </c>
      <c r="AZ26" s="100">
        <f>ELEC!A24</f>
        <v>0</v>
      </c>
      <c r="BA26" s="118">
        <f>'General information '!D26</f>
        <v>25.5</v>
      </c>
      <c r="BB26" s="392">
        <f>SUM('General information '!E26)</f>
        <v>0.6</v>
      </c>
      <c r="BC26" s="3">
        <f t="shared" si="44"/>
        <v>1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209</v>
      </c>
      <c r="C27" s="203">
        <f t="shared" si="20"/>
        <v>4496.8709677419356</v>
      </c>
      <c r="D27">
        <f t="shared" si="21"/>
        <v>209</v>
      </c>
      <c r="E27" s="203">
        <f t="shared" si="20"/>
        <v>4496.8709677419356</v>
      </c>
      <c r="F27">
        <f t="shared" si="22"/>
        <v>209</v>
      </c>
      <c r="G27" s="203">
        <f t="shared" si="1"/>
        <v>4496.8709677419356</v>
      </c>
      <c r="H27" s="203">
        <f t="shared" si="23"/>
        <v>209</v>
      </c>
      <c r="I27" s="203">
        <f t="shared" si="2"/>
        <v>4496.8709677419356</v>
      </c>
      <c r="J27" s="203">
        <f t="shared" si="24"/>
        <v>209</v>
      </c>
      <c r="K27" s="203">
        <f t="shared" si="3"/>
        <v>4496.8709677419356</v>
      </c>
      <c r="L27" s="203">
        <f t="shared" si="25"/>
        <v>209</v>
      </c>
      <c r="M27" s="203">
        <f t="shared" si="4"/>
        <v>4496.8709677419356</v>
      </c>
      <c r="N27" s="203">
        <f t="shared" si="26"/>
        <v>209</v>
      </c>
      <c r="O27" s="203">
        <f t="shared" si="5"/>
        <v>4496.8709677419356</v>
      </c>
      <c r="P27" s="203">
        <f t="shared" si="27"/>
        <v>209</v>
      </c>
      <c r="Q27" s="203">
        <f t="shared" si="6"/>
        <v>4496.8709677419356</v>
      </c>
      <c r="R27" s="203">
        <f t="shared" si="28"/>
        <v>209</v>
      </c>
      <c r="S27" s="203">
        <f t="shared" si="7"/>
        <v>4496.8709677419356</v>
      </c>
      <c r="T27" s="203">
        <f t="shared" si="29"/>
        <v>209</v>
      </c>
      <c r="U27" s="203">
        <f t="shared" si="8"/>
        <v>4496.8709677419356</v>
      </c>
      <c r="V27" s="203">
        <f t="shared" si="30"/>
        <v>209</v>
      </c>
      <c r="W27" s="203">
        <f t="shared" si="9"/>
        <v>4496.8709677419356</v>
      </c>
      <c r="X27" s="35">
        <f t="shared" si="10"/>
        <v>0.67419354838709689</v>
      </c>
      <c r="Y27" s="36">
        <f t="shared" si="31"/>
        <v>49465.580645161303</v>
      </c>
      <c r="Z27" s="203">
        <f>'B5'!C26</f>
        <v>216</v>
      </c>
      <c r="AA27" s="203">
        <f t="shared" si="32"/>
        <v>2160</v>
      </c>
      <c r="AB27" s="203">
        <f t="shared" si="33"/>
        <v>216</v>
      </c>
      <c r="AC27" s="203">
        <f t="shared" si="32"/>
        <v>2160</v>
      </c>
      <c r="AD27" s="203">
        <f t="shared" si="34"/>
        <v>216</v>
      </c>
      <c r="AE27" s="203">
        <f t="shared" si="11"/>
        <v>2160</v>
      </c>
      <c r="AF27" s="203">
        <f t="shared" si="35"/>
        <v>216</v>
      </c>
      <c r="AG27" s="203">
        <f t="shared" si="12"/>
        <v>2160</v>
      </c>
      <c r="AH27" s="203">
        <f t="shared" si="36"/>
        <v>216</v>
      </c>
      <c r="AI27" s="203">
        <f t="shared" si="13"/>
        <v>2160</v>
      </c>
      <c r="AJ27" s="203">
        <f t="shared" si="37"/>
        <v>216</v>
      </c>
      <c r="AK27" s="203">
        <f t="shared" si="14"/>
        <v>2160</v>
      </c>
      <c r="AL27" s="203">
        <f t="shared" si="38"/>
        <v>216</v>
      </c>
      <c r="AM27" s="203">
        <f t="shared" si="15"/>
        <v>2160</v>
      </c>
      <c r="AN27" s="35">
        <f t="shared" si="16"/>
        <v>0.77142857142857146</v>
      </c>
      <c r="AO27" s="36">
        <f t="shared" si="17"/>
        <v>15120</v>
      </c>
      <c r="AQ27" s="223">
        <f t="shared" si="39"/>
        <v>0.69469270350824253</v>
      </c>
      <c r="AR27" s="38">
        <f t="shared" si="46"/>
        <v>64585.580645161303</v>
      </c>
      <c r="AS27" s="197">
        <f t="shared" si="45"/>
        <v>0</v>
      </c>
      <c r="AT27" s="353"/>
      <c r="AU27" s="641"/>
      <c r="AV27" s="511">
        <f t="shared" si="43"/>
        <v>1.103</v>
      </c>
      <c r="AW27" s="289">
        <f>-SUM('B5'!AI26)</f>
        <v>0</v>
      </c>
      <c r="AX27" s="289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2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209</v>
      </c>
      <c r="C28" s="203">
        <f t="shared" si="20"/>
        <v>4496.8709677419356</v>
      </c>
      <c r="D28">
        <f t="shared" si="21"/>
        <v>209</v>
      </c>
      <c r="E28" s="203">
        <f t="shared" si="20"/>
        <v>4496.8709677419356</v>
      </c>
      <c r="F28">
        <f t="shared" si="22"/>
        <v>209</v>
      </c>
      <c r="G28" s="203">
        <f t="shared" si="1"/>
        <v>4496.8709677419356</v>
      </c>
      <c r="H28" s="203">
        <f t="shared" si="23"/>
        <v>209</v>
      </c>
      <c r="I28" s="203">
        <f t="shared" si="2"/>
        <v>4496.8709677419356</v>
      </c>
      <c r="J28" s="203">
        <f t="shared" si="24"/>
        <v>209</v>
      </c>
      <c r="K28" s="203">
        <f t="shared" si="3"/>
        <v>4496.8709677419356</v>
      </c>
      <c r="L28" s="203">
        <f t="shared" si="25"/>
        <v>209</v>
      </c>
      <c r="M28" s="203">
        <f t="shared" si="4"/>
        <v>4496.8709677419356</v>
      </c>
      <c r="N28" s="203">
        <f t="shared" si="26"/>
        <v>209</v>
      </c>
      <c r="O28" s="203">
        <f t="shared" si="5"/>
        <v>4496.8709677419356</v>
      </c>
      <c r="P28" s="203">
        <f t="shared" si="27"/>
        <v>209</v>
      </c>
      <c r="Q28" s="203">
        <f t="shared" si="6"/>
        <v>4496.8709677419356</v>
      </c>
      <c r="R28" s="203">
        <f t="shared" si="28"/>
        <v>209</v>
      </c>
      <c r="S28" s="203">
        <f t="shared" si="7"/>
        <v>4496.8709677419356</v>
      </c>
      <c r="T28" s="203">
        <f t="shared" si="29"/>
        <v>209</v>
      </c>
      <c r="U28" s="203">
        <f t="shared" si="8"/>
        <v>4496.8709677419356</v>
      </c>
      <c r="V28" s="203">
        <f t="shared" si="30"/>
        <v>209</v>
      </c>
      <c r="W28" s="203">
        <f t="shared" si="9"/>
        <v>4496.8709677419356</v>
      </c>
      <c r="X28" s="35">
        <f t="shared" si="10"/>
        <v>0.67419354838709689</v>
      </c>
      <c r="Y28" s="36">
        <f t="shared" si="31"/>
        <v>49465.580645161303</v>
      </c>
      <c r="Z28" s="203">
        <f>'B5'!C27</f>
        <v>216</v>
      </c>
      <c r="AA28" s="203">
        <f t="shared" si="32"/>
        <v>2160</v>
      </c>
      <c r="AB28" s="203">
        <f t="shared" si="33"/>
        <v>216</v>
      </c>
      <c r="AC28" s="203">
        <f t="shared" si="32"/>
        <v>2160</v>
      </c>
      <c r="AD28" s="203">
        <f t="shared" si="34"/>
        <v>216</v>
      </c>
      <c r="AE28" s="203">
        <f t="shared" si="11"/>
        <v>2160</v>
      </c>
      <c r="AF28" s="203">
        <f t="shared" si="35"/>
        <v>216</v>
      </c>
      <c r="AG28" s="203">
        <f t="shared" si="12"/>
        <v>2160</v>
      </c>
      <c r="AH28" s="203">
        <f t="shared" si="36"/>
        <v>216</v>
      </c>
      <c r="AI28" s="203">
        <f t="shared" si="13"/>
        <v>2160</v>
      </c>
      <c r="AJ28" s="203">
        <f t="shared" si="37"/>
        <v>216</v>
      </c>
      <c r="AK28" s="203">
        <f t="shared" si="14"/>
        <v>2160</v>
      </c>
      <c r="AL28" s="203">
        <f t="shared" si="38"/>
        <v>216</v>
      </c>
      <c r="AM28" s="203">
        <f t="shared" si="15"/>
        <v>2160</v>
      </c>
      <c r="AN28" s="35">
        <f t="shared" si="16"/>
        <v>0.77142857142857146</v>
      </c>
      <c r="AO28" s="36">
        <f t="shared" si="17"/>
        <v>15120</v>
      </c>
      <c r="AQ28" s="223">
        <f t="shared" si="39"/>
        <v>0.69469270350824253</v>
      </c>
      <c r="AR28" s="38">
        <f t="shared" si="46"/>
        <v>64585.580645161303</v>
      </c>
      <c r="AS28" s="197">
        <f t="shared" si="45"/>
        <v>0</v>
      </c>
      <c r="AT28" s="353"/>
      <c r="AU28" s="643"/>
      <c r="AV28" s="511">
        <f t="shared" si="43"/>
        <v>1.103</v>
      </c>
      <c r="AW28" s="289">
        <f>-SUM('B5'!AI27)</f>
        <v>0</v>
      </c>
      <c r="AX28" s="289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2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209</v>
      </c>
      <c r="C29" s="203">
        <f t="shared" si="20"/>
        <v>4496.8709677419356</v>
      </c>
      <c r="D29">
        <f t="shared" si="21"/>
        <v>209</v>
      </c>
      <c r="E29" s="203">
        <f t="shared" si="20"/>
        <v>4496.8709677419356</v>
      </c>
      <c r="F29">
        <f t="shared" si="22"/>
        <v>209</v>
      </c>
      <c r="G29" s="203">
        <f t="shared" si="1"/>
        <v>4496.8709677419356</v>
      </c>
      <c r="H29" s="203">
        <f t="shared" si="23"/>
        <v>209</v>
      </c>
      <c r="I29" s="203">
        <f t="shared" si="2"/>
        <v>4496.8709677419356</v>
      </c>
      <c r="J29" s="203">
        <f t="shared" si="24"/>
        <v>209</v>
      </c>
      <c r="K29" s="203">
        <f t="shared" si="3"/>
        <v>4496.8709677419356</v>
      </c>
      <c r="L29" s="203">
        <f t="shared" si="25"/>
        <v>209</v>
      </c>
      <c r="M29" s="203">
        <f t="shared" si="4"/>
        <v>4496.8709677419356</v>
      </c>
      <c r="N29" s="203">
        <f t="shared" si="26"/>
        <v>209</v>
      </c>
      <c r="O29" s="203">
        <f t="shared" si="5"/>
        <v>4496.8709677419356</v>
      </c>
      <c r="P29" s="203">
        <f t="shared" si="27"/>
        <v>209</v>
      </c>
      <c r="Q29" s="203">
        <f t="shared" si="6"/>
        <v>4496.8709677419356</v>
      </c>
      <c r="R29" s="203">
        <f t="shared" si="28"/>
        <v>209</v>
      </c>
      <c r="S29" s="203">
        <f t="shared" si="7"/>
        <v>4496.8709677419356</v>
      </c>
      <c r="T29" s="203">
        <f t="shared" si="29"/>
        <v>209</v>
      </c>
      <c r="U29" s="203">
        <f t="shared" si="8"/>
        <v>4496.8709677419356</v>
      </c>
      <c r="V29" s="203">
        <f t="shared" si="30"/>
        <v>209</v>
      </c>
      <c r="W29" s="203">
        <f t="shared" si="9"/>
        <v>4496.8709677419356</v>
      </c>
      <c r="X29" s="35">
        <f t="shared" si="10"/>
        <v>0.67419354838709689</v>
      </c>
      <c r="Y29" s="36">
        <f t="shared" si="31"/>
        <v>49465.580645161303</v>
      </c>
      <c r="Z29" s="203">
        <f>'B5'!C28</f>
        <v>216</v>
      </c>
      <c r="AA29" s="203">
        <f t="shared" si="32"/>
        <v>2160</v>
      </c>
      <c r="AB29" s="203">
        <f t="shared" si="33"/>
        <v>216</v>
      </c>
      <c r="AC29" s="203">
        <f t="shared" si="32"/>
        <v>2160</v>
      </c>
      <c r="AD29" s="203">
        <f t="shared" si="34"/>
        <v>216</v>
      </c>
      <c r="AE29" s="203">
        <f t="shared" si="11"/>
        <v>2160</v>
      </c>
      <c r="AF29" s="203">
        <f t="shared" si="35"/>
        <v>216</v>
      </c>
      <c r="AG29" s="203">
        <f t="shared" si="12"/>
        <v>2160</v>
      </c>
      <c r="AH29" s="203">
        <f t="shared" si="36"/>
        <v>216</v>
      </c>
      <c r="AI29" s="203">
        <f t="shared" si="13"/>
        <v>2160</v>
      </c>
      <c r="AJ29" s="203">
        <f t="shared" si="37"/>
        <v>216</v>
      </c>
      <c r="AK29" s="203">
        <f t="shared" si="14"/>
        <v>2160</v>
      </c>
      <c r="AL29" s="203">
        <f t="shared" si="38"/>
        <v>216</v>
      </c>
      <c r="AM29" s="203">
        <f t="shared" si="15"/>
        <v>2160</v>
      </c>
      <c r="AN29" s="35">
        <f t="shared" si="16"/>
        <v>0.77142857142857146</v>
      </c>
      <c r="AO29" s="36">
        <f t="shared" si="17"/>
        <v>15120</v>
      </c>
      <c r="AQ29" s="223">
        <f t="shared" si="39"/>
        <v>0.69469270350824253</v>
      </c>
      <c r="AR29" s="38">
        <f t="shared" si="46"/>
        <v>64585.580645161303</v>
      </c>
      <c r="AS29" s="197">
        <f t="shared" si="45"/>
        <v>0</v>
      </c>
      <c r="AT29" s="353"/>
      <c r="AU29" s="643"/>
      <c r="AV29" s="511">
        <f t="shared" si="43"/>
        <v>1.103</v>
      </c>
      <c r="AW29" s="289">
        <f>-SUM('B5'!AI28)</f>
        <v>0</v>
      </c>
      <c r="AX29" s="289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2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209</v>
      </c>
      <c r="C30" s="203">
        <f t="shared" si="20"/>
        <v>4496.8709677419356</v>
      </c>
      <c r="D30">
        <f t="shared" ref="D30:D35" si="47">SUM(B30)</f>
        <v>209</v>
      </c>
      <c r="E30" s="203">
        <f t="shared" si="20"/>
        <v>4496.8709677419356</v>
      </c>
      <c r="F30">
        <f t="shared" ref="F30:F35" si="48">SUM(D30)</f>
        <v>209</v>
      </c>
      <c r="G30" s="203">
        <f t="shared" si="1"/>
        <v>4496.8709677419356</v>
      </c>
      <c r="H30" s="203">
        <f t="shared" ref="H30:H35" si="49">SUM(F30)</f>
        <v>209</v>
      </c>
      <c r="I30" s="203">
        <f t="shared" si="2"/>
        <v>4496.8709677419356</v>
      </c>
      <c r="J30" s="203">
        <f t="shared" ref="J30:J35" si="50">SUM(H30)</f>
        <v>209</v>
      </c>
      <c r="K30" s="203">
        <f t="shared" si="3"/>
        <v>4496.8709677419356</v>
      </c>
      <c r="L30" s="203">
        <f t="shared" ref="L30:L35" si="51">SUM(J30)</f>
        <v>209</v>
      </c>
      <c r="M30" s="203">
        <f t="shared" si="4"/>
        <v>4496.8709677419356</v>
      </c>
      <c r="N30" s="203">
        <f t="shared" ref="N30:N35" si="52">SUM(L30)</f>
        <v>209</v>
      </c>
      <c r="O30" s="203">
        <f t="shared" si="5"/>
        <v>4496.8709677419356</v>
      </c>
      <c r="P30" s="203">
        <f t="shared" ref="P30:P35" si="53">SUM(N30)</f>
        <v>209</v>
      </c>
      <c r="Q30" s="203">
        <f t="shared" si="6"/>
        <v>4496.8709677419356</v>
      </c>
      <c r="R30" s="203">
        <f t="shared" ref="R30:R35" si="54">SUM(P30)</f>
        <v>209</v>
      </c>
      <c r="S30" s="203">
        <f t="shared" si="7"/>
        <v>4496.8709677419356</v>
      </c>
      <c r="T30" s="203">
        <f t="shared" ref="T30:T35" si="55">SUM(R30)</f>
        <v>209</v>
      </c>
      <c r="U30" s="203">
        <f t="shared" si="8"/>
        <v>4496.8709677419356</v>
      </c>
      <c r="V30" s="203">
        <f t="shared" ref="V30:V35" si="56">SUM(T30)</f>
        <v>209</v>
      </c>
      <c r="W30" s="203">
        <f t="shared" si="9"/>
        <v>4496.8709677419356</v>
      </c>
      <c r="X30" s="35">
        <f t="shared" ref="X30:X35" si="57">SUM(Y30/73370)</f>
        <v>0.67419354838709689</v>
      </c>
      <c r="Y30" s="36">
        <f t="shared" ref="Y30:Y35" si="58">SUM(C30+E30+G30+I30+K30+M30+O30+Q30+S30+U30+W30)</f>
        <v>49465.580645161303</v>
      </c>
      <c r="Z30" s="203">
        <f>'B5'!C29</f>
        <v>216</v>
      </c>
      <c r="AA30" s="203">
        <f t="shared" si="32"/>
        <v>2160</v>
      </c>
      <c r="AB30" s="203">
        <f t="shared" ref="AB30:AB35" si="59">SUM(Z30)</f>
        <v>216</v>
      </c>
      <c r="AC30" s="203">
        <f t="shared" si="32"/>
        <v>2160</v>
      </c>
      <c r="AD30" s="203">
        <f t="shared" ref="AD30:AD35" si="60">SUM(AB30)</f>
        <v>216</v>
      </c>
      <c r="AE30" s="203">
        <f t="shared" si="11"/>
        <v>2160</v>
      </c>
      <c r="AF30" s="203">
        <f t="shared" ref="AF30:AF35" si="61">SUM(AD30)</f>
        <v>216</v>
      </c>
      <c r="AG30" s="203">
        <f t="shared" si="12"/>
        <v>2160</v>
      </c>
      <c r="AH30" s="203">
        <f t="shared" ref="AH30:AH35" si="62">SUM(AF30)</f>
        <v>216</v>
      </c>
      <c r="AI30" s="203">
        <f t="shared" si="13"/>
        <v>2160</v>
      </c>
      <c r="AJ30" s="203">
        <f t="shared" ref="AJ30:AJ35" si="63">SUM(AH30)</f>
        <v>216</v>
      </c>
      <c r="AK30" s="203">
        <f t="shared" si="14"/>
        <v>2160</v>
      </c>
      <c r="AL30" s="203">
        <f t="shared" ref="AL30:AL35" si="64">SUM(AJ30)</f>
        <v>216</v>
      </c>
      <c r="AM30" s="203">
        <f t="shared" si="15"/>
        <v>2160</v>
      </c>
      <c r="AN30" s="35">
        <f t="shared" ref="AN30:AN35" si="65">SUM(AO30/19600)</f>
        <v>0.77142857142857146</v>
      </c>
      <c r="AO30" s="36">
        <f t="shared" ref="AO30:AO35" si="66">SUM(AA30+AC30+AE30+AG30+AI30+AK30+AM30)</f>
        <v>15120</v>
      </c>
      <c r="AQ30" s="223">
        <f t="shared" si="39"/>
        <v>0.69469270350824253</v>
      </c>
      <c r="AR30" s="38">
        <f t="shared" si="46"/>
        <v>64585.580645161303</v>
      </c>
      <c r="AS30" s="197">
        <f t="shared" si="45"/>
        <v>0</v>
      </c>
      <c r="AT30" s="353"/>
      <c r="AU30" s="641"/>
      <c r="AV30" s="511">
        <f t="shared" si="43"/>
        <v>1.103</v>
      </c>
      <c r="AW30" s="289">
        <f>-SUM('B5'!AI29)</f>
        <v>0</v>
      </c>
      <c r="AX30" s="289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2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209</v>
      </c>
      <c r="C31" s="203">
        <f t="shared" si="20"/>
        <v>4496.8709677419356</v>
      </c>
      <c r="D31">
        <f t="shared" si="47"/>
        <v>209</v>
      </c>
      <c r="E31" s="203">
        <f t="shared" si="20"/>
        <v>4496.8709677419356</v>
      </c>
      <c r="F31">
        <f t="shared" si="48"/>
        <v>209</v>
      </c>
      <c r="G31" s="203">
        <f t="shared" si="1"/>
        <v>4496.8709677419356</v>
      </c>
      <c r="H31" s="203">
        <f t="shared" si="49"/>
        <v>209</v>
      </c>
      <c r="I31" s="203">
        <f t="shared" si="2"/>
        <v>4496.8709677419356</v>
      </c>
      <c r="J31" s="203">
        <f t="shared" si="50"/>
        <v>209</v>
      </c>
      <c r="K31" s="203">
        <f t="shared" si="3"/>
        <v>4496.8709677419356</v>
      </c>
      <c r="L31" s="203">
        <f t="shared" si="51"/>
        <v>209</v>
      </c>
      <c r="M31" s="203">
        <f t="shared" si="4"/>
        <v>4496.8709677419356</v>
      </c>
      <c r="N31" s="203">
        <f t="shared" si="52"/>
        <v>209</v>
      </c>
      <c r="O31" s="203">
        <f t="shared" si="5"/>
        <v>4496.8709677419356</v>
      </c>
      <c r="P31" s="203">
        <f t="shared" si="53"/>
        <v>209</v>
      </c>
      <c r="Q31" s="203">
        <f t="shared" si="6"/>
        <v>4496.8709677419356</v>
      </c>
      <c r="R31" s="203">
        <f t="shared" si="54"/>
        <v>209</v>
      </c>
      <c r="S31" s="203">
        <f t="shared" si="7"/>
        <v>4496.8709677419356</v>
      </c>
      <c r="T31" s="203">
        <f t="shared" si="55"/>
        <v>209</v>
      </c>
      <c r="U31" s="203">
        <f t="shared" si="8"/>
        <v>4496.8709677419356</v>
      </c>
      <c r="V31" s="203">
        <f t="shared" si="56"/>
        <v>209</v>
      </c>
      <c r="W31" s="203">
        <f t="shared" si="9"/>
        <v>4496.8709677419356</v>
      </c>
      <c r="X31" s="35">
        <f t="shared" si="57"/>
        <v>0.67419354838709689</v>
      </c>
      <c r="Y31" s="36">
        <f t="shared" si="58"/>
        <v>49465.580645161303</v>
      </c>
      <c r="Z31" s="203">
        <f>'B5'!C30</f>
        <v>216</v>
      </c>
      <c r="AA31" s="203">
        <f t="shared" si="32"/>
        <v>2160</v>
      </c>
      <c r="AB31" s="203">
        <f t="shared" si="59"/>
        <v>216</v>
      </c>
      <c r="AC31" s="203">
        <f t="shared" si="32"/>
        <v>2160</v>
      </c>
      <c r="AD31" s="203">
        <f t="shared" si="60"/>
        <v>216</v>
      </c>
      <c r="AE31" s="203">
        <f t="shared" si="11"/>
        <v>2160</v>
      </c>
      <c r="AF31" s="203">
        <f t="shared" si="61"/>
        <v>216</v>
      </c>
      <c r="AG31" s="203">
        <f t="shared" si="12"/>
        <v>2160</v>
      </c>
      <c r="AH31" s="203">
        <f t="shared" si="62"/>
        <v>216</v>
      </c>
      <c r="AI31" s="203">
        <f t="shared" si="13"/>
        <v>2160</v>
      </c>
      <c r="AJ31" s="203">
        <f t="shared" si="63"/>
        <v>216</v>
      </c>
      <c r="AK31" s="203">
        <f t="shared" si="14"/>
        <v>2160</v>
      </c>
      <c r="AL31" s="203">
        <f t="shared" si="64"/>
        <v>216</v>
      </c>
      <c r="AM31" s="203">
        <f t="shared" si="15"/>
        <v>2160</v>
      </c>
      <c r="AN31" s="35">
        <f t="shared" si="65"/>
        <v>0.77142857142857146</v>
      </c>
      <c r="AO31" s="36">
        <f t="shared" si="66"/>
        <v>15120</v>
      </c>
      <c r="AQ31" s="223">
        <f t="shared" si="39"/>
        <v>0.69469270350824253</v>
      </c>
      <c r="AR31" s="38">
        <f t="shared" si="46"/>
        <v>64585.580645161303</v>
      </c>
      <c r="AS31" s="197">
        <f t="shared" si="45"/>
        <v>0</v>
      </c>
      <c r="AT31" s="353"/>
      <c r="AU31" s="641"/>
      <c r="AV31" s="511">
        <f t="shared" si="43"/>
        <v>1.103</v>
      </c>
      <c r="AW31" s="289">
        <f>-SUM('B5'!AI30)</f>
        <v>0</v>
      </c>
      <c r="AX31" s="289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209</v>
      </c>
      <c r="C32" s="203">
        <f t="shared" si="20"/>
        <v>4496.8709677419356</v>
      </c>
      <c r="D32">
        <f t="shared" si="47"/>
        <v>209</v>
      </c>
      <c r="E32" s="203">
        <f t="shared" si="20"/>
        <v>4496.8709677419356</v>
      </c>
      <c r="F32">
        <f t="shared" si="48"/>
        <v>209</v>
      </c>
      <c r="G32" s="203">
        <f t="shared" si="1"/>
        <v>4496.8709677419356</v>
      </c>
      <c r="H32" s="203">
        <f t="shared" si="49"/>
        <v>209</v>
      </c>
      <c r="I32" s="203">
        <f t="shared" si="2"/>
        <v>4496.8709677419356</v>
      </c>
      <c r="J32" s="203">
        <f t="shared" si="50"/>
        <v>209</v>
      </c>
      <c r="K32" s="203">
        <f t="shared" si="3"/>
        <v>4496.8709677419356</v>
      </c>
      <c r="L32" s="203">
        <f t="shared" si="51"/>
        <v>209</v>
      </c>
      <c r="M32" s="203">
        <f t="shared" si="4"/>
        <v>4496.8709677419356</v>
      </c>
      <c r="N32" s="203">
        <f t="shared" si="52"/>
        <v>209</v>
      </c>
      <c r="O32" s="203">
        <f t="shared" si="5"/>
        <v>4496.8709677419356</v>
      </c>
      <c r="P32" s="203">
        <f t="shared" si="53"/>
        <v>209</v>
      </c>
      <c r="Q32" s="203">
        <f t="shared" si="6"/>
        <v>4496.8709677419356</v>
      </c>
      <c r="R32" s="203">
        <f t="shared" si="54"/>
        <v>209</v>
      </c>
      <c r="S32" s="203">
        <f t="shared" si="7"/>
        <v>4496.8709677419356</v>
      </c>
      <c r="T32" s="203">
        <f t="shared" si="55"/>
        <v>209</v>
      </c>
      <c r="U32" s="203">
        <f t="shared" si="8"/>
        <v>4496.8709677419356</v>
      </c>
      <c r="V32" s="203">
        <f t="shared" si="56"/>
        <v>209</v>
      </c>
      <c r="W32" s="203">
        <f t="shared" si="9"/>
        <v>4496.8709677419356</v>
      </c>
      <c r="X32" s="35">
        <f t="shared" si="57"/>
        <v>0.67419354838709689</v>
      </c>
      <c r="Y32" s="36">
        <f t="shared" si="58"/>
        <v>49465.580645161303</v>
      </c>
      <c r="Z32" s="203">
        <f>'B5'!C31</f>
        <v>216</v>
      </c>
      <c r="AA32" s="203">
        <f t="shared" si="32"/>
        <v>2160</v>
      </c>
      <c r="AB32" s="203">
        <f t="shared" si="59"/>
        <v>216</v>
      </c>
      <c r="AC32" s="203">
        <f t="shared" si="32"/>
        <v>2160</v>
      </c>
      <c r="AD32" s="203">
        <f t="shared" si="60"/>
        <v>216</v>
      </c>
      <c r="AE32" s="203">
        <f t="shared" si="11"/>
        <v>2160</v>
      </c>
      <c r="AF32" s="203">
        <f t="shared" si="61"/>
        <v>216</v>
      </c>
      <c r="AG32" s="203">
        <f t="shared" si="12"/>
        <v>2160</v>
      </c>
      <c r="AH32" s="203">
        <f t="shared" si="62"/>
        <v>216</v>
      </c>
      <c r="AI32" s="203">
        <f t="shared" si="13"/>
        <v>2160</v>
      </c>
      <c r="AJ32" s="203">
        <f t="shared" si="63"/>
        <v>216</v>
      </c>
      <c r="AK32" s="203">
        <f t="shared" si="14"/>
        <v>2160</v>
      </c>
      <c r="AL32" s="203">
        <f t="shared" si="64"/>
        <v>216</v>
      </c>
      <c r="AM32" s="203">
        <f t="shared" si="15"/>
        <v>2160</v>
      </c>
      <c r="AN32" s="35">
        <f t="shared" si="65"/>
        <v>0.77142857142857146</v>
      </c>
      <c r="AO32" s="36">
        <f t="shared" si="66"/>
        <v>15120</v>
      </c>
      <c r="AQ32" s="223">
        <f t="shared" si="39"/>
        <v>0.69469270350824253</v>
      </c>
      <c r="AR32" s="38">
        <f t="shared" si="46"/>
        <v>64585.580645161303</v>
      </c>
      <c r="AS32" s="197">
        <f t="shared" si="45"/>
        <v>0</v>
      </c>
      <c r="AT32" s="353"/>
      <c r="AU32" s="641"/>
      <c r="AV32" s="511">
        <f>IF(AT32&gt;0,AU32,AV31)</f>
        <v>1.103</v>
      </c>
      <c r="AW32" s="289">
        <f>-SUM('B5'!AI31)</f>
        <v>0</v>
      </c>
      <c r="AX32" s="289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209</v>
      </c>
      <c r="C33" s="203">
        <f t="shared" si="20"/>
        <v>4496.8709677419356</v>
      </c>
      <c r="D33">
        <f t="shared" si="47"/>
        <v>209</v>
      </c>
      <c r="E33" s="203">
        <f t="shared" si="20"/>
        <v>4496.8709677419356</v>
      </c>
      <c r="F33">
        <f t="shared" si="48"/>
        <v>209</v>
      </c>
      <c r="G33" s="203">
        <f t="shared" si="1"/>
        <v>4496.8709677419356</v>
      </c>
      <c r="H33" s="203">
        <f t="shared" si="49"/>
        <v>209</v>
      </c>
      <c r="I33" s="203">
        <f t="shared" si="2"/>
        <v>4496.8709677419356</v>
      </c>
      <c r="J33" s="203">
        <f t="shared" si="50"/>
        <v>209</v>
      </c>
      <c r="K33" s="203">
        <f t="shared" si="3"/>
        <v>4496.8709677419356</v>
      </c>
      <c r="L33" s="203">
        <f t="shared" si="51"/>
        <v>209</v>
      </c>
      <c r="M33" s="203">
        <f t="shared" si="4"/>
        <v>4496.8709677419356</v>
      </c>
      <c r="N33" s="203">
        <f t="shared" si="52"/>
        <v>209</v>
      </c>
      <c r="O33" s="203">
        <f t="shared" si="5"/>
        <v>4496.8709677419356</v>
      </c>
      <c r="P33" s="203">
        <f t="shared" si="53"/>
        <v>209</v>
      </c>
      <c r="Q33" s="203">
        <f t="shared" si="6"/>
        <v>4496.8709677419356</v>
      </c>
      <c r="R33" s="203">
        <f t="shared" si="54"/>
        <v>209</v>
      </c>
      <c r="S33" s="203">
        <f t="shared" si="7"/>
        <v>4496.8709677419356</v>
      </c>
      <c r="T33" s="203">
        <f t="shared" si="55"/>
        <v>209</v>
      </c>
      <c r="U33" s="203">
        <f t="shared" si="8"/>
        <v>4496.8709677419356</v>
      </c>
      <c r="V33" s="203">
        <f t="shared" si="56"/>
        <v>209</v>
      </c>
      <c r="W33" s="203">
        <f t="shared" si="9"/>
        <v>4496.8709677419356</v>
      </c>
      <c r="X33" s="35">
        <f t="shared" si="57"/>
        <v>0.67419354838709689</v>
      </c>
      <c r="Y33" s="36">
        <f t="shared" si="58"/>
        <v>49465.580645161303</v>
      </c>
      <c r="Z33" s="203">
        <f>'B5'!C32</f>
        <v>216</v>
      </c>
      <c r="AA33" s="203">
        <f t="shared" si="32"/>
        <v>2160</v>
      </c>
      <c r="AB33" s="203">
        <f t="shared" si="59"/>
        <v>216</v>
      </c>
      <c r="AC33" s="203">
        <f t="shared" si="32"/>
        <v>2160</v>
      </c>
      <c r="AD33" s="203">
        <f t="shared" si="60"/>
        <v>216</v>
      </c>
      <c r="AE33" s="203">
        <f t="shared" si="11"/>
        <v>2160</v>
      </c>
      <c r="AF33" s="203">
        <f t="shared" si="61"/>
        <v>216</v>
      </c>
      <c r="AG33" s="203">
        <f t="shared" si="12"/>
        <v>2160</v>
      </c>
      <c r="AH33" s="203">
        <f t="shared" si="62"/>
        <v>216</v>
      </c>
      <c r="AI33" s="203">
        <f t="shared" si="13"/>
        <v>2160</v>
      </c>
      <c r="AJ33" s="203">
        <f t="shared" si="63"/>
        <v>216</v>
      </c>
      <c r="AK33" s="203">
        <f t="shared" si="14"/>
        <v>2160</v>
      </c>
      <c r="AL33" s="203">
        <f t="shared" si="64"/>
        <v>216</v>
      </c>
      <c r="AM33" s="203">
        <f t="shared" si="15"/>
        <v>2160</v>
      </c>
      <c r="AN33" s="35">
        <f t="shared" si="65"/>
        <v>0.77142857142857146</v>
      </c>
      <c r="AO33" s="36">
        <f t="shared" si="66"/>
        <v>15120</v>
      </c>
      <c r="AQ33" s="223">
        <f t="shared" si="39"/>
        <v>0.69469270350824253</v>
      </c>
      <c r="AR33" s="38">
        <f t="shared" si="46"/>
        <v>64585.580645161303</v>
      </c>
      <c r="AS33" s="197">
        <f t="shared" si="45"/>
        <v>0</v>
      </c>
      <c r="AT33" s="353"/>
      <c r="AU33" s="641"/>
      <c r="AV33" s="511">
        <f>IF(AT33&gt;0,AU33,AV32)</f>
        <v>1.103</v>
      </c>
      <c r="AW33" s="289">
        <f>-SUM('B5'!AI32)</f>
        <v>0</v>
      </c>
      <c r="AX33" s="289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209</v>
      </c>
      <c r="C34" s="203">
        <f>B34*$B$4</f>
        <v>4496.8709677419356</v>
      </c>
      <c r="D34">
        <f t="shared" si="47"/>
        <v>209</v>
      </c>
      <c r="E34" s="203">
        <f>D34*$B$4</f>
        <v>4496.8709677419356</v>
      </c>
      <c r="F34">
        <f t="shared" si="48"/>
        <v>209</v>
      </c>
      <c r="G34" s="203">
        <f>F34*$B$4</f>
        <v>4496.8709677419356</v>
      </c>
      <c r="H34" s="203">
        <f t="shared" si="49"/>
        <v>209</v>
      </c>
      <c r="I34" s="203">
        <f>H34*$B$4</f>
        <v>4496.8709677419356</v>
      </c>
      <c r="J34" s="203">
        <f t="shared" si="50"/>
        <v>209</v>
      </c>
      <c r="K34" s="203">
        <f>J34*$B$4</f>
        <v>4496.8709677419356</v>
      </c>
      <c r="L34" s="203">
        <f t="shared" si="51"/>
        <v>209</v>
      </c>
      <c r="M34" s="203">
        <f>L34*$B$4</f>
        <v>4496.8709677419356</v>
      </c>
      <c r="N34" s="203">
        <f t="shared" si="52"/>
        <v>209</v>
      </c>
      <c r="O34" s="203">
        <f>N34*$B$4</f>
        <v>4496.8709677419356</v>
      </c>
      <c r="P34" s="203">
        <f t="shared" si="53"/>
        <v>209</v>
      </c>
      <c r="Q34" s="203">
        <f>P34*$B$4</f>
        <v>4496.8709677419356</v>
      </c>
      <c r="R34" s="203">
        <f t="shared" si="54"/>
        <v>209</v>
      </c>
      <c r="S34" s="203">
        <f>R34*$B$4</f>
        <v>4496.8709677419356</v>
      </c>
      <c r="T34" s="203">
        <f t="shared" si="55"/>
        <v>209</v>
      </c>
      <c r="U34" s="203">
        <f>T34*$B$4</f>
        <v>4496.8709677419356</v>
      </c>
      <c r="V34" s="203">
        <f t="shared" si="56"/>
        <v>209</v>
      </c>
      <c r="W34" s="203">
        <f>V34*$B$4</f>
        <v>4496.8709677419356</v>
      </c>
      <c r="X34" s="35">
        <f t="shared" si="57"/>
        <v>0.67419354838709689</v>
      </c>
      <c r="Y34" s="36">
        <f t="shared" si="58"/>
        <v>49465.580645161303</v>
      </c>
      <c r="Z34" s="203">
        <f>'B5'!C33</f>
        <v>216</v>
      </c>
      <c r="AA34" s="203">
        <f>SUM(Z34*$Z$4)</f>
        <v>2160</v>
      </c>
      <c r="AB34" s="203">
        <f t="shared" si="59"/>
        <v>216</v>
      </c>
      <c r="AC34" s="203">
        <f>SUM(AB34*$Z$4)</f>
        <v>2160</v>
      </c>
      <c r="AD34" s="203">
        <f t="shared" si="60"/>
        <v>216</v>
      </c>
      <c r="AE34" s="203">
        <f>SUM(AD34*$Z$4)</f>
        <v>2160</v>
      </c>
      <c r="AF34" s="203">
        <f t="shared" si="61"/>
        <v>216</v>
      </c>
      <c r="AG34" s="203">
        <f>SUM(AF34*$Z$4)</f>
        <v>2160</v>
      </c>
      <c r="AH34" s="203">
        <f t="shared" si="62"/>
        <v>216</v>
      </c>
      <c r="AI34" s="203">
        <f>SUM(AH34*$Z$4)</f>
        <v>2160</v>
      </c>
      <c r="AJ34" s="203">
        <f t="shared" si="63"/>
        <v>216</v>
      </c>
      <c r="AK34" s="203">
        <f>SUM(AJ34*$Z$4)</f>
        <v>2160</v>
      </c>
      <c r="AL34" s="203">
        <f t="shared" si="64"/>
        <v>216</v>
      </c>
      <c r="AM34" s="203">
        <f>SUM(AL34*$Z$4)</f>
        <v>2160</v>
      </c>
      <c r="AN34" s="35">
        <f t="shared" si="65"/>
        <v>0.77142857142857146</v>
      </c>
      <c r="AO34" s="36">
        <f t="shared" si="66"/>
        <v>15120</v>
      </c>
      <c r="AQ34" s="223">
        <f>SUM(AR34/92970)</f>
        <v>0.69469270350824253</v>
      </c>
      <c r="AR34" s="38">
        <f t="shared" si="46"/>
        <v>64585.580645161303</v>
      </c>
      <c r="AS34" s="197">
        <f t="shared" si="45"/>
        <v>0</v>
      </c>
      <c r="AT34" s="353"/>
      <c r="AU34" s="641"/>
      <c r="AV34" s="511">
        <f>IF(AT34&gt;0,AU34,AV33)</f>
        <v>1.103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209</v>
      </c>
      <c r="C35" s="203">
        <f>B35*$B$4</f>
        <v>4496.8709677419356</v>
      </c>
      <c r="D35">
        <f t="shared" si="47"/>
        <v>209</v>
      </c>
      <c r="E35" s="203">
        <f>D35*$B$4</f>
        <v>4496.8709677419356</v>
      </c>
      <c r="F35">
        <f t="shared" si="48"/>
        <v>209</v>
      </c>
      <c r="G35" s="203">
        <f>F35*$B$4</f>
        <v>4496.8709677419356</v>
      </c>
      <c r="H35" s="203">
        <f t="shared" si="49"/>
        <v>209</v>
      </c>
      <c r="I35" s="203">
        <f>H35*$B$4</f>
        <v>4496.8709677419356</v>
      </c>
      <c r="J35" s="203">
        <f t="shared" si="50"/>
        <v>209</v>
      </c>
      <c r="K35" s="203">
        <f>J35*$B$4</f>
        <v>4496.8709677419356</v>
      </c>
      <c r="L35" s="203">
        <f t="shared" si="51"/>
        <v>209</v>
      </c>
      <c r="M35" s="203">
        <f>L35*$B$4</f>
        <v>4496.8709677419356</v>
      </c>
      <c r="N35" s="203">
        <f t="shared" si="52"/>
        <v>209</v>
      </c>
      <c r="O35" s="203">
        <f>N35*$B$4</f>
        <v>4496.8709677419356</v>
      </c>
      <c r="P35" s="203">
        <f t="shared" si="53"/>
        <v>209</v>
      </c>
      <c r="Q35" s="203">
        <f>P35*$B$4</f>
        <v>4496.8709677419356</v>
      </c>
      <c r="R35" s="203">
        <f t="shared" si="54"/>
        <v>209</v>
      </c>
      <c r="S35" s="203">
        <f>R35*$B$4</f>
        <v>4496.8709677419356</v>
      </c>
      <c r="T35" s="203">
        <f t="shared" si="55"/>
        <v>209</v>
      </c>
      <c r="U35" s="203">
        <f>T35*$B$4</f>
        <v>4496.8709677419356</v>
      </c>
      <c r="V35" s="203">
        <f t="shared" si="56"/>
        <v>209</v>
      </c>
      <c r="W35" s="203">
        <f>V35*$B$4</f>
        <v>4496.8709677419356</v>
      </c>
      <c r="X35" s="35">
        <f t="shared" si="57"/>
        <v>0.67419354838709689</v>
      </c>
      <c r="Y35" s="36">
        <f t="shared" si="58"/>
        <v>49465.580645161303</v>
      </c>
      <c r="Z35" s="203">
        <f>'B5'!C34</f>
        <v>216</v>
      </c>
      <c r="AA35" s="203">
        <f>SUM(Z35*$Z$4)</f>
        <v>2160</v>
      </c>
      <c r="AB35" s="203">
        <f t="shared" si="59"/>
        <v>216</v>
      </c>
      <c r="AC35" s="203">
        <f>SUM(AB35*$Z$4)</f>
        <v>2160</v>
      </c>
      <c r="AD35" s="203">
        <f t="shared" si="60"/>
        <v>216</v>
      </c>
      <c r="AE35" s="203">
        <f>SUM(AD35*$Z$4)</f>
        <v>2160</v>
      </c>
      <c r="AF35" s="203">
        <f t="shared" si="61"/>
        <v>216</v>
      </c>
      <c r="AG35" s="203">
        <f>SUM(AF35*$Z$4)</f>
        <v>2160</v>
      </c>
      <c r="AH35" s="203">
        <f t="shared" si="62"/>
        <v>216</v>
      </c>
      <c r="AI35" s="203">
        <f>SUM(AH35*$Z$4)</f>
        <v>2160</v>
      </c>
      <c r="AJ35" s="203">
        <f t="shared" si="63"/>
        <v>216</v>
      </c>
      <c r="AK35" s="203">
        <f>SUM(AJ35*$Z$4)</f>
        <v>2160</v>
      </c>
      <c r="AL35" s="203">
        <f t="shared" si="64"/>
        <v>216</v>
      </c>
      <c r="AM35" s="203">
        <f>SUM(AL35*$Z$4)</f>
        <v>2160</v>
      </c>
      <c r="AN35" s="35">
        <f t="shared" si="65"/>
        <v>0.77142857142857146</v>
      </c>
      <c r="AO35" s="36">
        <f t="shared" si="66"/>
        <v>15120</v>
      </c>
      <c r="AQ35" s="223">
        <f>SUM(AR35/92970)</f>
        <v>0.69469270350824253</v>
      </c>
      <c r="AR35" s="38">
        <f t="shared" si="46"/>
        <v>64585.580645161303</v>
      </c>
      <c r="AS35" s="197">
        <f t="shared" si="45"/>
        <v>0</v>
      </c>
      <c r="AT35" s="353"/>
      <c r="AU35" s="641"/>
      <c r="AV35" s="580">
        <f>IF(AT35&gt;0,AU35,AV34)</f>
        <v>1.103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6</v>
      </c>
      <c r="AT36" s="203">
        <f>SUM(AT6:AT35)</f>
        <v>74135</v>
      </c>
      <c r="AU36" s="628">
        <f>SUM(AU6:AU35)/AS36</f>
        <v>1.0519999999999998</v>
      </c>
      <c r="AX36" s="203">
        <f>SUM(AX6:AX35)</f>
        <v>-70924.645161290304</v>
      </c>
      <c r="AY36" s="203">
        <f>SUM(AY6:AY35)</f>
        <v>-73521.645161290304</v>
      </c>
    </row>
    <row r="37" spans="1:60">
      <c r="AS37" s="206"/>
      <c r="AT37" s="82">
        <f>+AT36*AU36</f>
        <v>77990.01999999999</v>
      </c>
    </row>
    <row r="39" spans="1:60">
      <c r="AS39" s="165">
        <f>SUM(AS6:AS35)/'EDl log'!A35</f>
        <v>-3676.0822580645154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-1.6376421797153087</v>
      </c>
    </row>
  </sheetData>
  <mergeCells count="3">
    <mergeCell ref="AT3:AU3"/>
    <mergeCell ref="AS3:AS4"/>
    <mergeCell ref="AR3:AR4"/>
  </mergeCells>
  <conditionalFormatting sqref="AW6:AX35">
    <cfRule type="cellIs" dxfId="4" priority="6" stopIfTrue="1" operator="greaterThan">
      <formula>0</formula>
    </cfRule>
  </conditionalFormatting>
  <conditionalFormatting sqref="AT6:AU35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24" sqref="L2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1">
        <v>156087</v>
      </c>
      <c r="G4" s="160">
        <f t="shared" ref="G4:G30" si="1">F4-F3</f>
        <v>0</v>
      </c>
      <c r="H4" s="581">
        <v>515845</v>
      </c>
      <c r="I4" s="161">
        <f t="shared" ref="I4:I30" si="2">H4-H3</f>
        <v>303</v>
      </c>
      <c r="J4" s="581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4607.5903225806569</v>
      </c>
      <c r="R4" s="296">
        <f>SUM(P4:Q4)</f>
        <v>4794.0980727188544</v>
      </c>
      <c r="S4" s="298">
        <f>SUM(ELEC!N4)</f>
        <v>10480.600000000093</v>
      </c>
      <c r="T4" s="334">
        <f>IF(S4&gt;0,R4/S4,0)</f>
        <v>0.45742591766872237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4"/>
      <c r="AC4" s="685"/>
    </row>
    <row r="5" spans="1:32" ht="20.100000000000001" customHeight="1">
      <c r="A5" s="163">
        <f>ELEC!C5</f>
        <v>44349</v>
      </c>
      <c r="B5" s="625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5">
        <v>156260</v>
      </c>
      <c r="G5" s="160">
        <f t="shared" si="1"/>
        <v>173</v>
      </c>
      <c r="H5" s="625">
        <v>516289</v>
      </c>
      <c r="I5" s="161">
        <f t="shared" si="2"/>
        <v>444</v>
      </c>
      <c r="J5" s="625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2242.9318709677241</v>
      </c>
      <c r="R5" s="296">
        <f t="shared" ref="R5:R30" si="10">SUM(P5:Q5)</f>
        <v>2502.8008151357726</v>
      </c>
      <c r="S5" s="298">
        <f>SUM(ELEC!N5)</f>
        <v>12363.799999999814</v>
      </c>
      <c r="T5" s="334">
        <f>IF(S5&gt;0,R5/S5,0)</f>
        <v>0.2024297396541363</v>
      </c>
      <c r="U5" s="250"/>
      <c r="V5" s="678"/>
      <c r="W5" s="679"/>
      <c r="X5" s="679"/>
      <c r="Y5" s="680"/>
      <c r="Z5" s="26" t="s">
        <v>203</v>
      </c>
      <c r="AA5" s="264">
        <f>'[7]EDl log'!AA22</f>
        <v>5000</v>
      </c>
      <c r="AB5" s="686"/>
      <c r="AC5" s="687"/>
    </row>
    <row r="6" spans="1:32" ht="20.100000000000001" customHeight="1">
      <c r="A6" s="163">
        <f>ELEC!C6</f>
        <v>44350</v>
      </c>
      <c r="B6" s="625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5">
        <v>156260</v>
      </c>
      <c r="G6" s="160">
        <f t="shared" si="1"/>
        <v>0</v>
      </c>
      <c r="H6" s="625">
        <v>516513</v>
      </c>
      <c r="I6" s="161">
        <f t="shared" si="2"/>
        <v>224</v>
      </c>
      <c r="J6" s="625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2075.4602580644969</v>
      </c>
      <c r="R6" s="296">
        <f t="shared" si="10"/>
        <v>2263.6874111877696</v>
      </c>
      <c r="S6" s="298">
        <f>SUM(ELEC!N6)</f>
        <v>15101</v>
      </c>
      <c r="T6" s="334">
        <f t="shared" ref="T6:T30" si="12">IF(S6&gt;0,R6/S6,0)</f>
        <v>0.14990314622791667</v>
      </c>
      <c r="V6" s="681"/>
      <c r="W6" s="682"/>
      <c r="X6" s="682"/>
      <c r="Y6" s="683"/>
      <c r="Z6" s="3"/>
      <c r="AA6" s="3"/>
      <c r="AB6" s="686"/>
      <c r="AC6" s="687"/>
    </row>
    <row r="7" spans="1:32" ht="20.100000000000001" customHeight="1">
      <c r="A7" s="163">
        <f>ELEC!C7</f>
        <v>44351</v>
      </c>
      <c r="B7" s="625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5">
        <v>156260</v>
      </c>
      <c r="G7" s="160">
        <f t="shared" si="1"/>
        <v>0</v>
      </c>
      <c r="H7" s="625">
        <v>516513</v>
      </c>
      <c r="I7" s="161">
        <f t="shared" si="2"/>
        <v>0</v>
      </c>
      <c r="J7" s="625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3130.5144516129249</v>
      </c>
      <c r="R7" s="296">
        <f t="shared" si="10"/>
        <v>3290.4775914691991</v>
      </c>
      <c r="S7" s="298">
        <f>SUM(ELEC!N7)</f>
        <v>16108.600000000093</v>
      </c>
      <c r="T7" s="334">
        <f t="shared" si="12"/>
        <v>0.20426837785215227</v>
      </c>
      <c r="V7" s="674" t="s">
        <v>204</v>
      </c>
      <c r="W7" s="675"/>
      <c r="X7" s="676" t="s">
        <v>205</v>
      </c>
      <c r="Y7" s="677"/>
      <c r="Z7" s="675"/>
      <c r="AA7" s="26"/>
      <c r="AB7" s="688"/>
      <c r="AC7" s="689"/>
    </row>
    <row r="8" spans="1:32" ht="20.100000000000001" customHeight="1">
      <c r="A8" s="163">
        <f>ELEC!C8</f>
        <v>44352</v>
      </c>
      <c r="B8" s="625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5">
        <v>156467</v>
      </c>
      <c r="G8" s="160">
        <f t="shared" si="1"/>
        <v>207</v>
      </c>
      <c r="H8" s="625">
        <v>517307</v>
      </c>
      <c r="I8" s="161">
        <f t="shared" si="2"/>
        <v>794</v>
      </c>
      <c r="J8" s="625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5230.0349677419263</v>
      </c>
      <c r="R8" s="296">
        <f t="shared" si="10"/>
        <v>5527.3168472333582</v>
      </c>
      <c r="S8" s="298">
        <f>SUM(ELEC!N8)</f>
        <v>12066</v>
      </c>
      <c r="T8" s="334">
        <f>IF(S8&gt;0,R8/S8,0)</f>
        <v>0.4580902409442531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5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5">
        <v>156555</v>
      </c>
      <c r="G9" s="160">
        <f t="shared" si="1"/>
        <v>88</v>
      </c>
      <c r="H9" s="625">
        <v>517596</v>
      </c>
      <c r="I9" s="161">
        <f t="shared" si="2"/>
        <v>289</v>
      </c>
      <c r="J9" s="625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4065.7763870967792</v>
      </c>
      <c r="R9" s="296">
        <f>SUM(P9:Q9)</f>
        <v>4272.8957458585264</v>
      </c>
      <c r="S9" s="298">
        <f>SUM(ELEC!N9)</f>
        <v>11919</v>
      </c>
      <c r="T9" s="334">
        <f t="shared" si="12"/>
        <v>0.35849448325014904</v>
      </c>
      <c r="V9" s="254">
        <f>'[3]EDl log'!V26</f>
        <v>365756</v>
      </c>
      <c r="W9" s="254">
        <f>'[3]EDl log'!W26</f>
        <v>386167</v>
      </c>
      <c r="X9" s="254" t="s">
        <v>199</v>
      </c>
      <c r="Y9" s="615">
        <f>'[3]EDl log'!Y26</f>
        <v>80</v>
      </c>
      <c r="Z9" s="254">
        <v>1</v>
      </c>
      <c r="AA9" s="600">
        <f>'[3]EDl log'!AA26</f>
        <v>20411</v>
      </c>
      <c r="AB9" s="600">
        <f>'[3]EDl log'!AB26</f>
        <v>1632880</v>
      </c>
      <c r="AC9" s="600">
        <f>'[3]EDl log'!AC26</f>
        <v>1033333</v>
      </c>
      <c r="AD9" s="598">
        <f>'[3]EDl log'!AD26</f>
        <v>0.41575933035433316</v>
      </c>
    </row>
    <row r="10" spans="1:32" ht="20.100000000000001" customHeight="1">
      <c r="A10" s="163">
        <f>ELEC!C10</f>
        <v>44354</v>
      </c>
      <c r="B10" s="625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5">
        <v>156555</v>
      </c>
      <c r="G10" s="160">
        <f t="shared" si="1"/>
        <v>0</v>
      </c>
      <c r="H10" s="625">
        <v>517860</v>
      </c>
      <c r="I10" s="161">
        <f t="shared" si="2"/>
        <v>264</v>
      </c>
      <c r="J10" s="625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2397.4061935483669</v>
      </c>
      <c r="R10" s="296">
        <f t="shared" si="10"/>
        <v>2588.3928823266974</v>
      </c>
      <c r="S10" s="298">
        <f>SUM(ELEC!N10)</f>
        <v>15761</v>
      </c>
      <c r="T10" s="334">
        <f t="shared" si="12"/>
        <v>0.16422770651143312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5">
        <f>'[3]EDl log'!Y27</f>
        <v>112</v>
      </c>
      <c r="Z10" s="254">
        <v>1</v>
      </c>
      <c r="AA10" s="600">
        <f>'[3]EDl log'!AA27</f>
        <v>23142</v>
      </c>
      <c r="AB10" s="600">
        <f>'[3]EDl log'!AB27</f>
        <v>2591904</v>
      </c>
      <c r="AC10" s="600">
        <f>'[3]EDl log'!AC27</f>
        <v>6200000</v>
      </c>
      <c r="AD10" s="598">
        <f>'[3]EDl log'!AD27</f>
        <v>0.4739337487150439</v>
      </c>
    </row>
    <row r="11" spans="1:32" ht="20.100000000000001" customHeight="1">
      <c r="A11" s="163">
        <f>ELEC!C11</f>
        <v>44355</v>
      </c>
      <c r="B11" s="625">
        <v>1063402</v>
      </c>
      <c r="C11" s="264">
        <f t="shared" si="0"/>
        <v>960</v>
      </c>
      <c r="D11" s="307">
        <f t="shared" si="7"/>
        <v>960</v>
      </c>
      <c r="E11" s="307">
        <f t="shared" si="11"/>
        <v>1063402</v>
      </c>
      <c r="F11" s="625">
        <v>156748</v>
      </c>
      <c r="G11" s="160">
        <f t="shared" si="1"/>
        <v>193</v>
      </c>
      <c r="H11" s="625">
        <v>518049</v>
      </c>
      <c r="I11" s="161">
        <f t="shared" si="2"/>
        <v>189</v>
      </c>
      <c r="J11" s="625">
        <v>388604</v>
      </c>
      <c r="K11" s="162">
        <f t="shared" si="3"/>
        <v>578</v>
      </c>
      <c r="L11" s="295">
        <f t="shared" si="4"/>
        <v>40.968490878938638</v>
      </c>
      <c r="M11" s="295">
        <f t="shared" si="5"/>
        <v>14.041791044776119</v>
      </c>
      <c r="N11" s="295">
        <f t="shared" si="6"/>
        <v>30.673300165837478</v>
      </c>
      <c r="O11" s="295">
        <f t="shared" si="8"/>
        <v>159.96313985627418</v>
      </c>
      <c r="P11" s="296">
        <f t="shared" si="9"/>
        <v>245.64672194582641</v>
      </c>
      <c r="Q11" s="296">
        <f>SUM(-tanks!AX13*tanks!$AU$36)</f>
        <v>3631.6397419355098</v>
      </c>
      <c r="R11" s="296">
        <f t="shared" si="10"/>
        <v>3877.2864638813362</v>
      </c>
      <c r="S11" s="298">
        <f>SUM(ELEC!N11)</f>
        <v>11896</v>
      </c>
      <c r="T11" s="334">
        <f t="shared" si="12"/>
        <v>0.32593194888040822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5">
        <f>'[3]EDl log'!Y28</f>
        <v>320</v>
      </c>
      <c r="Z11" s="254">
        <v>1</v>
      </c>
      <c r="AA11" s="600">
        <f>'[3]EDl log'!AA28</f>
        <v>5434</v>
      </c>
      <c r="AB11" s="600">
        <f>'[3]EDl log'!AB28</f>
        <v>1738880</v>
      </c>
      <c r="AC11" s="600">
        <f>'[3]EDl log'!AC28</f>
        <v>1000</v>
      </c>
      <c r="AD11" s="598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5">
        <v>1063804</v>
      </c>
      <c r="C12" s="264">
        <f t="shared" si="0"/>
        <v>402</v>
      </c>
      <c r="D12" s="307">
        <f t="shared" si="7"/>
        <v>402</v>
      </c>
      <c r="E12" s="307">
        <f t="shared" si="11"/>
        <v>1063804</v>
      </c>
      <c r="F12" s="625">
        <v>156748</v>
      </c>
      <c r="G12" s="160">
        <f t="shared" si="1"/>
        <v>0</v>
      </c>
      <c r="H12" s="625">
        <v>518433</v>
      </c>
      <c r="I12" s="161">
        <f t="shared" si="2"/>
        <v>384</v>
      </c>
      <c r="J12" s="625">
        <v>388622</v>
      </c>
      <c r="K12" s="162">
        <f t="shared" si="3"/>
        <v>18</v>
      </c>
      <c r="L12" s="295">
        <f t="shared" si="4"/>
        <v>0</v>
      </c>
      <c r="M12" s="295">
        <f t="shared" si="5"/>
        <v>28.529353233830847</v>
      </c>
      <c r="N12" s="295">
        <f t="shared" si="6"/>
        <v>0.95522388059701491</v>
      </c>
      <c r="O12" s="295">
        <f t="shared" si="8"/>
        <v>159.96313985627418</v>
      </c>
      <c r="P12" s="296">
        <f t="shared" si="9"/>
        <v>189.44771697070203</v>
      </c>
      <c r="Q12" s="296">
        <f>SUM(-tanks!AX14*tanks!$AU$36)</f>
        <v>4972.634322580634</v>
      </c>
      <c r="R12" s="296">
        <f t="shared" si="10"/>
        <v>5162.0820395513365</v>
      </c>
      <c r="S12" s="298">
        <f>SUM(ELEC!N12)</f>
        <v>13733</v>
      </c>
      <c r="T12" s="334">
        <f t="shared" si="12"/>
        <v>0.37588888367809919</v>
      </c>
      <c r="V12" s="557"/>
      <c r="W12" s="264"/>
      <c r="X12" s="3"/>
      <c r="Y12" s="264"/>
      <c r="Z12" s="555"/>
      <c r="AA12" s="600">
        <f>'[3]EDl log'!AA29</f>
        <v>48987</v>
      </c>
      <c r="AB12" s="600">
        <f>'[3]EDl log'!AB29</f>
        <v>0</v>
      </c>
      <c r="AC12" s="600">
        <f>'[3]EDl log'!AC29</f>
        <v>7234333</v>
      </c>
      <c r="AD12" s="600"/>
    </row>
    <row r="13" spans="1:32" ht="20.100000000000001" customHeight="1">
      <c r="A13" s="163">
        <f>ELEC!C13</f>
        <v>44357</v>
      </c>
      <c r="B13" s="625">
        <v>1064497</v>
      </c>
      <c r="C13" s="264">
        <f t="shared" si="0"/>
        <v>693</v>
      </c>
      <c r="D13" s="307">
        <f t="shared" si="7"/>
        <v>693</v>
      </c>
      <c r="E13" s="307">
        <f t="shared" si="11"/>
        <v>1064497</v>
      </c>
      <c r="F13" s="625">
        <v>156857</v>
      </c>
      <c r="G13" s="160">
        <f t="shared" si="1"/>
        <v>109</v>
      </c>
      <c r="H13" s="625">
        <v>518721</v>
      </c>
      <c r="I13" s="161">
        <f t="shared" si="2"/>
        <v>288</v>
      </c>
      <c r="J13" s="625">
        <v>388918</v>
      </c>
      <c r="K13" s="162">
        <f t="shared" si="3"/>
        <v>296</v>
      </c>
      <c r="L13" s="295">
        <f t="shared" si="4"/>
        <v>23.137645107794363</v>
      </c>
      <c r="M13" s="295">
        <f t="shared" si="5"/>
        <v>21.397014925373135</v>
      </c>
      <c r="N13" s="295">
        <f t="shared" si="6"/>
        <v>15.708126036484245</v>
      </c>
      <c r="O13" s="295">
        <f t="shared" si="8"/>
        <v>159.96313985627418</v>
      </c>
      <c r="P13" s="296">
        <f t="shared" si="9"/>
        <v>220.20592592592592</v>
      </c>
      <c r="Q13" s="296">
        <f>SUM(-tanks!AX15*tanks!$AU$36)</f>
        <v>1449.4863225806346</v>
      </c>
      <c r="R13" s="296">
        <f t="shared" si="10"/>
        <v>1669.6922485065604</v>
      </c>
      <c r="S13" s="298">
        <f>SUM(ELEC!N13)</f>
        <v>14893</v>
      </c>
      <c r="T13" s="334">
        <f>IF(S13&gt;0,R13/S13,0)</f>
        <v>0.11211255277691268</v>
      </c>
      <c r="V13" s="557" t="str">
        <f>'[7]EDl log'!V30</f>
        <v>Occ %</v>
      </c>
      <c r="W13" s="582">
        <f>'[9]EDl log'!W30</f>
        <v>0</v>
      </c>
      <c r="X13" s="499"/>
      <c r="Y13" s="264" t="str">
        <f>'[10]EDl log'!Y30</f>
        <v>Per G</v>
      </c>
      <c r="Z13" s="3"/>
      <c r="AA13" s="3"/>
      <c r="AB13" s="600">
        <f>'[3]EDl log'!AB30</f>
        <v>5963664</v>
      </c>
      <c r="AC13" s="600">
        <f>'[3]EDl log'!AC30</f>
        <v>0</v>
      </c>
    </row>
    <row r="14" spans="1:32" ht="20.100000000000001" customHeight="1">
      <c r="A14" s="163">
        <f>ELEC!C14</f>
        <v>44358</v>
      </c>
      <c r="B14" s="625">
        <v>1064973</v>
      </c>
      <c r="C14" s="264">
        <f t="shared" si="0"/>
        <v>476</v>
      </c>
      <c r="D14" s="307">
        <f t="shared" si="7"/>
        <v>476</v>
      </c>
      <c r="E14" s="307">
        <f t="shared" si="11"/>
        <v>1064973</v>
      </c>
      <c r="F14" s="625">
        <v>156857</v>
      </c>
      <c r="G14" s="160">
        <f t="shared" si="1"/>
        <v>0</v>
      </c>
      <c r="H14" s="625">
        <v>518944</v>
      </c>
      <c r="I14" s="161">
        <f t="shared" si="2"/>
        <v>223</v>
      </c>
      <c r="J14" s="625">
        <v>389171</v>
      </c>
      <c r="K14" s="162">
        <f>J14-J13</f>
        <v>253</v>
      </c>
      <c r="L14" s="295">
        <f>SUM(G14*$Y$28)/1507.5</f>
        <v>0</v>
      </c>
      <c r="M14" s="295">
        <f>SUM(I14*$Y$27)/1507.5</f>
        <v>16.56782752902156</v>
      </c>
      <c r="N14" s="295">
        <f>SUM(K14*$Y$26)/1507.5</f>
        <v>13.426202321724709</v>
      </c>
      <c r="O14" s="295">
        <f t="shared" si="8"/>
        <v>159.96313985627418</v>
      </c>
      <c r="P14" s="296">
        <f>SUM(L14:O14)</f>
        <v>189.95716970702046</v>
      </c>
      <c r="Q14" s="296">
        <f>SUM(-tanks!AX16*tanks!$AU$36)</f>
        <v>5195.3189677419341</v>
      </c>
      <c r="R14" s="296">
        <f>SUM(P14:Q14)</f>
        <v>5385.2761374489546</v>
      </c>
      <c r="S14" s="298">
        <f>SUM(ELEC!N14)</f>
        <v>14674</v>
      </c>
      <c r="T14" s="334">
        <f>IF(S14&gt;0,R14/S14,0)</f>
        <v>0.36699442125180282</v>
      </c>
      <c r="V14" s="557" t="str">
        <f>'[7]EDl log'!V31</f>
        <v>Gen RH</v>
      </c>
      <c r="W14" s="583">
        <f>'[3]EDl log'!$W$33</f>
        <v>339</v>
      </c>
      <c r="X14" s="629">
        <f>'[3]EDl log'!$X$33</f>
        <v>10.935483870967742</v>
      </c>
      <c r="Y14" s="616">
        <f>'[3]EDl log'!$Y$33</f>
        <v>10.935483870967742</v>
      </c>
      <c r="Z14" s="264"/>
      <c r="AA14" s="3"/>
      <c r="AB14" s="600">
        <f>'[3]EDl log'!AB31</f>
        <v>0</v>
      </c>
      <c r="AC14" s="600">
        <f>'[3]EDl log'!AC31</f>
        <v>0</v>
      </c>
    </row>
    <row r="15" spans="1:32" ht="20.100000000000001" customHeight="1">
      <c r="A15" s="163">
        <f>ELEC!C15</f>
        <v>44359</v>
      </c>
      <c r="B15" s="625">
        <v>1065698</v>
      </c>
      <c r="C15" s="264">
        <f t="shared" si="0"/>
        <v>725</v>
      </c>
      <c r="D15" s="307">
        <f t="shared" si="7"/>
        <v>725</v>
      </c>
      <c r="E15" s="307">
        <f t="shared" si="11"/>
        <v>1065698</v>
      </c>
      <c r="F15" s="625">
        <v>157009</v>
      </c>
      <c r="G15" s="160">
        <f t="shared" si="1"/>
        <v>152</v>
      </c>
      <c r="H15" s="625">
        <v>519237</v>
      </c>
      <c r="I15" s="161">
        <f t="shared" si="2"/>
        <v>293</v>
      </c>
      <c r="J15" s="625">
        <v>389451</v>
      </c>
      <c r="K15" s="162">
        <f>J15-J14</f>
        <v>280</v>
      </c>
      <c r="L15" s="295">
        <f>SUM(G15*$Y$28)/1507.5</f>
        <v>32.265339966832506</v>
      </c>
      <c r="M15" s="295">
        <f>SUM(I15*$Y$27)/1507.5</f>
        <v>21.768490878938639</v>
      </c>
      <c r="N15" s="295">
        <f>SUM(K15*$Y$26)/1507.5</f>
        <v>14.859038142620232</v>
      </c>
      <c r="O15" s="295">
        <f t="shared" si="8"/>
        <v>159.96313985627418</v>
      </c>
      <c r="P15" s="296">
        <f>SUM(L15:O15)</f>
        <v>228.85600884466555</v>
      </c>
      <c r="Q15" s="296">
        <f>SUM(-tanks!AX17*tanks!$AU$36)</f>
        <v>3089.4864516129251</v>
      </c>
      <c r="R15" s="296">
        <f>SUM(P15:Q15)</f>
        <v>3318.3424604575907</v>
      </c>
      <c r="S15" s="298">
        <f>SUM(ELEC!N15)</f>
        <v>12497</v>
      </c>
      <c r="T15" s="334">
        <f>IF(S15&gt;0,R15/S15,0)</f>
        <v>0.26553112430644082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0">
        <f>'[3]EDl log'!AB32</f>
        <v>0</v>
      </c>
      <c r="AC15" s="600">
        <f>'[3]EDl log'!AC32</f>
        <v>0</v>
      </c>
    </row>
    <row r="16" spans="1:32" ht="20.100000000000001" customHeight="1">
      <c r="A16" s="163">
        <f>ELEC!C16</f>
        <v>44360</v>
      </c>
      <c r="B16" s="625">
        <v>1066284</v>
      </c>
      <c r="C16" s="264">
        <f t="shared" si="0"/>
        <v>586</v>
      </c>
      <c r="D16" s="307">
        <f t="shared" si="7"/>
        <v>585</v>
      </c>
      <c r="E16" s="307">
        <f t="shared" si="11"/>
        <v>1066283</v>
      </c>
      <c r="F16" s="625">
        <f t="shared" ref="F16:F33" si="14">F15</f>
        <v>157009</v>
      </c>
      <c r="G16" s="160">
        <f t="shared" si="1"/>
        <v>0</v>
      </c>
      <c r="H16" s="625">
        <v>519666</v>
      </c>
      <c r="I16" s="161">
        <f t="shared" si="2"/>
        <v>429</v>
      </c>
      <c r="J16" s="625">
        <v>389607</v>
      </c>
      <c r="K16" s="162">
        <f>J16-J15</f>
        <v>156</v>
      </c>
      <c r="L16" s="295">
        <f>SUM(G16*$Y$28)/1507.5</f>
        <v>0</v>
      </c>
      <c r="M16" s="295">
        <f>SUM(I16*$Y$27)/1507.5</f>
        <v>31.872636815920398</v>
      </c>
      <c r="N16" s="295">
        <f>SUM(K16*$Y$26)/1507.5</f>
        <v>8.278606965174129</v>
      </c>
      <c r="O16" s="295">
        <f t="shared" si="8"/>
        <v>159.96313985627418</v>
      </c>
      <c r="P16" s="296">
        <f>SUM(L16:O16)</f>
        <v>200.11438363736872</v>
      </c>
      <c r="Q16" s="296">
        <f>SUM(-tanks!AX18*tanks!$AU$36)</f>
        <v>4715.2336774193491</v>
      </c>
      <c r="R16" s="296">
        <f>SUM(P16:Q16)</f>
        <v>4915.3480610567176</v>
      </c>
      <c r="S16" s="298">
        <f>SUM(ELEC!N16)</f>
        <v>12554</v>
      </c>
      <c r="T16" s="334">
        <f>IF(S16&gt;0,R16/S16,0)</f>
        <v>0.39153640760368946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0">
        <f>'[3]EDl log'!AB33</f>
        <v>13197997</v>
      </c>
      <c r="AC16" s="600">
        <f>'[3]EDl log'!AC33</f>
        <v>7234333</v>
      </c>
    </row>
    <row r="17" spans="1:32" ht="20.100000000000001" customHeight="1">
      <c r="A17" s="163">
        <f>ELEC!C17</f>
        <v>44361</v>
      </c>
      <c r="B17" s="625">
        <v>1067003</v>
      </c>
      <c r="C17" s="264">
        <f t="shared" si="0"/>
        <v>719</v>
      </c>
      <c r="D17" s="307">
        <f t="shared" si="7"/>
        <v>725</v>
      </c>
      <c r="E17" s="307">
        <f t="shared" si="11"/>
        <v>1067009</v>
      </c>
      <c r="F17" s="625">
        <v>157142</v>
      </c>
      <c r="G17" s="160">
        <f t="shared" si="1"/>
        <v>133</v>
      </c>
      <c r="H17" s="625">
        <v>519976</v>
      </c>
      <c r="I17" s="161">
        <f t="shared" si="2"/>
        <v>310</v>
      </c>
      <c r="J17" s="625">
        <v>389889</v>
      </c>
      <c r="K17" s="162">
        <f>J17-J16</f>
        <v>282</v>
      </c>
      <c r="L17" s="295">
        <f>SUM(G17*$Y$28)/1507.5</f>
        <v>28.232172470978441</v>
      </c>
      <c r="M17" s="295">
        <f>SUM(I17*$Y$27)/1507.5</f>
        <v>23.031509121061362</v>
      </c>
      <c r="N17" s="295">
        <f>SUM(K17*$Y$26)/1507.5</f>
        <v>14.965174129353233</v>
      </c>
      <c r="O17" s="295">
        <f t="shared" si="8"/>
        <v>159.96313985627418</v>
      </c>
      <c r="P17" s="296">
        <f>SUM(L17:O17)</f>
        <v>226.19199557766723</v>
      </c>
      <c r="Q17" s="296">
        <f>SUM(-tanks!AX19*tanks!$AU$36)</f>
        <v>3562.5470967741944</v>
      </c>
      <c r="R17" s="296">
        <f>SUM(P17:Q17)</f>
        <v>3788.7390923518615</v>
      </c>
      <c r="S17" s="298">
        <f>SUM(ELEC!N17)</f>
        <v>11380</v>
      </c>
      <c r="T17" s="334">
        <f>IF(S17&gt;0,R17/S17,0)</f>
        <v>0.33292962147204408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600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46">
        <v>1067528</v>
      </c>
      <c r="C18" s="264">
        <f t="shared" si="0"/>
        <v>525</v>
      </c>
      <c r="D18" s="307">
        <f t="shared" si="7"/>
        <v>520</v>
      </c>
      <c r="E18" s="307">
        <f t="shared" si="11"/>
        <v>1067523</v>
      </c>
      <c r="F18" s="625">
        <v>157142</v>
      </c>
      <c r="G18" s="160">
        <f t="shared" si="1"/>
        <v>0</v>
      </c>
      <c r="H18" s="625">
        <v>520293</v>
      </c>
      <c r="I18" s="161">
        <f t="shared" si="2"/>
        <v>317</v>
      </c>
      <c r="J18" s="625">
        <v>390092</v>
      </c>
      <c r="K18" s="162">
        <f t="shared" si="3"/>
        <v>203</v>
      </c>
      <c r="L18" s="295">
        <f t="shared" ref="L18:L30" si="15">SUM(G18*$Y$28)/1507.5</f>
        <v>0</v>
      </c>
      <c r="M18" s="295">
        <f t="shared" ref="M18:M30" si="16">SUM(I18*$Y$27)/1507.5</f>
        <v>23.551575456053069</v>
      </c>
      <c r="N18" s="295">
        <f t="shared" ref="N18:N30" si="17">SUM(K18*$Y$26)/1507.5</f>
        <v>10.772802653399669</v>
      </c>
      <c r="O18" s="295">
        <f t="shared" si="8"/>
        <v>159.96313985627418</v>
      </c>
      <c r="P18" s="296">
        <f t="shared" si="9"/>
        <v>194.28751796572692</v>
      </c>
      <c r="Q18" s="296">
        <f>SUM(-tanks!AX20*tanks!$AU$36)</f>
        <v>2169.5633548387145</v>
      </c>
      <c r="R18" s="296">
        <f t="shared" si="10"/>
        <v>2363.8508728044417</v>
      </c>
      <c r="S18" s="298">
        <f>SUM(ELEC!N18)</f>
        <v>13190</v>
      </c>
      <c r="T18" s="334">
        <f t="shared" si="12"/>
        <v>0.17921538080397587</v>
      </c>
      <c r="V18" s="228"/>
      <c r="W18" s="229"/>
      <c r="X18" s="229"/>
      <c r="Y18" s="428"/>
      <c r="Z18" s="499"/>
      <c r="AA18" s="573"/>
      <c r="AB18" s="600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5">
        <v>1068342</v>
      </c>
      <c r="C19" s="264">
        <f t="shared" si="0"/>
        <v>814</v>
      </c>
      <c r="D19" s="307">
        <f t="shared" si="7"/>
        <v>814</v>
      </c>
      <c r="E19" s="307">
        <f t="shared" si="11"/>
        <v>1068342</v>
      </c>
      <c r="F19" s="625">
        <v>157381</v>
      </c>
      <c r="G19" s="160">
        <f t="shared" si="1"/>
        <v>239</v>
      </c>
      <c r="H19" s="625">
        <v>520576</v>
      </c>
      <c r="I19" s="161">
        <f t="shared" si="2"/>
        <v>283</v>
      </c>
      <c r="J19" s="625">
        <v>390384</v>
      </c>
      <c r="K19" s="162">
        <f t="shared" si="3"/>
        <v>292</v>
      </c>
      <c r="L19" s="295">
        <f t="shared" si="15"/>
        <v>50.733001658374796</v>
      </c>
      <c r="M19" s="295">
        <f t="shared" si="16"/>
        <v>21.025538971807627</v>
      </c>
      <c r="N19" s="295">
        <f t="shared" si="17"/>
        <v>15.495854063018243</v>
      </c>
      <c r="O19" s="295">
        <f t="shared" si="8"/>
        <v>159.96313985627418</v>
      </c>
      <c r="P19" s="296">
        <f t="shared" si="9"/>
        <v>247.21753454947486</v>
      </c>
      <c r="Q19" s="296">
        <f>SUM(-tanks!AX21*tanks!$AU$36)</f>
        <v>3785.2317419354486</v>
      </c>
      <c r="R19" s="296">
        <f t="shared" si="10"/>
        <v>4032.4492764849233</v>
      </c>
      <c r="S19" s="298">
        <f>SUM(ELEC!N19)</f>
        <v>12267</v>
      </c>
      <c r="T19" s="334">
        <f t="shared" si="12"/>
        <v>0.32872334527471453</v>
      </c>
      <c r="V19" s="228"/>
      <c r="W19" s="229"/>
      <c r="X19" s="229"/>
      <c r="Y19" s="558"/>
      <c r="Z19" s="558"/>
      <c r="AA19" s="573"/>
      <c r="AB19" s="630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5">
        <v>1068823</v>
      </c>
      <c r="C20" s="264">
        <f t="shared" si="0"/>
        <v>481</v>
      </c>
      <c r="D20" s="307">
        <f t="shared" si="7"/>
        <v>480</v>
      </c>
      <c r="E20" s="307">
        <f t="shared" si="11"/>
        <v>1068822</v>
      </c>
      <c r="F20" s="625">
        <v>157381</v>
      </c>
      <c r="G20" s="160">
        <f t="shared" si="1"/>
        <v>0</v>
      </c>
      <c r="H20" s="625">
        <v>520989</v>
      </c>
      <c r="I20" s="161">
        <f t="shared" si="2"/>
        <v>413</v>
      </c>
      <c r="J20" s="625">
        <v>390451</v>
      </c>
      <c r="K20" s="162">
        <f t="shared" si="3"/>
        <v>67</v>
      </c>
      <c r="L20" s="295">
        <f t="shared" si="15"/>
        <v>0</v>
      </c>
      <c r="M20" s="295">
        <f t="shared" si="16"/>
        <v>30.68391376451078</v>
      </c>
      <c r="N20" s="295">
        <f t="shared" si="17"/>
        <v>3.5555555555555554</v>
      </c>
      <c r="O20" s="295">
        <f t="shared" si="8"/>
        <v>159.96313985627418</v>
      </c>
      <c r="P20" s="296">
        <f t="shared" si="9"/>
        <v>194.2026091763405</v>
      </c>
      <c r="Q20" s="296">
        <f>SUM(-tanks!AX22*tanks!$AU$36)</f>
        <v>4296.8770322580795</v>
      </c>
      <c r="R20" s="296">
        <f t="shared" si="10"/>
        <v>4491.0796414344204</v>
      </c>
      <c r="S20" s="298">
        <f>SUM(ELEC!N20)</f>
        <v>12955</v>
      </c>
      <c r="T20" s="334">
        <f t="shared" si="12"/>
        <v>0.34666766819254502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5">
        <v>1069334</v>
      </c>
      <c r="C21" s="264">
        <f t="shared" si="0"/>
        <v>511</v>
      </c>
      <c r="D21" s="307">
        <f t="shared" si="7"/>
        <v>512</v>
      </c>
      <c r="E21" s="307">
        <f t="shared" si="11"/>
        <v>1069335</v>
      </c>
      <c r="F21" s="625">
        <v>157431</v>
      </c>
      <c r="G21" s="160">
        <f t="shared" si="1"/>
        <v>50</v>
      </c>
      <c r="H21" s="625">
        <v>521283</v>
      </c>
      <c r="I21" s="161">
        <f t="shared" si="2"/>
        <v>294</v>
      </c>
      <c r="J21" s="625">
        <v>390619</v>
      </c>
      <c r="K21" s="162">
        <f t="shared" si="3"/>
        <v>168</v>
      </c>
      <c r="L21" s="295">
        <f t="shared" si="15"/>
        <v>10.613598673300165</v>
      </c>
      <c r="M21" s="295">
        <f t="shared" si="16"/>
        <v>21.842786069651741</v>
      </c>
      <c r="N21" s="295">
        <f t="shared" si="17"/>
        <v>8.9154228855721396</v>
      </c>
      <c r="O21" s="295">
        <f t="shared" si="8"/>
        <v>159.96313985627418</v>
      </c>
      <c r="P21" s="296">
        <f t="shared" si="9"/>
        <v>201.33494748479822</v>
      </c>
      <c r="Q21" s="296">
        <f>SUM(-tanks!AX23*tanks!$AU$36)</f>
        <v>4132.0523870967791</v>
      </c>
      <c r="R21" s="296">
        <f t="shared" si="10"/>
        <v>4333.3873345815773</v>
      </c>
      <c r="S21" s="298">
        <f>SUM(ELEC!N21)</f>
        <v>12140</v>
      </c>
      <c r="T21" s="334">
        <f t="shared" si="12"/>
        <v>0.35695118077278232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4"/>
      <c r="AC21" s="685"/>
    </row>
    <row r="22" spans="1:32" ht="20.100000000000001" customHeight="1">
      <c r="A22" s="163">
        <f>ELEC!C22</f>
        <v>44366</v>
      </c>
      <c r="B22" s="625">
        <v>1069692</v>
      </c>
      <c r="C22" s="264">
        <f t="shared" si="0"/>
        <v>358</v>
      </c>
      <c r="D22" s="307">
        <f t="shared" si="7"/>
        <v>359</v>
      </c>
      <c r="E22" s="307">
        <f t="shared" si="11"/>
        <v>1069693</v>
      </c>
      <c r="F22" s="625">
        <v>157431</v>
      </c>
      <c r="G22" s="160">
        <f t="shared" si="1"/>
        <v>0</v>
      </c>
      <c r="H22" s="625">
        <v>521465</v>
      </c>
      <c r="I22" s="161">
        <f t="shared" si="2"/>
        <v>182</v>
      </c>
      <c r="J22" s="625">
        <v>390796</v>
      </c>
      <c r="K22" s="162">
        <f t="shared" si="3"/>
        <v>177</v>
      </c>
      <c r="L22" s="295">
        <f t="shared" si="15"/>
        <v>0</v>
      </c>
      <c r="M22" s="295">
        <f t="shared" si="16"/>
        <v>13.521724709784412</v>
      </c>
      <c r="N22" s="295">
        <f t="shared" si="17"/>
        <v>9.3930348258706466</v>
      </c>
      <c r="O22" s="295">
        <f t="shared" si="8"/>
        <v>159.96313985627418</v>
      </c>
      <c r="P22" s="296">
        <f t="shared" si="9"/>
        <v>182.87789939192925</v>
      </c>
      <c r="Q22" s="296">
        <f>SUM(-tanks!AX24*tanks!$AU$36)</f>
        <v>3269.9044516129097</v>
      </c>
      <c r="R22" s="296">
        <f t="shared" si="10"/>
        <v>3452.7823510048388</v>
      </c>
      <c r="S22" s="298">
        <f>SUM(ELEC!N22)</f>
        <v>13379</v>
      </c>
      <c r="T22" s="334">
        <f t="shared" si="12"/>
        <v>0.25807477023730013</v>
      </c>
      <c r="V22" s="690"/>
      <c r="W22" s="691"/>
      <c r="X22" s="691"/>
      <c r="Y22" s="692"/>
      <c r="Z22" s="26" t="s">
        <v>203</v>
      </c>
      <c r="AA22" s="26">
        <v>5000</v>
      </c>
      <c r="AB22" s="686"/>
      <c r="AC22" s="687"/>
    </row>
    <row r="23" spans="1:32" ht="20.100000000000001" customHeight="1">
      <c r="A23" s="163">
        <f>ELEC!C23</f>
        <v>44367</v>
      </c>
      <c r="B23" s="625">
        <v>1070538</v>
      </c>
      <c r="C23" s="264">
        <f t="shared" si="0"/>
        <v>846</v>
      </c>
      <c r="D23" s="307">
        <f t="shared" si="7"/>
        <v>846</v>
      </c>
      <c r="E23" s="307">
        <f t="shared" si="11"/>
        <v>1070538</v>
      </c>
      <c r="F23" s="625">
        <v>157431</v>
      </c>
      <c r="G23" s="160">
        <f t="shared" si="1"/>
        <v>0</v>
      </c>
      <c r="H23" s="625">
        <v>521973</v>
      </c>
      <c r="I23" s="161">
        <f t="shared" si="2"/>
        <v>508</v>
      </c>
      <c r="J23" s="625">
        <v>391134</v>
      </c>
      <c r="K23" s="162">
        <f t="shared" si="3"/>
        <v>338</v>
      </c>
      <c r="L23" s="295">
        <f t="shared" si="15"/>
        <v>0</v>
      </c>
      <c r="M23" s="295">
        <f t="shared" si="16"/>
        <v>37.741956882255387</v>
      </c>
      <c r="N23" s="295">
        <f t="shared" si="17"/>
        <v>17.93698175787728</v>
      </c>
      <c r="O23" s="295">
        <f t="shared" si="8"/>
        <v>159.96313985627418</v>
      </c>
      <c r="P23" s="296">
        <f t="shared" si="9"/>
        <v>215.64207849640684</v>
      </c>
      <c r="Q23" s="296">
        <f>SUM(-tanks!AX25*tanks!$AU$36)</f>
        <v>3960.2200645161142</v>
      </c>
      <c r="R23" s="296">
        <f t="shared" si="10"/>
        <v>4175.8621430125213</v>
      </c>
      <c r="S23" s="298">
        <f>SUM(ELEC!N23)</f>
        <v>12606</v>
      </c>
      <c r="T23" s="334">
        <f t="shared" si="12"/>
        <v>0.33125988759420288</v>
      </c>
      <c r="V23" s="693"/>
      <c r="W23" s="694"/>
      <c r="X23" s="694"/>
      <c r="Y23" s="695"/>
      <c r="Z23" s="696"/>
      <c r="AA23" s="697"/>
      <c r="AB23" s="686"/>
      <c r="AC23" s="687"/>
    </row>
    <row r="24" spans="1:32" ht="20.100000000000001" customHeight="1">
      <c r="A24" s="163">
        <f>ELEC!C24</f>
        <v>44368</v>
      </c>
      <c r="B24" s="625">
        <v>1070794</v>
      </c>
      <c r="C24" s="264">
        <f t="shared" si="0"/>
        <v>256</v>
      </c>
      <c r="D24" s="307">
        <f t="shared" si="7"/>
        <v>255</v>
      </c>
      <c r="E24" s="307">
        <f t="shared" si="11"/>
        <v>1070793</v>
      </c>
      <c r="F24" s="625">
        <v>157431</v>
      </c>
      <c r="G24" s="160">
        <f t="shared" si="1"/>
        <v>0</v>
      </c>
      <c r="H24" s="625">
        <v>522225</v>
      </c>
      <c r="I24" s="161">
        <f t="shared" si="2"/>
        <v>252</v>
      </c>
      <c r="J24" s="625">
        <v>391137</v>
      </c>
      <c r="K24" s="162">
        <f t="shared" si="3"/>
        <v>3</v>
      </c>
      <c r="L24" s="295">
        <f t="shared" si="15"/>
        <v>0</v>
      </c>
      <c r="M24" s="295">
        <f t="shared" si="16"/>
        <v>18.722388059701494</v>
      </c>
      <c r="N24" s="295">
        <f t="shared" si="17"/>
        <v>0.15920398009950248</v>
      </c>
      <c r="O24" s="295">
        <f t="shared" si="8"/>
        <v>159.96313985627418</v>
      </c>
      <c r="P24" s="296">
        <f t="shared" si="9"/>
        <v>178.84473189607519</v>
      </c>
      <c r="Q24" s="296">
        <f>SUM(-tanks!AX26*tanks!$AU$36)</f>
        <v>2632.8166451612847</v>
      </c>
      <c r="R24" s="296">
        <f t="shared" si="10"/>
        <v>2811.6613770573599</v>
      </c>
      <c r="S24" s="298">
        <f>SUM(ELEC!N24)</f>
        <v>13830</v>
      </c>
      <c r="T24" s="334">
        <f t="shared" si="12"/>
        <v>0.2033016180084859</v>
      </c>
      <c r="V24" s="698" t="s">
        <v>204</v>
      </c>
      <c r="W24" s="699"/>
      <c r="X24" s="700" t="s">
        <v>205</v>
      </c>
      <c r="Y24" s="701"/>
      <c r="Z24" s="702"/>
      <c r="AA24" s="170"/>
      <c r="AB24" s="688"/>
      <c r="AC24" s="689"/>
    </row>
    <row r="25" spans="1:32" ht="20.100000000000001" customHeight="1">
      <c r="A25" s="163">
        <f>ELEC!C25</f>
        <v>44369</v>
      </c>
      <c r="B25" s="625">
        <f t="shared" ref="B25:B33" si="18">B24</f>
        <v>1070794</v>
      </c>
      <c r="C25" s="264">
        <f t="shared" si="0"/>
        <v>0</v>
      </c>
      <c r="D25" s="307">
        <f t="shared" si="7"/>
        <v>0</v>
      </c>
      <c r="E25" s="307">
        <f t="shared" si="11"/>
        <v>1070794</v>
      </c>
      <c r="F25" s="625">
        <f t="shared" si="14"/>
        <v>157431</v>
      </c>
      <c r="G25" s="160">
        <f t="shared" si="1"/>
        <v>0</v>
      </c>
      <c r="H25" s="625">
        <f t="shared" ref="H25:H33" si="19">H24</f>
        <v>522225</v>
      </c>
      <c r="I25" s="161">
        <f t="shared" si="2"/>
        <v>0</v>
      </c>
      <c r="J25" s="625">
        <f t="shared" si="13"/>
        <v>391137</v>
      </c>
      <c r="K25" s="162">
        <f t="shared" si="3"/>
        <v>0</v>
      </c>
      <c r="L25" s="295">
        <f t="shared" si="15"/>
        <v>0</v>
      </c>
      <c r="M25" s="295">
        <f t="shared" si="16"/>
        <v>0</v>
      </c>
      <c r="N25" s="295">
        <f t="shared" si="17"/>
        <v>0</v>
      </c>
      <c r="O25" s="295">
        <f t="shared" si="8"/>
        <v>159.96313985627418</v>
      </c>
      <c r="P25" s="296">
        <f t="shared" si="9"/>
        <v>159.96313985627418</v>
      </c>
      <c r="Q25" s="296">
        <f>SUM(-tanks!AX27*tanks!$AU$36)</f>
        <v>0</v>
      </c>
      <c r="R25" s="296">
        <f t="shared" si="10"/>
        <v>159.96313985627418</v>
      </c>
      <c r="S25" s="298">
        <f>SUM(ELEC!N25)</f>
        <v>0</v>
      </c>
      <c r="T25" s="334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5">
        <f t="shared" si="18"/>
        <v>1070794</v>
      </c>
      <c r="C26" s="264">
        <f t="shared" si="0"/>
        <v>0</v>
      </c>
      <c r="D26" s="307">
        <f t="shared" si="7"/>
        <v>0</v>
      </c>
      <c r="E26" s="307">
        <f t="shared" si="11"/>
        <v>1070794</v>
      </c>
      <c r="F26" s="625">
        <f t="shared" si="14"/>
        <v>157431</v>
      </c>
      <c r="G26" s="160">
        <f t="shared" si="1"/>
        <v>0</v>
      </c>
      <c r="H26" s="625">
        <f t="shared" si="19"/>
        <v>522225</v>
      </c>
      <c r="I26" s="161">
        <f t="shared" si="2"/>
        <v>0</v>
      </c>
      <c r="J26" s="625">
        <f t="shared" si="13"/>
        <v>391137</v>
      </c>
      <c r="K26" s="162">
        <f t="shared" si="3"/>
        <v>0</v>
      </c>
      <c r="L26" s="295">
        <f t="shared" si="15"/>
        <v>0</v>
      </c>
      <c r="M26" s="295">
        <f t="shared" si="16"/>
        <v>0</v>
      </c>
      <c r="N26" s="295">
        <f t="shared" si="17"/>
        <v>0</v>
      </c>
      <c r="O26" s="295">
        <f t="shared" si="8"/>
        <v>159.96313985627418</v>
      </c>
      <c r="P26" s="296">
        <f t="shared" si="9"/>
        <v>159.96313985627418</v>
      </c>
      <c r="Q26" s="296">
        <f>SUM(-tanks!AX28*tanks!$AU$36)</f>
        <v>0</v>
      </c>
      <c r="R26" s="296">
        <f t="shared" si="10"/>
        <v>159.96313985627418</v>
      </c>
      <c r="S26" s="298">
        <f>SUM(ELEC!N26)</f>
        <v>0</v>
      </c>
      <c r="T26" s="334">
        <f t="shared" si="12"/>
        <v>0</v>
      </c>
      <c r="V26" s="254">
        <f>W9</f>
        <v>386167</v>
      </c>
      <c r="W26" s="170">
        <f>J33</f>
        <v>391137</v>
      </c>
      <c r="X26" s="172" t="s">
        <v>199</v>
      </c>
      <c r="Y26" s="172">
        <v>80</v>
      </c>
      <c r="Z26" s="172">
        <v>1</v>
      </c>
      <c r="AA26" s="336">
        <f>(W26-V26)*Z26</f>
        <v>4970</v>
      </c>
      <c r="AB26" s="336">
        <f>AA26*Y26</f>
        <v>397600</v>
      </c>
      <c r="AC26" s="249">
        <f>AC9</f>
        <v>1033333</v>
      </c>
      <c r="AD26" s="498">
        <f>SUM(K36)</f>
        <v>0.38236651792583476</v>
      </c>
    </row>
    <row r="27" spans="1:32" ht="20.100000000000001" customHeight="1">
      <c r="A27" s="163">
        <f>ELEC!C27</f>
        <v>44371</v>
      </c>
      <c r="B27" s="625">
        <f t="shared" si="18"/>
        <v>1070794</v>
      </c>
      <c r="C27" s="264">
        <f t="shared" si="0"/>
        <v>0</v>
      </c>
      <c r="D27" s="307">
        <f t="shared" si="7"/>
        <v>0</v>
      </c>
      <c r="E27" s="307">
        <f t="shared" si="11"/>
        <v>1070794</v>
      </c>
      <c r="F27" s="625">
        <f t="shared" si="14"/>
        <v>157431</v>
      </c>
      <c r="G27" s="160">
        <f t="shared" si="1"/>
        <v>0</v>
      </c>
      <c r="H27" s="625">
        <f t="shared" si="19"/>
        <v>522225</v>
      </c>
      <c r="I27" s="161">
        <f t="shared" si="2"/>
        <v>0</v>
      </c>
      <c r="J27" s="625">
        <f t="shared" si="13"/>
        <v>391137</v>
      </c>
      <c r="K27" s="162">
        <f t="shared" si="3"/>
        <v>0</v>
      </c>
      <c r="L27" s="295">
        <f t="shared" si="15"/>
        <v>0</v>
      </c>
      <c r="M27" s="295">
        <f t="shared" si="16"/>
        <v>0</v>
      </c>
      <c r="N27" s="295">
        <f t="shared" si="17"/>
        <v>0</v>
      </c>
      <c r="O27" s="295">
        <f t="shared" si="8"/>
        <v>159.96313985627418</v>
      </c>
      <c r="P27" s="296">
        <f t="shared" si="9"/>
        <v>159.96313985627418</v>
      </c>
      <c r="Q27" s="296">
        <f>SUM(-tanks!AX29*tanks!$AU$36)</f>
        <v>0</v>
      </c>
      <c r="R27" s="296">
        <f t="shared" si="10"/>
        <v>159.96313985627418</v>
      </c>
      <c r="S27" s="298">
        <f>SUM(ELEC!N27)</f>
        <v>0</v>
      </c>
      <c r="T27" s="334">
        <f t="shared" si="12"/>
        <v>0</v>
      </c>
      <c r="V27" s="254">
        <f>W10</f>
        <v>515542</v>
      </c>
      <c r="W27" s="170">
        <f>H33</f>
        <v>522225</v>
      </c>
      <c r="X27" s="172" t="s">
        <v>213</v>
      </c>
      <c r="Y27" s="172">
        <v>112</v>
      </c>
      <c r="Z27" s="172">
        <v>1</v>
      </c>
      <c r="AA27" s="336">
        <f>(W27-V27)*Z27</f>
        <v>6683</v>
      </c>
      <c r="AB27" s="336">
        <f>SUM(AA27*Y27)</f>
        <v>748496</v>
      </c>
      <c r="AC27" s="249">
        <f>AC10</f>
        <v>6200000</v>
      </c>
      <c r="AD27" s="498">
        <f>SUM(I36)</f>
        <v>0.51415602400369287</v>
      </c>
    </row>
    <row r="28" spans="1:32" ht="20.100000000000001" customHeight="1">
      <c r="A28" s="163">
        <f>ELEC!C28</f>
        <v>44372</v>
      </c>
      <c r="B28" s="625">
        <f t="shared" si="18"/>
        <v>1070794</v>
      </c>
      <c r="C28" s="264">
        <f t="shared" si="0"/>
        <v>0</v>
      </c>
      <c r="D28" s="307">
        <f t="shared" si="7"/>
        <v>0</v>
      </c>
      <c r="E28" s="307">
        <f t="shared" si="11"/>
        <v>1070794</v>
      </c>
      <c r="F28" s="625">
        <f t="shared" si="14"/>
        <v>157431</v>
      </c>
      <c r="G28" s="160">
        <f t="shared" si="1"/>
        <v>0</v>
      </c>
      <c r="H28" s="625">
        <f t="shared" si="19"/>
        <v>522225</v>
      </c>
      <c r="I28" s="161">
        <f t="shared" si="2"/>
        <v>0</v>
      </c>
      <c r="J28" s="625">
        <f t="shared" si="13"/>
        <v>391137</v>
      </c>
      <c r="K28" s="162">
        <f t="shared" si="3"/>
        <v>0</v>
      </c>
      <c r="L28" s="295">
        <f t="shared" si="15"/>
        <v>0</v>
      </c>
      <c r="M28" s="295">
        <f t="shared" si="16"/>
        <v>0</v>
      </c>
      <c r="N28" s="295">
        <f t="shared" si="17"/>
        <v>0</v>
      </c>
      <c r="O28" s="295">
        <f t="shared" si="8"/>
        <v>159.96313985627418</v>
      </c>
      <c r="P28" s="296">
        <f t="shared" si="9"/>
        <v>159.96313985627418</v>
      </c>
      <c r="Q28" s="296">
        <f>SUM(-tanks!AX30*tanks!$AU$36)</f>
        <v>0</v>
      </c>
      <c r="R28" s="296">
        <f t="shared" si="10"/>
        <v>159.96313985627418</v>
      </c>
      <c r="S28" s="298">
        <f>SUM(ELEC!N28)</f>
        <v>0</v>
      </c>
      <c r="T28" s="334">
        <f t="shared" si="12"/>
        <v>0</v>
      </c>
      <c r="V28" s="254">
        <f>W11</f>
        <v>156087</v>
      </c>
      <c r="W28" s="170">
        <f>F33</f>
        <v>157431</v>
      </c>
      <c r="X28" s="172" t="s">
        <v>197</v>
      </c>
      <c r="Y28" s="172">
        <v>320</v>
      </c>
      <c r="Z28" s="172">
        <v>1</v>
      </c>
      <c r="AA28" s="336">
        <f>(W28-V28)*Z28</f>
        <v>1344</v>
      </c>
      <c r="AB28" s="336">
        <f>SUM(AA28*Y28)</f>
        <v>430080</v>
      </c>
      <c r="AC28" s="249">
        <f>AC11</f>
        <v>1000</v>
      </c>
      <c r="AD28" s="498">
        <f>SUM(G36)</f>
        <v>0.10340052315740884</v>
      </c>
      <c r="AE28" s="40">
        <f>SUM(AB28*5%)</f>
        <v>21504</v>
      </c>
      <c r="AF28" s="82">
        <f>SUM(AE28/7)*31</f>
        <v>95232</v>
      </c>
    </row>
    <row r="29" spans="1:32" ht="20.100000000000001" customHeight="1">
      <c r="A29" s="163">
        <f>ELEC!C29</f>
        <v>44373</v>
      </c>
      <c r="B29" s="625">
        <f t="shared" si="18"/>
        <v>1070794</v>
      </c>
      <c r="C29" s="264">
        <f t="shared" si="0"/>
        <v>0</v>
      </c>
      <c r="D29" s="307">
        <f t="shared" si="7"/>
        <v>0</v>
      </c>
      <c r="E29" s="307">
        <f t="shared" si="11"/>
        <v>1070794</v>
      </c>
      <c r="F29" s="625">
        <f t="shared" si="14"/>
        <v>157431</v>
      </c>
      <c r="G29" s="160">
        <f t="shared" si="1"/>
        <v>0</v>
      </c>
      <c r="H29" s="625">
        <f t="shared" si="19"/>
        <v>522225</v>
      </c>
      <c r="I29" s="161">
        <f t="shared" si="2"/>
        <v>0</v>
      </c>
      <c r="J29" s="625">
        <f t="shared" si="13"/>
        <v>391137</v>
      </c>
      <c r="K29" s="162">
        <f t="shared" si="3"/>
        <v>0</v>
      </c>
      <c r="L29" s="295">
        <f t="shared" si="15"/>
        <v>0</v>
      </c>
      <c r="M29" s="295">
        <f t="shared" si="16"/>
        <v>0</v>
      </c>
      <c r="N29" s="295">
        <f t="shared" si="17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12997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5">
        <f t="shared" si="18"/>
        <v>1070794</v>
      </c>
      <c r="C30" s="264">
        <f t="shared" si="0"/>
        <v>0</v>
      </c>
      <c r="D30" s="307">
        <f t="shared" si="7"/>
        <v>0</v>
      </c>
      <c r="E30" s="307">
        <f t="shared" si="11"/>
        <v>1070794</v>
      </c>
      <c r="F30" s="625">
        <f t="shared" si="14"/>
        <v>157431</v>
      </c>
      <c r="G30" s="160">
        <f t="shared" si="1"/>
        <v>0</v>
      </c>
      <c r="H30" s="625">
        <f t="shared" si="19"/>
        <v>522225</v>
      </c>
      <c r="I30" s="161">
        <f t="shared" si="2"/>
        <v>0</v>
      </c>
      <c r="J30" s="625">
        <f t="shared" si="13"/>
        <v>391137</v>
      </c>
      <c r="K30" s="162">
        <f t="shared" si="3"/>
        <v>0</v>
      </c>
      <c r="L30" s="295">
        <f t="shared" si="15"/>
        <v>0</v>
      </c>
      <c r="M30" s="295">
        <f t="shared" si="16"/>
        <v>0</v>
      </c>
      <c r="N30" s="295">
        <f t="shared" si="17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1576176</v>
      </c>
      <c r="AC30" s="249"/>
    </row>
    <row r="31" spans="1:32" ht="20.100000000000001" customHeight="1">
      <c r="A31" s="163">
        <f>ELEC!C31</f>
        <v>44375</v>
      </c>
      <c r="B31" s="625">
        <f t="shared" si="18"/>
        <v>1070794</v>
      </c>
      <c r="C31" s="264">
        <f>SUM(B31-B30)</f>
        <v>0</v>
      </c>
      <c r="D31" s="307">
        <f t="shared" si="7"/>
        <v>0</v>
      </c>
      <c r="E31" s="307">
        <f>B30+D31</f>
        <v>1070794</v>
      </c>
      <c r="F31" s="625">
        <f t="shared" si="14"/>
        <v>157431</v>
      </c>
      <c r="G31" s="160">
        <f>F31-F30</f>
        <v>0</v>
      </c>
      <c r="H31" s="625">
        <f t="shared" si="19"/>
        <v>522225</v>
      </c>
      <c r="I31" s="161">
        <f>H31-H30</f>
        <v>0</v>
      </c>
      <c r="J31" s="625">
        <f t="shared" si="13"/>
        <v>391137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5">
        <f t="shared" si="18"/>
        <v>1070794</v>
      </c>
      <c r="C32" s="264">
        <f>SUM(B32-B31)</f>
        <v>0</v>
      </c>
      <c r="D32" s="307">
        <f t="shared" si="7"/>
        <v>0</v>
      </c>
      <c r="E32" s="307">
        <f>B31+D32</f>
        <v>1070794</v>
      </c>
      <c r="F32" s="625">
        <f t="shared" si="14"/>
        <v>157431</v>
      </c>
      <c r="G32" s="160">
        <f>F32-F31</f>
        <v>0</v>
      </c>
      <c r="H32" s="625">
        <f t="shared" si="19"/>
        <v>522225</v>
      </c>
      <c r="I32" s="161">
        <f>H32-H31</f>
        <v>0</v>
      </c>
      <c r="J32" s="625">
        <f t="shared" si="13"/>
        <v>391137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5">
        <f t="shared" si="18"/>
        <v>1070794</v>
      </c>
      <c r="C33" s="264">
        <f>SUM(B33-B32)</f>
        <v>0</v>
      </c>
      <c r="D33" s="307">
        <f t="shared" si="7"/>
        <v>0</v>
      </c>
      <c r="E33" s="307">
        <f>B32+D33</f>
        <v>1070794</v>
      </c>
      <c r="F33" s="625">
        <f t="shared" si="14"/>
        <v>157431</v>
      </c>
      <c r="G33" s="160">
        <f>F33-F32</f>
        <v>0</v>
      </c>
      <c r="H33" s="625">
        <f t="shared" si="19"/>
        <v>522225</v>
      </c>
      <c r="I33" s="161">
        <f>H33-H32</f>
        <v>0</v>
      </c>
      <c r="J33" s="625">
        <f t="shared" si="13"/>
        <v>391137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3">
        <f>'Utility Cost '!B18</f>
        <v>383</v>
      </c>
      <c r="X33" s="222">
        <f>SUM(W33/A35)</f>
        <v>19.149999999999999</v>
      </c>
      <c r="Y33" s="260">
        <f>SUM(X33/1)</f>
        <v>19.149999999999999</v>
      </c>
      <c r="Z33" s="3"/>
      <c r="AA33" s="3"/>
      <c r="AB33" s="532">
        <f>SUM(AB30+AC33)</f>
        <v>8810509</v>
      </c>
      <c r="AC33" s="249">
        <f>SUM(AC29)</f>
        <v>7234333</v>
      </c>
    </row>
    <row r="34" spans="1:32" ht="20.100000000000001" customHeight="1">
      <c r="A34" s="163"/>
      <c r="B34" s="625"/>
      <c r="C34" s="264"/>
      <c r="D34" s="307"/>
      <c r="E34" s="307"/>
      <c r="F34" s="625"/>
      <c r="G34" s="160"/>
      <c r="H34" s="625"/>
      <c r="I34" s="161"/>
      <c r="J34" s="625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3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20</v>
      </c>
      <c r="C35" s="173">
        <f>SUM(C4:C33)/A35</f>
        <v>649.9</v>
      </c>
      <c r="D35" s="173"/>
      <c r="E35" s="173"/>
      <c r="G35" s="173">
        <f>SUM(G4:G33)/A35</f>
        <v>67.2</v>
      </c>
      <c r="I35" s="173">
        <f>SUM(I4:I33)/A35</f>
        <v>334.15</v>
      </c>
      <c r="K35" s="173">
        <f>SUM(K4:K33)/A35</f>
        <v>248.5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7">
        <f>AC33/1507</f>
        <v>4800.4863968148638</v>
      </c>
    </row>
    <row r="36" spans="1:32" ht="15.75" thickBot="1">
      <c r="A36" s="210"/>
      <c r="C36" s="212">
        <f>SUM(G36:K36)</f>
        <v>0.99992306508693651</v>
      </c>
      <c r="G36" s="225">
        <f>IF(C35&gt;0,G35/C35,0)</f>
        <v>0.10340052315740884</v>
      </c>
      <c r="H36" s="212"/>
      <c r="I36" s="225">
        <f>SUM(I35/C35)</f>
        <v>0.51415602400369287</v>
      </c>
      <c r="J36" s="212"/>
      <c r="K36" s="225">
        <f>SUM(K35/C35)</f>
        <v>0.38236651792583476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5844.450414593698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5844.450414593698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599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703"/>
      <c r="AC45" s="703"/>
      <c r="AD45" s="599"/>
      <c r="AE45" s="17"/>
      <c r="AF45" s="17"/>
    </row>
    <row r="46" spans="1:32">
      <c r="V46" s="703"/>
      <c r="W46" s="703"/>
      <c r="X46" s="703"/>
      <c r="Y46" s="703"/>
      <c r="Z46" s="536"/>
      <c r="AA46" s="536"/>
      <c r="AB46" s="703"/>
      <c r="AC46" s="703"/>
      <c r="AD46" s="599"/>
      <c r="AE46" s="17"/>
      <c r="AF46" s="17"/>
    </row>
    <row r="47" spans="1:32">
      <c r="V47" s="703"/>
      <c r="W47" s="703"/>
      <c r="X47" s="703"/>
      <c r="Y47" s="703"/>
      <c r="Z47" s="703"/>
      <c r="AA47" s="703"/>
      <c r="AB47" s="703"/>
      <c r="AC47" s="703"/>
      <c r="AD47" s="599"/>
      <c r="AE47" s="17"/>
      <c r="AF47" s="17"/>
    </row>
    <row r="48" spans="1:32">
      <c r="V48" s="704"/>
      <c r="W48" s="704"/>
      <c r="X48" s="705"/>
      <c r="Y48" s="705"/>
      <c r="Z48" s="705"/>
      <c r="AA48" s="537"/>
      <c r="AB48" s="703"/>
      <c r="AC48" s="703"/>
      <c r="AD48" s="599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599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599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599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599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9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599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59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9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599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59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59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599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599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599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599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599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599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59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9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H26" sqref="H26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6" t="s">
        <v>193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8"/>
    </row>
    <row r="2" spans="1:15" ht="15.75" customHeight="1" thickBot="1">
      <c r="A2" s="709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1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1">
        <f>(C5+B5)/2</f>
        <v>23</v>
      </c>
      <c r="E5" s="602">
        <v>0.56000000000000005</v>
      </c>
      <c r="F5" s="603">
        <v>0</v>
      </c>
      <c r="G5" s="604">
        <f>F5*230</f>
        <v>0</v>
      </c>
      <c r="H5" s="605">
        <v>0</v>
      </c>
      <c r="I5" s="605">
        <v>0</v>
      </c>
      <c r="J5" s="354">
        <v>0</v>
      </c>
      <c r="K5" s="606">
        <f>+J5+H5+I5</f>
        <v>0</v>
      </c>
      <c r="L5" s="605"/>
      <c r="M5" s="605"/>
      <c r="N5" s="607"/>
      <c r="O5" s="605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>
        <v>27</v>
      </c>
      <c r="C13" s="37">
        <v>23</v>
      </c>
      <c r="D13" s="26">
        <f>(C13+B13)/2</f>
        <v>25</v>
      </c>
      <c r="E13" s="352">
        <v>0.52</v>
      </c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>
        <v>27</v>
      </c>
      <c r="C14" s="37">
        <v>22</v>
      </c>
      <c r="D14" s="26">
        <f t="shared" ref="D14:D33" si="3">(C14+B14)/2</f>
        <v>24.5</v>
      </c>
      <c r="E14" s="338">
        <v>0.55000000000000004</v>
      </c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>
        <v>27</v>
      </c>
      <c r="C15" s="37">
        <v>23</v>
      </c>
      <c r="D15" s="26">
        <f t="shared" si="3"/>
        <v>25</v>
      </c>
      <c r="E15" s="338">
        <v>0.65</v>
      </c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>
        <v>27</v>
      </c>
      <c r="C16" s="37">
        <v>25</v>
      </c>
      <c r="D16" s="26">
        <f t="shared" si="3"/>
        <v>26</v>
      </c>
      <c r="E16" s="338">
        <v>0.49</v>
      </c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>
        <v>27</v>
      </c>
      <c r="C17" s="37">
        <v>22</v>
      </c>
      <c r="D17" s="26">
        <f t="shared" si="3"/>
        <v>24.5</v>
      </c>
      <c r="E17" s="338">
        <v>0.67</v>
      </c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>
        <v>26</v>
      </c>
      <c r="C18" s="37">
        <v>21</v>
      </c>
      <c r="D18" s="26">
        <f t="shared" si="3"/>
        <v>23.5</v>
      </c>
      <c r="E18" s="425">
        <v>0.7</v>
      </c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>
        <v>26</v>
      </c>
      <c r="C19" s="37">
        <v>20</v>
      </c>
      <c r="D19" s="26">
        <f t="shared" si="3"/>
        <v>23</v>
      </c>
      <c r="E19" s="338">
        <v>0.64</v>
      </c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>
        <v>27</v>
      </c>
      <c r="C20" s="37">
        <v>22</v>
      </c>
      <c r="D20" s="26">
        <f t="shared" si="3"/>
        <v>24.5</v>
      </c>
      <c r="E20" s="338">
        <v>0.61</v>
      </c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>
        <v>27</v>
      </c>
      <c r="C21" s="37">
        <v>23</v>
      </c>
      <c r="D21" s="26">
        <f>(C21+B21)/2</f>
        <v>25</v>
      </c>
      <c r="E21" s="338">
        <v>0.67</v>
      </c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>
        <v>26</v>
      </c>
      <c r="C22" s="37">
        <v>23</v>
      </c>
      <c r="D22" s="26">
        <f t="shared" si="3"/>
        <v>24.5</v>
      </c>
      <c r="E22" s="338">
        <v>0.65</v>
      </c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>
        <v>27</v>
      </c>
      <c r="C23" s="37">
        <v>23</v>
      </c>
      <c r="D23" s="26">
        <f>(C23+B23)/2</f>
        <v>25</v>
      </c>
      <c r="E23" s="338">
        <v>0.65</v>
      </c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>
        <v>28</v>
      </c>
      <c r="C24" s="37">
        <v>25</v>
      </c>
      <c r="D24" s="26">
        <f>(C24+B24)/2</f>
        <v>26.5</v>
      </c>
      <c r="E24" s="392">
        <v>0.48</v>
      </c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>
        <v>27</v>
      </c>
      <c r="C25" s="37">
        <v>24</v>
      </c>
      <c r="D25" s="26">
        <f t="shared" si="3"/>
        <v>25.5</v>
      </c>
      <c r="E25" s="338">
        <v>0.65</v>
      </c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>
        <v>27</v>
      </c>
      <c r="C26" s="37">
        <v>24</v>
      </c>
      <c r="D26" s="26">
        <f>(C26+B26)/2</f>
        <v>25.5</v>
      </c>
      <c r="E26" s="338">
        <v>0.6</v>
      </c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/>
      <c r="C27" s="37"/>
      <c r="D27" s="26">
        <f t="shared" si="3"/>
        <v>0</v>
      </c>
      <c r="E27" s="338"/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/>
      <c r="C28" s="37"/>
      <c r="D28" s="26">
        <f t="shared" si="3"/>
        <v>0</v>
      </c>
      <c r="E28" s="392"/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/>
      <c r="C29" s="37"/>
      <c r="D29" s="26">
        <f t="shared" si="3"/>
        <v>0</v>
      </c>
      <c r="E29" s="338"/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/>
      <c r="C30" s="37"/>
      <c r="D30" s="26">
        <f t="shared" si="3"/>
        <v>0</v>
      </c>
      <c r="E30" s="338"/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25.875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12066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-74.100000000000009</v>
      </c>
      <c r="J8" s="9">
        <f>'B5'!A10</f>
        <v>44353</v>
      </c>
    </row>
    <row r="9" spans="1:10">
      <c r="A9" s="3">
        <f>ELEC!T11+ELEC!X11+ELEC!AB11</f>
        <v>14</v>
      </c>
      <c r="B9" s="3">
        <f>ELEC!AF11</f>
        <v>2762</v>
      </c>
      <c r="C9" s="3">
        <f>ELEC!N11</f>
        <v>11896</v>
      </c>
      <c r="D9" s="3">
        <f t="shared" si="0"/>
        <v>1565.000000001688</v>
      </c>
      <c r="E9" s="3">
        <f>ELEC!Q11</f>
        <v>10330.999999998312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-44.7</v>
      </c>
      <c r="J9" s="9">
        <f>'B5'!A11</f>
        <v>44354</v>
      </c>
    </row>
    <row r="10" spans="1:10">
      <c r="A10" s="3">
        <f>ELEC!T12+ELEC!X12+ELEC!AB12</f>
        <v>15</v>
      </c>
      <c r="B10" s="3">
        <f>ELEC!AF12</f>
        <v>3469</v>
      </c>
      <c r="C10" s="3">
        <f>ELEC!N12</f>
        <v>13733</v>
      </c>
      <c r="D10" s="3">
        <f t="shared" si="0"/>
        <v>492.99999999839929</v>
      </c>
      <c r="E10" s="3">
        <f>ELEC!Q12</f>
        <v>13240.000000001601</v>
      </c>
      <c r="F10" s="3">
        <f>GEN!Z10</f>
        <v>15</v>
      </c>
      <c r="G10" s="3">
        <f>WATER!C13+WATER!H13</f>
        <v>0</v>
      </c>
      <c r="H10" s="3">
        <f>WATER!L13</f>
        <v>5</v>
      </c>
      <c r="I10" s="15">
        <f>WATER!BC13+WATER!BD13+WATER!BE14-Sheet1!G10</f>
        <v>41.999999999999986</v>
      </c>
      <c r="J10" s="9">
        <f>'B5'!A12</f>
        <v>44355</v>
      </c>
    </row>
    <row r="11" spans="1:10">
      <c r="A11" s="3">
        <f>ELEC!T13+ELEC!X13+ELEC!AB13</f>
        <v>18</v>
      </c>
      <c r="B11" s="3">
        <f>ELEC!AF13</f>
        <v>4323</v>
      </c>
      <c r="C11" s="3">
        <f>ELEC!N13</f>
        <v>14893</v>
      </c>
      <c r="D11" s="3">
        <f t="shared" si="0"/>
        <v>996.00000000279397</v>
      </c>
      <c r="E11" s="3">
        <f>ELEC!Q13</f>
        <v>13896.999999997206</v>
      </c>
      <c r="F11" s="3">
        <f>GEN!Z11</f>
        <v>21</v>
      </c>
      <c r="G11" s="3">
        <f>WATER!C14+WATER!H14</f>
        <v>0</v>
      </c>
      <c r="H11" s="3">
        <f>WATER!L14</f>
        <v>0</v>
      </c>
      <c r="I11" s="15">
        <f>WATER!BC14+WATER!BD14+WATER!BE15-Sheet1!G11</f>
        <v>69.500000000000014</v>
      </c>
      <c r="J11" s="9">
        <f>'B5'!A13</f>
        <v>44356</v>
      </c>
    </row>
    <row r="12" spans="1:10">
      <c r="A12" s="3">
        <f>ELEC!T14+ELEC!X14+ELEC!AB14</f>
        <v>17</v>
      </c>
      <c r="B12" s="3">
        <f>ELEC!AF14</f>
        <v>3735</v>
      </c>
      <c r="C12" s="3">
        <f>ELEC!N14</f>
        <v>14674</v>
      </c>
      <c r="D12" s="3">
        <f t="shared" si="0"/>
        <v>583.99999999985448</v>
      </c>
      <c r="E12" s="3">
        <f>ELEC!Q14</f>
        <v>14090.000000000146</v>
      </c>
      <c r="F12" s="3">
        <f>GEN!Z12</f>
        <v>18</v>
      </c>
      <c r="G12" s="3">
        <f>WATER!C15+WATER!H15</f>
        <v>0</v>
      </c>
      <c r="H12" s="3">
        <f>WATER!L15</f>
        <v>1</v>
      </c>
      <c r="I12" s="15">
        <f>WATER!BC15+WATER!BD15+WATER!BE16-Sheet1!G12</f>
        <v>19.500000000000028</v>
      </c>
      <c r="J12" s="9">
        <f>'B5'!A14</f>
        <v>44357</v>
      </c>
    </row>
    <row r="13" spans="1:10">
      <c r="A13" s="3">
        <f>ELEC!T15+ELEC!X15+ELEC!AB15</f>
        <v>15</v>
      </c>
      <c r="B13" s="3">
        <f>ELEC!AF15</f>
        <v>3109</v>
      </c>
      <c r="C13" s="3">
        <f>ELEC!N15</f>
        <v>12497</v>
      </c>
      <c r="D13" s="3">
        <f t="shared" si="0"/>
        <v>1046.9999999992724</v>
      </c>
      <c r="E13" s="3">
        <f>ELEC!Q15</f>
        <v>11450.000000000728</v>
      </c>
      <c r="F13" s="3">
        <f>GEN!Z13</f>
        <v>20</v>
      </c>
      <c r="G13" s="3">
        <f>WATER!C16+WATER!H16</f>
        <v>0</v>
      </c>
      <c r="H13" s="3">
        <f>WATER!L16</f>
        <v>0</v>
      </c>
      <c r="I13" s="15">
        <f>WATER!BC16+WATER!BD16+WATER!BE17-Sheet1!G13</f>
        <v>-51.900000000000006</v>
      </c>
      <c r="J13" s="9">
        <f>'B5'!A15</f>
        <v>44358</v>
      </c>
    </row>
    <row r="14" spans="1:10">
      <c r="A14" s="3">
        <f>ELEC!T16+ELEC!X16+ELEC!AB16</f>
        <v>17</v>
      </c>
      <c r="B14" s="3">
        <f>ELEC!AF16</f>
        <v>3352</v>
      </c>
      <c r="C14" s="3">
        <f>ELEC!N16</f>
        <v>12554</v>
      </c>
      <c r="D14" s="3">
        <f t="shared" si="0"/>
        <v>-714.0000000000291</v>
      </c>
      <c r="E14" s="3">
        <f>ELEC!Q16</f>
        <v>13268.000000000029</v>
      </c>
      <c r="F14" s="3">
        <f>GEN!Z14</f>
        <v>22</v>
      </c>
      <c r="G14" s="3">
        <f>WATER!C17+WATER!H17</f>
        <v>0</v>
      </c>
      <c r="H14" s="3">
        <f>WATER!L17</f>
        <v>0</v>
      </c>
      <c r="I14" s="15">
        <f>WATER!BC17+WATER!BD17+WATER!BE18-Sheet1!G14</f>
        <v>-43.900000000000006</v>
      </c>
      <c r="J14" s="9">
        <f>'B5'!A16</f>
        <v>44359</v>
      </c>
    </row>
    <row r="15" spans="1:10">
      <c r="A15" s="3">
        <f>ELEC!T17+ELEC!X17+ELEC!AB17</f>
        <v>15</v>
      </c>
      <c r="B15" s="3">
        <f>ELEC!AF17</f>
        <v>3067</v>
      </c>
      <c r="C15" s="3">
        <f>ELEC!N17</f>
        <v>11380</v>
      </c>
      <c r="D15" s="3">
        <f t="shared" si="0"/>
        <v>2785.9999999990396</v>
      </c>
      <c r="E15" s="3">
        <f>ELEC!Q17</f>
        <v>8594.0000000009604</v>
      </c>
      <c r="F15" s="3">
        <f>GEN!Z15</f>
        <v>17</v>
      </c>
      <c r="G15" s="3">
        <f>WATER!C18+WATER!H18</f>
        <v>0</v>
      </c>
      <c r="H15" s="3">
        <f>WATER!L18</f>
        <v>0</v>
      </c>
      <c r="I15" s="15">
        <f>WATER!BC18+WATER!BD18+WATER!BE19-Sheet1!G15</f>
        <v>-74.400000000000006</v>
      </c>
      <c r="J15" s="9">
        <f>'B5'!A17</f>
        <v>44360</v>
      </c>
    </row>
    <row r="16" spans="1:10">
      <c r="A16" s="3">
        <f>ELEC!T18+ELEC!X18+ELEC!AB18</f>
        <v>17</v>
      </c>
      <c r="B16" s="3">
        <f>ELEC!AF18</f>
        <v>3578</v>
      </c>
      <c r="C16" s="3">
        <f>ELEC!N18</f>
        <v>13190</v>
      </c>
      <c r="D16" s="3">
        <f t="shared" si="0"/>
        <v>746.00000000049477</v>
      </c>
      <c r="E16" s="3">
        <f>ELEC!Q18</f>
        <v>12443.999999999505</v>
      </c>
      <c r="F16" s="3">
        <f>GEN!Z16</f>
        <v>14</v>
      </c>
      <c r="G16" s="3">
        <f>WATER!C19+WATER!H19</f>
        <v>0</v>
      </c>
      <c r="H16" s="3">
        <f>WATER!L19</f>
        <v>1</v>
      </c>
      <c r="I16" s="15">
        <f>WATER!BC19+WATER!BD19+WATER!BE20-Sheet1!G16</f>
        <v>-70.400000000000034</v>
      </c>
      <c r="J16" s="9">
        <f>'B5'!A18</f>
        <v>44361</v>
      </c>
    </row>
    <row r="17" spans="1:10">
      <c r="A17" s="3">
        <f>ELEC!T19+ELEC!X19+ELEC!AB19</f>
        <v>15</v>
      </c>
      <c r="B17" s="3">
        <f>ELEC!AF19</f>
        <v>3106</v>
      </c>
      <c r="C17" s="3">
        <f>ELEC!N19</f>
        <v>12267</v>
      </c>
      <c r="D17" s="3">
        <f t="shared" si="0"/>
        <v>-1008.0000000014552</v>
      </c>
      <c r="E17" s="3">
        <f>ELEC!Q19</f>
        <v>13275.000000001455</v>
      </c>
      <c r="F17" s="3">
        <f>GEN!Z17</f>
        <v>19</v>
      </c>
      <c r="G17" s="3">
        <f>WATER!C20+WATER!H20</f>
        <v>0</v>
      </c>
      <c r="H17" s="3">
        <f>WATER!L20</f>
        <v>0</v>
      </c>
      <c r="I17" s="15">
        <f>WATER!BC20+WATER!BD20+WATER!BE21-Sheet1!G17</f>
        <v>180.3</v>
      </c>
      <c r="J17" s="9">
        <f>'B5'!A19</f>
        <v>44362</v>
      </c>
    </row>
    <row r="18" spans="1:10">
      <c r="A18" s="3">
        <f>ELEC!T20+ELEC!X20+ELEC!AB20</f>
        <v>16</v>
      </c>
      <c r="B18" s="3">
        <f>ELEC!AF20</f>
        <v>3259</v>
      </c>
      <c r="C18" s="3">
        <f>ELEC!N20</f>
        <v>12955</v>
      </c>
      <c r="D18" s="3">
        <f t="shared" si="0"/>
        <v>2878.0000000025029</v>
      </c>
      <c r="E18" s="3">
        <f>ELEC!Q20</f>
        <v>10076.999999997497</v>
      </c>
      <c r="F18" s="3">
        <f>GEN!Z18</f>
        <v>17</v>
      </c>
      <c r="G18" s="3">
        <f>WATER!C21+WATER!H21</f>
        <v>220</v>
      </c>
      <c r="H18" s="3">
        <f>WATER!L21</f>
        <v>1</v>
      </c>
      <c r="I18" s="15">
        <f>WATER!BC21+WATER!BD21+WATER!BE22-Sheet1!G18</f>
        <v>-322</v>
      </c>
      <c r="J18" s="9">
        <f>'B5'!A20</f>
        <v>44363</v>
      </c>
    </row>
    <row r="19" spans="1:10">
      <c r="A19" s="3">
        <f>ELEC!T21+ELEC!X21+ELEC!AB21</f>
        <v>15</v>
      </c>
      <c r="B19" s="3">
        <f>ELEC!AF21</f>
        <v>3232</v>
      </c>
      <c r="C19" s="3">
        <f>ELEC!N21</f>
        <v>12140</v>
      </c>
      <c r="D19" s="3">
        <f t="shared" si="0"/>
        <v>629.99999999796273</v>
      </c>
      <c r="E19" s="3">
        <f>ELEC!Q21</f>
        <v>11510.000000002037</v>
      </c>
      <c r="F19" s="3">
        <f>GEN!Z19</f>
        <v>21</v>
      </c>
      <c r="G19" s="3">
        <f>WATER!C22+WATER!H22</f>
        <v>0</v>
      </c>
      <c r="H19" s="3">
        <f>WATER!L22</f>
        <v>1</v>
      </c>
      <c r="I19" s="15">
        <f>WATER!BC22+WATER!BD22+WATER!BE23-Sheet1!G19</f>
        <v>34.600000000000023</v>
      </c>
      <c r="J19" s="9">
        <f>'B5'!A21</f>
        <v>44364</v>
      </c>
    </row>
    <row r="20" spans="1:10">
      <c r="A20" s="3">
        <f>ELEC!T22+ELEC!X22+ELEC!AB22</f>
        <v>19</v>
      </c>
      <c r="B20" s="3">
        <f>ELEC!AF22</f>
        <v>3506</v>
      </c>
      <c r="C20" s="3">
        <f>ELEC!N22</f>
        <v>13379</v>
      </c>
      <c r="D20" s="3">
        <f t="shared" si="0"/>
        <v>366.00000000098953</v>
      </c>
      <c r="E20" s="3">
        <f>ELEC!Q22</f>
        <v>13012.99999999901</v>
      </c>
      <c r="F20" s="3">
        <f>GEN!Z20</f>
        <v>19</v>
      </c>
      <c r="G20" s="3">
        <f>WATER!C23+WATER!H23</f>
        <v>188</v>
      </c>
      <c r="H20" s="3">
        <f>WATER!L23</f>
        <v>2</v>
      </c>
      <c r="I20" s="15">
        <f>WATER!BC23+WATER!BD23+WATER!BE24-Sheet1!G20</f>
        <v>-306</v>
      </c>
      <c r="J20" s="9">
        <f>'B5'!A22</f>
        <v>44365</v>
      </c>
    </row>
    <row r="21" spans="1:10">
      <c r="A21" s="3">
        <f>ELEC!T23+ELEC!X23+ELEC!AB23</f>
        <v>15</v>
      </c>
      <c r="B21" s="3">
        <f>ELEC!AF23</f>
        <v>3267</v>
      </c>
      <c r="C21" s="3">
        <f>ELEC!N23</f>
        <v>12606</v>
      </c>
      <c r="D21" s="3">
        <f t="shared" si="0"/>
        <v>-905.99999999880674</v>
      </c>
      <c r="E21" s="3">
        <f>ELEC!Q23</f>
        <v>13511.999999998807</v>
      </c>
      <c r="F21" s="3">
        <f>GEN!Z21</f>
        <v>20</v>
      </c>
      <c r="G21" s="3">
        <f>WATER!C24+WATER!H24</f>
        <v>0</v>
      </c>
      <c r="H21" s="3">
        <f>WATER!L24</f>
        <v>0</v>
      </c>
      <c r="I21" s="15">
        <f>WATER!BC24+WATER!BD24+WATER!BE25-Sheet1!G21</f>
        <v>110.39999999999999</v>
      </c>
      <c r="J21" s="9">
        <f>'B5'!A23</f>
        <v>44366</v>
      </c>
    </row>
    <row r="22" spans="1:10">
      <c r="A22" s="3">
        <f>ELEC!T24+ELEC!X24+ELEC!AB24</f>
        <v>19</v>
      </c>
      <c r="B22" s="3">
        <f>ELEC!AF24</f>
        <v>4048</v>
      </c>
      <c r="C22" s="3">
        <f>ELEC!N24</f>
        <v>13830</v>
      </c>
      <c r="D22" s="3">
        <f t="shared" si="0"/>
        <v>2331.9999999967695</v>
      </c>
      <c r="E22" s="3">
        <f>ELEC!Q24</f>
        <v>11498.000000003231</v>
      </c>
      <c r="F22" s="3">
        <f>GEN!Z22</f>
        <v>18</v>
      </c>
      <c r="G22" s="3">
        <f>WATER!C25+WATER!H25</f>
        <v>166</v>
      </c>
      <c r="H22" s="3">
        <f>WATER!L25</f>
        <v>1</v>
      </c>
      <c r="I22" s="15">
        <f>WATER!BC25+WATER!BD25+WATER!BE26-Sheet1!G22</f>
        <v>-76.499999999999986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22</v>
      </c>
      <c r="G23" s="3">
        <f>WATER!C26+WATER!H26</f>
        <v>0</v>
      </c>
      <c r="H23" s="3">
        <f>WATER!L26</f>
        <v>0</v>
      </c>
      <c r="I23" s="15">
        <f>WATER!BC26+WATER!BD26+WATER!BE27-Sheet1!G23</f>
        <v>130.50000000000003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18"/>
      <c r="B1" s="716" t="s">
        <v>119</v>
      </c>
      <c r="C1" s="716" t="s">
        <v>118</v>
      </c>
      <c r="D1" s="720" t="s">
        <v>113</v>
      </c>
      <c r="E1" s="720" t="s">
        <v>114</v>
      </c>
      <c r="F1" s="721" t="s">
        <v>120</v>
      </c>
      <c r="G1" s="722" t="s">
        <v>75</v>
      </c>
      <c r="H1" s="713" t="s">
        <v>115</v>
      </c>
      <c r="I1" s="714" t="s">
        <v>116</v>
      </c>
      <c r="J1" s="713" t="s">
        <v>117</v>
      </c>
      <c r="K1" s="712" t="s">
        <v>121</v>
      </c>
      <c r="L1" s="712" t="s">
        <v>122</v>
      </c>
      <c r="M1" s="712" t="s">
        <v>123</v>
      </c>
      <c r="N1" s="712" t="s">
        <v>124</v>
      </c>
    </row>
    <row r="2" spans="1:14">
      <c r="A2" s="719"/>
      <c r="B2" s="717"/>
      <c r="C2" s="717"/>
      <c r="D2" s="720"/>
      <c r="E2" s="720"/>
      <c r="F2" s="721"/>
      <c r="G2" s="722"/>
      <c r="H2" s="713"/>
      <c r="I2" s="715"/>
      <c r="J2" s="713"/>
      <c r="K2" s="712"/>
      <c r="L2" s="712"/>
      <c r="M2" s="712"/>
      <c r="N2" s="71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158</v>
      </c>
      <c r="C12" s="76">
        <f>'B5'!AH12</f>
        <v>0</v>
      </c>
      <c r="D12" s="76">
        <f>GEN!AI10</f>
        <v>2659.0337552738274</v>
      </c>
      <c r="E12" s="242">
        <f t="shared" si="0"/>
        <v>2817.0337552738274</v>
      </c>
      <c r="F12" s="75">
        <f>WATER!L12</f>
        <v>0</v>
      </c>
      <c r="G12" s="78">
        <f>WATER!BG12</f>
        <v>-44.7</v>
      </c>
      <c r="H12" s="79">
        <f>ELEC!AF11</f>
        <v>2762</v>
      </c>
      <c r="I12" s="79">
        <f>ELEC!Q11</f>
        <v>10330.999999998312</v>
      </c>
      <c r="J12" s="79">
        <f>ELEC!R11</f>
        <v>1565.000000001688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110</v>
      </c>
      <c r="C13" s="76">
        <f>'B5'!AH13</f>
        <v>0</v>
      </c>
      <c r="D13" s="76">
        <f>GEN!AI11</f>
        <v>3407.7637130805811</v>
      </c>
      <c r="E13" s="242">
        <f t="shared" si="0"/>
        <v>3517.7637130805811</v>
      </c>
      <c r="F13" s="75">
        <f>WATER!L13</f>
        <v>5</v>
      </c>
      <c r="G13" s="78">
        <f>WATER!BG13</f>
        <v>0</v>
      </c>
      <c r="H13" s="79">
        <f>ELEC!AF12</f>
        <v>3469</v>
      </c>
      <c r="I13" s="79">
        <f>ELEC!Q12</f>
        <v>13240.000000001601</v>
      </c>
      <c r="J13" s="79">
        <f>ELEC!R12</f>
        <v>492.99999999839929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115</v>
      </c>
      <c r="C14" s="76">
        <f>'B5'!AH14</f>
        <v>0</v>
      </c>
      <c r="D14" s="76">
        <f>GEN!AI12</f>
        <v>3576.8649789022347</v>
      </c>
      <c r="E14" s="242">
        <f t="shared" si="0"/>
        <v>3691.8649789022347</v>
      </c>
      <c r="F14" s="75">
        <f>WATER!L14</f>
        <v>0</v>
      </c>
      <c r="G14" s="78">
        <f>WATER!BG14</f>
        <v>41.999999999999986</v>
      </c>
      <c r="H14" s="79">
        <f>ELEC!AF13</f>
        <v>4323</v>
      </c>
      <c r="I14" s="79">
        <f>ELEC!Q13</f>
        <v>13896.999999997206</v>
      </c>
      <c r="J14" s="79">
        <f>ELEC!R13</f>
        <v>996.00000000279397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135</v>
      </c>
      <c r="C15" s="76">
        <f>'B5'!AH15</f>
        <v>0</v>
      </c>
      <c r="D15" s="76">
        <f>GEN!AI13</f>
        <v>3626.5400843882235</v>
      </c>
      <c r="E15" s="242">
        <f t="shared" si="0"/>
        <v>3761.5400843882235</v>
      </c>
      <c r="F15" s="75">
        <f>WATER!L15</f>
        <v>1</v>
      </c>
      <c r="G15" s="78">
        <f>WATER!BG15</f>
        <v>27.500000000000028</v>
      </c>
      <c r="H15" s="79">
        <f>ELEC!AF14</f>
        <v>3735</v>
      </c>
      <c r="I15" s="79">
        <f>ELEC!Q14</f>
        <v>14090.000000000146</v>
      </c>
      <c r="J15" s="79">
        <f>ELEC!R14</f>
        <v>583.99999999985448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146</v>
      </c>
      <c r="C16" s="76">
        <f>'B5'!AH16</f>
        <v>54</v>
      </c>
      <c r="D16" s="76">
        <f>GEN!AI14</f>
        <v>2947.0464135022971</v>
      </c>
      <c r="E16" s="242">
        <f t="shared" si="0"/>
        <v>3147.0464135022971</v>
      </c>
      <c r="F16" s="75">
        <f>WATER!L16</f>
        <v>0</v>
      </c>
      <c r="G16" s="78">
        <f>WATER!BG16</f>
        <v>-8</v>
      </c>
      <c r="H16" s="79">
        <f>ELEC!AF15</f>
        <v>3109</v>
      </c>
      <c r="I16" s="79">
        <f>ELEC!Q15</f>
        <v>11450.000000000728</v>
      </c>
      <c r="J16" s="79">
        <f>ELEC!R15</f>
        <v>1046.9999999992724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48</v>
      </c>
      <c r="C17" s="76">
        <f>'B5'!AH17</f>
        <v>0</v>
      </c>
      <c r="D17" s="76">
        <f>GEN!AI15</f>
        <v>3414.970464135029</v>
      </c>
      <c r="E17" s="242">
        <f t="shared" si="0"/>
        <v>3462.970464135029</v>
      </c>
      <c r="F17" s="75">
        <f>WATER!L17</f>
        <v>0</v>
      </c>
      <c r="G17" s="78">
        <f>WATER!BG17</f>
        <v>-43.900000000000006</v>
      </c>
      <c r="H17" s="79">
        <f>ELEC!AF16</f>
        <v>3352</v>
      </c>
      <c r="I17" s="79">
        <f>ELEC!Q16</f>
        <v>13268.000000000029</v>
      </c>
      <c r="J17" s="79">
        <f>ELEC!R16</f>
        <v>-714.0000000000291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57</v>
      </c>
      <c r="C18" s="76">
        <f>'B5'!AH18</f>
        <v>0</v>
      </c>
      <c r="D18" s="76">
        <f>GEN!AI16</f>
        <v>2211.9578059074202</v>
      </c>
      <c r="E18" s="242">
        <f t="shared" si="0"/>
        <v>2268.9578059074202</v>
      </c>
      <c r="F18" s="75">
        <f>WATER!L18</f>
        <v>0</v>
      </c>
      <c r="G18" s="78">
        <f>WATER!BG18</f>
        <v>0</v>
      </c>
      <c r="H18" s="79">
        <f>ELEC!AF17</f>
        <v>3067</v>
      </c>
      <c r="I18" s="79">
        <f>ELEC!Q17</f>
        <v>8594.0000000009604</v>
      </c>
      <c r="J18" s="79">
        <f>ELEC!R17</f>
        <v>2785.9999999990396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184</v>
      </c>
      <c r="C19" s="76">
        <f>'B5'!AH19</f>
        <v>0</v>
      </c>
      <c r="D19" s="76">
        <f>GEN!AI17</f>
        <v>3202.88607594924</v>
      </c>
      <c r="E19" s="242">
        <f t="shared" si="0"/>
        <v>3386.88607594924</v>
      </c>
      <c r="F19" s="75">
        <f>WATER!L19</f>
        <v>1</v>
      </c>
      <c r="G19" s="78">
        <f>WATER!BG19</f>
        <v>-74.400000000000006</v>
      </c>
      <c r="H19" s="79">
        <f>ELEC!AF18</f>
        <v>3578</v>
      </c>
      <c r="I19" s="79">
        <f>ELEC!Q18</f>
        <v>12443.999999999505</v>
      </c>
      <c r="J19" s="79">
        <f>ELEC!R18</f>
        <v>746.00000000049477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82</v>
      </c>
      <c r="C20" s="76">
        <f>'B5'!AH20</f>
        <v>0</v>
      </c>
      <c r="D20" s="76">
        <f>GEN!AI18</f>
        <v>3416.7721518991088</v>
      </c>
      <c r="E20" s="242">
        <f t="shared" si="0"/>
        <v>3498.7721518991088</v>
      </c>
      <c r="F20" s="75">
        <f>WATER!L20</f>
        <v>0</v>
      </c>
      <c r="G20" s="78">
        <f>WATER!BG20</f>
        <v>3.9999999999999716</v>
      </c>
      <c r="H20" s="79">
        <f>ELEC!AF19</f>
        <v>3106</v>
      </c>
      <c r="I20" s="79">
        <f>ELEC!Q19</f>
        <v>13275.000000001455</v>
      </c>
      <c r="J20" s="79">
        <f>ELEC!R19</f>
        <v>-1008.0000000014552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139</v>
      </c>
      <c r="C21" s="76">
        <f>'B5'!AH21</f>
        <v>0</v>
      </c>
      <c r="D21" s="76">
        <f>GEN!AI19</f>
        <v>2593.6582278474571</v>
      </c>
      <c r="E21" s="242">
        <f t="shared" si="0"/>
        <v>2732.6582278474571</v>
      </c>
      <c r="F21" s="75">
        <f>WATER!L21</f>
        <v>1</v>
      </c>
      <c r="G21" s="78">
        <f>WATER!BG21</f>
        <v>61.100000000000023</v>
      </c>
      <c r="H21" s="79">
        <f>ELEC!AF20</f>
        <v>3259</v>
      </c>
      <c r="I21" s="79">
        <f>ELEC!Q20</f>
        <v>10076.999999997497</v>
      </c>
      <c r="J21" s="79">
        <f>ELEC!R20</f>
        <v>2878.0000000025029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129</v>
      </c>
      <c r="C22" s="76">
        <f>'B5'!AH22</f>
        <v>0</v>
      </c>
      <c r="D22" s="76">
        <f>GEN!AI20</f>
        <v>2962.4894514773177</v>
      </c>
      <c r="E22" s="242">
        <f t="shared" si="0"/>
        <v>3091.4894514773177</v>
      </c>
      <c r="F22" s="75">
        <f>WATER!L22</f>
        <v>1</v>
      </c>
      <c r="G22" s="78">
        <f>WATER!BG22</f>
        <v>-46.100000000000009</v>
      </c>
      <c r="H22" s="79">
        <f>ELEC!AF21</f>
        <v>3232</v>
      </c>
      <c r="I22" s="79">
        <f>ELEC!Q21</f>
        <v>11510.000000002037</v>
      </c>
      <c r="J22" s="79">
        <f>ELEC!R21</f>
        <v>629.99999999796273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100</v>
      </c>
      <c r="C23" s="76">
        <f>'B5'!AH23</f>
        <v>0</v>
      </c>
      <c r="D23" s="76">
        <f>GEN!AI21</f>
        <v>3349.3375527423618</v>
      </c>
      <c r="E23" s="242">
        <f t="shared" si="0"/>
        <v>3449.3375527423618</v>
      </c>
      <c r="F23" s="75">
        <f>WATER!L23</f>
        <v>2</v>
      </c>
      <c r="G23" s="78">
        <f>WATER!BG23</f>
        <v>32.100000000000023</v>
      </c>
      <c r="H23" s="79">
        <f>ELEC!AF22</f>
        <v>3506</v>
      </c>
      <c r="I23" s="79">
        <f>ELEC!Q22</f>
        <v>13012.99999999901</v>
      </c>
      <c r="J23" s="79">
        <f>ELEC!R22</f>
        <v>366.00000000098953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104</v>
      </c>
      <c r="C24" s="76">
        <f>'B5'!AH24</f>
        <v>0</v>
      </c>
      <c r="D24" s="76">
        <f>GEN!AI22</f>
        <v>3477.7721518984272</v>
      </c>
      <c r="E24" s="242">
        <f t="shared" si="0"/>
        <v>3581.7721518984272</v>
      </c>
      <c r="F24" s="75">
        <f>WATER!L24</f>
        <v>0</v>
      </c>
      <c r="G24" s="78">
        <f>WATER!BG24</f>
        <v>-57.400000000000034</v>
      </c>
      <c r="H24" s="79">
        <f>ELEC!AF23</f>
        <v>3267</v>
      </c>
      <c r="I24" s="79">
        <f>ELEC!Q23</f>
        <v>13511.999999998807</v>
      </c>
      <c r="J24" s="79">
        <f>ELEC!R23</f>
        <v>-905.99999999880674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97</v>
      </c>
      <c r="C25" s="76">
        <f>'B5'!AH25</f>
        <v>0</v>
      </c>
      <c r="D25" s="76">
        <f>GEN!AI23</f>
        <v>2959.4008438826882</v>
      </c>
      <c r="E25" s="242">
        <f t="shared" si="0"/>
        <v>3056.4008438826882</v>
      </c>
      <c r="F25" s="75">
        <f>WATER!L25</f>
        <v>1</v>
      </c>
      <c r="G25" s="78">
        <f>WATER!BG25</f>
        <v>49.900000000000006</v>
      </c>
      <c r="H25" s="79">
        <f>ELEC!AF24</f>
        <v>4048</v>
      </c>
      <c r="I25" s="79">
        <f>ELEC!Q24</f>
        <v>11498.000000003231</v>
      </c>
      <c r="J25" s="79">
        <f>ELEC!R24</f>
        <v>2331.9999999967695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130.50000000000003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3" t="s">
        <v>151</v>
      </c>
      <c r="U3" s="72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2</v>
      </c>
      <c r="E15">
        <f t="shared" si="0"/>
        <v>180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6" sqref="H2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24" t="s">
        <v>51</v>
      </c>
      <c r="B1" s="736" t="s">
        <v>318</v>
      </c>
      <c r="C1" s="737"/>
      <c r="D1" s="739"/>
      <c r="E1" s="736" t="s">
        <v>319</v>
      </c>
      <c r="F1" s="737"/>
      <c r="G1" s="738"/>
      <c r="H1" s="733" t="s">
        <v>324</v>
      </c>
      <c r="I1" s="730" t="s">
        <v>325</v>
      </c>
      <c r="J1" s="727" t="s">
        <v>43</v>
      </c>
    </row>
    <row r="2" spans="1:18" ht="38.25" thickBot="1">
      <c r="A2" s="725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4"/>
      <c r="I2" s="731"/>
      <c r="J2" s="728"/>
    </row>
    <row r="3" spans="1:18" ht="24" customHeight="1" thickBot="1">
      <c r="A3" s="726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5"/>
      <c r="I3" s="732"/>
      <c r="J3" s="729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2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8">
        <v>7.8</v>
      </c>
      <c r="D9" s="170">
        <v>0</v>
      </c>
      <c r="E9" s="644" t="s">
        <v>420</v>
      </c>
      <c r="F9" s="644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4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>
        <v>1.5</v>
      </c>
      <c r="C12" s="585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>
        <v>1.5</v>
      </c>
      <c r="C13" s="528">
        <v>7.8</v>
      </c>
      <c r="D13" s="528">
        <v>0</v>
      </c>
      <c r="E13" s="528">
        <v>0</v>
      </c>
      <c r="F13" s="528">
        <v>0</v>
      </c>
      <c r="G13" s="528">
        <v>0</v>
      </c>
      <c r="H13" s="572">
        <v>6781</v>
      </c>
      <c r="I13" s="502">
        <f t="shared" si="3"/>
        <v>5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>
        <v>1.5</v>
      </c>
      <c r="C14" s="617">
        <v>7.8</v>
      </c>
      <c r="D14" s="170">
        <v>0</v>
      </c>
      <c r="E14" s="170">
        <v>0</v>
      </c>
      <c r="F14" s="170">
        <v>0</v>
      </c>
      <c r="G14" s="170">
        <v>0</v>
      </c>
      <c r="H14" s="572">
        <f t="shared" si="2"/>
        <v>6781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>
        <v>1.5</v>
      </c>
      <c r="C15" s="575">
        <v>7.8</v>
      </c>
      <c r="D15" s="575">
        <v>0</v>
      </c>
      <c r="E15" s="575">
        <v>0</v>
      </c>
      <c r="F15" s="575">
        <v>0</v>
      </c>
      <c r="G15" s="570">
        <v>0</v>
      </c>
      <c r="H15" s="572">
        <v>6782</v>
      </c>
      <c r="I15" s="502">
        <f t="shared" si="3"/>
        <v>1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>
        <v>1.5</v>
      </c>
      <c r="C16" s="575">
        <v>7.8</v>
      </c>
      <c r="D16" s="575">
        <v>0</v>
      </c>
      <c r="E16" s="575"/>
      <c r="F16" s="575"/>
      <c r="G16" s="570"/>
      <c r="H16" s="572">
        <f t="shared" si="2"/>
        <v>6782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>
        <v>1.5</v>
      </c>
      <c r="C17" s="586">
        <v>7.8</v>
      </c>
      <c r="D17" s="170">
        <v>0</v>
      </c>
      <c r="E17" s="170">
        <v>0</v>
      </c>
      <c r="F17" s="622">
        <v>0</v>
      </c>
      <c r="G17" s="621">
        <v>0</v>
      </c>
      <c r="H17" s="572">
        <f t="shared" si="2"/>
        <v>6782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>
        <v>1.5</v>
      </c>
      <c r="C18" s="587">
        <v>7.8</v>
      </c>
      <c r="D18" s="170"/>
      <c r="E18" s="170" t="s">
        <v>420</v>
      </c>
      <c r="F18" s="645" t="s">
        <v>420</v>
      </c>
      <c r="G18" s="624"/>
      <c r="H18" s="572">
        <f t="shared" si="2"/>
        <v>6782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>
        <v>1.5</v>
      </c>
      <c r="C19" s="588">
        <v>7.8</v>
      </c>
      <c r="D19" s="170">
        <v>0</v>
      </c>
      <c r="E19" s="170">
        <v>0</v>
      </c>
      <c r="F19" s="622">
        <v>0</v>
      </c>
      <c r="G19" s="621">
        <v>0</v>
      </c>
      <c r="H19" s="572">
        <v>6783</v>
      </c>
      <c r="I19" s="502">
        <f t="shared" si="3"/>
        <v>1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>
        <v>1.5</v>
      </c>
      <c r="C20" s="646">
        <v>7.8</v>
      </c>
      <c r="D20" s="170"/>
      <c r="E20" s="170" t="s">
        <v>422</v>
      </c>
      <c r="F20" s="170" t="s">
        <v>422</v>
      </c>
      <c r="G20" s="621"/>
      <c r="H20" s="572">
        <f t="shared" si="2"/>
        <v>6783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>
        <v>1.5</v>
      </c>
      <c r="C21" s="618">
        <v>7.8</v>
      </c>
      <c r="D21" s="170">
        <v>0</v>
      </c>
      <c r="E21" s="170">
        <v>0</v>
      </c>
      <c r="F21" s="622">
        <v>0</v>
      </c>
      <c r="G21" s="624">
        <v>0</v>
      </c>
      <c r="H21" s="572">
        <v>6784</v>
      </c>
      <c r="I21" s="502">
        <f t="shared" si="3"/>
        <v>1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>
        <v>1.5</v>
      </c>
      <c r="C22" s="589">
        <v>7.8</v>
      </c>
      <c r="D22" s="590">
        <v>0</v>
      </c>
      <c r="E22" s="589">
        <v>0</v>
      </c>
      <c r="F22" s="622">
        <v>0</v>
      </c>
      <c r="G22" s="621">
        <v>0</v>
      </c>
      <c r="H22" s="572">
        <v>6785</v>
      </c>
      <c r="I22" s="502">
        <f t="shared" si="3"/>
        <v>1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>
        <v>1.5</v>
      </c>
      <c r="C23" s="619">
        <v>7.8</v>
      </c>
      <c r="D23" s="620">
        <v>0</v>
      </c>
      <c r="E23" s="619">
        <v>0</v>
      </c>
      <c r="F23" s="622">
        <v>0</v>
      </c>
      <c r="G23" s="621">
        <v>0</v>
      </c>
      <c r="H23" s="572">
        <v>6787</v>
      </c>
      <c r="I23" s="502">
        <f t="shared" si="3"/>
        <v>2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>
        <v>1.5</v>
      </c>
      <c r="C24" s="622">
        <v>7.8</v>
      </c>
      <c r="D24" s="623">
        <v>0</v>
      </c>
      <c r="E24" s="622">
        <v>0</v>
      </c>
      <c r="F24" s="622">
        <v>0</v>
      </c>
      <c r="G24" s="624">
        <v>0</v>
      </c>
      <c r="H24" s="572">
        <v>6787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>
        <v>1.5</v>
      </c>
      <c r="C25" s="575">
        <v>7.8</v>
      </c>
      <c r="D25" s="170">
        <v>0</v>
      </c>
      <c r="E25" s="170">
        <v>0</v>
      </c>
      <c r="F25" s="170">
        <v>0</v>
      </c>
      <c r="G25" s="170">
        <v>0</v>
      </c>
      <c r="H25" s="572">
        <v>6788</v>
      </c>
      <c r="I25" s="502">
        <f t="shared" si="3"/>
        <v>1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>
        <v>1.5</v>
      </c>
      <c r="C26" s="591">
        <v>7.8</v>
      </c>
      <c r="D26" s="592">
        <v>0</v>
      </c>
      <c r="E26" s="591">
        <v>0</v>
      </c>
      <c r="F26" s="591">
        <v>0</v>
      </c>
      <c r="G26" s="170">
        <v>0</v>
      </c>
      <c r="H26" s="572">
        <f t="shared" si="2"/>
        <v>6788</v>
      </c>
      <c r="I26" s="502">
        <f t="shared" si="3"/>
        <v>0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2">
        <f t="shared" si="2"/>
        <v>6788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f t="shared" si="4"/>
        <v>6555</v>
      </c>
      <c r="N27" s="502">
        <v>645</v>
      </c>
      <c r="O27" s="502">
        <f t="shared" si="1"/>
        <v>7200</v>
      </c>
    </row>
    <row r="28" spans="1:15" ht="15.75" thickBot="1">
      <c r="A28" s="240">
        <f>ELEC!C26</f>
        <v>44370</v>
      </c>
      <c r="B28" s="254"/>
      <c r="C28" s="579"/>
      <c r="D28" s="623"/>
      <c r="E28" s="622"/>
      <c r="F28" s="622"/>
      <c r="G28" s="624"/>
      <c r="H28" s="572">
        <f t="shared" si="2"/>
        <v>6788</v>
      </c>
      <c r="I28" s="502">
        <f t="shared" si="3"/>
        <v>0</v>
      </c>
      <c r="J28" s="483">
        <v>0.29166666666666702</v>
      </c>
      <c r="L28" s="99">
        <f t="shared" si="0"/>
        <v>44370</v>
      </c>
      <c r="M28" s="3">
        <f t="shared" si="4"/>
        <v>6555</v>
      </c>
      <c r="N28" s="502">
        <v>645</v>
      </c>
      <c r="O28" s="502">
        <f t="shared" si="1"/>
        <v>7200</v>
      </c>
    </row>
    <row r="29" spans="1:15" ht="15.75" thickBot="1">
      <c r="A29" s="240">
        <f>ELEC!C27</f>
        <v>44371</v>
      </c>
      <c r="B29" s="254"/>
      <c r="C29" s="593"/>
      <c r="D29" s="594"/>
      <c r="E29" s="622"/>
      <c r="F29" s="622"/>
      <c r="G29" s="621"/>
      <c r="H29" s="572">
        <f t="shared" si="2"/>
        <v>6788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6555</v>
      </c>
      <c r="N29" s="502">
        <v>645</v>
      </c>
      <c r="O29" s="502">
        <f t="shared" si="1"/>
        <v>7200</v>
      </c>
    </row>
    <row r="30" spans="1:15" ht="15.75" thickBot="1">
      <c r="A30" s="240">
        <f>ELEC!C28</f>
        <v>44372</v>
      </c>
      <c r="B30" s="254"/>
      <c r="C30" s="595"/>
      <c r="D30" s="596"/>
      <c r="E30" s="595"/>
      <c r="F30" s="595"/>
      <c r="G30" s="170"/>
      <c r="H30" s="572">
        <f t="shared" si="2"/>
        <v>6788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6555</v>
      </c>
      <c r="N30" s="502">
        <v>645</v>
      </c>
      <c r="O30" s="502">
        <f t="shared" si="1"/>
        <v>7200</v>
      </c>
    </row>
    <row r="31" spans="1:15" ht="15.7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6788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6555</v>
      </c>
      <c r="N31" s="502">
        <v>645</v>
      </c>
      <c r="O31" s="502">
        <f t="shared" si="1"/>
        <v>7200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6788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6555</v>
      </c>
      <c r="N32" s="502">
        <v>645</v>
      </c>
      <c r="O32" s="502">
        <f t="shared" si="1"/>
        <v>7200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6788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6555</v>
      </c>
      <c r="N33" s="502">
        <v>645</v>
      </c>
      <c r="O33" s="502">
        <f t="shared" si="1"/>
        <v>7200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6788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6555</v>
      </c>
      <c r="N34" s="502">
        <v>646</v>
      </c>
      <c r="O34" s="502">
        <f>M34+N34</f>
        <v>7201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6788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6555</v>
      </c>
      <c r="N35" s="502">
        <v>647</v>
      </c>
      <c r="O35" s="502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51" t="s">
        <v>161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  <c r="R1" s="751"/>
      <c r="S1" s="751"/>
      <c r="T1" s="751"/>
      <c r="U1" s="751"/>
      <c r="V1" s="751"/>
      <c r="W1" s="751"/>
      <c r="X1" s="751"/>
    </row>
    <row r="2" spans="1:28" ht="19.5">
      <c r="A2" s="752"/>
      <c r="B2" s="752"/>
      <c r="C2" s="752"/>
      <c r="D2" s="752"/>
      <c r="E2" s="752"/>
      <c r="F2" s="752"/>
      <c r="G2" s="752"/>
      <c r="H2" s="752"/>
      <c r="I2" s="752"/>
      <c r="J2" s="752"/>
      <c r="K2" s="752"/>
      <c r="L2" s="752"/>
      <c r="M2" s="752"/>
      <c r="N2" s="752"/>
      <c r="O2" s="752"/>
      <c r="P2" s="752"/>
      <c r="Q2" s="752"/>
      <c r="R2" s="752"/>
      <c r="S2" s="752"/>
      <c r="T2" s="752"/>
      <c r="U2" s="752"/>
      <c r="V2" s="752"/>
      <c r="W2" s="752"/>
      <c r="X2" s="752"/>
    </row>
    <row r="3" spans="1:28" ht="19.5">
      <c r="A3" s="752" t="s">
        <v>162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5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2" t="s">
        <v>408</v>
      </c>
      <c r="B5" s="752"/>
      <c r="C5" s="752"/>
      <c r="D5" s="752"/>
      <c r="E5" s="752"/>
      <c r="F5" s="752"/>
      <c r="G5" s="752"/>
      <c r="H5" s="752"/>
      <c r="I5" s="752"/>
      <c r="J5" s="752"/>
      <c r="K5" s="752"/>
      <c r="L5" s="752"/>
      <c r="M5" s="752"/>
      <c r="N5" s="752"/>
      <c r="O5" s="752"/>
      <c r="P5" s="752"/>
      <c r="Q5" s="752"/>
      <c r="R5" s="752"/>
      <c r="S5" s="752"/>
      <c r="T5" s="752"/>
      <c r="U5" s="752"/>
      <c r="V5" s="752"/>
      <c r="W5" s="752"/>
      <c r="X5" s="752"/>
    </row>
    <row r="6" spans="1:28" ht="15.75" thickBot="1">
      <c r="A6" s="753"/>
      <c r="B6" s="753"/>
      <c r="C6" s="753"/>
      <c r="D6" s="753"/>
      <c r="E6" s="753"/>
      <c r="F6" s="753"/>
      <c r="G6" s="753"/>
      <c r="H6" s="753"/>
      <c r="I6" s="753"/>
      <c r="J6" s="753"/>
      <c r="K6" s="753"/>
      <c r="L6" s="753"/>
      <c r="M6" s="753"/>
      <c r="N6" s="753"/>
      <c r="O6" s="753"/>
      <c r="P6" s="753"/>
      <c r="Q6" s="753"/>
      <c r="R6" s="753"/>
      <c r="S6" s="753"/>
      <c r="T6" s="753"/>
      <c r="U6" s="753"/>
      <c r="V6" s="753"/>
      <c r="W6" s="753"/>
      <c r="X6" s="753"/>
    </row>
    <row r="7" spans="1:28" ht="15.75" thickBot="1">
      <c r="A7" s="741" t="s">
        <v>163</v>
      </c>
      <c r="B7" s="742"/>
      <c r="C7" s="743" t="s">
        <v>164</v>
      </c>
      <c r="D7" s="744"/>
      <c r="E7" s="744"/>
      <c r="F7" s="744"/>
      <c r="G7" s="744"/>
      <c r="H7" s="744"/>
      <c r="I7" s="744"/>
      <c r="J7" s="744"/>
      <c r="K7" s="74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27</v>
      </c>
      <c r="W17" s="271">
        <f>'General information '!C13</f>
        <v>23</v>
      </c>
      <c r="X17" s="271">
        <f t="shared" si="2"/>
        <v>6.6999999999999993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27</v>
      </c>
      <c r="W18" s="271">
        <f>'General information '!C14</f>
        <v>22</v>
      </c>
      <c r="X18" s="271">
        <f t="shared" si="2"/>
        <v>6.1999999999999993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27</v>
      </c>
      <c r="W19" s="271">
        <f>'General information '!C15</f>
        <v>23</v>
      </c>
      <c r="X19" s="271">
        <f t="shared" si="2"/>
        <v>6.6999999999999993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27</v>
      </c>
      <c r="W20" s="271">
        <f>'General information '!C16</f>
        <v>25</v>
      </c>
      <c r="X20" s="271">
        <f t="shared" si="2"/>
        <v>7.6999999999999993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27</v>
      </c>
      <c r="W21" s="271">
        <f>'General information '!C17</f>
        <v>22</v>
      </c>
      <c r="X21" s="271">
        <f t="shared" si="2"/>
        <v>6.1999999999999993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26</v>
      </c>
      <c r="W22" s="271">
        <f>'General information '!C18</f>
        <v>21</v>
      </c>
      <c r="X22" s="271">
        <f t="shared" si="2"/>
        <v>5.1999999999999993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26</v>
      </c>
      <c r="W23" s="271">
        <f>'General information '!C19</f>
        <v>20</v>
      </c>
      <c r="X23" s="271">
        <f t="shared" si="2"/>
        <v>4.6999999999999993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27</v>
      </c>
      <c r="W24" s="271">
        <f>'General information '!C20</f>
        <v>22</v>
      </c>
      <c r="X24" s="271">
        <f t="shared" si="2"/>
        <v>6.1999999999999993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27</v>
      </c>
      <c r="W25" s="271">
        <f>'General information '!C21</f>
        <v>23</v>
      </c>
      <c r="X25" s="271">
        <f t="shared" si="2"/>
        <v>6.6999999999999993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26</v>
      </c>
      <c r="W26" s="271">
        <f>'General information '!C22</f>
        <v>23</v>
      </c>
      <c r="X26" s="271">
        <f t="shared" si="2"/>
        <v>6.1999999999999993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27</v>
      </c>
      <c r="W27" s="271">
        <f>'General information '!C23</f>
        <v>23</v>
      </c>
      <c r="X27" s="271">
        <f t="shared" si="2"/>
        <v>6.6999999999999993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28</v>
      </c>
      <c r="W28" s="271">
        <f>'General information '!C24</f>
        <v>25</v>
      </c>
      <c r="X28" s="271">
        <f t="shared" si="2"/>
        <v>8.1999999999999993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27</v>
      </c>
      <c r="W29" s="271">
        <f>'General information '!C25</f>
        <v>24</v>
      </c>
      <c r="X29" s="271">
        <f t="shared" si="2"/>
        <v>7.1999999999999993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27</v>
      </c>
      <c r="W30" s="271">
        <f>'General information '!C26</f>
        <v>24</v>
      </c>
      <c r="X30" s="271">
        <f t="shared" si="2"/>
        <v>7.1999999999999993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0</v>
      </c>
      <c r="W31" s="271">
        <f>'General information '!C27</f>
        <v>0</v>
      </c>
      <c r="X31" s="271">
        <f t="shared" si="2"/>
        <v>-18.3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0</v>
      </c>
      <c r="W32" s="271">
        <f>'General information '!C28</f>
        <v>0</v>
      </c>
      <c r="X32" s="271">
        <f t="shared" si="2"/>
        <v>-18.3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0</v>
      </c>
      <c r="W33" s="271">
        <f>'General information '!C29</f>
        <v>0</v>
      </c>
      <c r="X33" s="271">
        <f t="shared" si="2"/>
        <v>-18.3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0</v>
      </c>
      <c r="W34" s="271">
        <f>'General information '!C30</f>
        <v>0</v>
      </c>
      <c r="X34" s="271">
        <f t="shared" si="2"/>
        <v>-18.3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-164.70000000000002</v>
      </c>
      <c r="W43" s="119">
        <f>SUMIF(X10:X39,"&gt;0")</f>
        <v>133.20000000000002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6" t="s">
        <v>174</v>
      </c>
      <c r="O84" s="746" t="s">
        <v>175</v>
      </c>
      <c r="P84" s="134"/>
      <c r="T84" s="134"/>
      <c r="X84" s="134"/>
    </row>
    <row r="85" spans="1:24" ht="20.25" thickBot="1">
      <c r="D85" s="134"/>
      <c r="I85" s="748" t="s">
        <v>182</v>
      </c>
      <c r="J85" s="749"/>
      <c r="K85" s="749"/>
      <c r="L85" s="749"/>
      <c r="N85" s="747"/>
      <c r="O85" s="747"/>
      <c r="P85" s="134"/>
      <c r="R85" s="17"/>
      <c r="S85" s="17"/>
      <c r="T85" s="140"/>
      <c r="U85" s="141"/>
      <c r="X85" s="134"/>
    </row>
    <row r="86" spans="1:24" ht="18.75" thickBot="1">
      <c r="D86" s="134"/>
      <c r="I86" s="750" t="s">
        <v>183</v>
      </c>
      <c r="J86" s="750"/>
      <c r="K86" s="750"/>
      <c r="L86" s="750"/>
      <c r="N86" s="142">
        <f>B43+F43+J43+N43+R43+V43+B81+F81+J81+N81+R81+V81</f>
        <v>-3795.5000000000005</v>
      </c>
      <c r="O86" s="142">
        <f>C43+G43+K43+O43+S43+W43+C81+G81+K81+O81+S81+W81</f>
        <v>366.5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0"/>
      <c r="C88" s="740"/>
      <c r="D88" s="740"/>
      <c r="E88" s="740"/>
      <c r="F88" s="740"/>
      <c r="G88" s="740"/>
      <c r="H88" s="740"/>
      <c r="I88" s="740"/>
      <c r="J88" s="740"/>
      <c r="K88" s="740"/>
      <c r="L88" s="740"/>
      <c r="M88" s="740"/>
      <c r="N88" s="740"/>
      <c r="O88" s="740"/>
      <c r="P88" s="740"/>
      <c r="Q88" s="740"/>
      <c r="R88" s="740"/>
      <c r="S88" s="740"/>
      <c r="T88" s="740"/>
      <c r="U88" s="740"/>
      <c r="V88" s="740"/>
      <c r="W88" s="74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21" sqref="E21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4" t="s">
        <v>216</v>
      </c>
      <c r="B2" s="754"/>
      <c r="C2" s="754"/>
      <c r="D2" s="754"/>
      <c r="E2" s="754"/>
      <c r="F2" s="754"/>
      <c r="G2" s="754"/>
      <c r="H2" s="754"/>
      <c r="I2" s="754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20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683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5466.6666666666661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74135</v>
      </c>
      <c r="C8" s="486">
        <f>SUM(tanks!AU36)</f>
        <v>1.0519999999999998</v>
      </c>
      <c r="D8" s="191">
        <f>SUM(B8*C8)*D4</f>
        <v>117569955.14999999</v>
      </c>
      <c r="E8" s="192">
        <f>SUM(D8/D4/F4)</f>
        <v>3899.5009999999993</v>
      </c>
      <c r="F8" s="192">
        <f>SUM(E8*F4)</f>
        <v>77990.01999999999</v>
      </c>
      <c r="G8" s="503">
        <f>E8*$G$4</f>
        <v>116985.02999999998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12997</v>
      </c>
      <c r="C10" s="181"/>
      <c r="D10" s="183">
        <f>'EDl log'!AB33</f>
        <v>8810509</v>
      </c>
      <c r="E10" s="182">
        <f>SUM(D10/D4/F4)</f>
        <v>292.2225207296849</v>
      </c>
      <c r="F10" s="182">
        <f>SUM(E10*F4)</f>
        <v>5844.450414593698</v>
      </c>
      <c r="G10" s="503">
        <f>E10*$G$4</f>
        <v>8766.6756218905466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4465.0568540630175</v>
      </c>
      <c r="F12" s="180">
        <f>SUM(F6:F10)</f>
        <v>89301.137081260356</v>
      </c>
      <c r="G12" s="179">
        <f>SUM(G6:G10)</f>
        <v>133951.70562189052</v>
      </c>
      <c r="H12" s="179">
        <f>SUM(H6:H11)</f>
        <v>45339</v>
      </c>
      <c r="I12" s="221">
        <f>SUM(I6:I11)</f>
        <v>45339</v>
      </c>
      <c r="J12" s="275"/>
    </row>
    <row r="13" spans="1:11" ht="30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133.20000000000002</v>
      </c>
      <c r="C14" s="431">
        <f>'[17]Utility Cost '!B14</f>
        <v>182.99999999999997</v>
      </c>
      <c r="D14" s="170"/>
      <c r="E14" s="170">
        <f>B14-C14</f>
        <v>-49.799999999999955</v>
      </c>
      <c r="F14" s="502">
        <v>0</v>
      </c>
      <c r="G14" s="420"/>
      <c r="H14" s="421">
        <f>SUM(G12-H12)</f>
        <v>88612.70562189052</v>
      </c>
      <c r="I14" s="421">
        <f>SUM(G12-I12)</f>
        <v>88612.70562189052</v>
      </c>
    </row>
    <row r="15" spans="1:11">
      <c r="A15" s="446" t="s">
        <v>303</v>
      </c>
      <c r="B15" s="97">
        <f>'Degree Days 2020'!V43</f>
        <v>-164.70000000000002</v>
      </c>
      <c r="C15" s="431">
        <f>'[17]Utility Cost '!B15</f>
        <v>-18.3</v>
      </c>
      <c r="D15" s="170"/>
      <c r="E15" s="170">
        <f>B15-C15</f>
        <v>-146.4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25.875</v>
      </c>
      <c r="C16" s="431">
        <f>'[17]Utility Cost '!B16</f>
        <v>24.4</v>
      </c>
      <c r="D16" s="430"/>
      <c r="E16" s="431">
        <f>B16-C16</f>
        <v>1.4750000000000014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2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383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201</v>
      </c>
      <c r="F18" s="521">
        <f>B18-D18</f>
        <v>180.33333333333334</v>
      </c>
    </row>
    <row r="19" spans="1:10">
      <c r="A19" s="515" t="s">
        <v>410</v>
      </c>
      <c r="B19" s="513">
        <f>SUM(B18/$F$4)</f>
        <v>19.149999999999999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2021-06-22T05:48:26Z</dcterms:modified>
</cp:coreProperties>
</file>