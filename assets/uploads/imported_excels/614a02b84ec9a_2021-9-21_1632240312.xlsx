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582" documentId="8_{5B502D95-7A37-4D5A-8B6B-374537CC2F26}" xr6:coauthVersionLast="47" xr6:coauthVersionMax="47" xr10:uidLastSave="{CF615C56-C83A-4BE4-AE67-01008FDF2F1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6" l="1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25" i="22"/>
  <c r="I26" i="22"/>
  <c r="I27" i="22"/>
  <c r="I28" i="22"/>
  <c r="I29" i="22"/>
  <c r="I30" i="22"/>
  <c r="I31" i="22"/>
  <c r="G22" i="22"/>
  <c r="G23" i="22"/>
  <c r="G24" i="22"/>
  <c r="G25" i="22"/>
  <c r="G26" i="22"/>
  <c r="G27" i="22"/>
  <c r="G28" i="22"/>
  <c r="G29" i="22"/>
  <c r="G30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C34" i="6"/>
  <c r="K33" i="6"/>
  <c r="N34" i="2" s="1"/>
  <c r="I33" i="6"/>
  <c r="M34" i="2" s="1"/>
  <c r="G33" i="6"/>
  <c r="L34" i="2" s="1"/>
  <c r="E26" i="21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I24" i="22" s="1"/>
  <c r="C31" i="6"/>
  <c r="N31" i="2"/>
  <c r="M31" i="2"/>
  <c r="L31" i="2"/>
  <c r="F31" i="2"/>
  <c r="I23" i="22" s="1"/>
  <c r="N30" i="2"/>
  <c r="M30" i="2"/>
  <c r="L30" i="2"/>
  <c r="F30" i="2"/>
  <c r="I22" i="22" s="1"/>
  <c r="K28" i="6"/>
  <c r="N29" i="2" s="1"/>
  <c r="I28" i="6"/>
  <c r="M29" i="2" s="1"/>
  <c r="G28" i="6"/>
  <c r="L29" i="2" s="1"/>
  <c r="E28" i="6"/>
  <c r="F29" i="2" s="1"/>
  <c r="I21" i="22" s="1"/>
  <c r="C28" i="6"/>
  <c r="K27" i="6"/>
  <c r="N28" i="2" s="1"/>
  <c r="I27" i="6"/>
  <c r="M28" i="2" s="1"/>
  <c r="G27" i="6"/>
  <c r="L28" i="2" s="1"/>
  <c r="E27" i="6"/>
  <c r="F28" i="2" s="1"/>
  <c r="I20" i="22" s="1"/>
  <c r="C27" i="6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7" i="4" l="1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P11" i="4"/>
  <c r="V17" i="2"/>
  <c r="X17" i="2" s="1"/>
  <c r="P12" i="4"/>
  <c r="V18" i="2"/>
  <c r="X18" i="2" s="1"/>
  <c r="P24" i="4"/>
  <c r="V30" i="2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X33" i="2" s="1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P22" i="4"/>
  <c r="V28" i="2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30" i="2" l="1"/>
  <c r="G21" i="22"/>
  <c r="X29" i="2"/>
  <c r="G20" i="22"/>
  <c r="X28" i="2"/>
  <c r="G19" i="22"/>
  <c r="X27" i="2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<sst xmlns="http://schemas.openxmlformats.org/spreadsheetml/2006/main" count="476" uniqueCount="185">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</sst>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0">
                  <c:v>118.89999999999418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0">
                  <c:v>3613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0">
                  <c:v>7663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0">
                  <c:v>2885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287.99288999999999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223.99447000000001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255.99368000000001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énergie'!V26</f>
        <v>319.99209999999999</v>
      </c>
      <c r="H17" s="134">
        <v>8.6999999999999993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énergie'!V28</f>
        <v>223.99447000000001</v>
      </c>
      <c r="H19" s="134">
        <v>8.6999999999999993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énergie'!V29</f>
        <v>287.99288999999999</v>
      </c>
      <c r="H20" s="134">
        <v>8.6999999999999993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61</v>
      </c>
      <c r="L21" s="137">
        <f>'Consommation mensuel énergie'!E29</f>
        <v>90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14161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118.89999999999418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4583.0970500000003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61</v>
      </c>
      <c r="I21" s="137">
        <f>'Consommation mensuel énergie'!E29</f>
        <v>90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3613</v>
      </c>
      <c r="F22" s="137">
        <f>'Consommation mensuel énergie'!M30</f>
        <v>7663</v>
      </c>
      <c r="G22" s="137">
        <f>'Consommation mensuel énergie'!N30</f>
        <v>2885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5" activePane="bottomRight" state="frozen"/>
      <selection pane="bottomRight" activeCell="E30" sqref="E3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</row>
    <row r="2" spans="1:24" ht="100.5" customHeight="1" thickBot="1">
      <c r="A2" s="180"/>
      <c r="B2" s="181"/>
      <c r="C2" s="181"/>
      <c r="D2" s="181"/>
      <c r="E2" s="181"/>
      <c r="F2" s="181"/>
      <c r="G2" s="181"/>
      <c r="H2" s="182"/>
      <c r="I2" s="191" t="s">
        <v>17</v>
      </c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hidden="1" customHeight="1" thickBo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</row>
    <row r="4" spans="1:24" ht="39" hidden="1" customHeight="1" thickBot="1">
      <c r="A4" s="183"/>
      <c r="B4" s="183"/>
      <c r="C4" s="183"/>
      <c r="D4" s="164"/>
      <c r="E4" s="164"/>
      <c r="F4" s="164"/>
      <c r="G4" s="164"/>
      <c r="H4" s="164"/>
      <c r="I4" s="164"/>
      <c r="J4" s="164"/>
      <c r="K4" s="164"/>
      <c r="L4" s="164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3"/>
      <c r="B5" s="183"/>
      <c r="C5" s="183"/>
      <c r="D5" s="164"/>
      <c r="E5" s="164"/>
      <c r="F5" s="164"/>
      <c r="G5" s="164"/>
      <c r="H5" s="164"/>
      <c r="I5" s="164"/>
      <c r="J5" s="164"/>
      <c r="K5" s="164"/>
      <c r="L5" s="16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s="5" customFormat="1" ht="44.25" hidden="1" customHeight="1" thickBot="1">
      <c r="A6" s="3"/>
      <c r="B6" s="3"/>
      <c r="C6" s="3"/>
      <c r="D6" s="164"/>
      <c r="E6" s="164"/>
      <c r="F6" s="164"/>
      <c r="G6" s="164"/>
      <c r="H6" s="164"/>
      <c r="I6" s="164"/>
      <c r="J6" s="164"/>
      <c r="K6" s="164"/>
      <c r="L6" s="16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s="5" customFormat="1" ht="18.75" hidden="1" customHeight="1" thickBot="1">
      <c r="A7" s="164"/>
      <c r="B7" s="164"/>
      <c r="C7" s="164"/>
      <c r="D7" s="164"/>
      <c r="E7" s="164"/>
      <c r="F7" s="184"/>
      <c r="G7" s="184"/>
      <c r="H7" s="184"/>
      <c r="I7" s="184"/>
      <c r="J7" s="184"/>
      <c r="K7" s="184"/>
      <c r="L7" s="184"/>
      <c r="M7" s="184"/>
      <c r="N7" s="193"/>
      <c r="O7" s="193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18.75" customHeight="1" thickBot="1">
      <c r="A8" s="184"/>
      <c r="B8" s="195" t="s">
        <v>19</v>
      </c>
      <c r="C8" s="4"/>
      <c r="D8" s="196" t="s">
        <v>20</v>
      </c>
      <c r="E8" s="196" t="s">
        <v>21</v>
      </c>
      <c r="F8" s="178" t="s">
        <v>22</v>
      </c>
      <c r="G8" s="2"/>
      <c r="H8" s="185" t="s">
        <v>23</v>
      </c>
      <c r="I8" s="186"/>
      <c r="J8" s="187"/>
      <c r="K8" s="173" t="s">
        <v>24</v>
      </c>
      <c r="L8" s="177" t="s">
        <v>25</v>
      </c>
      <c r="M8" s="177"/>
      <c r="N8" s="177"/>
      <c r="O8" s="177" t="s">
        <v>26</v>
      </c>
      <c r="P8" s="2"/>
      <c r="Q8" s="175" t="s">
        <v>23</v>
      </c>
      <c r="R8" s="2"/>
      <c r="S8" s="175" t="s">
        <v>27</v>
      </c>
      <c r="T8" s="2"/>
      <c r="U8" s="175" t="s">
        <v>28</v>
      </c>
      <c r="V8" s="198" t="s">
        <v>29</v>
      </c>
      <c r="W8" s="2"/>
      <c r="X8" s="175" t="s">
        <v>23</v>
      </c>
    </row>
    <row r="9" spans="1:24" ht="59.25" customHeight="1" thickBot="1">
      <c r="A9" s="184"/>
      <c r="B9" s="195"/>
      <c r="C9" s="4"/>
      <c r="D9" s="197"/>
      <c r="E9" s="197"/>
      <c r="F9" s="179"/>
      <c r="G9" s="2"/>
      <c r="H9" s="188"/>
      <c r="I9" s="189"/>
      <c r="J9" s="190"/>
      <c r="K9" s="174"/>
      <c r="L9" s="163" t="s">
        <v>30</v>
      </c>
      <c r="M9" s="163" t="s">
        <v>31</v>
      </c>
      <c r="N9" s="163" t="s">
        <v>32</v>
      </c>
      <c r="O9" s="194"/>
      <c r="P9" s="2"/>
      <c r="Q9" s="176"/>
      <c r="R9" s="2"/>
      <c r="S9" s="176"/>
      <c r="T9" s="2"/>
      <c r="U9" s="176"/>
      <c r="V9" s="199"/>
      <c r="W9" s="2"/>
      <c r="X9" s="176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64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64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2152.5868566999998</v>
      </c>
    </row>
    <row r="23" spans="1:24" ht="32.25" customHeight="1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9">
        <f t="shared" si="4"/>
        <v>1372.9980000001021</v>
      </c>
      <c r="I23" s="170"/>
      <c r="J23" s="170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2460.0992648000001</v>
      </c>
    </row>
    <row r="24" spans="1:24" ht="32.25" customHeight="1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9">
        <f t="shared" si="4"/>
        <v>1048.6469999998976</v>
      </c>
      <c r="I24" s="170"/>
      <c r="J24" s="170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1845.0744485999999</v>
      </c>
    </row>
    <row r="25" spans="1:24" ht="32.25" customHeight="1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9">
        <f t="shared" si="4"/>
        <v>758.57700000002546</v>
      </c>
      <c r="I25" s="170"/>
      <c r="J25" s="170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2767.6116728999996</v>
      </c>
    </row>
    <row r="26" spans="1:24" ht="32.25" customHeight="1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9">
        <f t="shared" si="4"/>
        <v>748.02900000005104</v>
      </c>
      <c r="I26" s="170"/>
      <c r="J26" s="170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3075.1240809999999</v>
      </c>
    </row>
    <row r="27" spans="1:24" ht="32.25" customHeight="1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9">
        <f t="shared" si="4"/>
        <v>974.81099999994876</v>
      </c>
      <c r="I27" s="170"/>
      <c r="J27" s="170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3382.6364890999998</v>
      </c>
    </row>
    <row r="28" spans="1:24" ht="32.25" customHeight="1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9">
        <f t="shared" si="4"/>
        <v>798.13200000002553</v>
      </c>
      <c r="I28" s="170"/>
      <c r="J28" s="170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2152.5868566999998</v>
      </c>
    </row>
    <row r="29" spans="1:24" ht="32.25" customHeight="1">
      <c r="A29" s="2"/>
      <c r="B29" s="6">
        <v>44459</v>
      </c>
      <c r="C29" s="7"/>
      <c r="D29" s="143">
        <v>61</v>
      </c>
      <c r="E29" s="143">
        <v>90</v>
      </c>
      <c r="F29" s="13">
        <f>'Suivi EAU-ELEC'!E28</f>
        <v>77</v>
      </c>
      <c r="G29" s="11"/>
      <c r="H29" s="169">
        <f t="shared" si="4"/>
        <v>676.82999999999993</v>
      </c>
      <c r="I29" s="170"/>
      <c r="J29" s="170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2767.6116728999996</v>
      </c>
    </row>
    <row r="30" spans="1:24" ht="32.25" customHeight="1">
      <c r="A30" s="2"/>
      <c r="B30" s="6">
        <v>44460</v>
      </c>
      <c r="C30" s="7"/>
      <c r="D30" s="143"/>
      <c r="E30" s="143"/>
      <c r="F30" s="13">
        <f>'Suivi EAU-ELEC'!E29</f>
        <v>118.89999999999418</v>
      </c>
      <c r="G30" s="11"/>
      <c r="H30" s="169">
        <f t="shared" si="4"/>
        <v>1045.1309999999487</v>
      </c>
      <c r="I30" s="170"/>
      <c r="J30" s="170"/>
      <c r="K30" s="60">
        <v>42298</v>
      </c>
      <c r="L30" s="90">
        <f>'Suivi EAU-ELEC'!G29</f>
        <v>3613</v>
      </c>
      <c r="M30" s="91">
        <f>'Suivi EAU-ELEC'!I29</f>
        <v>7663</v>
      </c>
      <c r="N30" s="91">
        <f>'Suivi EAU-ELEC'!K29</f>
        <v>2885</v>
      </c>
      <c r="O30" s="91">
        <f>L30+M30+N30</f>
        <v>14161</v>
      </c>
      <c r="P30" s="11"/>
      <c r="Q30" s="34">
        <f>L30*0.6985+M30*0.9514+N30*1.3304</f>
        <v>13652.4627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44461</v>
      </c>
      <c r="C31" s="7"/>
      <c r="D31" s="143"/>
      <c r="E31" s="143"/>
      <c r="F31" s="13">
        <f>'Suivi EAU-ELEC'!E30</f>
        <v>0</v>
      </c>
      <c r="G31" s="11"/>
      <c r="H31" s="169">
        <f t="shared" si="4"/>
        <v>0</v>
      </c>
      <c r="I31" s="170"/>
      <c r="J31" s="170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44462</v>
      </c>
      <c r="C32" s="7"/>
      <c r="D32" s="143"/>
      <c r="E32" s="143"/>
      <c r="F32" s="13">
        <f>'Suivi EAU-ELEC'!E31</f>
        <v>0</v>
      </c>
      <c r="G32" s="11"/>
      <c r="H32" s="169">
        <f t="shared" si="4"/>
        <v>0</v>
      </c>
      <c r="I32" s="170"/>
      <c r="J32" s="170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0</v>
      </c>
      <c r="G33" s="11"/>
      <c r="H33" s="169">
        <f t="shared" si="4"/>
        <v>0</v>
      </c>
      <c r="I33" s="170"/>
      <c r="J33" s="170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1470</v>
      </c>
      <c r="E40" s="8">
        <f>SUM(E10:E39)</f>
        <v>2327</v>
      </c>
      <c r="F40" s="152">
        <f>SUM(F10:F39)</f>
        <v>2201.5</v>
      </c>
      <c r="G40" s="1"/>
      <c r="H40" s="250">
        <f>SUM(H10:H39)</f>
        <v>19351.184999999998</v>
      </c>
      <c r="I40" s="251"/>
      <c r="J40" s="252"/>
      <c r="K40" s="1"/>
      <c r="L40" s="53">
        <f>SUM(L10:L39)</f>
        <v>80999</v>
      </c>
      <c r="M40" s="53">
        <f>SUM(M10:M39)</f>
        <v>172429</v>
      </c>
      <c r="N40" s="54">
        <f>SUM(N10:N39)</f>
        <v>61490</v>
      </c>
      <c r="O40" s="55">
        <f>SUM(O10:O39)</f>
        <v>314918</v>
      </c>
      <c r="P40" s="31"/>
      <c r="Q40" s="32">
        <f>SUM(Q10:Q39)</f>
        <v>302628.61689999996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4583.0970500000003</v>
      </c>
      <c r="W40" s="31"/>
      <c r="X40" s="32">
        <f>SUM(X10:X39)</f>
        <v>44043.562650499996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4"/>
      <c r="M41" s="164"/>
      <c r="N41" s="164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5" t="s">
        <v>33</v>
      </c>
      <c r="B42" s="206"/>
      <c r="C42" s="206"/>
      <c r="D42" s="206"/>
      <c r="E42" s="206"/>
      <c r="F42" s="207"/>
      <c r="G42" s="26"/>
      <c r="H42" s="27" t="s">
        <v>34</v>
      </c>
      <c r="I42" s="244" t="s">
        <v>35</v>
      </c>
      <c r="J42" s="245"/>
      <c r="K42" s="246"/>
      <c r="L42" s="219" t="s">
        <v>36</v>
      </c>
      <c r="M42" s="220"/>
      <c r="N42" s="205" t="s">
        <v>37</v>
      </c>
      <c r="O42" s="206"/>
      <c r="P42" s="206"/>
      <c r="Q42" s="206"/>
      <c r="R42" s="206"/>
      <c r="S42" s="206"/>
      <c r="T42" s="206"/>
      <c r="U42" s="206"/>
      <c r="V42" s="206"/>
      <c r="W42" s="206"/>
      <c r="X42" s="207"/>
    </row>
    <row r="43" spans="1:24" s="18" customFormat="1" ht="29.25" customHeight="1" thickBot="1">
      <c r="A43" s="213" t="s">
        <v>38</v>
      </c>
      <c r="B43" s="214"/>
      <c r="C43" s="215"/>
      <c r="D43" s="160" t="s">
        <v>30</v>
      </c>
      <c r="E43" s="160" t="s">
        <v>30</v>
      </c>
      <c r="F43" s="160" t="s">
        <v>30</v>
      </c>
      <c r="G43" s="16"/>
      <c r="H43" s="17">
        <v>0.69850000000000001</v>
      </c>
      <c r="I43" s="210">
        <f>L40</f>
        <v>80999</v>
      </c>
      <c r="J43" s="211"/>
      <c r="K43" s="212"/>
      <c r="L43" s="171">
        <f>I43*H43</f>
        <v>56577.801500000001</v>
      </c>
      <c r="M43" s="172"/>
      <c r="N43" s="228">
        <f>L43+L44+L45</f>
        <v>302433.04810000001</v>
      </c>
      <c r="O43" s="229"/>
      <c r="P43" s="229"/>
      <c r="Q43" s="229"/>
      <c r="R43" s="229"/>
      <c r="S43" s="229"/>
      <c r="T43" s="229"/>
      <c r="U43" s="229"/>
      <c r="V43" s="229"/>
      <c r="W43" s="229"/>
      <c r="X43" s="230"/>
    </row>
    <row r="44" spans="1:24" s="18" customFormat="1" ht="29.25" customHeight="1" thickBot="1">
      <c r="A44" s="216"/>
      <c r="B44" s="217"/>
      <c r="C44" s="218"/>
      <c r="D44" s="159" t="s">
        <v>31</v>
      </c>
      <c r="E44" s="159" t="s">
        <v>31</v>
      </c>
      <c r="F44" s="159" t="s">
        <v>31</v>
      </c>
      <c r="G44" s="16"/>
      <c r="H44" s="19">
        <v>0.95140000000000002</v>
      </c>
      <c r="I44" s="210">
        <f>M40</f>
        <v>172429</v>
      </c>
      <c r="J44" s="211"/>
      <c r="K44" s="212"/>
      <c r="L44" s="171">
        <f>I44*H44</f>
        <v>164048.95060000001</v>
      </c>
      <c r="M44" s="172"/>
      <c r="N44" s="231"/>
      <c r="O44" s="232"/>
      <c r="P44" s="232"/>
      <c r="Q44" s="232"/>
      <c r="R44" s="232"/>
      <c r="S44" s="232"/>
      <c r="T44" s="232"/>
      <c r="U44" s="232"/>
      <c r="V44" s="232"/>
      <c r="W44" s="232"/>
      <c r="X44" s="233"/>
    </row>
    <row r="45" spans="1:24" s="18" customFormat="1" ht="24.75" customHeight="1" thickBot="1">
      <c r="A45" s="216"/>
      <c r="B45" s="217"/>
      <c r="C45" s="218"/>
      <c r="D45" s="156" t="s">
        <v>32</v>
      </c>
      <c r="E45" s="156" t="s">
        <v>32</v>
      </c>
      <c r="F45" s="156" t="s">
        <v>32</v>
      </c>
      <c r="G45" s="20"/>
      <c r="H45" s="20">
        <v>1.3304</v>
      </c>
      <c r="I45" s="241">
        <f>N40</f>
        <v>61490</v>
      </c>
      <c r="J45" s="242"/>
      <c r="K45" s="243"/>
      <c r="L45" s="171">
        <f>I45*H45</f>
        <v>81806.296000000002</v>
      </c>
      <c r="M45" s="172"/>
      <c r="N45" s="234"/>
      <c r="O45" s="235"/>
      <c r="P45" s="235"/>
      <c r="Q45" s="235"/>
      <c r="R45" s="235"/>
      <c r="S45" s="235"/>
      <c r="T45" s="235"/>
      <c r="U45" s="235"/>
      <c r="V45" s="235"/>
      <c r="W45" s="235"/>
      <c r="X45" s="236"/>
    </row>
    <row r="46" spans="1:24" s="18" customFormat="1" ht="43.5" customHeight="1" thickBot="1">
      <c r="A46" s="161"/>
      <c r="B46" s="162"/>
      <c r="C46" s="162"/>
      <c r="D46" s="156"/>
      <c r="E46" s="156"/>
      <c r="F46" s="156"/>
      <c r="G46" s="16"/>
      <c r="H46" s="16"/>
      <c r="I46" s="154"/>
      <c r="J46" s="155"/>
      <c r="K46" s="156"/>
      <c r="L46" s="157"/>
      <c r="M46" s="158"/>
      <c r="N46" s="247">
        <f>N43*1.3</f>
        <v>393162.96253000002</v>
      </c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23" customFormat="1" ht="32.25" customHeight="1" thickBot="1">
      <c r="A47" s="202" t="s">
        <v>39</v>
      </c>
      <c r="B47" s="203"/>
      <c r="C47" s="203"/>
      <c r="D47" s="203"/>
      <c r="E47" s="203"/>
      <c r="F47" s="204"/>
      <c r="G47" s="21"/>
      <c r="H47" s="22">
        <v>8.7899999999999991</v>
      </c>
      <c r="I47" s="202">
        <f>F40</f>
        <v>2201.5</v>
      </c>
      <c r="J47" s="203"/>
      <c r="K47" s="204"/>
      <c r="L47" s="208">
        <f>I47*H47</f>
        <v>19351.184999999998</v>
      </c>
      <c r="M47" s="209"/>
      <c r="N47" s="225">
        <f>L47</f>
        <v>19351.184999999998</v>
      </c>
      <c r="O47" s="226"/>
      <c r="P47" s="226"/>
      <c r="Q47" s="226"/>
      <c r="R47" s="226"/>
      <c r="S47" s="226"/>
      <c r="T47" s="226"/>
      <c r="U47" s="226"/>
      <c r="V47" s="226"/>
      <c r="W47" s="226"/>
      <c r="X47" s="227"/>
    </row>
    <row r="48" spans="1:24" s="23" customFormat="1" ht="36.75" customHeight="1">
      <c r="A48" s="237" t="s">
        <v>40</v>
      </c>
      <c r="B48" s="238"/>
      <c r="C48" s="238"/>
      <c r="D48" s="238"/>
      <c r="E48" s="238"/>
      <c r="F48" s="239"/>
      <c r="G48" s="24"/>
      <c r="H48" s="25">
        <v>9.61</v>
      </c>
      <c r="I48" s="200">
        <f>V40</f>
        <v>4583.0970500000003</v>
      </c>
      <c r="J48" s="240"/>
      <c r="K48" s="201"/>
      <c r="L48" s="200">
        <f>I48*H48</f>
        <v>44043.562650500004</v>
      </c>
      <c r="M48" s="201"/>
      <c r="N48" s="222">
        <f>L48</f>
        <v>44043.562650500004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</row>
    <row r="54" spans="1:24" ht="39" customHeight="1">
      <c r="A54" s="153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</row>
    <row r="55" spans="1:24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5" activePane="bottomRight" state="frozen"/>
      <selection pane="bottomRight" activeCell="K28" sqref="K28:K2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>
        <v>2560</v>
      </c>
      <c r="C22" s="115">
        <f>B22-B21</f>
        <v>0</v>
      </c>
      <c r="D22" s="57">
        <v>122660.6</v>
      </c>
      <c r="E22" s="50">
        <f>D22-D21</f>
        <v>156.20000000001164</v>
      </c>
      <c r="F22" s="51">
        <v>10976806</v>
      </c>
      <c r="G22" s="50">
        <f>F22-F21</f>
        <v>3972</v>
      </c>
      <c r="H22" s="51">
        <v>18674878</v>
      </c>
      <c r="I22" s="50">
        <f>H22-H21</f>
        <v>8403</v>
      </c>
      <c r="J22" s="51">
        <v>8203166</v>
      </c>
      <c r="K22" s="50">
        <f>J22-J21</f>
        <v>2880</v>
      </c>
    </row>
    <row r="23" spans="1:29" ht="19.5">
      <c r="A23" s="59">
        <v>44454</v>
      </c>
      <c r="B23" s="116">
        <v>2560</v>
      </c>
      <c r="C23" s="115">
        <f>B23-B22</f>
        <v>0</v>
      </c>
      <c r="D23" s="57">
        <v>122779.9</v>
      </c>
      <c r="E23" s="50">
        <f>D23-D22</f>
        <v>119.29999999998836</v>
      </c>
      <c r="F23" s="51">
        <v>10980855</v>
      </c>
      <c r="G23" s="50">
        <f>F23-F22</f>
        <v>4049</v>
      </c>
      <c r="H23" s="51">
        <v>18683055</v>
      </c>
      <c r="I23" s="50">
        <f>H23-H22</f>
        <v>8177</v>
      </c>
      <c r="J23" s="51">
        <v>8206426</v>
      </c>
      <c r="K23" s="50">
        <f>J23-J22</f>
        <v>3260</v>
      </c>
    </row>
    <row r="24" spans="1:29" ht="19.5">
      <c r="A24" s="59">
        <v>44455</v>
      </c>
      <c r="B24" s="116">
        <v>2560</v>
      </c>
      <c r="C24" s="115">
        <f>B24-B23</f>
        <v>0</v>
      </c>
      <c r="D24" s="57">
        <v>122866.2</v>
      </c>
      <c r="E24" s="50">
        <f>D24-D23</f>
        <v>86.30000000000291</v>
      </c>
      <c r="F24" s="51">
        <v>10984636</v>
      </c>
      <c r="G24" s="50">
        <f>F24-F23</f>
        <v>3781</v>
      </c>
      <c r="H24" s="51">
        <v>18691094</v>
      </c>
      <c r="I24" s="50">
        <f>H24-H23</f>
        <v>8039</v>
      </c>
      <c r="J24" s="51">
        <v>8209540</v>
      </c>
      <c r="K24" s="50">
        <f>J24-J23</f>
        <v>3114</v>
      </c>
    </row>
    <row r="25" spans="1:29" ht="19.5">
      <c r="A25" s="59">
        <v>44456</v>
      </c>
      <c r="B25" s="116">
        <v>2560</v>
      </c>
      <c r="C25" s="115">
        <f>B25-B24</f>
        <v>0</v>
      </c>
      <c r="D25" s="57">
        <v>122951.3</v>
      </c>
      <c r="E25" s="50">
        <f>D25-D24</f>
        <v>85.100000000005821</v>
      </c>
      <c r="F25" s="51">
        <v>10988204</v>
      </c>
      <c r="G25" s="50">
        <f>F25-F24</f>
        <v>3568</v>
      </c>
      <c r="H25" s="51">
        <v>18699429</v>
      </c>
      <c r="I25" s="50">
        <f>H25-H24</f>
        <v>8335</v>
      </c>
      <c r="J25" s="51">
        <v>8212505</v>
      </c>
      <c r="K25" s="50">
        <f>J25-J24</f>
        <v>2965</v>
      </c>
    </row>
    <row r="26" spans="1:29" ht="19.5">
      <c r="A26" s="59">
        <v>44457</v>
      </c>
      <c r="B26" s="116">
        <v>2560</v>
      </c>
      <c r="C26" s="115">
        <f>B26-B25</f>
        <v>0</v>
      </c>
      <c r="D26" s="57">
        <v>123062.2</v>
      </c>
      <c r="E26" s="50">
        <f>D26-D25</f>
        <v>110.89999999999418</v>
      </c>
      <c r="F26" s="51">
        <v>10992281</v>
      </c>
      <c r="G26" s="50">
        <f>F26-F25</f>
        <v>4077</v>
      </c>
      <c r="H26" s="51">
        <v>18707527</v>
      </c>
      <c r="I26" s="50">
        <f>H26-H25</f>
        <v>8098</v>
      </c>
      <c r="J26" s="51">
        <v>8215708</v>
      </c>
      <c r="K26" s="50">
        <f>J26-J25</f>
        <v>3203</v>
      </c>
    </row>
    <row r="27" spans="1:29" ht="19.5">
      <c r="A27" s="59">
        <v>44458</v>
      </c>
      <c r="B27" s="116">
        <v>2560</v>
      </c>
      <c r="C27" s="115">
        <f t="shared" ref="C11:D40" si="0">B27-B26</f>
        <v>0</v>
      </c>
      <c r="D27" s="57">
        <v>123153</v>
      </c>
      <c r="E27" s="50">
        <f t="shared" ref="E11:E40" si="1">D27-D26</f>
        <v>90.80000000000291</v>
      </c>
      <c r="F27" s="51">
        <v>10996388</v>
      </c>
      <c r="G27" s="50">
        <f t="shared" ref="G11:G40" si="2">F27-F26</f>
        <v>4107</v>
      </c>
      <c r="H27" s="51">
        <v>18715470</v>
      </c>
      <c r="I27" s="50">
        <f t="shared" ref="I11:I40" si="3">H27-H26</f>
        <v>7943</v>
      </c>
      <c r="J27" s="51">
        <v>8218363</v>
      </c>
      <c r="K27" s="50">
        <f t="shared" ref="K11:K40" si="4">J27-J26</f>
        <v>2655</v>
      </c>
    </row>
    <row r="28" spans="1:29" ht="19.5">
      <c r="A28" s="59">
        <v>44459</v>
      </c>
      <c r="B28" s="116">
        <v>2560</v>
      </c>
      <c r="C28" s="115">
        <f t="shared" si="0"/>
        <v>0</v>
      </c>
      <c r="D28" s="57">
        <v>123230</v>
      </c>
      <c r="E28" s="50">
        <f t="shared" si="1"/>
        <v>77</v>
      </c>
      <c r="F28" s="51">
        <v>10999949</v>
      </c>
      <c r="G28" s="50">
        <f t="shared" si="2"/>
        <v>3561</v>
      </c>
      <c r="H28" s="51">
        <v>18722896</v>
      </c>
      <c r="I28" s="50">
        <f t="shared" si="3"/>
        <v>7426</v>
      </c>
      <c r="J28" s="51">
        <v>8220833</v>
      </c>
      <c r="K28" s="50">
        <f t="shared" si="4"/>
        <v>2470</v>
      </c>
    </row>
    <row r="29" spans="1:29" ht="19.5">
      <c r="A29" s="59">
        <v>44460</v>
      </c>
      <c r="B29" s="116">
        <v>2560</v>
      </c>
      <c r="C29" s="115">
        <f t="shared" si="0"/>
        <v>0</v>
      </c>
      <c r="D29" s="57">
        <v>123348.9</v>
      </c>
      <c r="E29" s="50">
        <f t="shared" si="1"/>
        <v>118.89999999999418</v>
      </c>
      <c r="F29" s="51">
        <v>11003562</v>
      </c>
      <c r="G29" s="50">
        <f t="shared" si="2"/>
        <v>3613</v>
      </c>
      <c r="H29" s="51">
        <v>18730559</v>
      </c>
      <c r="I29" s="50">
        <f t="shared" si="3"/>
        <v>7663</v>
      </c>
      <c r="J29" s="51">
        <v>8223718</v>
      </c>
      <c r="K29" s="50">
        <f t="shared" si="4"/>
        <v>2885</v>
      </c>
    </row>
    <row r="30" spans="1:29" ht="19.5">
      <c r="A30" s="59">
        <v>44461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44462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44463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44464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7" activePane="bottomRight" state="frozen"/>
      <selection pane="bottomRight" activeCell="I24" sqref="I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1"/>
        <v>1</v>
      </c>
      <c r="J16" s="39">
        <f t="shared" si="12"/>
        <v>302</v>
      </c>
      <c r="K16" s="39">
        <f t="shared" si="13"/>
        <v>75.5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2152.5868566999998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1"/>
        <v>1</v>
      </c>
      <c r="J17" s="39">
        <f t="shared" si="12"/>
        <v>295</v>
      </c>
      <c r="K17" s="39">
        <f t="shared" si="13"/>
        <v>73.75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2460.0992648000001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1"/>
        <v>2</v>
      </c>
      <c r="J18" s="39">
        <f t="shared" si="12"/>
        <v>287</v>
      </c>
      <c r="K18" s="39">
        <f t="shared" si="13"/>
        <v>71.75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1845.0744485999999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1"/>
        <v>2</v>
      </c>
      <c r="J19" s="39">
        <f t="shared" si="12"/>
        <v>281</v>
      </c>
      <c r="K19" s="39">
        <f t="shared" si="13"/>
        <v>70.25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2767.6116728999996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1"/>
        <v>3</v>
      </c>
      <c r="J20" s="39">
        <f t="shared" si="12"/>
        <v>272</v>
      </c>
      <c r="K20" s="39">
        <f t="shared" si="13"/>
        <v>68</v>
      </c>
      <c r="L20" s="39">
        <f t="shared" ref="L20:L42" si="18">IF(AC20&gt;0,((K20-AD20)+(AE20-K21)),IF(K21=0, ,(K20-K21)))</f>
        <v>2.5</v>
      </c>
      <c r="M20" s="149">
        <f t="shared" si="17"/>
        <v>24196</v>
      </c>
      <c r="N20" s="39">
        <f t="shared" si="15"/>
        <v>604.9</v>
      </c>
      <c r="O20" s="39">
        <f t="shared" si="16"/>
        <v>319.99209999999999</v>
      </c>
      <c r="P20" s="42">
        <f t="shared" si="10"/>
        <v>3075.1240809999999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1"/>
        <v>2</v>
      </c>
      <c r="J21" s="39">
        <f t="shared" si="12"/>
        <v>262</v>
      </c>
      <c r="K21" s="39">
        <f t="shared" si="13"/>
        <v>65.5</v>
      </c>
      <c r="L21" s="39">
        <f>IF(AC21&gt;0,((K21-AD21)+(AE21-K22)),IF(K22=0, ,(K21-K22)))</f>
        <v>2.75</v>
      </c>
      <c r="M21" s="149">
        <f t="shared" si="17"/>
        <v>24196</v>
      </c>
      <c r="N21" s="39">
        <f t="shared" si="15"/>
        <v>665.39</v>
      </c>
      <c r="O21" s="39">
        <f t="shared" si="16"/>
        <v>351.99131</v>
      </c>
      <c r="P21" s="42">
        <f t="shared" si="10"/>
        <v>3382.6364890999998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1"/>
        <v>4</v>
      </c>
      <c r="J22" s="39">
        <f t="shared" si="12"/>
        <v>251</v>
      </c>
      <c r="K22" s="39">
        <f t="shared" si="13"/>
        <v>62.75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2152.5868566999998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>
        <v>60</v>
      </c>
      <c r="C23" s="39">
        <f t="shared" si="6"/>
        <v>2</v>
      </c>
      <c r="D23" s="41">
        <v>60</v>
      </c>
      <c r="E23" s="39">
        <f t="shared" si="7"/>
        <v>3</v>
      </c>
      <c r="F23" s="41">
        <v>64</v>
      </c>
      <c r="G23" s="39">
        <f t="shared" si="8"/>
        <v>4</v>
      </c>
      <c r="H23" s="41">
        <v>60</v>
      </c>
      <c r="I23" s="39">
        <f t="shared" si="11"/>
        <v>0</v>
      </c>
      <c r="J23" s="39">
        <f t="shared" si="12"/>
        <v>244</v>
      </c>
      <c r="K23" s="39">
        <f t="shared" si="13"/>
        <v>61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2767.6116728999996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>
        <v>58</v>
      </c>
      <c r="C24" s="39">
        <f t="shared" si="6"/>
        <v>0</v>
      </c>
      <c r="D24" s="41">
        <v>57</v>
      </c>
      <c r="E24" s="39">
        <f t="shared" si="7"/>
        <v>0</v>
      </c>
      <c r="F24" s="41">
        <v>60</v>
      </c>
      <c r="G24" s="39">
        <f t="shared" si="8"/>
        <v>0</v>
      </c>
      <c r="H24" s="41">
        <v>60</v>
      </c>
      <c r="I24" s="39">
        <f t="shared" si="11"/>
        <v>0</v>
      </c>
      <c r="J24" s="39">
        <f t="shared" si="12"/>
        <v>235</v>
      </c>
      <c r="K24" s="39">
        <f t="shared" si="13"/>
        <v>58.75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44462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8661.4499999999989</v>
      </c>
      <c r="O43" s="39">
        <f>N43*0.529</f>
        <v>4581.9070499999998</v>
      </c>
      <c r="P43" s="42">
        <f>O43*9.61</f>
        <v>44032.126750499992</v>
      </c>
      <c r="Q43" s="287">
        <f>SUM(Q4:Q42)</f>
        <v>2869</v>
      </c>
      <c r="R43" s="288"/>
      <c r="S43" s="289"/>
      <c r="T43" s="290">
        <f>SUM(T4:T42)</f>
        <v>2820</v>
      </c>
      <c r="U43" s="288"/>
      <c r="V43" s="289"/>
      <c r="W43" s="290">
        <f>SUM(W4:W42)</f>
        <v>2540</v>
      </c>
      <c r="X43" s="288"/>
      <c r="Y43" s="289"/>
      <c r="Z43" s="290">
        <f>SUM(Z4:Z42)</f>
        <v>2708</v>
      </c>
      <c r="AA43" s="288"/>
      <c r="AB43" s="289"/>
      <c r="AC43" s="39">
        <f t="shared" si="20"/>
        <v>10937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10937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10937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8661.4499999999989</v>
      </c>
      <c r="L47" s="46">
        <f>O43</f>
        <v>4581.9070499999998</v>
      </c>
      <c r="M47" s="46">
        <f>P43</f>
        <v>44032.126750499992</v>
      </c>
    </row>
    <row r="48" spans="1:31" ht="54.75" customHeight="1" thickBot="1">
      <c r="H48" s="283" t="s">
        <v>86</v>
      </c>
      <c r="I48" s="284"/>
      <c r="J48" s="285"/>
      <c r="K48" s="43">
        <f>AC44</f>
        <v>10937</v>
      </c>
      <c r="L48" s="44">
        <f>K48*0.529</f>
        <v>5785.6730000000007</v>
      </c>
      <c r="M48" s="44">
        <f>L48*9.61</f>
        <v>55600.31753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/>
    <row r="7" spans="1:10" ht="36.75" thickTop="1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>
      <c r="A8" s="325">
        <v>95670781</v>
      </c>
      <c r="B8" s="325"/>
      <c r="C8" s="326">
        <v>44405</v>
      </c>
      <c r="D8" s="327"/>
      <c r="E8" s="113">
        <v>44436</v>
      </c>
      <c r="F8" s="167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1106</v>
      </c>
      <c r="H12" s="337"/>
      <c r="I12" s="338"/>
      <c r="J12" s="338"/>
    </row>
    <row r="13" spans="1:10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>
      <c r="A17" s="341" t="s">
        <v>110</v>
      </c>
      <c r="B17" s="342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43"/>
      <c r="H17" s="344"/>
      <c r="I17" s="343">
        <f>+E17</f>
        <v>256728</v>
      </c>
      <c r="J17" s="344"/>
    </row>
    <row r="18" spans="1:10">
      <c r="A18" s="341" t="s">
        <v>111</v>
      </c>
      <c r="B18" s="342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43"/>
      <c r="H18" s="344"/>
      <c r="I18" s="343">
        <f>+E18</f>
        <v>118534</v>
      </c>
      <c r="J18" s="344"/>
    </row>
    <row r="19" spans="1:10">
      <c r="A19" s="341" t="s">
        <v>112</v>
      </c>
      <c r="B19" s="342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43"/>
      <c r="H19" s="344"/>
      <c r="I19" s="343">
        <f>+E19</f>
        <v>94847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470109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6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65">
        <f>SUM(H25,F25)</f>
        <v>278446.16188800003</v>
      </c>
      <c r="J25" s="366"/>
    </row>
    <row r="26" spans="1:10" ht="15">
      <c r="A26" s="367" t="s">
        <v>124</v>
      </c>
      <c r="B26" s="368"/>
      <c r="C26" s="369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65">
        <f t="shared" ref="I26:I31" si="0">SUM(H26,F26)</f>
        <v>94387.438859999995</v>
      </c>
      <c r="J26" s="366"/>
    </row>
    <row r="27" spans="1:10" ht="15">
      <c r="A27" s="367" t="s">
        <v>125</v>
      </c>
      <c r="B27" s="368"/>
      <c r="C27" s="369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65">
        <f>SUM(H27,F27)</f>
        <v>143850.27163199999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81">
        <f t="shared" si="0"/>
        <v>7953.9915042000011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506423.32253</v>
      </c>
      <c r="G32" s="85"/>
      <c r="H32" s="86"/>
      <c r="I32" s="377">
        <f>SUM(I25:J31)</f>
        <v>577268.60768419993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/>
    <row r="7" spans="1:10" ht="36.75" thickTop="1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>
      <c r="A8" s="325">
        <v>95670781</v>
      </c>
      <c r="B8" s="325"/>
      <c r="C8" s="326">
        <v>44293</v>
      </c>
      <c r="D8" s="327"/>
      <c r="E8" s="113">
        <v>44323</v>
      </c>
      <c r="F8" s="167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712</v>
      </c>
      <c r="H12" s="337"/>
      <c r="I12" s="338"/>
      <c r="J12" s="338"/>
    </row>
    <row r="13" spans="1:10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>
      <c r="A17" s="341" t="s">
        <v>110</v>
      </c>
      <c r="B17" s="342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3"/>
      <c r="H17" s="344"/>
      <c r="I17" s="343">
        <f>+E17</f>
        <v>7632</v>
      </c>
      <c r="J17" s="344"/>
    </row>
    <row r="18" spans="1:10">
      <c r="A18" s="341" t="s">
        <v>111</v>
      </c>
      <c r="B18" s="342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3"/>
      <c r="H18" s="344"/>
      <c r="I18" s="343">
        <f>+E18</f>
        <v>3388</v>
      </c>
      <c r="J18" s="344"/>
    </row>
    <row r="19" spans="1:10">
      <c r="A19" s="341" t="s">
        <v>112</v>
      </c>
      <c r="B19" s="342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3"/>
      <c r="H19" s="344"/>
      <c r="I19" s="343">
        <f>+E19</f>
        <v>2677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13697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49"/>
      <c r="H21" s="349"/>
    </row>
    <row r="22" spans="1:10" ht="13.5" thickBot="1">
      <c r="G22" s="350"/>
      <c r="H22" s="350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>
      <c r="A24" s="354"/>
      <c r="B24" s="355"/>
      <c r="C24" s="356"/>
      <c r="D24" s="357"/>
      <c r="E24" s="357"/>
      <c r="F24" s="359"/>
      <c r="G24" s="166" t="s">
        <v>121</v>
      </c>
      <c r="H24" s="71" t="s">
        <v>122</v>
      </c>
      <c r="I24" s="361"/>
      <c r="J24" s="361"/>
    </row>
    <row r="25" spans="1:10" ht="15">
      <c r="A25" s="362" t="s">
        <v>123</v>
      </c>
      <c r="B25" s="363"/>
      <c r="C25" s="364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65">
        <f>SUM(H25,F25)</f>
        <v>8277.6366720000005</v>
      </c>
      <c r="J25" s="366"/>
    </row>
    <row r="26" spans="1:10" ht="15">
      <c r="A26" s="367" t="s">
        <v>124</v>
      </c>
      <c r="B26" s="368"/>
      <c r="C26" s="369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5">
        <f t="shared" ref="I26:I31" si="0">SUM(H26,F26)</f>
        <v>2697.83052</v>
      </c>
      <c r="J26" s="366"/>
    </row>
    <row r="27" spans="1:10" ht="15">
      <c r="A27" s="367" t="s">
        <v>125</v>
      </c>
      <c r="B27" s="368"/>
      <c r="C27" s="369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5">
        <f>SUM(H27,F27)</f>
        <v>4060.0881120000004</v>
      </c>
      <c r="J27" s="366"/>
    </row>
    <row r="28" spans="1:10" ht="1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>
      <c r="A29" s="378" t="s">
        <v>127</v>
      </c>
      <c r="B29" s="379"/>
      <c r="C29" s="380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>
      <c r="A32" s="373" t="s">
        <v>130</v>
      </c>
      <c r="B32" s="374"/>
      <c r="C32" s="374"/>
      <c r="D32" s="374"/>
      <c r="E32" s="374"/>
      <c r="F32" s="84">
        <f>SUM(F25:F31)</f>
        <v>59403.753599999996</v>
      </c>
      <c r="G32" s="85"/>
      <c r="H32" s="86"/>
      <c r="I32" s="377">
        <f>SUM(I25:J31)</f>
        <v>67666.299104000005</v>
      </c>
      <c r="J32" s="377"/>
    </row>
    <row r="33" spans="1:10" ht="21.75" thickBot="1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132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142</v>
      </c>
      <c r="B13" s="399">
        <f>G8</f>
        <v>3510.1000000000058</v>
      </c>
      <c r="C13" s="399"/>
      <c r="D13" s="399">
        <v>8.7899999999999991</v>
      </c>
      <c r="E13" s="399"/>
      <c r="F13" s="401">
        <f>PRODUCT(D13,B13)</f>
        <v>30853.77900000005</v>
      </c>
      <c r="G13" s="401"/>
      <c r="H13" s="401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3510.1000000000058</v>
      </c>
      <c r="C19" s="399"/>
      <c r="D19" s="399">
        <v>2.61</v>
      </c>
      <c r="E19" s="399"/>
      <c r="F19" s="399">
        <f>PRODUCT(D19,B19)</f>
        <v>9161.3610000000153</v>
      </c>
      <c r="G19" s="399"/>
      <c r="H19" s="399"/>
    </row>
    <row r="20" spans="1:8" ht="18.75">
      <c r="A20" s="415" t="s">
        <v>148</v>
      </c>
      <c r="B20" s="416"/>
      <c r="C20" s="416"/>
      <c r="D20" s="416"/>
      <c r="E20" s="417"/>
      <c r="F20" s="418">
        <f>SUM(F11+F13+F16+F17+F18+F19)</f>
        <v>40038.140000000065</v>
      </c>
      <c r="G20" s="418"/>
      <c r="H20" s="418"/>
    </row>
    <row r="21" spans="1:8" ht="15">
      <c r="A21" s="404" t="s">
        <v>149</v>
      </c>
      <c r="B21" s="405"/>
      <c r="C21" s="405"/>
      <c r="D21" s="405"/>
      <c r="E21" s="406"/>
      <c r="F21" s="399">
        <f>PRODUCT(F20,0.07)</f>
        <v>2802.6698000000047</v>
      </c>
      <c r="G21" s="399"/>
      <c r="H21" s="399"/>
    </row>
    <row r="22" spans="1:8" ht="15">
      <c r="A22" s="419" t="s">
        <v>150</v>
      </c>
      <c r="B22" s="420"/>
      <c r="C22" s="420"/>
      <c r="D22" s="420"/>
      <c r="E22" s="421"/>
      <c r="F22" s="399">
        <v>208.26</v>
      </c>
      <c r="G22" s="399"/>
      <c r="H22" s="399"/>
    </row>
    <row r="23" spans="1:8" ht="15.75">
      <c r="A23" s="404" t="s">
        <v>151</v>
      </c>
      <c r="B23" s="405"/>
      <c r="C23" s="405"/>
      <c r="D23" s="405"/>
      <c r="E23" s="406"/>
      <c r="F23" s="407">
        <f>SUM(F21:H22)</f>
        <v>3010.9298000000044</v>
      </c>
      <c r="G23" s="407"/>
      <c r="H23" s="407"/>
    </row>
    <row r="24" spans="1:8">
      <c r="A24" s="408" t="s">
        <v>152</v>
      </c>
      <c r="B24" s="409"/>
      <c r="C24" s="409"/>
      <c r="D24" s="409"/>
      <c r="E24" s="410"/>
      <c r="F24" s="414">
        <f>SUM(F20,F23)</f>
        <v>43049.06980000007</v>
      </c>
      <c r="G24" s="414"/>
      <c r="H24" s="414"/>
    </row>
    <row r="25" spans="1:8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132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142</v>
      </c>
      <c r="B13" s="399">
        <f>G8</f>
        <v>98</v>
      </c>
      <c r="C13" s="399"/>
      <c r="D13" s="399">
        <v>8.5</v>
      </c>
      <c r="E13" s="399"/>
      <c r="F13" s="401">
        <f>PRODUCT(D13,B13)</f>
        <v>833</v>
      </c>
      <c r="G13" s="401"/>
      <c r="H13" s="401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9">
        <f>G8</f>
        <v>98</v>
      </c>
      <c r="C20" s="399"/>
      <c r="D20" s="399">
        <v>2.54</v>
      </c>
      <c r="E20" s="399"/>
      <c r="F20" s="399">
        <f>PRODUCT(D20,B20)</f>
        <v>248.92000000000002</v>
      </c>
      <c r="G20" s="399"/>
      <c r="H20" s="399"/>
    </row>
    <row r="21" spans="1:8" ht="18.75">
      <c r="A21" s="415" t="s">
        <v>148</v>
      </c>
      <c r="B21" s="416"/>
      <c r="C21" s="416"/>
      <c r="D21" s="416"/>
      <c r="E21" s="417"/>
      <c r="F21" s="418">
        <f>SUM(F11+F13+F16+F17+F18+F20)</f>
        <v>1104.92</v>
      </c>
      <c r="G21" s="418"/>
      <c r="H21" s="418"/>
    </row>
    <row r="22" spans="1:8" ht="15">
      <c r="A22" s="404" t="s">
        <v>149</v>
      </c>
      <c r="B22" s="405"/>
      <c r="C22" s="405"/>
      <c r="D22" s="405"/>
      <c r="E22" s="406"/>
      <c r="F22" s="399">
        <f>PRODUCT(F21,0.07)</f>
        <v>77.344400000000007</v>
      </c>
      <c r="G22" s="399"/>
      <c r="H22" s="399"/>
    </row>
    <row r="23" spans="1:8" ht="15">
      <c r="A23" s="419" t="s">
        <v>150</v>
      </c>
      <c r="B23" s="420"/>
      <c r="C23" s="420"/>
      <c r="D23" s="420"/>
      <c r="E23" s="421"/>
      <c r="F23" s="399">
        <v>208.26</v>
      </c>
      <c r="G23" s="399"/>
      <c r="H23" s="399"/>
    </row>
    <row r="24" spans="1:8" ht="15.75">
      <c r="A24" s="404" t="s">
        <v>151</v>
      </c>
      <c r="B24" s="405"/>
      <c r="C24" s="405"/>
      <c r="D24" s="405"/>
      <c r="E24" s="406"/>
      <c r="F24" s="407">
        <f>SUM(F22:H23)</f>
        <v>285.6044</v>
      </c>
      <c r="G24" s="407"/>
      <c r="H24" s="407"/>
    </row>
    <row r="25" spans="1:8">
      <c r="A25" s="408" t="s">
        <v>152</v>
      </c>
      <c r="B25" s="409"/>
      <c r="C25" s="409"/>
      <c r="D25" s="409"/>
      <c r="E25" s="410"/>
      <c r="F25" s="414">
        <f>SUM(F21,F24)</f>
        <v>1390.5244</v>
      </c>
      <c r="G25" s="414"/>
      <c r="H25" s="414"/>
    </row>
    <row r="26" spans="1:8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3"/>
      <c r="B1" s="302" t="s">
        <v>154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>
      <c r="A2" s="384"/>
      <c r="B2" s="304"/>
      <c r="C2" s="305"/>
      <c r="D2" s="305"/>
      <c r="E2" s="305"/>
      <c r="F2" s="389"/>
      <c r="G2" s="390"/>
      <c r="H2" s="391"/>
    </row>
    <row r="3" spans="1:8" ht="15" customHeight="1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>
      <c r="A4" s="385"/>
      <c r="B4" s="306"/>
      <c r="C4" s="307"/>
      <c r="D4" s="307"/>
      <c r="E4" s="307"/>
      <c r="F4" s="392"/>
      <c r="G4" s="393"/>
      <c r="H4" s="394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5" t="s">
        <v>116</v>
      </c>
      <c r="C10" s="396"/>
      <c r="D10" s="397" t="s">
        <v>138</v>
      </c>
      <c r="E10" s="397"/>
      <c r="F10" s="395" t="s">
        <v>139</v>
      </c>
      <c r="G10" s="398"/>
      <c r="H10" s="396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0" t="s">
        <v>141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155</v>
      </c>
      <c r="B13" s="399">
        <f>G8</f>
        <v>1</v>
      </c>
      <c r="C13" s="399"/>
      <c r="D13" s="399">
        <v>16.48</v>
      </c>
      <c r="E13" s="399"/>
      <c r="F13" s="401">
        <f>PRODUCT(D13,B13)</f>
        <v>16.48</v>
      </c>
      <c r="G13" s="401"/>
      <c r="H13" s="401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1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415" t="s">
        <v>148</v>
      </c>
      <c r="B25" s="416"/>
      <c r="C25" s="416"/>
      <c r="D25" s="416"/>
      <c r="E25" s="417"/>
      <c r="F25" s="424">
        <f>SUM(F11+F13+F20+F21+F22+F23)</f>
        <v>31.48</v>
      </c>
      <c r="G25" s="418"/>
      <c r="H25" s="418"/>
    </row>
    <row r="26" spans="1:8" ht="15">
      <c r="A26" s="404" t="s">
        <v>149</v>
      </c>
      <c r="B26" s="405"/>
      <c r="C26" s="405"/>
      <c r="D26" s="405"/>
      <c r="E26" s="406"/>
      <c r="F26" s="399">
        <v>63.63</v>
      </c>
      <c r="G26" s="399"/>
      <c r="H26" s="399"/>
    </row>
    <row r="27" spans="1:8" ht="15">
      <c r="A27" s="419" t="s">
        <v>150</v>
      </c>
      <c r="B27" s="420"/>
      <c r="C27" s="420"/>
      <c r="D27" s="420"/>
      <c r="E27" s="421"/>
      <c r="F27" s="399">
        <v>2.4300000000000002</v>
      </c>
      <c r="G27" s="399"/>
      <c r="H27" s="399"/>
    </row>
    <row r="28" spans="1:8" ht="15.75">
      <c r="A28" s="404" t="s">
        <v>151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>
      <c r="A29" s="408" t="s">
        <v>152</v>
      </c>
      <c r="B29" s="409"/>
      <c r="C29" s="409"/>
      <c r="D29" s="409"/>
      <c r="E29" s="410"/>
      <c r="F29" s="414">
        <f>SUM(F25,F28)</f>
        <v>97.54</v>
      </c>
      <c r="G29" s="414"/>
      <c r="H29" s="414"/>
    </row>
    <row r="30" spans="1:8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2021-09-21T11:15:25Z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