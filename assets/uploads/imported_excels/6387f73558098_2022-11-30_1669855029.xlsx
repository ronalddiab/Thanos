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3" i="10" l="1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64" i="10" l="1"/>
  <c r="F64" i="10"/>
  <c r="W7" i="4"/>
  <c r="Y3" i="1" l="1"/>
  <c r="T5" i="2" l="1"/>
  <c r="T6" i="2" s="1"/>
  <c r="T27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3" i="2" s="1"/>
  <c r="R24" i="2" s="1"/>
  <c r="R25" i="2" s="1"/>
  <c r="R26" i="2" s="1"/>
  <c r="R27" i="2" s="1"/>
  <c r="R28" i="2" s="1"/>
  <c r="R29" i="2" s="1"/>
  <c r="I2" i="4"/>
  <c r="X2" i="4"/>
  <c r="Z2" i="4"/>
  <c r="AB5" i="1"/>
  <c r="AB7" i="1" s="1"/>
  <c r="AB8" i="1" s="1"/>
  <c r="AB9" i="1" s="1"/>
  <c r="AB10" i="1" s="1"/>
  <c r="AB11" i="1" s="1"/>
  <c r="AB12" i="1" s="1"/>
  <c r="AB14" i="1" s="1"/>
  <c r="AB16" i="1" s="1"/>
  <c r="AB17" i="1" s="1"/>
  <c r="AB24" i="1" s="1"/>
  <c r="S2" i="1"/>
  <c r="P2" i="1"/>
  <c r="M2" i="1"/>
  <c r="J2" i="1"/>
  <c r="G2" i="1"/>
  <c r="D2" i="1"/>
  <c r="J2" i="3"/>
  <c r="K2" i="3" s="1"/>
  <c r="Y2" i="4" l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A21" i="8"/>
  <c r="F3" i="8"/>
  <c r="E3" i="3"/>
  <c r="E33" i="3" s="1"/>
  <c r="Y33" i="1"/>
  <c r="G29" i="9"/>
  <c r="AE33" i="1" l="1"/>
  <c r="J22" i="1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<sst xmlns="http://schemas.openxmlformats.org/spreadsheetml/2006/main" count="510" uniqueCount="150">
  <si>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</si>
  <si>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</si>
  <si>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</si>
  <si>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</si>
  <si>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</si>
  <si>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</si>
  <si>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</si>
  <si>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</si>
  <si>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</si>
  <si>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</si>
  <si>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</si>
  <si>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</si>
  <si>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</si>
  <si>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</si>
  <si>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</si>
  <si>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</si>
  <si>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</si>
  <si>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</si>
  <si>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</si>
  <si>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</si>
  <si>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</si>
  <si>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</si>
  <si>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</si>
  <si>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</si>
  <si>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</si>
  <si>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</si>
  <si>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</si>
  <si>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</si>
  <si>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</si>
  <si>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</si>
  <si>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</si>
  <si>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</si>
  <si>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</si>
  <si>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</si>
  <si>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</si>
  <si>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</si>
  <si>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</si>
  <si>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</si>
  <si>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</si>
  <si>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</si>
  <si>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</si>
  <si>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</si>
  <si>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</si>
  <si>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</si>
  <si>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</si>
  <si>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</si>
  <si>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</si>
  <si>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</si>
  <si>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</si>
  <si>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</si>
  <si>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</si>
  <si>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</si>
  <si>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</si>
  <si>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</si>
  <si>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</si>
  <si>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</si>
  <si>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</si>
  <si>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</si>
  <si>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</si>
  <si>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</si>
  <si>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</si>
  <si>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</si>
  <si>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</si>
  <si>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</si>
  <si>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</si>
  <si>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</si>
  <si>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</si>
  <si>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</si>
  <si>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</si>
  <si>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</si>
  <si>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</si>
  <si>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</si>
  <si>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</si>
  <si>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</si>
  <si>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</si>
  <si>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</si>
  <si>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</si>
  <si>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</si>
  <si>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</si>
  <si>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</si>
  <si>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</si>
  <si>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</si>
  <si>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</si>
  <si>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</si>
  <si>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</si>
  <si>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</si>
  <si>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</si>
  <si>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</si>
  <si>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</si>
  <si>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</si>
  <si>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</si>
  <si>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</si>
  <si>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</si>
  <si>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</si>
  <si>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</si>
  <si>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</si>
  <si>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</si>
  <si>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</si>
  <si>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</si>
  <si>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</si>
  <si>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</si>
  <si>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</si>
  <si>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</si>
  <si>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</si>
  <si>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</si>
  <si>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</si>
  <si>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</si>
  <si>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</si>
  <si>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</si>
  <si>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</si>
  <si>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</si>
  <si>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</si>
  <si>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</si>
  <si>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</si>
  <si>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</si>
  <si>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</si>
  <si>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</si>
  <si>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</si>
  <si>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</si>
  <si>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</si>
  <si>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</si>
  <si>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</si>
  <si>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</si>
  <si>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</si>
  <si>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</si>
  <si>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</si>
  <si>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</si>
  <si>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</si>
  <si>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</si>
  <si>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</si>
  <si>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</si>
  <si>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</si>
  <si>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</si>
  <si>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</si>
  <si>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</si>
  <si>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</si>
  <si>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</si>
  <si>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</si>
  <si>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</si>
  <si>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</si>
  <si>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</si>
  <si>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</si>
  <si>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</si>
  <si>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</si>
  <si>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</si>
  <si>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Aug. 2022</t>
  </si>
  <si>
    <t>Acutal till   Sep. 2022</t>
  </si>
  <si>
    <t>Energy Monthly Statement November 2022</t>
  </si>
  <si>
    <t>Acutal till   Oct 2022</t>
  </si>
  <si>
    <t>Acutal till  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</si>
</sst>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K31" sqref="K3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63010.494948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56702.303847999996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53199.995779999997</v>
      </c>
      <c r="F11" s="126">
        <v>1.27</v>
      </c>
      <c r="G11" s="36">
        <f>Gas!C12*0.9147</f>
        <v>1182.7070999999999</v>
      </c>
      <c r="H11" s="127">
        <v>3.65</v>
      </c>
      <c r="I11" s="129">
        <f>Submetering!H11+Submetering!AD11+Submetering!AE11</f>
        <v>576</v>
      </c>
      <c r="J11" s="129">
        <v>10.029999999999999</v>
      </c>
      <c r="K11" s="36">
        <f>ELECT.!B12</f>
        <v>273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65900.717172000004</v>
      </c>
      <c r="F12" s="126">
        <v>1.27</v>
      </c>
      <c r="G12" s="36">
        <f>Gas!C13*0.9147</f>
        <v>225.93089999999998</v>
      </c>
      <c r="H12" s="127">
        <v>3.65</v>
      </c>
      <c r="I12" s="129">
        <f>Submetering!H12+Submetering!AD12+Submetering!AE12</f>
        <v>576.00000000000011</v>
      </c>
      <c r="J12" s="129">
        <v>10.029999999999999</v>
      </c>
      <c r="K12" s="36">
        <f>ELECT.!B13</f>
        <v>305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62868.755631999993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615.99999999999989</v>
      </c>
      <c r="J13" s="129">
        <v>10.029999999999999</v>
      </c>
      <c r="K13" s="36">
        <f>ELECT.!B14</f>
        <v>265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63271.310008000008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616</v>
      </c>
      <c r="J14" s="129">
        <v>10.029999999999999</v>
      </c>
      <c r="K14" s="36">
        <f>ELECT.!B15</f>
        <v>232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41940.766008000006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566</v>
      </c>
      <c r="J15" s="129">
        <v>10.029999999999999</v>
      </c>
      <c r="K15" s="36">
        <f>ELECT.!B16</f>
        <v>227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70176.075992000013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596</v>
      </c>
      <c r="J16" s="129">
        <v>10.029999999999999</v>
      </c>
      <c r="K16" s="36">
        <f>ELECT.!B17</f>
        <v>168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43757.757236000005</v>
      </c>
      <c r="F17" s="126">
        <v>1.27</v>
      </c>
      <c r="G17" s="36">
        <f>Gas!C18*0.9147</f>
        <v>570.77279999999996</v>
      </c>
      <c r="H17" s="127">
        <v>3.65</v>
      </c>
      <c r="I17" s="129">
        <f>Submetering!H17+Submetering!AD17+Submetering!AE17</f>
        <v>485.99999999999994</v>
      </c>
      <c r="J17" s="129">
        <v>10.029999999999999</v>
      </c>
      <c r="K17" s="36">
        <f>ELECT.!B18</f>
        <v>235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49288.049976000002</v>
      </c>
      <c r="F18" s="126">
        <v>1.27</v>
      </c>
      <c r="G18" s="36">
        <f>Gas!C19*0.9147</f>
        <v>1479.0699</v>
      </c>
      <c r="H18" s="127">
        <v>3.65</v>
      </c>
      <c r="I18" s="129">
        <f>Submetering!H18+Submetering!AD18+Submetering!AE18</f>
        <v>516</v>
      </c>
      <c r="J18" s="129">
        <v>10.029999999999999</v>
      </c>
      <c r="K18" s="36">
        <f>ELECT.!B19</f>
        <v>187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62755.603259999996</v>
      </c>
      <c r="F19" s="126">
        <v>1.27</v>
      </c>
      <c r="G19" s="36">
        <f>Gas!C20*0.9147</f>
        <v>1490.0463</v>
      </c>
      <c r="H19" s="127">
        <v>3.65</v>
      </c>
      <c r="I19" s="129">
        <f>Submetering!H19+Submetering!AD19+Submetering!AE19</f>
        <v>545.99999999999989</v>
      </c>
      <c r="J19" s="129">
        <v>10.029999999999999</v>
      </c>
      <c r="K19" s="36">
        <f>ELECT.!B20</f>
        <v>184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56069.098044000006</v>
      </c>
      <c r="F20" s="126">
        <v>1.27</v>
      </c>
      <c r="G20" s="36">
        <f>Gas!C21*0.9147</f>
        <v>1436.9937</v>
      </c>
      <c r="H20" s="127">
        <v>3.65</v>
      </c>
      <c r="I20" s="129">
        <f>Submetering!H20+Submetering!AD20+Submetering!AE20</f>
        <v>606</v>
      </c>
      <c r="J20" s="129">
        <v>10.029999999999999</v>
      </c>
      <c r="K20" s="36">
        <f>ELECT.!B21</f>
        <v>273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65345.259619999997</v>
      </c>
      <c r="F21" s="126">
        <v>1.27</v>
      </c>
      <c r="G21" s="36">
        <f>Gas!C22*0.9147</f>
        <v>1849.5233999999998</v>
      </c>
      <c r="H21" s="127">
        <v>3.65</v>
      </c>
      <c r="I21" s="129">
        <f>Submetering!H21+Submetering!AD21+Submetering!AE21</f>
        <v>596</v>
      </c>
      <c r="J21" s="129">
        <v>10.029999999999999</v>
      </c>
      <c r="K21" s="36">
        <f>ELECT.!B22</f>
        <v>274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38149.887263999997</v>
      </c>
      <c r="F22" s="126">
        <v>1.27</v>
      </c>
      <c r="G22" s="36">
        <f>Gas!C23*0.9147</f>
        <v>1517.4873</v>
      </c>
      <c r="H22" s="127">
        <v>3.65</v>
      </c>
      <c r="I22" s="129">
        <f>Submetering!H22+Submetering!AD22+Submetering!AE22</f>
        <v>666</v>
      </c>
      <c r="J22" s="129">
        <v>10.029999999999999</v>
      </c>
      <c r="K22" s="36">
        <f>ELECT.!B23</f>
        <v>266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76399.518087999997</v>
      </c>
      <c r="F23" s="126">
        <v>1.27</v>
      </c>
      <c r="G23" s="36">
        <f>Gas!C24*0.9147</f>
        <v>1600.7249999999999</v>
      </c>
      <c r="H23" s="127">
        <v>3.65</v>
      </c>
      <c r="I23" s="129">
        <f>Submetering!H23+Submetering!AD23+Submetering!AE23</f>
        <v>556</v>
      </c>
      <c r="J23" s="129">
        <v>10.029999999999999</v>
      </c>
      <c r="K23" s="36">
        <f>ELECT.!B24</f>
        <v>268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49251.892516</v>
      </c>
      <c r="F24" s="126">
        <v>1.27</v>
      </c>
      <c r="G24" s="36">
        <f>Gas!C25*0.9147</f>
        <v>1620.8483999999999</v>
      </c>
      <c r="H24" s="127">
        <v>3.65</v>
      </c>
      <c r="I24" s="129">
        <f>Submetering!H24+Submetering!AD24+Submetering!AE24</f>
        <v>566</v>
      </c>
      <c r="J24" s="129">
        <v>10.029999999999999</v>
      </c>
      <c r="K24" s="36">
        <f>ELECT.!B25</f>
        <v>219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68648.968916000013</v>
      </c>
      <c r="F25" s="126">
        <v>1.27</v>
      </c>
      <c r="G25" s="36">
        <f>Gas!C26*0.9147</f>
        <v>1483.6433999999999</v>
      </c>
      <c r="H25" s="127">
        <v>3.65</v>
      </c>
      <c r="I25" s="129">
        <f>Submetering!H25+Submetering!AD25+Submetering!AE25</f>
        <v>556</v>
      </c>
      <c r="J25" s="129">
        <v>10.029999999999999</v>
      </c>
      <c r="K25" s="36">
        <f>ELECT.!B26</f>
        <v>228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50558.946932000006</v>
      </c>
      <c r="F26" s="126">
        <v>1.27</v>
      </c>
      <c r="G26" s="36">
        <f>Gas!C27*0.9147</f>
        <v>1814.7647999999999</v>
      </c>
      <c r="H26" s="127">
        <v>3.65</v>
      </c>
      <c r="I26" s="129">
        <f>Submetering!H26+Submetering!AD26+Submetering!AE26</f>
        <v>606</v>
      </c>
      <c r="J26" s="129">
        <v>10.029999999999999</v>
      </c>
      <c r="K26" s="36">
        <f>ELECT.!B27</f>
        <v>230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43059.097164000006</v>
      </c>
      <c r="F27" s="126">
        <v>1.27</v>
      </c>
      <c r="G27" s="36">
        <f>Gas!C28*0.9147</f>
        <v>1793.7266999999999</v>
      </c>
      <c r="H27" s="127">
        <v>3.65</v>
      </c>
      <c r="I27" s="129">
        <f>Submetering!H27+Submetering!AD27+Submetering!AE27</f>
        <v>566</v>
      </c>
      <c r="J27" s="129">
        <v>10.029999999999999</v>
      </c>
      <c r="K27" s="36">
        <f>ELECT.!B28</f>
        <v>220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74886.213223999992</v>
      </c>
      <c r="F28" s="126">
        <v>1.27</v>
      </c>
      <c r="G28" s="36">
        <f>Gas!C29*0.9147</f>
        <v>1707.7448999999999</v>
      </c>
      <c r="H28" s="127">
        <v>3.65</v>
      </c>
      <c r="I28" s="129">
        <f>Submetering!H28+Submetering!AD28+Submetering!AE28</f>
        <v>556.00000000000011</v>
      </c>
      <c r="J28" s="129">
        <v>10.029999999999999</v>
      </c>
      <c r="K28" s="36">
        <f>ELECT.!B29</f>
        <v>185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45660.419871999999</v>
      </c>
      <c r="F29" s="127">
        <v>1.27</v>
      </c>
      <c r="G29" s="36">
        <f>Gas!C30*0.9147</f>
        <v>1715.9771999999998</v>
      </c>
      <c r="H29" s="127">
        <v>3.65</v>
      </c>
      <c r="I29" s="129">
        <f>Submetering!H29+Submetering!AD29+Submetering!AE29</f>
        <v>596.00000000000011</v>
      </c>
      <c r="J29" s="129">
        <v>10.029999999999999</v>
      </c>
      <c r="K29" s="36">
        <f>ELECT.!B30</f>
        <v>249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64336.938204000005</v>
      </c>
      <c r="F30" s="127">
        <v>1.27</v>
      </c>
      <c r="G30" s="36">
        <f>Gas!C31*0.9147</f>
        <v>1561.3928999999998</v>
      </c>
      <c r="H30" s="127">
        <v>3.65</v>
      </c>
      <c r="I30" s="129">
        <f>Submetering!H30+Submetering!AD30+Submetering!AE30</f>
        <v>596</v>
      </c>
      <c r="J30" s="129">
        <v>10.029999999999999</v>
      </c>
      <c r="K30" s="36">
        <f>ELECT.!B31</f>
        <v>299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40787.506244000004</v>
      </c>
      <c r="F31" s="127">
        <v>1.27</v>
      </c>
      <c r="G31" s="36">
        <f>Gas!C32*0.9147</f>
        <v>1949.2257</v>
      </c>
      <c r="H31" s="127">
        <v>3.65</v>
      </c>
      <c r="I31" s="129">
        <f>Submetering!H31+Submetering!AD31+Submetering!AE31</f>
        <v>1196</v>
      </c>
      <c r="J31" s="129">
        <v>10.029999999999999</v>
      </c>
      <c r="K31" s="36">
        <f>ELECT.!B32</f>
        <v>269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E1" zoomScale="85" zoomScaleNormal="85" workbookViewId="0">
      <selection activeCell="M49" sqref="M4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477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286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770</v>
      </c>
      <c r="F11" s="36">
        <f>Water!E12</f>
        <v>370</v>
      </c>
      <c r="G11" s="36">
        <f>Water!G12</f>
        <v>394.2</v>
      </c>
      <c r="H11" s="36">
        <f>Water!I12</f>
        <v>5.4269999999999996</v>
      </c>
      <c r="I11" s="36">
        <f>ELECT.!F12</f>
        <v>8807</v>
      </c>
      <c r="J11" s="36">
        <f>ELECT.!H12</f>
        <v>46559</v>
      </c>
      <c r="K11" s="36">
        <f>ELECT.!K12</f>
        <v>11126</v>
      </c>
      <c r="L11" s="36">
        <f>ELECT.!M12</f>
        <v>5691</v>
      </c>
      <c r="M11" s="36">
        <f>ELECT.!O12</f>
        <v>3444</v>
      </c>
      <c r="N11" s="36">
        <f>ELECT.!Q12</f>
        <v>10115</v>
      </c>
      <c r="O11" s="36">
        <f>ELECT.!S12</f>
        <v>9805</v>
      </c>
      <c r="P11" s="36">
        <f>ELECT.!W12*2</f>
        <v>20190</v>
      </c>
      <c r="Q11" s="36">
        <f>ELECT.!D12</f>
        <v>480</v>
      </c>
      <c r="R11" s="129">
        <f>BTU!C12</f>
        <v>5.4480000000003201</v>
      </c>
      <c r="S11" s="129">
        <f>BTU!F12</f>
        <v>1.7240000000001601</v>
      </c>
      <c r="T11" s="129">
        <f>BTU!I12</f>
        <v>4</v>
      </c>
      <c r="U11" s="129">
        <f>BTU!O12</f>
        <v>2.4809999999997672</v>
      </c>
      <c r="V11" s="129">
        <f>BTU!L12</f>
        <v>1.0600000000013097</v>
      </c>
      <c r="W11" s="129">
        <f>BTU!R12</f>
        <v>1.0799999999999272</v>
      </c>
      <c r="X11" s="34">
        <f>ELECT.!B12</f>
        <v>273</v>
      </c>
      <c r="Y11" s="34">
        <f t="shared" si="0"/>
        <v>-5005</v>
      </c>
      <c r="Z11">
        <f>'Mall, Citadel, Rotana'!C12+'Mall, Citadel, Rotana'!E12+'Mall, Citadel, Rotana'!G12+'Mall, Citadel, Rotana'!I12</f>
        <v>1209</v>
      </c>
      <c r="AA11">
        <f>'Mall, Citadel, Rotana'!K12+'Mall, Citadel, Rotana'!M12</f>
        <v>356</v>
      </c>
      <c r="AB11">
        <f>'Mall, Citadel, Rotana'!O12</f>
        <v>3</v>
      </c>
      <c r="AC11">
        <f>'Mall, Citadel, Rotana'!Q12+'Mall, Citadel, Rotana'!S12</f>
        <v>118</v>
      </c>
      <c r="AD11" s="34">
        <f t="shared" si="1"/>
        <v>75.201521400000004</v>
      </c>
      <c r="AE11" s="34">
        <f t="shared" si="2"/>
        <v>495.37147859999993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770</v>
      </c>
      <c r="F12" s="36">
        <f>Water!E13</f>
        <v>350</v>
      </c>
      <c r="G12" s="36">
        <f>Water!G13</f>
        <v>405</v>
      </c>
      <c r="H12" s="36">
        <f>Water!I13</f>
        <v>4.8869999999999996</v>
      </c>
      <c r="I12" s="36">
        <f>ELECT.!F13</f>
        <v>10368</v>
      </c>
      <c r="J12" s="36">
        <f>ELECT.!H13</f>
        <v>57569</v>
      </c>
      <c r="K12" s="36">
        <f>ELECT.!K13</f>
        <v>12866</v>
      </c>
      <c r="L12" s="36">
        <f>ELECT.!M13</f>
        <v>6517</v>
      </c>
      <c r="M12" s="36">
        <f>ELECT.!O13</f>
        <v>3662</v>
      </c>
      <c r="N12" s="36">
        <f>ELECT.!Q13</f>
        <v>12399</v>
      </c>
      <c r="O12" s="36">
        <f>ELECT.!S13</f>
        <v>12149</v>
      </c>
      <c r="P12" s="36">
        <f>ELECT.!W13*2</f>
        <v>25534</v>
      </c>
      <c r="Q12" s="36">
        <f>ELECT.!D13</f>
        <v>320</v>
      </c>
      <c r="R12" s="129">
        <f>BTU!C13</f>
        <v>4.5279999999984284</v>
      </c>
      <c r="S12" s="129">
        <f>BTU!F13</f>
        <v>0.70899999999983265</v>
      </c>
      <c r="T12" s="129">
        <f>BTU!I13</f>
        <v>4</v>
      </c>
      <c r="U12" s="129">
        <f>BTU!O13</f>
        <v>2.1500000000000909</v>
      </c>
      <c r="V12" s="129">
        <f>BTU!L13</f>
        <v>0.93999999999869033</v>
      </c>
      <c r="W12" s="129">
        <f>BTU!R13</f>
        <v>1.1399999999994179</v>
      </c>
      <c r="X12" s="34">
        <f>ELECT.!B13</f>
        <v>305</v>
      </c>
      <c r="Y12" s="34">
        <f t="shared" si="0"/>
        <v>-5190</v>
      </c>
      <c r="Z12">
        <f>'Mall, Citadel, Rotana'!C13+'Mall, Citadel, Rotana'!E13+'Mall, Citadel, Rotana'!G13+'Mall, Citadel, Rotana'!I13</f>
        <v>1046</v>
      </c>
      <c r="AA12">
        <f>'Mall, Citadel, Rotana'!K13+'Mall, Citadel, Rotana'!M13</f>
        <v>222</v>
      </c>
      <c r="AB12">
        <f>'Mall, Citadel, Rotana'!O13</f>
        <v>3</v>
      </c>
      <c r="AC12">
        <f>'Mall, Citadel, Rotana'!Q13+'Mall, Citadel, Rotana'!S13</f>
        <v>116</v>
      </c>
      <c r="AD12" s="34">
        <f t="shared" si="1"/>
        <v>75.272693400000009</v>
      </c>
      <c r="AE12" s="34">
        <f t="shared" si="2"/>
        <v>495.84030660000008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810</v>
      </c>
      <c r="F13" s="36">
        <f>Water!E14</f>
        <v>380</v>
      </c>
      <c r="G13" s="36">
        <f>Water!G14</f>
        <v>440.1</v>
      </c>
      <c r="H13" s="36">
        <f>Water!I14</f>
        <v>5.3730000000000002</v>
      </c>
      <c r="I13" s="36">
        <f>ELECT.!F14</f>
        <v>10069</v>
      </c>
      <c r="J13" s="36">
        <f>ELECT.!H14</f>
        <v>55108</v>
      </c>
      <c r="K13" s="36">
        <f>ELECT.!K14</f>
        <v>12632</v>
      </c>
      <c r="L13" s="36">
        <f>ELECT.!M14</f>
        <v>6327</v>
      </c>
      <c r="M13" s="36">
        <f>ELECT.!O14</f>
        <v>3576</v>
      </c>
      <c r="N13" s="36">
        <f>ELECT.!Q14</f>
        <v>11708</v>
      </c>
      <c r="O13" s="36">
        <f>ELECT.!S14</f>
        <v>11546</v>
      </c>
      <c r="P13" s="36">
        <f>ELECT.!W14*2</f>
        <v>24402</v>
      </c>
      <c r="Q13" s="36">
        <f>ELECT.!D14</f>
        <v>640</v>
      </c>
      <c r="R13" s="129">
        <f>BTU!C14</f>
        <v>5.8770000000004075</v>
      </c>
      <c r="S13" s="129">
        <f>BTU!F14</f>
        <v>1.0700000000006185</v>
      </c>
      <c r="T13" s="129">
        <f>BTU!I14</f>
        <v>4</v>
      </c>
      <c r="U13" s="129">
        <f>BTU!O14</f>
        <v>2.681999999999789</v>
      </c>
      <c r="V13" s="129">
        <f>BTU!L14</f>
        <v>1.1700000000000728</v>
      </c>
      <c r="W13" s="129">
        <f>BTU!R14</f>
        <v>1.3699999999998909</v>
      </c>
      <c r="X13" s="34">
        <f>ELECT.!B14</f>
        <v>265</v>
      </c>
      <c r="Y13" s="34">
        <f t="shared" si="0"/>
        <v>-5014</v>
      </c>
      <c r="Z13">
        <f>'Mall, Citadel, Rotana'!C14+'Mall, Citadel, Rotana'!E14+'Mall, Citadel, Rotana'!G14+'Mall, Citadel, Rotana'!I14</f>
        <v>1363</v>
      </c>
      <c r="AA13">
        <f>'Mall, Citadel, Rotana'!K14+'Mall, Citadel, Rotana'!M14</f>
        <v>258</v>
      </c>
      <c r="AB13">
        <f>'Mall, Citadel, Rotana'!O14</f>
        <v>3</v>
      </c>
      <c r="AC13">
        <f>'Mall, Citadel, Rotana'!Q14+'Mall, Citadel, Rotana'!S14</f>
        <v>118</v>
      </c>
      <c r="AD13" s="34">
        <f t="shared" si="1"/>
        <v>80.480638599999992</v>
      </c>
      <c r="AE13" s="34">
        <f t="shared" si="2"/>
        <v>530.14636139999993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810</v>
      </c>
      <c r="F14" s="36">
        <f>Water!E15</f>
        <v>370</v>
      </c>
      <c r="G14" s="36">
        <f>Water!G15</f>
        <v>421.2</v>
      </c>
      <c r="H14" s="36">
        <f>Water!I15</f>
        <v>5.13</v>
      </c>
      <c r="I14" s="36">
        <f>ELECT.!F15</f>
        <v>10792</v>
      </c>
      <c r="J14" s="36">
        <f>ELECT.!H15</f>
        <v>54811</v>
      </c>
      <c r="K14" s="36">
        <f>ELECT.!K15</f>
        <v>13094</v>
      </c>
      <c r="L14" s="36">
        <f>ELECT.!M15</f>
        <v>6382</v>
      </c>
      <c r="M14" s="36">
        <f>ELECT.!O15</f>
        <v>4218</v>
      </c>
      <c r="N14" s="36">
        <f>ELECT.!Q15</f>
        <v>11888</v>
      </c>
      <c r="O14" s="36">
        <f>ELECT.!S15</f>
        <v>11594</v>
      </c>
      <c r="P14" s="36">
        <f>ELECT.!W15*2</f>
        <v>23668</v>
      </c>
      <c r="Q14" s="36">
        <f>ELECT.!D15</f>
        <v>480</v>
      </c>
      <c r="R14" s="129">
        <f>BTU!C15</f>
        <v>4.977999999999156</v>
      </c>
      <c r="S14" s="129">
        <f>BTU!F15</f>
        <v>1.126999999999498</v>
      </c>
      <c r="T14" s="129">
        <f>BTU!I15</f>
        <v>4</v>
      </c>
      <c r="U14" s="129">
        <f>BTU!O15</f>
        <v>2.0300000000002001</v>
      </c>
      <c r="V14" s="129">
        <f>BTU!L15</f>
        <v>0.81000000000130967</v>
      </c>
      <c r="W14" s="129">
        <f>BTU!R15</f>
        <v>1.410000000000764</v>
      </c>
      <c r="X14" s="34">
        <f>ELECT.!B15</f>
        <v>232</v>
      </c>
      <c r="Y14" s="34">
        <f t="shared" si="0"/>
        <v>-5241</v>
      </c>
      <c r="Z14">
        <f>'Mall, Citadel, Rotana'!C15+'Mall, Citadel, Rotana'!E15+'Mall, Citadel, Rotana'!G15+'Mall, Citadel, Rotana'!I15</f>
        <v>1214</v>
      </c>
      <c r="AA14">
        <f>'Mall, Citadel, Rotana'!K15+'Mall, Citadel, Rotana'!M15</f>
        <v>343</v>
      </c>
      <c r="AB14">
        <f>'Mall, Citadel, Rotana'!O15</f>
        <v>4</v>
      </c>
      <c r="AC14">
        <f>'Mall, Citadel, Rotana'!Q15+'Mall, Citadel, Rotana'!S15</f>
        <v>167</v>
      </c>
      <c r="AD14" s="34">
        <f t="shared" si="1"/>
        <v>80.512665999999996</v>
      </c>
      <c r="AE14" s="34">
        <f t="shared" si="2"/>
        <v>530.35733400000004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760</v>
      </c>
      <c r="F15" s="36">
        <f>Water!E16</f>
        <v>370</v>
      </c>
      <c r="G15" s="36">
        <f>Water!G16</f>
        <v>359.1</v>
      </c>
      <c r="H15" s="36">
        <f>Water!I16</f>
        <v>5.2379999999999995</v>
      </c>
      <c r="I15" s="36">
        <f>ELECT.!F16</f>
        <v>7613</v>
      </c>
      <c r="J15" s="36">
        <f>ELECT.!H16</f>
        <v>36473</v>
      </c>
      <c r="K15" s="36">
        <f>ELECT.!K16</f>
        <v>7978</v>
      </c>
      <c r="L15" s="36">
        <f>ELECT.!M16</f>
        <v>4802</v>
      </c>
      <c r="M15" s="36">
        <f>ELECT.!O16</f>
        <v>2678</v>
      </c>
      <c r="N15" s="36">
        <f>ELECT.!Q16</f>
        <v>7777</v>
      </c>
      <c r="O15" s="36">
        <f>ELECT.!S16</f>
        <v>7938</v>
      </c>
      <c r="P15" s="36">
        <f>ELECT.!W16*2</f>
        <v>16024</v>
      </c>
      <c r="Q15" s="36">
        <f>ELECT.!D16</f>
        <v>640</v>
      </c>
      <c r="R15" s="129">
        <f>BTU!C16</f>
        <v>7.2100000000027649</v>
      </c>
      <c r="S15" s="129">
        <f>BTU!F16</f>
        <v>2.1199999999998909</v>
      </c>
      <c r="T15" s="129">
        <f>BTU!I16</f>
        <v>5</v>
      </c>
      <c r="U15" s="129">
        <f>BTU!O16</f>
        <v>2.8949999999999818</v>
      </c>
      <c r="V15" s="129">
        <f>BTU!L16</f>
        <v>1.3599999999987631</v>
      </c>
      <c r="W15" s="129">
        <f>BTU!R16</f>
        <v>1.9299999999993815</v>
      </c>
      <c r="X15" s="34">
        <f>ELECT.!B16</f>
        <v>227</v>
      </c>
      <c r="Y15" s="34">
        <f t="shared" si="0"/>
        <v>-3111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356</v>
      </c>
      <c r="AB15">
        <f>'Mall, Citadel, Rotana'!O16</f>
        <v>3</v>
      </c>
      <c r="AC15">
        <f>'Mall, Citadel, Rotana'!Q16+'Mall, Citadel, Rotana'!S16</f>
        <v>52</v>
      </c>
      <c r="AD15" s="34">
        <f t="shared" si="1"/>
        <v>73.908431599999986</v>
      </c>
      <c r="AE15" s="34">
        <f t="shared" si="2"/>
        <v>486.85356839999997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790</v>
      </c>
      <c r="F16" s="36">
        <f>Water!E17</f>
        <v>380</v>
      </c>
      <c r="G16" s="36">
        <f>Water!G17</f>
        <v>399.6</v>
      </c>
      <c r="H16" s="36">
        <f>Water!I17</f>
        <v>4.8600000000000003</v>
      </c>
      <c r="I16" s="36">
        <f>ELECT.!F17</f>
        <v>11974</v>
      </c>
      <c r="J16" s="36">
        <f>ELECT.!H17</f>
        <v>60837</v>
      </c>
      <c r="K16" s="36">
        <f>ELECT.!K17</f>
        <v>11386</v>
      </c>
      <c r="L16" s="36">
        <f>ELECT.!M17</f>
        <v>7740</v>
      </c>
      <c r="M16" s="36">
        <f>ELECT.!O17</f>
        <v>4032</v>
      </c>
      <c r="N16" s="36">
        <f>ELECT.!Q17</f>
        <v>12062</v>
      </c>
      <c r="O16" s="36">
        <f>ELECT.!S17</f>
        <v>13664</v>
      </c>
      <c r="P16" s="36">
        <f>ELECT.!W17*2</f>
        <v>28174</v>
      </c>
      <c r="Q16" s="36">
        <f>ELECT.!D17</f>
        <v>480</v>
      </c>
      <c r="R16" s="129">
        <f>BTU!C17</f>
        <v>4.3400000000001455</v>
      </c>
      <c r="S16" s="129">
        <f>BTU!F17</f>
        <v>1.149000000000342</v>
      </c>
      <c r="T16" s="129">
        <f>BTU!I17</f>
        <v>3</v>
      </c>
      <c r="U16" s="129">
        <f>BTU!O17</f>
        <v>2.0230000000001382</v>
      </c>
      <c r="V16" s="129">
        <f>BTU!L17</f>
        <v>0.67000000000007276</v>
      </c>
      <c r="W16" s="129">
        <f>BTU!R17</f>
        <v>0.64000000000032742</v>
      </c>
      <c r="X16" s="34">
        <f>ELECT.!B17</f>
        <v>168</v>
      </c>
      <c r="Y16" s="34">
        <f t="shared" si="0"/>
        <v>-4247</v>
      </c>
      <c r="Z16">
        <f>'Mall, Citadel, Rotana'!C17+'Mall, Citadel, Rotana'!E17+'Mall, Citadel, Rotana'!G17+'Mall, Citadel, Rotana'!I17</f>
        <v>1389</v>
      </c>
      <c r="AA16">
        <f>'Mall, Citadel, Rotana'!K17+'Mall, Citadel, Rotana'!M17</f>
        <v>427</v>
      </c>
      <c r="AB16">
        <f>'Mall, Citadel, Rotana'!O17</f>
        <v>4</v>
      </c>
      <c r="AC16">
        <f>'Mall, Citadel, Rotana'!Q17+'Mall, Citadel, Rotana'!S17</f>
        <v>120</v>
      </c>
      <c r="AD16" s="34">
        <f t="shared" si="1"/>
        <v>77.912251999999995</v>
      </c>
      <c r="AE16" s="34">
        <f t="shared" si="2"/>
        <v>513.22774800000002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680</v>
      </c>
      <c r="F17" s="36">
        <f>Water!E18</f>
        <v>360</v>
      </c>
      <c r="G17" s="36">
        <f>Water!G18</f>
        <v>318.60000000000002</v>
      </c>
      <c r="H17" s="36">
        <f>Water!I18</f>
        <v>4.7249999999999996</v>
      </c>
      <c r="I17" s="36">
        <f>ELECT.!F18</f>
        <v>7831</v>
      </c>
      <c r="J17" s="36">
        <f>ELECT.!H18</f>
        <v>38265</v>
      </c>
      <c r="K17" s="36">
        <f>ELECT.!K18</f>
        <v>7466</v>
      </c>
      <c r="L17" s="36">
        <f>ELECT.!M18</f>
        <v>4982</v>
      </c>
      <c r="M17" s="36">
        <f>ELECT.!O18</f>
        <v>1914</v>
      </c>
      <c r="N17" s="36">
        <f>ELECT.!Q18</f>
        <v>7903</v>
      </c>
      <c r="O17" s="36">
        <f>ELECT.!S18</f>
        <v>8109</v>
      </c>
      <c r="P17" s="36">
        <f>ELECT.!W18*2</f>
        <v>17070</v>
      </c>
      <c r="Q17" s="36">
        <f>ELECT.!D18</f>
        <v>480</v>
      </c>
      <c r="R17" s="129">
        <f>BTU!C18</f>
        <v>5.4879999999975553</v>
      </c>
      <c r="S17" s="129">
        <f>BTU!F18</f>
        <v>1.6459999999997308</v>
      </c>
      <c r="T17" s="129">
        <f>BTU!I18</f>
        <v>5</v>
      </c>
      <c r="U17" s="129">
        <f>BTU!O18</f>
        <v>2.8219999999996617</v>
      </c>
      <c r="V17" s="129">
        <f>BTU!L18</f>
        <v>0.93000000000029104</v>
      </c>
      <c r="W17" s="129">
        <f>BTU!R18</f>
        <v>1.0299999999997453</v>
      </c>
      <c r="X17" s="34">
        <f>ELECT.!B18</f>
        <v>235</v>
      </c>
      <c r="Y17" s="34">
        <f t="shared" si="0"/>
        <v>-1348</v>
      </c>
      <c r="Z17">
        <f>'Mall, Citadel, Rotana'!C18+'Mall, Citadel, Rotana'!E18+'Mall, Citadel, Rotana'!G18+'Mall, Citadel, Rotana'!I18</f>
        <v>1205</v>
      </c>
      <c r="AA17">
        <f>'Mall, Citadel, Rotana'!K18+'Mall, Citadel, Rotana'!M18</f>
        <v>345</v>
      </c>
      <c r="AB17">
        <f>'Mall, Citadel, Rotana'!O18</f>
        <v>2</v>
      </c>
      <c r="AC17">
        <f>'Mall, Citadel, Rotana'!Q18+'Mall, Citadel, Rotana'!S18</f>
        <v>352</v>
      </c>
      <c r="AD17" s="34">
        <f t="shared" si="1"/>
        <v>63.432044999999995</v>
      </c>
      <c r="AE17" s="34">
        <f t="shared" si="2"/>
        <v>417.84295499999996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710</v>
      </c>
      <c r="F18" s="36">
        <f>Water!E19</f>
        <v>390</v>
      </c>
      <c r="G18" s="36">
        <f>Water!G19</f>
        <v>315.89999999999998</v>
      </c>
      <c r="H18" s="36">
        <f>Water!I19</f>
        <v>5.2379999999999995</v>
      </c>
      <c r="I18" s="36">
        <f>ELECT.!F19</f>
        <v>6940</v>
      </c>
      <c r="J18" s="36">
        <f>ELECT.!H19</f>
        <v>44496</v>
      </c>
      <c r="K18" s="36">
        <f>ELECT.!K19</f>
        <v>11980</v>
      </c>
      <c r="L18" s="36">
        <f>ELECT.!M19</f>
        <v>5348</v>
      </c>
      <c r="M18" s="36">
        <f>ELECT.!O19</f>
        <v>2240</v>
      </c>
      <c r="N18" s="36">
        <f>ELECT.!Q19</f>
        <v>9420</v>
      </c>
      <c r="O18" s="36">
        <f>ELECT.!S19</f>
        <v>9208</v>
      </c>
      <c r="P18" s="36">
        <f>ELECT.!W19*2</f>
        <v>15706</v>
      </c>
      <c r="Q18" s="36">
        <f>ELECT.!D19</f>
        <v>480</v>
      </c>
      <c r="R18" s="129">
        <f>BTU!C19</f>
        <v>3.9340000000011059</v>
      </c>
      <c r="S18" s="129">
        <f>BTU!F19</f>
        <v>1.2269999999998618</v>
      </c>
      <c r="T18" s="129">
        <f>BTU!I19</f>
        <v>3</v>
      </c>
      <c r="U18" s="129">
        <f>BTU!O19</f>
        <v>1.8360000000002401</v>
      </c>
      <c r="V18" s="129">
        <f>BTU!L19</f>
        <v>0.51000000000021828</v>
      </c>
      <c r="W18" s="129">
        <f>BTU!R19</f>
        <v>1.3400000000001455</v>
      </c>
      <c r="X18" s="34">
        <f>ELECT.!B19</f>
        <v>187</v>
      </c>
      <c r="Y18" s="34">
        <f t="shared" si="0"/>
        <v>-2466</v>
      </c>
      <c r="Z18">
        <f>'Mall, Citadel, Rotana'!C19+'Mall, Citadel, Rotana'!E19+'Mall, Citadel, Rotana'!G19+'Mall, Citadel, Rotana'!I19</f>
        <v>1206</v>
      </c>
      <c r="AA18">
        <f>'Mall, Citadel, Rotana'!K19+'Mall, Citadel, Rotana'!M19</f>
        <v>362</v>
      </c>
      <c r="AB18">
        <f>'Mall, Citadel, Rotana'!O19</f>
        <v>5</v>
      </c>
      <c r="AC18">
        <f>'Mall, Citadel, Rotana'!Q19+'Mall, Citadel, Rotana'!S19</f>
        <v>119</v>
      </c>
      <c r="AD18" s="34">
        <f t="shared" si="1"/>
        <v>67.318431599999997</v>
      </c>
      <c r="AE18" s="34">
        <f t="shared" si="2"/>
        <v>443.4435684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740</v>
      </c>
      <c r="F19" s="36">
        <f>Water!E20</f>
        <v>340</v>
      </c>
      <c r="G19" s="36">
        <f>Water!G20</f>
        <v>351</v>
      </c>
      <c r="H19" s="36">
        <f>Water!I20</f>
        <v>4.8600000000000003</v>
      </c>
      <c r="I19" s="36">
        <f>ELECT.!F20</f>
        <v>9735</v>
      </c>
      <c r="J19" s="36">
        <f>ELECT.!H20</f>
        <v>55373</v>
      </c>
      <c r="K19" s="36">
        <f>ELECT.!K20</f>
        <v>12624</v>
      </c>
      <c r="L19" s="36">
        <f>ELECT.!M20</f>
        <v>6678</v>
      </c>
      <c r="M19" s="36">
        <f>ELECT.!O20</f>
        <v>2870</v>
      </c>
      <c r="N19" s="36">
        <f>ELECT.!Q20</f>
        <v>11942</v>
      </c>
      <c r="O19" s="36">
        <f>ELECT.!S20</f>
        <v>11789</v>
      </c>
      <c r="P19" s="36">
        <f>ELECT.!W20*2</f>
        <v>28276</v>
      </c>
      <c r="Q19" s="36">
        <f>ELECT.!D20</f>
        <v>480</v>
      </c>
      <c r="R19" s="129">
        <f>BTU!C20</f>
        <v>6.3379999999997381</v>
      </c>
      <c r="S19" s="129">
        <f>BTU!F20</f>
        <v>1.1410000000005311</v>
      </c>
      <c r="T19" s="129">
        <f>BTU!I20</f>
        <v>5</v>
      </c>
      <c r="U19" s="129">
        <f>BTU!O20</f>
        <v>3.2409999999999854</v>
      </c>
      <c r="V19" s="129">
        <f>BTU!L20</f>
        <v>1.0200000000004366</v>
      </c>
      <c r="W19" s="129">
        <f>BTU!R20</f>
        <v>1.9899999999997817</v>
      </c>
      <c r="X19" s="34">
        <f>ELECT.!B20</f>
        <v>184</v>
      </c>
      <c r="Y19" s="34">
        <f t="shared" si="0"/>
        <v>-9071</v>
      </c>
      <c r="Z19">
        <f>'Mall, Citadel, Rotana'!C20+'Mall, Citadel, Rotana'!E20+'Mall, Citadel, Rotana'!G20+'Mall, Citadel, Rotana'!I20</f>
        <v>1511</v>
      </c>
      <c r="AA19">
        <f>'Mall, Citadel, Rotana'!K20+'Mall, Citadel, Rotana'!M20</f>
        <v>243</v>
      </c>
      <c r="AB19">
        <f>'Mall, Citadel, Rotana'!O20</f>
        <v>2</v>
      </c>
      <c r="AC19">
        <f>'Mall, Citadel, Rotana'!Q20+'Mall, Citadel, Rotana'!S20</f>
        <v>120</v>
      </c>
      <c r="AD19" s="34">
        <f t="shared" si="1"/>
        <v>71.322251999999992</v>
      </c>
      <c r="AE19" s="34">
        <f t="shared" si="2"/>
        <v>469.81774799999994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800</v>
      </c>
      <c r="F20" s="36">
        <f>Water!E21</f>
        <v>370</v>
      </c>
      <c r="G20" s="36">
        <f>Water!G21</f>
        <v>415.8</v>
      </c>
      <c r="H20" s="36">
        <f>Water!I21</f>
        <v>5.4809999999999999</v>
      </c>
      <c r="I20" s="36">
        <f>ELECT.!F21</f>
        <v>8374</v>
      </c>
      <c r="J20" s="36">
        <f>ELECT.!H21</f>
        <v>49544</v>
      </c>
      <c r="K20" s="36">
        <f>ELECT.!K21</f>
        <v>11336</v>
      </c>
      <c r="L20" s="36">
        <f>ELECT.!M21</f>
        <v>5788</v>
      </c>
      <c r="M20" s="36">
        <f>ELECT.!O21</f>
        <v>2458</v>
      </c>
      <c r="N20" s="36">
        <f>ELECT.!Q21</f>
        <v>11118</v>
      </c>
      <c r="O20" s="36">
        <f>ELECT.!S21</f>
        <v>10527</v>
      </c>
      <c r="P20" s="36">
        <f>ELECT.!W21*2</f>
        <v>21314</v>
      </c>
      <c r="Q20" s="36">
        <f>ELECT.!D21</f>
        <v>640</v>
      </c>
      <c r="R20" s="129">
        <f>BTU!C21</f>
        <v>3.0410000000010768</v>
      </c>
      <c r="S20" s="129">
        <f>BTU!F21</f>
        <v>0.72899999999935972</v>
      </c>
      <c r="T20" s="129">
        <f>BTU!I21</f>
        <v>2</v>
      </c>
      <c r="U20" s="129">
        <f>BTU!O21</f>
        <v>1.387000000000171</v>
      </c>
      <c r="V20" s="129">
        <f>BTU!L21</f>
        <v>0.34999999999854481</v>
      </c>
      <c r="W20" s="129">
        <f>BTU!R21</f>
        <v>1.5900000000001455</v>
      </c>
      <c r="X20" s="34">
        <f>ELECT.!B21</f>
        <v>273</v>
      </c>
      <c r="Y20" s="34">
        <f t="shared" si="0"/>
        <v>-4623</v>
      </c>
      <c r="Z20">
        <f>'Mall, Citadel, Rotana'!C21+'Mall, Citadel, Rotana'!E21+'Mall, Citadel, Rotana'!G21+'Mall, Citadel, Rotana'!I21</f>
        <v>1057</v>
      </c>
      <c r="AA20">
        <f>'Mall, Citadel, Rotana'!K21+'Mall, Citadel, Rotana'!M21</f>
        <v>250</v>
      </c>
      <c r="AB20">
        <f>'Mall, Citadel, Rotana'!O21</f>
        <v>3</v>
      </c>
      <c r="AC20">
        <f>'Mall, Citadel, Rotana'!Q21+'Mall, Citadel, Rotana'!S21</f>
        <v>53</v>
      </c>
      <c r="AD20" s="34">
        <f t="shared" si="1"/>
        <v>79.148404200000002</v>
      </c>
      <c r="AE20" s="34">
        <f t="shared" si="2"/>
        <v>521.37059580000005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790</v>
      </c>
      <c r="F21" s="36">
        <f>Water!E22</f>
        <v>380</v>
      </c>
      <c r="G21" s="36">
        <f>Water!G22</f>
        <v>405</v>
      </c>
      <c r="H21" s="36">
        <f>Water!I22</f>
        <v>5.4539999999999997</v>
      </c>
      <c r="I21" s="36">
        <f>ELECT.!F22</f>
        <v>9803</v>
      </c>
      <c r="J21" s="36">
        <f>ELECT.!H22</f>
        <v>57878</v>
      </c>
      <c r="K21" s="36">
        <f>ELECT.!K22</f>
        <v>13020</v>
      </c>
      <c r="L21" s="36">
        <f>ELECT.!M22</f>
        <v>6749</v>
      </c>
      <c r="M21" s="36">
        <f>ELECT.!O22</f>
        <v>2942</v>
      </c>
      <c r="N21" s="36">
        <f>ELECT.!Q22</f>
        <v>14132</v>
      </c>
      <c r="O21" s="36">
        <f>ELECT.!S22</f>
        <v>12035</v>
      </c>
      <c r="P21" s="36">
        <f>ELECT.!W22*2</f>
        <v>24620</v>
      </c>
      <c r="Q21" s="36">
        <f>ELECT.!D22</f>
        <v>160</v>
      </c>
      <c r="R21" s="129">
        <f>BTU!C22</f>
        <v>5.7999999999992724</v>
      </c>
      <c r="S21" s="129">
        <f>BTU!F22</f>
        <v>1.8590000000003783</v>
      </c>
      <c r="T21" s="129">
        <f>BTU!I22</f>
        <v>4</v>
      </c>
      <c r="U21" s="129">
        <f>BTU!O22</f>
        <v>2.7329999999997199</v>
      </c>
      <c r="V21" s="129">
        <f>BTU!L22</f>
        <v>1.070000000001528</v>
      </c>
      <c r="W21" s="129">
        <f>BTU!R22</f>
        <v>0.15999999999985448</v>
      </c>
      <c r="X21" s="34">
        <f>ELECT.!B22</f>
        <v>274</v>
      </c>
      <c r="Y21" s="34">
        <f t="shared" si="0"/>
        <v>-5817</v>
      </c>
      <c r="Z21">
        <f>'Mall, Citadel, Rotana'!C22+'Mall, Citadel, Rotana'!E22+'Mall, Citadel, Rotana'!G22+'Mall, Citadel, Rotana'!I22</f>
        <v>1051</v>
      </c>
      <c r="AA21">
        <f>'Mall, Citadel, Rotana'!K22+'Mall, Citadel, Rotana'!M22</f>
        <v>407</v>
      </c>
      <c r="AB21">
        <f>'Mall, Citadel, Rotana'!O22</f>
        <v>4</v>
      </c>
      <c r="AC21">
        <f>'Mall, Citadel, Rotana'!Q22+'Mall, Citadel, Rotana'!S22</f>
        <v>197</v>
      </c>
      <c r="AD21" s="34">
        <f t="shared" si="1"/>
        <v>77.833962800000009</v>
      </c>
      <c r="AE21" s="34">
        <f t="shared" si="2"/>
        <v>512.71203720000005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860</v>
      </c>
      <c r="F22" s="36">
        <f>Water!E23</f>
        <v>370</v>
      </c>
      <c r="G22" s="36">
        <f>Water!G23</f>
        <v>402.3</v>
      </c>
      <c r="H22" s="36">
        <f>Water!I23</f>
        <v>5.157</v>
      </c>
      <c r="I22" s="36">
        <f>ELECT.!F23</f>
        <v>3381</v>
      </c>
      <c r="J22" s="36">
        <f>ELECT.!H23</f>
        <v>36730</v>
      </c>
      <c r="K22" s="36">
        <f>ELECT.!K23</f>
        <v>8648</v>
      </c>
      <c r="L22" s="36">
        <f>ELECT.!M23</f>
        <v>4463</v>
      </c>
      <c r="M22" s="36">
        <f>ELECT.!O23</f>
        <v>1682</v>
      </c>
      <c r="N22" s="36">
        <f>ELECT.!Q23</f>
        <v>7550</v>
      </c>
      <c r="O22" s="36">
        <f>ELECT.!S23</f>
        <v>7632</v>
      </c>
      <c r="P22" s="36">
        <f>ELECT.!W23*2</f>
        <v>15464</v>
      </c>
      <c r="Q22" s="36">
        <f>ELECT.!D23</f>
        <v>480</v>
      </c>
      <c r="R22" s="129">
        <f>BTU!C23</f>
        <v>4.9219999999986612</v>
      </c>
      <c r="S22" s="129">
        <f>BTU!F23</f>
        <v>1.4939999999996871</v>
      </c>
      <c r="T22" s="129">
        <f>BTU!I23</f>
        <v>4</v>
      </c>
      <c r="U22" s="129">
        <f>BTU!O23</f>
        <v>2.3079999999999927</v>
      </c>
      <c r="V22" s="129">
        <f>BTU!L23</f>
        <v>0.76000000000021828</v>
      </c>
      <c r="W22" s="129">
        <f>BTU!R23</f>
        <v>1.1700000000000728</v>
      </c>
      <c r="X22" s="34">
        <f>ELECT.!B23</f>
        <v>266</v>
      </c>
      <c r="Y22" s="34">
        <f t="shared" si="0"/>
        <v>-5328</v>
      </c>
      <c r="Z22">
        <f>'Mall, Citadel, Rotana'!C23+'Mall, Citadel, Rotana'!E23+'Mall, Citadel, Rotana'!G23+'Mall, Citadel, Rotana'!I23</f>
        <v>1232</v>
      </c>
      <c r="AA22">
        <f>'Mall, Citadel, Rotana'!K23+'Mall, Citadel, Rotana'!M23</f>
        <v>347</v>
      </c>
      <c r="AB22">
        <f>'Mall, Citadel, Rotana'!O23</f>
        <v>2</v>
      </c>
      <c r="AC22">
        <f>'Mall, Citadel, Rotana'!Q23+'Mall, Citadel, Rotana'!S23</f>
        <v>116</v>
      </c>
      <c r="AD22" s="34">
        <f t="shared" si="1"/>
        <v>87.099107399999994</v>
      </c>
      <c r="AE22" s="34">
        <f t="shared" si="2"/>
        <v>573.74389259999998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750</v>
      </c>
      <c r="F23" s="36">
        <f>Water!E24</f>
        <v>370</v>
      </c>
      <c r="G23" s="36">
        <f>Water!G24</f>
        <v>340.2</v>
      </c>
      <c r="H23" s="36">
        <f>Water!I24</f>
        <v>5.2110000000000003</v>
      </c>
      <c r="I23" s="36">
        <f>ELECT.!F24</f>
        <v>15488</v>
      </c>
      <c r="J23" s="36">
        <f>ELECT.!H24</f>
        <v>63653</v>
      </c>
      <c r="K23" s="36">
        <f>ELECT.!K24</f>
        <v>14822</v>
      </c>
      <c r="L23" s="36">
        <f>ELECT.!M24</f>
        <v>7494</v>
      </c>
      <c r="M23" s="36">
        <f>ELECT.!O24</f>
        <v>4792</v>
      </c>
      <c r="N23" s="36">
        <f>ELECT.!Q24</f>
        <v>14317</v>
      </c>
      <c r="O23" s="36">
        <f>ELECT.!S24</f>
        <v>13674</v>
      </c>
      <c r="P23" s="36">
        <f>ELECT.!W24*2</f>
        <v>27608</v>
      </c>
      <c r="Q23" s="36">
        <f>ELECT.!D24</f>
        <v>320</v>
      </c>
      <c r="R23" s="129">
        <f>BTU!C24</f>
        <v>5.2510000000002037</v>
      </c>
      <c r="S23" s="129">
        <f>BTU!F24</f>
        <v>1.5889999999999418</v>
      </c>
      <c r="T23" s="129">
        <f>BTU!I24</f>
        <v>4</v>
      </c>
      <c r="U23" s="129">
        <f>BTU!O24</f>
        <v>2.4039999999999964</v>
      </c>
      <c r="V23" s="129">
        <f>BTU!L24</f>
        <v>0.8999999999996362</v>
      </c>
      <c r="W23" s="129">
        <f>BTU!R24</f>
        <v>1.3600000000005821</v>
      </c>
      <c r="X23" s="34">
        <f>ELECT.!B24</f>
        <v>268</v>
      </c>
      <c r="Y23" s="34">
        <f t="shared" si="0"/>
        <v>-3566</v>
      </c>
      <c r="Z23">
        <f>'Mall, Citadel, Rotana'!C24+'Mall, Citadel, Rotana'!E24+'Mall, Citadel, Rotana'!G24+'Mall, Citadel, Rotana'!I24</f>
        <v>1374</v>
      </c>
      <c r="AA23">
        <f>'Mall, Citadel, Rotana'!K24+'Mall, Citadel, Rotana'!M24</f>
        <v>406</v>
      </c>
      <c r="AB23">
        <f>'Mall, Citadel, Rotana'!O24</f>
        <v>4</v>
      </c>
      <c r="AC23">
        <f>'Mall, Citadel, Rotana'!Q24+'Mall, Citadel, Rotana'!S24</f>
        <v>121</v>
      </c>
      <c r="AD23" s="34">
        <f t="shared" si="1"/>
        <v>72.593990199999993</v>
      </c>
      <c r="AE23" s="34">
        <f t="shared" si="2"/>
        <v>478.19500979999998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760</v>
      </c>
      <c r="F24" s="36">
        <f>Water!E25</f>
        <v>370</v>
      </c>
      <c r="G24" s="36">
        <f>Water!G25</f>
        <v>380.7</v>
      </c>
      <c r="H24" s="36">
        <f>Water!I25</f>
        <v>5.319</v>
      </c>
      <c r="I24" s="36">
        <f>ELECT.!F25</f>
        <v>8081</v>
      </c>
      <c r="J24" s="36">
        <f>ELECT.!H25</f>
        <v>43503</v>
      </c>
      <c r="K24" s="36">
        <f>ELECT.!K25</f>
        <v>10094</v>
      </c>
      <c r="L24" s="36">
        <f>ELECT.!M25</f>
        <v>5138</v>
      </c>
      <c r="M24" s="36">
        <f>ELECT.!O25</f>
        <v>2790</v>
      </c>
      <c r="N24" s="36">
        <f>ELECT.!Q25</f>
        <v>9358</v>
      </c>
      <c r="O24" s="36">
        <f>ELECT.!S25</f>
        <v>9123</v>
      </c>
      <c r="P24" s="36">
        <f>ELECT.!W25*2</f>
        <v>19676</v>
      </c>
      <c r="Q24" s="36">
        <f>ELECT.!D25</f>
        <v>480</v>
      </c>
      <c r="R24" s="129">
        <f>BTU!C25</f>
        <v>5.1320000000014261</v>
      </c>
      <c r="S24" s="129">
        <f>BTU!F25</f>
        <v>1.6280000000006112</v>
      </c>
      <c r="T24" s="129">
        <f>BTU!I25</f>
        <v>5</v>
      </c>
      <c r="U24" s="129">
        <f>BTU!O25</f>
        <v>2.5</v>
      </c>
      <c r="V24" s="129">
        <f>BTU!L25</f>
        <v>1.0299999999988358</v>
      </c>
      <c r="W24" s="129">
        <f>BTU!R25</f>
        <v>1.25</v>
      </c>
      <c r="X24" s="34">
        <f>ELECT.!B25</f>
        <v>219</v>
      </c>
      <c r="Y24" s="34">
        <f t="shared" si="0"/>
        <v>-4595</v>
      </c>
      <c r="Z24">
        <f>'Mall, Citadel, Rotana'!C25+'Mall, Citadel, Rotana'!E25+'Mall, Citadel, Rotana'!G25+'Mall, Citadel, Rotana'!I25</f>
        <v>1380</v>
      </c>
      <c r="AA24">
        <f>'Mall, Citadel, Rotana'!K25+'Mall, Citadel, Rotana'!M25</f>
        <v>392</v>
      </c>
      <c r="AB24">
        <f>'Mall, Citadel, Rotana'!O25</f>
        <v>3</v>
      </c>
      <c r="AC24">
        <f>'Mall, Citadel, Rotana'!Q25+'Mall, Citadel, Rotana'!S25</f>
        <v>121</v>
      </c>
      <c r="AD24" s="34">
        <f t="shared" si="1"/>
        <v>73.897755799999999</v>
      </c>
      <c r="AE24" s="34">
        <f t="shared" si="2"/>
        <v>486.78324420000001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750</v>
      </c>
      <c r="F25" s="36">
        <f>Water!E26</f>
        <v>330</v>
      </c>
      <c r="G25" s="36">
        <f>Water!G26</f>
        <v>418.5</v>
      </c>
      <c r="H25" s="36">
        <f>Water!I26</f>
        <v>5.7240000000000002</v>
      </c>
      <c r="I25" s="36">
        <f>ELECT.!F26</f>
        <v>14899</v>
      </c>
      <c r="J25" s="36">
        <f>ELECT.!H26</f>
        <v>56165</v>
      </c>
      <c r="K25" s="36">
        <f>ELECT.!K26</f>
        <v>14558</v>
      </c>
      <c r="L25" s="36">
        <f>ELECT.!M26</f>
        <v>6997</v>
      </c>
      <c r="M25" s="36">
        <f>ELECT.!O26</f>
        <v>7700</v>
      </c>
      <c r="N25" s="36">
        <f>ELECT.!Q26</f>
        <v>8145</v>
      </c>
      <c r="O25" s="36">
        <f>ELECT.!S26</f>
        <v>12701</v>
      </c>
      <c r="P25" s="36">
        <f>ELECT.!W26*2</f>
        <v>26298</v>
      </c>
      <c r="Q25" s="36">
        <f>ELECT.!D26</f>
        <v>320</v>
      </c>
      <c r="R25" s="129">
        <f>BTU!C26</f>
        <v>4.0509999999994761</v>
      </c>
      <c r="S25" s="129">
        <f>BTU!F26</f>
        <v>1.225999999999658</v>
      </c>
      <c r="T25" s="129">
        <f>BTU!I26</f>
        <v>4</v>
      </c>
      <c r="U25" s="129">
        <f>BTU!O26</f>
        <v>2.1449999999999818</v>
      </c>
      <c r="V25" s="129">
        <f>BTU!L26</f>
        <v>0.67000000000007276</v>
      </c>
      <c r="W25" s="129">
        <f>BTU!R26</f>
        <v>1.0099999999993088</v>
      </c>
      <c r="X25" s="34">
        <f>ELECT.!B26</f>
        <v>228</v>
      </c>
      <c r="Y25" s="34">
        <f t="shared" si="0"/>
        <v>-5335</v>
      </c>
      <c r="Z25">
        <f>'Mall, Citadel, Rotana'!C26+'Mall, Citadel, Rotana'!E26+'Mall, Citadel, Rotana'!G26+'Mall, Citadel, Rotana'!I26</f>
        <v>1192</v>
      </c>
      <c r="AA25">
        <f>'Mall, Citadel, Rotana'!K26+'Mall, Citadel, Rotana'!M26</f>
        <v>386</v>
      </c>
      <c r="AB25">
        <f>'Mall, Citadel, Rotana'!O26</f>
        <v>3</v>
      </c>
      <c r="AC25">
        <f>'Mall, Citadel, Rotana'!Q26+'Mall, Citadel, Rotana'!S26</f>
        <v>185</v>
      </c>
      <c r="AD25" s="34">
        <f t="shared" si="1"/>
        <v>72.526376799999994</v>
      </c>
      <c r="AE25" s="34">
        <f t="shared" si="2"/>
        <v>477.74962319999997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800</v>
      </c>
      <c r="F26" s="36">
        <f>Water!E27</f>
        <v>310</v>
      </c>
      <c r="G26" s="36">
        <f>Water!G27</f>
        <v>488.7</v>
      </c>
      <c r="H26" s="36">
        <f>Water!I27</f>
        <v>4.9139999999999997</v>
      </c>
      <c r="I26" s="36">
        <f>ELECT.!F27</f>
        <v>14012</v>
      </c>
      <c r="J26" s="36">
        <f>ELECT.!H27</f>
        <v>38573</v>
      </c>
      <c r="K26" s="36">
        <f>ELECT.!K27</f>
        <v>10738</v>
      </c>
      <c r="L26" s="36">
        <f>ELECT.!M27</f>
        <v>5264</v>
      </c>
      <c r="M26" s="36">
        <f>ELECT.!O27</f>
        <v>8554</v>
      </c>
      <c r="N26" s="36">
        <f>ELECT.!Q27</f>
        <v>2405</v>
      </c>
      <c r="O26" s="36">
        <f>ELECT.!S27</f>
        <v>9693</v>
      </c>
      <c r="P26" s="36">
        <f>ELECT.!W27*2</f>
        <v>20330</v>
      </c>
      <c r="Q26" s="36">
        <f>ELECT.!D27</f>
        <v>480</v>
      </c>
      <c r="R26" s="129">
        <f>BTU!C27</f>
        <v>4.1749999999992724</v>
      </c>
      <c r="S26" s="129">
        <f>BTU!F27</f>
        <v>0.75500000000010914</v>
      </c>
      <c r="T26" s="129">
        <f>BTU!I27</f>
        <v>4</v>
      </c>
      <c r="U26" s="129">
        <f>BTU!O27</f>
        <v>2.4610000000002401</v>
      </c>
      <c r="V26" s="129">
        <f>BTU!L27</f>
        <v>1.180000000000291</v>
      </c>
      <c r="W26" s="129">
        <f>BTU!R27</f>
        <v>0</v>
      </c>
      <c r="X26" s="34">
        <f>ELECT.!B27</f>
        <v>230</v>
      </c>
      <c r="Y26" s="34">
        <f t="shared" si="0"/>
        <v>-4399</v>
      </c>
      <c r="Z26">
        <f>'Mall, Citadel, Rotana'!C27+'Mall, Citadel, Rotana'!E27+'Mall, Citadel, Rotana'!G27+'Mall, Citadel, Rotana'!I27</f>
        <v>1220</v>
      </c>
      <c r="AA26">
        <f>'Mall, Citadel, Rotana'!K27+'Mall, Citadel, Rotana'!M27</f>
        <v>244</v>
      </c>
      <c r="AB26">
        <f>'Mall, Citadel, Rotana'!O27</f>
        <v>3</v>
      </c>
      <c r="AC26">
        <f>'Mall, Citadel, Rotana'!Q27+'Mall, Citadel, Rotana'!S27</f>
        <v>145</v>
      </c>
      <c r="AD26" s="34">
        <f t="shared" si="1"/>
        <v>79.223134799999997</v>
      </c>
      <c r="AE26" s="34">
        <f t="shared" si="2"/>
        <v>521.86286519999999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760</v>
      </c>
      <c r="F27" s="36">
        <f>Water!E28</f>
        <v>330</v>
      </c>
      <c r="G27" s="36">
        <f>Water!G28</f>
        <v>413.1</v>
      </c>
      <c r="H27" s="36">
        <f>Water!I28</f>
        <v>5.5889999999999995</v>
      </c>
      <c r="I27" s="36">
        <f>ELECT.!F28</f>
        <v>11619</v>
      </c>
      <c r="J27" s="36">
        <f>ELECT.!H28</f>
        <v>33246</v>
      </c>
      <c r="K27" s="36">
        <f>ELECT.!K28</f>
        <v>9308</v>
      </c>
      <c r="L27" s="36">
        <f>ELECT.!M28</f>
        <v>4324</v>
      </c>
      <c r="M27" s="36">
        <f>ELECT.!O28</f>
        <v>7142</v>
      </c>
      <c r="N27" s="36">
        <f>ELECT.!Q28</f>
        <v>2081</v>
      </c>
      <c r="O27" s="36">
        <f>ELECT.!S28</f>
        <v>8557</v>
      </c>
      <c r="P27" s="36">
        <f>ELECT.!W28*2</f>
        <v>17164</v>
      </c>
      <c r="Q27" s="36">
        <f>ELECT.!D28</f>
        <v>480</v>
      </c>
      <c r="R27" s="129">
        <f>BTU!C28</f>
        <v>4.9320000000006985</v>
      </c>
      <c r="S27" s="129">
        <f>BTU!F28</f>
        <v>0.94700000000011642</v>
      </c>
      <c r="T27" s="129">
        <f>BTU!I28</f>
        <v>4</v>
      </c>
      <c r="U27" s="129">
        <f>BTU!O28</f>
        <v>2.9499999999998181</v>
      </c>
      <c r="V27" s="129">
        <f>BTU!L28</f>
        <v>1.5599999999994907</v>
      </c>
      <c r="W27" s="129">
        <f>BTU!R28</f>
        <v>1.9600000000000364</v>
      </c>
      <c r="X27" s="34">
        <f>ELECT.!B28</f>
        <v>220</v>
      </c>
      <c r="Y27" s="34">
        <f t="shared" si="0"/>
        <v>-3711</v>
      </c>
      <c r="Z27">
        <f>'Mall, Citadel, Rotana'!C28+'Mall, Citadel, Rotana'!E28+'Mall, Citadel, Rotana'!G28+'Mall, Citadel, Rotana'!I28</f>
        <v>1062</v>
      </c>
      <c r="AA27">
        <f>'Mall, Citadel, Rotana'!K28+'Mall, Citadel, Rotana'!M28</f>
        <v>259</v>
      </c>
      <c r="AB27">
        <f>'Mall, Citadel, Rotana'!O28</f>
        <v>4</v>
      </c>
      <c r="AC27">
        <f>'Mall, Citadel, Rotana'!Q28+'Mall, Citadel, Rotana'!S28</f>
        <v>140</v>
      </c>
      <c r="AD27" s="34">
        <f t="shared" si="1"/>
        <v>73.86216979999999</v>
      </c>
      <c r="AE27" s="34">
        <f t="shared" si="2"/>
        <v>486.5488302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750</v>
      </c>
      <c r="F28" s="36">
        <f>Water!E29</f>
        <v>310</v>
      </c>
      <c r="G28" s="36">
        <f>Water!G29</f>
        <v>445.5</v>
      </c>
      <c r="H28" s="36">
        <f>Water!I29</f>
        <v>5.7510000000000003</v>
      </c>
      <c r="I28" s="36">
        <f>ELECT.!F29</f>
        <v>20316</v>
      </c>
      <c r="J28" s="36">
        <f>ELECT.!H29</f>
        <v>56922</v>
      </c>
      <c r="K28" s="36">
        <f>ELECT.!K29</f>
        <v>16306</v>
      </c>
      <c r="L28" s="36">
        <f>ELECT.!M29</f>
        <v>7896</v>
      </c>
      <c r="M28" s="36">
        <f>ELECT.!O29</f>
        <v>12184</v>
      </c>
      <c r="N28" s="36">
        <f>ELECT.!Q29</f>
        <v>3542</v>
      </c>
      <c r="O28" s="36">
        <f>ELECT.!S29</f>
        <v>14286</v>
      </c>
      <c r="P28" s="36">
        <f>ELECT.!W29*2</f>
        <v>29800</v>
      </c>
      <c r="Q28" s="36">
        <f>ELECT.!D29</f>
        <v>480</v>
      </c>
      <c r="R28" s="129">
        <f>BTU!C29</f>
        <v>3.4720000000015716</v>
      </c>
      <c r="S28" s="129">
        <f>BTU!F29</f>
        <v>1.23700000000008</v>
      </c>
      <c r="T28" s="129">
        <f>BTU!I29</f>
        <v>3</v>
      </c>
      <c r="U28" s="129">
        <f>BTU!O29</f>
        <v>2.0380000000000109</v>
      </c>
      <c r="V28" s="129">
        <f>BTU!L29</f>
        <v>0.82999999999992724</v>
      </c>
      <c r="W28" s="129">
        <f>BTU!R29</f>
        <v>1.1999999999998181</v>
      </c>
      <c r="X28" s="34">
        <f>ELECT.!B29</f>
        <v>185</v>
      </c>
      <c r="Y28" s="34">
        <f t="shared" si="0"/>
        <v>-6776</v>
      </c>
      <c r="Z28">
        <f>'Mall, Citadel, Rotana'!C29+'Mall, Citadel, Rotana'!E29+'Mall, Citadel, Rotana'!G29+'Mall, Citadel, Rotana'!I29</f>
        <v>1210</v>
      </c>
      <c r="AA28">
        <f>'Mall, Citadel, Rotana'!K29+'Mall, Citadel, Rotana'!M29</f>
        <v>409</v>
      </c>
      <c r="AB28">
        <f>'Mall, Citadel, Rotana'!O29</f>
        <v>3</v>
      </c>
      <c r="AC28">
        <f>'Mall, Citadel, Rotana'!Q29+'Mall, Citadel, Rotana'!S29</f>
        <v>111</v>
      </c>
      <c r="AD28" s="34">
        <f t="shared" si="1"/>
        <v>72.522818200000003</v>
      </c>
      <c r="AE28" s="34">
        <f t="shared" si="2"/>
        <v>477.72618180000006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790</v>
      </c>
      <c r="F29" s="36">
        <f>Water!E30</f>
        <v>410</v>
      </c>
      <c r="G29" s="36">
        <f>Water!G30</f>
        <v>256.5</v>
      </c>
      <c r="H29" s="36">
        <f>Water!I30</f>
        <v>6.3179999999999996</v>
      </c>
      <c r="I29" s="36">
        <f>ELECT.!F30</f>
        <v>13050</v>
      </c>
      <c r="J29" s="36">
        <f>ELECT.!H30</f>
        <v>34894</v>
      </c>
      <c r="K29" s="36">
        <f>ELECT.!K30</f>
        <v>10550</v>
      </c>
      <c r="L29" s="36">
        <f>ELECT.!M30</f>
        <v>5040</v>
      </c>
      <c r="M29" s="36">
        <f>ELECT.!O30</f>
        <v>7770</v>
      </c>
      <c r="N29" s="36">
        <f>ELECT.!Q30</f>
        <v>2288</v>
      </c>
      <c r="O29" s="36">
        <f>ELECT.!S30</f>
        <v>8618</v>
      </c>
      <c r="P29" s="36">
        <f>ELECT.!W30*2</f>
        <v>17990</v>
      </c>
      <c r="Q29" s="36">
        <f>ELECT.!D30</f>
        <v>480</v>
      </c>
      <c r="R29" s="129">
        <f>BTU!C30</f>
        <v>4.1999999999970896</v>
      </c>
      <c r="S29" s="129">
        <f>BTU!F30</f>
        <v>0.79199999999946158</v>
      </c>
      <c r="T29" s="129">
        <f>BTU!I30</f>
        <v>4</v>
      </c>
      <c r="U29" s="129">
        <f>BTU!O30</f>
        <v>2.6330000000002656</v>
      </c>
      <c r="V29" s="129">
        <f>BTU!L30</f>
        <v>1.2900000000008731</v>
      </c>
      <c r="W29" s="129" t="str">
        <f>BTU!R30</f>
        <v>0</v>
      </c>
      <c r="X29" s="34">
        <f>ELECT.!B30</f>
        <v>249</v>
      </c>
      <c r="Y29" s="34">
        <f t="shared" si="0"/>
        <v>-4312</v>
      </c>
      <c r="Z29">
        <f>'Mall, Citadel, Rotana'!C30+'Mall, Citadel, Rotana'!E30+'Mall, Citadel, Rotana'!G30+'Mall, Citadel, Rotana'!I30</f>
        <v>1370</v>
      </c>
      <c r="AA29">
        <f>'Mall, Citadel, Rotana'!K30+'Mall, Citadel, Rotana'!M30</f>
        <v>414</v>
      </c>
      <c r="AB29">
        <f>'Mall, Citadel, Rotana'!O30</f>
        <v>3</v>
      </c>
      <c r="AC29">
        <f>'Mall, Citadel, Rotana'!Q30+'Mall, Citadel, Rotana'!S30</f>
        <v>140</v>
      </c>
      <c r="AD29" s="34">
        <f t="shared" si="1"/>
        <v>77.720087599999999</v>
      </c>
      <c r="AE29" s="34">
        <f t="shared" si="2"/>
        <v>511.96191240000007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790</v>
      </c>
      <c r="F30" s="36">
        <f>Water!E31</f>
        <v>360</v>
      </c>
      <c r="G30" s="36">
        <f>Water!G31</f>
        <v>664.2</v>
      </c>
      <c r="H30" s="36">
        <f>Water!I31</f>
        <v>6.048</v>
      </c>
      <c r="I30" s="36">
        <f>ELECT.!F31</f>
        <v>17735</v>
      </c>
      <c r="J30" s="36">
        <f>ELECT.!H31</f>
        <v>48907</v>
      </c>
      <c r="K30" s="36">
        <f>ELECT.!K31</f>
        <v>14144</v>
      </c>
      <c r="L30" s="36">
        <f>ELECT.!M31</f>
        <v>6871</v>
      </c>
      <c r="M30" s="36">
        <f>ELECT.!O31</f>
        <v>10728</v>
      </c>
      <c r="N30" s="36">
        <f>ELECT.!Q31</f>
        <v>2856</v>
      </c>
      <c r="O30" s="36">
        <f>ELECT.!S31</f>
        <v>12193</v>
      </c>
      <c r="P30" s="36">
        <f>ELECT.!W31*2</f>
        <v>25788</v>
      </c>
      <c r="Q30" s="36">
        <f>ELECT.!D31</f>
        <v>480</v>
      </c>
      <c r="R30" s="129">
        <f>BTU!C31</f>
        <v>3.1620000000002619</v>
      </c>
      <c r="S30" s="129">
        <f>BTU!F31</f>
        <v>1.6109999999998763</v>
      </c>
      <c r="T30" s="129">
        <f>BTU!I31</f>
        <v>3</v>
      </c>
      <c r="U30" s="129">
        <f>BTU!O31</f>
        <v>2.0729999999998654</v>
      </c>
      <c r="V30" s="129">
        <f>BTU!L31</f>
        <v>0.87000000000080036</v>
      </c>
      <c r="W30" s="129">
        <f>BTU!R31</f>
        <v>0</v>
      </c>
      <c r="X30" s="34">
        <f>ELECT.!B31</f>
        <v>299</v>
      </c>
      <c r="Y30" s="34">
        <f t="shared" si="0"/>
        <v>-5938</v>
      </c>
      <c r="Z30">
        <f>'Mall, Citadel, Rotana'!C31+'Mall, Citadel, Rotana'!E31+'Mall, Citadel, Rotana'!G31+'Mall, Citadel, Rotana'!I31</f>
        <v>1220</v>
      </c>
      <c r="AA30">
        <f>'Mall, Citadel, Rotana'!K31+'Mall, Citadel, Rotana'!M31</f>
        <v>415</v>
      </c>
      <c r="AB30">
        <f>'Mall, Citadel, Rotana'!O31</f>
        <v>4</v>
      </c>
      <c r="AC30">
        <f>'Mall, Citadel, Rotana'!Q31+'Mall, Citadel, Rotana'!S31</f>
        <v>145</v>
      </c>
      <c r="AD30" s="34">
        <f t="shared" si="1"/>
        <v>77.755673599999994</v>
      </c>
      <c r="AE30" s="34">
        <f t="shared" si="2"/>
        <v>512.19632639999998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1390</v>
      </c>
      <c r="F31" s="36">
        <f>Water!E32</f>
        <v>360</v>
      </c>
      <c r="G31" s="36">
        <f>Water!G32</f>
        <v>664.2</v>
      </c>
      <c r="H31" s="36">
        <f>Water!I32</f>
        <v>6.048</v>
      </c>
      <c r="I31" s="36">
        <f>ELECT.!F32</f>
        <v>11984</v>
      </c>
      <c r="J31" s="36">
        <f>ELECT.!H32</f>
        <v>31176</v>
      </c>
      <c r="K31" s="36">
        <f>ELECT.!K32</f>
        <v>9646</v>
      </c>
      <c r="L31" s="36">
        <f>ELECT.!M32</f>
        <v>4415</v>
      </c>
      <c r="M31" s="36">
        <f>ELECT.!O32</f>
        <v>7406</v>
      </c>
      <c r="N31" s="36">
        <f>ELECT.!Q32</f>
        <v>1821</v>
      </c>
      <c r="O31" s="36">
        <f>ELECT.!S32</f>
        <v>7637</v>
      </c>
      <c r="P31" s="36">
        <f>ELECT.!W32*2</f>
        <v>16254</v>
      </c>
      <c r="Q31" s="36">
        <f>ELECT.!D32</f>
        <v>480</v>
      </c>
      <c r="R31" s="129">
        <f>BTU!C32</f>
        <v>3.7430000000022119</v>
      </c>
      <c r="S31" s="129">
        <f>BTU!F32</f>
        <v>1.3820000000005166</v>
      </c>
      <c r="T31" s="129">
        <f>BTU!I32</f>
        <v>3</v>
      </c>
      <c r="U31" s="129">
        <f>BTU!O32</f>
        <v>2.5830000000000837</v>
      </c>
      <c r="V31" s="129">
        <f>BTU!L32</f>
        <v>1.1899999999986903</v>
      </c>
      <c r="W31" s="129">
        <f>BTU!R32</f>
        <v>0</v>
      </c>
      <c r="X31" s="34">
        <f>ELECT.!B32</f>
        <v>269</v>
      </c>
      <c r="Y31" s="34">
        <f t="shared" si="0"/>
        <v>-4019</v>
      </c>
      <c r="Z31">
        <f>'Mall, Citadel, Rotana'!C32+'Mall, Citadel, Rotana'!E32+'Mall, Citadel, Rotana'!G32+'Mall, Citadel, Rotana'!I32</f>
        <v>1362</v>
      </c>
      <c r="AA31">
        <f>'Mall, Citadel, Rotana'!K32+'Mall, Citadel, Rotana'!M32</f>
        <v>353</v>
      </c>
      <c r="AB31">
        <f>'Mall, Citadel, Rotana'!O32</f>
        <v>3</v>
      </c>
      <c r="AC31">
        <f>'Mall, Citadel, Rotana'!Q32+'Mall, Citadel, Rotana'!S32</f>
        <v>340</v>
      </c>
      <c r="AD31" s="34">
        <f t="shared" si="1"/>
        <v>156.83567360000001</v>
      </c>
      <c r="AE31" s="34">
        <f t="shared" si="2"/>
        <v>1033.1163263999999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C33" sqref="C3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341672</v>
      </c>
      <c r="K10" s="14">
        <f t="shared" si="7"/>
        <v>237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106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v>47836</v>
      </c>
      <c r="C12" s="14">
        <f t="shared" si="3"/>
        <v>640</v>
      </c>
      <c r="D12" s="32">
        <v>41130</v>
      </c>
      <c r="E12" s="14">
        <f t="shared" si="4"/>
        <v>480</v>
      </c>
      <c r="F12" s="32">
        <v>22270</v>
      </c>
      <c r="G12" s="14">
        <f t="shared" si="5"/>
        <v>60</v>
      </c>
      <c r="H12" s="32">
        <v>260096</v>
      </c>
      <c r="I12" s="14">
        <f t="shared" si="6"/>
        <v>29</v>
      </c>
      <c r="J12" s="32">
        <v>341954</v>
      </c>
      <c r="K12" s="14">
        <f t="shared" si="7"/>
        <v>176</v>
      </c>
      <c r="L12" s="32">
        <v>26670</v>
      </c>
      <c r="M12" s="14">
        <f t="shared" si="8"/>
        <v>180</v>
      </c>
      <c r="N12" s="32">
        <v>226557</v>
      </c>
      <c r="O12" s="14">
        <f t="shared" si="9"/>
        <v>3</v>
      </c>
      <c r="P12" s="32">
        <v>178178</v>
      </c>
      <c r="Q12" s="14">
        <f t="shared" si="2"/>
        <v>118</v>
      </c>
      <c r="R12" s="1">
        <f t="shared" si="11"/>
        <v>55047</v>
      </c>
      <c r="S12" s="14">
        <f t="shared" si="12"/>
        <v>0</v>
      </c>
      <c r="T12" s="32"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v>47840</v>
      </c>
      <c r="C13" s="14">
        <f t="shared" si="3"/>
        <v>640</v>
      </c>
      <c r="D13" s="32">
        <v>41132</v>
      </c>
      <c r="E13" s="14">
        <f t="shared" si="4"/>
        <v>320</v>
      </c>
      <c r="F13" s="32">
        <v>22274</v>
      </c>
      <c r="G13" s="14">
        <f t="shared" si="5"/>
        <v>80</v>
      </c>
      <c r="H13" s="32">
        <v>260102</v>
      </c>
      <c r="I13" s="14">
        <f t="shared" si="6"/>
        <v>6</v>
      </c>
      <c r="J13" s="32">
        <v>342056</v>
      </c>
      <c r="K13" s="14">
        <f t="shared" si="7"/>
        <v>102</v>
      </c>
      <c r="L13" s="32">
        <v>26672</v>
      </c>
      <c r="M13" s="14">
        <f t="shared" si="8"/>
        <v>120</v>
      </c>
      <c r="N13" s="32">
        <v>226560</v>
      </c>
      <c r="O13" s="14">
        <f t="shared" si="9"/>
        <v>3</v>
      </c>
      <c r="P13" s="32">
        <v>178294</v>
      </c>
      <c r="Q13" s="14">
        <f t="shared" si="2"/>
        <v>116</v>
      </c>
      <c r="R13" s="1">
        <f t="shared" si="11"/>
        <v>55047</v>
      </c>
      <c r="S13" s="14">
        <f t="shared" si="12"/>
        <v>0</v>
      </c>
      <c r="T13" s="32"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v>47845</v>
      </c>
      <c r="C14" s="14">
        <f t="shared" si="3"/>
        <v>800</v>
      </c>
      <c r="D14" s="32">
        <v>41135</v>
      </c>
      <c r="E14" s="14">
        <f t="shared" si="4"/>
        <v>480</v>
      </c>
      <c r="F14" s="32">
        <v>22277</v>
      </c>
      <c r="G14" s="14">
        <f t="shared" si="5"/>
        <v>60</v>
      </c>
      <c r="H14" s="32">
        <v>260125</v>
      </c>
      <c r="I14" s="14">
        <f t="shared" si="6"/>
        <v>23</v>
      </c>
      <c r="J14" s="32">
        <v>342194</v>
      </c>
      <c r="K14" s="14">
        <f t="shared" si="7"/>
        <v>138</v>
      </c>
      <c r="L14" s="32">
        <v>26674</v>
      </c>
      <c r="M14" s="14">
        <f t="shared" si="8"/>
        <v>120</v>
      </c>
      <c r="N14" s="32">
        <v>226563</v>
      </c>
      <c r="O14" s="14">
        <f t="shared" si="9"/>
        <v>3</v>
      </c>
      <c r="P14" s="32">
        <v>178412</v>
      </c>
      <c r="Q14" s="14">
        <f t="shared" si="2"/>
        <v>118</v>
      </c>
      <c r="R14" s="1">
        <f t="shared" si="11"/>
        <v>55047</v>
      </c>
      <c r="S14" s="14">
        <v>0</v>
      </c>
      <c r="T14" s="32">
        <v>4092</v>
      </c>
      <c r="U14" s="14">
        <f t="shared" si="10"/>
        <v>160</v>
      </c>
    </row>
    <row r="15" spans="1:24" ht="13.5" thickBot="1" x14ac:dyDescent="0.25">
      <c r="A15" s="9">
        <v>44878</v>
      </c>
      <c r="B15" s="32">
        <v>47849</v>
      </c>
      <c r="C15" s="14">
        <f t="shared" si="3"/>
        <v>640</v>
      </c>
      <c r="D15" s="32">
        <v>41138</v>
      </c>
      <c r="E15" s="14">
        <f t="shared" si="4"/>
        <v>480</v>
      </c>
      <c r="F15" s="32">
        <v>22280</v>
      </c>
      <c r="G15" s="14">
        <f t="shared" si="5"/>
        <v>60</v>
      </c>
      <c r="H15" s="32">
        <v>260159</v>
      </c>
      <c r="I15" s="14">
        <f t="shared" si="6"/>
        <v>34</v>
      </c>
      <c r="J15" s="32">
        <v>342357</v>
      </c>
      <c r="K15" s="14">
        <f t="shared" si="7"/>
        <v>163</v>
      </c>
      <c r="L15" s="32">
        <v>26677</v>
      </c>
      <c r="M15" s="14">
        <f t="shared" si="8"/>
        <v>180</v>
      </c>
      <c r="N15" s="32">
        <v>226567</v>
      </c>
      <c r="O15" s="14">
        <f t="shared" si="9"/>
        <v>4</v>
      </c>
      <c r="P15" s="32">
        <v>178579</v>
      </c>
      <c r="Q15" s="14">
        <f t="shared" si="2"/>
        <v>167</v>
      </c>
      <c r="R15" s="1">
        <f t="shared" si="11"/>
        <v>55047</v>
      </c>
      <c r="S15" s="14">
        <v>0</v>
      </c>
      <c r="T15" s="32">
        <v>4093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44879</v>
      </c>
      <c r="B16" s="32">
        <v>47854</v>
      </c>
      <c r="C16" s="14">
        <f t="shared" si="3"/>
        <v>800</v>
      </c>
      <c r="D16" s="32">
        <v>41141</v>
      </c>
      <c r="E16" s="14">
        <f t="shared" si="4"/>
        <v>480</v>
      </c>
      <c r="F16" s="32">
        <v>22283</v>
      </c>
      <c r="G16" s="14">
        <f t="shared" si="5"/>
        <v>60</v>
      </c>
      <c r="H16" s="32">
        <v>260191</v>
      </c>
      <c r="I16" s="14">
        <f t="shared" si="6"/>
        <v>32</v>
      </c>
      <c r="J16" s="32">
        <v>342533</v>
      </c>
      <c r="K16" s="14">
        <f t="shared" si="7"/>
        <v>176</v>
      </c>
      <c r="L16" s="32">
        <v>26680</v>
      </c>
      <c r="M16" s="14">
        <f t="shared" si="8"/>
        <v>180</v>
      </c>
      <c r="N16" s="32">
        <v>226570</v>
      </c>
      <c r="O16" s="14">
        <f t="shared" si="9"/>
        <v>3</v>
      </c>
      <c r="P16" s="32">
        <v>178631</v>
      </c>
      <c r="Q16" s="14">
        <f t="shared" si="2"/>
        <v>52</v>
      </c>
      <c r="R16" s="1">
        <f t="shared" si="11"/>
        <v>55047</v>
      </c>
      <c r="S16" s="14">
        <f t="shared" si="12"/>
        <v>0</v>
      </c>
      <c r="T16" s="32">
        <v>4094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44880</v>
      </c>
      <c r="B17" s="32">
        <v>47859</v>
      </c>
      <c r="C17" s="14">
        <f t="shared" si="3"/>
        <v>800</v>
      </c>
      <c r="D17" s="32">
        <v>41144</v>
      </c>
      <c r="E17" s="14">
        <f t="shared" si="4"/>
        <v>480</v>
      </c>
      <c r="F17" s="32">
        <v>22287</v>
      </c>
      <c r="G17" s="14">
        <f t="shared" si="5"/>
        <v>80</v>
      </c>
      <c r="H17" s="32">
        <v>260220</v>
      </c>
      <c r="I17" s="14">
        <f t="shared" si="6"/>
        <v>29</v>
      </c>
      <c r="J17" s="32">
        <v>342720</v>
      </c>
      <c r="K17" s="14">
        <f t="shared" si="7"/>
        <v>187</v>
      </c>
      <c r="L17" s="32">
        <v>26684</v>
      </c>
      <c r="M17" s="14">
        <f t="shared" si="8"/>
        <v>240</v>
      </c>
      <c r="N17" s="32">
        <v>226574</v>
      </c>
      <c r="O17" s="14">
        <f t="shared" si="9"/>
        <v>4</v>
      </c>
      <c r="P17" s="32">
        <v>178751</v>
      </c>
      <c r="Q17" s="14">
        <f t="shared" si="2"/>
        <v>120</v>
      </c>
      <c r="R17" s="1">
        <f t="shared" si="11"/>
        <v>55047</v>
      </c>
      <c r="S17" s="14">
        <f>S16</f>
        <v>0</v>
      </c>
      <c r="T17" s="32">
        <v>4095</v>
      </c>
      <c r="U17" s="14">
        <f t="shared" si="10"/>
        <v>160</v>
      </c>
    </row>
    <row r="18" spans="1:23" ht="13.5" thickBot="1" x14ac:dyDescent="0.25">
      <c r="A18" s="9">
        <v>44881</v>
      </c>
      <c r="B18" s="32">
        <v>47863</v>
      </c>
      <c r="C18" s="14">
        <f t="shared" si="3"/>
        <v>640</v>
      </c>
      <c r="D18" s="32">
        <v>41147</v>
      </c>
      <c r="E18" s="14">
        <f t="shared" si="4"/>
        <v>480</v>
      </c>
      <c r="F18" s="32">
        <v>22290</v>
      </c>
      <c r="G18" s="14">
        <f t="shared" si="5"/>
        <v>60</v>
      </c>
      <c r="H18" s="32">
        <v>260245</v>
      </c>
      <c r="I18" s="14">
        <f t="shared" si="6"/>
        <v>25</v>
      </c>
      <c r="J18" s="32">
        <v>342885</v>
      </c>
      <c r="K18" s="14">
        <f t="shared" si="7"/>
        <v>165</v>
      </c>
      <c r="L18" s="32">
        <v>26687</v>
      </c>
      <c r="M18" s="14">
        <f t="shared" si="8"/>
        <v>180</v>
      </c>
      <c r="N18" s="32">
        <v>226576</v>
      </c>
      <c r="O18" s="14">
        <f t="shared" si="9"/>
        <v>2</v>
      </c>
      <c r="P18" s="32">
        <v>179103</v>
      </c>
      <c r="Q18" s="14">
        <f t="shared" si="2"/>
        <v>352</v>
      </c>
      <c r="R18" s="1">
        <v>55047</v>
      </c>
      <c r="S18" s="14">
        <f t="shared" si="12"/>
        <v>0</v>
      </c>
      <c r="T18" s="32">
        <v>4095</v>
      </c>
      <c r="U18" s="14">
        <f t="shared" si="10"/>
        <v>0</v>
      </c>
    </row>
    <row r="19" spans="1:23" ht="13.5" thickBot="1" x14ac:dyDescent="0.25">
      <c r="A19" s="9">
        <v>44882</v>
      </c>
      <c r="B19" s="32">
        <v>47867</v>
      </c>
      <c r="C19" s="14">
        <f t="shared" si="3"/>
        <v>640</v>
      </c>
      <c r="D19" s="32">
        <v>41150</v>
      </c>
      <c r="E19" s="14">
        <f t="shared" si="4"/>
        <v>480</v>
      </c>
      <c r="F19" s="32">
        <v>22293</v>
      </c>
      <c r="G19" s="14">
        <f t="shared" si="5"/>
        <v>60</v>
      </c>
      <c r="H19" s="32">
        <v>260271</v>
      </c>
      <c r="I19" s="14">
        <f t="shared" si="6"/>
        <v>26</v>
      </c>
      <c r="J19" s="32">
        <v>343067</v>
      </c>
      <c r="K19" s="14">
        <f t="shared" si="7"/>
        <v>182</v>
      </c>
      <c r="L19" s="32">
        <v>26690</v>
      </c>
      <c r="M19" s="14">
        <f t="shared" si="8"/>
        <v>180</v>
      </c>
      <c r="N19" s="32">
        <v>226581</v>
      </c>
      <c r="O19" s="14">
        <f t="shared" si="9"/>
        <v>5</v>
      </c>
      <c r="P19" s="32">
        <v>179222</v>
      </c>
      <c r="Q19" s="14">
        <f t="shared" si="2"/>
        <v>119</v>
      </c>
      <c r="R19" s="1">
        <f t="shared" si="11"/>
        <v>55047</v>
      </c>
      <c r="S19" s="14">
        <f t="shared" si="12"/>
        <v>0</v>
      </c>
      <c r="T19" s="32">
        <v>4096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44883</v>
      </c>
      <c r="B20" s="32">
        <v>47873</v>
      </c>
      <c r="C20" s="14">
        <f t="shared" si="3"/>
        <v>960</v>
      </c>
      <c r="D20" s="32">
        <v>41153</v>
      </c>
      <c r="E20" s="14">
        <f t="shared" si="4"/>
        <v>480</v>
      </c>
      <c r="F20" s="32">
        <v>22296</v>
      </c>
      <c r="G20" s="14">
        <f t="shared" si="5"/>
        <v>60</v>
      </c>
      <c r="H20" s="32">
        <v>260282</v>
      </c>
      <c r="I20" s="14">
        <f t="shared" si="6"/>
        <v>11</v>
      </c>
      <c r="J20" s="32">
        <v>343190</v>
      </c>
      <c r="K20" s="14">
        <f t="shared" si="7"/>
        <v>123</v>
      </c>
      <c r="L20" s="32">
        <v>26692</v>
      </c>
      <c r="M20" s="14">
        <f t="shared" si="8"/>
        <v>120</v>
      </c>
      <c r="N20" s="32">
        <v>226583</v>
      </c>
      <c r="O20" s="14">
        <f t="shared" si="9"/>
        <v>2</v>
      </c>
      <c r="P20" s="32">
        <v>179342</v>
      </c>
      <c r="Q20" s="14">
        <f t="shared" si="2"/>
        <v>120</v>
      </c>
      <c r="R20" s="1">
        <f t="shared" si="11"/>
        <v>55047</v>
      </c>
      <c r="S20" s="14">
        <f t="shared" si="12"/>
        <v>0</v>
      </c>
      <c r="T20" s="32">
        <v>4097</v>
      </c>
      <c r="U20" s="14">
        <f t="shared" si="10"/>
        <v>160</v>
      </c>
    </row>
    <row r="21" spans="1:23" ht="13.5" thickBot="1" x14ac:dyDescent="0.25">
      <c r="A21" s="9">
        <v>44884</v>
      </c>
      <c r="B21" s="32">
        <v>47876</v>
      </c>
      <c r="C21" s="14">
        <f t="shared" si="3"/>
        <v>480</v>
      </c>
      <c r="D21" s="32">
        <v>41156</v>
      </c>
      <c r="E21" s="14">
        <f t="shared" si="4"/>
        <v>480</v>
      </c>
      <c r="F21" s="32">
        <v>22300</v>
      </c>
      <c r="G21" s="14">
        <f t="shared" si="5"/>
        <v>80</v>
      </c>
      <c r="H21" s="32">
        <v>260299</v>
      </c>
      <c r="I21" s="14">
        <f t="shared" si="6"/>
        <v>17</v>
      </c>
      <c r="J21" s="32">
        <v>343320</v>
      </c>
      <c r="K21" s="14">
        <f t="shared" si="7"/>
        <v>130</v>
      </c>
      <c r="L21" s="32">
        <v>26694</v>
      </c>
      <c r="M21" s="14">
        <f t="shared" si="8"/>
        <v>120</v>
      </c>
      <c r="N21" s="32">
        <v>226586</v>
      </c>
      <c r="O21" s="14">
        <f t="shared" si="9"/>
        <v>3</v>
      </c>
      <c r="P21" s="32">
        <v>179395</v>
      </c>
      <c r="Q21" s="14">
        <f t="shared" si="2"/>
        <v>53</v>
      </c>
      <c r="R21" s="1">
        <f t="shared" si="11"/>
        <v>55047</v>
      </c>
      <c r="S21" s="14">
        <f t="shared" si="12"/>
        <v>0</v>
      </c>
      <c r="T21" s="32">
        <v>4097</v>
      </c>
      <c r="U21" s="14">
        <f t="shared" si="10"/>
        <v>0</v>
      </c>
    </row>
    <row r="22" spans="1:23" ht="13.5" thickBot="1" x14ac:dyDescent="0.25">
      <c r="A22" s="9">
        <v>44885</v>
      </c>
      <c r="B22" s="32">
        <v>47880</v>
      </c>
      <c r="C22" s="14">
        <f t="shared" si="3"/>
        <v>640</v>
      </c>
      <c r="D22" s="32">
        <v>41158</v>
      </c>
      <c r="E22" s="14">
        <f t="shared" si="4"/>
        <v>320</v>
      </c>
      <c r="F22" s="32">
        <v>22303</v>
      </c>
      <c r="G22" s="14">
        <f t="shared" si="5"/>
        <v>60</v>
      </c>
      <c r="H22" s="32">
        <v>260330</v>
      </c>
      <c r="I22" s="14">
        <f t="shared" si="6"/>
        <v>31</v>
      </c>
      <c r="J22" s="32">
        <v>343487</v>
      </c>
      <c r="K22" s="14">
        <f t="shared" si="7"/>
        <v>167</v>
      </c>
      <c r="L22" s="32">
        <v>26698</v>
      </c>
      <c r="M22" s="14">
        <f t="shared" si="8"/>
        <v>240</v>
      </c>
      <c r="N22" s="32">
        <v>226590</v>
      </c>
      <c r="O22" s="14">
        <f t="shared" si="9"/>
        <v>4</v>
      </c>
      <c r="P22" s="32">
        <v>179592</v>
      </c>
      <c r="Q22" s="14">
        <f t="shared" si="2"/>
        <v>197</v>
      </c>
      <c r="R22" s="1">
        <v>55047</v>
      </c>
      <c r="S22" s="14">
        <f t="shared" si="12"/>
        <v>0</v>
      </c>
      <c r="T22" s="32">
        <v>4098</v>
      </c>
      <c r="U22" s="14">
        <f t="shared" si="10"/>
        <v>160</v>
      </c>
    </row>
    <row r="23" spans="1:23" ht="13.5" thickBot="1" x14ac:dyDescent="0.25">
      <c r="A23" s="9">
        <v>44886</v>
      </c>
      <c r="B23" s="32">
        <v>47884</v>
      </c>
      <c r="C23" s="14">
        <f t="shared" si="3"/>
        <v>640</v>
      </c>
      <c r="D23" s="32">
        <v>41161</v>
      </c>
      <c r="E23" s="14">
        <f t="shared" si="4"/>
        <v>480</v>
      </c>
      <c r="F23" s="32">
        <v>22307</v>
      </c>
      <c r="G23" s="14">
        <f t="shared" si="5"/>
        <v>80</v>
      </c>
      <c r="H23" s="32">
        <v>260362</v>
      </c>
      <c r="I23" s="14">
        <f t="shared" si="6"/>
        <v>32</v>
      </c>
      <c r="J23" s="32">
        <v>343654</v>
      </c>
      <c r="K23" s="14">
        <f t="shared" si="7"/>
        <v>167</v>
      </c>
      <c r="L23" s="32">
        <v>26701</v>
      </c>
      <c r="M23" s="14">
        <f t="shared" si="8"/>
        <v>180</v>
      </c>
      <c r="N23" s="32">
        <v>226592</v>
      </c>
      <c r="O23" s="14">
        <f t="shared" si="9"/>
        <v>2</v>
      </c>
      <c r="P23" s="32">
        <v>179708</v>
      </c>
      <c r="Q23" s="14">
        <f t="shared" si="2"/>
        <v>116</v>
      </c>
      <c r="R23" s="1">
        <f t="shared" si="11"/>
        <v>55047</v>
      </c>
      <c r="S23" s="14">
        <f t="shared" si="12"/>
        <v>0</v>
      </c>
      <c r="T23" s="32">
        <v>4099</v>
      </c>
      <c r="U23" s="14">
        <f t="shared" si="10"/>
        <v>160</v>
      </c>
    </row>
    <row r="24" spans="1:23" s="119" customFormat="1" ht="13.5" thickBot="1" x14ac:dyDescent="0.25">
      <c r="A24" s="9">
        <v>44887</v>
      </c>
      <c r="B24" s="32">
        <v>47889</v>
      </c>
      <c r="C24" s="14">
        <f t="shared" si="3"/>
        <v>800</v>
      </c>
      <c r="D24" s="32">
        <v>41164</v>
      </c>
      <c r="E24" s="14">
        <f t="shared" si="4"/>
        <v>480</v>
      </c>
      <c r="F24" s="32">
        <v>22310</v>
      </c>
      <c r="G24" s="14">
        <f t="shared" si="5"/>
        <v>60</v>
      </c>
      <c r="H24" s="32">
        <v>260396</v>
      </c>
      <c r="I24" s="14">
        <f t="shared" si="6"/>
        <v>34</v>
      </c>
      <c r="J24" s="32">
        <v>343820</v>
      </c>
      <c r="K24" s="14">
        <f t="shared" si="7"/>
        <v>166</v>
      </c>
      <c r="L24" s="32">
        <v>26705</v>
      </c>
      <c r="M24" s="14">
        <f t="shared" si="8"/>
        <v>240</v>
      </c>
      <c r="N24" s="32">
        <v>226596</v>
      </c>
      <c r="O24" s="14">
        <f t="shared" si="9"/>
        <v>4</v>
      </c>
      <c r="P24" s="32">
        <v>179829</v>
      </c>
      <c r="Q24" s="14">
        <f t="shared" si="2"/>
        <v>121</v>
      </c>
      <c r="R24" s="1">
        <f t="shared" si="11"/>
        <v>55047</v>
      </c>
      <c r="S24" s="14">
        <f t="shared" si="12"/>
        <v>0</v>
      </c>
      <c r="T24" s="32">
        <v>4099</v>
      </c>
      <c r="U24" s="14">
        <f t="shared" si="10"/>
        <v>0</v>
      </c>
    </row>
    <row r="25" spans="1:23" ht="13.5" thickBot="1" x14ac:dyDescent="0.25">
      <c r="A25" s="9">
        <v>44888</v>
      </c>
      <c r="B25" s="32">
        <v>47894</v>
      </c>
      <c r="C25" s="14">
        <f t="shared" si="3"/>
        <v>800</v>
      </c>
      <c r="D25" s="32">
        <v>41167</v>
      </c>
      <c r="E25" s="14">
        <f t="shared" si="4"/>
        <v>480</v>
      </c>
      <c r="F25" s="32">
        <v>22313</v>
      </c>
      <c r="G25" s="14">
        <f t="shared" si="5"/>
        <v>60</v>
      </c>
      <c r="H25" s="32">
        <v>260436</v>
      </c>
      <c r="I25" s="14">
        <f t="shared" si="6"/>
        <v>40</v>
      </c>
      <c r="J25" s="32">
        <v>343972</v>
      </c>
      <c r="K25" s="14">
        <f t="shared" si="7"/>
        <v>152</v>
      </c>
      <c r="L25" s="32">
        <v>26709</v>
      </c>
      <c r="M25" s="14">
        <f t="shared" si="8"/>
        <v>240</v>
      </c>
      <c r="N25" s="32">
        <v>226599</v>
      </c>
      <c r="O25" s="14">
        <f t="shared" si="9"/>
        <v>3</v>
      </c>
      <c r="P25" s="32">
        <v>179950</v>
      </c>
      <c r="Q25" s="14">
        <f t="shared" si="2"/>
        <v>121</v>
      </c>
      <c r="R25" s="1">
        <f t="shared" si="11"/>
        <v>55047</v>
      </c>
      <c r="S25" s="14">
        <f t="shared" si="12"/>
        <v>0</v>
      </c>
      <c r="T25" s="32">
        <v>4100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44889</v>
      </c>
      <c r="B26" s="32">
        <v>47898</v>
      </c>
      <c r="C26" s="14">
        <f t="shared" si="3"/>
        <v>640</v>
      </c>
      <c r="D26" s="32">
        <v>41170</v>
      </c>
      <c r="E26" s="14">
        <f t="shared" si="4"/>
        <v>480</v>
      </c>
      <c r="F26" s="32">
        <v>22316</v>
      </c>
      <c r="G26" s="14">
        <f t="shared" si="5"/>
        <v>60</v>
      </c>
      <c r="H26" s="32">
        <v>260448</v>
      </c>
      <c r="I26" s="14">
        <f t="shared" si="6"/>
        <v>12</v>
      </c>
      <c r="J26" s="32">
        <v>344178</v>
      </c>
      <c r="K26" s="14">
        <f t="shared" si="7"/>
        <v>206</v>
      </c>
      <c r="L26" s="32">
        <v>26712</v>
      </c>
      <c r="M26" s="14">
        <f t="shared" si="8"/>
        <v>180</v>
      </c>
      <c r="N26" s="32">
        <v>226602</v>
      </c>
      <c r="O26" s="14">
        <f t="shared" si="9"/>
        <v>3</v>
      </c>
      <c r="P26" s="32">
        <v>180135</v>
      </c>
      <c r="Q26" s="14">
        <f t="shared" si="2"/>
        <v>185</v>
      </c>
      <c r="R26" s="1">
        <f t="shared" si="11"/>
        <v>55047</v>
      </c>
      <c r="S26" s="14">
        <f t="shared" si="12"/>
        <v>0</v>
      </c>
      <c r="T26" s="32">
        <v>4101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44890</v>
      </c>
      <c r="B27" s="32">
        <v>47902</v>
      </c>
      <c r="C27" s="14">
        <f t="shared" si="3"/>
        <v>640</v>
      </c>
      <c r="D27" s="32">
        <v>41173</v>
      </c>
      <c r="E27" s="14">
        <f t="shared" si="4"/>
        <v>480</v>
      </c>
      <c r="F27" s="32">
        <v>22320</v>
      </c>
      <c r="G27" s="14">
        <f t="shared" si="5"/>
        <v>80</v>
      </c>
      <c r="H27" s="32">
        <v>260468</v>
      </c>
      <c r="I27" s="14">
        <f t="shared" si="6"/>
        <v>20</v>
      </c>
      <c r="J27" s="32">
        <v>344302</v>
      </c>
      <c r="K27" s="14">
        <f t="shared" si="7"/>
        <v>124</v>
      </c>
      <c r="L27" s="32">
        <v>26714</v>
      </c>
      <c r="M27" s="14">
        <f t="shared" si="8"/>
        <v>120</v>
      </c>
      <c r="N27" s="32">
        <v>226605</v>
      </c>
      <c r="O27" s="14">
        <f t="shared" si="9"/>
        <v>3</v>
      </c>
      <c r="P27" s="32">
        <v>180280</v>
      </c>
      <c r="Q27" s="14">
        <f t="shared" si="2"/>
        <v>145</v>
      </c>
      <c r="R27" s="1">
        <f t="shared" si="11"/>
        <v>55047</v>
      </c>
      <c r="S27" s="14">
        <f t="shared" si="12"/>
        <v>0</v>
      </c>
      <c r="T27" s="32">
        <f t="shared" si="13"/>
        <v>4101</v>
      </c>
      <c r="U27" s="14">
        <f t="shared" si="10"/>
        <v>0</v>
      </c>
    </row>
    <row r="28" spans="1:23" ht="13.5" thickBot="1" x14ac:dyDescent="0.25">
      <c r="A28" s="9">
        <v>44891</v>
      </c>
      <c r="B28" s="32">
        <v>47906</v>
      </c>
      <c r="C28" s="14">
        <f t="shared" si="3"/>
        <v>640</v>
      </c>
      <c r="D28" s="32">
        <v>41175</v>
      </c>
      <c r="E28" s="14">
        <f t="shared" si="4"/>
        <v>320</v>
      </c>
      <c r="F28" s="32">
        <v>22324</v>
      </c>
      <c r="G28" s="14">
        <f t="shared" si="5"/>
        <v>80</v>
      </c>
      <c r="H28" s="32">
        <v>260490</v>
      </c>
      <c r="I28" s="14">
        <f t="shared" si="6"/>
        <v>22</v>
      </c>
      <c r="J28" s="32">
        <v>344441</v>
      </c>
      <c r="K28" s="14">
        <f t="shared" si="7"/>
        <v>139</v>
      </c>
      <c r="L28" s="32">
        <v>26716</v>
      </c>
      <c r="M28" s="14">
        <f t="shared" si="8"/>
        <v>120</v>
      </c>
      <c r="N28" s="32">
        <v>226609</v>
      </c>
      <c r="O28" s="14">
        <f t="shared" si="9"/>
        <v>4</v>
      </c>
      <c r="P28" s="32">
        <v>180420</v>
      </c>
      <c r="Q28" s="14">
        <f t="shared" si="2"/>
        <v>140</v>
      </c>
      <c r="R28" s="1">
        <f t="shared" si="11"/>
        <v>55047</v>
      </c>
      <c r="S28" s="15">
        <f t="shared" si="12"/>
        <v>0</v>
      </c>
      <c r="T28" s="32">
        <v>4102</v>
      </c>
      <c r="U28" s="14">
        <f t="shared" si="10"/>
        <v>160</v>
      </c>
    </row>
    <row r="29" spans="1:23" ht="13.5" thickBot="1" x14ac:dyDescent="0.25">
      <c r="A29" s="9">
        <v>44892</v>
      </c>
      <c r="B29" s="32">
        <v>47910</v>
      </c>
      <c r="C29" s="14">
        <f t="shared" si="3"/>
        <v>640</v>
      </c>
      <c r="D29" s="32">
        <v>41178</v>
      </c>
      <c r="E29" s="14">
        <f t="shared" si="4"/>
        <v>480</v>
      </c>
      <c r="F29" s="32">
        <v>22328</v>
      </c>
      <c r="G29" s="14">
        <f t="shared" si="5"/>
        <v>80</v>
      </c>
      <c r="H29" s="32">
        <v>260500</v>
      </c>
      <c r="I29" s="14">
        <f t="shared" si="6"/>
        <v>10</v>
      </c>
      <c r="J29" s="32">
        <v>344610</v>
      </c>
      <c r="K29" s="14">
        <f t="shared" si="7"/>
        <v>169</v>
      </c>
      <c r="L29" s="32">
        <v>26720</v>
      </c>
      <c r="M29" s="14">
        <f t="shared" si="8"/>
        <v>240</v>
      </c>
      <c r="N29" s="32">
        <v>226612</v>
      </c>
      <c r="O29" s="14">
        <f t="shared" si="9"/>
        <v>3</v>
      </c>
      <c r="P29" s="32">
        <v>180531</v>
      </c>
      <c r="Q29" s="14">
        <f t="shared" si="2"/>
        <v>111</v>
      </c>
      <c r="R29" s="1">
        <f t="shared" si="11"/>
        <v>55047</v>
      </c>
      <c r="S29" s="14">
        <f t="shared" si="12"/>
        <v>0</v>
      </c>
      <c r="T29" s="32">
        <v>4103</v>
      </c>
      <c r="U29" s="14">
        <f t="shared" si="10"/>
        <v>160</v>
      </c>
    </row>
    <row r="30" spans="1:23" ht="13.5" thickBot="1" x14ac:dyDescent="0.25">
      <c r="A30" s="9">
        <v>44893</v>
      </c>
      <c r="B30" s="32">
        <v>47915</v>
      </c>
      <c r="C30" s="14">
        <f t="shared" si="3"/>
        <v>800</v>
      </c>
      <c r="D30" s="32">
        <v>41181</v>
      </c>
      <c r="E30" s="14">
        <f t="shared" si="4"/>
        <v>480</v>
      </c>
      <c r="F30" s="32">
        <v>22331</v>
      </c>
      <c r="G30" s="14">
        <f t="shared" si="5"/>
        <v>60</v>
      </c>
      <c r="H30" s="32">
        <v>260530</v>
      </c>
      <c r="I30" s="14">
        <f t="shared" si="6"/>
        <v>30</v>
      </c>
      <c r="J30" s="32">
        <v>344784</v>
      </c>
      <c r="K30" s="14">
        <f t="shared" si="7"/>
        <v>174</v>
      </c>
      <c r="L30" s="32">
        <v>26724</v>
      </c>
      <c r="M30" s="14">
        <f t="shared" si="8"/>
        <v>240</v>
      </c>
      <c r="N30" s="32">
        <v>226615</v>
      </c>
      <c r="O30" s="14">
        <f t="shared" si="9"/>
        <v>3</v>
      </c>
      <c r="P30" s="32">
        <v>180671</v>
      </c>
      <c r="Q30" s="14">
        <f t="shared" si="2"/>
        <v>140</v>
      </c>
      <c r="R30" s="1">
        <v>55047</v>
      </c>
      <c r="S30" s="14">
        <f t="shared" si="12"/>
        <v>0</v>
      </c>
      <c r="T30" s="32">
        <v>4103</v>
      </c>
      <c r="U30" s="14">
        <f t="shared" si="10"/>
        <v>0</v>
      </c>
    </row>
    <row r="31" spans="1:23" ht="13.5" thickBot="1" x14ac:dyDescent="0.25">
      <c r="A31" s="9">
        <v>44894</v>
      </c>
      <c r="B31" s="32">
        <v>47919</v>
      </c>
      <c r="C31" s="14">
        <f t="shared" si="3"/>
        <v>640</v>
      </c>
      <c r="D31" s="32">
        <v>41184</v>
      </c>
      <c r="E31" s="14">
        <f t="shared" si="4"/>
        <v>480</v>
      </c>
      <c r="F31" s="32">
        <v>22335</v>
      </c>
      <c r="G31" s="14">
        <f t="shared" si="5"/>
        <v>80</v>
      </c>
      <c r="H31" s="32">
        <v>260550</v>
      </c>
      <c r="I31" s="14">
        <f t="shared" si="6"/>
        <v>20</v>
      </c>
      <c r="J31" s="32">
        <v>344959</v>
      </c>
      <c r="K31" s="14">
        <f t="shared" si="7"/>
        <v>175</v>
      </c>
      <c r="L31" s="32">
        <v>26728</v>
      </c>
      <c r="M31" s="14">
        <f t="shared" si="8"/>
        <v>240</v>
      </c>
      <c r="N31" s="32">
        <v>226619</v>
      </c>
      <c r="O31" s="14">
        <f t="shared" si="9"/>
        <v>4</v>
      </c>
      <c r="P31" s="32">
        <v>180816</v>
      </c>
      <c r="Q31" s="14">
        <f t="shared" si="2"/>
        <v>145</v>
      </c>
      <c r="R31" s="1">
        <v>55047</v>
      </c>
      <c r="S31" s="14">
        <v>0</v>
      </c>
      <c r="T31" s="32">
        <v>4104</v>
      </c>
      <c r="U31" s="14">
        <f t="shared" si="10"/>
        <v>160</v>
      </c>
    </row>
    <row r="32" spans="1:23" ht="13.5" thickBot="1" x14ac:dyDescent="0.25">
      <c r="A32" s="9">
        <v>44895</v>
      </c>
      <c r="B32" s="32">
        <v>47924</v>
      </c>
      <c r="C32" s="14">
        <f t="shared" si="3"/>
        <v>800</v>
      </c>
      <c r="D32" s="32">
        <v>41187</v>
      </c>
      <c r="E32" s="14">
        <f t="shared" si="4"/>
        <v>480</v>
      </c>
      <c r="F32" s="32">
        <v>22338</v>
      </c>
      <c r="G32" s="14">
        <f t="shared" si="5"/>
        <v>60</v>
      </c>
      <c r="H32" s="32">
        <v>260572</v>
      </c>
      <c r="I32" s="14">
        <f t="shared" si="6"/>
        <v>22</v>
      </c>
      <c r="J32" s="32">
        <v>345132</v>
      </c>
      <c r="K32" s="14">
        <f t="shared" si="7"/>
        <v>173</v>
      </c>
      <c r="L32" s="32">
        <v>26731</v>
      </c>
      <c r="M32" s="14">
        <f t="shared" si="8"/>
        <v>180</v>
      </c>
      <c r="N32" s="32">
        <v>226622</v>
      </c>
      <c r="O32" s="14">
        <f t="shared" si="9"/>
        <v>3</v>
      </c>
      <c r="P32" s="32">
        <v>180956</v>
      </c>
      <c r="Q32" s="14">
        <f t="shared" si="2"/>
        <v>140</v>
      </c>
      <c r="R32" s="1">
        <v>55247</v>
      </c>
      <c r="S32" s="14">
        <f t="shared" si="12"/>
        <v>200</v>
      </c>
      <c r="T32" s="32">
        <v>4105</v>
      </c>
      <c r="U32" s="14">
        <f t="shared" si="10"/>
        <v>160</v>
      </c>
    </row>
    <row r="33" spans="1:21" ht="13.5" thickBot="1" x14ac:dyDescent="0.25">
      <c r="A33" s="14" t="s">
        <v>23</v>
      </c>
      <c r="B33" s="14"/>
      <c r="C33" s="14">
        <f>SUM(C3:C32)</f>
        <v>20960</v>
      </c>
      <c r="D33" s="14"/>
      <c r="E33" s="14">
        <f>SUM(E3:E32)</f>
        <v>13760</v>
      </c>
      <c r="F33" s="14"/>
      <c r="G33" s="14">
        <f>SUM(G3:G32)</f>
        <v>2040</v>
      </c>
      <c r="H33" s="14"/>
      <c r="I33" s="14">
        <f>SUM(I3:I32)</f>
        <v>722</v>
      </c>
      <c r="J33" s="14"/>
      <c r="K33" s="14">
        <f>SUM(K3:K32)</f>
        <v>4823</v>
      </c>
      <c r="L33" s="14"/>
      <c r="M33" s="14">
        <f>SUM(M3:M32)</f>
        <v>5640</v>
      </c>
      <c r="N33" s="14"/>
      <c r="O33" s="14">
        <f>SUM(O3:O32)</f>
        <v>97</v>
      </c>
      <c r="P33" s="14"/>
      <c r="Q33" s="14">
        <f>SUM(Q3:Q32)</f>
        <v>3995</v>
      </c>
      <c r="R33" s="14"/>
      <c r="S33" s="14">
        <f>SUM(S3:S32)</f>
        <v>200</v>
      </c>
      <c r="T33" s="14"/>
      <c r="U33" s="14">
        <f>SUM(U3:U32)</f>
        <v>3360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zoomScaleNormal="100" zoomScaleSheetLayoutView="110" workbookViewId="0">
      <pane ySplit="1" topLeftCell="A2" activePane="bottomLeft" state="frozen"/>
      <selection pane="bottomLeft" activeCell="B32" sqref="B32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>
        <v>273</v>
      </c>
      <c r="C12" s="131">
        <v>20312</v>
      </c>
      <c r="D12" s="38">
        <f>IF((C12-C11)&lt;0,"0",(C12-C11))*160</f>
        <v>480</v>
      </c>
      <c r="E12" s="132">
        <v>34589608</v>
      </c>
      <c r="F12" s="38">
        <f t="shared" si="5"/>
        <v>8807</v>
      </c>
      <c r="G12" s="133">
        <v>8551056</v>
      </c>
      <c r="H12" s="38">
        <f t="shared" si="6"/>
        <v>46559</v>
      </c>
      <c r="I12" s="134">
        <f t="shared" si="7"/>
        <v>55366</v>
      </c>
      <c r="J12" s="132">
        <v>838659</v>
      </c>
      <c r="K12" s="38">
        <f t="shared" si="15"/>
        <v>11126</v>
      </c>
      <c r="L12" s="135">
        <v>1149598</v>
      </c>
      <c r="M12" s="38">
        <f t="shared" si="8"/>
        <v>5691</v>
      </c>
      <c r="N12" s="132">
        <v>7849404</v>
      </c>
      <c r="O12" s="38">
        <f t="shared" si="16"/>
        <v>3444</v>
      </c>
      <c r="P12" s="135">
        <v>8778279</v>
      </c>
      <c r="Q12" s="38">
        <f t="shared" si="9"/>
        <v>10115</v>
      </c>
      <c r="R12" s="132">
        <v>23012793</v>
      </c>
      <c r="S12" s="38">
        <f t="shared" si="10"/>
        <v>9805</v>
      </c>
      <c r="T12" s="132">
        <v>0</v>
      </c>
      <c r="U12" s="136"/>
      <c r="V12" s="132">
        <v>1091666</v>
      </c>
      <c r="W12" s="38">
        <f t="shared" si="11"/>
        <v>10095</v>
      </c>
      <c r="X12" s="19">
        <f t="shared" si="12"/>
        <v>50276</v>
      </c>
      <c r="Y12" s="151">
        <f t="shared" si="13"/>
        <v>5090</v>
      </c>
      <c r="Z12" s="3">
        <f t="shared" si="14"/>
        <v>6792.9417919999996</v>
      </c>
      <c r="AA12" s="3">
        <f>SUM(Z1:Z12)</f>
        <v>77261.997883199991</v>
      </c>
    </row>
    <row r="13" spans="1:27" ht="16.5" thickBot="1" x14ac:dyDescent="0.3">
      <c r="A13" s="9">
        <v>44876</v>
      </c>
      <c r="B13" s="38">
        <v>305</v>
      </c>
      <c r="C13" s="131">
        <v>20314</v>
      </c>
      <c r="D13" s="38">
        <f t="shared" ref="D13" si="17">IF((C13-C12)&lt;0,"0",(C13-C12))*160</f>
        <v>320</v>
      </c>
      <c r="E13" s="132">
        <v>34599976</v>
      </c>
      <c r="F13" s="38">
        <f t="shared" ref="F13" si="18">IF((E13-E12)&lt;0,"0",(E13-E12))</f>
        <v>10368</v>
      </c>
      <c r="G13" s="133">
        <v>8608625</v>
      </c>
      <c r="H13" s="38">
        <f t="shared" si="6"/>
        <v>57569</v>
      </c>
      <c r="I13" s="134">
        <f t="shared" ref="I13" si="19">F13+H13</f>
        <v>67937</v>
      </c>
      <c r="J13" s="132">
        <v>845092</v>
      </c>
      <c r="K13" s="38">
        <f t="shared" ref="K13" si="20">(IF((J13-J12)&lt;0,"0",(J13-J12)))*2</f>
        <v>12866</v>
      </c>
      <c r="L13" s="135">
        <v>1156115</v>
      </c>
      <c r="M13" s="38">
        <f t="shared" ref="M13" si="21">IF((L13-L12)&lt;0,"0",(L13-L12))</f>
        <v>6517</v>
      </c>
      <c r="N13" s="132">
        <v>7851235</v>
      </c>
      <c r="O13" s="38">
        <f t="shared" ref="O13" si="22">(IF((N13-N12)&lt;0,"0",(N13-N12)))*2</f>
        <v>3662</v>
      </c>
      <c r="P13" s="135">
        <v>8790678</v>
      </c>
      <c r="Q13" s="38">
        <f t="shared" ref="Q13" si="23">IF((P13-P12)&lt;0,"0",(P13-P12))</f>
        <v>12399</v>
      </c>
      <c r="R13" s="132">
        <v>23024942</v>
      </c>
      <c r="S13" s="38">
        <f t="shared" ref="S13" si="24">IF((R13-R12)&lt;0,"0",(R13-R12))</f>
        <v>12149</v>
      </c>
      <c r="T13" s="132">
        <v>0</v>
      </c>
      <c r="U13" s="136"/>
      <c r="V13" s="132">
        <v>1104433</v>
      </c>
      <c r="W13" s="38">
        <f t="shared" si="11"/>
        <v>12767</v>
      </c>
      <c r="X13" s="19">
        <f t="shared" ref="X13" si="25">K13+M13+O13+Q13+S13+U13+W13</f>
        <v>60360</v>
      </c>
      <c r="Y13" s="151">
        <f t="shared" si="13"/>
        <v>7577</v>
      </c>
      <c r="Z13" s="3">
        <f t="shared" ref="Z13" si="26">(0.93352*(W13+S13)+0.5568*(Q13+O13))*0.26</f>
        <v>8372.6107711999994</v>
      </c>
      <c r="AA13" s="3">
        <f>SUM(Z1:Z13)</f>
        <v>85634.608654399985</v>
      </c>
    </row>
    <row r="14" spans="1:27" ht="16.5" thickBot="1" x14ac:dyDescent="0.3">
      <c r="A14" s="9">
        <v>44877</v>
      </c>
      <c r="B14" s="38">
        <v>265</v>
      </c>
      <c r="C14" s="131">
        <v>20318</v>
      </c>
      <c r="D14" s="38">
        <f t="shared" si="4"/>
        <v>640</v>
      </c>
      <c r="E14" s="132">
        <v>34610045</v>
      </c>
      <c r="F14" s="38">
        <f t="shared" si="5"/>
        <v>10069</v>
      </c>
      <c r="G14" s="133">
        <v>8663733</v>
      </c>
      <c r="H14" s="38">
        <f t="shared" si="6"/>
        <v>55108</v>
      </c>
      <c r="I14" s="134">
        <f t="shared" si="7"/>
        <v>65177</v>
      </c>
      <c r="J14" s="132">
        <v>851408</v>
      </c>
      <c r="K14" s="38">
        <f t="shared" si="15"/>
        <v>12632</v>
      </c>
      <c r="L14" s="135">
        <v>1162442</v>
      </c>
      <c r="M14" s="38">
        <f t="shared" si="8"/>
        <v>6327</v>
      </c>
      <c r="N14" s="132">
        <v>7853023</v>
      </c>
      <c r="O14" s="38">
        <f t="shared" si="16"/>
        <v>3576</v>
      </c>
      <c r="P14" s="135">
        <v>8802386</v>
      </c>
      <c r="Q14" s="38">
        <f t="shared" si="9"/>
        <v>11708</v>
      </c>
      <c r="R14" s="132">
        <v>23036488</v>
      </c>
      <c r="S14" s="38">
        <f>IF((R14-R13)&lt;0,"0",(R14-R13))</f>
        <v>11546</v>
      </c>
      <c r="T14" s="132">
        <v>0</v>
      </c>
      <c r="U14" s="136"/>
      <c r="V14" s="132">
        <v>1116634</v>
      </c>
      <c r="W14" s="38">
        <f t="shared" si="11"/>
        <v>12201</v>
      </c>
      <c r="X14" s="19">
        <f t="shared" si="12"/>
        <v>57990</v>
      </c>
      <c r="Y14" s="151">
        <f t="shared" si="13"/>
        <v>7187</v>
      </c>
      <c r="Z14" s="3">
        <f t="shared" si="14"/>
        <v>7976.3919663999995</v>
      </c>
      <c r="AA14" s="3">
        <f>SUM(Z1:Z14)</f>
        <v>93611.000620799983</v>
      </c>
    </row>
    <row r="15" spans="1:27" ht="16.5" thickBot="1" x14ac:dyDescent="0.3">
      <c r="A15" s="9">
        <v>44878</v>
      </c>
      <c r="B15" s="38">
        <v>232</v>
      </c>
      <c r="C15" s="131">
        <v>20321</v>
      </c>
      <c r="D15" s="38">
        <f t="shared" si="4"/>
        <v>480</v>
      </c>
      <c r="E15" s="132">
        <v>34620837</v>
      </c>
      <c r="F15" s="38">
        <f t="shared" si="5"/>
        <v>10792</v>
      </c>
      <c r="G15" s="133">
        <v>8718544</v>
      </c>
      <c r="H15" s="38">
        <f t="shared" si="6"/>
        <v>54811</v>
      </c>
      <c r="I15" s="134">
        <f t="shared" si="7"/>
        <v>65603</v>
      </c>
      <c r="J15" s="132">
        <v>857955</v>
      </c>
      <c r="K15" s="38">
        <f t="shared" si="15"/>
        <v>13094</v>
      </c>
      <c r="L15" s="135">
        <v>1168824</v>
      </c>
      <c r="M15" s="38">
        <f t="shared" si="8"/>
        <v>6382</v>
      </c>
      <c r="N15" s="132">
        <v>7855132</v>
      </c>
      <c r="O15" s="38">
        <f t="shared" si="16"/>
        <v>4218</v>
      </c>
      <c r="P15" s="135">
        <v>8814274</v>
      </c>
      <c r="Q15" s="38">
        <f t="shared" si="9"/>
        <v>11888</v>
      </c>
      <c r="R15" s="132">
        <v>23048082</v>
      </c>
      <c r="S15" s="38">
        <f>IF((R15-R14)&lt;0,"0",(R15-R14))</f>
        <v>11594</v>
      </c>
      <c r="T15" s="132">
        <v>0</v>
      </c>
      <c r="U15" s="136"/>
      <c r="V15" s="132">
        <v>1128468</v>
      </c>
      <c r="W15" s="38">
        <f t="shared" si="11"/>
        <v>11834</v>
      </c>
      <c r="X15" s="19">
        <f t="shared" si="12"/>
        <v>59010</v>
      </c>
      <c r="Y15" s="151">
        <f t="shared" si="13"/>
        <v>6593</v>
      </c>
      <c r="Z15" s="3">
        <f t="shared" si="14"/>
        <v>8017.9651136000011</v>
      </c>
      <c r="AA15" s="3">
        <f>SUM(Z1:Z15)</f>
        <v>101628.96573439999</v>
      </c>
    </row>
    <row r="16" spans="1:27" ht="16.5" thickBot="1" x14ac:dyDescent="0.3">
      <c r="A16" s="9">
        <v>44879</v>
      </c>
      <c r="B16" s="38">
        <v>227</v>
      </c>
      <c r="C16" s="131">
        <v>20325</v>
      </c>
      <c r="D16" s="38">
        <f t="shared" si="4"/>
        <v>640</v>
      </c>
      <c r="E16" s="132">
        <v>34628450</v>
      </c>
      <c r="F16" s="38">
        <f t="shared" si="5"/>
        <v>7613</v>
      </c>
      <c r="G16" s="133">
        <v>8755017</v>
      </c>
      <c r="H16" s="38">
        <f t="shared" si="6"/>
        <v>36473</v>
      </c>
      <c r="I16" s="134">
        <f t="shared" si="7"/>
        <v>44086</v>
      </c>
      <c r="J16" s="132">
        <v>861944</v>
      </c>
      <c r="K16" s="38">
        <f t="shared" si="15"/>
        <v>7978</v>
      </c>
      <c r="L16" s="135">
        <v>1173626</v>
      </c>
      <c r="M16" s="38">
        <f t="shared" si="8"/>
        <v>4802</v>
      </c>
      <c r="N16" s="132">
        <v>7856471</v>
      </c>
      <c r="O16" s="38">
        <f t="shared" si="16"/>
        <v>2678</v>
      </c>
      <c r="P16" s="135">
        <v>8822051</v>
      </c>
      <c r="Q16" s="38">
        <f t="shared" si="9"/>
        <v>7777</v>
      </c>
      <c r="R16" s="132">
        <v>23056020</v>
      </c>
      <c r="S16" s="38">
        <f t="shared" si="10"/>
        <v>7938</v>
      </c>
      <c r="T16" s="132">
        <v>0</v>
      </c>
      <c r="U16" s="136"/>
      <c r="V16" s="132">
        <v>1136480</v>
      </c>
      <c r="W16" s="38">
        <f t="shared" si="11"/>
        <v>8012</v>
      </c>
      <c r="X16" s="19">
        <f t="shared" si="12"/>
        <v>39185</v>
      </c>
      <c r="Y16" s="151">
        <f t="shared" si="13"/>
        <v>4901</v>
      </c>
      <c r="Z16" s="3">
        <f t="shared" si="14"/>
        <v>5384.8568800000003</v>
      </c>
      <c r="AA16" s="3">
        <f>SUM(Z1:Z16)</f>
        <v>107013.82261439999</v>
      </c>
    </row>
    <row r="17" spans="1:27" s="118" customFormat="1" ht="16.5" thickBot="1" x14ac:dyDescent="0.3">
      <c r="A17" s="9">
        <v>44880</v>
      </c>
      <c r="B17" s="38">
        <v>168</v>
      </c>
      <c r="C17" s="131">
        <v>20328</v>
      </c>
      <c r="D17" s="38">
        <f t="shared" si="4"/>
        <v>480</v>
      </c>
      <c r="E17" s="132">
        <v>34640424</v>
      </c>
      <c r="F17" s="38">
        <f t="shared" si="5"/>
        <v>11974</v>
      </c>
      <c r="G17" s="133">
        <v>8815854</v>
      </c>
      <c r="H17" s="38">
        <f t="shared" si="6"/>
        <v>60837</v>
      </c>
      <c r="I17" s="137">
        <f t="shared" si="7"/>
        <v>72811</v>
      </c>
      <c r="J17" s="132">
        <v>867637</v>
      </c>
      <c r="K17" s="117">
        <f t="shared" si="15"/>
        <v>11386</v>
      </c>
      <c r="L17" s="135">
        <v>1181366</v>
      </c>
      <c r="M17" s="117">
        <f t="shared" si="8"/>
        <v>7740</v>
      </c>
      <c r="N17" s="132">
        <v>7858487</v>
      </c>
      <c r="O17" s="117">
        <f t="shared" si="16"/>
        <v>4032</v>
      </c>
      <c r="P17" s="135">
        <v>8834113</v>
      </c>
      <c r="Q17" s="117">
        <f t="shared" si="9"/>
        <v>12062</v>
      </c>
      <c r="R17" s="132">
        <v>23069684</v>
      </c>
      <c r="S17" s="117">
        <f t="shared" si="10"/>
        <v>13664</v>
      </c>
      <c r="T17" s="138">
        <v>0</v>
      </c>
      <c r="U17" s="136"/>
      <c r="V17" s="132">
        <v>1150567</v>
      </c>
      <c r="W17" s="117">
        <f t="shared" si="11"/>
        <v>14087</v>
      </c>
      <c r="X17" s="19">
        <f t="shared" si="12"/>
        <v>62971</v>
      </c>
      <c r="Y17" s="138">
        <f t="shared" si="13"/>
        <v>9840</v>
      </c>
      <c r="Z17" s="139">
        <f t="shared" si="14"/>
        <v>9065.4857071999995</v>
      </c>
      <c r="AA17" s="3">
        <f>SUM(Z1:Z17)</f>
        <v>116079.30832159999</v>
      </c>
    </row>
    <row r="18" spans="1:27" s="118" customFormat="1" ht="16.5" thickBot="1" x14ac:dyDescent="0.3">
      <c r="A18" s="9">
        <v>44881</v>
      </c>
      <c r="B18" s="38">
        <v>235</v>
      </c>
      <c r="C18" s="131">
        <v>20331</v>
      </c>
      <c r="D18" s="38">
        <f t="shared" si="4"/>
        <v>480</v>
      </c>
      <c r="E18" s="132">
        <v>34648255</v>
      </c>
      <c r="F18" s="38">
        <f t="shared" si="5"/>
        <v>7831</v>
      </c>
      <c r="G18" s="133">
        <v>8854119</v>
      </c>
      <c r="H18" s="38">
        <f t="shared" si="6"/>
        <v>38265</v>
      </c>
      <c r="I18" s="137">
        <f t="shared" si="7"/>
        <v>46096</v>
      </c>
      <c r="J18" s="132">
        <v>871370</v>
      </c>
      <c r="K18" s="117">
        <f t="shared" si="15"/>
        <v>7466</v>
      </c>
      <c r="L18" s="135">
        <v>1186348</v>
      </c>
      <c r="M18" s="117">
        <f t="shared" si="8"/>
        <v>4982</v>
      </c>
      <c r="N18" s="132">
        <v>7859444</v>
      </c>
      <c r="O18" s="117">
        <f t="shared" si="16"/>
        <v>1914</v>
      </c>
      <c r="P18" s="135">
        <v>8842016</v>
      </c>
      <c r="Q18" s="117">
        <f t="shared" si="9"/>
        <v>7903</v>
      </c>
      <c r="R18" s="132">
        <v>23077793</v>
      </c>
      <c r="S18" s="117">
        <f t="shared" si="10"/>
        <v>8109</v>
      </c>
      <c r="T18" s="138">
        <v>0</v>
      </c>
      <c r="U18" s="136"/>
      <c r="V18" s="132">
        <v>1159102</v>
      </c>
      <c r="W18" s="117">
        <f t="shared" si="11"/>
        <v>8535</v>
      </c>
      <c r="X18" s="19">
        <f t="shared" si="12"/>
        <v>38909</v>
      </c>
      <c r="Y18" s="138">
        <f t="shared" si="13"/>
        <v>7187</v>
      </c>
      <c r="Z18" s="139">
        <f t="shared" si="14"/>
        <v>5460.9392447999999</v>
      </c>
      <c r="AA18" s="3">
        <f>SUM(Z1:Z18)</f>
        <v>121540.24756639999</v>
      </c>
    </row>
    <row r="19" spans="1:27" s="118" customFormat="1" ht="16.5" thickBot="1" x14ac:dyDescent="0.3">
      <c r="A19" s="9">
        <v>44882</v>
      </c>
      <c r="B19" s="38">
        <v>187</v>
      </c>
      <c r="C19" s="131">
        <v>20334</v>
      </c>
      <c r="D19" s="38">
        <f t="shared" si="4"/>
        <v>480</v>
      </c>
      <c r="E19" s="132">
        <v>34655195</v>
      </c>
      <c r="F19" s="38">
        <f t="shared" si="5"/>
        <v>6940</v>
      </c>
      <c r="G19" s="133">
        <v>8898615</v>
      </c>
      <c r="H19" s="38">
        <f t="shared" si="6"/>
        <v>44496</v>
      </c>
      <c r="I19" s="137">
        <f t="shared" si="7"/>
        <v>51436</v>
      </c>
      <c r="J19" s="132">
        <v>877360</v>
      </c>
      <c r="K19" s="117">
        <f t="shared" si="15"/>
        <v>11980</v>
      </c>
      <c r="L19" s="135">
        <v>1191696</v>
      </c>
      <c r="M19" s="117">
        <f t="shared" si="8"/>
        <v>5348</v>
      </c>
      <c r="N19" s="132">
        <v>7860564</v>
      </c>
      <c r="O19" s="117">
        <f t="shared" si="16"/>
        <v>2240</v>
      </c>
      <c r="P19" s="135">
        <v>8851436</v>
      </c>
      <c r="Q19" s="117">
        <f t="shared" si="9"/>
        <v>9420</v>
      </c>
      <c r="R19" s="132">
        <v>23087001</v>
      </c>
      <c r="S19" s="117">
        <f t="shared" si="10"/>
        <v>9208</v>
      </c>
      <c r="T19" s="138">
        <v>0</v>
      </c>
      <c r="U19" s="136"/>
      <c r="V19" s="132">
        <v>1166955</v>
      </c>
      <c r="W19" s="117">
        <f t="shared" si="11"/>
        <v>7853</v>
      </c>
      <c r="X19" s="19">
        <f t="shared" si="12"/>
        <v>46049</v>
      </c>
      <c r="Y19" s="138">
        <f t="shared" si="13"/>
        <v>5387</v>
      </c>
      <c r="Z19" s="139">
        <f t="shared" si="14"/>
        <v>5828.9589071999999</v>
      </c>
      <c r="AA19" s="3">
        <f>SUM(Z1:Z19)</f>
        <v>127369.20647359999</v>
      </c>
    </row>
    <row r="20" spans="1:27" s="118" customFormat="1" ht="16.5" thickBot="1" x14ac:dyDescent="0.3">
      <c r="A20" s="9">
        <v>44883</v>
      </c>
      <c r="B20" s="38">
        <v>184</v>
      </c>
      <c r="C20" s="131">
        <v>20337</v>
      </c>
      <c r="D20" s="38">
        <f t="shared" si="4"/>
        <v>480</v>
      </c>
      <c r="E20" s="132">
        <v>34664930</v>
      </c>
      <c r="F20" s="38">
        <f t="shared" si="5"/>
        <v>9735</v>
      </c>
      <c r="G20" s="133">
        <v>8953988</v>
      </c>
      <c r="H20" s="38">
        <f t="shared" si="6"/>
        <v>55373</v>
      </c>
      <c r="I20" s="137">
        <f t="shared" si="7"/>
        <v>65108</v>
      </c>
      <c r="J20" s="132">
        <v>883672</v>
      </c>
      <c r="K20" s="117">
        <f t="shared" si="15"/>
        <v>12624</v>
      </c>
      <c r="L20" s="135">
        <v>1198374</v>
      </c>
      <c r="M20" s="117">
        <f t="shared" si="8"/>
        <v>6678</v>
      </c>
      <c r="N20" s="132">
        <v>7861999</v>
      </c>
      <c r="O20" s="117">
        <f t="shared" si="16"/>
        <v>2870</v>
      </c>
      <c r="P20" s="135">
        <v>8863378</v>
      </c>
      <c r="Q20" s="117">
        <f t="shared" si="9"/>
        <v>11942</v>
      </c>
      <c r="R20" s="132">
        <v>23098790</v>
      </c>
      <c r="S20" s="117">
        <f t="shared" si="10"/>
        <v>11789</v>
      </c>
      <c r="T20" s="138">
        <v>0</v>
      </c>
      <c r="U20" s="136"/>
      <c r="V20" s="132">
        <v>1181093</v>
      </c>
      <c r="W20" s="117">
        <f t="shared" si="11"/>
        <v>14138</v>
      </c>
      <c r="X20" s="19">
        <f t="shared" si="12"/>
        <v>60041</v>
      </c>
      <c r="Y20" s="138">
        <f t="shared" si="13"/>
        <v>5067</v>
      </c>
      <c r="Z20" s="139">
        <f t="shared" si="14"/>
        <v>8437.1806064000011</v>
      </c>
      <c r="AA20" s="3">
        <f>SUM(Z1:Z20)</f>
        <v>135806.38707999999</v>
      </c>
    </row>
    <row r="21" spans="1:27" s="118" customFormat="1" ht="16.5" thickBot="1" x14ac:dyDescent="0.3">
      <c r="A21" s="9">
        <v>44884</v>
      </c>
      <c r="B21" s="38">
        <v>273</v>
      </c>
      <c r="C21" s="131">
        <v>20341</v>
      </c>
      <c r="D21" s="38">
        <f t="shared" si="4"/>
        <v>640</v>
      </c>
      <c r="E21" s="132">
        <v>34673304</v>
      </c>
      <c r="F21" s="38">
        <f t="shared" si="5"/>
        <v>8374</v>
      </c>
      <c r="G21" s="133">
        <v>9003532</v>
      </c>
      <c r="H21" s="38">
        <f t="shared" si="6"/>
        <v>49544</v>
      </c>
      <c r="I21" s="137">
        <f t="shared" si="7"/>
        <v>57918</v>
      </c>
      <c r="J21" s="132">
        <v>889340</v>
      </c>
      <c r="K21" s="117">
        <f t="shared" si="15"/>
        <v>11336</v>
      </c>
      <c r="L21" s="135">
        <v>1204162</v>
      </c>
      <c r="M21" s="117">
        <f t="shared" si="8"/>
        <v>5788</v>
      </c>
      <c r="N21" s="132">
        <v>7863228</v>
      </c>
      <c r="O21" s="117">
        <f t="shared" si="16"/>
        <v>2458</v>
      </c>
      <c r="P21" s="135">
        <v>8874496</v>
      </c>
      <c r="Q21" s="117">
        <f t="shared" si="9"/>
        <v>11118</v>
      </c>
      <c r="R21" s="132">
        <v>23109317</v>
      </c>
      <c r="S21" s="117">
        <f t="shared" si="10"/>
        <v>10527</v>
      </c>
      <c r="T21" s="138">
        <v>0</v>
      </c>
      <c r="U21" s="136"/>
      <c r="V21" s="132">
        <v>1191750</v>
      </c>
      <c r="W21" s="117">
        <f t="shared" si="11"/>
        <v>10657</v>
      </c>
      <c r="X21" s="19">
        <f t="shared" si="12"/>
        <v>51884</v>
      </c>
      <c r="Y21" s="138">
        <f t="shared" si="13"/>
        <v>6034</v>
      </c>
      <c r="Z21" s="139">
        <f t="shared" si="14"/>
        <v>7107.0491647999997</v>
      </c>
      <c r="AA21" s="3">
        <f>SUM(Z1:Z21)</f>
        <v>142913.43624479999</v>
      </c>
    </row>
    <row r="22" spans="1:27" ht="16.5" thickBot="1" x14ac:dyDescent="0.3">
      <c r="A22" s="9">
        <v>44885</v>
      </c>
      <c r="B22" s="38">
        <v>274</v>
      </c>
      <c r="C22" s="131">
        <v>20342</v>
      </c>
      <c r="D22" s="38">
        <f t="shared" si="4"/>
        <v>160</v>
      </c>
      <c r="E22" s="132">
        <v>34683107</v>
      </c>
      <c r="F22" s="38">
        <f t="shared" si="5"/>
        <v>9803</v>
      </c>
      <c r="G22" s="133">
        <v>9061410</v>
      </c>
      <c r="H22" s="38">
        <f t="shared" si="6"/>
        <v>57878</v>
      </c>
      <c r="I22" s="134">
        <f t="shared" si="7"/>
        <v>67681</v>
      </c>
      <c r="J22" s="132">
        <v>895850</v>
      </c>
      <c r="K22" s="117">
        <f t="shared" si="15"/>
        <v>13020</v>
      </c>
      <c r="L22" s="135">
        <v>1210911</v>
      </c>
      <c r="M22" s="38">
        <f t="shared" si="8"/>
        <v>6749</v>
      </c>
      <c r="N22" s="132">
        <v>7864699</v>
      </c>
      <c r="O22" s="38">
        <f t="shared" si="16"/>
        <v>2942</v>
      </c>
      <c r="P22" s="135">
        <v>8888628</v>
      </c>
      <c r="Q22" s="38">
        <f t="shared" si="9"/>
        <v>14132</v>
      </c>
      <c r="R22" s="132">
        <v>23121352</v>
      </c>
      <c r="S22" s="38">
        <f t="shared" si="10"/>
        <v>12035</v>
      </c>
      <c r="T22" s="132">
        <v>0</v>
      </c>
      <c r="U22" s="136"/>
      <c r="V22" s="132">
        <v>1204060</v>
      </c>
      <c r="W22" s="38">
        <f t="shared" si="11"/>
        <v>12310</v>
      </c>
      <c r="X22" s="19">
        <f t="shared" si="12"/>
        <v>61188</v>
      </c>
      <c r="Y22" s="151">
        <f t="shared" si="13"/>
        <v>6493</v>
      </c>
      <c r="Z22" s="3">
        <f t="shared" si="14"/>
        <v>8380.670376</v>
      </c>
      <c r="AA22" s="3">
        <f>SUM(Z1:Z22)</f>
        <v>151294.10662079998</v>
      </c>
    </row>
    <row r="23" spans="1:27" ht="16.5" thickBot="1" x14ac:dyDescent="0.3">
      <c r="A23" s="9">
        <v>44886</v>
      </c>
      <c r="B23" s="38">
        <v>266</v>
      </c>
      <c r="C23" s="131">
        <v>20345</v>
      </c>
      <c r="D23" s="38">
        <f t="shared" si="4"/>
        <v>480</v>
      </c>
      <c r="E23" s="132">
        <v>34686488</v>
      </c>
      <c r="F23" s="38">
        <f t="shared" si="5"/>
        <v>3381</v>
      </c>
      <c r="G23" s="133">
        <v>9098140</v>
      </c>
      <c r="H23" s="38">
        <f t="shared" si="6"/>
        <v>36730</v>
      </c>
      <c r="I23" s="134">
        <f t="shared" si="7"/>
        <v>40111</v>
      </c>
      <c r="J23" s="132">
        <v>900174</v>
      </c>
      <c r="K23" s="117">
        <f t="shared" si="15"/>
        <v>8648</v>
      </c>
      <c r="L23" s="135">
        <v>1215374</v>
      </c>
      <c r="M23" s="38">
        <f t="shared" si="8"/>
        <v>4463</v>
      </c>
      <c r="N23" s="132">
        <v>7865540</v>
      </c>
      <c r="O23" s="38">
        <f t="shared" si="16"/>
        <v>1682</v>
      </c>
      <c r="P23" s="135">
        <v>8896178</v>
      </c>
      <c r="Q23" s="38">
        <f t="shared" si="9"/>
        <v>7550</v>
      </c>
      <c r="R23" s="132">
        <v>23128984</v>
      </c>
      <c r="S23" s="38">
        <f t="shared" si="10"/>
        <v>7632</v>
      </c>
      <c r="T23" s="132">
        <v>0</v>
      </c>
      <c r="U23" s="136"/>
      <c r="V23" s="132">
        <v>1211792</v>
      </c>
      <c r="W23" s="38">
        <f t="shared" si="11"/>
        <v>7732</v>
      </c>
      <c r="X23" s="19">
        <f t="shared" si="12"/>
        <v>37707</v>
      </c>
      <c r="Y23" s="151">
        <f t="shared" si="13"/>
        <v>2404</v>
      </c>
      <c r="Z23" s="3">
        <f t="shared" si="14"/>
        <v>5065.5745088000012</v>
      </c>
      <c r="AA23" s="3">
        <f>SUM(Z1:Z23)</f>
        <v>156359.68112959998</v>
      </c>
    </row>
    <row r="24" spans="1:27" ht="16.5" thickBot="1" x14ac:dyDescent="0.3">
      <c r="A24" s="9">
        <v>44887</v>
      </c>
      <c r="B24" s="38">
        <v>268</v>
      </c>
      <c r="C24" s="131">
        <v>20347</v>
      </c>
      <c r="D24" s="38">
        <f t="shared" si="4"/>
        <v>320</v>
      </c>
      <c r="E24" s="132">
        <v>34701976</v>
      </c>
      <c r="F24" s="38">
        <f t="shared" si="5"/>
        <v>15488</v>
      </c>
      <c r="G24" s="133">
        <v>9161793</v>
      </c>
      <c r="H24" s="38">
        <f t="shared" si="6"/>
        <v>63653</v>
      </c>
      <c r="I24" s="134">
        <f t="shared" si="7"/>
        <v>79141</v>
      </c>
      <c r="J24" s="132">
        <v>907585</v>
      </c>
      <c r="K24" s="117">
        <f t="shared" si="15"/>
        <v>14822</v>
      </c>
      <c r="L24" s="135">
        <v>1222868</v>
      </c>
      <c r="M24" s="38">
        <f t="shared" si="8"/>
        <v>7494</v>
      </c>
      <c r="N24" s="132">
        <v>7867936</v>
      </c>
      <c r="O24" s="38">
        <f t="shared" si="16"/>
        <v>4792</v>
      </c>
      <c r="P24" s="135">
        <v>8910495</v>
      </c>
      <c r="Q24" s="38">
        <f t="shared" si="9"/>
        <v>14317</v>
      </c>
      <c r="R24" s="132">
        <v>23142658</v>
      </c>
      <c r="S24" s="38">
        <f t="shared" si="10"/>
        <v>13674</v>
      </c>
      <c r="T24" s="132">
        <v>0</v>
      </c>
      <c r="U24" s="136"/>
      <c r="V24" s="132">
        <v>1225596</v>
      </c>
      <c r="W24" s="38">
        <f t="shared" si="11"/>
        <v>13804</v>
      </c>
      <c r="X24" s="19">
        <f t="shared" si="12"/>
        <v>68903</v>
      </c>
      <c r="Y24" s="151">
        <f t="shared" si="13"/>
        <v>10238</v>
      </c>
      <c r="Z24" s="3">
        <f t="shared" si="14"/>
        <v>9435.6999776000011</v>
      </c>
      <c r="AA24" s="3">
        <f>SUM(Z1:Z24)</f>
        <v>165795.3811072</v>
      </c>
    </row>
    <row r="25" spans="1:27" ht="16.5" thickBot="1" x14ac:dyDescent="0.3">
      <c r="A25" s="9">
        <v>44888</v>
      </c>
      <c r="B25" s="38">
        <v>219</v>
      </c>
      <c r="C25" s="131">
        <v>20350</v>
      </c>
      <c r="D25" s="38">
        <f t="shared" si="4"/>
        <v>480</v>
      </c>
      <c r="E25" s="132">
        <v>34710057</v>
      </c>
      <c r="F25" s="38">
        <f t="shared" si="5"/>
        <v>8081</v>
      </c>
      <c r="G25" s="133">
        <v>9205296</v>
      </c>
      <c r="H25" s="38">
        <f t="shared" si="6"/>
        <v>43503</v>
      </c>
      <c r="I25" s="134">
        <f t="shared" si="7"/>
        <v>51584</v>
      </c>
      <c r="J25" s="132">
        <v>912632</v>
      </c>
      <c r="K25" s="117">
        <f t="shared" si="15"/>
        <v>10094</v>
      </c>
      <c r="L25" s="135">
        <v>1228006</v>
      </c>
      <c r="M25" s="38">
        <f t="shared" si="8"/>
        <v>5138</v>
      </c>
      <c r="N25" s="132">
        <v>7869331</v>
      </c>
      <c r="O25" s="38">
        <f t="shared" si="16"/>
        <v>2790</v>
      </c>
      <c r="P25" s="135">
        <v>8919853</v>
      </c>
      <c r="Q25" s="38">
        <f t="shared" si="9"/>
        <v>9358</v>
      </c>
      <c r="R25" s="132">
        <v>23151781</v>
      </c>
      <c r="S25" s="38">
        <f t="shared" si="10"/>
        <v>9123</v>
      </c>
      <c r="T25" s="132">
        <v>0</v>
      </c>
      <c r="U25" s="136"/>
      <c r="V25" s="132">
        <v>1235434</v>
      </c>
      <c r="W25" s="38">
        <f t="shared" si="11"/>
        <v>9838</v>
      </c>
      <c r="X25" s="19">
        <f t="shared" si="12"/>
        <v>46341</v>
      </c>
      <c r="Y25" s="151">
        <f t="shared" si="13"/>
        <v>5243</v>
      </c>
      <c r="Z25" s="3">
        <f t="shared" si="14"/>
        <v>6360.7645712000003</v>
      </c>
      <c r="AA25" s="3">
        <f>SUM(Z1:Z25)</f>
        <v>172156.1456784</v>
      </c>
    </row>
    <row r="26" spans="1:27" ht="16.5" thickBot="1" x14ac:dyDescent="0.3">
      <c r="A26" s="9">
        <v>44889</v>
      </c>
      <c r="B26" s="38">
        <v>228</v>
      </c>
      <c r="C26" s="131">
        <v>20352</v>
      </c>
      <c r="D26" s="38">
        <f t="shared" si="4"/>
        <v>320</v>
      </c>
      <c r="E26" s="132">
        <v>34724956</v>
      </c>
      <c r="F26" s="38">
        <f t="shared" si="5"/>
        <v>14899</v>
      </c>
      <c r="G26" s="133">
        <v>9261461</v>
      </c>
      <c r="H26" s="38">
        <f t="shared" si="6"/>
        <v>56165</v>
      </c>
      <c r="I26" s="134">
        <f t="shared" si="7"/>
        <v>71064</v>
      </c>
      <c r="J26" s="132">
        <v>919911</v>
      </c>
      <c r="K26" s="117">
        <f t="shared" si="15"/>
        <v>14558</v>
      </c>
      <c r="L26" s="135">
        <v>1235003</v>
      </c>
      <c r="M26" s="38">
        <f t="shared" si="8"/>
        <v>6997</v>
      </c>
      <c r="N26" s="132">
        <v>7873181</v>
      </c>
      <c r="O26" s="38">
        <f t="shared" si="16"/>
        <v>7700</v>
      </c>
      <c r="P26" s="135">
        <v>8927998</v>
      </c>
      <c r="Q26" s="38">
        <f t="shared" si="9"/>
        <v>8145</v>
      </c>
      <c r="R26" s="132">
        <v>23164482</v>
      </c>
      <c r="S26" s="38">
        <f t="shared" si="10"/>
        <v>12701</v>
      </c>
      <c r="T26" s="132">
        <v>0</v>
      </c>
      <c r="U26" s="136"/>
      <c r="V26" s="132">
        <v>1248583</v>
      </c>
      <c r="W26" s="38">
        <f t="shared" si="11"/>
        <v>13149</v>
      </c>
      <c r="X26" s="19">
        <f t="shared" si="12"/>
        <v>63250</v>
      </c>
      <c r="Y26" s="151">
        <f t="shared" si="13"/>
        <v>7814</v>
      </c>
      <c r="Z26" s="3">
        <f t="shared" si="14"/>
        <v>8568.0368799999997</v>
      </c>
      <c r="AA26" s="3">
        <f>SUM(Z1:Z26)</f>
        <v>180724.1825584</v>
      </c>
    </row>
    <row r="27" spans="1:27" ht="16.5" thickBot="1" x14ac:dyDescent="0.3">
      <c r="A27" s="9">
        <v>44890</v>
      </c>
      <c r="B27" s="38">
        <v>230</v>
      </c>
      <c r="C27" s="131">
        <v>20355</v>
      </c>
      <c r="D27" s="38">
        <f t="shared" si="4"/>
        <v>480</v>
      </c>
      <c r="E27" s="132">
        <v>34738968</v>
      </c>
      <c r="F27" s="38">
        <f t="shared" si="5"/>
        <v>14012</v>
      </c>
      <c r="G27" s="133">
        <v>9300034</v>
      </c>
      <c r="H27" s="38">
        <f t="shared" si="6"/>
        <v>38573</v>
      </c>
      <c r="I27" s="134">
        <f t="shared" si="7"/>
        <v>52585</v>
      </c>
      <c r="J27" s="132">
        <v>925280</v>
      </c>
      <c r="K27" s="117">
        <f t="shared" si="15"/>
        <v>10738</v>
      </c>
      <c r="L27" s="135">
        <v>1240267</v>
      </c>
      <c r="M27" s="38">
        <f t="shared" si="8"/>
        <v>5264</v>
      </c>
      <c r="N27" s="132">
        <v>7877458</v>
      </c>
      <c r="O27" s="38">
        <f t="shared" si="16"/>
        <v>8554</v>
      </c>
      <c r="P27" s="135">
        <v>8930403</v>
      </c>
      <c r="Q27" s="38">
        <f t="shared" si="9"/>
        <v>2405</v>
      </c>
      <c r="R27" s="132">
        <v>23174175</v>
      </c>
      <c r="S27" s="38">
        <f t="shared" si="10"/>
        <v>9693</v>
      </c>
      <c r="T27" s="132">
        <v>0</v>
      </c>
      <c r="U27" s="136"/>
      <c r="V27" s="132">
        <v>1258748</v>
      </c>
      <c r="W27" s="38">
        <f t="shared" si="11"/>
        <v>10165</v>
      </c>
      <c r="X27" s="19">
        <f t="shared" si="12"/>
        <v>46819</v>
      </c>
      <c r="Y27" s="151">
        <f t="shared" si="13"/>
        <v>5766</v>
      </c>
      <c r="Z27" s="3">
        <f t="shared" si="14"/>
        <v>6406.3509536000001</v>
      </c>
      <c r="AA27" s="3">
        <f>SUM(Z1:Z27)</f>
        <v>187130.53351199999</v>
      </c>
    </row>
    <row r="28" spans="1:27" ht="16.5" thickBot="1" x14ac:dyDescent="0.3">
      <c r="A28" s="9">
        <v>44891</v>
      </c>
      <c r="B28" s="38">
        <v>220</v>
      </c>
      <c r="C28" s="131">
        <v>20358</v>
      </c>
      <c r="D28" s="38">
        <f t="shared" si="4"/>
        <v>480</v>
      </c>
      <c r="E28" s="132">
        <v>34750587</v>
      </c>
      <c r="F28" s="38">
        <f t="shared" si="5"/>
        <v>11619</v>
      </c>
      <c r="G28" s="133">
        <v>9333280</v>
      </c>
      <c r="H28" s="38">
        <f t="shared" si="6"/>
        <v>33246</v>
      </c>
      <c r="I28" s="134">
        <f t="shared" si="7"/>
        <v>44865</v>
      </c>
      <c r="J28" s="132">
        <v>929934</v>
      </c>
      <c r="K28" s="117">
        <f t="shared" si="15"/>
        <v>9308</v>
      </c>
      <c r="L28" s="135">
        <v>1244591</v>
      </c>
      <c r="M28" s="38">
        <f t="shared" si="8"/>
        <v>4324</v>
      </c>
      <c r="N28" s="132">
        <v>7881029</v>
      </c>
      <c r="O28" s="38">
        <f t="shared" si="16"/>
        <v>7142</v>
      </c>
      <c r="P28" s="135">
        <v>8932484</v>
      </c>
      <c r="Q28" s="38">
        <f t="shared" si="9"/>
        <v>2081</v>
      </c>
      <c r="R28" s="132">
        <v>23182732</v>
      </c>
      <c r="S28" s="38">
        <f t="shared" si="10"/>
        <v>8557</v>
      </c>
      <c r="T28" s="132">
        <v>0</v>
      </c>
      <c r="U28" s="136"/>
      <c r="V28" s="132">
        <v>1267330</v>
      </c>
      <c r="W28" s="38">
        <f t="shared" si="11"/>
        <v>8582</v>
      </c>
      <c r="X28" s="19">
        <f t="shared" si="12"/>
        <v>39994</v>
      </c>
      <c r="Y28" s="151">
        <f t="shared" si="13"/>
        <v>4871</v>
      </c>
      <c r="Z28" s="3">
        <f t="shared" si="14"/>
        <v>5495.0910768000003</v>
      </c>
      <c r="AA28" s="3">
        <f>SUM(Z1:Z28)</f>
        <v>192625.62458879998</v>
      </c>
    </row>
    <row r="29" spans="1:27" ht="16.5" thickBot="1" x14ac:dyDescent="0.3">
      <c r="A29" s="9">
        <v>44892</v>
      </c>
      <c r="B29" s="38">
        <v>185</v>
      </c>
      <c r="C29" s="131">
        <v>20361</v>
      </c>
      <c r="D29" s="38">
        <f t="shared" si="4"/>
        <v>480</v>
      </c>
      <c r="E29" s="132">
        <v>34770903</v>
      </c>
      <c r="F29" s="38">
        <f t="shared" si="5"/>
        <v>20316</v>
      </c>
      <c r="G29" s="133">
        <v>9390202</v>
      </c>
      <c r="H29" s="38">
        <f t="shared" si="6"/>
        <v>56922</v>
      </c>
      <c r="I29" s="134">
        <f t="shared" si="7"/>
        <v>77238</v>
      </c>
      <c r="J29" s="132">
        <v>938087</v>
      </c>
      <c r="K29" s="117">
        <f t="shared" si="15"/>
        <v>16306</v>
      </c>
      <c r="L29" s="135">
        <v>1252487</v>
      </c>
      <c r="M29" s="38">
        <f t="shared" si="8"/>
        <v>7896</v>
      </c>
      <c r="N29" s="132">
        <v>7887121</v>
      </c>
      <c r="O29" s="38">
        <f t="shared" si="16"/>
        <v>12184</v>
      </c>
      <c r="P29" s="135">
        <v>8936026</v>
      </c>
      <c r="Q29" s="38">
        <f t="shared" si="9"/>
        <v>3542</v>
      </c>
      <c r="R29" s="132">
        <v>23197018</v>
      </c>
      <c r="S29" s="38">
        <f t="shared" si="10"/>
        <v>14286</v>
      </c>
      <c r="T29" s="132">
        <v>0</v>
      </c>
      <c r="U29" s="136"/>
      <c r="V29" s="132">
        <v>1282230</v>
      </c>
      <c r="W29" s="38">
        <f t="shared" si="11"/>
        <v>14900</v>
      </c>
      <c r="X29" s="19">
        <f t="shared" si="12"/>
        <v>69114</v>
      </c>
      <c r="Y29" s="151">
        <f t="shared" si="13"/>
        <v>8124</v>
      </c>
      <c r="Z29" s="3">
        <f t="shared" si="14"/>
        <v>9360.5073952000002</v>
      </c>
      <c r="AA29" s="3">
        <f>SUM(Z1:Z29)</f>
        <v>201986.13198399998</v>
      </c>
    </row>
    <row r="30" spans="1:27" ht="16.5" thickBot="1" x14ac:dyDescent="0.3">
      <c r="A30" s="9">
        <v>44893</v>
      </c>
      <c r="B30" s="38">
        <v>249</v>
      </c>
      <c r="C30" s="131">
        <v>20364</v>
      </c>
      <c r="D30" s="38">
        <f>IF((C30-C29)&lt;0,"0",(C30-C29))*160</f>
        <v>480</v>
      </c>
      <c r="E30" s="132">
        <v>34783953</v>
      </c>
      <c r="F30" s="38">
        <f>IF((E30-E29)&lt;0,"0",(E30-E29))</f>
        <v>13050</v>
      </c>
      <c r="G30" s="133">
        <v>9425096</v>
      </c>
      <c r="H30" s="38">
        <f t="shared" si="6"/>
        <v>34894</v>
      </c>
      <c r="I30" s="134">
        <f t="shared" si="7"/>
        <v>47944</v>
      </c>
      <c r="J30" s="132">
        <v>943362</v>
      </c>
      <c r="K30" s="117">
        <f t="shared" si="15"/>
        <v>10550</v>
      </c>
      <c r="L30" s="135">
        <v>1257527</v>
      </c>
      <c r="M30" s="38">
        <f>IF((L30-L29)&lt;0,"0",(L30-L29))</f>
        <v>5040</v>
      </c>
      <c r="N30" s="132">
        <v>7891006</v>
      </c>
      <c r="O30" s="38">
        <f>(IF((N30-N29)&lt;0,"0",(N30-N29)))*2</f>
        <v>7770</v>
      </c>
      <c r="P30" s="135">
        <v>8938314</v>
      </c>
      <c r="Q30" s="38">
        <f>IF((P30-P29)&lt;0,"0",(P30-P29))</f>
        <v>2288</v>
      </c>
      <c r="R30" s="132">
        <v>23205636</v>
      </c>
      <c r="S30" s="38">
        <f t="shared" si="10"/>
        <v>8618</v>
      </c>
      <c r="T30" s="132">
        <v>0</v>
      </c>
      <c r="U30" s="136"/>
      <c r="V30" s="132">
        <v>1291225</v>
      </c>
      <c r="W30" s="38">
        <f>IF((V30-V29)&lt;0,"0",(V30-V29))</f>
        <v>8995</v>
      </c>
      <c r="X30" s="19">
        <f t="shared" si="12"/>
        <v>43261</v>
      </c>
      <c r="Y30" s="151">
        <f t="shared" si="13"/>
        <v>4683</v>
      </c>
      <c r="Z30" s="3">
        <f t="shared" si="14"/>
        <v>5731.0193615999997</v>
      </c>
      <c r="AA30" s="3">
        <f>SUM(Z1:Z30)</f>
        <v>207717.15134559997</v>
      </c>
    </row>
    <row r="31" spans="1:27" ht="16.5" thickBot="1" x14ac:dyDescent="0.3">
      <c r="A31" s="9">
        <v>44894</v>
      </c>
      <c r="B31" s="38">
        <v>299</v>
      </c>
      <c r="C31" s="131">
        <v>20367</v>
      </c>
      <c r="D31" s="38">
        <f t="shared" ref="D31:D32" si="27">IF((C31-C30)&lt;0,"0",(C31-C30))*160</f>
        <v>480</v>
      </c>
      <c r="E31" s="132">
        <v>34801688</v>
      </c>
      <c r="F31" s="38">
        <f t="shared" ref="F31:F32" si="28">IF((E31-E30)&lt;0,"0",(E31-E30))</f>
        <v>17735</v>
      </c>
      <c r="G31" s="133">
        <v>9474003</v>
      </c>
      <c r="H31" s="38">
        <f t="shared" si="6"/>
        <v>48907</v>
      </c>
      <c r="I31" s="134">
        <f t="shared" ref="I31:I32" si="29">F31+H31</f>
        <v>66642</v>
      </c>
      <c r="J31" s="132">
        <v>950434</v>
      </c>
      <c r="K31" s="117">
        <f t="shared" si="15"/>
        <v>14144</v>
      </c>
      <c r="L31" s="135">
        <v>1264398</v>
      </c>
      <c r="M31" s="38">
        <f t="shared" ref="M31:M32" si="30">IF((L31-L30)&lt;0,"0",(L31-L30))</f>
        <v>6871</v>
      </c>
      <c r="N31" s="132">
        <v>7896370</v>
      </c>
      <c r="O31" s="38">
        <f t="shared" ref="O31:O32" si="31">(IF((N31-N30)&lt;0,"0",(N31-N30)))*2</f>
        <v>10728</v>
      </c>
      <c r="P31" s="135">
        <v>8941170</v>
      </c>
      <c r="Q31" s="38">
        <f t="shared" ref="Q31:Q32" si="32">IF((P31-P30)&lt;0,"0",(P31-P30))</f>
        <v>2856</v>
      </c>
      <c r="R31" s="132">
        <v>23217829</v>
      </c>
      <c r="S31" s="38">
        <f t="shared" ref="S31:S32" si="33">IF((R31-R30)&lt;0,"0",(R31-R30))</f>
        <v>12193</v>
      </c>
      <c r="T31" s="132">
        <v>0</v>
      </c>
      <c r="U31" s="136"/>
      <c r="V31" s="132">
        <v>1304119</v>
      </c>
      <c r="W31" s="38">
        <f t="shared" ref="W31:W32" si="34">IF((V31-V30)&lt;0,"0",(V31-V30))</f>
        <v>12894</v>
      </c>
      <c r="X31" s="19">
        <f t="shared" ref="X31:X32" si="35">K31+M31+O31+Q31+S31+U31+W31</f>
        <v>59686</v>
      </c>
      <c r="Y31" s="151">
        <f t="shared" ref="Y31:Y32" si="36">I31-X31</f>
        <v>6956</v>
      </c>
      <c r="Z31" s="3">
        <f t="shared" ref="Z31:Z32" si="37">(0.93352*(W31+S31)+0.5568*(Q31+O31))*0.26</f>
        <v>8055.5247343999999</v>
      </c>
      <c r="AA31" s="3">
        <f>SUM(Z1:Z31)</f>
        <v>215772.67607999998</v>
      </c>
    </row>
    <row r="32" spans="1:27" ht="16.5" thickBot="1" x14ac:dyDescent="0.3">
      <c r="A32" s="9">
        <v>44895</v>
      </c>
      <c r="B32" s="38">
        <v>269</v>
      </c>
      <c r="C32" s="131">
        <v>20370</v>
      </c>
      <c r="D32" s="38">
        <f t="shared" si="27"/>
        <v>480</v>
      </c>
      <c r="E32" s="132">
        <v>34813672</v>
      </c>
      <c r="F32" s="38">
        <f t="shared" si="28"/>
        <v>11984</v>
      </c>
      <c r="G32" s="133">
        <v>9505179</v>
      </c>
      <c r="H32" s="38">
        <f t="shared" si="6"/>
        <v>31176</v>
      </c>
      <c r="I32" s="134">
        <f t="shared" si="29"/>
        <v>43160</v>
      </c>
      <c r="J32" s="132">
        <v>955257</v>
      </c>
      <c r="K32" s="117">
        <f t="shared" si="15"/>
        <v>9646</v>
      </c>
      <c r="L32" s="135">
        <v>1268813</v>
      </c>
      <c r="M32" s="38">
        <f t="shared" si="30"/>
        <v>4415</v>
      </c>
      <c r="N32" s="132">
        <v>7900073</v>
      </c>
      <c r="O32" s="38">
        <f t="shared" si="31"/>
        <v>7406</v>
      </c>
      <c r="P32" s="135">
        <v>8942991</v>
      </c>
      <c r="Q32" s="38">
        <f t="shared" si="32"/>
        <v>1821</v>
      </c>
      <c r="R32" s="132">
        <v>23225466</v>
      </c>
      <c r="S32" s="38">
        <f t="shared" si="33"/>
        <v>7637</v>
      </c>
      <c r="T32" s="132">
        <v>0</v>
      </c>
      <c r="U32" s="136"/>
      <c r="V32" s="132">
        <v>1312246</v>
      </c>
      <c r="W32" s="38">
        <f t="shared" si="34"/>
        <v>8127</v>
      </c>
      <c r="X32" s="19">
        <f t="shared" si="35"/>
        <v>39052</v>
      </c>
      <c r="Y32" s="151">
        <f t="shared" si="36"/>
        <v>4108</v>
      </c>
      <c r="Z32" s="3">
        <f t="shared" si="37"/>
        <v>5161.9367487999998</v>
      </c>
      <c r="AA32" s="3">
        <f>SUM(Z1:Z32)</f>
        <v>220934.61282879999</v>
      </c>
    </row>
    <row r="33" spans="1:27" ht="16.5" thickBot="1" x14ac:dyDescent="0.3">
      <c r="A33" s="124" t="s">
        <v>23</v>
      </c>
      <c r="B33" s="124">
        <f>SUM(B3:B32)</f>
        <v>7626</v>
      </c>
      <c r="C33" s="124">
        <v>0</v>
      </c>
      <c r="D33" s="124">
        <f>SUM(D3:D32)</f>
        <v>13920</v>
      </c>
      <c r="E33" s="55">
        <v>0</v>
      </c>
      <c r="F33" s="124">
        <f>SUM(F3:F32)</f>
        <v>323839</v>
      </c>
      <c r="G33" s="55">
        <v>0</v>
      </c>
      <c r="H33" s="124">
        <f>SUM(H3:H32)</f>
        <v>1484383</v>
      </c>
      <c r="I33" s="124">
        <f t="shared" ref="I33" si="38">F33+H33</f>
        <v>1808222</v>
      </c>
      <c r="J33" s="55">
        <v>0</v>
      </c>
      <c r="K33" s="124">
        <f>SUM(K3:K32)</f>
        <v>352826</v>
      </c>
      <c r="L33" s="55">
        <v>0</v>
      </c>
      <c r="M33" s="124">
        <f>SUM(M3:M32)</f>
        <v>178391</v>
      </c>
      <c r="N33" s="55">
        <v>0</v>
      </c>
      <c r="O33" s="124">
        <f>SUM(O3:O32)</f>
        <v>140284</v>
      </c>
      <c r="P33" s="55">
        <v>0</v>
      </c>
      <c r="Q33" s="124">
        <f>SUM(Q3:Q32)</f>
        <v>279580</v>
      </c>
      <c r="R33" s="55">
        <v>0</v>
      </c>
      <c r="S33" s="124">
        <f>SUM(S3:S32)</f>
        <v>320998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338836</v>
      </c>
      <c r="X33" s="124">
        <f>SUM(X3:X32)</f>
        <v>1610915</v>
      </c>
      <c r="Y33" s="124">
        <f>SUM(Y2:Y32)</f>
        <v>197307</v>
      </c>
      <c r="Z33" s="124">
        <f>SUM(Z2:Z32)</f>
        <v>220934.61282879999</v>
      </c>
      <c r="AA33" s="124">
        <f>SUM(AA2:AA32)</f>
        <v>3516732.2217247998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32" sqref="J32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v>466282</v>
      </c>
      <c r="C12" s="38">
        <f t="shared" si="7"/>
        <v>770</v>
      </c>
      <c r="D12" s="3">
        <v>15582</v>
      </c>
      <c r="E12" s="38">
        <f t="shared" si="2"/>
        <v>370</v>
      </c>
      <c r="F12" s="3">
        <v>12623200</v>
      </c>
      <c r="G12" s="38">
        <f t="shared" si="5"/>
        <v>394.2</v>
      </c>
      <c r="H12" s="3">
        <v>820897</v>
      </c>
      <c r="I12" s="43">
        <f t="shared" si="6"/>
        <v>5.4269999999999996</v>
      </c>
      <c r="J12" s="19">
        <f t="shared" si="3"/>
        <v>1539.627</v>
      </c>
      <c r="K12" s="20">
        <f t="shared" si="4"/>
        <v>9022.2142199999998</v>
      </c>
    </row>
    <row r="13" spans="1:14" ht="16.5" thickBot="1" x14ac:dyDescent="0.3">
      <c r="A13" s="9">
        <v>44876</v>
      </c>
      <c r="B13" s="3">
        <v>466359</v>
      </c>
      <c r="C13" s="38">
        <f t="shared" si="7"/>
        <v>770</v>
      </c>
      <c r="D13" s="3">
        <v>15617</v>
      </c>
      <c r="E13" s="38">
        <f t="shared" si="2"/>
        <v>350</v>
      </c>
      <c r="F13" s="3">
        <v>12638200</v>
      </c>
      <c r="G13" s="38">
        <f t="shared" si="5"/>
        <v>405</v>
      </c>
      <c r="H13" s="3">
        <v>821078</v>
      </c>
      <c r="I13" s="43">
        <f t="shared" si="6"/>
        <v>4.8869999999999996</v>
      </c>
      <c r="J13" s="19">
        <f t="shared" si="3"/>
        <v>1529.8869999999999</v>
      </c>
      <c r="K13" s="20">
        <f t="shared" si="4"/>
        <v>8965.1378199999999</v>
      </c>
    </row>
    <row r="14" spans="1:14" ht="16.5" thickBot="1" x14ac:dyDescent="0.3">
      <c r="A14" s="9">
        <v>44877</v>
      </c>
      <c r="B14" s="3">
        <v>466440</v>
      </c>
      <c r="C14" s="38">
        <f t="shared" si="7"/>
        <v>810</v>
      </c>
      <c r="D14" s="3">
        <v>15655</v>
      </c>
      <c r="E14" s="38">
        <f t="shared" si="2"/>
        <v>380</v>
      </c>
      <c r="F14" s="3">
        <v>12654500</v>
      </c>
      <c r="G14" s="38">
        <f t="shared" si="5"/>
        <v>440.1</v>
      </c>
      <c r="H14" s="3">
        <v>821277</v>
      </c>
      <c r="I14" s="43">
        <f t="shared" si="6"/>
        <v>5.3730000000000002</v>
      </c>
      <c r="J14" s="19">
        <f t="shared" si="3"/>
        <v>1635.473</v>
      </c>
      <c r="K14" s="20">
        <f t="shared" si="4"/>
        <v>9583.8717799999995</v>
      </c>
    </row>
    <row r="15" spans="1:14" ht="16.5" thickBot="1" x14ac:dyDescent="0.3">
      <c r="A15" s="9">
        <v>44878</v>
      </c>
      <c r="B15" s="3">
        <v>466521</v>
      </c>
      <c r="C15" s="38">
        <f t="shared" si="7"/>
        <v>810</v>
      </c>
      <c r="D15" s="3">
        <v>15692</v>
      </c>
      <c r="E15" s="38">
        <f t="shared" si="2"/>
        <v>370</v>
      </c>
      <c r="F15" s="3">
        <v>12670100</v>
      </c>
      <c r="G15" s="38">
        <f t="shared" si="5"/>
        <v>421.2</v>
      </c>
      <c r="H15" s="3">
        <v>821467</v>
      </c>
      <c r="I15" s="43">
        <f t="shared" si="6"/>
        <v>5.13</v>
      </c>
      <c r="J15" s="19">
        <f t="shared" si="3"/>
        <v>1606.3300000000002</v>
      </c>
      <c r="K15" s="20">
        <f t="shared" si="4"/>
        <v>9413.0938000000006</v>
      </c>
    </row>
    <row r="16" spans="1:14" ht="16.5" thickBot="1" x14ac:dyDescent="0.3">
      <c r="A16" s="9">
        <v>44879</v>
      </c>
      <c r="B16" s="3">
        <v>466597</v>
      </c>
      <c r="C16" s="38">
        <f t="shared" si="7"/>
        <v>760</v>
      </c>
      <c r="D16" s="3">
        <v>15729</v>
      </c>
      <c r="E16" s="38">
        <f t="shared" si="2"/>
        <v>370</v>
      </c>
      <c r="F16" s="3">
        <v>12683400</v>
      </c>
      <c r="G16" s="38">
        <f t="shared" si="5"/>
        <v>359.1</v>
      </c>
      <c r="H16" s="3">
        <v>821661</v>
      </c>
      <c r="I16" s="43">
        <f t="shared" si="6"/>
        <v>5.2379999999999995</v>
      </c>
      <c r="J16" s="19">
        <f t="shared" si="3"/>
        <v>1494.338</v>
      </c>
      <c r="K16" s="20">
        <f t="shared" si="4"/>
        <v>8756.8206800000007</v>
      </c>
    </row>
    <row r="17" spans="1:25" ht="16.5" thickBot="1" x14ac:dyDescent="0.3">
      <c r="A17" s="9">
        <v>44880</v>
      </c>
      <c r="B17" s="3">
        <v>466676</v>
      </c>
      <c r="C17" s="38">
        <f t="shared" si="7"/>
        <v>790</v>
      </c>
      <c r="D17" s="3">
        <v>15767</v>
      </c>
      <c r="E17" s="38">
        <f t="shared" si="2"/>
        <v>380</v>
      </c>
      <c r="F17" s="3">
        <v>12698200</v>
      </c>
      <c r="G17" s="38">
        <f t="shared" si="5"/>
        <v>399.6</v>
      </c>
      <c r="H17" s="3">
        <v>821841</v>
      </c>
      <c r="I17" s="43">
        <f t="shared" si="6"/>
        <v>4.8600000000000003</v>
      </c>
      <c r="J17" s="19">
        <f t="shared" si="3"/>
        <v>1574.4599999999998</v>
      </c>
      <c r="K17" s="20">
        <f t="shared" si="4"/>
        <v>9226.3355999999985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v>466744</v>
      </c>
      <c r="C18" s="38">
        <f t="shared" si="7"/>
        <v>680</v>
      </c>
      <c r="D18" s="3">
        <v>15803</v>
      </c>
      <c r="E18" s="38">
        <f t="shared" si="2"/>
        <v>360</v>
      </c>
      <c r="F18" s="3">
        <v>12710000</v>
      </c>
      <c r="G18" s="38">
        <f t="shared" si="5"/>
        <v>318.60000000000002</v>
      </c>
      <c r="H18" s="3">
        <v>822016</v>
      </c>
      <c r="I18" s="43">
        <f t="shared" si="6"/>
        <v>4.7249999999999996</v>
      </c>
      <c r="J18" s="19">
        <f t="shared" si="3"/>
        <v>1363.3249999999998</v>
      </c>
      <c r="K18" s="20">
        <f t="shared" si="4"/>
        <v>7989.084499999999</v>
      </c>
      <c r="Q18" t="s">
        <v>43</v>
      </c>
    </row>
    <row r="19" spans="1:25" ht="16.5" thickBot="1" x14ac:dyDescent="0.3">
      <c r="A19" s="9">
        <v>44882</v>
      </c>
      <c r="B19" s="3">
        <v>466815</v>
      </c>
      <c r="C19" s="38">
        <f t="shared" si="7"/>
        <v>710</v>
      </c>
      <c r="D19" s="3">
        <v>15842</v>
      </c>
      <c r="E19" s="38">
        <f t="shared" ref="E19:E32" si="8">(IF((D19-D18)&lt;0,"0",(D19-D18)))*10</f>
        <v>390</v>
      </c>
      <c r="F19" s="3">
        <v>12721700</v>
      </c>
      <c r="G19" s="38">
        <f t="shared" si="5"/>
        <v>315.89999999999998</v>
      </c>
      <c r="H19" s="3">
        <v>822210</v>
      </c>
      <c r="I19" s="43">
        <f t="shared" si="6"/>
        <v>5.2379999999999995</v>
      </c>
      <c r="J19" s="19">
        <f t="shared" si="3"/>
        <v>1421.1380000000001</v>
      </c>
      <c r="K19" s="20">
        <f t="shared" si="4"/>
        <v>8327.8686800000014</v>
      </c>
      <c r="Q19" t="s">
        <v>12</v>
      </c>
    </row>
    <row r="20" spans="1:25" ht="16.5" thickBot="1" x14ac:dyDescent="0.3">
      <c r="A20" s="9">
        <v>44883</v>
      </c>
      <c r="B20" s="3">
        <v>466889</v>
      </c>
      <c r="C20" s="38">
        <f t="shared" si="7"/>
        <v>740</v>
      </c>
      <c r="D20" s="3">
        <v>15876</v>
      </c>
      <c r="E20" s="38">
        <f t="shared" si="8"/>
        <v>340</v>
      </c>
      <c r="F20" s="3">
        <v>12734700</v>
      </c>
      <c r="G20" s="38">
        <f t="shared" si="5"/>
        <v>351</v>
      </c>
      <c r="H20" s="3">
        <v>822390</v>
      </c>
      <c r="I20" s="43">
        <f t="shared" si="6"/>
        <v>4.8600000000000003</v>
      </c>
      <c r="J20" s="19">
        <f t="shared" si="3"/>
        <v>1435.86</v>
      </c>
      <c r="K20" s="20">
        <f t="shared" si="4"/>
        <v>8414.1396000000004</v>
      </c>
    </row>
    <row r="21" spans="1:25" ht="16.5" thickBot="1" x14ac:dyDescent="0.3">
      <c r="A21" s="9">
        <v>44884</v>
      </c>
      <c r="B21" s="3">
        <v>466969</v>
      </c>
      <c r="C21" s="38">
        <f t="shared" si="7"/>
        <v>800</v>
      </c>
      <c r="D21" s="3">
        <v>15913</v>
      </c>
      <c r="E21" s="38">
        <f t="shared" si="8"/>
        <v>370</v>
      </c>
      <c r="F21" s="3">
        <v>12750100</v>
      </c>
      <c r="G21" s="38">
        <f t="shared" si="5"/>
        <v>415.8</v>
      </c>
      <c r="H21" s="3">
        <v>822593</v>
      </c>
      <c r="I21" s="43">
        <f t="shared" si="6"/>
        <v>5.4809999999999999</v>
      </c>
      <c r="J21" s="19">
        <f t="shared" si="3"/>
        <v>1591.2809999999999</v>
      </c>
      <c r="K21" s="20">
        <f t="shared" si="4"/>
        <v>9324.9066600000006</v>
      </c>
    </row>
    <row r="22" spans="1:25" ht="16.5" thickBot="1" x14ac:dyDescent="0.3">
      <c r="A22" s="9">
        <v>44885</v>
      </c>
      <c r="B22" s="3">
        <v>467048</v>
      </c>
      <c r="C22" s="38">
        <f t="shared" si="7"/>
        <v>790</v>
      </c>
      <c r="D22" s="3">
        <v>15951</v>
      </c>
      <c r="E22" s="38">
        <f t="shared" si="8"/>
        <v>380</v>
      </c>
      <c r="F22" s="3">
        <v>12765100</v>
      </c>
      <c r="G22" s="38">
        <f t="shared" si="5"/>
        <v>405</v>
      </c>
      <c r="H22" s="3">
        <v>822795</v>
      </c>
      <c r="I22" s="43">
        <f t="shared" si="6"/>
        <v>5.4539999999999997</v>
      </c>
      <c r="J22" s="19">
        <f t="shared" si="3"/>
        <v>1580.454</v>
      </c>
      <c r="K22" s="20">
        <f t="shared" si="4"/>
        <v>9261.4604400000007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v>467134</v>
      </c>
      <c r="C23" s="38">
        <f t="shared" si="7"/>
        <v>860</v>
      </c>
      <c r="D23" s="3">
        <v>15988</v>
      </c>
      <c r="E23" s="38">
        <f t="shared" si="8"/>
        <v>370</v>
      </c>
      <c r="F23" s="3">
        <v>12780000</v>
      </c>
      <c r="G23" s="38">
        <f t="shared" si="5"/>
        <v>402.3</v>
      </c>
      <c r="H23" s="3">
        <v>822986</v>
      </c>
      <c r="I23" s="43">
        <f t="shared" si="6"/>
        <v>5.157</v>
      </c>
      <c r="J23" s="19">
        <f t="shared" si="3"/>
        <v>1637.4569999999999</v>
      </c>
      <c r="K23" s="20">
        <f t="shared" si="4"/>
        <v>9595.4980199999991</v>
      </c>
      <c r="Q23" t="s">
        <v>12</v>
      </c>
    </row>
    <row r="24" spans="1:25" ht="16.5" thickBot="1" x14ac:dyDescent="0.3">
      <c r="A24" s="9">
        <v>44887</v>
      </c>
      <c r="B24" s="3">
        <v>467209</v>
      </c>
      <c r="C24" s="38">
        <f t="shared" si="7"/>
        <v>750</v>
      </c>
      <c r="D24" s="3">
        <v>16025</v>
      </c>
      <c r="E24" s="38">
        <f t="shared" si="8"/>
        <v>370</v>
      </c>
      <c r="F24" s="3">
        <v>12792600</v>
      </c>
      <c r="G24" s="38">
        <f t="shared" si="5"/>
        <v>340.2</v>
      </c>
      <c r="H24" s="3">
        <v>823179</v>
      </c>
      <c r="I24" s="43">
        <f t="shared" si="6"/>
        <v>5.2110000000000003</v>
      </c>
      <c r="J24" s="19">
        <f t="shared" si="3"/>
        <v>1465.4110000000001</v>
      </c>
      <c r="K24" s="20">
        <f t="shared" si="4"/>
        <v>8587.3084600000002</v>
      </c>
      <c r="N24" s="152"/>
    </row>
    <row r="25" spans="1:25" ht="17.25" customHeight="1" thickBot="1" x14ac:dyDescent="0.4">
      <c r="A25" s="9">
        <v>44888</v>
      </c>
      <c r="B25" s="3">
        <v>467285</v>
      </c>
      <c r="C25" s="38">
        <f t="shared" si="7"/>
        <v>760</v>
      </c>
      <c r="D25" s="3">
        <v>16062</v>
      </c>
      <c r="E25" s="38">
        <f t="shared" si="8"/>
        <v>370</v>
      </c>
      <c r="F25" s="3">
        <v>12806700</v>
      </c>
      <c r="G25" s="38">
        <f t="shared" si="5"/>
        <v>380.7</v>
      </c>
      <c r="H25" s="3">
        <v>823376</v>
      </c>
      <c r="I25" s="43">
        <f t="shared" si="6"/>
        <v>5.319</v>
      </c>
      <c r="J25" s="19">
        <f t="shared" si="3"/>
        <v>1516.019</v>
      </c>
      <c r="K25" s="20">
        <f t="shared" si="4"/>
        <v>8883.8713399999997</v>
      </c>
      <c r="Y25" s="54"/>
    </row>
    <row r="26" spans="1:25" ht="16.5" thickBot="1" x14ac:dyDescent="0.3">
      <c r="A26" s="9">
        <v>44889</v>
      </c>
      <c r="B26" s="3">
        <v>467360</v>
      </c>
      <c r="C26" s="38">
        <f t="shared" si="7"/>
        <v>750</v>
      </c>
      <c r="D26" s="3">
        <v>16095</v>
      </c>
      <c r="E26" s="38">
        <f t="shared" si="8"/>
        <v>330</v>
      </c>
      <c r="F26" s="3">
        <v>12822200</v>
      </c>
      <c r="G26" s="38">
        <f t="shared" si="5"/>
        <v>418.5</v>
      </c>
      <c r="H26" s="3">
        <v>823588</v>
      </c>
      <c r="I26" s="43">
        <f t="shared" si="6"/>
        <v>5.7240000000000002</v>
      </c>
      <c r="J26" s="19">
        <f t="shared" si="3"/>
        <v>1504.2239999999999</v>
      </c>
      <c r="K26" s="20">
        <f t="shared" si="4"/>
        <v>8814.7526400000006</v>
      </c>
      <c r="L26" t="s">
        <v>12</v>
      </c>
    </row>
    <row r="27" spans="1:25" ht="16.5" thickBot="1" x14ac:dyDescent="0.3">
      <c r="A27" s="9">
        <v>44890</v>
      </c>
      <c r="B27" s="3">
        <v>467440</v>
      </c>
      <c r="C27" s="38">
        <f t="shared" si="7"/>
        <v>800</v>
      </c>
      <c r="D27" s="3">
        <v>16126</v>
      </c>
      <c r="E27" s="38">
        <f t="shared" si="8"/>
        <v>310</v>
      </c>
      <c r="F27" s="3">
        <v>12840300</v>
      </c>
      <c r="G27" s="38">
        <f t="shared" si="5"/>
        <v>488.7</v>
      </c>
      <c r="H27" s="3">
        <v>823770</v>
      </c>
      <c r="I27" s="43">
        <f t="shared" si="6"/>
        <v>4.9139999999999997</v>
      </c>
      <c r="J27" s="19">
        <f t="shared" si="3"/>
        <v>1603.614</v>
      </c>
      <c r="K27" s="20">
        <f t="shared" si="4"/>
        <v>9397.1780400000007</v>
      </c>
      <c r="N27" s="34"/>
      <c r="O27" t="s">
        <v>12</v>
      </c>
    </row>
    <row r="28" spans="1:25" ht="16.5" thickBot="1" x14ac:dyDescent="0.3">
      <c r="A28" s="9">
        <v>44891</v>
      </c>
      <c r="B28" s="3">
        <v>467516</v>
      </c>
      <c r="C28" s="38">
        <f t="shared" si="7"/>
        <v>760</v>
      </c>
      <c r="D28" s="3">
        <v>16159</v>
      </c>
      <c r="E28" s="38">
        <f t="shared" si="8"/>
        <v>330</v>
      </c>
      <c r="F28" s="3">
        <v>12855600</v>
      </c>
      <c r="G28" s="38">
        <f t="shared" si="5"/>
        <v>413.1</v>
      </c>
      <c r="H28" s="3">
        <v>823977</v>
      </c>
      <c r="I28" s="43">
        <f t="shared" si="6"/>
        <v>5.5889999999999995</v>
      </c>
      <c r="J28" s="19">
        <f t="shared" si="3"/>
        <v>1508.6889999999999</v>
      </c>
      <c r="K28" s="20">
        <f t="shared" si="4"/>
        <v>8840.9175400000004</v>
      </c>
    </row>
    <row r="29" spans="1:25" ht="16.5" thickBot="1" x14ac:dyDescent="0.3">
      <c r="A29" s="9">
        <v>44892</v>
      </c>
      <c r="B29" s="3">
        <v>467591</v>
      </c>
      <c r="C29" s="38">
        <f t="shared" si="7"/>
        <v>750</v>
      </c>
      <c r="D29" s="3">
        <v>16190</v>
      </c>
      <c r="E29" s="38">
        <f t="shared" si="8"/>
        <v>310</v>
      </c>
      <c r="F29" s="3">
        <v>12872100</v>
      </c>
      <c r="G29" s="38">
        <f t="shared" si="5"/>
        <v>445.5</v>
      </c>
      <c r="H29" s="3">
        <v>824190</v>
      </c>
      <c r="I29" s="43">
        <f t="shared" si="6"/>
        <v>5.7510000000000003</v>
      </c>
      <c r="J29" s="19">
        <f t="shared" si="3"/>
        <v>1511.251</v>
      </c>
      <c r="K29" s="20">
        <f t="shared" si="4"/>
        <v>8855.9308600000004</v>
      </c>
    </row>
    <row r="30" spans="1:25" ht="16.5" thickBot="1" x14ac:dyDescent="0.3">
      <c r="A30" s="9">
        <v>44893</v>
      </c>
      <c r="B30" s="3">
        <v>467670</v>
      </c>
      <c r="C30" s="38">
        <f t="shared" si="7"/>
        <v>790</v>
      </c>
      <c r="D30" s="3">
        <v>16231</v>
      </c>
      <c r="E30" s="38">
        <f t="shared" si="8"/>
        <v>410</v>
      </c>
      <c r="F30" s="3">
        <v>12881600</v>
      </c>
      <c r="G30" s="38">
        <f t="shared" si="5"/>
        <v>256.5</v>
      </c>
      <c r="H30" s="3">
        <v>824424</v>
      </c>
      <c r="I30" s="43">
        <f t="shared" si="6"/>
        <v>6.3179999999999996</v>
      </c>
      <c r="J30" s="19">
        <f t="shared" si="3"/>
        <v>1462.818</v>
      </c>
      <c r="K30" s="20">
        <f t="shared" si="4"/>
        <v>8572.11348</v>
      </c>
    </row>
    <row r="31" spans="1:25" ht="16.5" thickBot="1" x14ac:dyDescent="0.3">
      <c r="A31" s="9">
        <v>44894</v>
      </c>
      <c r="B31" s="3">
        <v>467749</v>
      </c>
      <c r="C31" s="38">
        <f t="shared" si="7"/>
        <v>790</v>
      </c>
      <c r="D31" s="3">
        <v>16267</v>
      </c>
      <c r="E31" s="38">
        <f t="shared" si="8"/>
        <v>360</v>
      </c>
      <c r="F31" s="3">
        <v>12906200</v>
      </c>
      <c r="G31" s="38">
        <f t="shared" si="5"/>
        <v>664.2</v>
      </c>
      <c r="H31" s="3">
        <v>824648</v>
      </c>
      <c r="I31" s="43">
        <f t="shared" si="6"/>
        <v>6.048</v>
      </c>
      <c r="J31" s="19">
        <f t="shared" si="3"/>
        <v>1820.248</v>
      </c>
      <c r="K31" s="20">
        <f t="shared" si="4"/>
        <v>10666.65328</v>
      </c>
    </row>
    <row r="32" spans="1:25" ht="16.5" thickBot="1" x14ac:dyDescent="0.3">
      <c r="A32" s="9">
        <v>44895</v>
      </c>
      <c r="B32" s="3">
        <v>467888</v>
      </c>
      <c r="C32" s="38">
        <f t="shared" si="7"/>
        <v>1390</v>
      </c>
      <c r="D32" s="3">
        <v>16303</v>
      </c>
      <c r="E32" s="38">
        <f t="shared" si="8"/>
        <v>360</v>
      </c>
      <c r="F32" s="3">
        <v>12930800</v>
      </c>
      <c r="G32" s="38">
        <f t="shared" si="5"/>
        <v>664.2</v>
      </c>
      <c r="H32" s="3">
        <v>824872</v>
      </c>
      <c r="I32" s="43">
        <f t="shared" si="6"/>
        <v>6.048</v>
      </c>
      <c r="J32" s="19">
        <f t="shared" si="3"/>
        <v>2420.2479999999996</v>
      </c>
      <c r="K32" s="20">
        <f t="shared" si="4"/>
        <v>14182.653279999999</v>
      </c>
    </row>
    <row r="33" spans="1:11" ht="16.5" thickBot="1" x14ac:dyDescent="0.3">
      <c r="A33" s="55" t="s">
        <v>23</v>
      </c>
      <c r="B33" s="55"/>
      <c r="C33" s="55">
        <f>SUM(C3:C32)</f>
        <v>23880</v>
      </c>
      <c r="D33" s="55"/>
      <c r="E33" s="55">
        <f>SUM(E3:E32)</f>
        <v>10860</v>
      </c>
      <c r="F33" s="55"/>
      <c r="G33" s="55">
        <f>SUM(G3:G32)</f>
        <v>12376.800000000005</v>
      </c>
      <c r="H33" s="55"/>
      <c r="I33" s="55">
        <f>SUM(I3:I32)</f>
        <v>158.48999999999998</v>
      </c>
      <c r="J33" s="55">
        <v>0</v>
      </c>
      <c r="K33" s="55">
        <f>SUM(K4:K32)</f>
        <v>267632.34713999997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C33" sqref="C3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1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v>18576929</v>
      </c>
      <c r="C12" s="44">
        <f t="shared" si="0"/>
        <v>1293</v>
      </c>
    </row>
    <row r="13" spans="1:9" ht="24" thickBot="1" x14ac:dyDescent="0.4">
      <c r="A13" s="9">
        <v>44876</v>
      </c>
      <c r="B13" s="120">
        <v>18577176</v>
      </c>
      <c r="C13" s="44">
        <f t="shared" si="0"/>
        <v>247</v>
      </c>
    </row>
    <row r="14" spans="1:9" ht="24" thickBot="1" x14ac:dyDescent="0.4">
      <c r="A14" s="9">
        <v>44877</v>
      </c>
      <c r="B14" s="120">
        <v>18577176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v>18577176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v>18577176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v>18577176</v>
      </c>
      <c r="C17" s="44">
        <f t="shared" si="0"/>
        <v>0</v>
      </c>
    </row>
    <row r="18" spans="1:9" ht="24" thickBot="1" x14ac:dyDescent="0.4">
      <c r="A18" s="9">
        <v>44881</v>
      </c>
      <c r="B18" s="120">
        <v>18577800</v>
      </c>
      <c r="C18" s="44">
        <f t="shared" si="0"/>
        <v>624</v>
      </c>
      <c r="I18" s="34"/>
    </row>
    <row r="19" spans="1:9" ht="24" thickBot="1" x14ac:dyDescent="0.4">
      <c r="A19" s="9">
        <v>44882</v>
      </c>
      <c r="B19" s="120">
        <v>18579417</v>
      </c>
      <c r="C19" s="44">
        <f t="shared" si="0"/>
        <v>1617</v>
      </c>
    </row>
    <row r="20" spans="1:9" ht="24" thickBot="1" x14ac:dyDescent="0.4">
      <c r="A20" s="9">
        <v>44883</v>
      </c>
      <c r="B20" s="120">
        <v>18581046</v>
      </c>
      <c r="C20" s="44">
        <f t="shared" si="0"/>
        <v>1629</v>
      </c>
      <c r="I20" s="34"/>
    </row>
    <row r="21" spans="1:9" ht="24" thickBot="1" x14ac:dyDescent="0.4">
      <c r="A21" s="9">
        <v>44884</v>
      </c>
      <c r="B21" s="120">
        <v>18582617</v>
      </c>
      <c r="C21" s="44">
        <f t="shared" si="0"/>
        <v>1571</v>
      </c>
    </row>
    <row r="22" spans="1:9" ht="24" thickBot="1" x14ac:dyDescent="0.4">
      <c r="A22" s="9">
        <v>44885</v>
      </c>
      <c r="B22" s="120">
        <v>18584639</v>
      </c>
      <c r="C22" s="44">
        <f t="shared" si="0"/>
        <v>2022</v>
      </c>
    </row>
    <row r="23" spans="1:9" ht="24" thickBot="1" x14ac:dyDescent="0.4">
      <c r="A23" s="9">
        <v>44886</v>
      </c>
      <c r="B23" s="120">
        <v>18586298</v>
      </c>
      <c r="C23" s="44">
        <f t="shared" si="0"/>
        <v>1659</v>
      </c>
      <c r="F23" t="s">
        <v>12</v>
      </c>
    </row>
    <row r="24" spans="1:9" ht="24" thickBot="1" x14ac:dyDescent="0.4">
      <c r="A24" s="9">
        <v>44887</v>
      </c>
      <c r="B24" s="120">
        <v>18588048</v>
      </c>
      <c r="C24" s="44">
        <f t="shared" si="0"/>
        <v>1750</v>
      </c>
      <c r="E24" t="s">
        <v>12</v>
      </c>
    </row>
    <row r="25" spans="1:9" ht="24" thickBot="1" x14ac:dyDescent="0.4">
      <c r="A25" s="9">
        <v>44888</v>
      </c>
      <c r="B25" s="120">
        <v>18589820</v>
      </c>
      <c r="C25" s="44">
        <f t="shared" si="0"/>
        <v>1772</v>
      </c>
    </row>
    <row r="26" spans="1:9" ht="24" thickBot="1" x14ac:dyDescent="0.4">
      <c r="A26" s="9">
        <v>44889</v>
      </c>
      <c r="B26" s="120">
        <v>18591442</v>
      </c>
      <c r="C26" s="44">
        <f t="shared" si="0"/>
        <v>1622</v>
      </c>
    </row>
    <row r="27" spans="1:9" ht="24" thickBot="1" x14ac:dyDescent="0.4">
      <c r="A27" s="9">
        <v>44890</v>
      </c>
      <c r="B27" s="120">
        <v>18593426</v>
      </c>
      <c r="C27" s="44">
        <f t="shared" si="0"/>
        <v>1984</v>
      </c>
    </row>
    <row r="28" spans="1:9" ht="24" thickBot="1" x14ac:dyDescent="0.4">
      <c r="A28" s="9">
        <v>44891</v>
      </c>
      <c r="B28" s="120">
        <v>18595387</v>
      </c>
      <c r="C28" s="44">
        <f t="shared" si="0"/>
        <v>1961</v>
      </c>
      <c r="I28" t="s">
        <v>12</v>
      </c>
    </row>
    <row r="29" spans="1:9" ht="24" thickBot="1" x14ac:dyDescent="0.4">
      <c r="A29" s="9">
        <v>44892</v>
      </c>
      <c r="B29" s="120">
        <v>18597254</v>
      </c>
      <c r="C29" s="44">
        <f t="shared" si="0"/>
        <v>1867</v>
      </c>
    </row>
    <row r="30" spans="1:9" ht="24" thickBot="1" x14ac:dyDescent="0.4">
      <c r="A30" s="9">
        <v>44893</v>
      </c>
      <c r="B30" s="120">
        <v>18599130</v>
      </c>
      <c r="C30" s="44">
        <f t="shared" si="0"/>
        <v>1876</v>
      </c>
    </row>
    <row r="31" spans="1:9" ht="24" thickBot="1" x14ac:dyDescent="0.4">
      <c r="A31" s="9">
        <v>44894</v>
      </c>
      <c r="B31" s="120">
        <v>18600837</v>
      </c>
      <c r="C31" s="44">
        <f t="shared" si="0"/>
        <v>1707</v>
      </c>
    </row>
    <row r="32" spans="1:9" ht="24" thickBot="1" x14ac:dyDescent="0.4">
      <c r="A32" s="9">
        <v>44895</v>
      </c>
      <c r="B32" s="120">
        <v>18602968</v>
      </c>
      <c r="C32" s="44">
        <f t="shared" si="0"/>
        <v>2131</v>
      </c>
    </row>
    <row r="33" spans="1:3" ht="24" thickBot="1" x14ac:dyDescent="0.4">
      <c r="A33" s="122" t="s">
        <v>138</v>
      </c>
      <c r="B33" s="122"/>
      <c r="C33" s="122">
        <f>SUM(C3:C32)</f>
        <v>46748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opLeftCell="M1" zoomScale="110" zoomScaleNormal="110" workbookViewId="0">
      <pane ySplit="1" topLeftCell="A2" activePane="bottomLeft" state="frozen"/>
      <selection pane="bottomLeft" activeCell="AG32" sqref="AG32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2" t="s">
        <v>140</v>
      </c>
      <c r="X1" s="163"/>
      <c r="Y1" s="163"/>
      <c r="Z1" s="163"/>
      <c r="AA1" s="164"/>
      <c r="AB1" s="165" t="s">
        <v>142</v>
      </c>
      <c r="AC1" s="163"/>
      <c r="AD1" s="165" t="s">
        <v>143</v>
      </c>
      <c r="AE1" s="163"/>
      <c r="AF1" s="162" t="s">
        <v>144</v>
      </c>
      <c r="AG1" s="163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781</v>
      </c>
      <c r="AE11" s="147">
        <f t="shared" si="21"/>
        <v>1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v>25402.217000000001</v>
      </c>
      <c r="C12" s="43">
        <f t="shared" si="22"/>
        <v>5.4480000000003201</v>
      </c>
      <c r="D12" s="28">
        <f t="shared" si="23"/>
        <v>10351.200000000608</v>
      </c>
      <c r="E12" s="1">
        <v>4654.625</v>
      </c>
      <c r="F12" s="43">
        <f t="shared" si="24"/>
        <v>1.7240000000001601</v>
      </c>
      <c r="G12" s="28">
        <f t="shared" si="25"/>
        <v>3275.6000000003041</v>
      </c>
      <c r="H12" s="1">
        <v>6483</v>
      </c>
      <c r="I12" s="43">
        <f t="shared" si="26"/>
        <v>4</v>
      </c>
      <c r="J12" s="28">
        <f t="shared" si="27"/>
        <v>7600</v>
      </c>
      <c r="K12" s="7">
        <v>14303.95</v>
      </c>
      <c r="L12" s="43">
        <f t="shared" si="28"/>
        <v>1.0600000000013097</v>
      </c>
      <c r="M12" s="28">
        <f t="shared" si="29"/>
        <v>2014.0000000024884</v>
      </c>
      <c r="N12" s="7">
        <v>3874.7719999999999</v>
      </c>
      <c r="O12" s="43">
        <f t="shared" si="30"/>
        <v>2.4809999999997672</v>
      </c>
      <c r="P12" s="28">
        <f t="shared" si="31"/>
        <v>4713.8999999995576</v>
      </c>
      <c r="Q12" s="7">
        <v>5653.68</v>
      </c>
      <c r="R12" s="43">
        <f t="shared" si="32"/>
        <v>1.0799999999999272</v>
      </c>
      <c r="S12" s="28">
        <f t="shared" si="33"/>
        <v>2051.9999999998613</v>
      </c>
      <c r="T12" s="8">
        <f t="shared" si="36"/>
        <v>15.793000000001484</v>
      </c>
      <c r="U12" s="30">
        <f t="shared" si="34"/>
        <v>30006.70000000282</v>
      </c>
      <c r="W12" s="141">
        <v>44875</v>
      </c>
      <c r="X12" s="142">
        <v>221392</v>
      </c>
      <c r="Y12" s="147">
        <f t="shared" si="21"/>
        <v>108</v>
      </c>
      <c r="Z12" s="142">
        <v>10218</v>
      </c>
      <c r="AA12" s="147">
        <f t="shared" si="21"/>
        <v>2</v>
      </c>
      <c r="AB12" s="142">
        <f t="shared" si="35"/>
        <v>41</v>
      </c>
      <c r="AC12" s="147">
        <f t="shared" si="21"/>
        <v>0</v>
      </c>
      <c r="AD12" s="142">
        <v>782</v>
      </c>
      <c r="AE12" s="147">
        <f t="shared" si="21"/>
        <v>1</v>
      </c>
      <c r="AF12" s="142">
        <v>9715</v>
      </c>
      <c r="AG12" s="147">
        <f t="shared" si="21"/>
        <v>7</v>
      </c>
    </row>
    <row r="13" spans="1:33" ht="16.5" thickBot="1" x14ac:dyDescent="0.25">
      <c r="A13" s="9">
        <v>44876</v>
      </c>
      <c r="B13" s="144">
        <v>25406.744999999999</v>
      </c>
      <c r="C13" s="43">
        <f t="shared" si="22"/>
        <v>4.5279999999984284</v>
      </c>
      <c r="D13" s="28">
        <f t="shared" si="23"/>
        <v>8603.1999999970139</v>
      </c>
      <c r="E13" s="1">
        <v>4655.3339999999998</v>
      </c>
      <c r="F13" s="43">
        <f t="shared" si="24"/>
        <v>0.70899999999983265</v>
      </c>
      <c r="G13" s="28">
        <f t="shared" si="25"/>
        <v>1347.099999999682</v>
      </c>
      <c r="H13" s="1">
        <v>6487</v>
      </c>
      <c r="I13" s="43">
        <f t="shared" si="26"/>
        <v>4</v>
      </c>
      <c r="J13" s="28">
        <f t="shared" si="27"/>
        <v>7600</v>
      </c>
      <c r="K13" s="7">
        <v>14304.89</v>
      </c>
      <c r="L13" s="43">
        <f t="shared" si="28"/>
        <v>0.93999999999869033</v>
      </c>
      <c r="M13" s="28">
        <f t="shared" si="29"/>
        <v>1785.9999999975116</v>
      </c>
      <c r="N13" s="7">
        <v>3876.922</v>
      </c>
      <c r="O13" s="43">
        <f t="shared" si="30"/>
        <v>2.1500000000000909</v>
      </c>
      <c r="P13" s="28">
        <f t="shared" si="31"/>
        <v>4085.0000000001723</v>
      </c>
      <c r="Q13" s="7">
        <v>5654.82</v>
      </c>
      <c r="R13" s="43">
        <f t="shared" si="32"/>
        <v>1.1399999999994179</v>
      </c>
      <c r="S13" s="28">
        <f t="shared" si="33"/>
        <v>2165.9999999988941</v>
      </c>
      <c r="T13" s="8">
        <f t="shared" si="36"/>
        <v>13.46699999999646</v>
      </c>
      <c r="U13" s="30">
        <f t="shared" si="34"/>
        <v>25587.299999993273</v>
      </c>
      <c r="W13" s="141">
        <v>44876</v>
      </c>
      <c r="X13" s="142">
        <v>221487</v>
      </c>
      <c r="Y13" s="147">
        <f t="shared" si="21"/>
        <v>95</v>
      </c>
      <c r="Z13" s="142">
        <v>10221</v>
      </c>
      <c r="AA13" s="147">
        <f t="shared" si="21"/>
        <v>3</v>
      </c>
      <c r="AB13" s="142">
        <v>41</v>
      </c>
      <c r="AC13" s="147">
        <f t="shared" si="21"/>
        <v>0</v>
      </c>
      <c r="AD13" s="142">
        <v>783</v>
      </c>
      <c r="AE13" s="147">
        <f t="shared" si="21"/>
        <v>1</v>
      </c>
      <c r="AF13" s="142">
        <v>9722</v>
      </c>
      <c r="AG13" s="147">
        <f t="shared" si="21"/>
        <v>7</v>
      </c>
    </row>
    <row r="14" spans="1:33" ht="16.5" thickBot="1" x14ac:dyDescent="0.25">
      <c r="A14" s="9">
        <v>44877</v>
      </c>
      <c r="B14" s="144">
        <v>25412.621999999999</v>
      </c>
      <c r="C14" s="43">
        <f t="shared" si="22"/>
        <v>5.8770000000004075</v>
      </c>
      <c r="D14" s="28">
        <f t="shared" si="23"/>
        <v>11166.300000000774</v>
      </c>
      <c r="E14" s="1">
        <v>4656.4040000000005</v>
      </c>
      <c r="F14" s="43">
        <f t="shared" si="24"/>
        <v>1.0700000000006185</v>
      </c>
      <c r="G14" s="28">
        <f t="shared" si="25"/>
        <v>2033.0000000011751</v>
      </c>
      <c r="H14" s="1">
        <v>6491</v>
      </c>
      <c r="I14" s="43">
        <f t="shared" si="26"/>
        <v>4</v>
      </c>
      <c r="J14" s="28">
        <f t="shared" si="27"/>
        <v>7600</v>
      </c>
      <c r="K14" s="7">
        <v>14306.06</v>
      </c>
      <c r="L14" s="43">
        <f t="shared" si="28"/>
        <v>1.1700000000000728</v>
      </c>
      <c r="M14" s="28">
        <f t="shared" si="29"/>
        <v>2223.0000000001378</v>
      </c>
      <c r="N14" s="7">
        <v>3879.6039999999998</v>
      </c>
      <c r="O14" s="43">
        <f>IF((N14-N13)&lt;0,"0",(N14-N13))</f>
        <v>2.681999999999789</v>
      </c>
      <c r="P14" s="28">
        <f t="shared" si="31"/>
        <v>5095.7999999995991</v>
      </c>
      <c r="Q14" s="7">
        <v>5656.19</v>
      </c>
      <c r="R14" s="43">
        <f t="shared" si="32"/>
        <v>1.3699999999998909</v>
      </c>
      <c r="S14" s="28">
        <f t="shared" si="33"/>
        <v>2602.9999999997922</v>
      </c>
      <c r="T14" s="8">
        <f t="shared" si="36"/>
        <v>16.169000000000779</v>
      </c>
      <c r="U14" s="30">
        <f t="shared" si="34"/>
        <v>30721.100000001479</v>
      </c>
      <c r="W14" s="141">
        <v>44877</v>
      </c>
      <c r="X14" s="142">
        <v>221600</v>
      </c>
      <c r="Y14" s="147">
        <f t="shared" si="21"/>
        <v>113</v>
      </c>
      <c r="Z14" s="142">
        <v>10223</v>
      </c>
      <c r="AA14" s="147">
        <f t="shared" si="21"/>
        <v>2</v>
      </c>
      <c r="AB14" s="142">
        <f t="shared" si="35"/>
        <v>41</v>
      </c>
      <c r="AC14" s="147">
        <f t="shared" si="21"/>
        <v>0</v>
      </c>
      <c r="AD14" s="142">
        <v>785</v>
      </c>
      <c r="AE14" s="147">
        <f t="shared" si="21"/>
        <v>2</v>
      </c>
      <c r="AF14" s="142">
        <v>9728</v>
      </c>
      <c r="AG14" s="147">
        <f t="shared" si="21"/>
        <v>6</v>
      </c>
    </row>
    <row r="15" spans="1:33" ht="16.5" thickBot="1" x14ac:dyDescent="0.25">
      <c r="A15" s="9">
        <v>44878</v>
      </c>
      <c r="B15" s="144">
        <v>25417.599999999999</v>
      </c>
      <c r="C15" s="43">
        <f t="shared" ref="C15" si="37">IF((B15-B14)&lt;0,"0",(B15-B14))</f>
        <v>4.977999999999156</v>
      </c>
      <c r="D15" s="28">
        <f t="shared" ref="D15" si="38">C15*1.9*1000</f>
        <v>9458.1999999983964</v>
      </c>
      <c r="E15" s="1">
        <v>4657.5309999999999</v>
      </c>
      <c r="F15" s="43">
        <f t="shared" ref="F15" si="39">IF((E15-E14)&lt;0,"0",(E15-E14))</f>
        <v>1.126999999999498</v>
      </c>
      <c r="G15" s="28">
        <f t="shared" ref="G15" si="40">F15*1.9*1000</f>
        <v>2141.2999999990457</v>
      </c>
      <c r="H15" s="1">
        <v>6495</v>
      </c>
      <c r="I15" s="43">
        <f t="shared" ref="I15" si="41">IF((H15-H14)&lt;0,"0",(H15-H14))</f>
        <v>4</v>
      </c>
      <c r="J15" s="28">
        <f t="shared" ref="J15" si="42">I15*1.9*1000</f>
        <v>7600</v>
      </c>
      <c r="K15" s="7">
        <v>14306.87</v>
      </c>
      <c r="L15" s="43">
        <f t="shared" ref="L15" si="43">IF((K15-K14)&lt;0,"0",(K15-K14))</f>
        <v>0.81000000000130967</v>
      </c>
      <c r="M15" s="28">
        <f t="shared" ref="M15" si="44">L15*1.9*1000</f>
        <v>1539.0000000024884</v>
      </c>
      <c r="N15" s="7">
        <v>3881.634</v>
      </c>
      <c r="O15" s="43">
        <f>IF((N15-N14)&lt;0,"0",(N15-N14))</f>
        <v>2.0300000000002001</v>
      </c>
      <c r="P15" s="28">
        <f t="shared" ref="P15" si="45">O15*1.9*1000</f>
        <v>3857.0000000003797</v>
      </c>
      <c r="Q15" s="7">
        <v>5657.6</v>
      </c>
      <c r="R15" s="43">
        <f t="shared" ref="R15" si="46">IF((Q15-Q14)&lt;0,"0",(Q15-Q14))</f>
        <v>1.410000000000764</v>
      </c>
      <c r="S15" s="28">
        <f t="shared" ref="S15" si="47">R15*1.9*1000</f>
        <v>2679.0000000014516</v>
      </c>
      <c r="T15" s="8">
        <f t="shared" ref="T15" si="48">C15+F15+I15+L15+O15+R15</f>
        <v>14.355000000000928</v>
      </c>
      <c r="U15" s="30">
        <f t="shared" ref="U15" si="49">T15*1.9*1000</f>
        <v>27274.500000001761</v>
      </c>
      <c r="W15" s="141">
        <v>44878</v>
      </c>
      <c r="X15" s="142">
        <v>221720</v>
      </c>
      <c r="Y15" s="147">
        <f t="shared" si="21"/>
        <v>120</v>
      </c>
      <c r="Z15" s="142">
        <v>10227</v>
      </c>
      <c r="AA15" s="147">
        <f t="shared" si="21"/>
        <v>4</v>
      </c>
      <c r="AB15" s="142">
        <v>41</v>
      </c>
      <c r="AC15" s="147">
        <f t="shared" si="21"/>
        <v>0</v>
      </c>
      <c r="AD15" s="142">
        <v>787</v>
      </c>
      <c r="AE15" s="147">
        <f t="shared" si="21"/>
        <v>2</v>
      </c>
      <c r="AF15" s="142">
        <v>9738</v>
      </c>
      <c r="AG15" s="147">
        <f t="shared" si="21"/>
        <v>10</v>
      </c>
    </row>
    <row r="16" spans="1:33" ht="16.5" thickBot="1" x14ac:dyDescent="0.25">
      <c r="A16" s="9">
        <v>44879</v>
      </c>
      <c r="B16" s="144">
        <v>25424.81</v>
      </c>
      <c r="C16" s="43">
        <f t="shared" si="22"/>
        <v>7.2100000000027649</v>
      </c>
      <c r="D16" s="28">
        <f t="shared" si="23"/>
        <v>13699.000000005253</v>
      </c>
      <c r="E16" s="1">
        <v>4659.6509999999998</v>
      </c>
      <c r="F16" s="43">
        <f t="shared" si="24"/>
        <v>2.1199999999998909</v>
      </c>
      <c r="G16" s="28">
        <f t="shared" si="25"/>
        <v>4027.9999999997926</v>
      </c>
      <c r="H16" s="1">
        <v>6500</v>
      </c>
      <c r="I16" s="43">
        <f t="shared" si="26"/>
        <v>5</v>
      </c>
      <c r="J16" s="28">
        <f t="shared" si="27"/>
        <v>9500</v>
      </c>
      <c r="K16" s="7">
        <v>14308.23</v>
      </c>
      <c r="L16" s="43">
        <f t="shared" si="28"/>
        <v>1.3599999999987631</v>
      </c>
      <c r="M16" s="28">
        <f t="shared" si="29"/>
        <v>2583.9999999976499</v>
      </c>
      <c r="N16" s="7">
        <v>3884.529</v>
      </c>
      <c r="O16" s="43">
        <f t="shared" si="30"/>
        <v>2.8949999999999818</v>
      </c>
      <c r="P16" s="28">
        <f t="shared" si="31"/>
        <v>5500.4999999999654</v>
      </c>
      <c r="Q16" s="7">
        <v>5659.53</v>
      </c>
      <c r="R16" s="43">
        <f t="shared" si="32"/>
        <v>1.9299999999993815</v>
      </c>
      <c r="S16" s="28">
        <f t="shared" si="33"/>
        <v>3666.9999999988249</v>
      </c>
      <c r="T16" s="8">
        <f t="shared" si="36"/>
        <v>20.515000000000782</v>
      </c>
      <c r="U16" s="30">
        <f t="shared" si="34"/>
        <v>38978.500000001484</v>
      </c>
      <c r="W16" s="141">
        <v>44879</v>
      </c>
      <c r="X16" s="142">
        <v>221883</v>
      </c>
      <c r="Y16" s="147">
        <f t="shared" si="21"/>
        <v>163</v>
      </c>
      <c r="Z16" s="142">
        <v>10229</v>
      </c>
      <c r="AA16" s="147">
        <f t="shared" si="21"/>
        <v>2</v>
      </c>
      <c r="AB16" s="142">
        <f t="shared" si="35"/>
        <v>41</v>
      </c>
      <c r="AC16" s="147">
        <f t="shared" si="21"/>
        <v>0</v>
      </c>
      <c r="AD16" s="142">
        <v>790</v>
      </c>
      <c r="AE16" s="147">
        <f t="shared" si="21"/>
        <v>3</v>
      </c>
      <c r="AF16" s="142">
        <v>9746</v>
      </c>
      <c r="AG16" s="147">
        <f t="shared" si="21"/>
        <v>8</v>
      </c>
    </row>
    <row r="17" spans="1:33" ht="16.5" thickBot="1" x14ac:dyDescent="0.25">
      <c r="A17" s="9">
        <v>44880</v>
      </c>
      <c r="B17" s="144">
        <v>25429.15</v>
      </c>
      <c r="C17" s="43">
        <f t="shared" si="22"/>
        <v>4.3400000000001455</v>
      </c>
      <c r="D17" s="28">
        <f t="shared" si="23"/>
        <v>8246.0000000002765</v>
      </c>
      <c r="E17" s="1">
        <v>4660.8</v>
      </c>
      <c r="F17" s="43">
        <f t="shared" si="24"/>
        <v>1.149000000000342</v>
      </c>
      <c r="G17" s="28">
        <f t="shared" si="25"/>
        <v>2183.1000000006497</v>
      </c>
      <c r="H17" s="1">
        <v>6503</v>
      </c>
      <c r="I17" s="43">
        <f t="shared" si="26"/>
        <v>3</v>
      </c>
      <c r="J17" s="28">
        <f t="shared" si="27"/>
        <v>5699.9999999999991</v>
      </c>
      <c r="K17" s="7">
        <v>14308.9</v>
      </c>
      <c r="L17" s="43">
        <f t="shared" si="28"/>
        <v>0.67000000000007276</v>
      </c>
      <c r="M17" s="28">
        <f t="shared" si="29"/>
        <v>1273.0000000001382</v>
      </c>
      <c r="N17" s="7">
        <v>3886.5520000000001</v>
      </c>
      <c r="O17" s="43">
        <f t="shared" si="30"/>
        <v>2.0230000000001382</v>
      </c>
      <c r="P17" s="28">
        <f t="shared" si="31"/>
        <v>3843.7000000002627</v>
      </c>
      <c r="Q17" s="7">
        <v>5660.17</v>
      </c>
      <c r="R17" s="43">
        <f t="shared" si="32"/>
        <v>0.64000000000032742</v>
      </c>
      <c r="S17" s="28">
        <f t="shared" si="33"/>
        <v>1216.0000000006221</v>
      </c>
      <c r="T17" s="8">
        <f t="shared" si="36"/>
        <v>11.822000000001026</v>
      </c>
      <c r="U17" s="30">
        <f t="shared" si="34"/>
        <v>22461.800000001946</v>
      </c>
      <c r="W17" s="141">
        <v>44880</v>
      </c>
      <c r="X17" s="142">
        <v>222008</v>
      </c>
      <c r="Y17" s="147">
        <f t="shared" si="21"/>
        <v>125</v>
      </c>
      <c r="Z17" s="142">
        <v>10232</v>
      </c>
      <c r="AA17" s="147">
        <f t="shared" si="21"/>
        <v>3</v>
      </c>
      <c r="AB17" s="142">
        <f t="shared" si="35"/>
        <v>41</v>
      </c>
      <c r="AC17" s="147">
        <f t="shared" si="21"/>
        <v>0</v>
      </c>
      <c r="AD17" s="142">
        <v>792</v>
      </c>
      <c r="AE17" s="147">
        <f t="shared" si="21"/>
        <v>2</v>
      </c>
      <c r="AF17" s="142">
        <v>9757</v>
      </c>
      <c r="AG17" s="147">
        <f t="shared" si="21"/>
        <v>11</v>
      </c>
    </row>
    <row r="18" spans="1:33" ht="16.5" thickBot="1" x14ac:dyDescent="0.25">
      <c r="A18" s="9">
        <v>44881</v>
      </c>
      <c r="B18" s="144">
        <v>25434.637999999999</v>
      </c>
      <c r="C18" s="43">
        <f t="shared" si="22"/>
        <v>5.4879999999975553</v>
      </c>
      <c r="D18" s="28">
        <f t="shared" si="23"/>
        <v>10427.199999995353</v>
      </c>
      <c r="E18" s="1">
        <v>4662.4459999999999</v>
      </c>
      <c r="F18" s="43">
        <f t="shared" si="24"/>
        <v>1.6459999999997308</v>
      </c>
      <c r="G18" s="28">
        <f t="shared" si="25"/>
        <v>3127.399999999488</v>
      </c>
      <c r="H18" s="1">
        <v>6508</v>
      </c>
      <c r="I18" s="43">
        <f t="shared" si="26"/>
        <v>5</v>
      </c>
      <c r="J18" s="28">
        <f t="shared" si="27"/>
        <v>9500</v>
      </c>
      <c r="K18" s="7">
        <v>14309.83</v>
      </c>
      <c r="L18" s="43">
        <f t="shared" si="28"/>
        <v>0.93000000000029104</v>
      </c>
      <c r="M18" s="28">
        <f t="shared" si="29"/>
        <v>1767.0000000005527</v>
      </c>
      <c r="N18" s="7">
        <v>3889.3739999999998</v>
      </c>
      <c r="O18" s="43">
        <f t="shared" si="30"/>
        <v>2.8219999999996617</v>
      </c>
      <c r="P18" s="28">
        <f t="shared" si="31"/>
        <v>5361.7999999993563</v>
      </c>
      <c r="Q18" s="7">
        <v>5661.2</v>
      </c>
      <c r="R18" s="43">
        <f t="shared" si="32"/>
        <v>1.0299999999997453</v>
      </c>
      <c r="S18" s="28">
        <f t="shared" si="33"/>
        <v>1956.9999999995159</v>
      </c>
      <c r="T18" s="8">
        <f t="shared" si="36"/>
        <v>16.915999999996984</v>
      </c>
      <c r="U18" s="30">
        <f t="shared" si="34"/>
        <v>32140.399999994264</v>
      </c>
      <c r="W18" s="141">
        <v>44881</v>
      </c>
      <c r="X18" s="142">
        <v>222088</v>
      </c>
      <c r="Y18" s="147">
        <f t="shared" si="21"/>
        <v>80</v>
      </c>
      <c r="Z18" s="142">
        <v>10235</v>
      </c>
      <c r="AA18" s="147">
        <f t="shared" si="21"/>
        <v>3</v>
      </c>
      <c r="AB18" s="142">
        <v>41.5</v>
      </c>
      <c r="AC18" s="147">
        <f t="shared" si="21"/>
        <v>0.5</v>
      </c>
      <c r="AD18" s="142">
        <v>794</v>
      </c>
      <c r="AE18" s="147">
        <f t="shared" si="21"/>
        <v>2</v>
      </c>
      <c r="AF18" s="142">
        <v>9764</v>
      </c>
      <c r="AG18" s="147">
        <f t="shared" si="21"/>
        <v>7</v>
      </c>
    </row>
    <row r="19" spans="1:33" ht="16.5" thickBot="1" x14ac:dyDescent="0.25">
      <c r="A19" s="9">
        <v>44882</v>
      </c>
      <c r="B19" s="144">
        <v>25438.572</v>
      </c>
      <c r="C19" s="43">
        <f t="shared" si="22"/>
        <v>3.9340000000011059</v>
      </c>
      <c r="D19" s="28">
        <f t="shared" si="23"/>
        <v>7474.6000000021013</v>
      </c>
      <c r="E19" s="1">
        <v>4663.6729999999998</v>
      </c>
      <c r="F19" s="43">
        <f t="shared" si="24"/>
        <v>1.2269999999998618</v>
      </c>
      <c r="G19" s="28">
        <f t="shared" si="25"/>
        <v>2331.2999999997373</v>
      </c>
      <c r="H19" s="1">
        <v>6511</v>
      </c>
      <c r="I19" s="43">
        <f t="shared" si="26"/>
        <v>3</v>
      </c>
      <c r="J19" s="28">
        <f t="shared" si="27"/>
        <v>5699.9999999999991</v>
      </c>
      <c r="K19" s="7">
        <v>14310.34</v>
      </c>
      <c r="L19" s="43">
        <f t="shared" si="28"/>
        <v>0.51000000000021828</v>
      </c>
      <c r="M19" s="28">
        <f t="shared" si="29"/>
        <v>969.00000000041462</v>
      </c>
      <c r="N19" s="7">
        <v>3891.21</v>
      </c>
      <c r="O19" s="43">
        <f t="shared" si="30"/>
        <v>1.8360000000002401</v>
      </c>
      <c r="P19" s="28">
        <f t="shared" si="31"/>
        <v>3488.4000000004562</v>
      </c>
      <c r="Q19" s="7">
        <v>5662.54</v>
      </c>
      <c r="R19" s="43">
        <f t="shared" si="32"/>
        <v>1.3400000000001455</v>
      </c>
      <c r="S19" s="28">
        <f t="shared" si="33"/>
        <v>2546.0000000002765</v>
      </c>
      <c r="T19" s="8">
        <f t="shared" si="36"/>
        <v>11.847000000001572</v>
      </c>
      <c r="U19" s="30">
        <f t="shared" si="34"/>
        <v>22509.300000002982</v>
      </c>
      <c r="W19" s="141">
        <v>44882</v>
      </c>
      <c r="X19" s="142">
        <v>222215</v>
      </c>
      <c r="Y19" s="147">
        <f t="shared" si="21"/>
        <v>127</v>
      </c>
      <c r="Z19" s="142">
        <v>10236</v>
      </c>
      <c r="AA19" s="147">
        <f t="shared" si="21"/>
        <v>1</v>
      </c>
      <c r="AB19" s="142">
        <v>44</v>
      </c>
      <c r="AC19" s="147">
        <f t="shared" si="21"/>
        <v>2.5</v>
      </c>
      <c r="AD19" s="142">
        <v>796</v>
      </c>
      <c r="AE19" s="147">
        <f t="shared" si="21"/>
        <v>2</v>
      </c>
      <c r="AF19" s="142">
        <v>9774</v>
      </c>
      <c r="AG19" s="147">
        <f t="shared" si="21"/>
        <v>10</v>
      </c>
    </row>
    <row r="20" spans="1:33" ht="16.5" thickBot="1" x14ac:dyDescent="0.25">
      <c r="A20" s="9">
        <v>44883</v>
      </c>
      <c r="B20" s="144">
        <v>25444.91</v>
      </c>
      <c r="C20" s="43">
        <f t="shared" si="22"/>
        <v>6.3379999999997381</v>
      </c>
      <c r="D20" s="28">
        <f t="shared" si="23"/>
        <v>12042.199999999502</v>
      </c>
      <c r="E20" s="1">
        <v>4664.8140000000003</v>
      </c>
      <c r="F20" s="43">
        <f t="shared" si="24"/>
        <v>1.1410000000005311</v>
      </c>
      <c r="G20" s="28">
        <f t="shared" si="25"/>
        <v>2167.9000000010087</v>
      </c>
      <c r="H20" s="1">
        <v>6516</v>
      </c>
      <c r="I20" s="43">
        <f t="shared" si="26"/>
        <v>5</v>
      </c>
      <c r="J20" s="28">
        <f t="shared" si="27"/>
        <v>9500</v>
      </c>
      <c r="K20" s="7">
        <v>14311.36</v>
      </c>
      <c r="L20" s="43">
        <f t="shared" si="28"/>
        <v>1.0200000000004366</v>
      </c>
      <c r="M20" s="28">
        <f t="shared" si="29"/>
        <v>1938.0000000008292</v>
      </c>
      <c r="N20" s="7">
        <v>3894.451</v>
      </c>
      <c r="O20" s="43">
        <f t="shared" si="30"/>
        <v>3.2409999999999854</v>
      </c>
      <c r="P20" s="28">
        <f t="shared" si="31"/>
        <v>6157.8999999999724</v>
      </c>
      <c r="Q20" s="7">
        <v>5664.53</v>
      </c>
      <c r="R20" s="43">
        <f t="shared" si="32"/>
        <v>1.9899999999997817</v>
      </c>
      <c r="S20" s="28">
        <f t="shared" si="33"/>
        <v>3780.9999999995848</v>
      </c>
      <c r="T20" s="8">
        <f t="shared" si="36"/>
        <v>18.730000000000473</v>
      </c>
      <c r="U20" s="30">
        <f t="shared" si="34"/>
        <v>35587.000000000902</v>
      </c>
      <c r="W20" s="141">
        <v>44883</v>
      </c>
      <c r="X20" s="142">
        <v>222368</v>
      </c>
      <c r="Y20" s="147">
        <f t="shared" si="21"/>
        <v>153</v>
      </c>
      <c r="Z20" s="142">
        <v>10239</v>
      </c>
      <c r="AA20" s="147">
        <f t="shared" si="21"/>
        <v>3</v>
      </c>
      <c r="AB20" s="142">
        <v>44</v>
      </c>
      <c r="AC20" s="147">
        <f t="shared" si="21"/>
        <v>0</v>
      </c>
      <c r="AD20" s="142">
        <v>798</v>
      </c>
      <c r="AE20" s="147">
        <f t="shared" si="21"/>
        <v>2</v>
      </c>
      <c r="AF20" s="142">
        <v>9783</v>
      </c>
      <c r="AG20" s="147">
        <f t="shared" si="21"/>
        <v>9</v>
      </c>
    </row>
    <row r="21" spans="1:33" ht="16.5" thickBot="1" x14ac:dyDescent="0.25">
      <c r="A21" s="9">
        <v>44884</v>
      </c>
      <c r="B21" s="144">
        <v>25447.951000000001</v>
      </c>
      <c r="C21" s="43">
        <f t="shared" si="22"/>
        <v>3.0410000000010768</v>
      </c>
      <c r="D21" s="28">
        <f t="shared" si="23"/>
        <v>5777.9000000020451</v>
      </c>
      <c r="E21" s="1">
        <v>4665.5429999999997</v>
      </c>
      <c r="F21" s="43">
        <f t="shared" si="24"/>
        <v>0.72899999999935972</v>
      </c>
      <c r="G21" s="28">
        <f t="shared" si="25"/>
        <v>1385.0999999987835</v>
      </c>
      <c r="H21" s="1">
        <v>6518</v>
      </c>
      <c r="I21" s="43">
        <f t="shared" si="26"/>
        <v>2</v>
      </c>
      <c r="J21" s="28">
        <f t="shared" si="27"/>
        <v>3800</v>
      </c>
      <c r="K21" s="7">
        <v>14311.71</v>
      </c>
      <c r="L21" s="43">
        <f t="shared" si="28"/>
        <v>0.34999999999854481</v>
      </c>
      <c r="M21" s="28">
        <f t="shared" si="29"/>
        <v>664.99999999723514</v>
      </c>
      <c r="N21" s="7">
        <v>3895.8380000000002</v>
      </c>
      <c r="O21" s="43">
        <f t="shared" si="30"/>
        <v>1.387000000000171</v>
      </c>
      <c r="P21" s="28">
        <f t="shared" si="31"/>
        <v>2635.3000000003244</v>
      </c>
      <c r="Q21" s="7">
        <v>5666.12</v>
      </c>
      <c r="R21" s="43">
        <f t="shared" si="32"/>
        <v>1.5900000000001455</v>
      </c>
      <c r="S21" s="28">
        <f t="shared" si="33"/>
        <v>3021.000000000276</v>
      </c>
      <c r="T21" s="8">
        <f t="shared" si="36"/>
        <v>9.0969999999992979</v>
      </c>
      <c r="U21" s="30">
        <f t="shared" si="34"/>
        <v>17284.299999998664</v>
      </c>
      <c r="W21" s="141">
        <v>44884</v>
      </c>
      <c r="X21" s="142">
        <v>222511</v>
      </c>
      <c r="Y21" s="147">
        <f t="shared" si="21"/>
        <v>143</v>
      </c>
      <c r="Z21" s="142">
        <v>10242</v>
      </c>
      <c r="AA21" s="147">
        <f t="shared" si="21"/>
        <v>3</v>
      </c>
      <c r="AB21" s="142">
        <v>44</v>
      </c>
      <c r="AC21" s="147">
        <f t="shared" si="21"/>
        <v>0</v>
      </c>
      <c r="AD21" s="142">
        <v>800</v>
      </c>
      <c r="AE21" s="147">
        <f t="shared" si="21"/>
        <v>2</v>
      </c>
      <c r="AF21" s="142">
        <v>9793</v>
      </c>
      <c r="AG21" s="147">
        <f t="shared" si="21"/>
        <v>10</v>
      </c>
    </row>
    <row r="22" spans="1:33" ht="16.5" thickBot="1" x14ac:dyDescent="0.25">
      <c r="A22" s="9">
        <v>44885</v>
      </c>
      <c r="B22" s="144">
        <v>25453.751</v>
      </c>
      <c r="C22" s="43">
        <f t="shared" si="22"/>
        <v>5.7999999999992724</v>
      </c>
      <c r="D22" s="28">
        <f t="shared" si="23"/>
        <v>11019.999999998618</v>
      </c>
      <c r="E22" s="1">
        <v>4667.402</v>
      </c>
      <c r="F22" s="43">
        <f t="shared" si="24"/>
        <v>1.8590000000003783</v>
      </c>
      <c r="G22" s="28">
        <f t="shared" si="25"/>
        <v>3532.1000000007189</v>
      </c>
      <c r="H22" s="1">
        <v>6522</v>
      </c>
      <c r="I22" s="43">
        <f t="shared" si="26"/>
        <v>4</v>
      </c>
      <c r="J22" s="28">
        <f t="shared" si="27"/>
        <v>7600</v>
      </c>
      <c r="K22" s="7">
        <v>14312.78</v>
      </c>
      <c r="L22" s="43">
        <f t="shared" si="28"/>
        <v>1.070000000001528</v>
      </c>
      <c r="M22" s="28">
        <f t="shared" si="29"/>
        <v>2033.0000000029029</v>
      </c>
      <c r="N22" s="7">
        <v>3898.5709999999999</v>
      </c>
      <c r="O22" s="43">
        <f t="shared" si="30"/>
        <v>2.7329999999997199</v>
      </c>
      <c r="P22" s="28">
        <f t="shared" si="31"/>
        <v>5192.6999999994678</v>
      </c>
      <c r="Q22" s="7">
        <v>5666.28</v>
      </c>
      <c r="R22" s="43">
        <f t="shared" si="32"/>
        <v>0.15999999999985448</v>
      </c>
      <c r="S22" s="28">
        <f t="shared" si="33"/>
        <v>303.99999999972351</v>
      </c>
      <c r="T22" s="8">
        <f t="shared" si="36"/>
        <v>15.622000000000753</v>
      </c>
      <c r="U22" s="30">
        <f t="shared" si="34"/>
        <v>29681.800000001429</v>
      </c>
      <c r="W22" s="141">
        <v>44885</v>
      </c>
      <c r="X22" s="142">
        <v>222594</v>
      </c>
      <c r="Y22" s="147">
        <f t="shared" si="21"/>
        <v>83</v>
      </c>
      <c r="Z22" s="142">
        <v>10250</v>
      </c>
      <c r="AA22" s="147">
        <f t="shared" si="21"/>
        <v>8</v>
      </c>
      <c r="AB22" s="142">
        <v>44</v>
      </c>
      <c r="AC22" s="147">
        <f t="shared" si="21"/>
        <v>0</v>
      </c>
      <c r="AD22" s="142">
        <v>802</v>
      </c>
      <c r="AE22" s="147">
        <f t="shared" si="21"/>
        <v>2</v>
      </c>
      <c r="AF22" s="142">
        <v>9798</v>
      </c>
      <c r="AG22" s="147">
        <f t="shared" si="21"/>
        <v>5</v>
      </c>
    </row>
    <row r="23" spans="1:33" ht="16.5" thickBot="1" x14ac:dyDescent="0.25">
      <c r="A23" s="9">
        <v>44886</v>
      </c>
      <c r="B23" s="144">
        <v>25458.672999999999</v>
      </c>
      <c r="C23" s="43">
        <f t="shared" si="22"/>
        <v>4.9219999999986612</v>
      </c>
      <c r="D23" s="28">
        <f t="shared" si="23"/>
        <v>9351.7999999974545</v>
      </c>
      <c r="E23" s="1">
        <v>4668.8959999999997</v>
      </c>
      <c r="F23" s="43">
        <f t="shared" si="24"/>
        <v>1.4939999999996871</v>
      </c>
      <c r="G23" s="28">
        <f t="shared" si="25"/>
        <v>2838.5999999994056</v>
      </c>
      <c r="H23" s="1">
        <v>6526</v>
      </c>
      <c r="I23" s="43">
        <f t="shared" si="26"/>
        <v>4</v>
      </c>
      <c r="J23" s="28">
        <f t="shared" si="27"/>
        <v>7600</v>
      </c>
      <c r="K23" s="7">
        <v>14313.54</v>
      </c>
      <c r="L23" s="43">
        <f t="shared" si="28"/>
        <v>0.76000000000021828</v>
      </c>
      <c r="M23" s="28">
        <f t="shared" si="29"/>
        <v>1444.0000000004147</v>
      </c>
      <c r="N23" s="7">
        <v>3900.8789999999999</v>
      </c>
      <c r="O23" s="43">
        <f t="shared" si="30"/>
        <v>2.3079999999999927</v>
      </c>
      <c r="P23" s="28">
        <f t="shared" si="31"/>
        <v>4385.1999999999862</v>
      </c>
      <c r="Q23" s="7">
        <v>5667.45</v>
      </c>
      <c r="R23" s="43">
        <f t="shared" si="32"/>
        <v>1.1700000000000728</v>
      </c>
      <c r="S23" s="28">
        <f t="shared" si="33"/>
        <v>2223.0000000001378</v>
      </c>
      <c r="T23" s="8">
        <f t="shared" si="36"/>
        <v>14.653999999998632</v>
      </c>
      <c r="U23" s="30">
        <f t="shared" si="34"/>
        <v>27842.599999997401</v>
      </c>
      <c r="W23" s="141">
        <v>44886</v>
      </c>
      <c r="X23" s="142">
        <v>222725</v>
      </c>
      <c r="Y23" s="147">
        <f t="shared" si="21"/>
        <v>131</v>
      </c>
      <c r="Z23" s="142">
        <v>10253</v>
      </c>
      <c r="AA23" s="147">
        <f t="shared" si="21"/>
        <v>3</v>
      </c>
      <c r="AB23" s="142">
        <v>44.5</v>
      </c>
      <c r="AC23" s="147">
        <f t="shared" si="21"/>
        <v>0.5</v>
      </c>
      <c r="AD23" s="142">
        <v>805</v>
      </c>
      <c r="AE23" s="147">
        <f t="shared" si="21"/>
        <v>3</v>
      </c>
      <c r="AF23" s="142">
        <v>9807</v>
      </c>
      <c r="AG23" s="147">
        <f t="shared" si="21"/>
        <v>9</v>
      </c>
    </row>
    <row r="24" spans="1:33" ht="16.5" thickBot="1" x14ac:dyDescent="0.25">
      <c r="A24" s="9">
        <v>44887</v>
      </c>
      <c r="B24" s="144">
        <v>25463.923999999999</v>
      </c>
      <c r="C24" s="43">
        <f t="shared" si="22"/>
        <v>5.2510000000002037</v>
      </c>
      <c r="D24" s="28">
        <f t="shared" si="23"/>
        <v>9976.9000000003853</v>
      </c>
      <c r="E24" s="1">
        <v>4670.4849999999997</v>
      </c>
      <c r="F24" s="43">
        <f t="shared" si="24"/>
        <v>1.5889999999999418</v>
      </c>
      <c r="G24" s="28">
        <f t="shared" si="25"/>
        <v>3019.0999999998894</v>
      </c>
      <c r="H24" s="1">
        <v>6530</v>
      </c>
      <c r="I24" s="43">
        <f t="shared" si="26"/>
        <v>4</v>
      </c>
      <c r="J24" s="28">
        <f t="shared" si="27"/>
        <v>7600</v>
      </c>
      <c r="K24" s="7">
        <v>14314.44</v>
      </c>
      <c r="L24" s="43">
        <f t="shared" si="28"/>
        <v>0.8999999999996362</v>
      </c>
      <c r="M24" s="28">
        <f t="shared" si="29"/>
        <v>1709.9999999993088</v>
      </c>
      <c r="N24" s="7">
        <v>3903.2829999999999</v>
      </c>
      <c r="O24" s="43">
        <f t="shared" si="30"/>
        <v>2.4039999999999964</v>
      </c>
      <c r="P24" s="28">
        <f t="shared" si="31"/>
        <v>4567.5999999999922</v>
      </c>
      <c r="Q24" s="7">
        <v>5668.81</v>
      </c>
      <c r="R24" s="43">
        <f t="shared" si="32"/>
        <v>1.3600000000005821</v>
      </c>
      <c r="S24" s="28">
        <f t="shared" si="33"/>
        <v>2584.0000000011059</v>
      </c>
      <c r="T24" s="8">
        <f t="shared" si="36"/>
        <v>15.50400000000036</v>
      </c>
      <c r="U24" s="30">
        <f t="shared" si="34"/>
        <v>29457.600000000682</v>
      </c>
      <c r="W24" s="141">
        <v>44887</v>
      </c>
      <c r="X24" s="142">
        <v>222786</v>
      </c>
      <c r="Y24" s="147">
        <f t="shared" si="21"/>
        <v>61</v>
      </c>
      <c r="Z24" s="142">
        <v>10256</v>
      </c>
      <c r="AA24" s="147">
        <f t="shared" si="21"/>
        <v>3</v>
      </c>
      <c r="AB24" s="142">
        <f t="shared" si="35"/>
        <v>44.5</v>
      </c>
      <c r="AC24" s="147">
        <f t="shared" si="21"/>
        <v>0</v>
      </c>
      <c r="AD24" s="142">
        <v>807</v>
      </c>
      <c r="AE24" s="147">
        <f t="shared" si="21"/>
        <v>2</v>
      </c>
      <c r="AF24" s="142">
        <v>9817</v>
      </c>
      <c r="AG24" s="147">
        <f t="shared" si="21"/>
        <v>10</v>
      </c>
    </row>
    <row r="25" spans="1:33" ht="16.5" thickBot="1" x14ac:dyDescent="0.25">
      <c r="A25" s="9">
        <v>44888</v>
      </c>
      <c r="B25" s="144">
        <v>25469.056</v>
      </c>
      <c r="C25" s="43">
        <f t="shared" si="22"/>
        <v>5.1320000000014261</v>
      </c>
      <c r="D25" s="28">
        <f t="shared" si="23"/>
        <v>9750.8000000027096</v>
      </c>
      <c r="E25" s="1">
        <v>4672.1130000000003</v>
      </c>
      <c r="F25" s="43">
        <f t="shared" si="24"/>
        <v>1.6280000000006112</v>
      </c>
      <c r="G25" s="28">
        <f t="shared" si="25"/>
        <v>3093.2000000011612</v>
      </c>
      <c r="H25" s="1">
        <v>6535</v>
      </c>
      <c r="I25" s="43">
        <f t="shared" si="26"/>
        <v>5</v>
      </c>
      <c r="J25" s="28">
        <f t="shared" si="27"/>
        <v>9500</v>
      </c>
      <c r="K25" s="7">
        <v>14315.47</v>
      </c>
      <c r="L25" s="43">
        <f t="shared" si="28"/>
        <v>1.0299999999988358</v>
      </c>
      <c r="M25" s="28">
        <f t="shared" si="29"/>
        <v>1956.9999999977881</v>
      </c>
      <c r="N25" s="7">
        <v>3905.7829999999999</v>
      </c>
      <c r="O25" s="43">
        <f t="shared" si="30"/>
        <v>2.5</v>
      </c>
      <c r="P25" s="28">
        <f t="shared" si="31"/>
        <v>4750</v>
      </c>
      <c r="Q25" s="7">
        <v>5670.06</v>
      </c>
      <c r="R25" s="43">
        <f t="shared" si="32"/>
        <v>1.25</v>
      </c>
      <c r="S25" s="28">
        <f t="shared" si="33"/>
        <v>2375</v>
      </c>
      <c r="T25" s="8">
        <f t="shared" si="36"/>
        <v>16.540000000000873</v>
      </c>
      <c r="U25" s="30">
        <f t="shared" si="34"/>
        <v>31426.000000001659</v>
      </c>
      <c r="W25" s="141">
        <v>44888</v>
      </c>
      <c r="X25" s="142">
        <v>222897</v>
      </c>
      <c r="Y25" s="147">
        <f t="shared" si="21"/>
        <v>111</v>
      </c>
      <c r="Z25" s="142">
        <v>10260</v>
      </c>
      <c r="AA25" s="147">
        <f t="shared" si="21"/>
        <v>4</v>
      </c>
      <c r="AB25" s="142">
        <v>48</v>
      </c>
      <c r="AC25" s="147">
        <f t="shared" si="21"/>
        <v>3.5</v>
      </c>
      <c r="AD25" s="142">
        <v>809</v>
      </c>
      <c r="AE25" s="147">
        <f t="shared" si="21"/>
        <v>2</v>
      </c>
      <c r="AF25" s="142">
        <v>9826</v>
      </c>
      <c r="AG25" s="147">
        <f t="shared" si="21"/>
        <v>9</v>
      </c>
    </row>
    <row r="26" spans="1:33" ht="16.5" thickBot="1" x14ac:dyDescent="0.25">
      <c r="A26" s="9">
        <v>44889</v>
      </c>
      <c r="B26" s="144">
        <v>25473.107</v>
      </c>
      <c r="C26" s="43">
        <f t="shared" si="22"/>
        <v>4.0509999999994761</v>
      </c>
      <c r="D26" s="28">
        <f t="shared" si="23"/>
        <v>7696.8999999990046</v>
      </c>
      <c r="E26" s="1">
        <v>4673.3389999999999</v>
      </c>
      <c r="F26" s="43">
        <f t="shared" si="24"/>
        <v>1.225999999999658</v>
      </c>
      <c r="G26" s="28">
        <f t="shared" si="25"/>
        <v>2329.3999999993498</v>
      </c>
      <c r="H26" s="1">
        <v>6539</v>
      </c>
      <c r="I26" s="43">
        <f t="shared" si="26"/>
        <v>4</v>
      </c>
      <c r="J26" s="28">
        <f t="shared" si="27"/>
        <v>7600</v>
      </c>
      <c r="K26" s="7">
        <v>14316.14</v>
      </c>
      <c r="L26" s="43">
        <f>IF((K26-K25)&lt;0,"0",(K26-K25))</f>
        <v>0.67000000000007276</v>
      </c>
      <c r="M26" s="28">
        <f t="shared" si="29"/>
        <v>1273.0000000001382</v>
      </c>
      <c r="N26" s="7">
        <v>3907.9279999999999</v>
      </c>
      <c r="O26" s="43">
        <f t="shared" si="30"/>
        <v>2.1449999999999818</v>
      </c>
      <c r="P26" s="28">
        <f t="shared" si="31"/>
        <v>4075.4999999999654</v>
      </c>
      <c r="Q26" s="7">
        <v>5671.07</v>
      </c>
      <c r="R26" s="43">
        <f t="shared" si="32"/>
        <v>1.0099999999993088</v>
      </c>
      <c r="S26" s="28">
        <f t="shared" si="33"/>
        <v>1918.9999999986867</v>
      </c>
      <c r="T26" s="8">
        <f t="shared" si="36"/>
        <v>13.101999999998498</v>
      </c>
      <c r="U26" s="30">
        <f t="shared" si="34"/>
        <v>24893.799999997143</v>
      </c>
      <c r="V26" t="s">
        <v>12</v>
      </c>
      <c r="W26" s="141">
        <v>44889</v>
      </c>
      <c r="X26" s="142">
        <v>222985</v>
      </c>
      <c r="Y26" s="147">
        <f t="shared" si="21"/>
        <v>88</v>
      </c>
      <c r="Z26" s="142">
        <v>10264</v>
      </c>
      <c r="AA26" s="147">
        <f t="shared" si="21"/>
        <v>4</v>
      </c>
      <c r="AB26" s="142">
        <v>51</v>
      </c>
      <c r="AC26" s="147">
        <f t="shared" si="21"/>
        <v>3</v>
      </c>
      <c r="AD26" s="142">
        <v>812</v>
      </c>
      <c r="AE26" s="147">
        <f t="shared" si="21"/>
        <v>3</v>
      </c>
      <c r="AF26" s="142">
        <v>9833</v>
      </c>
      <c r="AG26" s="147">
        <f t="shared" si="21"/>
        <v>7</v>
      </c>
    </row>
    <row r="27" spans="1:33" ht="16.5" thickBot="1" x14ac:dyDescent="0.25">
      <c r="A27" s="9">
        <v>44890</v>
      </c>
      <c r="B27" s="144">
        <v>25477.281999999999</v>
      </c>
      <c r="C27" s="43">
        <f t="shared" si="22"/>
        <v>4.1749999999992724</v>
      </c>
      <c r="D27" s="28">
        <f t="shared" si="23"/>
        <v>7932.4999999986176</v>
      </c>
      <c r="E27" s="1">
        <v>4674.0940000000001</v>
      </c>
      <c r="F27" s="43">
        <f t="shared" si="24"/>
        <v>0.75500000000010914</v>
      </c>
      <c r="G27" s="28">
        <f t="shared" si="25"/>
        <v>1434.5000000002074</v>
      </c>
      <c r="H27" s="1">
        <v>6543</v>
      </c>
      <c r="I27" s="43">
        <f t="shared" si="26"/>
        <v>4</v>
      </c>
      <c r="J27" s="28">
        <f t="shared" si="27"/>
        <v>7600</v>
      </c>
      <c r="K27" s="7">
        <v>14317.32</v>
      </c>
      <c r="L27" s="43">
        <f t="shared" si="28"/>
        <v>1.180000000000291</v>
      </c>
      <c r="M27" s="28">
        <f t="shared" si="29"/>
        <v>2242.000000000553</v>
      </c>
      <c r="N27" s="7">
        <v>3910.3890000000001</v>
      </c>
      <c r="O27" s="43">
        <f t="shared" si="30"/>
        <v>2.4610000000002401</v>
      </c>
      <c r="P27" s="28">
        <f t="shared" si="31"/>
        <v>4675.9000000004562</v>
      </c>
      <c r="Q27" s="7">
        <v>5671.07</v>
      </c>
      <c r="R27" s="43">
        <f t="shared" si="32"/>
        <v>0</v>
      </c>
      <c r="S27" s="28">
        <f t="shared" si="33"/>
        <v>0</v>
      </c>
      <c r="T27" s="8">
        <f t="shared" si="36"/>
        <v>12.570999999999913</v>
      </c>
      <c r="U27" s="30">
        <f t="shared" si="34"/>
        <v>23884.89999999983</v>
      </c>
      <c r="V27" t="s">
        <v>12</v>
      </c>
      <c r="W27" s="141">
        <v>44890</v>
      </c>
      <c r="X27" s="142">
        <v>223232</v>
      </c>
      <c r="Y27" s="147">
        <f t="shared" si="21"/>
        <v>247</v>
      </c>
      <c r="Z27" s="142">
        <v>10268</v>
      </c>
      <c r="AA27" s="147">
        <f t="shared" si="21"/>
        <v>4</v>
      </c>
      <c r="AB27" s="142">
        <v>53</v>
      </c>
      <c r="AC27" s="147">
        <f t="shared" si="21"/>
        <v>2</v>
      </c>
      <c r="AD27" s="142">
        <v>817</v>
      </c>
      <c r="AE27" s="147">
        <f t="shared" si="21"/>
        <v>5</v>
      </c>
      <c r="AF27" s="142">
        <v>9846</v>
      </c>
      <c r="AG27" s="147">
        <f t="shared" si="21"/>
        <v>13</v>
      </c>
    </row>
    <row r="28" spans="1:33" ht="16.5" thickBot="1" x14ac:dyDescent="0.25">
      <c r="A28" s="9">
        <v>44891</v>
      </c>
      <c r="B28" s="144">
        <v>25482.214</v>
      </c>
      <c r="C28" s="43">
        <f t="shared" si="22"/>
        <v>4.9320000000006985</v>
      </c>
      <c r="D28" s="28">
        <f t="shared" si="23"/>
        <v>9370.8000000013253</v>
      </c>
      <c r="E28" s="1">
        <v>4675.0410000000002</v>
      </c>
      <c r="F28" s="43">
        <f t="shared" si="24"/>
        <v>0.94700000000011642</v>
      </c>
      <c r="G28" s="28">
        <f t="shared" si="25"/>
        <v>1799.300000000221</v>
      </c>
      <c r="H28" s="1">
        <v>6547</v>
      </c>
      <c r="I28" s="43">
        <f t="shared" si="26"/>
        <v>4</v>
      </c>
      <c r="J28" s="28">
        <f t="shared" si="27"/>
        <v>7600</v>
      </c>
      <c r="K28" s="7">
        <v>14318.88</v>
      </c>
      <c r="L28" s="43">
        <f t="shared" si="28"/>
        <v>1.5599999999994907</v>
      </c>
      <c r="M28" s="28">
        <f t="shared" si="29"/>
        <v>2963.9999999990323</v>
      </c>
      <c r="N28" s="7">
        <v>3913.3389999999999</v>
      </c>
      <c r="O28" s="43">
        <f t="shared" si="30"/>
        <v>2.9499999999998181</v>
      </c>
      <c r="P28" s="28">
        <f t="shared" si="31"/>
        <v>5604.9999999996544</v>
      </c>
      <c r="Q28" s="7">
        <v>5673.03</v>
      </c>
      <c r="R28" s="43">
        <f t="shared" si="32"/>
        <v>1.9600000000000364</v>
      </c>
      <c r="S28" s="28">
        <f t="shared" si="33"/>
        <v>3724.0000000000691</v>
      </c>
      <c r="T28" s="8">
        <f t="shared" si="36"/>
        <v>16.34900000000016</v>
      </c>
      <c r="U28" s="30">
        <f t="shared" si="34"/>
        <v>31063.100000000304</v>
      </c>
      <c r="W28" s="141">
        <v>44891</v>
      </c>
      <c r="X28" s="142">
        <v>223447</v>
      </c>
      <c r="Y28" s="147">
        <f t="shared" si="21"/>
        <v>215</v>
      </c>
      <c r="Z28" s="142">
        <v>10271</v>
      </c>
      <c r="AA28" s="147">
        <f t="shared" si="21"/>
        <v>3</v>
      </c>
      <c r="AB28" s="142">
        <v>56</v>
      </c>
      <c r="AC28" s="147">
        <f t="shared" si="21"/>
        <v>3</v>
      </c>
      <c r="AD28" s="142">
        <v>819</v>
      </c>
      <c r="AE28" s="147">
        <f t="shared" si="21"/>
        <v>2</v>
      </c>
      <c r="AF28" s="142">
        <v>9853</v>
      </c>
      <c r="AG28" s="147">
        <f t="shared" si="21"/>
        <v>7</v>
      </c>
    </row>
    <row r="29" spans="1:33" ht="16.5" thickBot="1" x14ac:dyDescent="0.25">
      <c r="A29" s="9">
        <v>44892</v>
      </c>
      <c r="B29" s="144">
        <v>25485.686000000002</v>
      </c>
      <c r="C29" s="43">
        <f t="shared" si="22"/>
        <v>3.4720000000015716</v>
      </c>
      <c r="D29" s="28">
        <f t="shared" si="23"/>
        <v>6596.8000000029861</v>
      </c>
      <c r="E29" s="1">
        <v>4676.2780000000002</v>
      </c>
      <c r="F29" s="43">
        <f t="shared" si="24"/>
        <v>1.23700000000008</v>
      </c>
      <c r="G29" s="28">
        <f t="shared" si="25"/>
        <v>2350.3000000001521</v>
      </c>
      <c r="H29" s="1">
        <v>6550</v>
      </c>
      <c r="I29" s="43">
        <f t="shared" si="26"/>
        <v>3</v>
      </c>
      <c r="J29" s="28">
        <f t="shared" si="27"/>
        <v>5699.9999999999991</v>
      </c>
      <c r="K29" s="7">
        <v>14319.71</v>
      </c>
      <c r="L29" s="43">
        <f t="shared" si="28"/>
        <v>0.82999999999992724</v>
      </c>
      <c r="M29" s="28">
        <f t="shared" si="29"/>
        <v>1576.9999999998615</v>
      </c>
      <c r="N29" s="7">
        <v>3915.377</v>
      </c>
      <c r="O29" s="43">
        <f t="shared" si="30"/>
        <v>2.0380000000000109</v>
      </c>
      <c r="P29" s="28">
        <f t="shared" si="31"/>
        <v>3872.2000000000207</v>
      </c>
      <c r="Q29" s="7">
        <v>5674.23</v>
      </c>
      <c r="R29" s="43">
        <f t="shared" si="32"/>
        <v>1.1999999999998181</v>
      </c>
      <c r="S29" s="28">
        <f t="shared" si="33"/>
        <v>2279.9999999996544</v>
      </c>
      <c r="T29" s="8">
        <f t="shared" si="36"/>
        <v>11.777000000001408</v>
      </c>
      <c r="U29" s="30">
        <f t="shared" si="34"/>
        <v>22376.300000002677</v>
      </c>
      <c r="W29" s="141">
        <v>44892</v>
      </c>
      <c r="X29" s="142">
        <v>223462</v>
      </c>
      <c r="Y29" s="147">
        <f t="shared" si="21"/>
        <v>15</v>
      </c>
      <c r="Z29" s="142">
        <v>10274</v>
      </c>
      <c r="AA29" s="147">
        <f t="shared" si="21"/>
        <v>3</v>
      </c>
      <c r="AB29" s="142">
        <v>58</v>
      </c>
      <c r="AC29" s="147">
        <f t="shared" si="21"/>
        <v>2</v>
      </c>
      <c r="AD29" s="142">
        <v>820</v>
      </c>
      <c r="AE29" s="147">
        <f t="shared" si="21"/>
        <v>1</v>
      </c>
      <c r="AF29" s="142">
        <v>9860</v>
      </c>
      <c r="AG29" s="147">
        <f t="shared" si="21"/>
        <v>7</v>
      </c>
    </row>
    <row r="30" spans="1:33" ht="16.5" thickBot="1" x14ac:dyDescent="0.25">
      <c r="A30" s="9">
        <v>44893</v>
      </c>
      <c r="B30" s="144">
        <v>25489.885999999999</v>
      </c>
      <c r="C30" s="43">
        <f t="shared" si="22"/>
        <v>4.1999999999970896</v>
      </c>
      <c r="D30" s="28">
        <f t="shared" si="23"/>
        <v>7979.9999999944694</v>
      </c>
      <c r="E30" s="1">
        <v>4677.07</v>
      </c>
      <c r="F30" s="43">
        <f t="shared" si="24"/>
        <v>0.79199999999946158</v>
      </c>
      <c r="G30" s="28">
        <f t="shared" si="25"/>
        <v>1504.799999998977</v>
      </c>
      <c r="H30" s="1">
        <v>6554</v>
      </c>
      <c r="I30" s="43">
        <f t="shared" si="26"/>
        <v>4</v>
      </c>
      <c r="J30" s="28">
        <f t="shared" si="27"/>
        <v>7600</v>
      </c>
      <c r="K30" s="7">
        <v>14321</v>
      </c>
      <c r="L30" s="43">
        <f t="shared" si="28"/>
        <v>1.2900000000008731</v>
      </c>
      <c r="M30" s="28">
        <f t="shared" si="29"/>
        <v>2451.0000000016589</v>
      </c>
      <c r="N30" s="7">
        <v>3918.01</v>
      </c>
      <c r="O30" s="43">
        <f t="shared" si="30"/>
        <v>2.6330000000002656</v>
      </c>
      <c r="P30" s="28">
        <f t="shared" si="31"/>
        <v>5002.7000000005046</v>
      </c>
      <c r="Q30" s="7">
        <v>5671.07</v>
      </c>
      <c r="R30" s="43" t="str">
        <f t="shared" si="32"/>
        <v>0</v>
      </c>
      <c r="S30" s="28">
        <f t="shared" si="33"/>
        <v>0</v>
      </c>
      <c r="T30" s="8">
        <f t="shared" si="36"/>
        <v>12.91499999999769</v>
      </c>
      <c r="U30" s="30">
        <f t="shared" si="34"/>
        <v>24538.499999995609</v>
      </c>
      <c r="W30" s="141">
        <v>44893</v>
      </c>
      <c r="X30" s="142">
        <v>223490</v>
      </c>
      <c r="Y30" s="147">
        <f t="shared" si="21"/>
        <v>28</v>
      </c>
      <c r="Z30" s="142">
        <v>10277</v>
      </c>
      <c r="AA30" s="147">
        <f t="shared" si="21"/>
        <v>3</v>
      </c>
      <c r="AB30" s="142">
        <v>60.5</v>
      </c>
      <c r="AC30" s="147">
        <f t="shared" si="21"/>
        <v>2.5</v>
      </c>
      <c r="AD30" s="142">
        <v>822</v>
      </c>
      <c r="AE30" s="147">
        <f t="shared" si="21"/>
        <v>2</v>
      </c>
      <c r="AF30" s="142">
        <v>9867</v>
      </c>
      <c r="AG30" s="147">
        <f t="shared" si="21"/>
        <v>7</v>
      </c>
    </row>
    <row r="31" spans="1:33" ht="16.5" thickBot="1" x14ac:dyDescent="0.25">
      <c r="A31" s="9">
        <v>44894</v>
      </c>
      <c r="B31" s="144">
        <v>25493.047999999999</v>
      </c>
      <c r="C31" s="43">
        <f t="shared" si="22"/>
        <v>3.1620000000002619</v>
      </c>
      <c r="D31" s="28">
        <f t="shared" si="23"/>
        <v>6007.8000000004968</v>
      </c>
      <c r="E31" s="1">
        <v>4678.6809999999996</v>
      </c>
      <c r="F31" s="43">
        <f t="shared" si="24"/>
        <v>1.6109999999998763</v>
      </c>
      <c r="G31" s="28">
        <f t="shared" si="25"/>
        <v>3060.899999999765</v>
      </c>
      <c r="H31" s="1">
        <v>6557</v>
      </c>
      <c r="I31" s="43">
        <f t="shared" si="26"/>
        <v>3</v>
      </c>
      <c r="J31" s="28">
        <f t="shared" si="27"/>
        <v>5699.9999999999991</v>
      </c>
      <c r="K31" s="7">
        <v>14321.87</v>
      </c>
      <c r="L31" s="43">
        <f t="shared" si="28"/>
        <v>0.87000000000080036</v>
      </c>
      <c r="M31" s="28">
        <f t="shared" si="29"/>
        <v>1653.0000000015207</v>
      </c>
      <c r="N31" s="7">
        <v>3920.0830000000001</v>
      </c>
      <c r="O31" s="43">
        <f t="shared" si="30"/>
        <v>2.0729999999998654</v>
      </c>
      <c r="P31" s="28">
        <f t="shared" si="31"/>
        <v>3938.6999999997443</v>
      </c>
      <c r="Q31" s="7">
        <v>5671.07</v>
      </c>
      <c r="R31" s="43">
        <f t="shared" si="32"/>
        <v>0</v>
      </c>
      <c r="S31" s="28">
        <f t="shared" si="33"/>
        <v>0</v>
      </c>
      <c r="T31" s="8">
        <f t="shared" si="36"/>
        <v>10.716000000000804</v>
      </c>
      <c r="U31" s="30">
        <f t="shared" si="34"/>
        <v>20360.400000001526</v>
      </c>
      <c r="W31" s="141">
        <v>44894</v>
      </c>
      <c r="X31" s="142">
        <v>223828</v>
      </c>
      <c r="Y31" s="147">
        <f t="shared" si="21"/>
        <v>338</v>
      </c>
      <c r="Z31" s="142">
        <v>10280</v>
      </c>
      <c r="AA31" s="147">
        <f t="shared" si="21"/>
        <v>3</v>
      </c>
      <c r="AB31" s="142">
        <v>62</v>
      </c>
      <c r="AC31" s="147">
        <f t="shared" si="21"/>
        <v>1.5</v>
      </c>
      <c r="AD31" s="142">
        <v>824</v>
      </c>
      <c r="AE31" s="147">
        <f t="shared" si="21"/>
        <v>2</v>
      </c>
      <c r="AF31" s="142">
        <v>9875</v>
      </c>
      <c r="AG31" s="147">
        <f t="shared" si="21"/>
        <v>8</v>
      </c>
    </row>
    <row r="32" spans="1:33" ht="16.5" thickBot="1" x14ac:dyDescent="0.25">
      <c r="A32" s="9">
        <v>44895</v>
      </c>
      <c r="B32" s="144">
        <v>25496.791000000001</v>
      </c>
      <c r="C32" s="43">
        <f t="shared" si="22"/>
        <v>3.7430000000022119</v>
      </c>
      <c r="D32" s="28">
        <f t="shared" si="23"/>
        <v>7111.7000000042017</v>
      </c>
      <c r="E32" s="1">
        <v>4680.0630000000001</v>
      </c>
      <c r="F32" s="43">
        <f t="shared" si="24"/>
        <v>1.3820000000005166</v>
      </c>
      <c r="G32" s="28">
        <f t="shared" si="25"/>
        <v>2625.8000000009815</v>
      </c>
      <c r="H32" s="1">
        <v>6560</v>
      </c>
      <c r="I32" s="43">
        <f t="shared" si="26"/>
        <v>3</v>
      </c>
      <c r="J32" s="28">
        <f t="shared" si="27"/>
        <v>5699.9999999999991</v>
      </c>
      <c r="K32" s="7">
        <v>14323.06</v>
      </c>
      <c r="L32" s="43">
        <f t="shared" si="28"/>
        <v>1.1899999999986903</v>
      </c>
      <c r="M32" s="28">
        <f t="shared" si="29"/>
        <v>2260.9999999975116</v>
      </c>
      <c r="N32" s="7">
        <v>3922.6660000000002</v>
      </c>
      <c r="O32" s="43">
        <f t="shared" si="30"/>
        <v>2.5830000000000837</v>
      </c>
      <c r="P32" s="28">
        <f t="shared" si="31"/>
        <v>4907.700000000159</v>
      </c>
      <c r="Q32" s="7">
        <v>5671.07</v>
      </c>
      <c r="R32" s="43">
        <f t="shared" si="32"/>
        <v>0</v>
      </c>
      <c r="S32" s="28">
        <f t="shared" si="33"/>
        <v>0</v>
      </c>
      <c r="T32" s="8">
        <f t="shared" si="36"/>
        <v>11.898000000001502</v>
      </c>
      <c r="U32" s="30">
        <f t="shared" si="34"/>
        <v>22606.200000002853</v>
      </c>
      <c r="W32" s="141">
        <v>44895</v>
      </c>
      <c r="X32" s="142">
        <v>224119</v>
      </c>
      <c r="Y32" s="147">
        <f t="shared" ref="Y32" si="50">IF((X32-X31)&lt;0,"0",(X32-X31))</f>
        <v>291</v>
      </c>
      <c r="Z32" s="142">
        <v>10284</v>
      </c>
      <c r="AA32" s="147">
        <f t="shared" ref="AA32" si="51">IF((Z32-Z31)&lt;0,"0",(Z32-Z31))</f>
        <v>4</v>
      </c>
      <c r="AB32" s="142">
        <v>62</v>
      </c>
      <c r="AC32" s="147">
        <f t="shared" ref="AC32" si="52">IF((AB32-AB31)&lt;0,"0",(AB32-AB31))</f>
        <v>0</v>
      </c>
      <c r="AD32" s="142">
        <v>825</v>
      </c>
      <c r="AE32" s="147">
        <f t="shared" ref="AE32" si="53">IF((AD32-AD31)&lt;0,"0",(AD32-AD31))</f>
        <v>1</v>
      </c>
      <c r="AF32" s="142">
        <v>9882</v>
      </c>
      <c r="AG32" s="147">
        <f t="shared" ref="AG32" si="54">IF((AF32-AF31)&lt;0,"0",(AF32-AF31))</f>
        <v>7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145.92699999999968</v>
      </c>
      <c r="D33" s="124">
        <f>SUM(D4:D32)</f>
        <v>267491.49999999971</v>
      </c>
      <c r="E33" s="124"/>
      <c r="F33" s="124">
        <f>SUM(F3:F32)</f>
        <v>41.050000000000182</v>
      </c>
      <c r="G33" s="124">
        <f>SUM(G4:G32)</f>
        <v>74599.699999999837</v>
      </c>
      <c r="H33" s="124"/>
      <c r="I33" s="124">
        <f>SUM(I3:I32)</f>
        <v>116</v>
      </c>
      <c r="J33" s="124">
        <f>SUM(J4:J32)</f>
        <v>212800</v>
      </c>
      <c r="K33" s="124"/>
      <c r="L33" s="124">
        <f>SUM(L3:L32)</f>
        <v>28.18999999999869</v>
      </c>
      <c r="M33" s="124">
        <f>SUM(M4:M32)</f>
        <v>52952.999999998065</v>
      </c>
      <c r="N33" s="124"/>
      <c r="O33" s="124">
        <f>SUM(O3:O32)</f>
        <v>70.977000000000317</v>
      </c>
      <c r="P33" s="124">
        <f>SUM(P4:P32)</f>
        <v>130547.10000000056</v>
      </c>
      <c r="Q33" s="124"/>
      <c r="R33" s="124">
        <v>2.21</v>
      </c>
      <c r="S33" s="124">
        <f>SUM(S4:S32)</f>
        <v>60723.999999998341</v>
      </c>
      <c r="T33" s="124">
        <v>22.454999999999998</v>
      </c>
      <c r="U33" s="124">
        <f>SUM(U4:U32)</f>
        <v>799115.29999999655</v>
      </c>
      <c r="V33"/>
      <c r="W33" s="124" t="s">
        <v>141</v>
      </c>
      <c r="X33" s="124"/>
      <c r="Y33" s="124">
        <f>SUM(Y3:Y32)</f>
        <v>3919</v>
      </c>
      <c r="Z33" s="124"/>
      <c r="AA33" s="124">
        <f>SUM(AA3:AA32)</f>
        <v>101</v>
      </c>
      <c r="AB33" s="124"/>
      <c r="AC33" s="124">
        <f>SUM(AC3:AC32)</f>
        <v>21.200000000000003</v>
      </c>
      <c r="AD33" s="124"/>
      <c r="AE33" s="124">
        <f>SUM(AE3:AE32)</f>
        <v>65</v>
      </c>
      <c r="AF33" s="124">
        <v>0</v>
      </c>
      <c r="AG33" s="124">
        <f>SUM(AG3:AG32)</f>
        <v>244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95" zoomScaleNormal="95" workbookViewId="0">
      <pane ySplit="1" topLeftCell="A62" activePane="bottomLeft" state="frozen"/>
      <selection pane="bottomLeft" activeCell="I91" sqref="I9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146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1">
        <v>6</v>
      </c>
      <c r="C2" s="59" t="s">
        <v>80</v>
      </c>
      <c r="D2" s="60">
        <v>289776</v>
      </c>
      <c r="E2" s="60">
        <v>290188</v>
      </c>
      <c r="F2" s="61">
        <f t="shared" ref="F2:F43" si="0">IF((E2-D2)&lt;0,"0",(E2-D2))</f>
        <v>412</v>
      </c>
      <c r="G2" s="62"/>
      <c r="I2" s="171">
        <v>6</v>
      </c>
      <c r="J2" s="59" t="s">
        <v>80</v>
      </c>
      <c r="K2" s="60">
        <v>290188</v>
      </c>
      <c r="L2" s="60">
        <v>290920</v>
      </c>
      <c r="M2" s="61">
        <f t="shared" ref="M2:M63" si="1">IF((L2-K2)&lt;0,"0",(L2-K2))</f>
        <v>732</v>
      </c>
      <c r="N2" s="62"/>
      <c r="P2" s="171">
        <v>6</v>
      </c>
      <c r="Q2" s="59" t="s">
        <v>80</v>
      </c>
      <c r="R2" s="60">
        <v>290920</v>
      </c>
      <c r="S2" s="60">
        <v>291777</v>
      </c>
      <c r="T2" s="61">
        <f t="shared" ref="T2:T4" si="2">IF((S2-R2)&lt;0,"0",(S2-R2))</f>
        <v>857</v>
      </c>
      <c r="U2" s="62"/>
    </row>
    <row r="3" spans="1:21" ht="15" x14ac:dyDescent="0.2">
      <c r="A3" s="153"/>
      <c r="B3" s="172"/>
      <c r="C3" s="59" t="s">
        <v>81</v>
      </c>
      <c r="D3" s="60">
        <v>251578</v>
      </c>
      <c r="E3" s="60">
        <v>252038</v>
      </c>
      <c r="F3" s="61">
        <f t="shared" si="0"/>
        <v>460</v>
      </c>
      <c r="G3" s="62"/>
      <c r="I3" s="172"/>
      <c r="J3" s="59" t="s">
        <v>81</v>
      </c>
      <c r="K3" s="60">
        <v>252038</v>
      </c>
      <c r="L3" s="60">
        <v>252743</v>
      </c>
      <c r="M3" s="61">
        <f t="shared" si="1"/>
        <v>705</v>
      </c>
      <c r="N3" s="62"/>
      <c r="P3" s="172"/>
      <c r="Q3" s="59" t="s">
        <v>81</v>
      </c>
      <c r="R3" s="60">
        <v>252743</v>
      </c>
      <c r="S3" s="60">
        <v>253211</v>
      </c>
      <c r="T3" s="61">
        <f t="shared" si="2"/>
        <v>468</v>
      </c>
      <c r="U3" s="62"/>
    </row>
    <row r="4" spans="1:21" ht="15" x14ac:dyDescent="0.2">
      <c r="A4" s="153"/>
      <c r="B4" s="173"/>
      <c r="C4" s="59" t="s">
        <v>82</v>
      </c>
      <c r="D4" s="60">
        <v>197120</v>
      </c>
      <c r="E4" s="60">
        <v>197459</v>
      </c>
      <c r="F4" s="61">
        <f t="shared" si="0"/>
        <v>339</v>
      </c>
      <c r="G4" s="62"/>
      <c r="I4" s="173"/>
      <c r="J4" s="59" t="s">
        <v>82</v>
      </c>
      <c r="K4" s="60">
        <v>197459</v>
      </c>
      <c r="L4" s="60">
        <v>197781</v>
      </c>
      <c r="M4" s="61">
        <f t="shared" si="1"/>
        <v>322</v>
      </c>
      <c r="N4" s="62"/>
      <c r="P4" s="173"/>
      <c r="Q4" s="59" t="s">
        <v>82</v>
      </c>
      <c r="R4" s="60">
        <v>197781</v>
      </c>
      <c r="S4" s="60">
        <v>198029</v>
      </c>
      <c r="T4" s="61">
        <f t="shared" si="2"/>
        <v>248</v>
      </c>
      <c r="U4" s="62"/>
    </row>
    <row r="5" spans="1:21" ht="15" x14ac:dyDescent="0.2">
      <c r="A5" s="153"/>
      <c r="B5" s="171">
        <v>7</v>
      </c>
      <c r="C5" s="59" t="s">
        <v>80</v>
      </c>
      <c r="D5" s="60">
        <v>257058</v>
      </c>
      <c r="E5" s="60">
        <v>258466</v>
      </c>
      <c r="F5" s="61">
        <f t="shared" si="0"/>
        <v>1408</v>
      </c>
      <c r="G5" s="62"/>
      <c r="I5" s="171">
        <v>7</v>
      </c>
      <c r="J5" s="59" t="s">
        <v>80</v>
      </c>
      <c r="K5" s="60">
        <v>258466</v>
      </c>
      <c r="L5" s="60">
        <v>259655</v>
      </c>
      <c r="M5" s="61">
        <f t="shared" si="1"/>
        <v>1189</v>
      </c>
      <c r="N5" s="62"/>
      <c r="P5" s="171">
        <v>7</v>
      </c>
      <c r="Q5" s="59" t="s">
        <v>80</v>
      </c>
      <c r="R5" s="60">
        <v>259655</v>
      </c>
      <c r="S5" s="60">
        <v>260708</v>
      </c>
      <c r="T5" s="61">
        <f>IF((S5-R5)&lt;0,"0",(S5-R5))</f>
        <v>1053</v>
      </c>
      <c r="U5" s="62"/>
    </row>
    <row r="6" spans="1:21" ht="15" x14ac:dyDescent="0.2">
      <c r="A6" s="153"/>
      <c r="B6" s="172"/>
      <c r="C6" s="59" t="s">
        <v>81</v>
      </c>
      <c r="D6" s="60">
        <v>158012</v>
      </c>
      <c r="E6" s="60">
        <v>158264</v>
      </c>
      <c r="F6" s="61">
        <f t="shared" si="0"/>
        <v>252</v>
      </c>
      <c r="G6" s="62"/>
      <c r="I6" s="172"/>
      <c r="J6" s="59" t="s">
        <v>81</v>
      </c>
      <c r="K6" s="60">
        <v>158264</v>
      </c>
      <c r="L6" s="60">
        <v>158493</v>
      </c>
      <c r="M6" s="61">
        <f t="shared" si="1"/>
        <v>229</v>
      </c>
      <c r="N6" s="62"/>
      <c r="P6" s="172"/>
      <c r="Q6" s="59" t="s">
        <v>81</v>
      </c>
      <c r="R6" s="60">
        <v>158493</v>
      </c>
      <c r="S6" s="60">
        <v>158711</v>
      </c>
      <c r="T6" s="61">
        <f t="shared" ref="T6:T63" si="3">IF((S6-R6)&lt;0,"0",(S6-R6))</f>
        <v>218</v>
      </c>
      <c r="U6" s="62"/>
    </row>
    <row r="7" spans="1:21" ht="15" x14ac:dyDescent="0.2">
      <c r="A7" s="153"/>
      <c r="B7" s="173"/>
      <c r="C7" s="59" t="s">
        <v>82</v>
      </c>
      <c r="D7" s="60">
        <v>132401</v>
      </c>
      <c r="E7" s="60">
        <v>132783</v>
      </c>
      <c r="F7" s="61">
        <f t="shared" si="0"/>
        <v>382</v>
      </c>
      <c r="G7" s="62"/>
      <c r="I7" s="173"/>
      <c r="J7" s="59" t="s">
        <v>82</v>
      </c>
      <c r="K7" s="60">
        <v>132783</v>
      </c>
      <c r="L7" s="60">
        <v>132941</v>
      </c>
      <c r="M7" s="61">
        <f t="shared" si="1"/>
        <v>158</v>
      </c>
      <c r="N7" s="62"/>
      <c r="P7" s="173"/>
      <c r="Q7" s="59" t="s">
        <v>82</v>
      </c>
      <c r="R7" s="60">
        <v>132941</v>
      </c>
      <c r="S7" s="60">
        <v>133219</v>
      </c>
      <c r="T7" s="61">
        <f t="shared" si="3"/>
        <v>278</v>
      </c>
      <c r="U7" s="62"/>
    </row>
    <row r="8" spans="1:21" ht="15" x14ac:dyDescent="0.2">
      <c r="A8" s="153"/>
      <c r="B8" s="171">
        <v>8</v>
      </c>
      <c r="C8" s="59" t="s">
        <v>80</v>
      </c>
      <c r="D8" s="60">
        <v>81272</v>
      </c>
      <c r="E8" s="60">
        <v>83064</v>
      </c>
      <c r="F8" s="61">
        <f t="shared" si="0"/>
        <v>1792</v>
      </c>
      <c r="G8" s="62"/>
      <c r="I8" s="171">
        <v>8</v>
      </c>
      <c r="J8" s="59" t="s">
        <v>80</v>
      </c>
      <c r="K8" s="60">
        <v>83064</v>
      </c>
      <c r="L8" s="60">
        <v>84513</v>
      </c>
      <c r="M8" s="61">
        <f t="shared" si="1"/>
        <v>1449</v>
      </c>
      <c r="N8" s="62"/>
      <c r="P8" s="171">
        <v>8</v>
      </c>
      <c r="Q8" s="59" t="s">
        <v>80</v>
      </c>
      <c r="R8" s="60">
        <v>84513</v>
      </c>
      <c r="S8" s="60">
        <v>85731</v>
      </c>
      <c r="T8" s="61">
        <f t="shared" si="3"/>
        <v>1218</v>
      </c>
      <c r="U8" s="62"/>
    </row>
    <row r="9" spans="1:21" ht="15" x14ac:dyDescent="0.2">
      <c r="A9" s="153"/>
      <c r="B9" s="172"/>
      <c r="C9" s="59" t="s">
        <v>81</v>
      </c>
      <c r="D9" s="60">
        <v>158</v>
      </c>
      <c r="E9" s="60">
        <v>158</v>
      </c>
      <c r="F9" s="61">
        <f t="shared" si="0"/>
        <v>0</v>
      </c>
      <c r="G9" s="63" t="s">
        <v>12</v>
      </c>
      <c r="I9" s="172"/>
      <c r="J9" s="59" t="s">
        <v>81</v>
      </c>
      <c r="K9" s="60">
        <v>158</v>
      </c>
      <c r="L9" s="60">
        <v>158</v>
      </c>
      <c r="M9" s="61">
        <f t="shared" si="1"/>
        <v>0</v>
      </c>
      <c r="N9" s="63" t="s">
        <v>12</v>
      </c>
      <c r="P9" s="172"/>
      <c r="Q9" s="59" t="s">
        <v>81</v>
      </c>
      <c r="R9" s="60">
        <v>158</v>
      </c>
      <c r="S9" s="60">
        <v>158</v>
      </c>
      <c r="T9" s="61">
        <f t="shared" si="3"/>
        <v>0</v>
      </c>
      <c r="U9" s="63" t="s">
        <v>12</v>
      </c>
    </row>
    <row r="10" spans="1:21" ht="15" x14ac:dyDescent="0.2">
      <c r="A10" s="153"/>
      <c r="B10" s="173"/>
      <c r="C10" s="59" t="s">
        <v>82</v>
      </c>
      <c r="D10" s="60">
        <v>106513</v>
      </c>
      <c r="E10" s="60">
        <v>107268</v>
      </c>
      <c r="F10" s="61">
        <f t="shared" si="0"/>
        <v>755</v>
      </c>
      <c r="G10" s="62"/>
      <c r="I10" s="173"/>
      <c r="J10" s="59" t="s">
        <v>82</v>
      </c>
      <c r="K10" s="60">
        <v>107268</v>
      </c>
      <c r="L10" s="60">
        <v>108266</v>
      </c>
      <c r="M10" s="61">
        <f t="shared" si="1"/>
        <v>998</v>
      </c>
      <c r="N10" s="62"/>
      <c r="P10" s="173"/>
      <c r="Q10" s="59" t="s">
        <v>82</v>
      </c>
      <c r="R10" s="60">
        <v>108266</v>
      </c>
      <c r="S10" s="60">
        <v>108945</v>
      </c>
      <c r="T10" s="61">
        <f t="shared" si="3"/>
        <v>679</v>
      </c>
      <c r="U10" s="62"/>
    </row>
    <row r="11" spans="1:21" ht="15" x14ac:dyDescent="0.2">
      <c r="A11" s="153"/>
      <c r="B11" s="171">
        <v>9</v>
      </c>
      <c r="C11" s="59" t="s">
        <v>80</v>
      </c>
      <c r="D11" s="60">
        <v>35206</v>
      </c>
      <c r="E11" s="60">
        <v>35334</v>
      </c>
      <c r="F11" s="61">
        <f t="shared" si="0"/>
        <v>128</v>
      </c>
      <c r="G11" s="62"/>
      <c r="I11" s="171">
        <v>9</v>
      </c>
      <c r="J11" s="59" t="s">
        <v>80</v>
      </c>
      <c r="K11" s="60">
        <v>35334</v>
      </c>
      <c r="L11" s="60">
        <v>35418</v>
      </c>
      <c r="M11" s="61">
        <f t="shared" si="1"/>
        <v>84</v>
      </c>
      <c r="N11" s="62"/>
      <c r="P11" s="171">
        <v>9</v>
      </c>
      <c r="Q11" s="59" t="s">
        <v>80</v>
      </c>
      <c r="R11" s="60">
        <v>35418</v>
      </c>
      <c r="S11" s="60">
        <v>35452</v>
      </c>
      <c r="T11" s="61">
        <f t="shared" si="3"/>
        <v>34</v>
      </c>
      <c r="U11" s="62"/>
    </row>
    <row r="12" spans="1:21" ht="15" x14ac:dyDescent="0.2">
      <c r="A12" s="153"/>
      <c r="B12" s="172"/>
      <c r="C12" s="59" t="s">
        <v>81</v>
      </c>
      <c r="D12" s="60">
        <v>0</v>
      </c>
      <c r="E12" s="60">
        <v>0</v>
      </c>
      <c r="F12" s="61">
        <f t="shared" si="0"/>
        <v>0</v>
      </c>
      <c r="G12" s="63" t="s">
        <v>12</v>
      </c>
      <c r="I12" s="172"/>
      <c r="J12" s="59" t="s">
        <v>81</v>
      </c>
      <c r="K12" s="60">
        <v>0</v>
      </c>
      <c r="L12" s="60">
        <v>0</v>
      </c>
      <c r="M12" s="61">
        <f t="shared" si="1"/>
        <v>0</v>
      </c>
      <c r="N12" s="63" t="s">
        <v>12</v>
      </c>
      <c r="P12" s="172"/>
      <c r="Q12" s="59" t="s">
        <v>81</v>
      </c>
      <c r="R12" s="60">
        <v>0</v>
      </c>
      <c r="S12" s="60">
        <v>0</v>
      </c>
      <c r="T12" s="61">
        <f t="shared" si="3"/>
        <v>0</v>
      </c>
      <c r="U12" s="63" t="s">
        <v>12</v>
      </c>
    </row>
    <row r="13" spans="1:21" ht="15" x14ac:dyDescent="0.2">
      <c r="A13" s="153"/>
      <c r="B13" s="173"/>
      <c r="C13" s="59" t="s">
        <v>82</v>
      </c>
      <c r="D13" s="60">
        <v>29802</v>
      </c>
      <c r="E13" s="60">
        <v>29930</v>
      </c>
      <c r="F13" s="61">
        <f t="shared" si="0"/>
        <v>128</v>
      </c>
      <c r="G13" s="62"/>
      <c r="H13" s="154"/>
      <c r="I13" s="173"/>
      <c r="J13" s="59" t="s">
        <v>82</v>
      </c>
      <c r="K13" s="60">
        <v>29930</v>
      </c>
      <c r="L13" s="60">
        <v>30046</v>
      </c>
      <c r="M13" s="61">
        <f t="shared" si="1"/>
        <v>116</v>
      </c>
      <c r="N13" s="62"/>
      <c r="P13" s="173"/>
      <c r="Q13" s="59" t="s">
        <v>82</v>
      </c>
      <c r="R13" s="60">
        <v>30046</v>
      </c>
      <c r="S13" s="60">
        <v>30120</v>
      </c>
      <c r="T13" s="61">
        <f t="shared" si="3"/>
        <v>74</v>
      </c>
      <c r="U13" s="62"/>
    </row>
    <row r="14" spans="1:21" ht="15" x14ac:dyDescent="0.2">
      <c r="A14" s="153"/>
      <c r="B14" s="171">
        <v>10</v>
      </c>
      <c r="C14" s="59" t="s">
        <v>80</v>
      </c>
      <c r="D14" s="60">
        <v>223186</v>
      </c>
      <c r="E14" s="60">
        <v>225406</v>
      </c>
      <c r="F14" s="61">
        <f t="shared" si="0"/>
        <v>2220</v>
      </c>
      <c r="G14" s="62"/>
      <c r="H14" s="155"/>
      <c r="I14" s="171">
        <v>10</v>
      </c>
      <c r="J14" s="59" t="s">
        <v>80</v>
      </c>
      <c r="K14" s="60">
        <v>225406</v>
      </c>
      <c r="L14" s="60">
        <v>227182</v>
      </c>
      <c r="M14" s="61">
        <f t="shared" si="1"/>
        <v>1776</v>
      </c>
      <c r="N14" s="62"/>
      <c r="P14" s="171">
        <v>10</v>
      </c>
      <c r="Q14" s="59" t="s">
        <v>80</v>
      </c>
      <c r="R14" s="60">
        <v>227182</v>
      </c>
      <c r="S14" s="60">
        <v>228837</v>
      </c>
      <c r="T14" s="61">
        <f t="shared" si="3"/>
        <v>1655</v>
      </c>
      <c r="U14" s="62"/>
    </row>
    <row r="15" spans="1:21" ht="15" x14ac:dyDescent="0.2">
      <c r="A15" s="153"/>
      <c r="B15" s="172"/>
      <c r="C15" s="59" t="s">
        <v>81</v>
      </c>
      <c r="D15" s="60">
        <v>8011</v>
      </c>
      <c r="E15" s="60">
        <v>8011</v>
      </c>
      <c r="F15" s="61">
        <f t="shared" si="0"/>
        <v>0</v>
      </c>
      <c r="G15" s="62"/>
      <c r="H15" s="155"/>
      <c r="I15" s="172"/>
      <c r="J15" s="59" t="s">
        <v>81</v>
      </c>
      <c r="K15" s="60">
        <v>8011</v>
      </c>
      <c r="L15" s="60">
        <v>8011</v>
      </c>
      <c r="M15" s="61">
        <f t="shared" si="1"/>
        <v>0</v>
      </c>
      <c r="N15" s="62"/>
      <c r="P15" s="172"/>
      <c r="Q15" s="59" t="s">
        <v>81</v>
      </c>
      <c r="R15" s="60">
        <v>8011</v>
      </c>
      <c r="S15" s="60">
        <v>8011</v>
      </c>
      <c r="T15" s="61">
        <f t="shared" si="3"/>
        <v>0</v>
      </c>
      <c r="U15" s="62"/>
    </row>
    <row r="16" spans="1:21" ht="15" x14ac:dyDescent="0.2">
      <c r="A16" s="153"/>
      <c r="B16" s="173"/>
      <c r="C16" s="59" t="s">
        <v>82</v>
      </c>
      <c r="D16" s="60">
        <v>201131</v>
      </c>
      <c r="E16" s="60">
        <v>202582</v>
      </c>
      <c r="F16" s="61">
        <f t="shared" si="0"/>
        <v>1451</v>
      </c>
      <c r="G16" s="62"/>
      <c r="H16" s="155"/>
      <c r="I16" s="173"/>
      <c r="J16" s="59" t="s">
        <v>82</v>
      </c>
      <c r="K16" s="60">
        <v>202582</v>
      </c>
      <c r="L16" s="60">
        <v>203674</v>
      </c>
      <c r="M16" s="61">
        <f t="shared" si="1"/>
        <v>1092</v>
      </c>
      <c r="N16" s="62"/>
      <c r="P16" s="173"/>
      <c r="Q16" s="59" t="s">
        <v>82</v>
      </c>
      <c r="R16" s="60">
        <v>203674</v>
      </c>
      <c r="S16" s="60">
        <v>204856</v>
      </c>
      <c r="T16" s="61">
        <f t="shared" si="3"/>
        <v>1182</v>
      </c>
      <c r="U16" s="62"/>
    </row>
    <row r="17" spans="1:21" ht="15" x14ac:dyDescent="0.2">
      <c r="A17" s="153"/>
      <c r="B17" s="171">
        <v>11</v>
      </c>
      <c r="C17" s="59" t="s">
        <v>80</v>
      </c>
      <c r="D17" s="60">
        <v>68732</v>
      </c>
      <c r="E17" s="60">
        <v>69016</v>
      </c>
      <c r="F17" s="61">
        <f t="shared" si="0"/>
        <v>284</v>
      </c>
      <c r="G17" s="62"/>
      <c r="H17" s="155"/>
      <c r="I17" s="171">
        <v>11</v>
      </c>
      <c r="J17" s="59" t="s">
        <v>80</v>
      </c>
      <c r="K17" s="60">
        <v>69016</v>
      </c>
      <c r="L17" s="60">
        <v>69168</v>
      </c>
      <c r="M17" s="61">
        <f t="shared" si="1"/>
        <v>152</v>
      </c>
      <c r="N17" s="62"/>
      <c r="P17" s="171">
        <v>11</v>
      </c>
      <c r="Q17" s="59" t="s">
        <v>80</v>
      </c>
      <c r="R17" s="60">
        <v>69168</v>
      </c>
      <c r="S17" s="60">
        <v>69227</v>
      </c>
      <c r="T17" s="61">
        <f t="shared" si="3"/>
        <v>59</v>
      </c>
      <c r="U17" s="62"/>
    </row>
    <row r="18" spans="1:21" ht="15" x14ac:dyDescent="0.2">
      <c r="A18" s="153"/>
      <c r="B18" s="172"/>
      <c r="C18" s="59" t="s">
        <v>81</v>
      </c>
      <c r="D18" s="60">
        <v>228067</v>
      </c>
      <c r="E18" s="60">
        <v>229111</v>
      </c>
      <c r="F18" s="61">
        <f t="shared" si="0"/>
        <v>1044</v>
      </c>
      <c r="G18" s="62"/>
      <c r="H18" s="155"/>
      <c r="I18" s="172"/>
      <c r="J18" s="59" t="s">
        <v>81</v>
      </c>
      <c r="K18" s="60">
        <v>229111</v>
      </c>
      <c r="L18" s="60">
        <v>230190</v>
      </c>
      <c r="M18" s="61">
        <f t="shared" si="1"/>
        <v>1079</v>
      </c>
      <c r="N18" s="62"/>
      <c r="P18" s="172"/>
      <c r="Q18" s="59" t="s">
        <v>81</v>
      </c>
      <c r="R18" s="60">
        <v>230190</v>
      </c>
      <c r="S18" s="60">
        <v>231045</v>
      </c>
      <c r="T18" s="61">
        <f t="shared" si="3"/>
        <v>855</v>
      </c>
      <c r="U18" s="62"/>
    </row>
    <row r="19" spans="1:21" ht="15" x14ac:dyDescent="0.2">
      <c r="A19" s="153"/>
      <c r="B19" s="173"/>
      <c r="C19" s="59" t="s">
        <v>82</v>
      </c>
      <c r="D19" s="60">
        <v>31466</v>
      </c>
      <c r="E19" s="60">
        <v>31528</v>
      </c>
      <c r="F19" s="61">
        <f t="shared" si="0"/>
        <v>62</v>
      </c>
      <c r="G19" s="62"/>
      <c r="H19" s="155"/>
      <c r="I19" s="173"/>
      <c r="J19" s="59" t="s">
        <v>82</v>
      </c>
      <c r="K19" s="60">
        <v>31528</v>
      </c>
      <c r="L19" s="60">
        <v>31582</v>
      </c>
      <c r="M19" s="61">
        <f t="shared" si="1"/>
        <v>54</v>
      </c>
      <c r="N19" s="62"/>
      <c r="P19" s="173"/>
      <c r="Q19" s="59" t="s">
        <v>82</v>
      </c>
      <c r="R19" s="60">
        <v>31582</v>
      </c>
      <c r="S19" s="60">
        <v>31628</v>
      </c>
      <c r="T19" s="61">
        <f t="shared" si="3"/>
        <v>46</v>
      </c>
      <c r="U19" s="62"/>
    </row>
    <row r="20" spans="1:21" ht="15" x14ac:dyDescent="0.2">
      <c r="A20" s="153"/>
      <c r="B20" s="171">
        <v>12</v>
      </c>
      <c r="C20" s="59" t="s">
        <v>80</v>
      </c>
      <c r="D20" s="60">
        <v>147570</v>
      </c>
      <c r="E20" s="60">
        <v>147722</v>
      </c>
      <c r="F20" s="61">
        <f t="shared" si="0"/>
        <v>152</v>
      </c>
      <c r="G20" s="62"/>
      <c r="H20" s="155"/>
      <c r="I20" s="171">
        <v>12</v>
      </c>
      <c r="J20" s="59" t="s">
        <v>80</v>
      </c>
      <c r="K20" s="60">
        <v>147722</v>
      </c>
      <c r="L20" s="60">
        <v>147853</v>
      </c>
      <c r="M20" s="61">
        <f t="shared" si="1"/>
        <v>131</v>
      </c>
      <c r="N20" s="62"/>
      <c r="P20" s="171">
        <v>12</v>
      </c>
      <c r="Q20" s="59" t="s">
        <v>80</v>
      </c>
      <c r="R20" s="60">
        <v>147853</v>
      </c>
      <c r="S20" s="60">
        <v>148182</v>
      </c>
      <c r="T20" s="61">
        <f t="shared" si="3"/>
        <v>329</v>
      </c>
      <c r="U20" s="62"/>
    </row>
    <row r="21" spans="1:21" ht="15" x14ac:dyDescent="0.2">
      <c r="A21" s="153"/>
      <c r="B21" s="172"/>
      <c r="C21" s="59" t="s">
        <v>81</v>
      </c>
      <c r="D21" s="60">
        <v>23440</v>
      </c>
      <c r="E21" s="60">
        <v>23487</v>
      </c>
      <c r="F21" s="61">
        <f t="shared" si="0"/>
        <v>47</v>
      </c>
      <c r="G21" s="62"/>
      <c r="H21" s="156" t="s">
        <v>12</v>
      </c>
      <c r="I21" s="172"/>
      <c r="J21" s="59" t="s">
        <v>81</v>
      </c>
      <c r="K21" s="60">
        <v>23487</v>
      </c>
      <c r="L21" s="60">
        <v>23534</v>
      </c>
      <c r="M21" s="61">
        <f t="shared" si="1"/>
        <v>47</v>
      </c>
      <c r="N21" s="62"/>
      <c r="P21" s="172"/>
      <c r="Q21" s="59" t="s">
        <v>81</v>
      </c>
      <c r="R21" s="60">
        <v>23534</v>
      </c>
      <c r="S21" s="60">
        <v>23571</v>
      </c>
      <c r="T21" s="61">
        <f t="shared" si="3"/>
        <v>37</v>
      </c>
      <c r="U21" s="62"/>
    </row>
    <row r="22" spans="1:21" ht="15" x14ac:dyDescent="0.2">
      <c r="A22" s="153"/>
      <c r="B22" s="173"/>
      <c r="C22" s="59" t="s">
        <v>82</v>
      </c>
      <c r="D22" s="60">
        <v>258660</v>
      </c>
      <c r="E22" s="60">
        <v>258660</v>
      </c>
      <c r="F22" s="61">
        <f t="shared" si="0"/>
        <v>0</v>
      </c>
      <c r="G22" s="62"/>
      <c r="H22" s="155"/>
      <c r="I22" s="173"/>
      <c r="J22" s="59" t="s">
        <v>82</v>
      </c>
      <c r="K22" s="60">
        <v>258660</v>
      </c>
      <c r="L22" s="60">
        <v>258660</v>
      </c>
      <c r="M22" s="61">
        <f t="shared" si="1"/>
        <v>0</v>
      </c>
      <c r="N22" s="62"/>
      <c r="P22" s="173"/>
      <c r="Q22" s="59" t="s">
        <v>82</v>
      </c>
      <c r="R22" s="60">
        <v>258660</v>
      </c>
      <c r="S22" s="60">
        <v>258661</v>
      </c>
      <c r="T22" s="61">
        <f t="shared" si="3"/>
        <v>1</v>
      </c>
      <c r="U22" s="62"/>
    </row>
    <row r="23" spans="1:21" ht="15" x14ac:dyDescent="0.2">
      <c r="A23" s="153"/>
      <c r="B23" s="171">
        <v>14</v>
      </c>
      <c r="C23" s="59" t="s">
        <v>80</v>
      </c>
      <c r="D23" s="60">
        <v>120021</v>
      </c>
      <c r="E23" s="60">
        <v>120500</v>
      </c>
      <c r="F23" s="61">
        <f t="shared" si="0"/>
        <v>479</v>
      </c>
      <c r="G23" s="62"/>
      <c r="H23" s="155"/>
      <c r="I23" s="171">
        <v>14</v>
      </c>
      <c r="J23" s="59" t="s">
        <v>80</v>
      </c>
      <c r="K23" s="60">
        <v>120500</v>
      </c>
      <c r="L23" s="60">
        <v>120924</v>
      </c>
      <c r="M23" s="61">
        <f t="shared" si="1"/>
        <v>424</v>
      </c>
      <c r="N23" s="62"/>
      <c r="P23" s="171">
        <v>14</v>
      </c>
      <c r="Q23" s="59" t="s">
        <v>80</v>
      </c>
      <c r="R23" s="60">
        <v>120924</v>
      </c>
      <c r="S23" s="60">
        <v>121254</v>
      </c>
      <c r="T23" s="61">
        <f t="shared" si="3"/>
        <v>330</v>
      </c>
      <c r="U23" s="62"/>
    </row>
    <row r="24" spans="1:21" ht="15" x14ac:dyDescent="0.2">
      <c r="A24" s="153"/>
      <c r="B24" s="172"/>
      <c r="C24" s="59" t="s">
        <v>81</v>
      </c>
      <c r="D24" s="60">
        <v>37881</v>
      </c>
      <c r="E24" s="60">
        <v>39078</v>
      </c>
      <c r="F24" s="61">
        <f t="shared" si="0"/>
        <v>1197</v>
      </c>
      <c r="G24" s="62"/>
      <c r="H24" s="155"/>
      <c r="I24" s="172"/>
      <c r="J24" s="59" t="s">
        <v>81</v>
      </c>
      <c r="K24" s="60">
        <v>39078</v>
      </c>
      <c r="L24" s="60">
        <v>40188</v>
      </c>
      <c r="M24" s="61">
        <f t="shared" si="1"/>
        <v>1110</v>
      </c>
      <c r="N24" s="62"/>
      <c r="P24" s="172"/>
      <c r="Q24" s="59" t="s">
        <v>81</v>
      </c>
      <c r="R24" s="60">
        <v>40188</v>
      </c>
      <c r="S24" s="60">
        <v>41359</v>
      </c>
      <c r="T24" s="61">
        <f t="shared" si="3"/>
        <v>1171</v>
      </c>
      <c r="U24" s="62"/>
    </row>
    <row r="25" spans="1:21" ht="15" x14ac:dyDescent="0.2">
      <c r="A25" s="153"/>
      <c r="B25" s="173"/>
      <c r="C25" s="59" t="s">
        <v>82</v>
      </c>
      <c r="D25" s="60">
        <v>2001</v>
      </c>
      <c r="E25" s="60">
        <v>2025</v>
      </c>
      <c r="F25" s="61">
        <f t="shared" si="0"/>
        <v>24</v>
      </c>
      <c r="G25" s="62"/>
      <c r="H25" s="155"/>
      <c r="I25" s="173"/>
      <c r="J25" s="59" t="s">
        <v>82</v>
      </c>
      <c r="K25" s="60">
        <v>2025</v>
      </c>
      <c r="L25" s="60">
        <v>2045</v>
      </c>
      <c r="M25" s="61">
        <f t="shared" si="1"/>
        <v>20</v>
      </c>
      <c r="N25" s="62"/>
      <c r="P25" s="173"/>
      <c r="Q25" s="59" t="s">
        <v>82</v>
      </c>
      <c r="R25" s="60">
        <v>2045</v>
      </c>
      <c r="S25" s="60">
        <v>2047</v>
      </c>
      <c r="T25" s="61">
        <f t="shared" si="3"/>
        <v>2</v>
      </c>
      <c r="U25" s="62"/>
    </row>
    <row r="26" spans="1:21" ht="15" x14ac:dyDescent="0.2">
      <c r="A26" s="153"/>
      <c r="B26" s="171">
        <v>15</v>
      </c>
      <c r="C26" s="59" t="s">
        <v>80</v>
      </c>
      <c r="D26" s="60">
        <v>39357</v>
      </c>
      <c r="E26" s="60">
        <v>39357</v>
      </c>
      <c r="F26" s="61">
        <f t="shared" si="0"/>
        <v>0</v>
      </c>
      <c r="G26" s="62"/>
      <c r="H26" s="156" t="s">
        <v>12</v>
      </c>
      <c r="I26" s="171">
        <v>15</v>
      </c>
      <c r="J26" s="59" t="s">
        <v>80</v>
      </c>
      <c r="K26" s="60">
        <v>39357</v>
      </c>
      <c r="L26" s="60">
        <v>39357</v>
      </c>
      <c r="M26" s="61">
        <f t="shared" si="1"/>
        <v>0</v>
      </c>
      <c r="N26" s="62"/>
      <c r="P26" s="171">
        <v>15</v>
      </c>
      <c r="Q26" s="59" t="s">
        <v>80</v>
      </c>
      <c r="R26" s="60">
        <v>39357</v>
      </c>
      <c r="S26" s="60">
        <v>39547</v>
      </c>
      <c r="T26" s="61">
        <f t="shared" si="3"/>
        <v>190</v>
      </c>
      <c r="U26" s="62"/>
    </row>
    <row r="27" spans="1:21" ht="15" x14ac:dyDescent="0.2">
      <c r="A27" s="153"/>
      <c r="B27" s="172"/>
      <c r="C27" s="59" t="s">
        <v>81</v>
      </c>
      <c r="D27" s="60">
        <v>86104</v>
      </c>
      <c r="E27" s="60">
        <v>86556</v>
      </c>
      <c r="F27" s="61">
        <f t="shared" si="0"/>
        <v>452</v>
      </c>
      <c r="G27" s="62"/>
      <c r="H27" s="156" t="s">
        <v>12</v>
      </c>
      <c r="I27" s="172"/>
      <c r="J27" s="59" t="s">
        <v>81</v>
      </c>
      <c r="K27" s="60">
        <v>86556</v>
      </c>
      <c r="L27" s="60">
        <v>86868</v>
      </c>
      <c r="M27" s="61">
        <f t="shared" si="1"/>
        <v>312</v>
      </c>
      <c r="N27" s="62"/>
      <c r="P27" s="172"/>
      <c r="Q27" s="59" t="s">
        <v>81</v>
      </c>
      <c r="R27" s="60">
        <v>86868</v>
      </c>
      <c r="S27" s="60">
        <v>87398</v>
      </c>
      <c r="T27" s="61">
        <f t="shared" si="3"/>
        <v>530</v>
      </c>
      <c r="U27" s="62"/>
    </row>
    <row r="28" spans="1:21" ht="15" x14ac:dyDescent="0.2">
      <c r="A28" s="153"/>
      <c r="B28" s="173"/>
      <c r="C28" s="59" t="s">
        <v>82</v>
      </c>
      <c r="D28" s="60">
        <v>166733</v>
      </c>
      <c r="E28" s="60">
        <v>167865</v>
      </c>
      <c r="F28" s="61">
        <f t="shared" si="0"/>
        <v>1132</v>
      </c>
      <c r="G28" s="62"/>
      <c r="H28" s="155"/>
      <c r="I28" s="173"/>
      <c r="J28" s="59" t="s">
        <v>82</v>
      </c>
      <c r="K28" s="60">
        <v>167865</v>
      </c>
      <c r="L28" s="60">
        <v>168708</v>
      </c>
      <c r="M28" s="61">
        <f t="shared" si="1"/>
        <v>843</v>
      </c>
      <c r="N28" s="62"/>
      <c r="P28" s="173"/>
      <c r="Q28" s="59" t="s">
        <v>82</v>
      </c>
      <c r="R28" s="60">
        <v>168708</v>
      </c>
      <c r="S28" s="60">
        <v>169585</v>
      </c>
      <c r="T28" s="61">
        <f t="shared" si="3"/>
        <v>877</v>
      </c>
      <c r="U28" s="62"/>
    </row>
    <row r="29" spans="1:21" ht="15" x14ac:dyDescent="0.2">
      <c r="A29" s="153"/>
      <c r="B29" s="171">
        <v>16</v>
      </c>
      <c r="C29" s="59" t="s">
        <v>80</v>
      </c>
      <c r="D29" s="60">
        <v>97792</v>
      </c>
      <c r="E29" s="60">
        <v>97792</v>
      </c>
      <c r="F29" s="61">
        <f t="shared" si="0"/>
        <v>0</v>
      </c>
      <c r="G29" s="63" t="s">
        <v>12</v>
      </c>
      <c r="H29" s="155"/>
      <c r="I29" s="171">
        <v>16</v>
      </c>
      <c r="J29" s="59" t="s">
        <v>80</v>
      </c>
      <c r="K29" s="60">
        <v>97792</v>
      </c>
      <c r="L29" s="60">
        <v>97792</v>
      </c>
      <c r="M29" s="61">
        <f t="shared" si="1"/>
        <v>0</v>
      </c>
      <c r="N29" s="63" t="s">
        <v>12</v>
      </c>
      <c r="P29" s="171">
        <v>16</v>
      </c>
      <c r="Q29" s="59" t="s">
        <v>80</v>
      </c>
      <c r="R29" s="60">
        <v>97792</v>
      </c>
      <c r="S29" s="60">
        <v>97792</v>
      </c>
      <c r="T29" s="61">
        <f t="shared" si="3"/>
        <v>0</v>
      </c>
      <c r="U29" s="63" t="s">
        <v>12</v>
      </c>
    </row>
    <row r="30" spans="1:21" ht="15" x14ac:dyDescent="0.2">
      <c r="A30" s="153"/>
      <c r="B30" s="172"/>
      <c r="C30" s="59" t="s">
        <v>81</v>
      </c>
      <c r="D30" s="60">
        <v>65075</v>
      </c>
      <c r="E30" s="60">
        <v>66159</v>
      </c>
      <c r="F30" s="61">
        <f t="shared" si="0"/>
        <v>1084</v>
      </c>
      <c r="G30" s="62"/>
      <c r="H30" s="155"/>
      <c r="I30" s="172"/>
      <c r="J30" s="59" t="s">
        <v>81</v>
      </c>
      <c r="K30" s="60">
        <v>66159</v>
      </c>
      <c r="L30" s="60">
        <v>66868</v>
      </c>
      <c r="M30" s="61">
        <f t="shared" si="1"/>
        <v>709</v>
      </c>
      <c r="N30" s="62"/>
      <c r="P30" s="172"/>
      <c r="Q30" s="59" t="s">
        <v>81</v>
      </c>
      <c r="R30" s="60">
        <v>66868</v>
      </c>
      <c r="S30" s="60">
        <v>67032</v>
      </c>
      <c r="T30" s="61">
        <f t="shared" si="3"/>
        <v>164</v>
      </c>
      <c r="U30" s="62"/>
    </row>
    <row r="31" spans="1:21" ht="15" x14ac:dyDescent="0.2">
      <c r="A31" s="153"/>
      <c r="B31" s="173"/>
      <c r="C31" s="59" t="s">
        <v>82</v>
      </c>
      <c r="D31" s="60">
        <v>69432</v>
      </c>
      <c r="E31" s="60">
        <v>69432</v>
      </c>
      <c r="F31" s="61">
        <f t="shared" si="0"/>
        <v>0</v>
      </c>
      <c r="G31" s="64"/>
      <c r="H31" s="155"/>
      <c r="I31" s="173"/>
      <c r="J31" s="59" t="s">
        <v>82</v>
      </c>
      <c r="K31" s="60">
        <v>69432</v>
      </c>
      <c r="L31" s="60">
        <v>69432</v>
      </c>
      <c r="M31" s="61">
        <f t="shared" si="1"/>
        <v>0</v>
      </c>
      <c r="N31" s="64"/>
      <c r="P31" s="173"/>
      <c r="Q31" s="59" t="s">
        <v>82</v>
      </c>
      <c r="R31" s="60">
        <v>69432</v>
      </c>
      <c r="S31" s="60">
        <v>69444</v>
      </c>
      <c r="T31" s="61">
        <f t="shared" si="3"/>
        <v>12</v>
      </c>
      <c r="U31" s="64"/>
    </row>
    <row r="32" spans="1:21" ht="15" x14ac:dyDescent="0.2">
      <c r="A32" s="153"/>
      <c r="B32" s="171">
        <v>17</v>
      </c>
      <c r="C32" s="59" t="s">
        <v>80</v>
      </c>
      <c r="D32" s="60">
        <v>37164</v>
      </c>
      <c r="E32" s="60">
        <v>37348</v>
      </c>
      <c r="F32" s="61">
        <f t="shared" si="0"/>
        <v>184</v>
      </c>
      <c r="G32" s="62"/>
      <c r="H32" s="155"/>
      <c r="I32" s="171">
        <v>17</v>
      </c>
      <c r="J32" s="59" t="s">
        <v>80</v>
      </c>
      <c r="K32" s="60">
        <v>37348</v>
      </c>
      <c r="L32" s="60">
        <v>37526</v>
      </c>
      <c r="M32" s="61">
        <f t="shared" si="1"/>
        <v>178</v>
      </c>
      <c r="N32" s="62"/>
      <c r="P32" s="171">
        <v>17</v>
      </c>
      <c r="Q32" s="59" t="s">
        <v>80</v>
      </c>
      <c r="R32" s="60">
        <v>37526</v>
      </c>
      <c r="S32" s="60">
        <v>37610</v>
      </c>
      <c r="T32" s="61">
        <f t="shared" si="3"/>
        <v>84</v>
      </c>
      <c r="U32" s="62"/>
    </row>
    <row r="33" spans="1:21" ht="15" x14ac:dyDescent="0.2">
      <c r="A33" s="153"/>
      <c r="B33" s="172"/>
      <c r="C33" s="59" t="s">
        <v>81</v>
      </c>
      <c r="D33" s="60">
        <v>64125</v>
      </c>
      <c r="E33" s="60">
        <v>64130</v>
      </c>
      <c r="F33" s="61">
        <f t="shared" si="0"/>
        <v>5</v>
      </c>
      <c r="G33" s="62"/>
      <c r="H33" s="155"/>
      <c r="I33" s="172"/>
      <c r="J33" s="59" t="s">
        <v>81</v>
      </c>
      <c r="K33" s="60">
        <v>64130</v>
      </c>
      <c r="L33" s="60">
        <v>64137</v>
      </c>
      <c r="M33" s="61">
        <f t="shared" si="1"/>
        <v>7</v>
      </c>
      <c r="N33" s="62"/>
      <c r="P33" s="172"/>
      <c r="Q33" s="59" t="s">
        <v>81</v>
      </c>
      <c r="R33" s="60">
        <v>64137</v>
      </c>
      <c r="S33" s="60">
        <v>64143</v>
      </c>
      <c r="T33" s="61">
        <f t="shared" si="3"/>
        <v>6</v>
      </c>
      <c r="U33" s="62"/>
    </row>
    <row r="34" spans="1:21" ht="15" x14ac:dyDescent="0.2">
      <c r="A34" s="153"/>
      <c r="B34" s="173"/>
      <c r="C34" s="59" t="s">
        <v>82</v>
      </c>
      <c r="D34" s="60">
        <v>12449</v>
      </c>
      <c r="E34" s="60">
        <v>12593</v>
      </c>
      <c r="F34" s="61">
        <f t="shared" si="0"/>
        <v>144</v>
      </c>
      <c r="G34" s="64"/>
      <c r="H34" s="155"/>
      <c r="I34" s="173"/>
      <c r="J34" s="59" t="s">
        <v>82</v>
      </c>
      <c r="K34" s="60">
        <v>12593</v>
      </c>
      <c r="L34" s="60">
        <v>12707</v>
      </c>
      <c r="M34" s="61">
        <f t="shared" si="1"/>
        <v>114</v>
      </c>
      <c r="N34" s="64"/>
      <c r="P34" s="173"/>
      <c r="Q34" s="59" t="s">
        <v>82</v>
      </c>
      <c r="R34" s="60">
        <v>12707</v>
      </c>
      <c r="S34" s="60">
        <v>12904</v>
      </c>
      <c r="T34" s="61">
        <f t="shared" si="3"/>
        <v>197</v>
      </c>
      <c r="U34" s="64"/>
    </row>
    <row r="35" spans="1:21" ht="15" x14ac:dyDescent="0.2">
      <c r="A35" s="153"/>
      <c r="B35" s="171">
        <v>18</v>
      </c>
      <c r="C35" s="59" t="s">
        <v>80</v>
      </c>
      <c r="D35" s="60">
        <v>258487</v>
      </c>
      <c r="E35" s="60">
        <v>260358</v>
      </c>
      <c r="F35" s="61">
        <f t="shared" si="0"/>
        <v>1871</v>
      </c>
      <c r="G35" s="64"/>
      <c r="H35" s="155"/>
      <c r="I35" s="171">
        <v>18</v>
      </c>
      <c r="J35" s="59" t="s">
        <v>80</v>
      </c>
      <c r="K35" s="60">
        <v>260358</v>
      </c>
      <c r="L35" s="60">
        <v>262000</v>
      </c>
      <c r="M35" s="61">
        <f t="shared" si="1"/>
        <v>1642</v>
      </c>
      <c r="N35" s="64"/>
      <c r="O35" s="140"/>
      <c r="P35" s="171">
        <v>18</v>
      </c>
      <c r="Q35" s="59" t="s">
        <v>80</v>
      </c>
      <c r="R35" s="60">
        <v>262000</v>
      </c>
      <c r="S35" s="60">
        <v>263440</v>
      </c>
      <c r="T35" s="61">
        <f t="shared" si="3"/>
        <v>1440</v>
      </c>
      <c r="U35" s="64"/>
    </row>
    <row r="36" spans="1:21" ht="15" x14ac:dyDescent="0.2">
      <c r="A36" s="153"/>
      <c r="B36" s="172"/>
      <c r="C36" s="59" t="s">
        <v>81</v>
      </c>
      <c r="D36" s="60">
        <v>20089</v>
      </c>
      <c r="E36" s="60">
        <v>20279</v>
      </c>
      <c r="F36" s="61">
        <f t="shared" si="0"/>
        <v>190</v>
      </c>
      <c r="G36" s="62"/>
      <c r="H36" s="155"/>
      <c r="I36" s="172"/>
      <c r="J36" s="59" t="s">
        <v>81</v>
      </c>
      <c r="K36" s="60">
        <v>20279</v>
      </c>
      <c r="L36" s="60">
        <v>20932</v>
      </c>
      <c r="M36" s="61">
        <f t="shared" si="1"/>
        <v>653</v>
      </c>
      <c r="N36" s="62"/>
      <c r="O36" s="148"/>
      <c r="P36" s="172"/>
      <c r="Q36" s="59" t="s">
        <v>81</v>
      </c>
      <c r="R36" s="60">
        <v>20932</v>
      </c>
      <c r="S36" s="60">
        <v>21127</v>
      </c>
      <c r="T36" s="61">
        <f t="shared" si="3"/>
        <v>195</v>
      </c>
      <c r="U36" s="62"/>
    </row>
    <row r="37" spans="1:21" ht="15" x14ac:dyDescent="0.2">
      <c r="A37" s="153"/>
      <c r="B37" s="173"/>
      <c r="C37" s="59" t="s">
        <v>82</v>
      </c>
      <c r="D37" s="60">
        <v>97626</v>
      </c>
      <c r="E37" s="60">
        <v>99805</v>
      </c>
      <c r="F37" s="61">
        <f t="shared" si="0"/>
        <v>2179</v>
      </c>
      <c r="G37" s="62"/>
      <c r="H37" s="155"/>
      <c r="I37" s="173"/>
      <c r="J37" s="59" t="s">
        <v>82</v>
      </c>
      <c r="K37" s="60">
        <v>99805</v>
      </c>
      <c r="L37" s="60">
        <v>101181</v>
      </c>
      <c r="M37" s="61">
        <f t="shared" si="1"/>
        <v>1376</v>
      </c>
      <c r="N37" s="62"/>
      <c r="P37" s="173"/>
      <c r="Q37" s="59" t="s">
        <v>82</v>
      </c>
      <c r="R37" s="60">
        <v>101181</v>
      </c>
      <c r="S37" s="60">
        <v>102798</v>
      </c>
      <c r="T37" s="61">
        <f t="shared" si="3"/>
        <v>1617</v>
      </c>
      <c r="U37" s="62"/>
    </row>
    <row r="38" spans="1:21" ht="15" x14ac:dyDescent="0.2">
      <c r="A38" s="153"/>
      <c r="B38" s="171">
        <v>19</v>
      </c>
      <c r="C38" s="59" t="s">
        <v>80</v>
      </c>
      <c r="D38" s="60">
        <v>25260</v>
      </c>
      <c r="E38" s="60">
        <v>25921</v>
      </c>
      <c r="F38" s="61">
        <f t="shared" si="0"/>
        <v>661</v>
      </c>
      <c r="G38" s="62"/>
      <c r="H38" s="155"/>
      <c r="I38" s="171">
        <v>19</v>
      </c>
      <c r="J38" s="59" t="s">
        <v>80</v>
      </c>
      <c r="K38" s="60">
        <v>25921</v>
      </c>
      <c r="L38" s="60">
        <v>26334</v>
      </c>
      <c r="M38" s="61">
        <f t="shared" si="1"/>
        <v>413</v>
      </c>
      <c r="N38" s="62"/>
      <c r="P38" s="171">
        <v>19</v>
      </c>
      <c r="Q38" s="59" t="s">
        <v>80</v>
      </c>
      <c r="R38" s="60">
        <v>26334</v>
      </c>
      <c r="S38" s="60">
        <v>26533</v>
      </c>
      <c r="T38" s="61">
        <f t="shared" si="3"/>
        <v>199</v>
      </c>
      <c r="U38" s="62"/>
    </row>
    <row r="39" spans="1:21" ht="15" x14ac:dyDescent="0.2">
      <c r="A39" s="153"/>
      <c r="B39" s="172"/>
      <c r="C39" s="59" t="s">
        <v>81</v>
      </c>
      <c r="D39" s="60">
        <v>85529</v>
      </c>
      <c r="E39" s="60">
        <v>85823</v>
      </c>
      <c r="F39" s="61">
        <f t="shared" si="0"/>
        <v>294</v>
      </c>
      <c r="G39" s="64"/>
      <c r="H39" s="155"/>
      <c r="I39" s="172"/>
      <c r="J39" s="59" t="s">
        <v>81</v>
      </c>
      <c r="K39" s="60">
        <v>85823</v>
      </c>
      <c r="L39" s="60">
        <v>86010</v>
      </c>
      <c r="M39" s="61">
        <f t="shared" si="1"/>
        <v>187</v>
      </c>
      <c r="N39" s="64"/>
      <c r="P39" s="172"/>
      <c r="Q39" s="59" t="s">
        <v>81</v>
      </c>
      <c r="R39" s="60">
        <v>86010</v>
      </c>
      <c r="S39" s="60">
        <v>86152</v>
      </c>
      <c r="T39" s="61">
        <f t="shared" si="3"/>
        <v>142</v>
      </c>
      <c r="U39" s="64"/>
    </row>
    <row r="40" spans="1:21" ht="15" x14ac:dyDescent="0.2">
      <c r="A40" s="153"/>
      <c r="B40" s="173"/>
      <c r="C40" s="59" t="s">
        <v>82</v>
      </c>
      <c r="D40" s="60">
        <v>53053</v>
      </c>
      <c r="E40" s="60">
        <v>53053</v>
      </c>
      <c r="F40" s="61">
        <f t="shared" si="0"/>
        <v>0</v>
      </c>
      <c r="G40" s="62"/>
      <c r="H40" s="155"/>
      <c r="I40" s="173"/>
      <c r="J40" s="59" t="s">
        <v>82</v>
      </c>
      <c r="K40" s="60">
        <v>53053</v>
      </c>
      <c r="L40" s="60">
        <v>53053</v>
      </c>
      <c r="M40" s="61">
        <f t="shared" si="1"/>
        <v>0</v>
      </c>
      <c r="N40" s="62"/>
      <c r="P40" s="173"/>
      <c r="Q40" s="59" t="s">
        <v>82</v>
      </c>
      <c r="R40" s="60">
        <v>53053</v>
      </c>
      <c r="S40" s="60">
        <v>53053</v>
      </c>
      <c r="T40" s="61">
        <f t="shared" si="3"/>
        <v>0</v>
      </c>
      <c r="U40" s="62"/>
    </row>
    <row r="41" spans="1:21" ht="15" x14ac:dyDescent="0.2">
      <c r="A41" s="153"/>
      <c r="B41" s="171">
        <v>20</v>
      </c>
      <c r="C41" s="59" t="s">
        <v>80</v>
      </c>
      <c r="D41" s="60">
        <v>122525</v>
      </c>
      <c r="E41" s="60">
        <v>122828</v>
      </c>
      <c r="F41" s="61">
        <f t="shared" si="0"/>
        <v>303</v>
      </c>
      <c r="G41" s="62"/>
      <c r="H41" s="155"/>
      <c r="I41" s="171">
        <v>20</v>
      </c>
      <c r="J41" s="59" t="s">
        <v>80</v>
      </c>
      <c r="K41" s="60">
        <v>122828</v>
      </c>
      <c r="L41" s="60">
        <v>122102</v>
      </c>
      <c r="M41" s="61" t="str">
        <f t="shared" si="1"/>
        <v>0</v>
      </c>
      <c r="N41" s="62"/>
      <c r="P41" s="171">
        <v>20</v>
      </c>
      <c r="Q41" s="59" t="s">
        <v>80</v>
      </c>
      <c r="R41" s="60">
        <v>122102</v>
      </c>
      <c r="S41" s="60">
        <v>123343</v>
      </c>
      <c r="T41" s="61">
        <f t="shared" si="3"/>
        <v>1241</v>
      </c>
      <c r="U41" s="62"/>
    </row>
    <row r="42" spans="1:21" ht="15" x14ac:dyDescent="0.2">
      <c r="A42" s="153"/>
      <c r="B42" s="172"/>
      <c r="C42" s="59" t="s">
        <v>81</v>
      </c>
      <c r="D42" s="60">
        <v>75660</v>
      </c>
      <c r="E42" s="60">
        <v>76972</v>
      </c>
      <c r="F42" s="61">
        <f t="shared" si="0"/>
        <v>1312</v>
      </c>
      <c r="G42" s="62"/>
      <c r="I42" s="172"/>
      <c r="J42" s="59" t="s">
        <v>81</v>
      </c>
      <c r="K42" s="60">
        <v>76972</v>
      </c>
      <c r="L42" s="60">
        <v>78304</v>
      </c>
      <c r="M42" s="61">
        <f t="shared" si="1"/>
        <v>1332</v>
      </c>
      <c r="N42" s="62"/>
      <c r="P42" s="172"/>
      <c r="Q42" s="59" t="s">
        <v>81</v>
      </c>
      <c r="R42" s="60">
        <v>78304</v>
      </c>
      <c r="S42" s="60">
        <v>79464</v>
      </c>
      <c r="T42" s="61">
        <f t="shared" si="3"/>
        <v>1160</v>
      </c>
      <c r="U42" s="62"/>
    </row>
    <row r="43" spans="1:21" ht="15" x14ac:dyDescent="0.2">
      <c r="A43" s="153"/>
      <c r="B43" s="173"/>
      <c r="C43" s="59" t="s">
        <v>82</v>
      </c>
      <c r="D43" s="60">
        <v>3523</v>
      </c>
      <c r="E43" s="60">
        <v>3712</v>
      </c>
      <c r="F43" s="61">
        <f t="shared" si="0"/>
        <v>189</v>
      </c>
      <c r="G43" s="62"/>
      <c r="I43" s="173"/>
      <c r="J43" s="59" t="s">
        <v>82</v>
      </c>
      <c r="K43" s="60">
        <v>3712</v>
      </c>
      <c r="L43" s="60">
        <v>3728</v>
      </c>
      <c r="M43" s="61">
        <f t="shared" si="1"/>
        <v>16</v>
      </c>
      <c r="N43" s="62"/>
      <c r="P43" s="173"/>
      <c r="Q43" s="59" t="s">
        <v>82</v>
      </c>
      <c r="R43" s="60">
        <v>3728</v>
      </c>
      <c r="S43" s="60">
        <v>3934</v>
      </c>
      <c r="T43" s="61">
        <f t="shared" si="3"/>
        <v>206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1">
        <v>21</v>
      </c>
      <c r="C45" s="69" t="s">
        <v>83</v>
      </c>
      <c r="D45" s="60">
        <v>3911</v>
      </c>
      <c r="E45" s="60">
        <v>4016</v>
      </c>
      <c r="F45" s="61">
        <f t="shared" ref="F45:F63" si="4">IF((E45-D45)&lt;0,"0",(E45-D45))</f>
        <v>105</v>
      </c>
      <c r="G45" s="63" t="s">
        <v>12</v>
      </c>
      <c r="I45" s="171">
        <v>21</v>
      </c>
      <c r="J45" s="69" t="s">
        <v>83</v>
      </c>
      <c r="K45" s="60">
        <v>4016</v>
      </c>
      <c r="L45" s="60">
        <v>4050</v>
      </c>
      <c r="M45" s="61">
        <f t="shared" si="1"/>
        <v>34</v>
      </c>
      <c r="N45" s="63" t="s">
        <v>12</v>
      </c>
      <c r="P45" s="171">
        <v>21</v>
      </c>
      <c r="Q45" s="69" t="s">
        <v>83</v>
      </c>
      <c r="R45" s="60">
        <v>4050</v>
      </c>
      <c r="S45" s="60">
        <v>4548</v>
      </c>
      <c r="T45" s="61">
        <f t="shared" si="3"/>
        <v>498</v>
      </c>
      <c r="U45" s="63" t="s">
        <v>12</v>
      </c>
    </row>
    <row r="46" spans="1:21" ht="15" x14ac:dyDescent="0.2">
      <c r="A46" s="153"/>
      <c r="B46" s="172"/>
      <c r="C46" s="69" t="s">
        <v>82</v>
      </c>
      <c r="D46" s="60">
        <v>45863</v>
      </c>
      <c r="E46" s="60">
        <v>45864</v>
      </c>
      <c r="F46" s="61">
        <f t="shared" si="4"/>
        <v>1</v>
      </c>
      <c r="G46" s="62"/>
      <c r="I46" s="172"/>
      <c r="J46" s="69" t="s">
        <v>82</v>
      </c>
      <c r="K46" s="60">
        <v>45864</v>
      </c>
      <c r="L46" s="60">
        <v>45960</v>
      </c>
      <c r="M46" s="61">
        <f t="shared" si="1"/>
        <v>96</v>
      </c>
      <c r="N46" s="62"/>
      <c r="P46" s="172"/>
      <c r="Q46" s="69" t="s">
        <v>82</v>
      </c>
      <c r="R46" s="60">
        <v>45960</v>
      </c>
      <c r="S46" s="60">
        <v>46299</v>
      </c>
      <c r="T46" s="61">
        <f t="shared" si="3"/>
        <v>339</v>
      </c>
      <c r="U46" s="62"/>
    </row>
    <row r="47" spans="1:21" ht="15" x14ac:dyDescent="0.2">
      <c r="A47" s="153"/>
      <c r="B47" s="171">
        <v>22</v>
      </c>
      <c r="C47" s="69" t="s">
        <v>83</v>
      </c>
      <c r="D47" s="60">
        <v>13771</v>
      </c>
      <c r="E47" s="60">
        <v>13771</v>
      </c>
      <c r="F47" s="61">
        <f t="shared" si="4"/>
        <v>0</v>
      </c>
      <c r="G47" s="62"/>
      <c r="H47" t="s">
        <v>12</v>
      </c>
      <c r="I47" s="171">
        <v>22</v>
      </c>
      <c r="J47" s="69" t="s">
        <v>83</v>
      </c>
      <c r="K47" s="60">
        <v>13771</v>
      </c>
      <c r="L47" s="60">
        <v>13770</v>
      </c>
      <c r="M47" s="61" t="str">
        <f t="shared" si="1"/>
        <v>0</v>
      </c>
      <c r="N47" s="62"/>
      <c r="P47" s="171">
        <v>22</v>
      </c>
      <c r="Q47" s="69" t="s">
        <v>83</v>
      </c>
      <c r="R47" s="60">
        <v>13770</v>
      </c>
      <c r="S47" s="60">
        <v>13781</v>
      </c>
      <c r="T47" s="61">
        <f t="shared" si="3"/>
        <v>11</v>
      </c>
      <c r="U47" s="62"/>
    </row>
    <row r="48" spans="1:21" ht="15" x14ac:dyDescent="0.2">
      <c r="A48" s="153"/>
      <c r="B48" s="172"/>
      <c r="C48" s="69" t="s">
        <v>82</v>
      </c>
      <c r="D48" s="60">
        <v>21596</v>
      </c>
      <c r="E48" s="60">
        <v>21750</v>
      </c>
      <c r="F48" s="61">
        <f t="shared" si="4"/>
        <v>154</v>
      </c>
      <c r="G48" s="62"/>
      <c r="I48" s="172"/>
      <c r="J48" s="69" t="s">
        <v>82</v>
      </c>
      <c r="K48" s="60">
        <v>21750</v>
      </c>
      <c r="L48" s="60">
        <v>21863</v>
      </c>
      <c r="M48" s="61">
        <f t="shared" si="1"/>
        <v>113</v>
      </c>
      <c r="N48" s="62"/>
      <c r="P48" s="172"/>
      <c r="Q48" s="69" t="s">
        <v>82</v>
      </c>
      <c r="R48" s="60">
        <v>21863</v>
      </c>
      <c r="S48" s="60">
        <v>22001</v>
      </c>
      <c r="T48" s="61">
        <f t="shared" si="3"/>
        <v>138</v>
      </c>
      <c r="U48" s="62"/>
    </row>
    <row r="49" spans="1:21" ht="15" x14ac:dyDescent="0.2">
      <c r="A49" s="153"/>
      <c r="B49" s="171">
        <v>23</v>
      </c>
      <c r="C49" s="59" t="s">
        <v>83</v>
      </c>
      <c r="D49" s="60"/>
      <c r="E49" s="60"/>
      <c r="F49" s="61">
        <f t="shared" si="4"/>
        <v>0</v>
      </c>
      <c r="G49" s="62"/>
      <c r="I49" s="171">
        <v>23</v>
      </c>
      <c r="J49" s="59" t="s">
        <v>83</v>
      </c>
      <c r="K49" s="60"/>
      <c r="L49" s="60"/>
      <c r="M49" s="61">
        <f t="shared" si="1"/>
        <v>0</v>
      </c>
      <c r="N49" s="62"/>
      <c r="P49" s="171">
        <v>23</v>
      </c>
      <c r="Q49" s="59" t="s">
        <v>83</v>
      </c>
      <c r="R49" s="60"/>
      <c r="S49" s="60"/>
      <c r="T49" s="61">
        <f t="shared" si="3"/>
        <v>0</v>
      </c>
      <c r="U49" s="62"/>
    </row>
    <row r="50" spans="1:21" ht="15" x14ac:dyDescent="0.2">
      <c r="A50" s="153"/>
      <c r="B50" s="172"/>
      <c r="C50" s="59" t="s">
        <v>82</v>
      </c>
      <c r="D50" s="60"/>
      <c r="E50" s="60"/>
      <c r="F50" s="61">
        <f t="shared" si="4"/>
        <v>0</v>
      </c>
      <c r="G50" s="62"/>
      <c r="I50" s="172"/>
      <c r="J50" s="59" t="s">
        <v>82</v>
      </c>
      <c r="K50" s="60"/>
      <c r="L50" s="60"/>
      <c r="M50" s="61">
        <f t="shared" si="1"/>
        <v>0</v>
      </c>
      <c r="N50" s="62"/>
      <c r="P50" s="172"/>
      <c r="Q50" s="59" t="s">
        <v>82</v>
      </c>
      <c r="R50" s="60"/>
      <c r="S50" s="60"/>
      <c r="T50" s="61">
        <f t="shared" si="3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4"/>
        <v>0</v>
      </c>
      <c r="G51" s="68"/>
      <c r="I51" s="70"/>
      <c r="J51" s="66"/>
      <c r="K51" s="67"/>
      <c r="L51" s="67"/>
      <c r="M51" s="66">
        <f t="shared" si="1"/>
        <v>0</v>
      </c>
      <c r="N51" s="68"/>
      <c r="P51" s="70"/>
      <c r="Q51" s="66"/>
      <c r="R51" s="67"/>
      <c r="S51" s="67"/>
      <c r="T51" s="66">
        <f t="shared" si="3"/>
        <v>0</v>
      </c>
      <c r="U51" s="68"/>
    </row>
    <row r="52" spans="1:21" ht="15" x14ac:dyDescent="0.2">
      <c r="A52" s="153"/>
      <c r="B52" s="174">
        <v>24</v>
      </c>
      <c r="C52" s="59" t="s">
        <v>84</v>
      </c>
      <c r="D52" s="60">
        <v>257417</v>
      </c>
      <c r="E52" s="60">
        <v>259040</v>
      </c>
      <c r="F52" s="61">
        <f t="shared" si="4"/>
        <v>1623</v>
      </c>
      <c r="G52" s="71"/>
      <c r="I52" s="174">
        <v>24</v>
      </c>
      <c r="J52" s="59" t="s">
        <v>84</v>
      </c>
      <c r="K52" s="60">
        <v>259040</v>
      </c>
      <c r="L52" s="60">
        <v>260090</v>
      </c>
      <c r="M52" s="61">
        <f t="shared" si="1"/>
        <v>1050</v>
      </c>
      <c r="N52" s="71"/>
      <c r="P52" s="174">
        <v>24</v>
      </c>
      <c r="Q52" s="59" t="s">
        <v>84</v>
      </c>
      <c r="R52" s="60">
        <v>260090</v>
      </c>
      <c r="S52" s="60">
        <v>261233</v>
      </c>
      <c r="T52" s="61">
        <f t="shared" si="3"/>
        <v>1143</v>
      </c>
      <c r="U52" s="71"/>
    </row>
    <row r="53" spans="1:21" ht="15" x14ac:dyDescent="0.2">
      <c r="A53" s="153"/>
      <c r="B53" s="175"/>
      <c r="C53" s="59" t="s">
        <v>85</v>
      </c>
      <c r="D53" s="60">
        <v>542198</v>
      </c>
      <c r="E53" s="60">
        <v>542733</v>
      </c>
      <c r="F53" s="61">
        <f t="shared" si="4"/>
        <v>535</v>
      </c>
      <c r="G53" s="64"/>
      <c r="I53" s="175"/>
      <c r="J53" s="59" t="s">
        <v>85</v>
      </c>
      <c r="K53" s="60">
        <v>542733</v>
      </c>
      <c r="L53" s="60">
        <v>543220</v>
      </c>
      <c r="M53" s="61">
        <f t="shared" si="1"/>
        <v>487</v>
      </c>
      <c r="N53" s="64"/>
      <c r="P53" s="175"/>
      <c r="Q53" s="59" t="s">
        <v>85</v>
      </c>
      <c r="R53" s="60">
        <v>543220</v>
      </c>
      <c r="S53" s="60">
        <v>543684</v>
      </c>
      <c r="T53" s="61">
        <f t="shared" si="3"/>
        <v>464</v>
      </c>
      <c r="U53" s="64"/>
    </row>
    <row r="54" spans="1:21" ht="15" x14ac:dyDescent="0.2">
      <c r="A54" s="153"/>
      <c r="B54" s="176"/>
      <c r="C54" s="59" t="s">
        <v>84</v>
      </c>
      <c r="D54" s="60">
        <v>34567</v>
      </c>
      <c r="E54" s="60">
        <v>34567</v>
      </c>
      <c r="F54" s="61">
        <f t="shared" si="4"/>
        <v>0</v>
      </c>
      <c r="G54" s="72" t="s">
        <v>12</v>
      </c>
      <c r="I54" s="176"/>
      <c r="J54" s="59" t="s">
        <v>84</v>
      </c>
      <c r="K54" s="60">
        <v>34567</v>
      </c>
      <c r="L54" s="60">
        <v>34567</v>
      </c>
      <c r="M54" s="61">
        <f t="shared" si="1"/>
        <v>0</v>
      </c>
      <c r="N54" s="72" t="s">
        <v>12</v>
      </c>
      <c r="P54" s="176"/>
      <c r="Q54" s="59" t="s">
        <v>84</v>
      </c>
      <c r="R54" s="60">
        <v>34567</v>
      </c>
      <c r="S54" s="60">
        <v>34567</v>
      </c>
      <c r="T54" s="61">
        <f t="shared" si="3"/>
        <v>0</v>
      </c>
      <c r="U54" s="72" t="s">
        <v>12</v>
      </c>
    </row>
    <row r="55" spans="1:21" ht="15" x14ac:dyDescent="0.2">
      <c r="A55" s="153"/>
      <c r="B55" s="171">
        <v>25</v>
      </c>
      <c r="C55" s="59" t="s">
        <v>84</v>
      </c>
      <c r="D55" s="60">
        <v>330</v>
      </c>
      <c r="E55" s="60">
        <v>330</v>
      </c>
      <c r="F55" s="61">
        <f t="shared" si="4"/>
        <v>0</v>
      </c>
      <c r="G55" s="62"/>
      <c r="I55" s="171">
        <v>25</v>
      </c>
      <c r="J55" s="59" t="s">
        <v>84</v>
      </c>
      <c r="K55" s="60">
        <v>330</v>
      </c>
      <c r="L55" s="60">
        <v>330</v>
      </c>
      <c r="M55" s="61">
        <f t="shared" si="1"/>
        <v>0</v>
      </c>
      <c r="N55" s="62"/>
      <c r="P55" s="171">
        <v>25</v>
      </c>
      <c r="Q55" s="59" t="s">
        <v>84</v>
      </c>
      <c r="R55" s="60">
        <v>330</v>
      </c>
      <c r="S55" s="60">
        <v>330</v>
      </c>
      <c r="T55" s="61">
        <f t="shared" si="3"/>
        <v>0</v>
      </c>
      <c r="U55" s="62"/>
    </row>
    <row r="56" spans="1:21" ht="15" x14ac:dyDescent="0.2">
      <c r="A56" s="153"/>
      <c r="B56" s="173"/>
      <c r="C56" s="59" t="s">
        <v>85</v>
      </c>
      <c r="D56" s="60">
        <v>3</v>
      </c>
      <c r="E56" s="60">
        <v>3</v>
      </c>
      <c r="F56" s="61">
        <f t="shared" si="4"/>
        <v>0</v>
      </c>
      <c r="G56" s="62"/>
      <c r="I56" s="173"/>
      <c r="J56" s="59" t="s">
        <v>85</v>
      </c>
      <c r="K56" s="60">
        <v>3</v>
      </c>
      <c r="L56" s="60">
        <v>3</v>
      </c>
      <c r="M56" s="61">
        <f t="shared" si="1"/>
        <v>0</v>
      </c>
      <c r="N56" s="62"/>
      <c r="P56" s="173"/>
      <c r="Q56" s="59" t="s">
        <v>85</v>
      </c>
      <c r="R56" s="60">
        <v>3</v>
      </c>
      <c r="S56" s="60">
        <v>3</v>
      </c>
      <c r="T56" s="61">
        <f t="shared" si="3"/>
        <v>0</v>
      </c>
      <c r="U56" s="62"/>
    </row>
    <row r="57" spans="1:21" ht="15" x14ac:dyDescent="0.2">
      <c r="A57" s="153"/>
      <c r="B57" s="171">
        <v>26</v>
      </c>
      <c r="C57" s="59" t="s">
        <v>84</v>
      </c>
      <c r="D57" s="60">
        <v>748380</v>
      </c>
      <c r="E57" s="60">
        <v>751807</v>
      </c>
      <c r="F57" s="61">
        <f t="shared" si="4"/>
        <v>3427</v>
      </c>
      <c r="G57" s="62"/>
      <c r="I57" s="171">
        <v>26</v>
      </c>
      <c r="J57" s="59" t="s">
        <v>84</v>
      </c>
      <c r="K57" s="60">
        <v>751807</v>
      </c>
      <c r="L57" s="60">
        <v>755388</v>
      </c>
      <c r="M57" s="61">
        <f t="shared" si="1"/>
        <v>3581</v>
      </c>
      <c r="N57" s="62"/>
      <c r="P57" s="171">
        <v>26</v>
      </c>
      <c r="Q57" s="59" t="s">
        <v>84</v>
      </c>
      <c r="R57" s="60">
        <v>755388</v>
      </c>
      <c r="S57" s="60">
        <v>758964</v>
      </c>
      <c r="T57" s="61">
        <f t="shared" si="3"/>
        <v>3576</v>
      </c>
      <c r="U57" s="62"/>
    </row>
    <row r="58" spans="1:21" ht="15" x14ac:dyDescent="0.2">
      <c r="A58" s="153"/>
      <c r="B58" s="173"/>
      <c r="C58" s="59" t="s">
        <v>85</v>
      </c>
      <c r="D58" s="60">
        <v>826607</v>
      </c>
      <c r="E58" s="60">
        <v>830921</v>
      </c>
      <c r="F58" s="61">
        <f t="shared" si="4"/>
        <v>4314</v>
      </c>
      <c r="G58" s="64"/>
      <c r="H58" s="155"/>
      <c r="I58" s="173"/>
      <c r="J58" s="59" t="s">
        <v>85</v>
      </c>
      <c r="K58" s="60">
        <v>830921</v>
      </c>
      <c r="L58" s="60">
        <v>834986</v>
      </c>
      <c r="M58" s="61">
        <f t="shared" si="1"/>
        <v>4065</v>
      </c>
      <c r="N58" s="64"/>
      <c r="P58" s="173"/>
      <c r="Q58" s="59" t="s">
        <v>85</v>
      </c>
      <c r="R58" s="60">
        <v>834986</v>
      </c>
      <c r="S58" s="60">
        <v>838562</v>
      </c>
      <c r="T58" s="61">
        <f t="shared" si="3"/>
        <v>3576</v>
      </c>
      <c r="U58" s="64"/>
    </row>
    <row r="59" spans="1:21" ht="15" x14ac:dyDescent="0.2">
      <c r="A59" s="153"/>
      <c r="B59" s="171">
        <v>27</v>
      </c>
      <c r="C59" s="59" t="s">
        <v>84</v>
      </c>
      <c r="D59" s="60">
        <v>254074</v>
      </c>
      <c r="E59" s="60">
        <v>255356</v>
      </c>
      <c r="F59" s="61">
        <f t="shared" si="4"/>
        <v>1282</v>
      </c>
      <c r="G59" s="62"/>
      <c r="H59" s="155"/>
      <c r="I59" s="171">
        <v>27</v>
      </c>
      <c r="J59" s="59" t="s">
        <v>84</v>
      </c>
      <c r="K59" s="60">
        <v>255356</v>
      </c>
      <c r="L59" s="60">
        <v>256506</v>
      </c>
      <c r="M59" s="61">
        <f t="shared" si="1"/>
        <v>1150</v>
      </c>
      <c r="N59" s="62"/>
      <c r="P59" s="171">
        <v>27</v>
      </c>
      <c r="Q59" s="59" t="s">
        <v>84</v>
      </c>
      <c r="R59" s="60">
        <v>256506</v>
      </c>
      <c r="S59" s="60">
        <v>257549</v>
      </c>
      <c r="T59" s="61">
        <f t="shared" si="3"/>
        <v>1043</v>
      </c>
      <c r="U59" s="62"/>
    </row>
    <row r="60" spans="1:21" ht="15" x14ac:dyDescent="0.2">
      <c r="A60" s="153"/>
      <c r="B60" s="173"/>
      <c r="C60" s="59" t="s">
        <v>85</v>
      </c>
      <c r="D60" s="60">
        <v>108101</v>
      </c>
      <c r="E60" s="60">
        <v>111872</v>
      </c>
      <c r="F60" s="61">
        <f t="shared" si="4"/>
        <v>3771</v>
      </c>
      <c r="G60" s="62"/>
      <c r="H60" s="155"/>
      <c r="I60" s="173"/>
      <c r="J60" s="59" t="s">
        <v>85</v>
      </c>
      <c r="K60" s="60">
        <v>111872</v>
      </c>
      <c r="L60" s="60">
        <v>115157</v>
      </c>
      <c r="M60" s="61">
        <f t="shared" si="1"/>
        <v>3285</v>
      </c>
      <c r="N60" s="62"/>
      <c r="P60" s="173"/>
      <c r="Q60" s="59" t="s">
        <v>85</v>
      </c>
      <c r="R60" s="60">
        <v>115157</v>
      </c>
      <c r="S60" s="60">
        <v>117419</v>
      </c>
      <c r="T60" s="61">
        <f t="shared" si="3"/>
        <v>2262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4"/>
        <v>0</v>
      </c>
      <c r="G61" s="68"/>
      <c r="H61" s="155"/>
      <c r="I61" s="65"/>
      <c r="J61" s="66"/>
      <c r="K61" s="66"/>
      <c r="L61" s="66"/>
      <c r="M61" s="66">
        <f t="shared" si="1"/>
        <v>0</v>
      </c>
      <c r="N61" s="68"/>
      <c r="P61" s="65"/>
      <c r="Q61" s="66"/>
      <c r="R61" s="66"/>
      <c r="S61" s="66"/>
      <c r="T61" s="66">
        <f t="shared" si="3"/>
        <v>0</v>
      </c>
      <c r="U61" s="68"/>
    </row>
    <row r="62" spans="1:21" ht="15" x14ac:dyDescent="0.2">
      <c r="A62" s="153"/>
      <c r="B62" s="171">
        <v>28</v>
      </c>
      <c r="C62" s="166" t="s">
        <v>86</v>
      </c>
      <c r="D62" s="60"/>
      <c r="E62" s="60"/>
      <c r="F62" s="61">
        <f t="shared" si="4"/>
        <v>0</v>
      </c>
      <c r="G62" s="168" t="s">
        <v>87</v>
      </c>
      <c r="H62" s="155"/>
      <c r="I62" s="171">
        <v>28</v>
      </c>
      <c r="J62" s="166" t="s">
        <v>86</v>
      </c>
      <c r="K62" s="60"/>
      <c r="L62" s="60"/>
      <c r="M62" s="61">
        <f t="shared" si="1"/>
        <v>0</v>
      </c>
      <c r="N62" s="168" t="s">
        <v>87</v>
      </c>
      <c r="P62" s="171">
        <v>28</v>
      </c>
      <c r="Q62" s="166" t="s">
        <v>86</v>
      </c>
      <c r="R62" s="60"/>
      <c r="S62" s="60"/>
      <c r="T62" s="61">
        <f t="shared" si="3"/>
        <v>0</v>
      </c>
      <c r="U62" s="168" t="s">
        <v>87</v>
      </c>
    </row>
    <row r="63" spans="1:21" ht="15" x14ac:dyDescent="0.2">
      <c r="A63" s="153"/>
      <c r="B63" s="173"/>
      <c r="C63" s="167"/>
      <c r="D63" s="60"/>
      <c r="E63" s="60"/>
      <c r="F63" s="61">
        <f t="shared" si="4"/>
        <v>0</v>
      </c>
      <c r="G63" s="169"/>
      <c r="H63" s="155"/>
      <c r="I63" s="173"/>
      <c r="J63" s="167"/>
      <c r="K63" s="60"/>
      <c r="L63" s="60"/>
      <c r="M63" s="61">
        <f t="shared" si="1"/>
        <v>0</v>
      </c>
      <c r="N63" s="169"/>
      <c r="P63" s="173"/>
      <c r="Q63" s="167"/>
      <c r="R63" s="60"/>
      <c r="S63" s="60"/>
      <c r="T63" s="61">
        <f t="shared" si="3"/>
        <v>0</v>
      </c>
      <c r="U63" s="169"/>
    </row>
    <row r="64" spans="1:21" x14ac:dyDescent="0.2">
      <c r="A64" s="153"/>
      <c r="B64" s="170" t="s">
        <v>88</v>
      </c>
      <c r="C64" s="170"/>
      <c r="D64" s="170"/>
      <c r="E64" s="170"/>
      <c r="F64" s="73">
        <f>SUM(F2:F63)</f>
        <v>38228</v>
      </c>
      <c r="G64" s="74"/>
      <c r="H64" s="155"/>
      <c r="I64" s="170" t="s">
        <v>88</v>
      </c>
      <c r="J64" s="170"/>
      <c r="K64" s="170"/>
      <c r="L64" s="170"/>
      <c r="M64" s="73">
        <f>SUM(M2:M63)</f>
        <v>33510</v>
      </c>
      <c r="N64" s="74"/>
      <c r="P64" s="170" t="s">
        <v>88</v>
      </c>
      <c r="Q64" s="170"/>
      <c r="R64" s="170"/>
      <c r="S64" s="170"/>
      <c r="T64" s="73">
        <f>SUM(T2:T63)</f>
        <v>32104</v>
      </c>
      <c r="U64" s="74"/>
    </row>
    <row r="68" spans="1:14" ht="13.5" thickBot="1" x14ac:dyDescent="0.25">
      <c r="A68" s="157"/>
      <c r="B68" s="157"/>
      <c r="F68" s="157"/>
      <c r="G68" s="157"/>
    </row>
    <row r="69" spans="1:14" ht="13.5" thickBot="1" x14ac:dyDescent="0.25">
      <c r="A69" s="177">
        <v>44835</v>
      </c>
      <c r="B69" s="178"/>
      <c r="C69" s="178"/>
      <c r="D69" s="179"/>
      <c r="E69" s="158"/>
      <c r="F69" s="177">
        <v>44866</v>
      </c>
      <c r="G69" s="178"/>
      <c r="H69" s="178"/>
      <c r="I69" s="179"/>
      <c r="J69" s="158"/>
      <c r="K69" s="180" t="s">
        <v>25</v>
      </c>
      <c r="L69" s="181"/>
      <c r="M69" s="181"/>
      <c r="N69" s="182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59" t="s">
        <v>77</v>
      </c>
      <c r="L70" s="159">
        <v>30</v>
      </c>
      <c r="M70" s="159" t="s">
        <v>89</v>
      </c>
      <c r="N70" s="159" t="s">
        <v>90</v>
      </c>
    </row>
    <row r="71" spans="1:14" ht="15.75" thickBot="1" x14ac:dyDescent="0.25">
      <c r="A71" s="75">
        <v>6</v>
      </c>
      <c r="B71" s="76">
        <v>101576</v>
      </c>
      <c r="C71" s="77">
        <v>62400</v>
      </c>
      <c r="D71" s="78">
        <v>78973</v>
      </c>
      <c r="E71" s="157"/>
      <c r="F71" s="75">
        <v>6</v>
      </c>
      <c r="G71" s="76">
        <v>102072</v>
      </c>
      <c r="H71" s="77">
        <v>63068</v>
      </c>
      <c r="I71" s="78">
        <v>79009</v>
      </c>
      <c r="J71" s="157"/>
      <c r="K71" s="159">
        <v>6</v>
      </c>
      <c r="L71" s="160">
        <f>G71-B71</f>
        <v>496</v>
      </c>
      <c r="M71" s="160">
        <f>H71-C71</f>
        <v>668</v>
      </c>
      <c r="N71" s="160">
        <f>I71-D71</f>
        <v>36</v>
      </c>
    </row>
    <row r="72" spans="1:14" ht="15.75" thickBot="1" x14ac:dyDescent="0.25">
      <c r="A72" s="75">
        <v>7</v>
      </c>
      <c r="B72" s="76">
        <v>103155</v>
      </c>
      <c r="C72" s="77">
        <v>107359</v>
      </c>
      <c r="D72" s="78">
        <v>68529</v>
      </c>
      <c r="E72" s="157"/>
      <c r="F72" s="75">
        <v>7</v>
      </c>
      <c r="G72" s="76">
        <v>103499</v>
      </c>
      <c r="H72" s="77">
        <v>107819</v>
      </c>
      <c r="I72" s="78">
        <v>68744</v>
      </c>
      <c r="J72" s="157"/>
      <c r="K72" s="159">
        <v>7</v>
      </c>
      <c r="L72" s="160">
        <f t="shared" ref="L72:N92" si="5">G72-B72</f>
        <v>344</v>
      </c>
      <c r="M72" s="160">
        <f t="shared" si="5"/>
        <v>460</v>
      </c>
      <c r="N72" s="160">
        <f t="shared" si="5"/>
        <v>215</v>
      </c>
    </row>
    <row r="73" spans="1:14" ht="15.75" thickBot="1" x14ac:dyDescent="0.25">
      <c r="A73" s="75">
        <v>8</v>
      </c>
      <c r="B73" s="76">
        <v>125637</v>
      </c>
      <c r="C73" s="77">
        <v>276154</v>
      </c>
      <c r="D73" s="78">
        <v>115361</v>
      </c>
      <c r="E73" s="157"/>
      <c r="F73" s="75">
        <v>8</v>
      </c>
      <c r="G73" s="76">
        <v>126428</v>
      </c>
      <c r="H73" s="77">
        <v>277849</v>
      </c>
      <c r="I73" s="78">
        <v>115609</v>
      </c>
      <c r="J73" s="157"/>
      <c r="K73" s="159">
        <v>8</v>
      </c>
      <c r="L73" s="160">
        <f t="shared" si="5"/>
        <v>791</v>
      </c>
      <c r="M73" s="160">
        <f t="shared" si="5"/>
        <v>1695</v>
      </c>
      <c r="N73" s="160">
        <f t="shared" si="5"/>
        <v>248</v>
      </c>
    </row>
    <row r="74" spans="1:14" ht="15.75" thickBot="1" x14ac:dyDescent="0.25">
      <c r="A74" s="75">
        <v>9</v>
      </c>
      <c r="B74" s="76">
        <v>70086</v>
      </c>
      <c r="C74" s="77">
        <v>158155</v>
      </c>
      <c r="D74" s="78">
        <v>172177</v>
      </c>
      <c r="E74" s="157"/>
      <c r="F74" s="75">
        <v>9</v>
      </c>
      <c r="G74" s="76">
        <v>70152</v>
      </c>
      <c r="H74" s="77">
        <v>159625</v>
      </c>
      <c r="I74" s="78">
        <v>173021</v>
      </c>
      <c r="J74" s="157"/>
      <c r="K74" s="159">
        <v>9</v>
      </c>
      <c r="L74" s="160">
        <f t="shared" si="5"/>
        <v>66</v>
      </c>
      <c r="M74" s="160">
        <f t="shared" si="5"/>
        <v>1470</v>
      </c>
      <c r="N74" s="160">
        <f t="shared" si="5"/>
        <v>844</v>
      </c>
    </row>
    <row r="75" spans="1:14" ht="15.75" thickBot="1" x14ac:dyDescent="0.25">
      <c r="A75" s="75">
        <v>10</v>
      </c>
      <c r="B75" s="76">
        <v>79123</v>
      </c>
      <c r="C75" s="77">
        <v>131775</v>
      </c>
      <c r="D75" s="78">
        <v>164391</v>
      </c>
      <c r="E75" s="157"/>
      <c r="F75" s="75">
        <v>10</v>
      </c>
      <c r="G75" s="76">
        <v>79768</v>
      </c>
      <c r="H75" s="77">
        <v>132247</v>
      </c>
      <c r="I75" s="78">
        <v>165219</v>
      </c>
      <c r="J75" s="157"/>
      <c r="K75" s="159">
        <v>10</v>
      </c>
      <c r="L75" s="160">
        <f t="shared" si="5"/>
        <v>645</v>
      </c>
      <c r="M75" s="160">
        <f t="shared" si="5"/>
        <v>472</v>
      </c>
      <c r="N75" s="160">
        <f t="shared" si="5"/>
        <v>828</v>
      </c>
    </row>
    <row r="76" spans="1:14" ht="15.75" thickBot="1" x14ac:dyDescent="0.25">
      <c r="A76" s="75">
        <v>11</v>
      </c>
      <c r="B76" s="76">
        <v>166216</v>
      </c>
      <c r="C76" s="77">
        <v>192209</v>
      </c>
      <c r="D76" s="78">
        <v>216757</v>
      </c>
      <c r="E76" s="157"/>
      <c r="F76" s="75">
        <v>11</v>
      </c>
      <c r="G76" s="76">
        <v>166576</v>
      </c>
      <c r="H76" s="77">
        <v>192762</v>
      </c>
      <c r="I76" s="78">
        <v>216957</v>
      </c>
      <c r="J76" s="157"/>
      <c r="K76" s="159">
        <v>11</v>
      </c>
      <c r="L76" s="160">
        <f>G76-B76</f>
        <v>360</v>
      </c>
      <c r="M76" s="160">
        <f t="shared" si="5"/>
        <v>553</v>
      </c>
      <c r="N76" s="160">
        <f t="shared" si="5"/>
        <v>200</v>
      </c>
    </row>
    <row r="77" spans="1:14" ht="15.75" thickBot="1" x14ac:dyDescent="0.25">
      <c r="A77" s="75">
        <v>12</v>
      </c>
      <c r="B77" s="76">
        <v>159869</v>
      </c>
      <c r="C77" s="77">
        <v>104548</v>
      </c>
      <c r="D77" s="78">
        <v>104465</v>
      </c>
      <c r="E77" s="157"/>
      <c r="F77" s="75">
        <v>12</v>
      </c>
      <c r="G77" s="76">
        <v>160787</v>
      </c>
      <c r="H77" s="77">
        <v>105525</v>
      </c>
      <c r="I77" s="78">
        <v>104940</v>
      </c>
      <c r="J77" s="157"/>
      <c r="K77" s="159">
        <v>12</v>
      </c>
      <c r="L77" s="160">
        <f t="shared" si="5"/>
        <v>918</v>
      </c>
      <c r="M77" s="160">
        <f>H77-C77</f>
        <v>977</v>
      </c>
      <c r="N77" s="160">
        <f t="shared" si="5"/>
        <v>475</v>
      </c>
    </row>
    <row r="78" spans="1:14" ht="15.75" thickBot="1" x14ac:dyDescent="0.25">
      <c r="A78" s="75">
        <v>14</v>
      </c>
      <c r="B78" s="76">
        <v>125329</v>
      </c>
      <c r="C78" s="77">
        <v>50025</v>
      </c>
      <c r="D78" s="78">
        <v>52540</v>
      </c>
      <c r="E78" s="157"/>
      <c r="F78" s="75">
        <v>14</v>
      </c>
      <c r="G78" s="76">
        <v>125905</v>
      </c>
      <c r="H78" s="77">
        <v>50079</v>
      </c>
      <c r="I78" s="78">
        <v>52676</v>
      </c>
      <c r="J78" s="157"/>
      <c r="K78" s="159">
        <v>14</v>
      </c>
      <c r="L78" s="160">
        <f t="shared" si="5"/>
        <v>576</v>
      </c>
      <c r="M78" s="160">
        <f t="shared" si="5"/>
        <v>54</v>
      </c>
      <c r="N78" s="160">
        <f t="shared" si="5"/>
        <v>136</v>
      </c>
    </row>
    <row r="79" spans="1:14" ht="15.75" thickBot="1" x14ac:dyDescent="0.25">
      <c r="A79" s="75">
        <v>15</v>
      </c>
      <c r="B79" s="76">
        <v>180110</v>
      </c>
      <c r="C79" s="77">
        <v>163036</v>
      </c>
      <c r="D79" s="78">
        <v>167926</v>
      </c>
      <c r="E79" s="157"/>
      <c r="F79" s="75">
        <v>15</v>
      </c>
      <c r="G79" s="76">
        <v>180526</v>
      </c>
      <c r="H79" s="77">
        <v>164402</v>
      </c>
      <c r="I79" s="78">
        <v>168422</v>
      </c>
      <c r="J79" s="157"/>
      <c r="K79" s="159">
        <v>15</v>
      </c>
      <c r="L79" s="160">
        <f t="shared" si="5"/>
        <v>416</v>
      </c>
      <c r="M79" s="160">
        <f t="shared" si="5"/>
        <v>1366</v>
      </c>
      <c r="N79" s="160">
        <f t="shared" si="5"/>
        <v>496</v>
      </c>
    </row>
    <row r="80" spans="1:14" ht="15.75" thickBot="1" x14ac:dyDescent="0.25">
      <c r="A80" s="75">
        <v>16</v>
      </c>
      <c r="B80" s="76">
        <v>134132</v>
      </c>
      <c r="C80" s="77">
        <v>161124</v>
      </c>
      <c r="D80" s="78">
        <v>222228</v>
      </c>
      <c r="E80" s="157"/>
      <c r="F80" s="75">
        <v>16</v>
      </c>
      <c r="G80" s="76">
        <v>134630</v>
      </c>
      <c r="H80" s="77">
        <v>161674</v>
      </c>
      <c r="I80" s="78">
        <v>222766</v>
      </c>
      <c r="J80" s="157"/>
      <c r="K80" s="159">
        <v>16</v>
      </c>
      <c r="L80" s="160">
        <f t="shared" si="5"/>
        <v>498</v>
      </c>
      <c r="M80" s="160">
        <f t="shared" si="5"/>
        <v>550</v>
      </c>
      <c r="N80" s="160">
        <f t="shared" si="5"/>
        <v>538</v>
      </c>
    </row>
    <row r="81" spans="1:14" ht="15.75" thickBot="1" x14ac:dyDescent="0.25">
      <c r="A81" s="75">
        <v>17</v>
      </c>
      <c r="B81" s="76">
        <v>38476</v>
      </c>
      <c r="C81" s="77">
        <v>89739</v>
      </c>
      <c r="D81" s="78">
        <v>204852</v>
      </c>
      <c r="E81" s="157"/>
      <c r="F81" s="75">
        <v>17</v>
      </c>
      <c r="G81" s="76">
        <v>38476</v>
      </c>
      <c r="H81" s="77">
        <v>89739</v>
      </c>
      <c r="I81" s="78">
        <v>204990</v>
      </c>
      <c r="J81" s="157"/>
      <c r="K81" s="159">
        <v>17</v>
      </c>
      <c r="L81" s="160">
        <f t="shared" si="5"/>
        <v>0</v>
      </c>
      <c r="M81" s="160">
        <f t="shared" si="5"/>
        <v>0</v>
      </c>
      <c r="N81" s="160">
        <f t="shared" si="5"/>
        <v>138</v>
      </c>
    </row>
    <row r="82" spans="1:14" ht="15.75" thickBot="1" x14ac:dyDescent="0.25">
      <c r="A82" s="75">
        <v>18</v>
      </c>
      <c r="B82" s="76">
        <v>143401</v>
      </c>
      <c r="C82" s="77">
        <v>76936</v>
      </c>
      <c r="D82" s="78">
        <v>168869</v>
      </c>
      <c r="E82" s="157"/>
      <c r="F82" s="75">
        <v>18</v>
      </c>
      <c r="G82" s="76">
        <v>144723</v>
      </c>
      <c r="H82" s="77">
        <v>76999</v>
      </c>
      <c r="I82" s="78">
        <v>169301</v>
      </c>
      <c r="J82" s="157"/>
      <c r="K82" s="159">
        <v>18</v>
      </c>
      <c r="L82" s="160">
        <f t="shared" si="5"/>
        <v>1322</v>
      </c>
      <c r="M82" s="160">
        <f t="shared" si="5"/>
        <v>63</v>
      </c>
      <c r="N82" s="160">
        <f t="shared" si="5"/>
        <v>432</v>
      </c>
    </row>
    <row r="83" spans="1:14" ht="15.75" thickBot="1" x14ac:dyDescent="0.25">
      <c r="A83" s="75">
        <v>19</v>
      </c>
      <c r="B83" s="76">
        <v>79145</v>
      </c>
      <c r="C83" s="77">
        <v>179317</v>
      </c>
      <c r="D83" s="78">
        <v>133412</v>
      </c>
      <c r="E83" s="157"/>
      <c r="F83" s="75">
        <v>19</v>
      </c>
      <c r="G83" s="76">
        <v>79293</v>
      </c>
      <c r="H83" s="77">
        <v>179686</v>
      </c>
      <c r="I83" s="78">
        <v>134449</v>
      </c>
      <c r="J83" s="157"/>
      <c r="K83" s="159">
        <v>19</v>
      </c>
      <c r="L83" s="160">
        <f t="shared" si="5"/>
        <v>148</v>
      </c>
      <c r="M83" s="160">
        <f t="shared" si="5"/>
        <v>369</v>
      </c>
      <c r="N83" s="160">
        <f t="shared" si="5"/>
        <v>1037</v>
      </c>
    </row>
    <row r="84" spans="1:14" ht="15.75" thickBot="1" x14ac:dyDescent="0.25">
      <c r="A84" s="75">
        <v>20</v>
      </c>
      <c r="B84" s="76">
        <v>149871</v>
      </c>
      <c r="C84" s="77">
        <v>184659</v>
      </c>
      <c r="D84" s="78">
        <v>92782</v>
      </c>
      <c r="E84" s="157"/>
      <c r="F84" s="75">
        <v>20</v>
      </c>
      <c r="G84" s="76">
        <v>150307</v>
      </c>
      <c r="H84" s="77">
        <v>184963</v>
      </c>
      <c r="I84" s="78">
        <v>92969</v>
      </c>
      <c r="J84" s="157"/>
      <c r="K84" s="159">
        <v>20</v>
      </c>
      <c r="L84" s="160">
        <f>G84-B84</f>
        <v>436</v>
      </c>
      <c r="M84" s="160">
        <f t="shared" si="5"/>
        <v>304</v>
      </c>
      <c r="N84" s="160">
        <f t="shared" si="5"/>
        <v>187</v>
      </c>
    </row>
    <row r="85" spans="1:14" ht="15.75" thickBot="1" x14ac:dyDescent="0.25">
      <c r="A85" s="75">
        <v>21</v>
      </c>
      <c r="B85" s="76">
        <v>195225</v>
      </c>
      <c r="C85" s="77">
        <v>95139</v>
      </c>
      <c r="D85" s="78">
        <v>121020</v>
      </c>
      <c r="E85" s="157"/>
      <c r="F85" s="75">
        <v>21</v>
      </c>
      <c r="G85" s="76">
        <v>195407</v>
      </c>
      <c r="H85" s="77">
        <v>95564</v>
      </c>
      <c r="I85" s="78">
        <v>121522</v>
      </c>
      <c r="J85" s="157"/>
      <c r="K85" s="159">
        <v>21</v>
      </c>
      <c r="L85" s="160">
        <f t="shared" si="5"/>
        <v>182</v>
      </c>
      <c r="M85" s="160">
        <f t="shared" si="5"/>
        <v>425</v>
      </c>
      <c r="N85" s="160">
        <f t="shared" si="5"/>
        <v>502</v>
      </c>
    </row>
    <row r="86" spans="1:14" ht="15.75" thickBot="1" x14ac:dyDescent="0.25">
      <c r="A86" s="75">
        <v>22</v>
      </c>
      <c r="B86" s="76">
        <v>148938</v>
      </c>
      <c r="C86" s="77">
        <v>108729</v>
      </c>
      <c r="D86" s="78">
        <v>123364</v>
      </c>
      <c r="E86" s="157"/>
      <c r="F86" s="75">
        <v>22</v>
      </c>
      <c r="G86" s="76">
        <v>150133</v>
      </c>
      <c r="H86" s="77">
        <v>110337</v>
      </c>
      <c r="I86" s="78">
        <v>123490</v>
      </c>
      <c r="J86" s="157"/>
      <c r="K86" s="159">
        <v>22</v>
      </c>
      <c r="L86" s="160">
        <f t="shared" si="5"/>
        <v>1195</v>
      </c>
      <c r="M86" s="160">
        <f t="shared" si="5"/>
        <v>1608</v>
      </c>
      <c r="N86" s="160">
        <f>I86-D86</f>
        <v>126</v>
      </c>
    </row>
    <row r="87" spans="1:14" ht="15.75" thickBot="1" x14ac:dyDescent="0.25">
      <c r="A87" s="75">
        <v>23</v>
      </c>
      <c r="B87" s="76">
        <v>132774</v>
      </c>
      <c r="C87" s="77">
        <v>160887</v>
      </c>
      <c r="D87" s="78">
        <v>305928</v>
      </c>
      <c r="E87" s="157"/>
      <c r="F87" s="75">
        <v>23</v>
      </c>
      <c r="G87" s="76">
        <v>133300</v>
      </c>
      <c r="H87" s="77">
        <v>161017</v>
      </c>
      <c r="I87" s="78">
        <v>306596</v>
      </c>
      <c r="J87" s="157"/>
      <c r="K87" s="159">
        <v>23</v>
      </c>
      <c r="L87" s="160">
        <f t="shared" si="5"/>
        <v>526</v>
      </c>
      <c r="M87" s="160">
        <f t="shared" si="5"/>
        <v>130</v>
      </c>
      <c r="N87" s="160">
        <f t="shared" si="5"/>
        <v>668</v>
      </c>
    </row>
    <row r="88" spans="1:14" ht="15.75" thickBot="1" x14ac:dyDescent="0.25">
      <c r="A88" s="75">
        <v>24</v>
      </c>
      <c r="B88" s="76">
        <v>82063</v>
      </c>
      <c r="C88" s="77">
        <v>157931</v>
      </c>
      <c r="D88" s="78">
        <v>102917</v>
      </c>
      <c r="E88" s="157"/>
      <c r="F88" s="75">
        <v>24</v>
      </c>
      <c r="G88" s="76">
        <v>82204</v>
      </c>
      <c r="H88" s="77">
        <v>158345</v>
      </c>
      <c r="I88" s="78">
        <v>102931</v>
      </c>
      <c r="J88" s="157"/>
      <c r="K88" s="159">
        <v>24</v>
      </c>
      <c r="L88" s="160">
        <f t="shared" si="5"/>
        <v>141</v>
      </c>
      <c r="M88" s="160">
        <f t="shared" si="5"/>
        <v>414</v>
      </c>
      <c r="N88" s="160">
        <f>I88-D88</f>
        <v>14</v>
      </c>
    </row>
    <row r="89" spans="1:14" ht="15.75" thickBot="1" x14ac:dyDescent="0.25">
      <c r="A89" s="75">
        <v>25</v>
      </c>
      <c r="B89" s="76">
        <v>131045</v>
      </c>
      <c r="C89" s="77">
        <v>182923</v>
      </c>
      <c r="D89" s="78">
        <v>175524</v>
      </c>
      <c r="E89" s="157"/>
      <c r="F89" s="75">
        <v>25</v>
      </c>
      <c r="G89" s="76">
        <v>132154</v>
      </c>
      <c r="H89" s="77">
        <v>183097</v>
      </c>
      <c r="I89" s="78">
        <v>176395</v>
      </c>
      <c r="J89" s="157"/>
      <c r="K89" s="159">
        <v>25</v>
      </c>
      <c r="L89" s="160">
        <f>G89-B89</f>
        <v>1109</v>
      </c>
      <c r="M89" s="160">
        <f t="shared" si="5"/>
        <v>174</v>
      </c>
      <c r="N89" s="160">
        <f>I89-D89</f>
        <v>871</v>
      </c>
    </row>
    <row r="90" spans="1:14" ht="15.75" thickBot="1" x14ac:dyDescent="0.25">
      <c r="A90" s="75">
        <v>26</v>
      </c>
      <c r="B90" s="76">
        <v>130207</v>
      </c>
      <c r="C90" s="77">
        <v>61894</v>
      </c>
      <c r="D90" s="78">
        <v>65562</v>
      </c>
      <c r="E90" s="157"/>
      <c r="F90" s="75">
        <v>26</v>
      </c>
      <c r="G90" s="76">
        <v>131649</v>
      </c>
      <c r="H90" s="77">
        <v>62638</v>
      </c>
      <c r="I90" s="78">
        <v>66551</v>
      </c>
      <c r="J90" s="157"/>
      <c r="K90" s="159">
        <v>26</v>
      </c>
      <c r="L90" s="160">
        <f t="shared" si="5"/>
        <v>1442</v>
      </c>
      <c r="M90" s="160">
        <f t="shared" si="5"/>
        <v>744</v>
      </c>
      <c r="N90" s="160">
        <f t="shared" si="5"/>
        <v>989</v>
      </c>
    </row>
    <row r="91" spans="1:14" ht="15.75" thickBot="1" x14ac:dyDescent="0.25">
      <c r="A91" s="75">
        <v>27</v>
      </c>
      <c r="B91" s="76">
        <v>105230</v>
      </c>
      <c r="C91" s="77">
        <v>116707</v>
      </c>
      <c r="D91" s="78">
        <v>129644</v>
      </c>
      <c r="E91" s="157"/>
      <c r="F91" s="75">
        <v>27</v>
      </c>
      <c r="G91" s="76">
        <v>105446</v>
      </c>
      <c r="H91" s="77">
        <v>117055</v>
      </c>
      <c r="I91" s="78">
        <v>130248</v>
      </c>
      <c r="J91" s="157"/>
      <c r="K91" s="159">
        <v>27</v>
      </c>
      <c r="L91" s="160">
        <f t="shared" si="5"/>
        <v>216</v>
      </c>
      <c r="M91" s="160">
        <f t="shared" si="5"/>
        <v>348</v>
      </c>
      <c r="N91" s="160">
        <f>I91-D91</f>
        <v>604</v>
      </c>
    </row>
    <row r="92" spans="1:14" ht="15.75" thickBot="1" x14ac:dyDescent="0.25">
      <c r="A92" s="75">
        <v>28</v>
      </c>
      <c r="B92" s="76">
        <v>204923</v>
      </c>
      <c r="C92" s="77">
        <v>103886</v>
      </c>
      <c r="D92" s="78">
        <v>117031</v>
      </c>
      <c r="E92" s="157"/>
      <c r="F92" s="75">
        <v>28</v>
      </c>
      <c r="G92" s="76">
        <v>205076</v>
      </c>
      <c r="H92" s="77">
        <v>103957</v>
      </c>
      <c r="I92" s="78">
        <v>117547</v>
      </c>
      <c r="J92" s="157"/>
      <c r="K92" s="159">
        <v>28</v>
      </c>
      <c r="L92" s="160">
        <f t="shared" si="5"/>
        <v>153</v>
      </c>
      <c r="M92" s="160">
        <f t="shared" si="5"/>
        <v>71</v>
      </c>
      <c r="N92" s="160">
        <f t="shared" si="5"/>
        <v>516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59">
        <v>29</v>
      </c>
      <c r="L93" s="160">
        <f>G93-B93</f>
        <v>0</v>
      </c>
      <c r="M93" s="160">
        <v>0</v>
      </c>
      <c r="N93" s="160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59">
        <v>30</v>
      </c>
      <c r="L94" s="160">
        <f>G94-B94</f>
        <v>0</v>
      </c>
      <c r="M94" s="160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112" zoomScaleNormal="112" workbookViewId="0">
      <selection activeCell="J38" sqref="J38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3" t="s">
        <v>147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13.5" thickBot="1" x14ac:dyDescent="0.25">
      <c r="A2" s="82"/>
      <c r="B2" s="83" t="s">
        <v>92</v>
      </c>
      <c r="C2" s="84">
        <f>K8+K9+K14</f>
        <v>454748</v>
      </c>
      <c r="D2" s="84">
        <f>C2*1.27</f>
        <v>577529.96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34813672</v>
      </c>
      <c r="K3" s="150">
        <f>J3-I3</f>
        <v>323839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9505179</v>
      </c>
      <c r="K4" s="150">
        <f>J4-I4</f>
        <v>1484383</v>
      </c>
    </row>
    <row r="5" spans="1:13" ht="13.5" thickBot="1" x14ac:dyDescent="0.25">
      <c r="A5" s="82"/>
      <c r="B5" s="88" t="s">
        <v>27</v>
      </c>
      <c r="C5" s="92">
        <f>(K10+K12)*0.842284+K26</f>
        <v>855083.76228000002</v>
      </c>
      <c r="D5" s="92">
        <f t="shared" ref="D5:D11" si="0">C5*1.27</f>
        <v>1085956.3780956001</v>
      </c>
      <c r="E5" s="93"/>
      <c r="F5" s="82"/>
      <c r="G5" s="82"/>
      <c r="H5" s="88" t="s">
        <v>23</v>
      </c>
      <c r="I5" s="94"/>
      <c r="J5" s="94"/>
      <c r="K5" s="114">
        <f>K3+K4</f>
        <v>1808222</v>
      </c>
    </row>
    <row r="6" spans="1:13" ht="13.5" thickBot="1" x14ac:dyDescent="0.25">
      <c r="A6" s="82"/>
      <c r="B6" s="88" t="s">
        <v>99</v>
      </c>
      <c r="C6" s="92">
        <f>(K10+K12+K26)*0.1488</f>
        <v>150673.39199999999</v>
      </c>
      <c r="D6" s="92">
        <f t="shared" si="0"/>
        <v>191355.20783999999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955257</v>
      </c>
      <c r="K6" s="150">
        <f>J6-I6</f>
        <v>176413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281127</v>
      </c>
      <c r="D7" s="92">
        <f t="shared" si="0"/>
        <v>357031.29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1268813</v>
      </c>
      <c r="K7" s="150">
        <f>J7-I7</f>
        <v>178391</v>
      </c>
    </row>
    <row r="8" spans="1:13" ht="13.5" thickBot="1" x14ac:dyDescent="0.25">
      <c r="A8" s="82"/>
      <c r="B8" s="88" t="s">
        <v>103</v>
      </c>
      <c r="C8" s="92">
        <f>K21+K22+K23+K24</f>
        <v>32242</v>
      </c>
      <c r="D8" s="92">
        <f t="shared" si="0"/>
        <v>40947.340000000004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7900073</v>
      </c>
      <c r="K8" s="79">
        <f>(J8-I8)*2</f>
        <v>140284</v>
      </c>
    </row>
    <row r="9" spans="1:13" ht="13.5" thickBot="1" x14ac:dyDescent="0.25">
      <c r="A9" s="82"/>
      <c r="B9" s="88" t="s">
        <v>137</v>
      </c>
      <c r="C9" s="92">
        <f>K25+K16+K17</f>
        <v>8280</v>
      </c>
      <c r="D9" s="92">
        <f t="shared" si="0"/>
        <v>10515.6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8942991</v>
      </c>
      <c r="K9" s="79">
        <f>J9-I9</f>
        <v>279580</v>
      </c>
    </row>
    <row r="10" spans="1:13" ht="13.5" thickBot="1" x14ac:dyDescent="0.25">
      <c r="A10" s="82"/>
      <c r="B10" s="88" t="s">
        <v>106</v>
      </c>
      <c r="C10" s="92">
        <f>K18</f>
        <v>15040</v>
      </c>
      <c r="D10" s="92">
        <f t="shared" si="0"/>
        <v>19100.8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23225466</v>
      </c>
      <c r="K10" s="79">
        <f>J10-I10</f>
        <v>320998</v>
      </c>
    </row>
    <row r="11" spans="1:13" ht="13.5" thickBot="1" x14ac:dyDescent="0.25">
      <c r="A11" s="82"/>
      <c r="B11" s="88" t="s">
        <v>108</v>
      </c>
      <c r="C11" s="92">
        <f>K19+K20</f>
        <v>4195</v>
      </c>
      <c r="D11" s="92">
        <f t="shared" si="0"/>
        <v>5327.65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1312246</v>
      </c>
      <c r="K12" s="79">
        <f>(J12-I12)*2</f>
        <v>677672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1773338</v>
      </c>
    </row>
    <row r="14" spans="1:13" ht="13.5" thickBot="1" x14ac:dyDescent="0.25">
      <c r="A14" s="82"/>
      <c r="B14" s="88" t="s">
        <v>42</v>
      </c>
      <c r="C14" s="92">
        <f>K29</f>
        <v>23880</v>
      </c>
      <c r="D14" s="100">
        <f t="shared" ref="D14:D22" si="1">C14*10.03</f>
        <v>239516.4</v>
      </c>
      <c r="E14" s="101"/>
      <c r="F14" s="82"/>
      <c r="G14" s="82"/>
      <c r="H14" s="88" t="s">
        <v>114</v>
      </c>
      <c r="I14" s="97"/>
      <c r="J14" s="98"/>
      <c r="K14" s="80">
        <f>K5-K13</f>
        <v>34884</v>
      </c>
    </row>
    <row r="15" spans="1:13" ht="13.5" thickBot="1" x14ac:dyDescent="0.25">
      <c r="A15" s="82"/>
      <c r="B15" s="88" t="s">
        <v>115</v>
      </c>
      <c r="C15" s="102">
        <f>K30</f>
        <v>158.49</v>
      </c>
      <c r="D15" s="100">
        <f t="shared" si="1"/>
        <v>1589.6547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2359.4190179999996</v>
      </c>
      <c r="D16" s="100">
        <f t="shared" si="1"/>
        <v>23664.972750539993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4105</v>
      </c>
      <c r="K16" s="81">
        <f>(J16-I16)*160</f>
        <v>3360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345132</v>
      </c>
      <c r="K17" s="81">
        <f>(J17-I17)</f>
        <v>4823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26731</v>
      </c>
      <c r="K18" s="81">
        <f>(J18-I18)*160</f>
        <v>15040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4" t="s">
        <v>116</v>
      </c>
      <c r="F19" s="185"/>
      <c r="G19" s="82"/>
      <c r="H19" s="103" t="s">
        <v>117</v>
      </c>
      <c r="I19" s="104">
        <f>'Mall, Citadel, Rotana'!P2</f>
        <v>176961</v>
      </c>
      <c r="J19" s="104">
        <f>'Mall, Citadel, Rotana'!P32</f>
        <v>180956</v>
      </c>
      <c r="K19" s="81">
        <f>J19-I19</f>
        <v>3995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55247</v>
      </c>
      <c r="K20" s="81">
        <f>J20-I20</f>
        <v>200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47924</v>
      </c>
      <c r="K21" s="81">
        <f>(J21-I21)*120</f>
        <v>15720</v>
      </c>
    </row>
    <row r="22" spans="1:11" ht="13.5" thickBot="1" x14ac:dyDescent="0.25">
      <c r="A22" s="82"/>
      <c r="B22" s="88" t="s">
        <v>119</v>
      </c>
      <c r="C22" s="100">
        <f>C14-(C15+C16+C17+C18+C19+C20+C21)</f>
        <v>15542.090982000002</v>
      </c>
      <c r="D22" s="100">
        <f t="shared" si="1"/>
        <v>155887.17254946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41187</v>
      </c>
      <c r="K22" s="81">
        <f>(J22-I22)*160</f>
        <v>13760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22338</v>
      </c>
      <c r="K23" s="81">
        <f>(J23-I23)*20</f>
        <v>2040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260572</v>
      </c>
      <c r="K24" s="81">
        <f>J24-I24</f>
        <v>722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226622</v>
      </c>
      <c r="K25" s="81">
        <f>J25-I25</f>
        <v>97</v>
      </c>
    </row>
    <row r="26" spans="1:11" ht="13.5" thickBot="1" x14ac:dyDescent="0.25">
      <c r="A26" s="82"/>
      <c r="B26" s="88" t="s">
        <v>42</v>
      </c>
      <c r="C26" s="106">
        <f>K35</f>
        <v>46748</v>
      </c>
      <c r="D26" s="92">
        <f>C26*3.65</f>
        <v>170630.19999999998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20370</v>
      </c>
      <c r="K26" s="81">
        <f>(J26-I26)*160</f>
        <v>13920</v>
      </c>
    </row>
    <row r="27" spans="1:11" ht="13.5" thickBot="1" x14ac:dyDescent="0.25">
      <c r="A27" s="82"/>
      <c r="B27" s="83" t="s">
        <v>124</v>
      </c>
      <c r="C27" s="106">
        <f>C26</f>
        <v>46748</v>
      </c>
      <c r="D27" s="92">
        <f>C27*3.65</f>
        <v>170630.19999999998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467888</v>
      </c>
      <c r="K29" s="81">
        <f>(J29-I29)*10</f>
        <v>23880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824872</v>
      </c>
      <c r="K30" s="81">
        <f>(J30-I30)*0.027</f>
        <v>158.49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16303</v>
      </c>
      <c r="K31" s="81">
        <f>(J31-I31)*0.027</f>
        <v>29.321999999999999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12930800</v>
      </c>
      <c r="K32" s="81">
        <f>(J32-I32)*0.027</f>
        <v>12376.8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18602968</v>
      </c>
      <c r="K35" s="112">
        <f>J35-I35</f>
        <v>46748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2022-12-01T00:36:26Z</dcterms:modified>
</cp:coreProperties>
</file>