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3\"/>
    </mc:Choice>
  </mc:AlternateContent>
  <bookViews>
    <workbookView xWindow="-60" yWindow="-60" windowWidth="15480" windowHeight="11640" tabRatio="612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E33" i="4" l="1"/>
  <c r="E40" i="6" l="1"/>
  <c r="P26" i="1"/>
  <c r="O26" i="1"/>
  <c r="N26" i="1"/>
  <c r="M26" i="1"/>
  <c r="L26" i="1"/>
  <c r="K26" i="1"/>
  <c r="J26" i="1"/>
  <c r="I26" i="1"/>
  <c r="G26" i="1"/>
  <c r="F26" i="1"/>
  <c r="E26" i="1"/>
  <c r="D26" i="1"/>
  <c r="C26" i="1"/>
  <c r="L26" i="3"/>
  <c r="K26" i="3"/>
  <c r="J26" i="3"/>
  <c r="I26" i="3"/>
  <c r="H26" i="3"/>
  <c r="G26" i="3"/>
  <c r="E26" i="3"/>
  <c r="D26" i="3"/>
  <c r="C26" i="3"/>
  <c r="D26" i="6"/>
  <c r="C26" i="6"/>
  <c r="E26" i="6" s="1"/>
  <c r="D24" i="6"/>
  <c r="C24" i="6"/>
  <c r="L24" i="3"/>
  <c r="K24" i="3"/>
  <c r="J24" i="3"/>
  <c r="I24" i="3"/>
  <c r="H24" i="3"/>
  <c r="G24" i="3"/>
  <c r="E24" i="3"/>
  <c r="D24" i="3"/>
  <c r="C24" i="3"/>
  <c r="P24" i="1"/>
  <c r="O24" i="1"/>
  <c r="N24" i="1"/>
  <c r="M24" i="1"/>
  <c r="L24" i="1"/>
  <c r="K24" i="1"/>
  <c r="J24" i="1"/>
  <c r="I24" i="1"/>
  <c r="G24" i="1"/>
  <c r="F24" i="1"/>
  <c r="E24" i="1"/>
  <c r="D24" i="1"/>
  <c r="C24" i="1"/>
  <c r="D22" i="6"/>
  <c r="C22" i="6"/>
  <c r="L22" i="3"/>
  <c r="K22" i="3"/>
  <c r="J22" i="3"/>
  <c r="I22" i="3"/>
  <c r="H22" i="3"/>
  <c r="G22" i="3"/>
  <c r="E22" i="3"/>
  <c r="D22" i="3"/>
  <c r="C22" i="3"/>
  <c r="P22" i="1"/>
  <c r="O22" i="1"/>
  <c r="N22" i="1"/>
  <c r="M22" i="1"/>
  <c r="L22" i="1"/>
  <c r="K22" i="1"/>
  <c r="J22" i="1"/>
  <c r="I22" i="1"/>
  <c r="G22" i="1"/>
  <c r="F22" i="1"/>
  <c r="E22" i="1"/>
  <c r="D22" i="1"/>
  <c r="C22" i="1"/>
  <c r="D20" i="6"/>
  <c r="C20" i="6"/>
  <c r="L20" i="3"/>
  <c r="K20" i="3"/>
  <c r="J20" i="3"/>
  <c r="I20" i="3"/>
  <c r="H20" i="3"/>
  <c r="G20" i="3"/>
  <c r="E20" i="3"/>
  <c r="D20" i="3"/>
  <c r="C20" i="3"/>
  <c r="P20" i="1"/>
  <c r="O20" i="1"/>
  <c r="N20" i="1"/>
  <c r="M20" i="1"/>
  <c r="L20" i="1"/>
  <c r="K20" i="1"/>
  <c r="J20" i="1"/>
  <c r="I20" i="1"/>
  <c r="G20" i="1"/>
  <c r="F20" i="1"/>
  <c r="E20" i="1"/>
  <c r="D20" i="1"/>
  <c r="C20" i="1"/>
  <c r="D18" i="6"/>
  <c r="C18" i="6"/>
  <c r="L18" i="3"/>
  <c r="K18" i="3"/>
  <c r="J18" i="3"/>
  <c r="I18" i="3"/>
  <c r="H18" i="3"/>
  <c r="G18" i="3"/>
  <c r="E18" i="3"/>
  <c r="D18" i="3"/>
  <c r="C18" i="3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D16" i="6"/>
  <c r="C16" i="6"/>
  <c r="L16" i="3"/>
  <c r="K16" i="3"/>
  <c r="J16" i="3"/>
  <c r="I16" i="3"/>
  <c r="H16" i="3"/>
  <c r="G16" i="3"/>
  <c r="E16" i="3"/>
  <c r="D16" i="3"/>
  <c r="C16" i="3"/>
  <c r="P16" i="1"/>
  <c r="O16" i="1"/>
  <c r="N16" i="1"/>
  <c r="M16" i="1"/>
  <c r="L16" i="1"/>
  <c r="K16" i="1"/>
  <c r="J16" i="1"/>
  <c r="I16" i="1"/>
  <c r="G16" i="1"/>
  <c r="F16" i="1"/>
  <c r="E16" i="1"/>
  <c r="D16" i="1"/>
  <c r="C16" i="1"/>
  <c r="D14" i="6"/>
  <c r="C14" i="6"/>
  <c r="L14" i="3"/>
  <c r="K14" i="3"/>
  <c r="J14" i="3"/>
  <c r="I14" i="3"/>
  <c r="H14" i="3"/>
  <c r="G14" i="3"/>
  <c r="E14" i="3"/>
  <c r="D14" i="3"/>
  <c r="C14" i="3"/>
  <c r="P14" i="1"/>
  <c r="O14" i="1"/>
  <c r="N14" i="1"/>
  <c r="M14" i="1"/>
  <c r="L14" i="1"/>
  <c r="K14" i="1"/>
  <c r="J14" i="1"/>
  <c r="I14" i="1"/>
  <c r="G14" i="1"/>
  <c r="F14" i="1"/>
  <c r="E14" i="1"/>
  <c r="D14" i="1"/>
  <c r="C14" i="1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L12" i="3"/>
  <c r="K12" i="3"/>
  <c r="J12" i="3"/>
  <c r="I12" i="3"/>
  <c r="H12" i="3"/>
  <c r="G12" i="3"/>
  <c r="E12" i="3"/>
  <c r="D12" i="3"/>
  <c r="C12" i="3"/>
  <c r="D12" i="6"/>
  <c r="C12" i="6"/>
  <c r="E12" i="6" s="1"/>
  <c r="D10" i="6"/>
  <c r="C10" i="6"/>
  <c r="H10" i="3"/>
  <c r="I10" i="3"/>
  <c r="J10" i="3"/>
  <c r="K10" i="3"/>
  <c r="L10" i="3"/>
  <c r="G10" i="3"/>
  <c r="D10" i="3"/>
  <c r="E10" i="3"/>
  <c r="C10" i="3"/>
  <c r="J10" i="1"/>
  <c r="K10" i="1"/>
  <c r="L10" i="1"/>
  <c r="M10" i="1"/>
  <c r="N10" i="1"/>
  <c r="O10" i="1"/>
  <c r="P10" i="1"/>
  <c r="I10" i="1"/>
  <c r="Q10" i="1" s="1"/>
  <c r="D10" i="1"/>
  <c r="E10" i="1"/>
  <c r="F10" i="1"/>
  <c r="G10" i="1"/>
  <c r="C10" i="1"/>
  <c r="F8" i="3"/>
  <c r="H8" i="1"/>
  <c r="E60" i="6"/>
  <c r="E46" i="6"/>
  <c r="E32" i="6"/>
  <c r="E18" i="6"/>
  <c r="H10" i="1"/>
  <c r="E8" i="6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B32" i="5"/>
  <c r="E68" i="6"/>
  <c r="M68" i="3"/>
  <c r="Q68" i="1"/>
  <c r="E66" i="6"/>
  <c r="E50" i="6"/>
  <c r="X26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Q40" i="1" l="1"/>
  <c r="R40" i="1" s="1"/>
  <c r="M40" i="3"/>
  <c r="N40" i="3" s="1"/>
  <c r="H26" i="1"/>
  <c r="Q26" i="1"/>
  <c r="R26" i="1" s="1"/>
  <c r="F26" i="3"/>
  <c r="M26" i="3"/>
  <c r="N26" i="3" s="1"/>
  <c r="F24" i="3"/>
  <c r="H24" i="1"/>
  <c r="F22" i="3"/>
  <c r="H22" i="1"/>
  <c r="F20" i="3"/>
  <c r="H20" i="1"/>
  <c r="F18" i="3"/>
  <c r="H18" i="1"/>
  <c r="F16" i="3"/>
  <c r="H16" i="1"/>
  <c r="F14" i="3"/>
  <c r="H14" i="1"/>
  <c r="H12" i="1"/>
  <c r="Q12" i="1"/>
  <c r="R12" i="1" s="1"/>
  <c r="F12" i="3"/>
  <c r="M12" i="3"/>
  <c r="N12" i="3" s="1"/>
  <c r="F68" i="3"/>
  <c r="H68" i="1"/>
  <c r="F66" i="3"/>
  <c r="H66" i="1"/>
  <c r="F64" i="3"/>
  <c r="H64" i="1"/>
  <c r="H62" i="1"/>
  <c r="F62" i="3"/>
  <c r="F60" i="3"/>
  <c r="M60" i="3"/>
  <c r="N60" i="3" s="1"/>
  <c r="H60" i="1"/>
  <c r="Q60" i="1"/>
  <c r="R60" i="1" s="1"/>
  <c r="H58" i="1"/>
  <c r="F58" i="3"/>
  <c r="F56" i="3"/>
  <c r="H56" i="1"/>
  <c r="H54" i="1"/>
  <c r="F54" i="3"/>
  <c r="F52" i="3"/>
  <c r="H52" i="1"/>
  <c r="F50" i="3"/>
  <c r="H50" i="1"/>
  <c r="Q46" i="1"/>
  <c r="R46" i="1" s="1"/>
  <c r="M46" i="3"/>
  <c r="N46" i="3" s="1"/>
  <c r="Q32" i="1"/>
  <c r="R32" i="1" s="1"/>
  <c r="M32" i="3"/>
  <c r="N32" i="3" s="1"/>
  <c r="Q18" i="1"/>
  <c r="R18" i="1" s="1"/>
  <c r="M18" i="3"/>
  <c r="N18" i="3" s="1"/>
  <c r="Q66" i="1"/>
  <c r="R66" i="1" s="1"/>
  <c r="M66" i="3"/>
  <c r="N66" i="3" s="1"/>
  <c r="Q50" i="1"/>
  <c r="R50" i="1" s="1"/>
  <c r="M50" i="3"/>
  <c r="N50" i="3" s="1"/>
  <c r="M8" i="3"/>
  <c r="Q8" i="1"/>
  <c r="K29" i="4"/>
  <c r="O29" i="4"/>
  <c r="P29" i="4"/>
  <c r="Q29" i="4"/>
  <c r="L26" i="4"/>
  <c r="O26" i="4"/>
  <c r="P26" i="4"/>
  <c r="Q26" i="4"/>
  <c r="O20" i="4"/>
  <c r="P20" i="4"/>
  <c r="Q20" i="4"/>
  <c r="K13" i="4"/>
  <c r="O13" i="4"/>
  <c r="P13" i="4"/>
  <c r="Q13" i="4"/>
  <c r="K3" i="4"/>
  <c r="L3" i="4"/>
  <c r="N3" i="4"/>
  <c r="O3" i="4"/>
  <c r="P3" i="4"/>
  <c r="Q3" i="4"/>
  <c r="G24" i="4"/>
  <c r="I24" i="4"/>
  <c r="G3" i="4"/>
  <c r="F3" i="4"/>
  <c r="F24" i="4"/>
  <c r="F31" i="4"/>
  <c r="G31" i="4"/>
  <c r="H3" i="4"/>
  <c r="H24" i="4"/>
  <c r="H31" i="4"/>
  <c r="I3" i="4"/>
  <c r="I31" i="4"/>
  <c r="K20" i="4"/>
  <c r="K26" i="4"/>
  <c r="L13" i="4"/>
  <c r="L20" i="4"/>
  <c r="L29" i="4"/>
  <c r="M3" i="4"/>
  <c r="M13" i="4"/>
  <c r="M20" i="4"/>
  <c r="M26" i="4"/>
  <c r="M29" i="4"/>
  <c r="N13" i="4"/>
  <c r="N20" i="4"/>
  <c r="N26" i="4"/>
  <c r="N29" i="4"/>
  <c r="G32" i="5" l="1"/>
  <c r="N68" i="3"/>
  <c r="E32" i="5"/>
  <c r="R68" i="1"/>
  <c r="R8" i="1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E31" i="4"/>
  <c r="E64" i="6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E62" i="6"/>
  <c r="Z29" i="4"/>
  <c r="Y29" i="4"/>
  <c r="X29" i="4"/>
  <c r="W29" i="4"/>
  <c r="V29" i="4"/>
  <c r="U29" i="4"/>
  <c r="T29" i="4"/>
  <c r="S29" i="4"/>
  <c r="R29" i="4"/>
  <c r="J29" i="4"/>
  <c r="I29" i="4"/>
  <c r="H29" i="4"/>
  <c r="G29" i="4"/>
  <c r="F29" i="4"/>
  <c r="E29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J26" i="4"/>
  <c r="I26" i="4"/>
  <c r="H26" i="4"/>
  <c r="G26" i="4"/>
  <c r="F26" i="4"/>
  <c r="E26" i="4"/>
  <c r="Z26" i="4"/>
  <c r="Y26" i="4"/>
  <c r="W26" i="4"/>
  <c r="V26" i="4"/>
  <c r="U26" i="4"/>
  <c r="T26" i="4"/>
  <c r="S26" i="4"/>
  <c r="R26" i="4"/>
  <c r="E56" i="6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V24" i="4"/>
  <c r="W24" i="4"/>
  <c r="X24" i="4"/>
  <c r="Y24" i="4"/>
  <c r="Z24" i="4"/>
  <c r="U24" i="4"/>
  <c r="T24" i="4"/>
  <c r="S24" i="4"/>
  <c r="R24" i="4"/>
  <c r="E24" i="4"/>
  <c r="K24" i="4"/>
  <c r="L24" i="4"/>
  <c r="M24" i="4"/>
  <c r="N24" i="4"/>
  <c r="O24" i="4"/>
  <c r="P24" i="4"/>
  <c r="Q24" i="4"/>
  <c r="J24" i="4"/>
  <c r="V23" i="4"/>
  <c r="W23" i="4"/>
  <c r="X23" i="4"/>
  <c r="Y23" i="4"/>
  <c r="Z23" i="4"/>
  <c r="U23" i="4"/>
  <c r="S23" i="4"/>
  <c r="T23" i="4"/>
  <c r="R23" i="4"/>
  <c r="F23" i="4"/>
  <c r="G23" i="4"/>
  <c r="H23" i="4"/>
  <c r="I23" i="4"/>
  <c r="E23" i="4"/>
  <c r="K23" i="4"/>
  <c r="L23" i="4"/>
  <c r="M23" i="4"/>
  <c r="N23" i="4"/>
  <c r="O23" i="4"/>
  <c r="P23" i="4"/>
  <c r="Q23" i="4"/>
  <c r="J23" i="4"/>
  <c r="V22" i="4"/>
  <c r="W22" i="4"/>
  <c r="X22" i="4"/>
  <c r="Y22" i="4"/>
  <c r="Z22" i="4"/>
  <c r="U22" i="4"/>
  <c r="S22" i="4"/>
  <c r="T22" i="4"/>
  <c r="R22" i="4"/>
  <c r="K22" i="4"/>
  <c r="L22" i="4"/>
  <c r="M22" i="4"/>
  <c r="N22" i="4"/>
  <c r="O22" i="4"/>
  <c r="P22" i="4"/>
  <c r="Q22" i="4"/>
  <c r="J22" i="4"/>
  <c r="F22" i="4"/>
  <c r="G22" i="4"/>
  <c r="H22" i="4"/>
  <c r="I22" i="4"/>
  <c r="E22" i="4"/>
  <c r="E48" i="6"/>
  <c r="G21" i="4"/>
  <c r="H21" i="4"/>
  <c r="I21" i="4"/>
  <c r="F21" i="4"/>
  <c r="E21" i="4"/>
  <c r="K21" i="4"/>
  <c r="L21" i="4"/>
  <c r="M21" i="4"/>
  <c r="N21" i="4"/>
  <c r="O21" i="4"/>
  <c r="P21" i="4"/>
  <c r="Q21" i="4"/>
  <c r="J21" i="4"/>
  <c r="V21" i="4"/>
  <c r="W21" i="4"/>
  <c r="X21" i="4"/>
  <c r="Y21" i="4"/>
  <c r="Z21" i="4"/>
  <c r="U21" i="4"/>
  <c r="S21" i="4"/>
  <c r="T21" i="4"/>
  <c r="V20" i="4"/>
  <c r="W20" i="4"/>
  <c r="X20" i="4"/>
  <c r="Y20" i="4"/>
  <c r="Z20" i="4"/>
  <c r="U20" i="4"/>
  <c r="S12" i="4"/>
  <c r="T12" i="4"/>
  <c r="S13" i="4"/>
  <c r="T13" i="4"/>
  <c r="S14" i="4"/>
  <c r="T14" i="4"/>
  <c r="S15" i="4"/>
  <c r="T15" i="4"/>
  <c r="T16" i="4"/>
  <c r="S16" i="4"/>
  <c r="S17" i="4"/>
  <c r="T17" i="4"/>
  <c r="S18" i="4"/>
  <c r="T18" i="4"/>
  <c r="S19" i="4"/>
  <c r="T19" i="4"/>
  <c r="S20" i="4"/>
  <c r="T20" i="4"/>
  <c r="R20" i="4"/>
  <c r="R19" i="4"/>
  <c r="R18" i="4"/>
  <c r="R17" i="4"/>
  <c r="R16" i="4"/>
  <c r="R15" i="4"/>
  <c r="R14" i="4"/>
  <c r="F20" i="4"/>
  <c r="G20" i="4"/>
  <c r="H20" i="4"/>
  <c r="I20" i="4"/>
  <c r="E20" i="4"/>
  <c r="Z19" i="4"/>
  <c r="Y19" i="4"/>
  <c r="X19" i="4"/>
  <c r="W19" i="4"/>
  <c r="V19" i="4"/>
  <c r="U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F18" i="4"/>
  <c r="G18" i="4"/>
  <c r="H18" i="4"/>
  <c r="I18" i="4"/>
  <c r="E18" i="4"/>
  <c r="V18" i="4"/>
  <c r="W18" i="4"/>
  <c r="X18" i="4"/>
  <c r="Y18" i="4"/>
  <c r="Z18" i="4"/>
  <c r="U18" i="4"/>
  <c r="K18" i="4"/>
  <c r="L18" i="4"/>
  <c r="M18" i="4"/>
  <c r="N18" i="4"/>
  <c r="O18" i="4"/>
  <c r="P18" i="4"/>
  <c r="Q18" i="4"/>
  <c r="J18" i="4"/>
  <c r="K17" i="4"/>
  <c r="L17" i="4"/>
  <c r="M17" i="4"/>
  <c r="N17" i="4"/>
  <c r="O17" i="4"/>
  <c r="P17" i="4"/>
  <c r="Q17" i="4"/>
  <c r="J17" i="4"/>
  <c r="V17" i="4"/>
  <c r="W17" i="4"/>
  <c r="X17" i="4"/>
  <c r="Y17" i="4"/>
  <c r="Z17" i="4"/>
  <c r="U17" i="4"/>
  <c r="F17" i="4"/>
  <c r="G17" i="4"/>
  <c r="H17" i="4"/>
  <c r="I17" i="4"/>
  <c r="E17" i="4"/>
  <c r="V16" i="4"/>
  <c r="W16" i="4"/>
  <c r="X16" i="4"/>
  <c r="Y16" i="4"/>
  <c r="Z16" i="4"/>
  <c r="U16" i="4"/>
  <c r="V15" i="4"/>
  <c r="W15" i="4"/>
  <c r="X15" i="4"/>
  <c r="Y15" i="4"/>
  <c r="Z15" i="4"/>
  <c r="U15" i="4"/>
  <c r="K16" i="4"/>
  <c r="L16" i="4"/>
  <c r="M16" i="4"/>
  <c r="N16" i="4"/>
  <c r="O16" i="4"/>
  <c r="P16" i="4"/>
  <c r="Q16" i="4"/>
  <c r="J16" i="4"/>
  <c r="K15" i="4"/>
  <c r="L15" i="4"/>
  <c r="M15" i="4"/>
  <c r="N15" i="4"/>
  <c r="O15" i="4"/>
  <c r="P15" i="4"/>
  <c r="Q15" i="4"/>
  <c r="J15" i="4"/>
  <c r="F16" i="4"/>
  <c r="G16" i="4"/>
  <c r="H16" i="4"/>
  <c r="I16" i="4"/>
  <c r="E16" i="4"/>
  <c r="F15" i="4"/>
  <c r="G15" i="4"/>
  <c r="H15" i="4"/>
  <c r="I15" i="4"/>
  <c r="E15" i="4"/>
  <c r="V14" i="4"/>
  <c r="W14" i="4"/>
  <c r="X14" i="4"/>
  <c r="Y14" i="4"/>
  <c r="Z14" i="4"/>
  <c r="U14" i="4"/>
  <c r="K14" i="4"/>
  <c r="L14" i="4"/>
  <c r="M14" i="4"/>
  <c r="N14" i="4"/>
  <c r="O14" i="4"/>
  <c r="P14" i="4"/>
  <c r="Q14" i="4"/>
  <c r="J14" i="4"/>
  <c r="F14" i="4"/>
  <c r="G14" i="4"/>
  <c r="H14" i="4"/>
  <c r="I14" i="4"/>
  <c r="E14" i="4"/>
  <c r="V13" i="4"/>
  <c r="W13" i="4"/>
  <c r="X13" i="4"/>
  <c r="Y13" i="4"/>
  <c r="Z13" i="4"/>
  <c r="U13" i="4"/>
  <c r="R13" i="4"/>
  <c r="J13" i="4"/>
  <c r="F13" i="4"/>
  <c r="G13" i="4"/>
  <c r="H13" i="4"/>
  <c r="I13" i="4"/>
  <c r="E13" i="4"/>
  <c r="V12" i="4"/>
  <c r="W12" i="4"/>
  <c r="X12" i="4"/>
  <c r="Y12" i="4"/>
  <c r="Z12" i="4"/>
  <c r="U12" i="4"/>
  <c r="R12" i="4"/>
  <c r="K12" i="4"/>
  <c r="L12" i="4"/>
  <c r="M12" i="4"/>
  <c r="N12" i="4"/>
  <c r="O12" i="4"/>
  <c r="P12" i="4"/>
  <c r="Q12" i="4"/>
  <c r="J12" i="4"/>
  <c r="F12" i="4"/>
  <c r="G12" i="4"/>
  <c r="H12" i="4"/>
  <c r="I12" i="4"/>
  <c r="E12" i="4"/>
  <c r="Z11" i="4"/>
  <c r="Y11" i="4"/>
  <c r="X11" i="4"/>
  <c r="W11" i="4"/>
  <c r="V11" i="4"/>
  <c r="U11" i="4"/>
  <c r="T11" i="4"/>
  <c r="S11" i="4"/>
  <c r="R11" i="4"/>
  <c r="K11" i="4"/>
  <c r="L11" i="4"/>
  <c r="M11" i="4"/>
  <c r="N11" i="4"/>
  <c r="O11" i="4"/>
  <c r="P11" i="4"/>
  <c r="Q11" i="4"/>
  <c r="F11" i="4"/>
  <c r="G11" i="4"/>
  <c r="H11" i="4"/>
  <c r="I11" i="4"/>
  <c r="J11" i="4"/>
  <c r="E11" i="4"/>
  <c r="V10" i="4"/>
  <c r="W10" i="4"/>
  <c r="X10" i="4"/>
  <c r="Y10" i="4"/>
  <c r="Z10" i="4"/>
  <c r="U10" i="4"/>
  <c r="S10" i="4"/>
  <c r="T10" i="4"/>
  <c r="R10" i="4"/>
  <c r="K10" i="4"/>
  <c r="L10" i="4"/>
  <c r="M10" i="4"/>
  <c r="N10" i="4"/>
  <c r="O10" i="4"/>
  <c r="P10" i="4"/>
  <c r="Q10" i="4"/>
  <c r="J10" i="4"/>
  <c r="F10" i="4"/>
  <c r="G10" i="4"/>
  <c r="H10" i="4"/>
  <c r="I10" i="4"/>
  <c r="E10" i="4"/>
  <c r="V9" i="4"/>
  <c r="W9" i="4"/>
  <c r="X9" i="4"/>
  <c r="Y9" i="4"/>
  <c r="Z9" i="4"/>
  <c r="U9" i="4"/>
  <c r="S9" i="4"/>
  <c r="T9" i="4"/>
  <c r="R9" i="4"/>
  <c r="K9" i="4"/>
  <c r="L9" i="4"/>
  <c r="M9" i="4"/>
  <c r="N9" i="4"/>
  <c r="O9" i="4"/>
  <c r="P9" i="4"/>
  <c r="Q9" i="4"/>
  <c r="J9" i="4"/>
  <c r="H9" i="4"/>
  <c r="I9" i="4"/>
  <c r="F9" i="4"/>
  <c r="G9" i="4"/>
  <c r="E9" i="4"/>
  <c r="F8" i="4"/>
  <c r="G8" i="4"/>
  <c r="H8" i="4"/>
  <c r="I8" i="4"/>
  <c r="E8" i="4"/>
  <c r="K8" i="4"/>
  <c r="L8" i="4"/>
  <c r="M8" i="4"/>
  <c r="N8" i="4"/>
  <c r="O8" i="4"/>
  <c r="P8" i="4"/>
  <c r="Q8" i="4"/>
  <c r="J8" i="4"/>
  <c r="V8" i="4"/>
  <c r="W8" i="4"/>
  <c r="X8" i="4"/>
  <c r="Y8" i="4"/>
  <c r="Z8" i="4"/>
  <c r="U8" i="4"/>
  <c r="S8" i="4"/>
  <c r="T8" i="4"/>
  <c r="R8" i="4"/>
  <c r="V7" i="4"/>
  <c r="W7" i="4"/>
  <c r="X7" i="4"/>
  <c r="Y7" i="4"/>
  <c r="Z7" i="4"/>
  <c r="U7" i="4"/>
  <c r="V6" i="4"/>
  <c r="W6" i="4"/>
  <c r="X6" i="4"/>
  <c r="Y6" i="4"/>
  <c r="Z6" i="4"/>
  <c r="U6" i="4"/>
  <c r="S7" i="4"/>
  <c r="T7" i="4"/>
  <c r="R7" i="4"/>
  <c r="S6" i="4"/>
  <c r="T6" i="4"/>
  <c r="R6" i="4"/>
  <c r="K7" i="4"/>
  <c r="L7" i="4"/>
  <c r="M7" i="4"/>
  <c r="N7" i="4"/>
  <c r="O7" i="4"/>
  <c r="P7" i="4"/>
  <c r="Q7" i="4"/>
  <c r="J7" i="4"/>
  <c r="Q6" i="4"/>
  <c r="K6" i="4"/>
  <c r="L6" i="4"/>
  <c r="M6" i="4"/>
  <c r="N6" i="4"/>
  <c r="O6" i="4"/>
  <c r="P6" i="4"/>
  <c r="J6" i="4"/>
  <c r="F7" i="4"/>
  <c r="G7" i="4"/>
  <c r="H7" i="4"/>
  <c r="I7" i="4"/>
  <c r="E7" i="4"/>
  <c r="F6" i="4"/>
  <c r="G6" i="4"/>
  <c r="H6" i="4"/>
  <c r="I6" i="4"/>
  <c r="E6" i="4"/>
  <c r="K5" i="4"/>
  <c r="L5" i="4"/>
  <c r="M5" i="4"/>
  <c r="N5" i="4"/>
  <c r="O5" i="4"/>
  <c r="P5" i="4"/>
  <c r="Q5" i="4"/>
  <c r="J5" i="4"/>
  <c r="V5" i="4"/>
  <c r="W5" i="4"/>
  <c r="X5" i="4"/>
  <c r="Y5" i="4"/>
  <c r="Z5" i="4"/>
  <c r="U5" i="4"/>
  <c r="T5" i="4"/>
  <c r="S5" i="4"/>
  <c r="R5" i="4"/>
  <c r="F5" i="4"/>
  <c r="G5" i="4"/>
  <c r="H5" i="4"/>
  <c r="I5" i="4"/>
  <c r="E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Z4" i="4"/>
  <c r="Y4" i="4"/>
  <c r="X4" i="4"/>
  <c r="W4" i="4"/>
  <c r="V4" i="4"/>
  <c r="U4" i="4"/>
  <c r="T4" i="4"/>
  <c r="S4" i="4"/>
  <c r="R4" i="4"/>
  <c r="V3" i="4"/>
  <c r="W3" i="4"/>
  <c r="X3" i="4"/>
  <c r="Y3" i="4"/>
  <c r="Z3" i="4"/>
  <c r="U3" i="4"/>
  <c r="S3" i="4"/>
  <c r="T3" i="4"/>
  <c r="R3" i="4"/>
  <c r="Q4" i="4"/>
  <c r="P4" i="4"/>
  <c r="O4" i="4"/>
  <c r="N4" i="4"/>
  <c r="M4" i="4"/>
  <c r="L4" i="4"/>
  <c r="K4" i="4"/>
  <c r="J4" i="4"/>
  <c r="I4" i="4"/>
  <c r="H4" i="4"/>
  <c r="G4" i="4"/>
  <c r="F4" i="4"/>
  <c r="E4" i="4"/>
  <c r="J3" i="4"/>
  <c r="M64" i="3"/>
  <c r="M62" i="3"/>
  <c r="Q62" i="1"/>
  <c r="E58" i="6"/>
  <c r="E54" i="6"/>
  <c r="E52" i="6"/>
  <c r="E44" i="6"/>
  <c r="E42" i="6"/>
  <c r="E38" i="6"/>
  <c r="E36" i="6"/>
  <c r="E34" i="6"/>
  <c r="E30" i="6"/>
  <c r="E28" i="6"/>
  <c r="E24" i="6"/>
  <c r="E22" i="6"/>
  <c r="E20" i="6"/>
  <c r="E16" i="6"/>
  <c r="E14" i="6"/>
  <c r="E10" i="6"/>
  <c r="AC2" i="4"/>
  <c r="AC33" i="4" s="1"/>
  <c r="AB2" i="4"/>
  <c r="AB33" i="4" s="1"/>
  <c r="AA2" i="4"/>
  <c r="I2" i="5"/>
  <c r="E2" i="4"/>
  <c r="Z2" i="4"/>
  <c r="Z33" i="4" s="1"/>
  <c r="Y2" i="4"/>
  <c r="X2" i="4"/>
  <c r="W2" i="4"/>
  <c r="V2" i="4"/>
  <c r="U2" i="4"/>
  <c r="T2" i="4"/>
  <c r="S2" i="4"/>
  <c r="R2" i="4"/>
  <c r="F2" i="4"/>
  <c r="G2" i="4"/>
  <c r="H2" i="4"/>
  <c r="I2" i="4"/>
  <c r="J2" i="4"/>
  <c r="K2" i="4"/>
  <c r="L2" i="4"/>
  <c r="L33" i="4" s="1"/>
  <c r="M2" i="4"/>
  <c r="N2" i="4"/>
  <c r="O2" i="4"/>
  <c r="O33" i="4" s="1"/>
  <c r="P2" i="4"/>
  <c r="Q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E2" i="5"/>
  <c r="M10" i="3"/>
  <c r="F10" i="3"/>
  <c r="G3" i="5" s="1"/>
  <c r="M16" i="3"/>
  <c r="G6" i="5"/>
  <c r="M20" i="3"/>
  <c r="G7" i="5"/>
  <c r="M14" i="3"/>
  <c r="N14" i="3"/>
  <c r="N16" i="3"/>
  <c r="Q20" i="1"/>
  <c r="Q16" i="1"/>
  <c r="R16" i="1"/>
  <c r="Q14" i="1"/>
  <c r="R14" i="1"/>
  <c r="M22" i="3"/>
  <c r="Q22" i="1"/>
  <c r="E9" i="5"/>
  <c r="N22" i="3"/>
  <c r="R22" i="1"/>
  <c r="Q24" i="1"/>
  <c r="R24" i="1"/>
  <c r="M24" i="3"/>
  <c r="M28" i="3"/>
  <c r="M30" i="3"/>
  <c r="Q30" i="1"/>
  <c r="Q28" i="1"/>
  <c r="R28" i="1" s="1"/>
  <c r="E14" i="5"/>
  <c r="G14" i="5"/>
  <c r="M34" i="3"/>
  <c r="Q34" i="1"/>
  <c r="R34" i="1" s="1"/>
  <c r="E15" i="5"/>
  <c r="Q36" i="1"/>
  <c r="E16" i="5" s="1"/>
  <c r="M36" i="3"/>
  <c r="N36" i="3" s="1"/>
  <c r="R36" i="1"/>
  <c r="M38" i="3"/>
  <c r="N38" i="3" s="1"/>
  <c r="Q38" i="1"/>
  <c r="E18" i="5"/>
  <c r="N8" i="3"/>
  <c r="G2" i="5"/>
  <c r="M42" i="3"/>
  <c r="Q42" i="1"/>
  <c r="AA33" i="4" l="1"/>
  <c r="I33" i="5" s="1"/>
  <c r="F33" i="4"/>
  <c r="M33" i="4"/>
  <c r="K33" i="4"/>
  <c r="Q33" i="4"/>
  <c r="I33" i="4"/>
  <c r="P33" i="4"/>
  <c r="H33" i="4"/>
  <c r="G33" i="4"/>
  <c r="N33" i="4"/>
  <c r="S33" i="4"/>
  <c r="T33" i="4"/>
  <c r="U33" i="4"/>
  <c r="V33" i="4"/>
  <c r="W33" i="4"/>
  <c r="X33" i="4"/>
  <c r="Y33" i="4"/>
  <c r="E12" i="5"/>
  <c r="G9" i="5"/>
  <c r="E7" i="5"/>
  <c r="R20" i="1"/>
  <c r="E8" i="5"/>
  <c r="G5" i="5"/>
  <c r="E6" i="5"/>
  <c r="E5" i="5"/>
  <c r="J2" i="5"/>
  <c r="E10" i="5"/>
  <c r="E13" i="5"/>
  <c r="G17" i="5"/>
  <c r="E3" i="4"/>
  <c r="E4" i="5"/>
  <c r="N34" i="3"/>
  <c r="G15" i="5"/>
  <c r="G16" i="5"/>
  <c r="G18" i="5"/>
  <c r="J20" i="4"/>
  <c r="J33" i="4" s="1"/>
  <c r="Q44" i="1"/>
  <c r="E20" i="5" s="1"/>
  <c r="R21" i="4"/>
  <c r="R33" i="4" s="1"/>
  <c r="K2" i="5"/>
  <c r="R30" i="1"/>
  <c r="G30" i="5"/>
  <c r="Q64" i="1"/>
  <c r="R64" i="1" s="1"/>
  <c r="G29" i="5"/>
  <c r="E29" i="5"/>
  <c r="G28" i="5"/>
  <c r="E28" i="5"/>
  <c r="Q56" i="1"/>
  <c r="R56" i="1" s="1"/>
  <c r="M56" i="3"/>
  <c r="N56" i="3" s="1"/>
  <c r="G19" i="5"/>
  <c r="E19" i="5"/>
  <c r="G4" i="5"/>
  <c r="E11" i="5"/>
  <c r="N62" i="3"/>
  <c r="N10" i="3"/>
  <c r="M58" i="3"/>
  <c r="N58" i="3" s="1"/>
  <c r="M54" i="3"/>
  <c r="N54" i="3" s="1"/>
  <c r="M52" i="3"/>
  <c r="N52" i="3" s="1"/>
  <c r="M48" i="3"/>
  <c r="N48" i="3" s="1"/>
  <c r="Q58" i="1"/>
  <c r="R58" i="1" s="1"/>
  <c r="Q54" i="1"/>
  <c r="R54" i="1" s="1"/>
  <c r="Q52" i="1"/>
  <c r="Q48" i="1"/>
  <c r="R48" i="1" s="1"/>
  <c r="G8" i="5"/>
  <c r="G10" i="5"/>
  <c r="G12" i="5"/>
  <c r="G13" i="5"/>
  <c r="E17" i="5"/>
  <c r="M44" i="3"/>
  <c r="G20" i="5" s="1"/>
  <c r="J33" i="5" l="1"/>
  <c r="G33" i="5"/>
  <c r="E21" i="5"/>
  <c r="E22" i="5"/>
  <c r="E23" i="5"/>
  <c r="E24" i="5"/>
  <c r="G22" i="5"/>
  <c r="G23" i="5"/>
  <c r="G24" i="5"/>
  <c r="G11" i="5"/>
  <c r="E25" i="5"/>
  <c r="G25" i="5"/>
  <c r="G26" i="5"/>
  <c r="E26" i="5"/>
  <c r="E27" i="5"/>
  <c r="G27" i="5"/>
  <c r="E30" i="5"/>
  <c r="E31" i="5"/>
  <c r="G31" i="5"/>
  <c r="G21" i="5"/>
  <c r="E3" i="5"/>
  <c r="R10" i="1"/>
  <c r="R52" i="1"/>
  <c r="N64" i="3"/>
  <c r="R62" i="1"/>
  <c r="N42" i="3"/>
  <c r="R42" i="1"/>
  <c r="R44" i="1"/>
  <c r="N44" i="3"/>
  <c r="R38" i="1"/>
  <c r="N30" i="3"/>
  <c r="N28" i="3"/>
  <c r="N24" i="3"/>
  <c r="N20" i="3"/>
  <c r="E33" i="5" l="1"/>
  <c r="K33" i="5"/>
</calcChain>
</file>

<file path=xl/comments1.xml><?xml version="1.0" encoding="utf-8"?>
<comments xmlns="http://schemas.openxmlformats.org/spreadsheetml/2006/main">
  <authors>
    <author>Anish Thottackattu P. Achary</author>
  </authors>
  <commentList>
    <comment ref="E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1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1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2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2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3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39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1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3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5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E4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  <comment ref="K47" authorId="0" shapeId="0">
      <text>
        <r>
          <rPr>
            <sz val="11"/>
            <color theme="1"/>
            <rFont val="Calibri"/>
            <family val="2"/>
            <scheme val="minor"/>
          </rPr>
          <t xml:space="preserve">Anish Thottackattu P. Achary:
Meter is not working
</t>
        </r>
      </text>
    </comment>
  </commentList>
</comments>
</file>

<file path=xl/sharedStrings.xml><?xml version="1.0" encoding="utf-8"?>
<sst xmlns="http://schemas.openxmlformats.org/spreadsheetml/2006/main" count="250" uniqueCount="70">
  <si>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</si>
  <si>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</si>
  <si>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</si>
  <si>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</si>
  <si>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</si>
  <si>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</si>
  <si>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</si>
  <si>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</si>
  <si>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</si>
  <si>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</si>
  <si>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</si>
  <si>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</si>
  <si>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</si>
  <si>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</si>
  <si>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</si>
  <si>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</si>
  <si>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</si>
  <si>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</si>
  <si>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</si>
  <si>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</si>
  <si>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</si>
  <si>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</si>
  <si>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</si>
  <si>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</si>
  <si>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</si>
  <si>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</si>
  <si>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</si>
  <si>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</si>
  <si>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</si>
  <si>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</si>
  <si>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</si>
  <si>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</si>
  <si>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</si>
  <si>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</si>
  <si>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</si>
  <si>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</si>
  <si>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JANUARY 2023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</si>
  <si>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</si>
  <si>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</si>
  <si>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</si>
  <si>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</si>
  <si>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</si>
  <si>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</si>
  <si>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</si>
  <si>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</si>
  <si>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</si>
  <si>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</si>
  <si>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 </t>
  </si>
  <si>
    <t>Consumption</t>
  </si>
  <si>
    <t>Daily Water Meter Readings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</si>
  <si>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</si>
  <si>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</si>
  <si>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</si>
  <si>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</si>
  <si>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</si>
  <si>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</si>
  <si>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</si>
  <si>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</si>
  <si>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</si>
  <si>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</si>
  <si>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</si>
  <si>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</si>
  <si>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</si>
  <si>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CCW Hotel B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</si>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</sst>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3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9" fillId="0" borderId="1" xfId="0" applyFont="1" applyBorder="1"/>
    <xf numFmtId="0" fontId="9" fillId="0" borderId="22" xfId="0" applyFont="1" applyBorder="1"/>
    <xf numFmtId="0" fontId="10" fillId="11" borderId="22" xfId="0" applyFont="1" applyFill="1" applyBorder="1"/>
    <xf numFmtId="0" fontId="9" fillId="0" borderId="0" xfId="0" applyFont="1"/>
    <xf numFmtId="0" fontId="9" fillId="0" borderId="23" xfId="0" applyFont="1" applyBorder="1"/>
    <xf numFmtId="0" fontId="9" fillId="0" borderId="7" xfId="0" applyFont="1" applyBorder="1"/>
    <xf numFmtId="0" fontId="9" fillId="14" borderId="1" xfId="0" applyFont="1" applyFill="1" applyBorder="1"/>
    <xf numFmtId="0" fontId="9" fillId="14" borderId="22" xfId="0" applyFont="1" applyFill="1" applyBorder="1"/>
    <xf numFmtId="0" fontId="10" fillId="11" borderId="24" xfId="0" applyFont="1" applyFill="1" applyBorder="1"/>
    <xf numFmtId="0" fontId="9" fillId="14" borderId="24" xfId="0" applyFont="1" applyFill="1" applyBorder="1"/>
    <xf numFmtId="0" fontId="9" fillId="0" borderId="16" xfId="0" applyFont="1" applyBorder="1"/>
    <xf numFmtId="0" fontId="9" fillId="0" borderId="24" xfId="0" applyFont="1" applyBorder="1"/>
    <xf numFmtId="0" fontId="9" fillId="12" borderId="24" xfId="0" applyFont="1" applyFill="1" applyBorder="1"/>
    <xf numFmtId="0" fontId="9" fillId="15" borderId="24" xfId="0" applyFont="1" applyFill="1" applyBorder="1"/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25" xfId="0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5" borderId="1" xfId="0" applyFill="1" applyBorder="1" applyAlignment="1">
      <alignment horizontal="right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3</xdr:col>
      <xdr:colOff>304800</xdr:colOff>
      <xdr:row>2</xdr:row>
      <xdr:rowOff>257175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:a16="http://schemas.microsoft.com/office/drawing/2014/main" xmlns="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95250" y="0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:a16="http://schemas.microsoft.com/office/drawing/2014/main" xmlns="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:a16="http://schemas.microsoft.com/office/drawing/2014/main" xmlns="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85" zoomScaleNormal="85" workbookViewId="0">
      <selection activeCell="P34" sqref="P33:P34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1</v>
      </c>
      <c r="D2">
        <v>2023</v>
      </c>
      <c r="E2" s="26">
        <f>0.75*INDEX('13 - Electrical Readings'!$H$8:$H$994,1+(2*(ROWS(A$1:A1)-1)))+INDEX('13 - Electrical Readings'!$Q$8:$Q$994,1+(2*(ROWS(A$1:A1)-1)))</f>
        <v>57364.5</v>
      </c>
      <c r="F2">
        <v>4.1000000000000002E-2</v>
      </c>
      <c r="G2" s="27">
        <f>0.75*INDEX('9 - Water Readings'!$F$8:$F$992,1+(2*(ROWS(A$1:A1)-1)))+INDEX('9 - Water Readings'!$M$8:$M$992,1+(2*(ROWS(A$1:A1)-1)))</f>
        <v>577</v>
      </c>
      <c r="H2" s="25">
        <v>1.5571912601017661</v>
      </c>
      <c r="I2" s="25">
        <f>'Submetering '!AA2</f>
        <v>172</v>
      </c>
      <c r="J2">
        <f>'Submetering '!AB2</f>
        <v>740</v>
      </c>
      <c r="K2">
        <f>'Submetering '!AC2</f>
        <v>0.7</v>
      </c>
    </row>
    <row r="3" spans="1:11" x14ac:dyDescent="0.25">
      <c r="A3" t="s">
        <v>11</v>
      </c>
      <c r="B3">
        <f>B2+1</f>
        <v>2</v>
      </c>
      <c r="C3">
        <v>1</v>
      </c>
      <c r="D3">
        <v>2023</v>
      </c>
      <c r="E3" s="26">
        <f>0.75*INDEX('13 - Electrical Readings'!$H$8:$H$994,1+(2*(ROWS(A$1:A2)-1)))+INDEX('13 - Electrical Readings'!$Q$8:$Q$994,1+(2*(ROWS(A$1:A2)-1)))</f>
        <v>57128.75</v>
      </c>
      <c r="F3">
        <v>4.1000000000000002E-2</v>
      </c>
      <c r="G3" s="27">
        <f>0.75*INDEX('9 - Water Readings'!$F$8:$F$992,1+(2*(ROWS(A$1:A2)-1)))+INDEX('9 - Water Readings'!$M$8:$M$992,1+(2*(ROWS(A$1:A2)-1)))</f>
        <v>554</v>
      </c>
      <c r="H3" s="25">
        <v>1.5571912601017661</v>
      </c>
      <c r="I3" s="25">
        <f>'Submetering '!AA3</f>
        <v>141</v>
      </c>
      <c r="J3">
        <f>'Submetering '!AB3</f>
        <v>594</v>
      </c>
      <c r="K3">
        <f>'Submetering '!AC3</f>
        <v>0.1</v>
      </c>
    </row>
    <row r="4" spans="1:11" x14ac:dyDescent="0.25">
      <c r="A4" t="s">
        <v>11</v>
      </c>
      <c r="B4">
        <f t="shared" ref="B4:B30" si="0">B3+1</f>
        <v>3</v>
      </c>
      <c r="C4">
        <v>1</v>
      </c>
      <c r="D4">
        <v>2023</v>
      </c>
      <c r="E4" s="26">
        <f>0.75*INDEX('13 - Electrical Readings'!$H$8:$H$994,1+(2*(ROWS(A$1:A3)-1)))+INDEX('13 - Electrical Readings'!$Q$8:$Q$994,1+(2*(ROWS(A$1:A3)-1)))</f>
        <v>54731.75</v>
      </c>
      <c r="F4">
        <v>4.1000000000000002E-2</v>
      </c>
      <c r="G4" s="27">
        <f>0.75*INDEX('9 - Water Readings'!$F$8:$F$992,1+(2*(ROWS(A$1:A3)-1)))+INDEX('9 - Water Readings'!$M$8:$M$992,1+(2*(ROWS(A$1:A3)-1)))</f>
        <v>495.75</v>
      </c>
      <c r="H4" s="25">
        <v>1.5571912601017661</v>
      </c>
      <c r="I4" s="25">
        <f>'Submetering '!AA4</f>
        <v>135</v>
      </c>
      <c r="J4">
        <f>'Submetering '!AB4</f>
        <v>564</v>
      </c>
      <c r="K4">
        <f>'Submetering '!AC4</f>
        <v>0</v>
      </c>
    </row>
    <row r="5" spans="1:11" x14ac:dyDescent="0.25">
      <c r="A5" t="s">
        <v>11</v>
      </c>
      <c r="B5">
        <f t="shared" si="0"/>
        <v>4</v>
      </c>
      <c r="C5">
        <v>1</v>
      </c>
      <c r="D5">
        <v>2023</v>
      </c>
      <c r="E5" s="26">
        <f>0.75*INDEX('13 - Electrical Readings'!$H$8:$H$994,1+(2*(ROWS(A$1:A4)-1)))+INDEX('13 - Electrical Readings'!$Q$8:$Q$994,1+(2*(ROWS(A$1:A4)-1)))</f>
        <v>56608.25</v>
      </c>
      <c r="F5">
        <v>4.1000000000000002E-2</v>
      </c>
      <c r="G5" s="27">
        <f>0.75*INDEX('9 - Water Readings'!$F$8:$F$992,1+(2*(ROWS(A$1:A4)-1)))+INDEX('9 - Water Readings'!$M$8:$M$992,1+(2*(ROWS(A$1:A4)-1)))</f>
        <v>534</v>
      </c>
      <c r="H5" s="25">
        <v>1.5571912601017661</v>
      </c>
      <c r="I5" s="25">
        <f>'Submetering '!AA5</f>
        <v>115</v>
      </c>
      <c r="J5">
        <f>'Submetering '!AB5</f>
        <v>490</v>
      </c>
      <c r="K5">
        <f>'Submetering '!AC5</f>
        <v>0.4</v>
      </c>
    </row>
    <row r="6" spans="1:11" x14ac:dyDescent="0.25">
      <c r="A6" t="s">
        <v>11</v>
      </c>
      <c r="B6">
        <f t="shared" si="0"/>
        <v>5</v>
      </c>
      <c r="C6">
        <v>1</v>
      </c>
      <c r="D6">
        <v>2023</v>
      </c>
      <c r="E6" s="26">
        <f>0.75*INDEX('13 - Electrical Readings'!$H$8:$H$994,1+(2*(ROWS(A$1:A5)-1)))+INDEX('13 - Electrical Readings'!$Q$8:$Q$994,1+(2*(ROWS(A$1:A5)-1)))</f>
        <v>58836.75</v>
      </c>
      <c r="F6">
        <v>4.1000000000000002E-2</v>
      </c>
      <c r="G6" s="27">
        <f>0.75*INDEX('9 - Water Readings'!$F$8:$F$992,1+(2*(ROWS(A$1:A5)-1)))+INDEX('9 - Water Readings'!$M$8:$M$992,1+(2*(ROWS(A$1:A5)-1)))</f>
        <v>558.75</v>
      </c>
      <c r="H6" s="25">
        <v>1.5571912601017661</v>
      </c>
      <c r="I6" s="25">
        <f>'Submetering '!AA6</f>
        <v>157</v>
      </c>
      <c r="J6">
        <f>'Submetering '!AB6</f>
        <v>636</v>
      </c>
      <c r="K6">
        <f>'Submetering '!AC6</f>
        <v>0.3</v>
      </c>
    </row>
    <row r="7" spans="1:11" x14ac:dyDescent="0.25">
      <c r="A7" t="s">
        <v>11</v>
      </c>
      <c r="B7">
        <f t="shared" si="0"/>
        <v>6</v>
      </c>
      <c r="C7">
        <v>1</v>
      </c>
      <c r="D7">
        <v>2023</v>
      </c>
      <c r="E7" s="26">
        <f>0.75*INDEX('13 - Electrical Readings'!$H$8:$H$994,1+(2*(ROWS(A$1:A6)-1)))+INDEX('13 - Electrical Readings'!$Q$8:$Q$994,1+(2*(ROWS(A$1:A6)-1)))</f>
        <v>57034.75</v>
      </c>
      <c r="F7">
        <v>4.1000000000000002E-2</v>
      </c>
      <c r="G7" s="27">
        <f>0.75*INDEX('9 - Water Readings'!$F$8:$F$992,1+(2*(ROWS(A$1:A6)-1)))+INDEX('9 - Water Readings'!$M$8:$M$992,1+(2*(ROWS(A$1:A6)-1)))</f>
        <v>501</v>
      </c>
      <c r="H7" s="25">
        <v>1.5571912601017661</v>
      </c>
      <c r="I7" s="25">
        <f>'Submetering '!AA7</f>
        <v>193</v>
      </c>
      <c r="J7">
        <f>'Submetering '!AB7</f>
        <v>740</v>
      </c>
      <c r="K7">
        <f>'Submetering '!AC7</f>
        <v>0</v>
      </c>
    </row>
    <row r="8" spans="1:11" x14ac:dyDescent="0.25">
      <c r="A8" t="s">
        <v>11</v>
      </c>
      <c r="B8">
        <f t="shared" si="0"/>
        <v>7</v>
      </c>
      <c r="C8">
        <v>1</v>
      </c>
      <c r="D8">
        <v>2023</v>
      </c>
      <c r="E8" s="26">
        <f>0.75*INDEX('13 - Electrical Readings'!$H$8:$H$994,1+(2*(ROWS(A$1:A7)-1)))+INDEX('13 - Electrical Readings'!$Q$8:$Q$994,1+(2*(ROWS(A$1:A7)-1)))</f>
        <v>55262.25</v>
      </c>
      <c r="F8">
        <v>4.1000000000000002E-2</v>
      </c>
      <c r="G8" s="27">
        <f>0.75*INDEX('9 - Water Readings'!$F$8:$F$992,1+(2*(ROWS(A$1:A7)-1)))+INDEX('9 - Water Readings'!$M$8:$M$992,1+(2*(ROWS(A$1:A7)-1)))</f>
        <v>488</v>
      </c>
      <c r="H8" s="25">
        <v>1.5571912601017661</v>
      </c>
      <c r="I8" s="25">
        <f>'Submetering '!AA8</f>
        <v>106</v>
      </c>
      <c r="J8">
        <f>'Submetering '!AB8</f>
        <v>394</v>
      </c>
      <c r="K8">
        <f>'Submetering '!AC8</f>
        <v>0</v>
      </c>
    </row>
    <row r="9" spans="1:11" x14ac:dyDescent="0.25">
      <c r="A9" t="s">
        <v>11</v>
      </c>
      <c r="B9">
        <f t="shared" si="0"/>
        <v>8</v>
      </c>
      <c r="C9">
        <v>1</v>
      </c>
      <c r="D9">
        <v>2023</v>
      </c>
      <c r="E9" s="26">
        <f>0.75*INDEX('13 - Electrical Readings'!$H$8:$H$994,1+(2*(ROWS(A$1:A8)-1)))+INDEX('13 - Electrical Readings'!$Q$8:$Q$994,1+(2*(ROWS(A$1:A8)-1)))</f>
        <v>54988.75</v>
      </c>
      <c r="F9">
        <v>4.1000000000000002E-2</v>
      </c>
      <c r="G9" s="27">
        <f>0.75*INDEX('9 - Water Readings'!$F$8:$F$992,1+(2*(ROWS(A$1:A8)-1)))+INDEX('9 - Water Readings'!$M$8:$M$992,1+(2*(ROWS(A$1:A8)-1)))</f>
        <v>519</v>
      </c>
      <c r="H9" s="25">
        <v>1.5571912601017661</v>
      </c>
      <c r="I9" s="25">
        <f>'Submetering '!AA9</f>
        <v>107</v>
      </c>
      <c r="J9">
        <f>'Submetering '!AB9</f>
        <v>344</v>
      </c>
      <c r="K9">
        <f>'Submetering '!AC9</f>
        <v>0</v>
      </c>
    </row>
    <row r="10" spans="1:11" x14ac:dyDescent="0.25">
      <c r="A10" t="s">
        <v>11</v>
      </c>
      <c r="B10">
        <f t="shared" si="0"/>
        <v>9</v>
      </c>
      <c r="C10">
        <v>1</v>
      </c>
      <c r="D10">
        <v>2023</v>
      </c>
      <c r="E10" s="26">
        <f>0.75*INDEX('13 - Electrical Readings'!$H$8:$H$994,1+(2*(ROWS(A$1:A9)-1)))+INDEX('13 - Electrical Readings'!$Q$8:$Q$994,1+(2*(ROWS(A$1:A9)-1)))</f>
        <v>53863.75</v>
      </c>
      <c r="F10">
        <v>4.1000000000000002E-2</v>
      </c>
      <c r="G10" s="27">
        <f>0.75*INDEX('9 - Water Readings'!$F$8:$F$992,1+(2*(ROWS(A$1:A9)-1)))+INDEX('9 - Water Readings'!$M$8:$M$992,1+(2*(ROWS(A$1:A9)-1)))</f>
        <v>491</v>
      </c>
      <c r="H10" s="25">
        <v>1.5571912601017661</v>
      </c>
      <c r="I10" s="25">
        <f>'Submetering '!AA10</f>
        <v>105</v>
      </c>
      <c r="J10">
        <f>'Submetering '!AB10</f>
        <v>314</v>
      </c>
      <c r="K10">
        <f>'Submetering '!AC10</f>
        <v>0</v>
      </c>
    </row>
    <row r="11" spans="1:11" x14ac:dyDescent="0.25">
      <c r="A11" t="s">
        <v>11</v>
      </c>
      <c r="B11">
        <f t="shared" si="0"/>
        <v>10</v>
      </c>
      <c r="C11">
        <v>1</v>
      </c>
      <c r="D11">
        <v>2023</v>
      </c>
      <c r="E11" s="26">
        <f>0.75*INDEX('13 - Electrical Readings'!$H$8:$H$994,1+(2*(ROWS(A$1:A10)-1)))+INDEX('13 - Electrical Readings'!$Q$8:$Q$994,1+(2*(ROWS(A$1:A10)-1)))</f>
        <v>54730.5</v>
      </c>
      <c r="F11">
        <v>4.1000000000000002E-2</v>
      </c>
      <c r="G11" s="27">
        <f>0.75*INDEX('9 - Water Readings'!$F$8:$F$992,1+(2*(ROWS(A$1:A10)-1)))+INDEX('9 - Water Readings'!$M$8:$M$992,1+(2*(ROWS(A$1:A10)-1)))</f>
        <v>500</v>
      </c>
      <c r="H11" s="25">
        <v>1.5571912601017661</v>
      </c>
      <c r="I11" s="25">
        <f>'Submetering '!AA11</f>
        <v>74</v>
      </c>
      <c r="J11">
        <f>'Submetering '!AB11</f>
        <v>224</v>
      </c>
      <c r="K11">
        <f>'Submetering '!AC11</f>
        <v>0</v>
      </c>
    </row>
    <row r="12" spans="1:11" x14ac:dyDescent="0.25">
      <c r="A12" t="s">
        <v>11</v>
      </c>
      <c r="B12">
        <f t="shared" si="0"/>
        <v>11</v>
      </c>
      <c r="C12">
        <v>1</v>
      </c>
      <c r="D12">
        <v>2023</v>
      </c>
      <c r="E12" s="26">
        <f>0.75*INDEX('13 - Electrical Readings'!$H$8:$H$994,1+(2*(ROWS(A$1:A11)-1)))+INDEX('13 - Electrical Readings'!$Q$8:$Q$994,1+(2*(ROWS(A$1:A11)-1)))</f>
        <v>0</v>
      </c>
      <c r="F12">
        <v>4.1000000000000002E-2</v>
      </c>
      <c r="G12" s="27">
        <f>0.75*INDEX('9 - Water Readings'!$F$8:$F$992,1+(2*(ROWS(A$1:A11)-1)))+INDEX('9 - Water Readings'!$M$8:$M$992,1+(2*(ROWS(A$1:A11)-1)))</f>
        <v>0</v>
      </c>
      <c r="H12" s="25">
        <v>1.5571912601017661</v>
      </c>
      <c r="I12" s="25">
        <f>'Submetering '!AA12</f>
        <v>0</v>
      </c>
      <c r="J12">
        <f>'Submetering '!AB12</f>
        <v>0</v>
      </c>
      <c r="K12">
        <f>'Submetering '!AC12</f>
        <v>0</v>
      </c>
    </row>
    <row r="13" spans="1:11" x14ac:dyDescent="0.25">
      <c r="A13" t="s">
        <v>11</v>
      </c>
      <c r="B13">
        <f t="shared" si="0"/>
        <v>12</v>
      </c>
      <c r="C13">
        <v>1</v>
      </c>
      <c r="D13">
        <v>2023</v>
      </c>
      <c r="E13" s="26">
        <f>0.75*INDEX('13 - Electrical Readings'!$H$8:$H$994,1+(2*(ROWS(A$1:A12)-1)))+INDEX('13 - Electrical Readings'!$Q$8:$Q$994,1+(2*(ROWS(A$1:A12)-1)))</f>
        <v>0</v>
      </c>
      <c r="F13">
        <v>4.1000000000000002E-2</v>
      </c>
      <c r="G13" s="27">
        <f>0.75*INDEX('9 - Water Readings'!$F$8:$F$992,1+(2*(ROWS(A$1:A12)-1)))+INDEX('9 - Water Readings'!$M$8:$M$992,1+(2*(ROWS(A$1:A12)-1)))</f>
        <v>0</v>
      </c>
      <c r="H13" s="25">
        <v>1.5571912601017661</v>
      </c>
      <c r="I13" s="25">
        <f>'Submetering '!AA13</f>
        <v>0</v>
      </c>
      <c r="J13">
        <f>'Submetering '!AB13</f>
        <v>0</v>
      </c>
      <c r="K13">
        <f>'Submetering '!AC13</f>
        <v>0</v>
      </c>
    </row>
    <row r="14" spans="1:11" x14ac:dyDescent="0.25">
      <c r="A14" t="s">
        <v>11</v>
      </c>
      <c r="B14">
        <f t="shared" si="0"/>
        <v>13</v>
      </c>
      <c r="C14">
        <v>1</v>
      </c>
      <c r="D14">
        <v>2023</v>
      </c>
      <c r="E14" s="26">
        <f>0.75*INDEX('13 - Electrical Readings'!$H$8:$H$994,1+(2*(ROWS(A$1:A13)-1)))+INDEX('13 - Electrical Readings'!$Q$8:$Q$994,1+(2*(ROWS(A$1:A13)-1)))</f>
        <v>0</v>
      </c>
      <c r="F14">
        <v>4.1000000000000002E-2</v>
      </c>
      <c r="G14" s="27">
        <f>0.75*INDEX('9 - Water Readings'!$F$8:$F$992,1+(2*(ROWS(A$1:A13)-1)))+INDEX('9 - Water Readings'!$M$8:$M$992,1+(2*(ROWS(A$1:A13)-1)))</f>
        <v>0</v>
      </c>
      <c r="H14" s="25">
        <v>1.5571912601017661</v>
      </c>
      <c r="I14" s="25">
        <f>'Submetering '!AA14</f>
        <v>0</v>
      </c>
      <c r="J14">
        <f>'Submetering '!AB14</f>
        <v>0</v>
      </c>
      <c r="K14">
        <f>'Submetering '!AC14</f>
        <v>0</v>
      </c>
    </row>
    <row r="15" spans="1:11" x14ac:dyDescent="0.25">
      <c r="A15" t="s">
        <v>11</v>
      </c>
      <c r="B15">
        <f t="shared" si="0"/>
        <v>14</v>
      </c>
      <c r="C15">
        <v>1</v>
      </c>
      <c r="D15">
        <v>2023</v>
      </c>
      <c r="E15" s="26">
        <f>0.75*INDEX('13 - Electrical Readings'!$H$8:$H$994,1+(2*(ROWS(A$1:A14)-1)))+INDEX('13 - Electrical Readings'!$Q$8:$Q$994,1+(2*(ROWS(A$1:A14)-1)))</f>
        <v>0</v>
      </c>
      <c r="F15">
        <v>4.1000000000000002E-2</v>
      </c>
      <c r="G15" s="27">
        <f>0.75*INDEX('9 - Water Readings'!$F$8:$F$992,1+(2*(ROWS(A$1:A14)-1)))+INDEX('9 - Water Readings'!$M$8:$M$992,1+(2*(ROWS(A$1:A14)-1)))</f>
        <v>0</v>
      </c>
      <c r="H15" s="25">
        <v>1.5571912601017661</v>
      </c>
      <c r="I15" s="25">
        <f>'Submetering '!AA15</f>
        <v>0</v>
      </c>
      <c r="J15">
        <f>'Submetering '!AB15</f>
        <v>0</v>
      </c>
      <c r="K15">
        <f>'Submetering '!AC15</f>
        <v>0</v>
      </c>
    </row>
    <row r="16" spans="1:11" x14ac:dyDescent="0.25">
      <c r="A16" t="s">
        <v>11</v>
      </c>
      <c r="B16">
        <f t="shared" si="0"/>
        <v>15</v>
      </c>
      <c r="C16">
        <v>1</v>
      </c>
      <c r="D16">
        <v>2023</v>
      </c>
      <c r="E16" s="26">
        <f>0.75*INDEX('13 - Electrical Readings'!$H$8:$H$994,1+(2*(ROWS(A$1:A15)-1)))+INDEX('13 - Electrical Readings'!$Q$8:$Q$994,1+(2*(ROWS(A$1:A15)-1)))</f>
        <v>0</v>
      </c>
      <c r="F16">
        <v>4.1000000000000002E-2</v>
      </c>
      <c r="G16" s="27">
        <f>0.75*INDEX('9 - Water Readings'!$F$8:$F$992,1+(2*(ROWS(A$1:A15)-1)))+INDEX('9 - Water Readings'!$M$8:$M$992,1+(2*(ROWS(A$1:A15)-1)))</f>
        <v>0</v>
      </c>
      <c r="H16" s="25">
        <v>1.5571912601017661</v>
      </c>
      <c r="I16" s="25">
        <f>'Submetering '!AA16</f>
        <v>0</v>
      </c>
      <c r="J16">
        <f>'Submetering '!AB16</f>
        <v>0</v>
      </c>
      <c r="K16">
        <f>'Submetering '!AC16</f>
        <v>0</v>
      </c>
    </row>
    <row r="17" spans="1:11" x14ac:dyDescent="0.25">
      <c r="A17" t="s">
        <v>11</v>
      </c>
      <c r="B17">
        <f t="shared" si="0"/>
        <v>16</v>
      </c>
      <c r="C17">
        <v>1</v>
      </c>
      <c r="D17">
        <v>2023</v>
      </c>
      <c r="E17" s="26">
        <f>0.75*INDEX('13 - Electrical Readings'!$H$8:$H$994,1+(2*(ROWS(A$1:A16)-1)))+INDEX('13 - Electrical Readings'!$Q$8:$Q$994,1+(2*(ROWS(A$1:A16)-1)))</f>
        <v>0</v>
      </c>
      <c r="F17">
        <v>4.1000000000000002E-2</v>
      </c>
      <c r="G17" s="27">
        <f>0.75*INDEX('9 - Water Readings'!$F$8:$F$992,1+(2*(ROWS(A$1:A16)-1)))+INDEX('9 - Water Readings'!$M$8:$M$992,1+(2*(ROWS(A$1:A16)-1)))</f>
        <v>0</v>
      </c>
      <c r="H17" s="25">
        <v>1.5571912601017661</v>
      </c>
      <c r="I17" s="25">
        <f>'Submetering '!AA17</f>
        <v>0</v>
      </c>
      <c r="J17">
        <f>'Submetering '!AB17</f>
        <v>0</v>
      </c>
      <c r="K17">
        <f>'Submetering '!AC17</f>
        <v>0</v>
      </c>
    </row>
    <row r="18" spans="1:11" x14ac:dyDescent="0.25">
      <c r="A18" t="s">
        <v>11</v>
      </c>
      <c r="B18">
        <f t="shared" si="0"/>
        <v>17</v>
      </c>
      <c r="C18">
        <v>1</v>
      </c>
      <c r="D18">
        <v>2023</v>
      </c>
      <c r="E18" s="26">
        <f>0.75*INDEX('13 - Electrical Readings'!$H$8:$H$994,1+(2*(ROWS(A$1:A17)-1)))+INDEX('13 - Electrical Readings'!$Q$8:$Q$994,1+(2*(ROWS(A$1:A17)-1)))</f>
        <v>0</v>
      </c>
      <c r="F18">
        <v>4.1000000000000002E-2</v>
      </c>
      <c r="G18" s="27">
        <f>0.75*INDEX('9 - Water Readings'!$F$8:$F$992,1+(2*(ROWS(A$1:A17)-1)))+INDEX('9 - Water Readings'!$M$8:$M$992,1+(2*(ROWS(A$1:A17)-1)))</f>
        <v>0</v>
      </c>
      <c r="H18" s="25">
        <v>1.5571912601017661</v>
      </c>
      <c r="I18" s="25">
        <f>'Submetering '!AA18</f>
        <v>0</v>
      </c>
      <c r="J18">
        <f>'Submetering '!AB18</f>
        <v>0</v>
      </c>
      <c r="K18">
        <f>'Submetering '!AC18</f>
        <v>0</v>
      </c>
    </row>
    <row r="19" spans="1:11" x14ac:dyDescent="0.25">
      <c r="A19" t="s">
        <v>11</v>
      </c>
      <c r="B19">
        <f t="shared" si="0"/>
        <v>18</v>
      </c>
      <c r="C19">
        <v>1</v>
      </c>
      <c r="D19">
        <v>2023</v>
      </c>
      <c r="E19" s="26">
        <f>0.75*INDEX('13 - Electrical Readings'!$H$8:$H$994,1+(2*(ROWS(A$1:A18)-1)))+INDEX('13 - Electrical Readings'!$Q$8:$Q$994,1+(2*(ROWS(A$1:A18)-1)))</f>
        <v>0</v>
      </c>
      <c r="F19">
        <v>4.1000000000000002E-2</v>
      </c>
      <c r="G19" s="27">
        <f>0.75*INDEX('9 - Water Readings'!$F$8:$F$992,1+(2*(ROWS(A$1:A18)-1)))+INDEX('9 - Water Readings'!$M$8:$M$992,1+(2*(ROWS(A$1:A18)-1)))</f>
        <v>0</v>
      </c>
      <c r="H19" s="25">
        <v>1.5571912601017661</v>
      </c>
      <c r="I19" s="25">
        <f>'Submetering '!AA19</f>
        <v>0</v>
      </c>
      <c r="J19">
        <f>'Submetering '!AB19</f>
        <v>0</v>
      </c>
      <c r="K19">
        <f>'Submetering '!AC19</f>
        <v>0</v>
      </c>
    </row>
    <row r="20" spans="1:11" x14ac:dyDescent="0.25">
      <c r="A20" t="s">
        <v>11</v>
      </c>
      <c r="B20">
        <f t="shared" si="0"/>
        <v>19</v>
      </c>
      <c r="C20">
        <v>1</v>
      </c>
      <c r="D20">
        <v>2023</v>
      </c>
      <c r="E20" s="26">
        <f>0.75*INDEX('13 - Electrical Readings'!$H$8:$H$994,1+(2*(ROWS(A$1:A19)-1)))+INDEX('13 - Electrical Readings'!$Q$8:$Q$994,1+(2*(ROWS(A$1:A19)-1)))</f>
        <v>0</v>
      </c>
      <c r="F20">
        <v>4.1000000000000002E-2</v>
      </c>
      <c r="G20" s="27">
        <f>0.75*INDEX('9 - Water Readings'!$F$8:$F$992,1+(2*(ROWS(A$1:A19)-1)))+INDEX('9 - Water Readings'!$M$8:$M$992,1+(2*(ROWS(A$1:A19)-1)))</f>
        <v>0</v>
      </c>
      <c r="H20" s="25">
        <v>1.5571912601017661</v>
      </c>
      <c r="I20" s="25">
        <f>'Submetering '!AA20</f>
        <v>0</v>
      </c>
      <c r="J20">
        <f>'Submetering '!AB20</f>
        <v>0</v>
      </c>
      <c r="K20">
        <f>'Submetering '!AC20</f>
        <v>0</v>
      </c>
    </row>
    <row r="21" spans="1:11" x14ac:dyDescent="0.25">
      <c r="A21" t="s">
        <v>11</v>
      </c>
      <c r="B21">
        <f t="shared" si="0"/>
        <v>20</v>
      </c>
      <c r="C21">
        <v>1</v>
      </c>
      <c r="D21">
        <v>2023</v>
      </c>
      <c r="E21" s="26">
        <f>0.75*INDEX('13 - Electrical Readings'!$H$8:$H$994,1+(2*(ROWS(A$1:A20)-1)))+INDEX('13 - Electrical Readings'!$Q$8:$Q$994,1+(2*(ROWS(A$1:A20)-1)))</f>
        <v>0</v>
      </c>
      <c r="F21">
        <v>4.1000000000000002E-2</v>
      </c>
      <c r="G21" s="27">
        <f>0.75*INDEX('9 - Water Readings'!$F$8:$F$992,1+(2*(ROWS(A$1:A20)-1)))+INDEX('9 - Water Readings'!$M$8:$M$992,1+(2*(ROWS(A$1:A20)-1)))</f>
        <v>0</v>
      </c>
      <c r="H21" s="25">
        <v>1.5571912601017661</v>
      </c>
      <c r="I21" s="25">
        <f>'Submetering '!AA21</f>
        <v>0</v>
      </c>
      <c r="J21">
        <f>'Submetering '!AB21</f>
        <v>0</v>
      </c>
      <c r="K21">
        <f>'Submetering '!AC21</f>
        <v>0</v>
      </c>
    </row>
    <row r="22" spans="1:11" x14ac:dyDescent="0.25">
      <c r="A22" t="s">
        <v>11</v>
      </c>
      <c r="B22">
        <f t="shared" si="0"/>
        <v>21</v>
      </c>
      <c r="C22">
        <v>1</v>
      </c>
      <c r="D22">
        <v>2023</v>
      </c>
      <c r="E22" s="26">
        <f>0.75*INDEX('13 - Electrical Readings'!$H$8:$H$994,1+(2*(ROWS(A$1:A21)-1)))+INDEX('13 - Electrical Readings'!$Q$8:$Q$994,1+(2*(ROWS(A$1:A21)-1)))</f>
        <v>0</v>
      </c>
      <c r="F22">
        <v>4.1000000000000002E-2</v>
      </c>
      <c r="G22" s="27">
        <f>0.75*INDEX('9 - Water Readings'!$F$8:$F$992,1+(2*(ROWS(A$1:A21)-1)))+INDEX('9 - Water Readings'!$M$8:$M$992,1+(2*(ROWS(A$1:A21)-1)))</f>
        <v>0</v>
      </c>
      <c r="H22" s="25">
        <v>1.5571912601017661</v>
      </c>
      <c r="I22" s="25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>
        <v>1</v>
      </c>
      <c r="D23">
        <v>2023</v>
      </c>
      <c r="E23" s="26">
        <f>0.75*INDEX('13 - Electrical Readings'!$H$8:$H$994,1+(2*(ROWS(A$1:A22)-1)))+INDEX('13 - Electrical Readings'!$Q$8:$Q$994,1+(2*(ROWS(A$1:A22)-1)))</f>
        <v>0</v>
      </c>
      <c r="F23">
        <v>4.1000000000000002E-2</v>
      </c>
      <c r="G23" s="27">
        <f>0.75*INDEX('9 - Water Readings'!$F$8:$F$992,1+(2*(ROWS(A$1:A22)-1)))+INDEX('9 - Water Readings'!$M$8:$M$992,1+(2*(ROWS(A$1:A22)-1)))</f>
        <v>0</v>
      </c>
      <c r="H23" s="25">
        <v>1.5571912601017661</v>
      </c>
      <c r="I23" s="25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>
        <v>1</v>
      </c>
      <c r="D24">
        <v>2023</v>
      </c>
      <c r="E24" s="26">
        <f>0.75*INDEX('13 - Electrical Readings'!$H$8:$H$994,1+(2*(ROWS(A$1:A23)-1)))+INDEX('13 - Electrical Readings'!$Q$8:$Q$994,1+(2*(ROWS(A$1:A23)-1)))</f>
        <v>0</v>
      </c>
      <c r="F24">
        <v>4.1000000000000002E-2</v>
      </c>
      <c r="G24" s="27">
        <f>0.75*INDEX('9 - Water Readings'!$F$8:$F$992,1+(2*(ROWS(A$1:A23)-1)))+INDEX('9 - Water Readings'!$M$8:$M$992,1+(2*(ROWS(A$1:A23)-1)))</f>
        <v>0</v>
      </c>
      <c r="H24" s="25">
        <v>1.5571912601017661</v>
      </c>
      <c r="I24" s="25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>
        <v>1</v>
      </c>
      <c r="D25">
        <v>2023</v>
      </c>
      <c r="E25" s="26">
        <f>0.75*INDEX('13 - Electrical Readings'!$H$8:$H$994,1+(2*(ROWS(A$1:A24)-1)))+INDEX('13 - Electrical Readings'!$Q$8:$Q$994,1+(2*(ROWS(A$1:A24)-1)))</f>
        <v>0</v>
      </c>
      <c r="F25">
        <v>4.1000000000000002E-2</v>
      </c>
      <c r="G25" s="27">
        <f>0.75*INDEX('9 - Water Readings'!$F$8:$F$992,1+(2*(ROWS(A$1:A24)-1)))+INDEX('9 - Water Readings'!$M$8:$M$992,1+(2*(ROWS(A$1:A24)-1)))</f>
        <v>0</v>
      </c>
      <c r="H25" s="25">
        <v>1.5571912601017661</v>
      </c>
      <c r="I25" s="25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>
        <v>1</v>
      </c>
      <c r="D26">
        <v>2023</v>
      </c>
      <c r="E26" s="26">
        <f>0.75*INDEX('13 - Electrical Readings'!$H$8:$H$994,1+(2*(ROWS(A$1:A25)-1)))+INDEX('13 - Electrical Readings'!$Q$8:$Q$994,1+(2*(ROWS(A$1:A25)-1)))</f>
        <v>0</v>
      </c>
      <c r="F26">
        <v>4.1000000000000002E-2</v>
      </c>
      <c r="G26" s="27">
        <f>0.75*INDEX('9 - Water Readings'!$F$8:$F$992,1+(2*(ROWS(A$1:A25)-1)))+INDEX('9 - Water Readings'!$M$8:$M$992,1+(2*(ROWS(A$1:A25)-1)))</f>
        <v>0</v>
      </c>
      <c r="H26" s="25">
        <v>1.5571912601017661</v>
      </c>
      <c r="I26" s="25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>
        <v>1</v>
      </c>
      <c r="D27">
        <v>2023</v>
      </c>
      <c r="E27" s="26">
        <f>0.75*INDEX('13 - Electrical Readings'!$H$8:$H$994,1+(2*(ROWS(A$1:A26)-1)))+INDEX('13 - Electrical Readings'!$Q$8:$Q$994,1+(2*(ROWS(A$1:A26)-1)))</f>
        <v>0</v>
      </c>
      <c r="F27">
        <v>4.1000000000000002E-2</v>
      </c>
      <c r="G27" s="27">
        <f>0.75*INDEX('9 - Water Readings'!$F$8:$F$992,1+(2*(ROWS(A$1:A26)-1)))+INDEX('9 - Water Readings'!$M$8:$M$992,1+(2*(ROWS(A$1:A26)-1)))</f>
        <v>0</v>
      </c>
      <c r="H27" s="25">
        <v>1.5571912601017661</v>
      </c>
      <c r="I27" s="25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>
        <v>1</v>
      </c>
      <c r="D28">
        <v>2023</v>
      </c>
      <c r="E28" s="26">
        <f>0.75*INDEX('13 - Electrical Readings'!$H$8:$H$994,1+(2*(ROWS(A$1:A27)-1)))+INDEX('13 - Electrical Readings'!$Q$8:$Q$994,1+(2*(ROWS(A$1:A27)-1)))</f>
        <v>0</v>
      </c>
      <c r="F28">
        <v>4.1000000000000002E-2</v>
      </c>
      <c r="G28" s="27">
        <f>0.75*INDEX('9 - Water Readings'!$F$8:$F$992,1+(2*(ROWS(A$1:A27)-1)))+INDEX('9 - Water Readings'!$M$8:$M$992,1+(2*(ROWS(A$1:A27)-1)))</f>
        <v>0</v>
      </c>
      <c r="H28" s="25">
        <v>1.5571912601017661</v>
      </c>
      <c r="I28" s="25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>
        <v>1</v>
      </c>
      <c r="D29">
        <v>2023</v>
      </c>
      <c r="E29" s="26">
        <f>0.75*INDEX('13 - Electrical Readings'!$H$8:$H$994,1+(2*(ROWS(A$1:A28)-1)))+INDEX('13 - Electrical Readings'!$Q$8:$Q$994,1+(2*(ROWS(A$1:A28)-1)))</f>
        <v>0</v>
      </c>
      <c r="F29">
        <v>4.1000000000000002E-2</v>
      </c>
      <c r="G29" s="27">
        <f>0.75*INDEX('9 - Water Readings'!$F$8:$F$992,1+(2*(ROWS(A$1:A28)-1)))+INDEX('9 - Water Readings'!$M$8:$M$992,1+(2*(ROWS(A$1:A28)-1)))</f>
        <v>0</v>
      </c>
      <c r="H29" s="25">
        <v>1.5571912601017661</v>
      </c>
      <c r="I29" s="25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>
        <v>1</v>
      </c>
      <c r="D30">
        <v>2023</v>
      </c>
      <c r="E30" s="26">
        <f>0.75*INDEX('13 - Electrical Readings'!$H$8:$H$994,1+(2*(ROWS(A$1:A29)-1)))+INDEX('13 - Electrical Readings'!$Q$8:$Q$994,1+(2*(ROWS(A$1:A29)-1)))</f>
        <v>0</v>
      </c>
      <c r="F30">
        <v>4.1000000000000002E-2</v>
      </c>
      <c r="G30" s="27">
        <f>0.75*INDEX('9 - Water Readings'!$F$8:$F$992,1+(2*(ROWS(A$1:A29)-1)))+INDEX('9 - Water Readings'!$M$8:$M$992,1+(2*(ROWS(A$1:A29)-1)))</f>
        <v>0</v>
      </c>
      <c r="H30" s="25">
        <v>1.5571912601017661</v>
      </c>
      <c r="I30" s="25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>
        <v>1</v>
      </c>
      <c r="D31">
        <v>2023</v>
      </c>
      <c r="E31" s="26">
        <f>0.75*INDEX('13 - Electrical Readings'!$H$8:$H$994,1+(2*(ROWS(A$1:A30)-1)))+INDEX('13 - Electrical Readings'!$Q$8:$Q$994,1+(2*(ROWS(A$1:A30)-1)))</f>
        <v>0</v>
      </c>
      <c r="F31">
        <v>4.1000000000000002E-2</v>
      </c>
      <c r="G31" s="27">
        <f>0.75*INDEX('9 - Water Readings'!$F$8:$F$992,1+(2*(ROWS(A$1:A30)-1)))+INDEX('9 - Water Readings'!$M$8:$M$992,1+(2*(ROWS(A$1:A30)-1)))</f>
        <v>0</v>
      </c>
      <c r="H31" s="25">
        <v>1.5571912601017661</v>
      </c>
      <c r="I31" s="25">
        <f>'Submetering '!AA31</f>
        <v>0</v>
      </c>
      <c r="J31">
        <f>'Submetering '!AB31</f>
        <v>0</v>
      </c>
      <c r="K31">
        <f>'Submetering '!AC31</f>
        <v>0</v>
      </c>
    </row>
    <row r="32" spans="1:11" x14ac:dyDescent="0.25">
      <c r="A32" t="s">
        <v>11</v>
      </c>
      <c r="B32">
        <f>B31+1</f>
        <v>31</v>
      </c>
      <c r="C32">
        <v>1</v>
      </c>
      <c r="D32">
        <v>2023</v>
      </c>
      <c r="E32" s="26">
        <f>0.75*INDEX('13 - Electrical Readings'!$H$8:$H$994,1+(2*(ROWS(A$1:A31)-1)))+INDEX('13 - Electrical Readings'!$Q$8:$Q$994,1+(2*(ROWS(A$1:A31)-1)))</f>
        <v>0</v>
      </c>
      <c r="F32">
        <v>4.1000000000000002E-2</v>
      </c>
      <c r="G32" s="27">
        <f>0.75*INDEX('9 - Water Readings'!$F$8:$F$992,1+(2*(ROWS(A$1:A31)-1)))+INDEX('9 - Water Readings'!$M$8:$M$992,1+(2*(ROWS(A$1:A31)-1)))</f>
        <v>0</v>
      </c>
      <c r="H32" s="25">
        <v>1.5571912601017661</v>
      </c>
      <c r="I32" s="25">
        <f>'Submetering '!AA32</f>
        <v>0</v>
      </c>
      <c r="J32">
        <f>'Submetering '!AB32</f>
        <v>0</v>
      </c>
      <c r="K32">
        <f>'Submetering '!AC32</f>
        <v>0</v>
      </c>
    </row>
    <row r="33" spans="5:11" x14ac:dyDescent="0.25">
      <c r="E33" s="24">
        <f>SUM(E2:E32)</f>
        <v>560550</v>
      </c>
      <c r="G33" s="24">
        <f>SUM(G2:G32)</f>
        <v>5218.5</v>
      </c>
      <c r="I33" s="24">
        <f>SUM(I2:I32)</f>
        <v>1305</v>
      </c>
      <c r="J33" s="24">
        <f t="shared" ref="J33:K33" si="1">SUM(J2:J32)</f>
        <v>5040</v>
      </c>
      <c r="K33" s="24">
        <f t="shared" si="1"/>
        <v>1.5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zoomScale="70" zoomScaleNormal="70" workbookViewId="0">
      <selection activeCell="I47" sqref="I47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1</v>
      </c>
      <c r="D2" s="33">
        <v>2023</v>
      </c>
      <c r="E2" s="34">
        <f>INDEX('13 - Electrical Readings'!$C$8:$C$960,1+(2*(ROWS(A$1:A1)-1)))</f>
        <v>8</v>
      </c>
      <c r="F2" s="34">
        <f>INDEX('13 - Electrical Readings'!$D$6:$D$960,1+(2*(ROWS(A$1:A2)-1)))</f>
        <v>3134</v>
      </c>
      <c r="G2" s="33">
        <f>INDEX('13 - Electrical Readings'!$E$6:$E$960,1+(2*(ROWS(A$1:A2)-1)))</f>
        <v>2235</v>
      </c>
      <c r="H2" s="33">
        <f>INDEX('13 - Electrical Readings'!$F$6:$F$960,1+(2*(ROWS(A$1:A2)-1)))</f>
        <v>2306</v>
      </c>
      <c r="I2" s="34">
        <f>INDEX('13 - Electrical Readings'!$G$6:$G$960,1+(2*(ROWS(A$1:A2)-1)))</f>
        <v>11639</v>
      </c>
      <c r="J2" s="33">
        <f>INDEX('13 - Electrical Readings'!$I$6:$I$960,1+(2*(ROWS(A$1:A2)-1)))</f>
        <v>1668</v>
      </c>
      <c r="K2" s="33">
        <f>INDEX('13 - Electrical Readings'!$J$6:$J$960,1+(2*(ROWS(B$1:B2)-1)))</f>
        <v>10076</v>
      </c>
      <c r="L2" s="33">
        <f>INDEX('13 - Electrical Readings'!$K$6:$K$960,1+(2*(ROWS(C$1:C2)-1)))</f>
        <v>4221</v>
      </c>
      <c r="M2" s="33">
        <f>INDEX('13 - Electrical Readings'!$L$6:$L$960,1+(2*(ROWS(D$1:D2)-1)))</f>
        <v>5113</v>
      </c>
      <c r="N2" s="33">
        <f>INDEX('13 - Electrical Readings'!$M$6:$M$960,1+(2*(ROWS(E$1:E2)-1)))</f>
        <v>10776</v>
      </c>
      <c r="O2" s="34">
        <f>INDEX('13 - Electrical Readings'!$N$6:$N$960,1+(2*(ROWS(E$1:E2)-1)))</f>
        <v>7194</v>
      </c>
      <c r="P2" s="34">
        <f>INDEX('13 - Electrical Readings'!$O$6:$O$960,1+(2*(ROWS(E$1:E2)-1)))</f>
        <v>1545</v>
      </c>
      <c r="Q2" s="34">
        <f>INDEX('13 - Electrical Readings'!$P$6:$P$960,1+(2*(ROWS(E$1:E2)-1)))</f>
        <v>2280</v>
      </c>
      <c r="R2" s="34">
        <f>INDEX('9 - Water Readings'!$C$8:$C$962,1+(2*(ROWS(A$1:A1)-1)))</f>
        <v>0</v>
      </c>
      <c r="S2" s="34">
        <f>INDEX('9 - Water Readings'!$D$8:$D$961,1+(2*(ROWS(A$1:A1)-1)))</f>
        <v>0</v>
      </c>
      <c r="T2" s="34">
        <f>INDEX('9 - Water Readings'!$E$8:$E$962,1+(2*(ROWS(A$1:A1)-1)))</f>
        <v>0</v>
      </c>
      <c r="U2" s="34">
        <f>INDEX('9 - Water Readings'!$G$8:$G$961,1+(2*(ROWS(A$1:A1)-1)))</f>
        <v>124</v>
      </c>
      <c r="V2" s="34">
        <f>INDEX('9 - Water Readings'!$H$8:$H$962,1+(2*(ROWS(A$1:A1)-1)))</f>
        <v>15</v>
      </c>
      <c r="W2" s="34">
        <f>INDEX('9 - Water Readings'!$I$8:$I$962,1+(2*(ROWS(A$1:A1)-1)))</f>
        <v>53</v>
      </c>
      <c r="X2" s="34">
        <f>INDEX('9 - Water Readings'!$J$8:$J$962,1+(2*(ROWS(A$1:A1)-1)))</f>
        <v>364</v>
      </c>
      <c r="Y2" s="34">
        <f>INDEX('9 - Water Readings'!$K$8:$K$962,1+(2*(ROWS(A$1:A1)-1)))</f>
        <v>0</v>
      </c>
      <c r="Z2" s="34">
        <f>INDEX('9 - Water Readings'!$L$8:$L$962,1+(2*(ROWS(A$1:A1)-1)))</f>
        <v>21</v>
      </c>
      <c r="AA2" s="35">
        <f>'9 - Water Readings'!Q7</f>
        <v>172</v>
      </c>
      <c r="AB2" s="33">
        <f>'9 - Water Readings'!R7</f>
        <v>740</v>
      </c>
      <c r="AC2">
        <f>'9 - Water Readings'!S7</f>
        <v>0.7</v>
      </c>
    </row>
    <row r="3" spans="1:29" x14ac:dyDescent="0.25">
      <c r="A3" s="36" t="s">
        <v>11</v>
      </c>
      <c r="B3" s="36">
        <f>B2+1</f>
        <v>2</v>
      </c>
      <c r="C3" s="36">
        <v>1</v>
      </c>
      <c r="D3" s="33">
        <v>2023</v>
      </c>
      <c r="E3" s="34">
        <f>INDEX('13 - Electrical Readings'!$C$8:$C$960,1+(2*(ROWS(A$1:A2)-1)))</f>
        <v>10</v>
      </c>
      <c r="F3" s="34">
        <f>INDEX('13 - Electrical Readings'!$D$6:$D$960,1+(2*(ROWS(A$1:A3)-1)))</f>
        <v>922</v>
      </c>
      <c r="G3" s="33">
        <f>INDEX('13 - Electrical Readings'!$E$6:$E$960,1+(2*(ROWS(A$1:A3)-1)))</f>
        <v>2324</v>
      </c>
      <c r="H3" s="33">
        <f>INDEX('13 - Electrical Readings'!$F$6:$F$960,1+(2*(ROWS(A$1:A3)-1)))</f>
        <v>2312</v>
      </c>
      <c r="I3" s="34">
        <f>INDEX('13 - Electrical Readings'!$G$6:$G$960,1+(2*(ROWS(A$1:A3)-1)))</f>
        <v>14485</v>
      </c>
      <c r="J3" s="33">
        <f>INDEX('13 - Electrical Readings'!$I$6:$I$960,1+(2*(ROWS(A$1:A3)-1)))</f>
        <v>1686</v>
      </c>
      <c r="K3" s="33">
        <f>INDEX('13 - Electrical Readings'!$J$6:$J$960,1+(2*(ROWS(B$1:B3)-1)))</f>
        <v>10077</v>
      </c>
      <c r="L3" s="33">
        <f>INDEX('13 - Electrical Readings'!$K$6:$K$960,1+(2*(ROWS(C$1:C3)-1)))</f>
        <v>3599</v>
      </c>
      <c r="M3" s="33">
        <f>INDEX('13 - Electrical Readings'!$L$6:$L$960,1+(2*(ROWS(D$1:D3)-1)))</f>
        <v>4930</v>
      </c>
      <c r="N3" s="33">
        <f>INDEX('13 - Electrical Readings'!$M$6:$M$960,1+(2*(ROWS(E$1:E3)-1)))</f>
        <v>10963</v>
      </c>
      <c r="O3" s="34">
        <f>INDEX('13 - Electrical Readings'!$N$6:$N$960,1+(2*(ROWS(E$1:E3)-1)))</f>
        <v>6891</v>
      </c>
      <c r="P3" s="34">
        <f>INDEX('13 - Electrical Readings'!$O$6:$O$960,1+(2*(ROWS(E$1:E3)-1)))</f>
        <v>1533</v>
      </c>
      <c r="Q3" s="34">
        <f>INDEX('13 - Electrical Readings'!$P$6:$P$960,1+(2*(ROWS(E$1:E3)-1)))</f>
        <v>2410</v>
      </c>
      <c r="R3" s="34">
        <f>INDEX('9 - Water Readings'!$C$8:$C$962,1+(2*(ROWS(A$1:A2)-1)))</f>
        <v>0</v>
      </c>
      <c r="S3" s="34">
        <f>INDEX('9 - Water Readings'!$D$8:$D$961,1+(2*(ROWS(A$1:A2)-1)))</f>
        <v>0</v>
      </c>
      <c r="T3" s="34">
        <f>INDEX('9 - Water Readings'!$E$8:$E$962,1+(2*(ROWS(A$1:A2)-1)))</f>
        <v>0</v>
      </c>
      <c r="U3" s="34">
        <f>INDEX('9 - Water Readings'!$G$8:$G$961,1+(2*(ROWS(A$1:A2)-1)))</f>
        <v>128</v>
      </c>
      <c r="V3" s="34">
        <f>INDEX('9 - Water Readings'!$H$8:$H$962,1+(2*(ROWS(A$1:A2)-1)))</f>
        <v>15</v>
      </c>
      <c r="W3" s="34">
        <f>INDEX('9 - Water Readings'!$I$8:$I$962,1+(2*(ROWS(A$1:A2)-1)))</f>
        <v>60</v>
      </c>
      <c r="X3" s="34">
        <f>INDEX('9 - Water Readings'!$J$8:$J$962,1+(2*(ROWS(A$1:A2)-1)))</f>
        <v>329</v>
      </c>
      <c r="Y3" s="34">
        <f>INDEX('9 - Water Readings'!$K$8:$K$962,1+(2*(ROWS(A$1:A2)-1)))</f>
        <v>0</v>
      </c>
      <c r="Z3" s="34">
        <f>INDEX('9 - Water Readings'!$L$8:$L$962,1+(2*(ROWS(A$1:A2)-1)))</f>
        <v>22</v>
      </c>
      <c r="AA3" s="35">
        <f>'9 - Water Readings'!Q8</f>
        <v>141</v>
      </c>
      <c r="AB3" s="33">
        <f>'9 - Water Readings'!R8</f>
        <v>594</v>
      </c>
      <c r="AC3">
        <f>'9 - Water Readings'!S8</f>
        <v>0.1</v>
      </c>
    </row>
    <row r="4" spans="1:29" x14ac:dyDescent="0.25">
      <c r="A4" s="36" t="s">
        <v>11</v>
      </c>
      <c r="B4" s="36">
        <f t="shared" ref="B4:B29" si="0">B3+1</f>
        <v>3</v>
      </c>
      <c r="C4" s="36">
        <v>1</v>
      </c>
      <c r="D4" s="33">
        <v>2023</v>
      </c>
      <c r="E4" s="34">
        <f>INDEX('13 - Electrical Readings'!$C$8:$C$960,1+(2*(ROWS(A$1:A3)-1)))</f>
        <v>12</v>
      </c>
      <c r="F4" s="34">
        <f>INDEX('13 - Electrical Readings'!$D$6:$D$960,1+(2*(ROWS(A$1:A4)-1)))</f>
        <v>924</v>
      </c>
      <c r="G4" s="33">
        <f>INDEX('13 - Electrical Readings'!$E$6:$E$960,1+(2*(ROWS(A$1:A4)-1)))</f>
        <v>2302</v>
      </c>
      <c r="H4" s="33">
        <f>INDEX('13 - Electrical Readings'!$F$6:$F$960,1+(2*(ROWS(A$1:A4)-1)))</f>
        <v>2248</v>
      </c>
      <c r="I4" s="34">
        <f>INDEX('13 - Electrical Readings'!$G$6:$G$960,1+(2*(ROWS(A$1:A4)-1)))</f>
        <v>13419</v>
      </c>
      <c r="J4" s="33">
        <f>INDEX('13 - Electrical Readings'!$I$6:$I$960,1+(2*(ROWS(A$1:A4)-1)))</f>
        <v>1664</v>
      </c>
      <c r="K4" s="33">
        <f>INDEX('13 - Electrical Readings'!$J$6:$J$960,1+(2*(ROWS(B$1:B4)-1)))</f>
        <v>9724</v>
      </c>
      <c r="L4" s="33">
        <f>INDEX('13 - Electrical Readings'!$K$6:$K$960,1+(2*(ROWS(C$1:C4)-1)))</f>
        <v>3511</v>
      </c>
      <c r="M4" s="33">
        <f>INDEX('13 - Electrical Readings'!$L$6:$L$960,1+(2*(ROWS(D$1:D4)-1)))</f>
        <v>4752</v>
      </c>
      <c r="N4" s="33">
        <f>INDEX('13 - Electrical Readings'!$M$6:$M$960,1+(2*(ROWS(E$1:E4)-1)))</f>
        <v>10697</v>
      </c>
      <c r="O4" s="34">
        <f>INDEX('13 - Electrical Readings'!$N$6:$N$960,1+(2*(ROWS(E$1:E4)-1)))</f>
        <v>6317</v>
      </c>
      <c r="P4" s="34">
        <f>INDEX('13 - Electrical Readings'!$O$6:$O$960,1+(2*(ROWS(E$1:E4)-1)))</f>
        <v>1328</v>
      </c>
      <c r="Q4" s="34">
        <f>INDEX('13 - Electrical Readings'!$P$6:$P$960,1+(2*(ROWS(E$1:E4)-1)))</f>
        <v>2560</v>
      </c>
      <c r="R4" s="34">
        <f>INDEX('9 - Water Readings'!$C$8:$C$962,1+(2*(ROWS(A$1:A3)-1)))</f>
        <v>1</v>
      </c>
      <c r="S4" s="34">
        <f>INDEX('9 - Water Readings'!$D$8:$D$961,1+(2*(ROWS(A$1:A3)-1)))</f>
        <v>0</v>
      </c>
      <c r="T4" s="34">
        <f>INDEX('9 - Water Readings'!$E$8:$E$962,1+(2*(ROWS(A$1:A3)-1)))</f>
        <v>0</v>
      </c>
      <c r="U4" s="34">
        <f>INDEX('9 - Water Readings'!$G$8:$G$961,1+(2*(ROWS(A$1:A3)-1)))</f>
        <v>117</v>
      </c>
      <c r="V4" s="34">
        <f>INDEX('9 - Water Readings'!$H$8:$H$962,1+(2*(ROWS(A$1:A3)-1)))</f>
        <v>15</v>
      </c>
      <c r="W4" s="34">
        <f>INDEX('9 - Water Readings'!$I$8:$I$962,1+(2*(ROWS(A$1:A3)-1)))</f>
        <v>58</v>
      </c>
      <c r="X4" s="34">
        <f>INDEX('9 - Water Readings'!$J$8:$J$962,1+(2*(ROWS(A$1:A3)-1)))</f>
        <v>280</v>
      </c>
      <c r="Y4" s="34">
        <f>INDEX('9 - Water Readings'!$K$8:$K$962,1+(2*(ROWS(A$1:A3)-1)))</f>
        <v>0</v>
      </c>
      <c r="Z4" s="34">
        <f>INDEX('9 - Water Readings'!$L$8:$L$962,1+(2*(ROWS(A$1:A3)-1)))</f>
        <v>25</v>
      </c>
      <c r="AA4" s="35">
        <f>'9 - Water Readings'!Q9</f>
        <v>135</v>
      </c>
      <c r="AB4" s="33">
        <f>'9 - Water Readings'!R9</f>
        <v>564</v>
      </c>
      <c r="AC4">
        <f>'9 - Water Readings'!S9</f>
        <v>0</v>
      </c>
    </row>
    <row r="5" spans="1:29" x14ac:dyDescent="0.25">
      <c r="A5" s="36" t="s">
        <v>11</v>
      </c>
      <c r="B5" s="36">
        <f t="shared" si="0"/>
        <v>4</v>
      </c>
      <c r="C5" s="36">
        <v>1</v>
      </c>
      <c r="D5" s="33">
        <v>2023</v>
      </c>
      <c r="E5" s="34">
        <f>INDEX('13 - Electrical Readings'!$C$8:$C$960,1+(2*(ROWS(A$1:A4)-1)))</f>
        <v>1</v>
      </c>
      <c r="F5" s="34">
        <f>INDEX('13 - Electrical Readings'!$D$6:$D$960,1+(2*(ROWS(A$1:A5)-1)))</f>
        <v>917</v>
      </c>
      <c r="G5" s="33">
        <f>INDEX('13 - Electrical Readings'!$E$6:$E$960,1+(2*(ROWS(A$1:A5)-1)))</f>
        <v>2335</v>
      </c>
      <c r="H5" s="33">
        <f>INDEX('13 - Electrical Readings'!$F$6:$F$960,1+(2*(ROWS(A$1:A5)-1)))</f>
        <v>2280</v>
      </c>
      <c r="I5" s="34">
        <f>INDEX('13 - Electrical Readings'!$G$6:$G$960,1+(2*(ROWS(A$1:A5)-1)))</f>
        <v>14658</v>
      </c>
      <c r="J5" s="33">
        <f>INDEX('13 - Electrical Readings'!$I$6:$I$960,1+(2*(ROWS(A$1:A5)-1)))</f>
        <v>1698</v>
      </c>
      <c r="K5" s="33">
        <f>INDEX('13 - Electrical Readings'!$J$6:$J$960,1+(2*(ROWS(B$1:B5)-1)))</f>
        <v>9886</v>
      </c>
      <c r="L5" s="33">
        <f>INDEX('13 - Electrical Readings'!$K$6:$K$960,1+(2*(ROWS(C$1:C5)-1)))</f>
        <v>3557</v>
      </c>
      <c r="M5" s="33">
        <f>INDEX('13 - Electrical Readings'!$L$6:$L$960,1+(2*(ROWS(D$1:D5)-1)))</f>
        <v>5079</v>
      </c>
      <c r="N5" s="33">
        <f>INDEX('13 - Electrical Readings'!$M$6:$M$960,1+(2*(ROWS(E$1:E5)-1)))</f>
        <v>10765</v>
      </c>
      <c r="O5" s="34">
        <f>INDEX('13 - Electrical Readings'!$N$6:$N$960,1+(2*(ROWS(E$1:E5)-1)))</f>
        <v>6606</v>
      </c>
      <c r="P5" s="34">
        <f>INDEX('13 - Electrical Readings'!$O$6:$O$960,1+(2*(ROWS(E$1:E5)-1)))</f>
        <v>1314</v>
      </c>
      <c r="Q5" s="34">
        <f>INDEX('13 - Electrical Readings'!$P$6:$P$960,1+(2*(ROWS(E$1:E5)-1)))</f>
        <v>2560</v>
      </c>
      <c r="R5" s="34">
        <f>INDEX('9 - Water Readings'!$C$8:$C$962,1+(2*(ROWS(A$1:A4)-1)))</f>
        <v>0</v>
      </c>
      <c r="S5" s="34">
        <f>INDEX('9 - Water Readings'!$D$8:$D$961,1+(2*(ROWS(A$1:A4)-1)))</f>
        <v>0</v>
      </c>
      <c r="T5" s="34">
        <f>INDEX('9 - Water Readings'!$E$8:$E$962,1+(2*(ROWS(A$1:A4)-1)))</f>
        <v>0</v>
      </c>
      <c r="U5" s="34">
        <f>INDEX('9 - Water Readings'!$G$8:$G$961,1+(2*(ROWS(A$1:A4)-1)))</f>
        <v>125</v>
      </c>
      <c r="V5" s="34">
        <f>INDEX('9 - Water Readings'!$H$8:$H$962,1+(2*(ROWS(A$1:A4)-1)))</f>
        <v>15</v>
      </c>
      <c r="W5" s="34">
        <f>INDEX('9 - Water Readings'!$I$8:$I$962,1+(2*(ROWS(A$1:A4)-1)))</f>
        <v>60</v>
      </c>
      <c r="X5" s="34">
        <f>INDEX('9 - Water Readings'!$J$8:$J$962,1+(2*(ROWS(A$1:A4)-1)))</f>
        <v>306</v>
      </c>
      <c r="Y5" s="34">
        <f>INDEX('9 - Water Readings'!$K$8:$K$962,1+(2*(ROWS(A$1:A4)-1)))</f>
        <v>0</v>
      </c>
      <c r="Z5" s="34">
        <f>INDEX('9 - Water Readings'!$L$8:$L$962,1+(2*(ROWS(A$1:A4)-1)))</f>
        <v>28</v>
      </c>
      <c r="AA5" s="35">
        <f>'9 - Water Readings'!Q10</f>
        <v>115</v>
      </c>
      <c r="AB5" s="33">
        <f>'9 - Water Readings'!R10</f>
        <v>490</v>
      </c>
      <c r="AC5">
        <f>'9 - Water Readings'!S10</f>
        <v>0.4</v>
      </c>
    </row>
    <row r="6" spans="1:29" x14ac:dyDescent="0.25">
      <c r="A6" s="36" t="s">
        <v>11</v>
      </c>
      <c r="B6" s="36">
        <f t="shared" si="0"/>
        <v>5</v>
      </c>
      <c r="C6" s="36">
        <v>1</v>
      </c>
      <c r="D6" s="33">
        <v>2023</v>
      </c>
      <c r="E6" s="34">
        <f>INDEX('13 - Electrical Readings'!$C$8:$C$960,1+(2*(ROWS(A$1:A5)-1)))</f>
        <v>0</v>
      </c>
      <c r="F6" s="34">
        <f>INDEX('13 - Electrical Readings'!$D$6:$D$960,1+(2*(ROWS(A$1:A6)-1)))</f>
        <v>927</v>
      </c>
      <c r="G6" s="33">
        <f>INDEX('13 - Electrical Readings'!$E$6:$E$960,1+(2*(ROWS(A$1:A6)-1)))</f>
        <v>2317</v>
      </c>
      <c r="H6" s="33">
        <f>INDEX('13 - Electrical Readings'!$F$6:$F$960,1+(2*(ROWS(A$1:A6)-1)))</f>
        <v>2470</v>
      </c>
      <c r="I6" s="34">
        <f>INDEX('13 - Electrical Readings'!$G$6:$G$960,1+(2*(ROWS(A$1:A6)-1)))</f>
        <v>15867</v>
      </c>
      <c r="J6" s="33">
        <f>INDEX('13 - Electrical Readings'!$I$6:$I$960,1+(2*(ROWS(A$1:A6)-1)))</f>
        <v>1676</v>
      </c>
      <c r="K6" s="33">
        <f>INDEX('13 - Electrical Readings'!$J$6:$J$960,1+(2*(ROWS(B$1:B6)-1)))</f>
        <v>10100</v>
      </c>
      <c r="L6" s="33">
        <f>INDEX('13 - Electrical Readings'!$K$6:$K$960,1+(2*(ROWS(C$1:C6)-1)))</f>
        <v>4064</v>
      </c>
      <c r="M6" s="33">
        <f>INDEX('13 - Electrical Readings'!$L$6:$L$960,1+(2*(ROWS(D$1:D6)-1)))</f>
        <v>5071</v>
      </c>
      <c r="N6" s="33">
        <f>INDEX('13 - Electrical Readings'!$M$6:$M$960,1+(2*(ROWS(E$1:E6)-1)))</f>
        <v>10960</v>
      </c>
      <c r="O6" s="34">
        <f>INDEX('13 - Electrical Readings'!$N$6:$N$960,1+(2*(ROWS(E$1:E6)-1)))</f>
        <v>6762</v>
      </c>
      <c r="P6" s="34">
        <f>INDEX('13 - Electrical Readings'!$O$6:$O$960,1+(2*(ROWS(E$1:E6)-1)))</f>
        <v>1368</v>
      </c>
      <c r="Q6" s="34">
        <f>INDEX('13 - Electrical Readings'!$P$6:$P$960,1+(2*(ROWS(E$1:E6)-1)))</f>
        <v>2650</v>
      </c>
      <c r="R6" s="34">
        <f>INDEX('9 - Water Readings'!$C$8:$C$962,1+(2*(ROWS(A$1:A5)-1)))</f>
        <v>0</v>
      </c>
      <c r="S6" s="34">
        <f>INDEX('9 - Water Readings'!$D$8:$D$961,1+(2*(ROWS(A$1:A5)-1)))</f>
        <v>1</v>
      </c>
      <c r="T6" s="34">
        <f>INDEX('9 - Water Readings'!$E$8:$E$962,1+(2*(ROWS(A$1:A5)-1)))</f>
        <v>0</v>
      </c>
      <c r="U6" s="34">
        <f>INDEX('9 - Water Readings'!$G$8:$G$961,1+(2*(ROWS(A$1:A5)-1)))</f>
        <v>123</v>
      </c>
      <c r="V6" s="34">
        <f>INDEX('9 - Water Readings'!$H$8:$H$962,1+(2*(ROWS(A$1:A5)-1)))</f>
        <v>19</v>
      </c>
      <c r="W6" s="34">
        <f>INDEX('9 - Water Readings'!$I$8:$I$962,1+(2*(ROWS(A$1:A5)-1)))</f>
        <v>64</v>
      </c>
      <c r="X6" s="34">
        <f>INDEX('9 - Water Readings'!$J$8:$J$962,1+(2*(ROWS(A$1:A5)-1)))</f>
        <v>336</v>
      </c>
      <c r="Y6" s="34">
        <f>INDEX('9 - Water Readings'!$K$8:$K$962,1+(2*(ROWS(A$1:A5)-1)))</f>
        <v>0</v>
      </c>
      <c r="Z6" s="34">
        <f>INDEX('9 - Water Readings'!$L$8:$L$962,1+(2*(ROWS(A$1:A5)-1)))</f>
        <v>16</v>
      </c>
      <c r="AA6" s="35">
        <f>'9 - Water Readings'!Q11</f>
        <v>157</v>
      </c>
      <c r="AB6" s="33">
        <f>'9 - Water Readings'!R11</f>
        <v>636</v>
      </c>
      <c r="AC6">
        <f>'9 - Water Readings'!S11</f>
        <v>0.3</v>
      </c>
    </row>
    <row r="7" spans="1:29" x14ac:dyDescent="0.25">
      <c r="A7" s="36" t="s">
        <v>11</v>
      </c>
      <c r="B7" s="36">
        <f t="shared" si="0"/>
        <v>6</v>
      </c>
      <c r="C7" s="36">
        <v>1</v>
      </c>
      <c r="D7" s="33">
        <v>2023</v>
      </c>
      <c r="E7" s="34">
        <f>INDEX('13 - Electrical Readings'!$C$8:$C$960,1+(2*(ROWS(A$1:A6)-1)))</f>
        <v>7</v>
      </c>
      <c r="F7" s="34">
        <f>INDEX('13 - Electrical Readings'!$D$6:$D$960,1+(2*(ROWS(A$1:A7)-1)))</f>
        <v>940</v>
      </c>
      <c r="G7" s="33">
        <f>INDEX('13 - Electrical Readings'!$E$6:$E$960,1+(2*(ROWS(A$1:A7)-1)))</f>
        <v>2313</v>
      </c>
      <c r="H7" s="33">
        <f>INDEX('13 - Electrical Readings'!$F$6:$F$960,1+(2*(ROWS(A$1:A7)-1)))</f>
        <v>2233</v>
      </c>
      <c r="I7" s="34">
        <f>INDEX('13 - Electrical Readings'!$G$6:$G$960,1+(2*(ROWS(A$1:A7)-1)))</f>
        <v>14468</v>
      </c>
      <c r="J7" s="33">
        <f>INDEX('13 - Electrical Readings'!$I$6:$I$960,1+(2*(ROWS(A$1:A7)-1)))</f>
        <v>1730</v>
      </c>
      <c r="K7" s="33">
        <f>INDEX('13 - Electrical Readings'!$J$6:$J$960,1+(2*(ROWS(B$1:B7)-1)))</f>
        <v>10059</v>
      </c>
      <c r="L7" s="33">
        <f>INDEX('13 - Electrical Readings'!$K$6:$K$960,1+(2*(ROWS(C$1:C7)-1)))</f>
        <v>4063</v>
      </c>
      <c r="M7" s="33">
        <f>INDEX('13 - Electrical Readings'!$L$6:$L$960,1+(2*(ROWS(D$1:D7)-1)))</f>
        <v>5008</v>
      </c>
      <c r="N7" s="33">
        <f>INDEX('13 - Electrical Readings'!$M$6:$M$960,1+(2*(ROWS(E$1:E7)-1)))</f>
        <v>10930</v>
      </c>
      <c r="O7" s="34">
        <f>INDEX('13 - Electrical Readings'!$N$6:$N$960,1+(2*(ROWS(E$1:E7)-1)))</f>
        <v>5964</v>
      </c>
      <c r="P7" s="34">
        <f>INDEX('13 - Electrical Readings'!$O$6:$O$960,1+(2*(ROWS(E$1:E7)-1)))</f>
        <v>1390</v>
      </c>
      <c r="Q7" s="34">
        <f>INDEX('13 - Electrical Readings'!$P$6:$P$960,1+(2*(ROWS(E$1:E7)-1)))</f>
        <v>2920</v>
      </c>
      <c r="R7" s="34">
        <f>INDEX('9 - Water Readings'!$C$8:$C$962,1+(2*(ROWS(A$1:A6)-1)))</f>
        <v>0</v>
      </c>
      <c r="S7" s="34">
        <f>INDEX('9 - Water Readings'!$D$8:$D$961,1+(2*(ROWS(A$1:A6)-1)))</f>
        <v>0</v>
      </c>
      <c r="T7" s="34">
        <f>INDEX('9 - Water Readings'!$E$8:$E$962,1+(2*(ROWS(A$1:A6)-1)))</f>
        <v>0</v>
      </c>
      <c r="U7" s="34">
        <f>INDEX('9 - Water Readings'!$G$8:$G$961,1+(2*(ROWS(A$1:A6)-1)))</f>
        <v>115</v>
      </c>
      <c r="V7" s="34">
        <f>INDEX('9 - Water Readings'!$H$8:$H$962,1+(2*(ROWS(A$1:A6)-1)))</f>
        <v>12</v>
      </c>
      <c r="W7" s="34">
        <f>INDEX('9 - Water Readings'!$I$8:$I$962,1+(2*(ROWS(A$1:A6)-1)))</f>
        <v>70</v>
      </c>
      <c r="X7" s="34">
        <f>INDEX('9 - Water Readings'!$J$8:$J$962,1+(2*(ROWS(A$1:A6)-1)))</f>
        <v>291</v>
      </c>
      <c r="Y7" s="34">
        <f>INDEX('9 - Water Readings'!$K$8:$K$962,1+(2*(ROWS(A$1:A6)-1)))</f>
        <v>0</v>
      </c>
      <c r="Z7" s="34">
        <f>INDEX('9 - Water Readings'!$L$8:$L$962,1+(2*(ROWS(A$1:A6)-1)))</f>
        <v>13</v>
      </c>
      <c r="AA7" s="35">
        <f>'9 - Water Readings'!Q12</f>
        <v>193</v>
      </c>
      <c r="AB7" s="33">
        <f>'9 - Water Readings'!R12</f>
        <v>740</v>
      </c>
      <c r="AC7">
        <f>'9 - Water Readings'!S12</f>
        <v>0</v>
      </c>
    </row>
    <row r="8" spans="1:29" x14ac:dyDescent="0.25">
      <c r="A8" s="36" t="s">
        <v>11</v>
      </c>
      <c r="B8" s="36">
        <f t="shared" si="0"/>
        <v>7</v>
      </c>
      <c r="C8" s="36">
        <v>1</v>
      </c>
      <c r="D8" s="33">
        <v>2023</v>
      </c>
      <c r="E8" s="34">
        <f>INDEX('13 - Electrical Readings'!$C$8:$C$960,1+(2*(ROWS(A$1:A7)-1)))</f>
        <v>1</v>
      </c>
      <c r="F8" s="34">
        <f>INDEX('13 - Electrical Readings'!$D$6:$D$960,1+(2*(ROWS(A$1:A8)-1)))</f>
        <v>930</v>
      </c>
      <c r="G8" s="33">
        <f>INDEX('13 - Electrical Readings'!$E$6:$E$960,1+(2*(ROWS(A$1:A8)-1)))</f>
        <v>2321</v>
      </c>
      <c r="H8" s="33">
        <f>INDEX('13 - Electrical Readings'!$F$6:$F$960,1+(2*(ROWS(A$1:A8)-1)))</f>
        <v>2251</v>
      </c>
      <c r="I8" s="34">
        <f>INDEX('13 - Electrical Readings'!$G$6:$G$960,1+(2*(ROWS(A$1:A8)-1)))</f>
        <v>13992</v>
      </c>
      <c r="J8" s="33">
        <f>INDEX('13 - Electrical Readings'!$I$6:$I$960,1+(2*(ROWS(A$1:A8)-1)))</f>
        <v>1611</v>
      </c>
      <c r="K8" s="33">
        <f>INDEX('13 - Electrical Readings'!$J$6:$J$960,1+(2*(ROWS(B$1:B8)-1)))</f>
        <v>9438</v>
      </c>
      <c r="L8" s="33">
        <f>INDEX('13 - Electrical Readings'!$K$6:$K$960,1+(2*(ROWS(C$1:C8)-1)))</f>
        <v>3846</v>
      </c>
      <c r="M8" s="33">
        <f>INDEX('13 - Electrical Readings'!$L$6:$L$960,1+(2*(ROWS(D$1:D8)-1)))</f>
        <v>4933</v>
      </c>
      <c r="N8" s="33">
        <f>INDEX('13 - Electrical Readings'!$M$6:$M$960,1+(2*(ROWS(E$1:E8)-1)))</f>
        <v>10763</v>
      </c>
      <c r="O8" s="34">
        <f>INDEX('13 - Electrical Readings'!$N$6:$N$960,1+(2*(ROWS(E$1:E8)-1)))</f>
        <v>6223</v>
      </c>
      <c r="P8" s="34">
        <f>INDEX('13 - Electrical Readings'!$O$6:$O$960,1+(2*(ROWS(E$1:E8)-1)))</f>
        <v>1267</v>
      </c>
      <c r="Q8" s="34">
        <f>INDEX('13 - Electrical Readings'!$P$6:$P$960,1+(2*(ROWS(E$1:E8)-1)))</f>
        <v>2560</v>
      </c>
      <c r="R8" s="34">
        <f>INDEX('9 - Water Readings'!$C$8:$C$962,1+(2*(ROWS(A$1:A7)-1)))</f>
        <v>0</v>
      </c>
      <c r="S8" s="34">
        <f>INDEX('9 - Water Readings'!$D$8:$D$961,1+(2*(ROWS(A$1:A7)-1)))</f>
        <v>0</v>
      </c>
      <c r="T8" s="34">
        <f>INDEX('9 - Water Readings'!$E$8:$E$962,1+(2*(ROWS(A$1:A7)-1)))</f>
        <v>0</v>
      </c>
      <c r="U8" s="34">
        <f>INDEX('9 - Water Readings'!$G$8:$G$961,1+(2*(ROWS(A$1:A7)-1)))</f>
        <v>123</v>
      </c>
      <c r="V8" s="34">
        <f>INDEX('9 - Water Readings'!$H$8:$H$962,1+(2*(ROWS(A$1:A7)-1)))</f>
        <v>16</v>
      </c>
      <c r="W8" s="34">
        <f>INDEX('9 - Water Readings'!$I$8:$I$962,1+(2*(ROWS(A$1:A7)-1)))</f>
        <v>54</v>
      </c>
      <c r="X8" s="34">
        <f>INDEX('9 - Water Readings'!$J$8:$J$962,1+(2*(ROWS(A$1:A7)-1)))</f>
        <v>274</v>
      </c>
      <c r="Y8" s="34">
        <f>INDEX('9 - Water Readings'!$K$8:$K$962,1+(2*(ROWS(A$1:A7)-1)))</f>
        <v>0</v>
      </c>
      <c r="Z8" s="34">
        <f>INDEX('9 - Water Readings'!$L$8:$L$962,1+(2*(ROWS(A$1:A7)-1)))</f>
        <v>21</v>
      </c>
      <c r="AA8" s="35">
        <f>'9 - Water Readings'!Q13</f>
        <v>106</v>
      </c>
      <c r="AB8" s="33">
        <f>'9 - Water Readings'!R13</f>
        <v>394</v>
      </c>
      <c r="AC8">
        <f>'9 - Water Readings'!S13</f>
        <v>0</v>
      </c>
    </row>
    <row r="9" spans="1:29" x14ac:dyDescent="0.25">
      <c r="A9" s="36" t="s">
        <v>11</v>
      </c>
      <c r="B9" s="36">
        <f t="shared" si="0"/>
        <v>8</v>
      </c>
      <c r="C9" s="36">
        <v>1</v>
      </c>
      <c r="D9" s="33">
        <v>2023</v>
      </c>
      <c r="E9" s="34">
        <f>INDEX('13 - Electrical Readings'!$C$8:$C$960,1+(2*(ROWS(A$1:A8)-1)))</f>
        <v>9635</v>
      </c>
      <c r="F9" s="34">
        <f>INDEX('13 - Electrical Readings'!$D$6:$D$960,1+(2*(ROWS(A$1:A9)-1)))</f>
        <v>906</v>
      </c>
      <c r="G9" s="33">
        <f>INDEX('13 - Electrical Readings'!$E$6:$E$960,1+(2*(ROWS(A$1:A9)-1)))</f>
        <v>2377</v>
      </c>
      <c r="H9" s="33">
        <f>INDEX('13 - Electrical Readings'!$F$6:$F$960,1+(2*(ROWS(A$1:A9)-1)))</f>
        <v>2177</v>
      </c>
      <c r="I9" s="34">
        <f>INDEX('13 - Electrical Readings'!$G$6:$G$960,1+(2*(ROWS(A$1:A9)-1)))</f>
        <v>3446</v>
      </c>
      <c r="J9" s="33">
        <f>INDEX('13 - Electrical Readings'!$I$6:$I$960,1+(2*(ROWS(A$1:A9)-1)))</f>
        <v>1722</v>
      </c>
      <c r="K9" s="33">
        <f>INDEX('13 - Electrical Readings'!$J$6:$J$960,1+(2*(ROWS(B$1:B9)-1)))</f>
        <v>9807</v>
      </c>
      <c r="L9" s="33">
        <f>INDEX('13 - Electrical Readings'!$K$6:$K$960,1+(2*(ROWS(C$1:C9)-1)))</f>
        <v>3578</v>
      </c>
      <c r="M9" s="33">
        <f>INDEX('13 - Electrical Readings'!$L$6:$L$960,1+(2*(ROWS(D$1:D9)-1)))</f>
        <v>4828</v>
      </c>
      <c r="N9" s="33">
        <f>INDEX('13 - Electrical Readings'!$M$6:$M$960,1+(2*(ROWS(E$1:E9)-1)))</f>
        <v>10935</v>
      </c>
      <c r="O9" s="34">
        <f>INDEX('13 - Electrical Readings'!$N$6:$N$960,1+(2*(ROWS(E$1:E9)-1)))</f>
        <v>6609</v>
      </c>
      <c r="P9" s="34">
        <f>INDEX('13 - Electrical Readings'!$O$6:$O$960,1+(2*(ROWS(E$1:E9)-1)))</f>
        <v>1414</v>
      </c>
      <c r="Q9" s="34">
        <f>INDEX('13 - Electrical Readings'!$P$6:$P$960,1+(2*(ROWS(E$1:E9)-1)))</f>
        <v>2190</v>
      </c>
      <c r="R9" s="34">
        <f>INDEX('9 - Water Readings'!$C$8:$C$962,1+(2*(ROWS(A$1:A8)-1)))</f>
        <v>0</v>
      </c>
      <c r="S9" s="34">
        <f>INDEX('9 - Water Readings'!$D$8:$D$961,1+(2*(ROWS(A$1:A8)-1)))</f>
        <v>0</v>
      </c>
      <c r="T9" s="34">
        <f>INDEX('9 - Water Readings'!$E$8:$E$962,1+(2*(ROWS(A$1:A8)-1)))</f>
        <v>0</v>
      </c>
      <c r="U9" s="34">
        <f>INDEX('9 - Water Readings'!$G$8:$G$961,1+(2*(ROWS(A$1:A8)-1)))</f>
        <v>126</v>
      </c>
      <c r="V9" s="34">
        <f>INDEX('9 - Water Readings'!$H$8:$H$962,1+(2*(ROWS(A$1:A8)-1)))</f>
        <v>15</v>
      </c>
      <c r="W9" s="34">
        <f>INDEX('9 - Water Readings'!$I$8:$I$962,1+(2*(ROWS(A$1:A8)-1)))</f>
        <v>56</v>
      </c>
      <c r="X9" s="34">
        <f>INDEX('9 - Water Readings'!$J$8:$J$962,1+(2*(ROWS(A$1:A8)-1)))</f>
        <v>291</v>
      </c>
      <c r="Y9" s="34">
        <f>INDEX('9 - Water Readings'!$K$8:$K$962,1+(2*(ROWS(A$1:A8)-1)))</f>
        <v>0</v>
      </c>
      <c r="Z9" s="34">
        <f>INDEX('9 - Water Readings'!$L$8:$L$962,1+(2*(ROWS(A$1:A8)-1)))</f>
        <v>31</v>
      </c>
      <c r="AA9" s="35">
        <f>'9 - Water Readings'!Q14</f>
        <v>107</v>
      </c>
      <c r="AB9" s="33">
        <f>'9 - Water Readings'!R14</f>
        <v>344</v>
      </c>
      <c r="AC9">
        <f>'9 - Water Readings'!S14</f>
        <v>0</v>
      </c>
    </row>
    <row r="10" spans="1:29" x14ac:dyDescent="0.25">
      <c r="A10" s="36" t="s">
        <v>11</v>
      </c>
      <c r="B10" s="36">
        <f t="shared" si="0"/>
        <v>9</v>
      </c>
      <c r="C10" s="36">
        <v>1</v>
      </c>
      <c r="D10" s="33">
        <v>2023</v>
      </c>
      <c r="E10" s="34">
        <f>INDEX('13 - Electrical Readings'!$C$8:$C$960,1+(2*(ROWS(A$1:A9)-1)))</f>
        <v>12794</v>
      </c>
      <c r="F10" s="34">
        <f>INDEX('13 - Electrical Readings'!$D$6:$D$960,1+(2*(ROWS(A$1:A10)-1)))</f>
        <v>875</v>
      </c>
      <c r="G10" s="33">
        <f>INDEX('13 - Electrical Readings'!$E$6:$E$960,1+(2*(ROWS(A$1:A10)-1)))</f>
        <v>2354</v>
      </c>
      <c r="H10" s="33">
        <f>INDEX('13 - Electrical Readings'!$F$6:$F$960,1+(2*(ROWS(A$1:A10)-1)))</f>
        <v>2147</v>
      </c>
      <c r="I10" s="34">
        <f>INDEX('13 - Electrical Readings'!$G$6:$G$960,1+(2*(ROWS(A$1:A10)-1)))</f>
        <v>15</v>
      </c>
      <c r="J10" s="33">
        <f>INDEX('13 - Electrical Readings'!$I$6:$I$960,1+(2*(ROWS(A$1:A10)-1)))</f>
        <v>1667</v>
      </c>
      <c r="K10" s="33">
        <f>INDEX('13 - Electrical Readings'!$J$6:$J$960,1+(2*(ROWS(B$1:B10)-1)))</f>
        <v>9626</v>
      </c>
      <c r="L10" s="33">
        <f>INDEX('13 - Electrical Readings'!$K$6:$K$960,1+(2*(ROWS(C$1:C10)-1)))</f>
        <v>3484</v>
      </c>
      <c r="M10" s="33">
        <f>INDEX('13 - Electrical Readings'!$L$6:$L$960,1+(2*(ROWS(D$1:D10)-1)))</f>
        <v>4710</v>
      </c>
      <c r="N10" s="33">
        <f>INDEX('13 - Electrical Readings'!$M$6:$M$960,1+(2*(ROWS(E$1:E10)-1)))</f>
        <v>10700</v>
      </c>
      <c r="O10" s="34">
        <f>INDEX('13 - Electrical Readings'!$N$6:$N$960,1+(2*(ROWS(E$1:E10)-1)))</f>
        <v>6264</v>
      </c>
      <c r="P10" s="34">
        <f>INDEX('13 - Electrical Readings'!$O$6:$O$960,1+(2*(ROWS(E$1:E10)-1)))</f>
        <v>1394</v>
      </c>
      <c r="Q10" s="34">
        <f>INDEX('13 - Electrical Readings'!$P$6:$P$960,1+(2*(ROWS(E$1:E10)-1)))</f>
        <v>2380</v>
      </c>
      <c r="R10" s="34">
        <f>INDEX('9 - Water Readings'!$C$8:$C$962,1+(2*(ROWS(A$1:A9)-1)))</f>
        <v>0</v>
      </c>
      <c r="S10" s="34">
        <f>INDEX('9 - Water Readings'!$D$8:$D$961,1+(2*(ROWS(A$1:A9)-1)))</f>
        <v>0</v>
      </c>
      <c r="T10" s="34">
        <f>INDEX('9 - Water Readings'!$E$8:$E$962,1+(2*(ROWS(A$1:A9)-1)))</f>
        <v>0</v>
      </c>
      <c r="U10" s="34">
        <f>INDEX('9 - Water Readings'!$G$8:$G$961,1+(2*(ROWS(A$1:A9)-1)))</f>
        <v>126</v>
      </c>
      <c r="V10" s="34">
        <f>INDEX('9 - Water Readings'!$H$8:$H$962,1+(2*(ROWS(A$1:A9)-1)))</f>
        <v>16</v>
      </c>
      <c r="W10" s="34">
        <f>INDEX('9 - Water Readings'!$I$8:$I$962,1+(2*(ROWS(A$1:A9)-1)))</f>
        <v>57</v>
      </c>
      <c r="X10" s="34">
        <f>INDEX('9 - Water Readings'!$J$8:$J$962,1+(2*(ROWS(A$1:A9)-1)))</f>
        <v>266</v>
      </c>
      <c r="Y10" s="34">
        <f>INDEX('9 - Water Readings'!$K$8:$K$962,1+(2*(ROWS(A$1:A9)-1)))</f>
        <v>0</v>
      </c>
      <c r="Z10" s="34">
        <f>INDEX('9 - Water Readings'!$L$8:$L$962,1+(2*(ROWS(A$1:A9)-1)))</f>
        <v>26</v>
      </c>
      <c r="AA10" s="35">
        <f>'9 - Water Readings'!Q15</f>
        <v>105</v>
      </c>
      <c r="AB10" s="33">
        <f>'9 - Water Readings'!R15</f>
        <v>314</v>
      </c>
      <c r="AC10">
        <f>'9 - Water Readings'!S15</f>
        <v>0</v>
      </c>
    </row>
    <row r="11" spans="1:29" x14ac:dyDescent="0.25">
      <c r="A11" s="36" t="s">
        <v>11</v>
      </c>
      <c r="B11" s="36">
        <f t="shared" si="0"/>
        <v>10</v>
      </c>
      <c r="C11" s="36">
        <v>1</v>
      </c>
      <c r="D11" s="33">
        <v>2023</v>
      </c>
      <c r="E11" s="34">
        <f>INDEX('13 - Electrical Readings'!$C$8:$C$960,1+(2*(ROWS(A$1:A10)-1)))</f>
        <v>13136</v>
      </c>
      <c r="F11" s="34">
        <f>INDEX('13 - Electrical Readings'!$D$6:$D$960,1+(2*(ROWS(A$1:A11)-1)))</f>
        <v>888</v>
      </c>
      <c r="G11" s="33">
        <f>INDEX('13 - Electrical Readings'!$E$6:$E$960,1+(2*(ROWS(A$1:A11)-1)))</f>
        <v>2322</v>
      </c>
      <c r="H11" s="33">
        <f>INDEX('13 - Electrical Readings'!$F$6:$F$960,1+(2*(ROWS(A$1:A11)-1)))</f>
        <v>2244</v>
      </c>
      <c r="I11" s="34">
        <f>INDEX('13 - Electrical Readings'!$G$6:$G$960,1+(2*(ROWS(A$1:A11)-1)))</f>
        <v>8</v>
      </c>
      <c r="J11" s="33">
        <f>INDEX('13 - Electrical Readings'!$I$6:$I$960,1+(2*(ROWS(A$1:A11)-1)))</f>
        <v>1710</v>
      </c>
      <c r="K11" s="33">
        <f>INDEX('13 - Electrical Readings'!$J$6:$J$960,1+(2*(ROWS(B$1:B11)-1)))</f>
        <v>9817</v>
      </c>
      <c r="L11" s="33">
        <f>INDEX('13 - Electrical Readings'!$K$6:$K$960,1+(2*(ROWS(C$1:C11)-1)))</f>
        <v>3622</v>
      </c>
      <c r="M11" s="33">
        <f>INDEX('13 - Electrical Readings'!$L$6:$L$960,1+(2*(ROWS(D$1:D11)-1)))</f>
        <v>5056</v>
      </c>
      <c r="N11" s="33">
        <f>INDEX('13 - Electrical Readings'!$M$6:$M$960,1+(2*(ROWS(E$1:E11)-1)))</f>
        <v>10905</v>
      </c>
      <c r="O11" s="34">
        <f>INDEX('13 - Electrical Readings'!$N$6:$N$960,1+(2*(ROWS(E$1:E11)-1)))</f>
        <v>5486</v>
      </c>
      <c r="P11" s="34">
        <f>INDEX('13 - Electrical Readings'!$O$6:$O$960,1+(2*(ROWS(E$1:E11)-1)))</f>
        <v>1506</v>
      </c>
      <c r="Q11" s="34">
        <f>INDEX('13 - Electrical Readings'!$P$6:$P$960,1+(2*(ROWS(E$1:E11)-1)))</f>
        <v>2680</v>
      </c>
      <c r="R11" s="34">
        <f>INDEX('9 - Water Readings'!$C$8:$C$962,1+(2*(ROWS(A$1:A10)-1)))</f>
        <v>0</v>
      </c>
      <c r="S11" s="34">
        <f>INDEX('9 - Water Readings'!$D$8:$D$961,1+(2*(ROWS(A$1:A10)-1)))</f>
        <v>0</v>
      </c>
      <c r="T11" s="34">
        <f>INDEX('9 - Water Readings'!$E$8:$E$962,1+(2*(ROWS(A$1:A10)-1)))</f>
        <v>0</v>
      </c>
      <c r="U11" s="34">
        <f>INDEX('9 - Water Readings'!$G$8:$G$961,1+(2*(ROWS(A$1:A10)-1)))</f>
        <v>129</v>
      </c>
      <c r="V11" s="34">
        <f>INDEX('9 - Water Readings'!$H$8:$H$962,1+(2*(ROWS(A$1:A10)-1)))</f>
        <v>15</v>
      </c>
      <c r="W11" s="34">
        <f>INDEX('9 - Water Readings'!$I$8:$I$962,1+(2*(ROWS(A$1:A10)-1)))</f>
        <v>66</v>
      </c>
      <c r="X11" s="34">
        <f>INDEX('9 - Water Readings'!$J$8:$J$962,1+(2*(ROWS(A$1:A10)-1)))</f>
        <v>269</v>
      </c>
      <c r="Y11" s="34">
        <f>INDEX('9 - Water Readings'!$K$8:$K$962,1+(2*(ROWS(A$1:A10)-1)))</f>
        <v>0</v>
      </c>
      <c r="Z11" s="34">
        <f>INDEX('9 - Water Readings'!$L$8:$L$962,1+(2*(ROWS(A$1:A10)-1)))</f>
        <v>21</v>
      </c>
      <c r="AA11" s="35">
        <f>'9 - Water Readings'!Q16</f>
        <v>74</v>
      </c>
      <c r="AB11" s="33">
        <f>'9 - Water Readings'!R16</f>
        <v>224</v>
      </c>
      <c r="AC11">
        <f>'9 - Water Readings'!S16</f>
        <v>0</v>
      </c>
    </row>
    <row r="12" spans="1:29" x14ac:dyDescent="0.25">
      <c r="A12" s="36" t="s">
        <v>11</v>
      </c>
      <c r="B12" s="36">
        <f t="shared" si="0"/>
        <v>11</v>
      </c>
      <c r="C12" s="36">
        <v>1</v>
      </c>
      <c r="D12" s="33">
        <v>2023</v>
      </c>
      <c r="E12" s="34">
        <f>INDEX('13 - Electrical Readings'!$C$8:$C$960,1+(2*(ROWS(A$1:A11)-1)))</f>
        <v>0</v>
      </c>
      <c r="F12" s="34">
        <f>INDEX('13 - Electrical Readings'!$D$6:$D$960,1+(2*(ROWS(A$1:A12)-1)))</f>
        <v>0</v>
      </c>
      <c r="G12" s="33">
        <f>INDEX('13 - Electrical Readings'!$E$6:$E$960,1+(2*(ROWS(A$1:A12)-1)))</f>
        <v>0</v>
      </c>
      <c r="H12" s="33">
        <f>INDEX('13 - Electrical Readings'!$F$6:$F$960,1+(2*(ROWS(A$1:A12)-1)))</f>
        <v>0</v>
      </c>
      <c r="I12" s="34">
        <f>INDEX('13 - Electrical Readings'!$G$6:$G$960,1+(2*(ROWS(A$1:A12)-1)))</f>
        <v>0</v>
      </c>
      <c r="J12" s="33">
        <f>INDEX('13 - Electrical Readings'!$I$6:$I$960,1+(2*(ROWS(A$1:A12)-1)))</f>
        <v>0</v>
      </c>
      <c r="K12" s="33">
        <f>INDEX('13 - Electrical Readings'!$J$6:$J$960,1+(2*(ROWS(B$1:B12)-1)))</f>
        <v>0</v>
      </c>
      <c r="L12" s="33">
        <f>INDEX('13 - Electrical Readings'!$K$6:$K$960,1+(2*(ROWS(C$1:C12)-1)))</f>
        <v>0</v>
      </c>
      <c r="M12" s="33">
        <f>INDEX('13 - Electrical Readings'!$L$6:$L$960,1+(2*(ROWS(D$1:D12)-1)))</f>
        <v>0</v>
      </c>
      <c r="N12" s="33">
        <f>INDEX('13 - Electrical Readings'!$M$6:$M$960,1+(2*(ROWS(E$1:E12)-1)))</f>
        <v>0</v>
      </c>
      <c r="O12" s="34">
        <f>INDEX('13 - Electrical Readings'!$N$6:$N$960,1+(2*(ROWS(E$1:E12)-1)))</f>
        <v>0</v>
      </c>
      <c r="P12" s="34">
        <f>INDEX('13 - Electrical Readings'!$O$6:$O$960,1+(2*(ROWS(E$1:E12)-1)))</f>
        <v>0</v>
      </c>
      <c r="Q12" s="34">
        <f>INDEX('13 - Electrical Readings'!$P$6:$P$960,1+(2*(ROWS(E$1:E12)-1)))</f>
        <v>0</v>
      </c>
      <c r="R12" s="34">
        <f>INDEX('9 - Water Readings'!$C$8:$C$962,1+(2*(ROWS(A$1:A11)-1)))</f>
        <v>0</v>
      </c>
      <c r="S12" s="34">
        <f>INDEX('9 - Water Readings'!$D$8:$D$961,1+(2*(ROWS(A$1:A11)-1)))</f>
        <v>0</v>
      </c>
      <c r="T12" s="34">
        <f>INDEX('9 - Water Readings'!$E$8:$E$962,1+(2*(ROWS(A$1:A11)-1)))</f>
        <v>0</v>
      </c>
      <c r="U12" s="34">
        <f>INDEX('9 - Water Readings'!$G$8:$G$961,1+(2*(ROWS(A$1:A11)-1)))</f>
        <v>0</v>
      </c>
      <c r="V12" s="34">
        <f>INDEX('9 - Water Readings'!$H$8:$H$962,1+(2*(ROWS(A$1:A11)-1)))</f>
        <v>0</v>
      </c>
      <c r="W12" s="34">
        <f>INDEX('9 - Water Readings'!$I$8:$I$962,1+(2*(ROWS(A$1:A11)-1)))</f>
        <v>0</v>
      </c>
      <c r="X12" s="34">
        <f>INDEX('9 - Water Readings'!$J$8:$J$962,1+(2*(ROWS(A$1:A11)-1)))</f>
        <v>0</v>
      </c>
      <c r="Y12" s="34">
        <f>INDEX('9 - Water Readings'!$K$8:$K$962,1+(2*(ROWS(A$1:A11)-1)))</f>
        <v>0</v>
      </c>
      <c r="Z12" s="34">
        <f>INDEX('9 - Water Readings'!$L$8:$L$962,1+(2*(ROWS(A$1:A11)-1)))</f>
        <v>0</v>
      </c>
      <c r="AA12" s="35">
        <f>'9 - Water Readings'!Q17</f>
        <v>0</v>
      </c>
      <c r="AB12" s="33">
        <f>'9 - Water Readings'!R17</f>
        <v>0</v>
      </c>
      <c r="AC12">
        <f>'9 - Water Readings'!S17</f>
        <v>0</v>
      </c>
    </row>
    <row r="13" spans="1:29" x14ac:dyDescent="0.25">
      <c r="A13" s="36" t="s">
        <v>11</v>
      </c>
      <c r="B13" s="36">
        <f t="shared" si="0"/>
        <v>12</v>
      </c>
      <c r="C13" s="36">
        <v>1</v>
      </c>
      <c r="D13" s="33">
        <v>2023</v>
      </c>
      <c r="E13" s="34">
        <f>INDEX('13 - Electrical Readings'!$C$8:$C$960,1+(2*(ROWS(A$1:A12)-1)))</f>
        <v>0</v>
      </c>
      <c r="F13" s="34">
        <f>INDEX('13 - Electrical Readings'!$D$6:$D$960,1+(2*(ROWS(A$1:A13)-1)))</f>
        <v>0</v>
      </c>
      <c r="G13" s="33">
        <f>INDEX('13 - Electrical Readings'!$E$6:$E$960,1+(2*(ROWS(A$1:A13)-1)))</f>
        <v>0</v>
      </c>
      <c r="H13" s="33">
        <f>INDEX('13 - Electrical Readings'!$F$6:$F$960,1+(2*(ROWS(A$1:A13)-1)))</f>
        <v>0</v>
      </c>
      <c r="I13" s="34">
        <f>INDEX('13 - Electrical Readings'!$G$6:$G$960,1+(2*(ROWS(A$1:A13)-1)))</f>
        <v>0</v>
      </c>
      <c r="J13" s="33">
        <f>INDEX('13 - Electrical Readings'!$I$6:$I$960,1+(2*(ROWS(A$1:A13)-1)))</f>
        <v>0</v>
      </c>
      <c r="K13" s="33">
        <f>INDEX('13 - Electrical Readings'!$J$6:$J$960,1+(2*(ROWS(B$1:B13)-1)))</f>
        <v>0</v>
      </c>
      <c r="L13" s="33">
        <f>INDEX('13 - Electrical Readings'!$K$6:$K$960,1+(2*(ROWS(C$1:C13)-1)))</f>
        <v>0</v>
      </c>
      <c r="M13" s="33">
        <f>INDEX('13 - Electrical Readings'!$L$6:$L$960,1+(2*(ROWS(D$1:D13)-1)))</f>
        <v>0</v>
      </c>
      <c r="N13" s="33">
        <f>INDEX('13 - Electrical Readings'!$M$6:$M$960,1+(2*(ROWS(E$1:E13)-1)))</f>
        <v>0</v>
      </c>
      <c r="O13" s="34">
        <f>INDEX('13 - Electrical Readings'!$N$6:$N$960,1+(2*(ROWS(E$1:E13)-1)))</f>
        <v>0</v>
      </c>
      <c r="P13" s="34">
        <f>INDEX('13 - Electrical Readings'!$O$6:$O$960,1+(2*(ROWS(E$1:E13)-1)))</f>
        <v>0</v>
      </c>
      <c r="Q13" s="34">
        <f>INDEX('13 - Electrical Readings'!$P$6:$P$960,1+(2*(ROWS(E$1:E13)-1)))</f>
        <v>0</v>
      </c>
      <c r="R13" s="34">
        <f>INDEX('9 - Water Readings'!$C$8:$C$962,1+(2*(ROWS(A$1:A12)-1)))</f>
        <v>0</v>
      </c>
      <c r="S13" s="34">
        <f>INDEX('9 - Water Readings'!$D$8:$D$961,1+(2*(ROWS(A$1:A12)-1)))</f>
        <v>0</v>
      </c>
      <c r="T13" s="34">
        <f>INDEX('9 - Water Readings'!$E$8:$E$962,1+(2*(ROWS(A$1:A12)-1)))</f>
        <v>0</v>
      </c>
      <c r="U13" s="34">
        <f>INDEX('9 - Water Readings'!$G$8:$G$961,1+(2*(ROWS(A$1:A12)-1)))</f>
        <v>0</v>
      </c>
      <c r="V13" s="34">
        <f>INDEX('9 - Water Readings'!$H$8:$H$962,1+(2*(ROWS(A$1:A12)-1)))</f>
        <v>0</v>
      </c>
      <c r="W13" s="34">
        <f>INDEX('9 - Water Readings'!$I$8:$I$962,1+(2*(ROWS(A$1:A12)-1)))</f>
        <v>0</v>
      </c>
      <c r="X13" s="34">
        <f>INDEX('9 - Water Readings'!$J$8:$J$962,1+(2*(ROWS(A$1:A12)-1)))</f>
        <v>0</v>
      </c>
      <c r="Y13" s="34">
        <f>INDEX('9 - Water Readings'!$K$8:$K$962,1+(2*(ROWS(A$1:A12)-1)))</f>
        <v>0</v>
      </c>
      <c r="Z13" s="34">
        <f>INDEX('9 - Water Readings'!$L$8:$L$962,1+(2*(ROWS(A$1:A12)-1)))</f>
        <v>0</v>
      </c>
      <c r="AA13" s="35">
        <f>'9 - Water Readings'!Q18</f>
        <v>0</v>
      </c>
      <c r="AB13" s="33">
        <f>'9 - Water Readings'!R18</f>
        <v>0</v>
      </c>
      <c r="AC13">
        <f>'9 - Water Readings'!S18</f>
        <v>0</v>
      </c>
    </row>
    <row r="14" spans="1:29" x14ac:dyDescent="0.25">
      <c r="A14" s="36" t="s">
        <v>11</v>
      </c>
      <c r="B14" s="36">
        <f t="shared" si="0"/>
        <v>13</v>
      </c>
      <c r="C14" s="36">
        <v>1</v>
      </c>
      <c r="D14" s="33">
        <v>2023</v>
      </c>
      <c r="E14" s="34">
        <f>INDEX('13 - Electrical Readings'!$C$8:$C$960,1+(2*(ROWS(A$1:A13)-1)))</f>
        <v>0</v>
      </c>
      <c r="F14" s="34">
        <f>INDEX('13 - Electrical Readings'!$D$6:$D$960,1+(2*(ROWS(A$1:A14)-1)))</f>
        <v>0</v>
      </c>
      <c r="G14" s="33">
        <f>INDEX('13 - Electrical Readings'!$E$6:$E$960,1+(2*(ROWS(A$1:A14)-1)))</f>
        <v>0</v>
      </c>
      <c r="H14" s="33">
        <f>INDEX('13 - Electrical Readings'!$F$6:$F$960,1+(2*(ROWS(A$1:A14)-1)))</f>
        <v>0</v>
      </c>
      <c r="I14" s="34">
        <f>INDEX('13 - Electrical Readings'!$G$6:$G$960,1+(2*(ROWS(A$1:A14)-1)))</f>
        <v>0</v>
      </c>
      <c r="J14" s="33">
        <f>INDEX('13 - Electrical Readings'!$I$6:$I$960,1+(2*(ROWS(A$1:A14)-1)))</f>
        <v>0</v>
      </c>
      <c r="K14" s="33">
        <f>INDEX('13 - Electrical Readings'!$J$6:$J$960,1+(2*(ROWS(B$1:B14)-1)))</f>
        <v>0</v>
      </c>
      <c r="L14" s="33">
        <f>INDEX('13 - Electrical Readings'!$K$6:$K$960,1+(2*(ROWS(C$1:C14)-1)))</f>
        <v>0</v>
      </c>
      <c r="M14" s="33">
        <f>INDEX('13 - Electrical Readings'!$L$6:$L$960,1+(2*(ROWS(D$1:D14)-1)))</f>
        <v>0</v>
      </c>
      <c r="N14" s="33">
        <f>INDEX('13 - Electrical Readings'!$M$6:$M$960,1+(2*(ROWS(E$1:E14)-1)))</f>
        <v>0</v>
      </c>
      <c r="O14" s="34">
        <f>INDEX('13 - Electrical Readings'!$N$6:$N$960,1+(2*(ROWS(E$1:E14)-1)))</f>
        <v>0</v>
      </c>
      <c r="P14" s="34">
        <f>INDEX('13 - Electrical Readings'!$O$6:$O$960,1+(2*(ROWS(E$1:E14)-1)))</f>
        <v>0</v>
      </c>
      <c r="Q14" s="34">
        <f>INDEX('13 - Electrical Readings'!$P$6:$P$960,1+(2*(ROWS(E$1:E14)-1)))</f>
        <v>0</v>
      </c>
      <c r="R14" s="34">
        <f>INDEX('9 - Water Readings'!$C$8:$C$962,1+(2*(ROWS(A$1:A13)-1)))</f>
        <v>0</v>
      </c>
      <c r="S14" s="34">
        <f>INDEX('9 - Water Readings'!$D$8:$D$961,1+(2*(ROWS(A$1:A13)-1)))</f>
        <v>0</v>
      </c>
      <c r="T14" s="34">
        <f>INDEX('9 - Water Readings'!$E$8:$E$962,1+(2*(ROWS(A$1:A13)-1)))</f>
        <v>0</v>
      </c>
      <c r="U14" s="34">
        <f>INDEX('9 - Water Readings'!$G$8:$G$961,1+(2*(ROWS(A$1:A13)-1)))</f>
        <v>0</v>
      </c>
      <c r="V14" s="34">
        <f>INDEX('9 - Water Readings'!$H$8:$H$962,1+(2*(ROWS(A$1:A13)-1)))</f>
        <v>0</v>
      </c>
      <c r="W14" s="34">
        <f>INDEX('9 - Water Readings'!$I$8:$I$962,1+(2*(ROWS(A$1:A13)-1)))</f>
        <v>0</v>
      </c>
      <c r="X14" s="34">
        <f>INDEX('9 - Water Readings'!$J$8:$J$962,1+(2*(ROWS(A$1:A13)-1)))</f>
        <v>0</v>
      </c>
      <c r="Y14" s="34">
        <f>INDEX('9 - Water Readings'!$K$8:$K$962,1+(2*(ROWS(A$1:A13)-1)))</f>
        <v>0</v>
      </c>
      <c r="Z14" s="34">
        <f>INDEX('9 - Water Readings'!$L$8:$L$962,1+(2*(ROWS(A$1:A13)-1)))</f>
        <v>0</v>
      </c>
      <c r="AA14" s="35">
        <f>'9 - Water Readings'!Q19</f>
        <v>0</v>
      </c>
      <c r="AB14" s="33">
        <f>'9 - Water Readings'!R19</f>
        <v>0</v>
      </c>
      <c r="AC14">
        <f>'9 - Water Readings'!S19</f>
        <v>0</v>
      </c>
    </row>
    <row r="15" spans="1:29" x14ac:dyDescent="0.25">
      <c r="A15" s="36" t="s">
        <v>11</v>
      </c>
      <c r="B15" s="36">
        <f t="shared" si="0"/>
        <v>14</v>
      </c>
      <c r="C15" s="36">
        <v>1</v>
      </c>
      <c r="D15" s="33">
        <v>2023</v>
      </c>
      <c r="E15" s="34">
        <f>INDEX('13 - Electrical Readings'!$C$8:$C$960,1+(2*(ROWS(A$1:A14)-1)))</f>
        <v>0</v>
      </c>
      <c r="F15" s="34">
        <f>INDEX('13 - Electrical Readings'!$D$6:$D$960,1+(2*(ROWS(A$1:A15)-1)))</f>
        <v>0</v>
      </c>
      <c r="G15" s="33">
        <f>INDEX('13 - Electrical Readings'!$E$6:$E$960,1+(2*(ROWS(A$1:A15)-1)))</f>
        <v>0</v>
      </c>
      <c r="H15" s="33">
        <f>INDEX('13 - Electrical Readings'!$F$6:$F$960,1+(2*(ROWS(A$1:A15)-1)))</f>
        <v>0</v>
      </c>
      <c r="I15" s="34">
        <f>INDEX('13 - Electrical Readings'!$G$6:$G$960,1+(2*(ROWS(A$1:A15)-1)))</f>
        <v>0</v>
      </c>
      <c r="J15" s="33">
        <f>INDEX('13 - Electrical Readings'!$I$6:$I$960,1+(2*(ROWS(A$1:A15)-1)))</f>
        <v>0</v>
      </c>
      <c r="K15" s="33">
        <f>INDEX('13 - Electrical Readings'!$J$6:$J$960,1+(2*(ROWS(B$1:B15)-1)))</f>
        <v>0</v>
      </c>
      <c r="L15" s="33">
        <f>INDEX('13 - Electrical Readings'!$K$6:$K$960,1+(2*(ROWS(C$1:C15)-1)))</f>
        <v>0</v>
      </c>
      <c r="M15" s="33">
        <f>INDEX('13 - Electrical Readings'!$L$6:$L$960,1+(2*(ROWS(D$1:D15)-1)))</f>
        <v>0</v>
      </c>
      <c r="N15" s="33">
        <f>INDEX('13 - Electrical Readings'!$M$6:$M$960,1+(2*(ROWS(E$1:E15)-1)))</f>
        <v>0</v>
      </c>
      <c r="O15" s="34">
        <f>INDEX('13 - Electrical Readings'!$N$6:$N$960,1+(2*(ROWS(E$1:E15)-1)))</f>
        <v>0</v>
      </c>
      <c r="P15" s="34">
        <f>INDEX('13 - Electrical Readings'!$O$6:$O$960,1+(2*(ROWS(E$1:E15)-1)))</f>
        <v>0</v>
      </c>
      <c r="Q15" s="34">
        <f>INDEX('13 - Electrical Readings'!$P$6:$P$960,1+(2*(ROWS(E$1:E15)-1)))</f>
        <v>0</v>
      </c>
      <c r="R15" s="34">
        <f>INDEX('9 - Water Readings'!$C$8:$C$962,1+(2*(ROWS(A$1:A14)-1)))</f>
        <v>0</v>
      </c>
      <c r="S15" s="34">
        <f>INDEX('9 - Water Readings'!$D$8:$D$961,1+(2*(ROWS(A$1:A14)-1)))</f>
        <v>0</v>
      </c>
      <c r="T15" s="34">
        <f>INDEX('9 - Water Readings'!$E$8:$E$962,1+(2*(ROWS(A$1:A14)-1)))</f>
        <v>0</v>
      </c>
      <c r="U15" s="34">
        <f>INDEX('9 - Water Readings'!$G$8:$G$961,1+(2*(ROWS(A$1:A14)-1)))</f>
        <v>0</v>
      </c>
      <c r="V15" s="34">
        <f>INDEX('9 - Water Readings'!$H$8:$H$962,1+(2*(ROWS(A$1:A14)-1)))</f>
        <v>0</v>
      </c>
      <c r="W15" s="34">
        <f>INDEX('9 - Water Readings'!$I$8:$I$962,1+(2*(ROWS(A$1:A14)-1)))</f>
        <v>0</v>
      </c>
      <c r="X15" s="34">
        <f>INDEX('9 - Water Readings'!$J$8:$J$962,1+(2*(ROWS(A$1:A14)-1)))</f>
        <v>0</v>
      </c>
      <c r="Y15" s="34">
        <f>INDEX('9 - Water Readings'!$K$8:$K$962,1+(2*(ROWS(A$1:A14)-1)))</f>
        <v>0</v>
      </c>
      <c r="Z15" s="34">
        <f>INDEX('9 - Water Readings'!$L$8:$L$962,1+(2*(ROWS(A$1:A14)-1)))</f>
        <v>0</v>
      </c>
      <c r="AA15" s="35">
        <f>'9 - Water Readings'!Q20</f>
        <v>0</v>
      </c>
      <c r="AB15" s="33">
        <f>'9 - Water Readings'!R20</f>
        <v>0</v>
      </c>
      <c r="AC15">
        <f>'9 - Water Readings'!S20</f>
        <v>0</v>
      </c>
    </row>
    <row r="16" spans="1:29" x14ac:dyDescent="0.25">
      <c r="A16" s="36" t="s">
        <v>11</v>
      </c>
      <c r="B16" s="36">
        <f t="shared" si="0"/>
        <v>15</v>
      </c>
      <c r="C16" s="36">
        <v>1</v>
      </c>
      <c r="D16" s="33">
        <v>2023</v>
      </c>
      <c r="E16" s="34">
        <f>INDEX('13 - Electrical Readings'!$C$8:$C$960,1+(2*(ROWS(A$1:A15)-1)))</f>
        <v>0</v>
      </c>
      <c r="F16" s="34">
        <f>INDEX('13 - Electrical Readings'!$D$6:$D$960,1+(2*(ROWS(A$1:A16)-1)))</f>
        <v>0</v>
      </c>
      <c r="G16" s="33">
        <f>INDEX('13 - Electrical Readings'!$E$6:$E$960,1+(2*(ROWS(A$1:A16)-1)))</f>
        <v>0</v>
      </c>
      <c r="H16" s="33">
        <f>INDEX('13 - Electrical Readings'!$F$6:$F$960,1+(2*(ROWS(A$1:A16)-1)))</f>
        <v>0</v>
      </c>
      <c r="I16" s="34">
        <f>INDEX('13 - Electrical Readings'!$G$6:$G$960,1+(2*(ROWS(A$1:A16)-1)))</f>
        <v>0</v>
      </c>
      <c r="J16" s="33">
        <f>INDEX('13 - Electrical Readings'!$I$6:$I$960,1+(2*(ROWS(A$1:A16)-1)))</f>
        <v>0</v>
      </c>
      <c r="K16" s="33">
        <f>INDEX('13 - Electrical Readings'!$J$6:$J$960,1+(2*(ROWS(B$1:B16)-1)))</f>
        <v>0</v>
      </c>
      <c r="L16" s="33">
        <f>INDEX('13 - Electrical Readings'!$K$6:$K$960,1+(2*(ROWS(C$1:C16)-1)))</f>
        <v>0</v>
      </c>
      <c r="M16" s="33">
        <f>INDEX('13 - Electrical Readings'!$L$6:$L$960,1+(2*(ROWS(D$1:D16)-1)))</f>
        <v>0</v>
      </c>
      <c r="N16" s="33">
        <f>INDEX('13 - Electrical Readings'!$M$6:$M$960,1+(2*(ROWS(E$1:E16)-1)))</f>
        <v>0</v>
      </c>
      <c r="O16" s="34">
        <f>INDEX('13 - Electrical Readings'!$N$6:$N$960,1+(2*(ROWS(E$1:E16)-1)))</f>
        <v>0</v>
      </c>
      <c r="P16" s="34">
        <f>INDEX('13 - Electrical Readings'!$O$6:$O$960,1+(2*(ROWS(E$1:E16)-1)))</f>
        <v>0</v>
      </c>
      <c r="Q16" s="34">
        <f>INDEX('13 - Electrical Readings'!$P$6:$P$960,1+(2*(ROWS(E$1:E16)-1)))</f>
        <v>0</v>
      </c>
      <c r="R16" s="34">
        <f>INDEX('9 - Water Readings'!$C$8:$C$962,1+(2*(ROWS(A$1:A15)-1)))</f>
        <v>0</v>
      </c>
      <c r="S16" s="34">
        <f>INDEX('9 - Water Readings'!$D$8:$D$961,1+(2*(ROWS(A$1:A15)-1)))</f>
        <v>0</v>
      </c>
      <c r="T16" s="34">
        <f>INDEX('9 - Water Readings'!$E$8:$E$962,1+(2*(ROWS(A$1:A15)-1)))</f>
        <v>0</v>
      </c>
      <c r="U16" s="34">
        <f>INDEX('9 - Water Readings'!$G$8:$G$961,1+(2*(ROWS(A$1:A15)-1)))</f>
        <v>0</v>
      </c>
      <c r="V16" s="34">
        <f>INDEX('9 - Water Readings'!$H$8:$H$962,1+(2*(ROWS(A$1:A15)-1)))</f>
        <v>0</v>
      </c>
      <c r="W16" s="34">
        <f>INDEX('9 - Water Readings'!$I$8:$I$962,1+(2*(ROWS(A$1:A15)-1)))</f>
        <v>0</v>
      </c>
      <c r="X16" s="34">
        <f>INDEX('9 - Water Readings'!$J$8:$J$962,1+(2*(ROWS(A$1:A15)-1)))</f>
        <v>0</v>
      </c>
      <c r="Y16" s="34">
        <f>INDEX('9 - Water Readings'!$K$8:$K$962,1+(2*(ROWS(A$1:A15)-1)))</f>
        <v>0</v>
      </c>
      <c r="Z16" s="34">
        <f>INDEX('9 - Water Readings'!$L$8:$L$962,1+(2*(ROWS(A$1:A15)-1)))</f>
        <v>0</v>
      </c>
      <c r="AA16" s="35">
        <f>'9 - Water Readings'!Q21</f>
        <v>0</v>
      </c>
      <c r="AB16" s="33">
        <f>'9 - Water Readings'!R21</f>
        <v>0</v>
      </c>
      <c r="AC16">
        <f>'9 - Water Readings'!S21</f>
        <v>0</v>
      </c>
    </row>
    <row r="17" spans="1:29" x14ac:dyDescent="0.25">
      <c r="A17" s="36" t="s">
        <v>11</v>
      </c>
      <c r="B17" s="36">
        <f t="shared" si="0"/>
        <v>16</v>
      </c>
      <c r="C17" s="36">
        <v>1</v>
      </c>
      <c r="D17" s="33">
        <v>2023</v>
      </c>
      <c r="E17" s="34">
        <f>INDEX('13 - Electrical Readings'!$C$8:$C$960,1+(2*(ROWS(A$1:A16)-1)))</f>
        <v>0</v>
      </c>
      <c r="F17" s="34">
        <f>INDEX('13 - Electrical Readings'!$D$6:$D$960,1+(2*(ROWS(A$1:A17)-1)))</f>
        <v>0</v>
      </c>
      <c r="G17" s="33">
        <f>INDEX('13 - Electrical Readings'!$E$6:$E$960,1+(2*(ROWS(A$1:A17)-1)))</f>
        <v>0</v>
      </c>
      <c r="H17" s="33">
        <f>INDEX('13 - Electrical Readings'!$F$6:$F$960,1+(2*(ROWS(A$1:A17)-1)))</f>
        <v>0</v>
      </c>
      <c r="I17" s="34">
        <f>INDEX('13 - Electrical Readings'!$G$6:$G$960,1+(2*(ROWS(A$1:A17)-1)))</f>
        <v>0</v>
      </c>
      <c r="J17" s="33">
        <f>INDEX('13 - Electrical Readings'!$I$6:$I$960,1+(2*(ROWS(A$1:A17)-1)))</f>
        <v>0</v>
      </c>
      <c r="K17" s="33">
        <f>INDEX('13 - Electrical Readings'!$J$6:$J$960,1+(2*(ROWS(B$1:B17)-1)))</f>
        <v>0</v>
      </c>
      <c r="L17" s="33">
        <f>INDEX('13 - Electrical Readings'!$K$6:$K$960,1+(2*(ROWS(C$1:C17)-1)))</f>
        <v>0</v>
      </c>
      <c r="M17" s="33">
        <f>INDEX('13 - Electrical Readings'!$L$6:$L$960,1+(2*(ROWS(D$1:D17)-1)))</f>
        <v>0</v>
      </c>
      <c r="N17" s="33">
        <f>INDEX('13 - Electrical Readings'!$M$6:$M$960,1+(2*(ROWS(E$1:E17)-1)))</f>
        <v>0</v>
      </c>
      <c r="O17" s="34">
        <f>INDEX('13 - Electrical Readings'!$N$6:$N$960,1+(2*(ROWS(E$1:E17)-1)))</f>
        <v>0</v>
      </c>
      <c r="P17" s="34">
        <f>INDEX('13 - Electrical Readings'!$O$6:$O$960,1+(2*(ROWS(E$1:E17)-1)))</f>
        <v>0</v>
      </c>
      <c r="Q17" s="34">
        <f>INDEX('13 - Electrical Readings'!$P$6:$P$960,1+(2*(ROWS(E$1:E17)-1)))</f>
        <v>0</v>
      </c>
      <c r="R17" s="34">
        <f>INDEX('9 - Water Readings'!$C$8:$C$962,1+(2*(ROWS(A$1:A16)-1)))</f>
        <v>0</v>
      </c>
      <c r="S17" s="34">
        <f>INDEX('9 - Water Readings'!$D$8:$D$961,1+(2*(ROWS(A$1:A16)-1)))</f>
        <v>0</v>
      </c>
      <c r="T17" s="34">
        <f>INDEX('9 - Water Readings'!$E$8:$E$962,1+(2*(ROWS(A$1:A16)-1)))</f>
        <v>0</v>
      </c>
      <c r="U17" s="34">
        <f>INDEX('9 - Water Readings'!$G$8:$G$961,1+(2*(ROWS(A$1:A16)-1)))</f>
        <v>0</v>
      </c>
      <c r="V17" s="34">
        <f>INDEX('9 - Water Readings'!$H$8:$H$962,1+(2*(ROWS(A$1:A16)-1)))</f>
        <v>0</v>
      </c>
      <c r="W17" s="34">
        <f>INDEX('9 - Water Readings'!$I$8:$I$962,1+(2*(ROWS(A$1:A16)-1)))</f>
        <v>0</v>
      </c>
      <c r="X17" s="34">
        <f>INDEX('9 - Water Readings'!$J$8:$J$962,1+(2*(ROWS(A$1:A16)-1)))</f>
        <v>0</v>
      </c>
      <c r="Y17" s="34">
        <f>INDEX('9 - Water Readings'!$K$8:$K$962,1+(2*(ROWS(A$1:A16)-1)))</f>
        <v>0</v>
      </c>
      <c r="Z17" s="34">
        <f>INDEX('9 - Water Readings'!$L$8:$L$962,1+(2*(ROWS(A$1:A16)-1)))</f>
        <v>0</v>
      </c>
      <c r="AA17" s="35">
        <f>'9 - Water Readings'!Q22</f>
        <v>0</v>
      </c>
      <c r="AB17" s="33">
        <f>'9 - Water Readings'!R22</f>
        <v>0</v>
      </c>
      <c r="AC17">
        <f>'9 - Water Readings'!S22</f>
        <v>0</v>
      </c>
    </row>
    <row r="18" spans="1:29" x14ac:dyDescent="0.25">
      <c r="A18" s="36" t="s">
        <v>11</v>
      </c>
      <c r="B18" s="36">
        <f t="shared" si="0"/>
        <v>17</v>
      </c>
      <c r="C18" s="36">
        <v>1</v>
      </c>
      <c r="D18" s="33">
        <v>2023</v>
      </c>
      <c r="E18" s="34">
        <f>INDEX('13 - Electrical Readings'!$C$8:$C$960,1+(2*(ROWS(A$1:A17)-1)))</f>
        <v>0</v>
      </c>
      <c r="F18" s="34">
        <f>INDEX('13 - Electrical Readings'!$D$6:$D$960,1+(2*(ROWS(A$1:A18)-1)))</f>
        <v>0</v>
      </c>
      <c r="G18" s="33">
        <f>INDEX('13 - Electrical Readings'!$E$6:$E$960,1+(2*(ROWS(A$1:A18)-1)))</f>
        <v>0</v>
      </c>
      <c r="H18" s="33">
        <f>INDEX('13 - Electrical Readings'!$F$6:$F$960,1+(2*(ROWS(A$1:A18)-1)))</f>
        <v>0</v>
      </c>
      <c r="I18" s="34">
        <f>INDEX('13 - Electrical Readings'!$G$6:$G$960,1+(2*(ROWS(A$1:A18)-1)))</f>
        <v>0</v>
      </c>
      <c r="J18" s="33">
        <f>INDEX('13 - Electrical Readings'!$I$6:$I$960,1+(2*(ROWS(A$1:A18)-1)))</f>
        <v>0</v>
      </c>
      <c r="K18" s="33">
        <f>INDEX('13 - Electrical Readings'!$J$6:$J$960,1+(2*(ROWS(B$1:B18)-1)))</f>
        <v>0</v>
      </c>
      <c r="L18" s="33">
        <f>INDEX('13 - Electrical Readings'!$K$6:$K$960,1+(2*(ROWS(C$1:C18)-1)))</f>
        <v>0</v>
      </c>
      <c r="M18" s="33">
        <f>INDEX('13 - Electrical Readings'!$L$6:$L$960,1+(2*(ROWS(D$1:D18)-1)))</f>
        <v>0</v>
      </c>
      <c r="N18" s="33">
        <f>INDEX('13 - Electrical Readings'!$M$6:$M$960,1+(2*(ROWS(E$1:E18)-1)))</f>
        <v>0</v>
      </c>
      <c r="O18" s="34">
        <f>INDEX('13 - Electrical Readings'!$N$6:$N$960,1+(2*(ROWS(E$1:E18)-1)))</f>
        <v>0</v>
      </c>
      <c r="P18" s="34">
        <f>INDEX('13 - Electrical Readings'!$O$6:$O$960,1+(2*(ROWS(E$1:E18)-1)))</f>
        <v>0</v>
      </c>
      <c r="Q18" s="34">
        <f>INDEX('13 - Electrical Readings'!$P$6:$P$960,1+(2*(ROWS(E$1:E18)-1)))</f>
        <v>0</v>
      </c>
      <c r="R18" s="34">
        <f>INDEX('9 - Water Readings'!$C$8:$C$962,1+(2*(ROWS(A$1:A17)-1)))</f>
        <v>0</v>
      </c>
      <c r="S18" s="34">
        <f>INDEX('9 - Water Readings'!$D$8:$D$961,1+(2*(ROWS(A$1:A17)-1)))</f>
        <v>0</v>
      </c>
      <c r="T18" s="34">
        <f>INDEX('9 - Water Readings'!$E$8:$E$962,1+(2*(ROWS(A$1:A17)-1)))</f>
        <v>0</v>
      </c>
      <c r="U18" s="34">
        <f>INDEX('9 - Water Readings'!$G$8:$G$961,1+(2*(ROWS(A$1:A17)-1)))</f>
        <v>0</v>
      </c>
      <c r="V18" s="34">
        <f>INDEX('9 - Water Readings'!$H$8:$H$962,1+(2*(ROWS(A$1:A17)-1)))</f>
        <v>0</v>
      </c>
      <c r="W18" s="34">
        <f>INDEX('9 - Water Readings'!$I$8:$I$962,1+(2*(ROWS(A$1:A17)-1)))</f>
        <v>0</v>
      </c>
      <c r="X18" s="34">
        <f>INDEX('9 - Water Readings'!$J$8:$J$962,1+(2*(ROWS(A$1:A17)-1)))</f>
        <v>0</v>
      </c>
      <c r="Y18" s="34">
        <f>INDEX('9 - Water Readings'!$K$8:$K$962,1+(2*(ROWS(A$1:A17)-1)))</f>
        <v>0</v>
      </c>
      <c r="Z18" s="34">
        <f>INDEX('9 - Water Readings'!$L$8:$L$962,1+(2*(ROWS(A$1:A17)-1)))</f>
        <v>0</v>
      </c>
      <c r="AA18" s="35">
        <f>'9 - Water Readings'!Q23</f>
        <v>0</v>
      </c>
      <c r="AB18" s="33">
        <f>'9 - Water Readings'!R23</f>
        <v>0</v>
      </c>
      <c r="AC18">
        <f>'9 - Water Readings'!S23</f>
        <v>0</v>
      </c>
    </row>
    <row r="19" spans="1:29" x14ac:dyDescent="0.25">
      <c r="A19" s="36" t="s">
        <v>11</v>
      </c>
      <c r="B19" s="36">
        <f t="shared" si="0"/>
        <v>18</v>
      </c>
      <c r="C19" s="36">
        <v>1</v>
      </c>
      <c r="D19" s="33">
        <v>2023</v>
      </c>
      <c r="E19" s="34">
        <f>INDEX('13 - Electrical Readings'!$C$8:$C$960,1+(2*(ROWS(A$1:A18)-1)))</f>
        <v>0</v>
      </c>
      <c r="F19" s="34">
        <f>INDEX('13 - Electrical Readings'!$D$6:$D$960,1+(2*(ROWS(A$1:A19)-1)))</f>
        <v>0</v>
      </c>
      <c r="G19" s="33">
        <f>INDEX('13 - Electrical Readings'!$E$6:$E$960,1+(2*(ROWS(A$1:A19)-1)))</f>
        <v>0</v>
      </c>
      <c r="H19" s="33">
        <f>INDEX('13 - Electrical Readings'!$F$6:$F$960,1+(2*(ROWS(A$1:A19)-1)))</f>
        <v>0</v>
      </c>
      <c r="I19" s="34">
        <f>INDEX('13 - Electrical Readings'!$G$6:$G$960,1+(2*(ROWS(A$1:A19)-1)))</f>
        <v>0</v>
      </c>
      <c r="J19" s="33">
        <f>INDEX('13 - Electrical Readings'!$I$6:$I$960,1+(2*(ROWS(A$1:A19)-1)))</f>
        <v>0</v>
      </c>
      <c r="K19" s="33">
        <f>INDEX('13 - Electrical Readings'!$J$6:$J$960,1+(2*(ROWS(B$1:B19)-1)))</f>
        <v>0</v>
      </c>
      <c r="L19" s="33">
        <f>INDEX('13 - Electrical Readings'!$K$6:$K$960,1+(2*(ROWS(C$1:C19)-1)))</f>
        <v>0</v>
      </c>
      <c r="M19" s="33">
        <f>INDEX('13 - Electrical Readings'!$L$6:$L$960,1+(2*(ROWS(D$1:D19)-1)))</f>
        <v>0</v>
      </c>
      <c r="N19" s="33">
        <f>INDEX('13 - Electrical Readings'!$M$6:$M$960,1+(2*(ROWS(E$1:E19)-1)))</f>
        <v>0</v>
      </c>
      <c r="O19" s="34">
        <f>INDEX('13 - Electrical Readings'!$N$6:$N$960,1+(2*(ROWS(E$1:E19)-1)))</f>
        <v>0</v>
      </c>
      <c r="P19" s="34">
        <f>INDEX('13 - Electrical Readings'!$O$6:$O$960,1+(2*(ROWS(E$1:E19)-1)))</f>
        <v>0</v>
      </c>
      <c r="Q19" s="34">
        <f>INDEX('13 - Electrical Readings'!$P$6:$P$960,1+(2*(ROWS(E$1:E19)-1)))</f>
        <v>0</v>
      </c>
      <c r="R19" s="34">
        <f>INDEX('9 - Water Readings'!$C$8:$C$962,1+(2*(ROWS(A$1:A18)-1)))</f>
        <v>0</v>
      </c>
      <c r="S19" s="34">
        <f>INDEX('9 - Water Readings'!$D$8:$D$961,1+(2*(ROWS(A$1:A18)-1)))</f>
        <v>0</v>
      </c>
      <c r="T19" s="34">
        <f>INDEX('9 - Water Readings'!$E$8:$E$962,1+(2*(ROWS(A$1:A18)-1)))</f>
        <v>0</v>
      </c>
      <c r="U19" s="34">
        <f>INDEX('9 - Water Readings'!$G$8:$G$961,1+(2*(ROWS(A$1:A18)-1)))</f>
        <v>0</v>
      </c>
      <c r="V19" s="34">
        <f>INDEX('9 - Water Readings'!$H$8:$H$962,1+(2*(ROWS(A$1:A18)-1)))</f>
        <v>0</v>
      </c>
      <c r="W19" s="34">
        <f>INDEX('9 - Water Readings'!$I$8:$I$962,1+(2*(ROWS(A$1:A18)-1)))</f>
        <v>0</v>
      </c>
      <c r="X19" s="34">
        <f>INDEX('9 - Water Readings'!$J$8:$J$962,1+(2*(ROWS(A$1:A18)-1)))</f>
        <v>0</v>
      </c>
      <c r="Y19" s="34">
        <f>INDEX('9 - Water Readings'!$K$8:$K$962,1+(2*(ROWS(A$1:A18)-1)))</f>
        <v>0</v>
      </c>
      <c r="Z19" s="34">
        <f>INDEX('9 - Water Readings'!$L$8:$L$962,1+(2*(ROWS(A$1:A18)-1)))</f>
        <v>0</v>
      </c>
      <c r="AA19" s="35">
        <f>'9 - Water Readings'!Q24</f>
        <v>0</v>
      </c>
      <c r="AB19" s="33">
        <f>'9 - Water Readings'!R24</f>
        <v>0</v>
      </c>
      <c r="AC19">
        <f>'9 - Water Readings'!S24</f>
        <v>0</v>
      </c>
    </row>
    <row r="20" spans="1:29" x14ac:dyDescent="0.25">
      <c r="A20" s="36" t="s">
        <v>11</v>
      </c>
      <c r="B20" s="36">
        <f t="shared" si="0"/>
        <v>19</v>
      </c>
      <c r="C20" s="36">
        <v>1</v>
      </c>
      <c r="D20" s="33">
        <v>2023</v>
      </c>
      <c r="E20" s="34">
        <f>INDEX('13 - Electrical Readings'!$C$8:$C$960,1+(2*(ROWS(A$1:A19)-1)))</f>
        <v>0</v>
      </c>
      <c r="F20" s="34">
        <f>INDEX('13 - Electrical Readings'!$D$6:$D$960,1+(2*(ROWS(A$1:A20)-1)))</f>
        <v>0</v>
      </c>
      <c r="G20" s="33">
        <f>INDEX('13 - Electrical Readings'!$E$6:$E$960,1+(2*(ROWS(A$1:A20)-1)))</f>
        <v>0</v>
      </c>
      <c r="H20" s="33">
        <f>INDEX('13 - Electrical Readings'!$F$6:$F$960,1+(2*(ROWS(A$1:A20)-1)))</f>
        <v>0</v>
      </c>
      <c r="I20" s="34">
        <f>INDEX('13 - Electrical Readings'!$G$6:$G$960,1+(2*(ROWS(A$1:A20)-1)))</f>
        <v>0</v>
      </c>
      <c r="J20" s="33">
        <f>INDEX('13 - Electrical Readings'!$I$6:$I$960,1+(2*(ROWS(A$1:A20)-1)))</f>
        <v>0</v>
      </c>
      <c r="K20" s="33">
        <f>INDEX('13 - Electrical Readings'!$J$6:$J$960,1+(2*(ROWS(B$1:B20)-1)))</f>
        <v>0</v>
      </c>
      <c r="L20" s="33">
        <f>INDEX('13 - Electrical Readings'!$K$6:$K$960,1+(2*(ROWS(C$1:C20)-1)))</f>
        <v>0</v>
      </c>
      <c r="M20" s="33">
        <f>INDEX('13 - Electrical Readings'!$L$6:$L$960,1+(2*(ROWS(D$1:D20)-1)))</f>
        <v>0</v>
      </c>
      <c r="N20" s="33">
        <f>INDEX('13 - Electrical Readings'!$M$6:$M$960,1+(2*(ROWS(E$1:E20)-1)))</f>
        <v>0</v>
      </c>
      <c r="O20" s="34">
        <f>INDEX('13 - Electrical Readings'!$N$6:$N$960,1+(2*(ROWS(E$1:E20)-1)))</f>
        <v>0</v>
      </c>
      <c r="P20" s="34">
        <f>INDEX('13 - Electrical Readings'!$O$6:$O$960,1+(2*(ROWS(E$1:E20)-1)))</f>
        <v>0</v>
      </c>
      <c r="Q20" s="34">
        <f>INDEX('13 - Electrical Readings'!$P$6:$P$960,1+(2*(ROWS(E$1:E20)-1)))</f>
        <v>0</v>
      </c>
      <c r="R20" s="34">
        <f>INDEX('9 - Water Readings'!$C$8:$C$962,1+(2*(ROWS(A$1:A19)-1)))</f>
        <v>0</v>
      </c>
      <c r="S20" s="34">
        <f>INDEX('9 - Water Readings'!$D$8:$D$961,1+(2*(ROWS(A$1:A19)-1)))</f>
        <v>0</v>
      </c>
      <c r="T20" s="34">
        <f>INDEX('9 - Water Readings'!$E$8:$E$962,1+(2*(ROWS(A$1:A19)-1)))</f>
        <v>0</v>
      </c>
      <c r="U20" s="34">
        <f>INDEX('9 - Water Readings'!$G$8:$G$961,1+(2*(ROWS(A$1:A19)-1)))</f>
        <v>0</v>
      </c>
      <c r="V20" s="34">
        <f>INDEX('9 - Water Readings'!$H$8:$H$962,1+(2*(ROWS(A$1:A19)-1)))</f>
        <v>0</v>
      </c>
      <c r="W20" s="34">
        <f>INDEX('9 - Water Readings'!$I$8:$I$962,1+(2*(ROWS(A$1:A19)-1)))</f>
        <v>0</v>
      </c>
      <c r="X20" s="34">
        <f>INDEX('9 - Water Readings'!$J$8:$J$962,1+(2*(ROWS(A$1:A19)-1)))</f>
        <v>0</v>
      </c>
      <c r="Y20" s="34">
        <f>INDEX('9 - Water Readings'!$K$8:$K$962,1+(2*(ROWS(A$1:A19)-1)))</f>
        <v>0</v>
      </c>
      <c r="Z20" s="34">
        <f>INDEX('9 - Water Readings'!$L$8:$L$962,1+(2*(ROWS(A$1:A19)-1)))</f>
        <v>0</v>
      </c>
      <c r="AA20" s="35">
        <f>'9 - Water Readings'!Q25</f>
        <v>0</v>
      </c>
      <c r="AB20" s="33">
        <f>'9 - Water Readings'!R25</f>
        <v>0</v>
      </c>
      <c r="AC20">
        <f>'9 - Water Readings'!S25</f>
        <v>0</v>
      </c>
    </row>
    <row r="21" spans="1:29" x14ac:dyDescent="0.25">
      <c r="A21" s="36" t="s">
        <v>11</v>
      </c>
      <c r="B21" s="36">
        <f t="shared" si="0"/>
        <v>20</v>
      </c>
      <c r="C21" s="36">
        <v>1</v>
      </c>
      <c r="D21" s="33">
        <v>2023</v>
      </c>
      <c r="E21" s="34">
        <f>INDEX('13 - Electrical Readings'!$C$8:$C$960,1+(2*(ROWS(A$1:A20)-1)))</f>
        <v>0</v>
      </c>
      <c r="F21" s="34">
        <f>INDEX('13 - Electrical Readings'!$D$6:$D$960,1+(2*(ROWS(A$1:A21)-1)))</f>
        <v>0</v>
      </c>
      <c r="G21" s="33">
        <f>INDEX('13 - Electrical Readings'!$E$6:$E$960,1+(2*(ROWS(A$1:A21)-1)))</f>
        <v>0</v>
      </c>
      <c r="H21" s="33">
        <f>INDEX('13 - Electrical Readings'!$F$6:$F$960,1+(2*(ROWS(A$1:A21)-1)))</f>
        <v>0</v>
      </c>
      <c r="I21" s="34">
        <f>INDEX('13 - Electrical Readings'!$G$6:$G$960,1+(2*(ROWS(A$1:A21)-1)))</f>
        <v>0</v>
      </c>
      <c r="J21" s="33">
        <f>INDEX('13 - Electrical Readings'!$I$6:$I$960,1+(2*(ROWS(A$1:A21)-1)))</f>
        <v>0</v>
      </c>
      <c r="K21" s="33">
        <f>INDEX('13 - Electrical Readings'!$J$6:$J$960,1+(2*(ROWS(B$1:B21)-1)))</f>
        <v>0</v>
      </c>
      <c r="L21" s="33">
        <f>INDEX('13 - Electrical Readings'!$K$6:$K$960,1+(2*(ROWS(C$1:C21)-1)))</f>
        <v>0</v>
      </c>
      <c r="M21" s="33">
        <f>INDEX('13 - Electrical Readings'!$L$6:$L$960,1+(2*(ROWS(D$1:D21)-1)))</f>
        <v>0</v>
      </c>
      <c r="N21" s="33">
        <f>INDEX('13 - Electrical Readings'!$M$6:$M$960,1+(2*(ROWS(E$1:E21)-1)))</f>
        <v>0</v>
      </c>
      <c r="O21" s="34">
        <f>INDEX('13 - Electrical Readings'!$N$6:$N$960,1+(2*(ROWS(E$1:E21)-1)))</f>
        <v>0</v>
      </c>
      <c r="P21" s="34">
        <f>INDEX('13 - Electrical Readings'!$O$6:$O$960,1+(2*(ROWS(E$1:E21)-1)))</f>
        <v>0</v>
      </c>
      <c r="Q21" s="34">
        <f>INDEX('13 - Electrical Readings'!$P$6:$P$960,1+(2*(ROWS(E$1:E21)-1)))</f>
        <v>0</v>
      </c>
      <c r="R21" s="34">
        <f>INDEX('9 - Water Readings'!$C$8:$C$962,1+(2*(ROWS(A$1:A20)-1)))</f>
        <v>0</v>
      </c>
      <c r="S21" s="34">
        <f>INDEX('9 - Water Readings'!$D$8:$D$961,1+(2*(ROWS(A$1:A20)-1)))</f>
        <v>0</v>
      </c>
      <c r="T21" s="34">
        <f>INDEX('9 - Water Readings'!$E$8:$E$962,1+(2*(ROWS(A$1:A20)-1)))</f>
        <v>0</v>
      </c>
      <c r="U21" s="34">
        <f>INDEX('9 - Water Readings'!$G$8:$G$961,1+(2*(ROWS(A$1:A20)-1)))</f>
        <v>0</v>
      </c>
      <c r="V21" s="34">
        <f>INDEX('9 - Water Readings'!$H$8:$H$962,1+(2*(ROWS(A$1:A20)-1)))</f>
        <v>0</v>
      </c>
      <c r="W21" s="34">
        <f>INDEX('9 - Water Readings'!$I$8:$I$962,1+(2*(ROWS(A$1:A20)-1)))</f>
        <v>0</v>
      </c>
      <c r="X21" s="34">
        <f>INDEX('9 - Water Readings'!$J$8:$J$962,1+(2*(ROWS(A$1:A20)-1)))</f>
        <v>0</v>
      </c>
      <c r="Y21" s="34">
        <f>INDEX('9 - Water Readings'!$K$8:$K$962,1+(2*(ROWS(A$1:A20)-1)))</f>
        <v>0</v>
      </c>
      <c r="Z21" s="34">
        <f>INDEX('9 - Water Readings'!$L$8:$L$962,1+(2*(ROWS(A$1:A20)-1)))</f>
        <v>0</v>
      </c>
      <c r="AA21" s="35">
        <f>'9 - Water Readings'!Q26</f>
        <v>0</v>
      </c>
      <c r="AB21" s="33">
        <f>'9 - Water Readings'!R26</f>
        <v>0</v>
      </c>
      <c r="AC21">
        <f>'9 - Water Readings'!S26</f>
        <v>0</v>
      </c>
    </row>
    <row r="22" spans="1:29" x14ac:dyDescent="0.25">
      <c r="A22" s="36" t="s">
        <v>11</v>
      </c>
      <c r="B22" s="36">
        <f t="shared" si="0"/>
        <v>21</v>
      </c>
      <c r="C22" s="36">
        <v>1</v>
      </c>
      <c r="D22" s="33">
        <v>2023</v>
      </c>
      <c r="E22" s="34">
        <f>INDEX('13 - Electrical Readings'!$C$8:$C$960,1+(2*(ROWS(A$1:A21)-1)))</f>
        <v>0</v>
      </c>
      <c r="F22" s="34">
        <f>INDEX('13 - Electrical Readings'!$D$6:$D$960,1+(2*(ROWS(A$1:A22)-1)))</f>
        <v>0</v>
      </c>
      <c r="G22" s="33">
        <f>INDEX('13 - Electrical Readings'!$E$6:$E$960,1+(2*(ROWS(A$1:A22)-1)))</f>
        <v>0</v>
      </c>
      <c r="H22" s="33">
        <f>INDEX('13 - Electrical Readings'!$F$6:$F$960,1+(2*(ROWS(A$1:A22)-1)))</f>
        <v>0</v>
      </c>
      <c r="I22" s="34">
        <f>INDEX('13 - Electrical Readings'!$G$6:$G$960,1+(2*(ROWS(A$1:A22)-1)))</f>
        <v>0</v>
      </c>
      <c r="J22" s="33">
        <f>INDEX('13 - Electrical Readings'!$I$6:$I$960,1+(2*(ROWS(A$1:A22)-1)))</f>
        <v>0</v>
      </c>
      <c r="K22" s="33">
        <f>INDEX('13 - Electrical Readings'!$J$6:$J$960,1+(2*(ROWS(B$1:B22)-1)))</f>
        <v>0</v>
      </c>
      <c r="L22" s="33">
        <f>INDEX('13 - Electrical Readings'!$K$6:$K$960,1+(2*(ROWS(C$1:C22)-1)))</f>
        <v>0</v>
      </c>
      <c r="M22" s="33">
        <f>INDEX('13 - Electrical Readings'!$L$6:$L$960,1+(2*(ROWS(D$1:D22)-1)))</f>
        <v>0</v>
      </c>
      <c r="N22" s="33">
        <f>INDEX('13 - Electrical Readings'!$M$6:$M$960,1+(2*(ROWS(E$1:E22)-1)))</f>
        <v>0</v>
      </c>
      <c r="O22" s="34">
        <f>INDEX('13 - Electrical Readings'!$N$6:$N$960,1+(2*(ROWS(E$1:E22)-1)))</f>
        <v>0</v>
      </c>
      <c r="P22" s="34">
        <f>INDEX('13 - Electrical Readings'!$O$6:$O$960,1+(2*(ROWS(E$1:E22)-1)))</f>
        <v>0</v>
      </c>
      <c r="Q22" s="34">
        <f>INDEX('13 - Electrical Readings'!$P$6:$P$960,1+(2*(ROWS(E$1:E22)-1)))</f>
        <v>0</v>
      </c>
      <c r="R22" s="34">
        <f>INDEX('9 - Water Readings'!$C$8:$C$962,1+(2*(ROWS(A$1:A21)-1)))</f>
        <v>0</v>
      </c>
      <c r="S22" s="34">
        <f>INDEX('9 - Water Readings'!$D$8:$D$961,1+(2*(ROWS(A$1:A21)-1)))</f>
        <v>0</v>
      </c>
      <c r="T22" s="34">
        <f>INDEX('9 - Water Readings'!$E$8:$E$962,1+(2*(ROWS(A$1:A21)-1)))</f>
        <v>0</v>
      </c>
      <c r="U22" s="34">
        <f>INDEX('9 - Water Readings'!$G$8:$G$961,1+(2*(ROWS(A$1:A21)-1)))</f>
        <v>0</v>
      </c>
      <c r="V22" s="34">
        <f>INDEX('9 - Water Readings'!$H$8:$H$962,1+(2*(ROWS(A$1:A21)-1)))</f>
        <v>0</v>
      </c>
      <c r="W22" s="34">
        <f>INDEX('9 - Water Readings'!$I$8:$I$962,1+(2*(ROWS(A$1:A21)-1)))</f>
        <v>0</v>
      </c>
      <c r="X22" s="34">
        <f>INDEX('9 - Water Readings'!$J$8:$J$962,1+(2*(ROWS(A$1:A21)-1)))</f>
        <v>0</v>
      </c>
      <c r="Y22" s="34">
        <f>INDEX('9 - Water Readings'!$K$8:$K$962,1+(2*(ROWS(A$1:A21)-1)))</f>
        <v>0</v>
      </c>
      <c r="Z22" s="34">
        <f>INDEX('9 - Water Readings'!$L$8:$L$962,1+(2*(ROWS(A$1:A21)-1)))</f>
        <v>0</v>
      </c>
      <c r="AA22" s="35">
        <f>'9 - Water Readings'!Q27</f>
        <v>0</v>
      </c>
      <c r="AB22" s="33">
        <f>'9 - Water Readings'!R27</f>
        <v>0</v>
      </c>
      <c r="AC22">
        <f>'9 - Water Readings'!S27</f>
        <v>0</v>
      </c>
    </row>
    <row r="23" spans="1:29" x14ac:dyDescent="0.25">
      <c r="A23" s="36" t="s">
        <v>11</v>
      </c>
      <c r="B23" s="36">
        <f t="shared" si="0"/>
        <v>22</v>
      </c>
      <c r="C23" s="36">
        <v>1</v>
      </c>
      <c r="D23" s="33">
        <v>2023</v>
      </c>
      <c r="E23" s="34">
        <f>INDEX('13 - Electrical Readings'!$C$8:$C$960,1+(2*(ROWS(A$1:A22)-1)))</f>
        <v>0</v>
      </c>
      <c r="F23" s="34">
        <f>INDEX('13 - Electrical Readings'!$D$6:$D$960,1+(2*(ROWS(A$1:A23)-1)))</f>
        <v>0</v>
      </c>
      <c r="G23" s="33">
        <f>INDEX('13 - Electrical Readings'!$E$6:$E$960,1+(2*(ROWS(A$1:A23)-1)))</f>
        <v>0</v>
      </c>
      <c r="H23" s="33">
        <f>INDEX('13 - Electrical Readings'!$F$6:$F$960,1+(2*(ROWS(A$1:A23)-1)))</f>
        <v>0</v>
      </c>
      <c r="I23" s="34">
        <f>INDEX('13 - Electrical Readings'!$G$6:$G$960,1+(2*(ROWS(A$1:A23)-1)))</f>
        <v>0</v>
      </c>
      <c r="J23" s="33">
        <f>INDEX('13 - Electrical Readings'!$I$6:$I$960,1+(2*(ROWS(A$1:A23)-1)))</f>
        <v>0</v>
      </c>
      <c r="K23" s="33">
        <f>INDEX('13 - Electrical Readings'!$J$6:$J$960,1+(2*(ROWS(B$1:B23)-1)))</f>
        <v>0</v>
      </c>
      <c r="L23" s="33">
        <f>INDEX('13 - Electrical Readings'!$K$6:$K$960,1+(2*(ROWS(C$1:C23)-1)))</f>
        <v>0</v>
      </c>
      <c r="M23" s="33">
        <f>INDEX('13 - Electrical Readings'!$L$6:$L$960,1+(2*(ROWS(D$1:D23)-1)))</f>
        <v>0</v>
      </c>
      <c r="N23" s="33">
        <f>INDEX('13 - Electrical Readings'!$M$6:$M$960,1+(2*(ROWS(E$1:E23)-1)))</f>
        <v>0</v>
      </c>
      <c r="O23" s="34">
        <f>INDEX('13 - Electrical Readings'!$N$6:$N$960,1+(2*(ROWS(E$1:E23)-1)))</f>
        <v>0</v>
      </c>
      <c r="P23" s="34">
        <f>INDEX('13 - Electrical Readings'!$O$6:$O$960,1+(2*(ROWS(E$1:E23)-1)))</f>
        <v>0</v>
      </c>
      <c r="Q23" s="34">
        <f>INDEX('13 - Electrical Readings'!$P$6:$P$960,1+(2*(ROWS(E$1:E23)-1)))</f>
        <v>0</v>
      </c>
      <c r="R23" s="34">
        <f>INDEX('9 - Water Readings'!$C$8:$C$962,1+(2*(ROWS(A$1:A22)-1)))</f>
        <v>0</v>
      </c>
      <c r="S23" s="34">
        <f>INDEX('9 - Water Readings'!$D$8:$D$961,1+(2*(ROWS(A$1:A22)-1)))</f>
        <v>0</v>
      </c>
      <c r="T23" s="34">
        <f>INDEX('9 - Water Readings'!$E$8:$E$962,1+(2*(ROWS(A$1:A22)-1)))</f>
        <v>0</v>
      </c>
      <c r="U23" s="34">
        <f>INDEX('9 - Water Readings'!$G$8:$G$961,1+(2*(ROWS(A$1:A22)-1)))</f>
        <v>0</v>
      </c>
      <c r="V23" s="34">
        <f>INDEX('9 - Water Readings'!$H$8:$H$962,1+(2*(ROWS(A$1:A22)-1)))</f>
        <v>0</v>
      </c>
      <c r="W23" s="34">
        <f>INDEX('9 - Water Readings'!$I$8:$I$962,1+(2*(ROWS(A$1:A22)-1)))</f>
        <v>0</v>
      </c>
      <c r="X23" s="34">
        <f>INDEX('9 - Water Readings'!$J$8:$J$962,1+(2*(ROWS(A$1:A22)-1)))</f>
        <v>0</v>
      </c>
      <c r="Y23" s="34">
        <f>INDEX('9 - Water Readings'!$K$8:$K$962,1+(2*(ROWS(A$1:A22)-1)))</f>
        <v>0</v>
      </c>
      <c r="Z23" s="34">
        <f>INDEX('9 - Water Readings'!$L$8:$L$962,1+(2*(ROWS(A$1:A22)-1)))</f>
        <v>0</v>
      </c>
      <c r="AA23" s="35">
        <f>'9 - Water Readings'!Q28</f>
        <v>0</v>
      </c>
      <c r="AB23" s="33">
        <f>'9 - Water Readings'!R28</f>
        <v>0</v>
      </c>
      <c r="AC23">
        <f>'9 - Water Readings'!S28</f>
        <v>0</v>
      </c>
    </row>
    <row r="24" spans="1:29" x14ac:dyDescent="0.25">
      <c r="A24" s="36" t="s">
        <v>11</v>
      </c>
      <c r="B24" s="36">
        <f t="shared" si="0"/>
        <v>23</v>
      </c>
      <c r="C24" s="36">
        <v>1</v>
      </c>
      <c r="D24" s="33">
        <v>2023</v>
      </c>
      <c r="E24" s="34">
        <f>INDEX('13 - Electrical Readings'!$C$8:$C$960,1+(2*(ROWS(A$1:A23)-1)))</f>
        <v>0</v>
      </c>
      <c r="F24" s="34">
        <f>INDEX('13 - Electrical Readings'!$D$6:$D$960,1+(2*(ROWS(A$1:A24)-1)))</f>
        <v>0</v>
      </c>
      <c r="G24" s="33">
        <f>INDEX('13 - Electrical Readings'!$E$6:$E$960,1+(2*(ROWS(A$1:A24)-1)))</f>
        <v>0</v>
      </c>
      <c r="H24" s="33">
        <f>INDEX('13 - Electrical Readings'!$F$6:$F$960,1+(2*(ROWS(A$1:A24)-1)))</f>
        <v>0</v>
      </c>
      <c r="I24" s="34">
        <f>INDEX('13 - Electrical Readings'!$G$6:$G$960,1+(2*(ROWS(A$1:A24)-1)))</f>
        <v>0</v>
      </c>
      <c r="J24" s="33">
        <f>INDEX('13 - Electrical Readings'!$I$6:$I$960,1+(2*(ROWS(A$1:A24)-1)))</f>
        <v>0</v>
      </c>
      <c r="K24" s="33">
        <f>INDEX('13 - Electrical Readings'!$J$6:$J$960,1+(2*(ROWS(B$1:B24)-1)))</f>
        <v>0</v>
      </c>
      <c r="L24" s="33">
        <f>INDEX('13 - Electrical Readings'!$K$6:$K$960,1+(2*(ROWS(C$1:C24)-1)))</f>
        <v>0</v>
      </c>
      <c r="M24" s="33">
        <f>INDEX('13 - Electrical Readings'!$L$6:$L$960,1+(2*(ROWS(D$1:D24)-1)))</f>
        <v>0</v>
      </c>
      <c r="N24" s="33">
        <f>INDEX('13 - Electrical Readings'!$M$6:$M$960,1+(2*(ROWS(E$1:E24)-1)))</f>
        <v>0</v>
      </c>
      <c r="O24" s="34">
        <f>INDEX('13 - Electrical Readings'!$N$6:$N$960,1+(2*(ROWS(E$1:E24)-1)))</f>
        <v>0</v>
      </c>
      <c r="P24" s="34">
        <f>INDEX('13 - Electrical Readings'!$O$6:$O$960,1+(2*(ROWS(E$1:E24)-1)))</f>
        <v>0</v>
      </c>
      <c r="Q24" s="34">
        <f>INDEX('13 - Electrical Readings'!$P$6:$P$960,1+(2*(ROWS(E$1:E24)-1)))</f>
        <v>0</v>
      </c>
      <c r="R24" s="34">
        <f>INDEX('9 - Water Readings'!$C$8:$C$962,1+(2*(ROWS(A$1:A23)-1)))</f>
        <v>0</v>
      </c>
      <c r="S24" s="34">
        <f>INDEX('9 - Water Readings'!$D$8:$D$961,1+(2*(ROWS(A$1:A23)-1)))</f>
        <v>0</v>
      </c>
      <c r="T24" s="34">
        <f>INDEX('9 - Water Readings'!$E$8:$E$962,1+(2*(ROWS(A$1:A23)-1)))</f>
        <v>0</v>
      </c>
      <c r="U24" s="34">
        <f>INDEX('9 - Water Readings'!$G$8:$G$961,1+(2*(ROWS(A$1:A23)-1)))</f>
        <v>0</v>
      </c>
      <c r="V24" s="34">
        <f>INDEX('9 - Water Readings'!$H$8:$H$962,1+(2*(ROWS(A$1:A23)-1)))</f>
        <v>0</v>
      </c>
      <c r="W24" s="34">
        <f>INDEX('9 - Water Readings'!$I$8:$I$962,1+(2*(ROWS(A$1:A23)-1)))</f>
        <v>0</v>
      </c>
      <c r="X24" s="34">
        <f>INDEX('9 - Water Readings'!$J$8:$J$962,1+(2*(ROWS(A$1:A23)-1)))</f>
        <v>0</v>
      </c>
      <c r="Y24" s="34">
        <f>INDEX('9 - Water Readings'!$K$8:$K$962,1+(2*(ROWS(A$1:A23)-1)))</f>
        <v>0</v>
      </c>
      <c r="Z24" s="34">
        <f>INDEX('9 - Water Readings'!$L$8:$L$962,1+(2*(ROWS(A$1:A23)-1)))</f>
        <v>0</v>
      </c>
      <c r="AA24" s="35">
        <f>'9 - Water Readings'!Q29</f>
        <v>0</v>
      </c>
      <c r="AB24" s="33">
        <f>'9 - Water Readings'!R29</f>
        <v>0</v>
      </c>
      <c r="AC24">
        <f>'9 - Water Readings'!S29</f>
        <v>0</v>
      </c>
    </row>
    <row r="25" spans="1:29" x14ac:dyDescent="0.25">
      <c r="A25" s="36" t="s">
        <v>11</v>
      </c>
      <c r="B25" s="36">
        <f t="shared" si="0"/>
        <v>24</v>
      </c>
      <c r="C25" s="36">
        <v>1</v>
      </c>
      <c r="D25" s="33">
        <v>2023</v>
      </c>
      <c r="E25" s="34">
        <f>INDEX('13 - Electrical Readings'!$C$8:$C$960,1+(2*(ROWS(A$1:A24)-1)))</f>
        <v>0</v>
      </c>
      <c r="F25" s="34">
        <f>INDEX('13 - Electrical Readings'!$D$6:$D$960,1+(2*(ROWS(A$1:A25)-1)))</f>
        <v>0</v>
      </c>
      <c r="G25" s="33">
        <f>INDEX('13 - Electrical Readings'!$E$6:$E$960,1+(2*(ROWS(A$1:A25)-1)))</f>
        <v>0</v>
      </c>
      <c r="H25" s="33">
        <f>INDEX('13 - Electrical Readings'!$F$6:$F$960,1+(2*(ROWS(A$1:A25)-1)))</f>
        <v>0</v>
      </c>
      <c r="I25" s="34">
        <f>INDEX('13 - Electrical Readings'!$G$6:$G$960,1+(2*(ROWS(A$1:A25)-1)))</f>
        <v>0</v>
      </c>
      <c r="J25" s="33">
        <f>INDEX('13 - Electrical Readings'!$I$6:$I$960,1+(2*(ROWS(A$1:A25)-1)))</f>
        <v>0</v>
      </c>
      <c r="K25" s="33">
        <f>INDEX('13 - Electrical Readings'!$J$6:$J$960,1+(2*(ROWS(B$1:B25)-1)))</f>
        <v>0</v>
      </c>
      <c r="L25" s="33">
        <f>INDEX('13 - Electrical Readings'!$K$6:$K$960,1+(2*(ROWS(C$1:C25)-1)))</f>
        <v>0</v>
      </c>
      <c r="M25" s="33">
        <f>INDEX('13 - Electrical Readings'!$L$6:$L$960,1+(2*(ROWS(D$1:D25)-1)))</f>
        <v>0</v>
      </c>
      <c r="N25" s="33">
        <f>INDEX('13 - Electrical Readings'!$M$6:$M$960,1+(2*(ROWS(E$1:E25)-1)))</f>
        <v>0</v>
      </c>
      <c r="O25" s="34">
        <f>INDEX('13 - Electrical Readings'!$N$6:$N$960,1+(2*(ROWS(E$1:E25)-1)))</f>
        <v>0</v>
      </c>
      <c r="P25" s="34">
        <f>INDEX('13 - Electrical Readings'!$O$6:$O$960,1+(2*(ROWS(E$1:E25)-1)))</f>
        <v>0</v>
      </c>
      <c r="Q25" s="34">
        <f>INDEX('13 - Electrical Readings'!$P$6:$P$960,1+(2*(ROWS(E$1:E25)-1)))</f>
        <v>0</v>
      </c>
      <c r="R25" s="34">
        <f>INDEX('9 - Water Readings'!$C$8:$C$962,1+(2*(ROWS(A$1:A24)-1)))</f>
        <v>0</v>
      </c>
      <c r="S25" s="34">
        <f>INDEX('9 - Water Readings'!$D$8:$D$961,1+(2*(ROWS(A$1:A24)-1)))</f>
        <v>0</v>
      </c>
      <c r="T25" s="34">
        <f>INDEX('9 - Water Readings'!$E$8:$E$962,1+(2*(ROWS(A$1:A24)-1)))</f>
        <v>0</v>
      </c>
      <c r="U25" s="34">
        <f>INDEX('9 - Water Readings'!$G$8:$G$961,1+(2*(ROWS(A$1:A24)-1)))</f>
        <v>0</v>
      </c>
      <c r="V25" s="34">
        <f>INDEX('9 - Water Readings'!$H$8:$H$962,1+(2*(ROWS(A$1:A24)-1)))</f>
        <v>0</v>
      </c>
      <c r="W25" s="34">
        <f>INDEX('9 - Water Readings'!$I$8:$I$962,1+(2*(ROWS(A$1:A24)-1)))</f>
        <v>0</v>
      </c>
      <c r="X25" s="34">
        <f>INDEX('9 - Water Readings'!$J$8:$J$962,1+(2*(ROWS(A$1:A24)-1)))</f>
        <v>0</v>
      </c>
      <c r="Y25" s="34">
        <f>INDEX('9 - Water Readings'!$K$8:$K$962,1+(2*(ROWS(A$1:A24)-1)))</f>
        <v>0</v>
      </c>
      <c r="Z25" s="34">
        <f>INDEX('9 - Water Readings'!$L$8:$L$962,1+(2*(ROWS(A$1:A24)-1)))</f>
        <v>0</v>
      </c>
      <c r="AA25" s="35">
        <f>'9 - Water Readings'!Q30</f>
        <v>0</v>
      </c>
      <c r="AB25" s="33">
        <f>'9 - Water Readings'!R30</f>
        <v>0</v>
      </c>
      <c r="AC25">
        <f>'9 - Water Readings'!S30</f>
        <v>0</v>
      </c>
    </row>
    <row r="26" spans="1:29" x14ac:dyDescent="0.25">
      <c r="A26" s="36" t="s">
        <v>11</v>
      </c>
      <c r="B26" s="36">
        <f>B25+1</f>
        <v>25</v>
      </c>
      <c r="C26" s="36">
        <v>1</v>
      </c>
      <c r="D26" s="33">
        <v>2023</v>
      </c>
      <c r="E26" s="34">
        <f>INDEX('13 - Electrical Readings'!$C$8:$C$960,1+(2*(ROWS(A$1:A25)-1)))</f>
        <v>0</v>
      </c>
      <c r="F26" s="34">
        <f>INDEX('13 - Electrical Readings'!$D$6:$D$960,1+(2*(ROWS(A$1:A26)-1)))</f>
        <v>0</v>
      </c>
      <c r="G26" s="33">
        <f>INDEX('13 - Electrical Readings'!$E$6:$E$960,1+(2*(ROWS(A$1:A26)-1)))</f>
        <v>0</v>
      </c>
      <c r="H26" s="33">
        <f>INDEX('13 - Electrical Readings'!$F$6:$F$960,1+(2*(ROWS(A$1:A26)-1)))</f>
        <v>0</v>
      </c>
      <c r="I26" s="34">
        <f>INDEX('13 - Electrical Readings'!$G$6:$G$960,1+(2*(ROWS(A$1:A26)-1)))</f>
        <v>0</v>
      </c>
      <c r="J26" s="33">
        <f>INDEX('13 - Electrical Readings'!$I$6:$I$960,1+(2*(ROWS(A$1:A26)-1)))</f>
        <v>0</v>
      </c>
      <c r="K26" s="33">
        <f>INDEX('13 - Electrical Readings'!$J$6:$J$960,1+(2*(ROWS(B$1:B26)-1)))</f>
        <v>0</v>
      </c>
      <c r="L26" s="33">
        <f>INDEX('13 - Electrical Readings'!$K$6:$K$960,1+(2*(ROWS(C$1:C26)-1)))</f>
        <v>0</v>
      </c>
      <c r="M26" s="33">
        <f>INDEX('13 - Electrical Readings'!$L$6:$L$960,1+(2*(ROWS(D$1:D26)-1)))</f>
        <v>0</v>
      </c>
      <c r="N26" s="33">
        <f>INDEX('13 - Electrical Readings'!$M$6:$M$960,1+(2*(ROWS(E$1:E26)-1)))</f>
        <v>0</v>
      </c>
      <c r="O26" s="34">
        <f>INDEX('13 - Electrical Readings'!$N$6:$N$960,1+(2*(ROWS(E$1:E26)-1)))</f>
        <v>0</v>
      </c>
      <c r="P26" s="34">
        <f>INDEX('13 - Electrical Readings'!$O$6:$O$960,1+(2*(ROWS(E$1:E26)-1)))</f>
        <v>0</v>
      </c>
      <c r="Q26" s="34">
        <f>INDEX('13 - Electrical Readings'!$P$6:$P$960,1+(2*(ROWS(E$1:E26)-1)))</f>
        <v>0</v>
      </c>
      <c r="R26" s="34">
        <f>INDEX('9 - Water Readings'!$C$8:$C$962,1+(2*(ROWS(A$1:A25)-1)))</f>
        <v>0</v>
      </c>
      <c r="S26" s="34">
        <f>INDEX('9 - Water Readings'!$D$8:$D$961,1+(2*(ROWS(A$1:A25)-1)))</f>
        <v>0</v>
      </c>
      <c r="T26" s="34">
        <f>INDEX('9 - Water Readings'!$E$8:$E$962,1+(2*(ROWS(A$1:A25)-1)))</f>
        <v>0</v>
      </c>
      <c r="U26" s="34">
        <f>INDEX('9 - Water Readings'!$G$8:$G$961,1+(2*(ROWS(A$1:A25)-1)))</f>
        <v>0</v>
      </c>
      <c r="V26" s="34">
        <f>INDEX('9 - Water Readings'!$H$8:$H$962,1+(2*(ROWS(A$1:A25)-1)))</f>
        <v>0</v>
      </c>
      <c r="W26" s="34">
        <f>INDEX('9 - Water Readings'!$I$8:$I$962,1+(2*(ROWS(A$1:A25)-1)))</f>
        <v>0</v>
      </c>
      <c r="X26" s="34">
        <f>INDEX('9 - Water Readings'!$J$8:$J$962,1+(2*(ROWS(A$1:A25)-1)))</f>
        <v>0</v>
      </c>
      <c r="Y26" s="34">
        <f>INDEX('9 - Water Readings'!$K$8:$K$962,1+(2*(ROWS(A$1:A25)-1)))</f>
        <v>0</v>
      </c>
      <c r="Z26" s="34">
        <f>INDEX('9 - Water Readings'!$L$8:$L$962,1+(2*(ROWS(A$1:A25)-1)))</f>
        <v>0</v>
      </c>
      <c r="AA26" s="35">
        <f>'9 - Water Readings'!Q31</f>
        <v>0</v>
      </c>
      <c r="AB26" s="33">
        <f>'9 - Water Readings'!R31</f>
        <v>0</v>
      </c>
      <c r="AC26">
        <f>'9 - Water Readings'!S31</f>
        <v>0</v>
      </c>
    </row>
    <row r="27" spans="1:29" x14ac:dyDescent="0.25">
      <c r="A27" s="36" t="s">
        <v>11</v>
      </c>
      <c r="B27" s="36">
        <f t="shared" si="0"/>
        <v>26</v>
      </c>
      <c r="C27" s="36">
        <v>1</v>
      </c>
      <c r="D27" s="33">
        <v>2023</v>
      </c>
      <c r="E27" s="34">
        <f>INDEX('13 - Electrical Readings'!$C$8:$C$960,1+(2*(ROWS(A$1:A26)-1)))</f>
        <v>0</v>
      </c>
      <c r="F27" s="34">
        <f>INDEX('13 - Electrical Readings'!$D$6:$D$960,1+(2*(ROWS(A$1:A27)-1)))</f>
        <v>0</v>
      </c>
      <c r="G27" s="33">
        <f>INDEX('13 - Electrical Readings'!$E$6:$E$960,1+(2*(ROWS(A$1:A27)-1)))</f>
        <v>0</v>
      </c>
      <c r="H27" s="33">
        <f>INDEX('13 - Electrical Readings'!$F$6:$F$960,1+(2*(ROWS(A$1:A27)-1)))</f>
        <v>0</v>
      </c>
      <c r="I27" s="34">
        <f>INDEX('13 - Electrical Readings'!$G$6:$G$960,1+(2*(ROWS(A$1:A27)-1)))</f>
        <v>0</v>
      </c>
      <c r="J27" s="33">
        <f>INDEX('13 - Electrical Readings'!$I$6:$I$960,1+(2*(ROWS(A$1:A27)-1)))</f>
        <v>0</v>
      </c>
      <c r="K27" s="33">
        <f>INDEX('13 - Electrical Readings'!$J$6:$J$960,1+(2*(ROWS(B$1:B27)-1)))</f>
        <v>0</v>
      </c>
      <c r="L27" s="33">
        <f>INDEX('13 - Electrical Readings'!$K$6:$K$960,1+(2*(ROWS(C$1:C27)-1)))</f>
        <v>0</v>
      </c>
      <c r="M27" s="33">
        <f>INDEX('13 - Electrical Readings'!$L$6:$L$960,1+(2*(ROWS(D$1:D27)-1)))</f>
        <v>0</v>
      </c>
      <c r="N27" s="33">
        <f>INDEX('13 - Electrical Readings'!$M$6:$M$960,1+(2*(ROWS(E$1:E27)-1)))</f>
        <v>0</v>
      </c>
      <c r="O27" s="34">
        <f>INDEX('13 - Electrical Readings'!$N$6:$N$960,1+(2*(ROWS(E$1:E27)-1)))</f>
        <v>0</v>
      </c>
      <c r="P27" s="34">
        <f>INDEX('13 - Electrical Readings'!$O$6:$O$960,1+(2*(ROWS(E$1:E27)-1)))</f>
        <v>0</v>
      </c>
      <c r="Q27" s="34">
        <f>INDEX('13 - Electrical Readings'!$P$6:$P$960,1+(2*(ROWS(E$1:E27)-1)))</f>
        <v>0</v>
      </c>
      <c r="R27" s="34">
        <f>INDEX('9 - Water Readings'!$C$8:$C$962,1+(2*(ROWS(A$1:A26)-1)))</f>
        <v>0</v>
      </c>
      <c r="S27" s="34">
        <f>INDEX('9 - Water Readings'!$D$8:$D$961,1+(2*(ROWS(A$1:A26)-1)))</f>
        <v>0</v>
      </c>
      <c r="T27" s="34">
        <f>INDEX('9 - Water Readings'!$E$8:$E$962,1+(2*(ROWS(A$1:A26)-1)))</f>
        <v>0</v>
      </c>
      <c r="U27" s="34">
        <f>INDEX('9 - Water Readings'!$G$8:$G$961,1+(2*(ROWS(A$1:A26)-1)))</f>
        <v>0</v>
      </c>
      <c r="V27" s="34">
        <f>INDEX('9 - Water Readings'!$H$8:$H$962,1+(2*(ROWS(A$1:A26)-1)))</f>
        <v>0</v>
      </c>
      <c r="W27" s="34">
        <f>INDEX('9 - Water Readings'!$I$8:$I$962,1+(2*(ROWS(A$1:A26)-1)))</f>
        <v>0</v>
      </c>
      <c r="X27" s="34">
        <f>INDEX('9 - Water Readings'!$J$8:$J$962,1+(2*(ROWS(A$1:A26)-1)))</f>
        <v>0</v>
      </c>
      <c r="Y27" s="34">
        <f>INDEX('9 - Water Readings'!$K$8:$K$962,1+(2*(ROWS(A$1:A26)-1)))</f>
        <v>0</v>
      </c>
      <c r="Z27" s="34">
        <f>INDEX('9 - Water Readings'!$L$8:$L$962,1+(2*(ROWS(A$1:A26)-1)))</f>
        <v>0</v>
      </c>
      <c r="AA27" s="35">
        <f>'9 - Water Readings'!Q32</f>
        <v>0</v>
      </c>
      <c r="AB27" s="33">
        <f>'9 - Water Readings'!R32</f>
        <v>0</v>
      </c>
      <c r="AC27">
        <f>'9 - Water Readings'!S32</f>
        <v>0</v>
      </c>
    </row>
    <row r="28" spans="1:29" x14ac:dyDescent="0.25">
      <c r="A28" s="36" t="s">
        <v>11</v>
      </c>
      <c r="B28" s="36">
        <f t="shared" si="0"/>
        <v>27</v>
      </c>
      <c r="C28" s="36">
        <v>1</v>
      </c>
      <c r="D28" s="33">
        <v>2023</v>
      </c>
      <c r="E28" s="34">
        <f>INDEX('13 - Electrical Readings'!$C$8:$C$960,1+(2*(ROWS(A$1:A27)-1)))</f>
        <v>0</v>
      </c>
      <c r="F28" s="34">
        <f>INDEX('13 - Electrical Readings'!$D$6:$D$960,1+(2*(ROWS(A$1:A28)-1)))</f>
        <v>0</v>
      </c>
      <c r="G28" s="33">
        <f>INDEX('13 - Electrical Readings'!$E$6:$E$960,1+(2*(ROWS(A$1:A28)-1)))</f>
        <v>0</v>
      </c>
      <c r="H28" s="33">
        <f>INDEX('13 - Electrical Readings'!$F$6:$F$960,1+(2*(ROWS(A$1:A28)-1)))</f>
        <v>0</v>
      </c>
      <c r="I28" s="34">
        <f>INDEX('13 - Electrical Readings'!$G$6:$G$960,1+(2*(ROWS(A$1:A28)-1)))</f>
        <v>0</v>
      </c>
      <c r="J28" s="33">
        <f>INDEX('13 - Electrical Readings'!$I$6:$I$960,1+(2*(ROWS(A$1:A28)-1)))</f>
        <v>0</v>
      </c>
      <c r="K28" s="33">
        <f>INDEX('13 - Electrical Readings'!$J$6:$J$960,1+(2*(ROWS(B$1:B28)-1)))</f>
        <v>0</v>
      </c>
      <c r="L28" s="33">
        <f>INDEX('13 - Electrical Readings'!$K$6:$K$960,1+(2*(ROWS(C$1:C28)-1)))</f>
        <v>0</v>
      </c>
      <c r="M28" s="33">
        <f>INDEX('13 - Electrical Readings'!$L$6:$L$960,1+(2*(ROWS(D$1:D28)-1)))</f>
        <v>0</v>
      </c>
      <c r="N28" s="33">
        <f>INDEX('13 - Electrical Readings'!$M$6:$M$960,1+(2*(ROWS(E$1:E28)-1)))</f>
        <v>0</v>
      </c>
      <c r="O28" s="34">
        <f>INDEX('13 - Electrical Readings'!$N$6:$N$960,1+(2*(ROWS(E$1:E28)-1)))</f>
        <v>0</v>
      </c>
      <c r="P28" s="34">
        <f>INDEX('13 - Electrical Readings'!$O$6:$O$960,1+(2*(ROWS(E$1:E28)-1)))</f>
        <v>0</v>
      </c>
      <c r="Q28" s="34">
        <f>INDEX('13 - Electrical Readings'!$P$6:$P$960,1+(2*(ROWS(E$1:E28)-1)))</f>
        <v>0</v>
      </c>
      <c r="R28" s="34">
        <f>INDEX('9 - Water Readings'!$C$8:$C$962,1+(2*(ROWS(A$1:A27)-1)))</f>
        <v>0</v>
      </c>
      <c r="S28" s="34">
        <f>INDEX('9 - Water Readings'!$D$8:$D$961,1+(2*(ROWS(A$1:A27)-1)))</f>
        <v>0</v>
      </c>
      <c r="T28" s="34">
        <f>INDEX('9 - Water Readings'!$E$8:$E$962,1+(2*(ROWS(A$1:A27)-1)))</f>
        <v>0</v>
      </c>
      <c r="U28" s="34">
        <f>INDEX('9 - Water Readings'!$G$8:$G$961,1+(2*(ROWS(A$1:A27)-1)))</f>
        <v>0</v>
      </c>
      <c r="V28" s="34">
        <f>INDEX('9 - Water Readings'!$H$8:$H$962,1+(2*(ROWS(A$1:A27)-1)))</f>
        <v>0</v>
      </c>
      <c r="W28" s="34">
        <f>INDEX('9 - Water Readings'!$I$8:$I$962,1+(2*(ROWS(A$1:A27)-1)))</f>
        <v>0</v>
      </c>
      <c r="X28" s="34">
        <f>INDEX('9 - Water Readings'!$J$8:$J$962,1+(2*(ROWS(A$1:A27)-1)))</f>
        <v>0</v>
      </c>
      <c r="Y28" s="34">
        <f>INDEX('9 - Water Readings'!$K$8:$K$962,1+(2*(ROWS(A$1:A27)-1)))</f>
        <v>0</v>
      </c>
      <c r="Z28" s="34">
        <f>INDEX('9 - Water Readings'!$L$8:$L$962,1+(2*(ROWS(A$1:A27)-1)))</f>
        <v>0</v>
      </c>
      <c r="AA28" s="35">
        <f>'9 - Water Readings'!Q33</f>
        <v>0</v>
      </c>
      <c r="AB28" s="33">
        <f>'9 - Water Readings'!R33</f>
        <v>0</v>
      </c>
      <c r="AC28">
        <f>'9 - Water Readings'!S33</f>
        <v>0</v>
      </c>
    </row>
    <row r="29" spans="1:29" x14ac:dyDescent="0.25">
      <c r="A29" s="36" t="s">
        <v>11</v>
      </c>
      <c r="B29" s="36">
        <f t="shared" si="0"/>
        <v>28</v>
      </c>
      <c r="C29" s="36">
        <v>1</v>
      </c>
      <c r="D29" s="33">
        <v>2023</v>
      </c>
      <c r="E29" s="34">
        <f>INDEX('13 - Electrical Readings'!$C$8:$C$960,1+(2*(ROWS(A$1:A28)-1)))</f>
        <v>0</v>
      </c>
      <c r="F29" s="34">
        <f>INDEX('13 - Electrical Readings'!$D$6:$D$960,1+(2*(ROWS(A$1:A29)-1)))</f>
        <v>0</v>
      </c>
      <c r="G29" s="33">
        <f>INDEX('13 - Electrical Readings'!$E$6:$E$960,1+(2*(ROWS(A$1:A29)-1)))</f>
        <v>0</v>
      </c>
      <c r="H29" s="33">
        <f>INDEX('13 - Electrical Readings'!$F$6:$F$960,1+(2*(ROWS(A$1:A29)-1)))</f>
        <v>0</v>
      </c>
      <c r="I29" s="34">
        <f>INDEX('13 - Electrical Readings'!$G$6:$G$960,1+(2*(ROWS(A$1:A29)-1)))</f>
        <v>0</v>
      </c>
      <c r="J29" s="33">
        <f>INDEX('13 - Electrical Readings'!$I$6:$I$960,1+(2*(ROWS(A$1:A29)-1)))</f>
        <v>0</v>
      </c>
      <c r="K29" s="33">
        <f>INDEX('13 - Electrical Readings'!$J$6:$J$960,1+(2*(ROWS(B$1:B29)-1)))</f>
        <v>0</v>
      </c>
      <c r="L29" s="33">
        <f>INDEX('13 - Electrical Readings'!$K$6:$K$960,1+(2*(ROWS(C$1:C29)-1)))</f>
        <v>0</v>
      </c>
      <c r="M29" s="33">
        <f>INDEX('13 - Electrical Readings'!$L$6:$L$960,1+(2*(ROWS(D$1:D29)-1)))</f>
        <v>0</v>
      </c>
      <c r="N29" s="33">
        <f>INDEX('13 - Electrical Readings'!$M$6:$M$960,1+(2*(ROWS(E$1:E29)-1)))</f>
        <v>0</v>
      </c>
      <c r="O29" s="34">
        <f>INDEX('13 - Electrical Readings'!$N$6:$N$960,1+(2*(ROWS(E$1:E29)-1)))</f>
        <v>0</v>
      </c>
      <c r="P29" s="34">
        <f>INDEX('13 - Electrical Readings'!$O$6:$O$960,1+(2*(ROWS(E$1:E29)-1)))</f>
        <v>0</v>
      </c>
      <c r="Q29" s="34">
        <f>INDEX('13 - Electrical Readings'!$P$6:$P$960,1+(2*(ROWS(E$1:E29)-1)))</f>
        <v>0</v>
      </c>
      <c r="R29" s="34">
        <f>INDEX('9 - Water Readings'!$C$8:$C$962,1+(2*(ROWS(A$1:A28)-1)))</f>
        <v>0</v>
      </c>
      <c r="S29" s="34">
        <f>INDEX('9 - Water Readings'!$D$8:$D$961,1+(2*(ROWS(A$1:A28)-1)))</f>
        <v>0</v>
      </c>
      <c r="T29" s="34">
        <f>INDEX('9 - Water Readings'!$E$8:$E$962,1+(2*(ROWS(A$1:A28)-1)))</f>
        <v>0</v>
      </c>
      <c r="U29" s="34">
        <f>INDEX('9 - Water Readings'!$G$8:$G$961,1+(2*(ROWS(A$1:A28)-1)))</f>
        <v>0</v>
      </c>
      <c r="V29" s="34">
        <f>INDEX('9 - Water Readings'!$H$8:$H$962,1+(2*(ROWS(A$1:A28)-1)))</f>
        <v>0</v>
      </c>
      <c r="W29" s="34">
        <f>INDEX('9 - Water Readings'!$I$8:$I$962,1+(2*(ROWS(A$1:A28)-1)))</f>
        <v>0</v>
      </c>
      <c r="X29" s="34">
        <f>INDEX('9 - Water Readings'!$J$8:$J$962,1+(2*(ROWS(A$1:A28)-1)))</f>
        <v>0</v>
      </c>
      <c r="Y29" s="34">
        <f>INDEX('9 - Water Readings'!$K$8:$K$962,1+(2*(ROWS(A$1:A28)-1)))</f>
        <v>0</v>
      </c>
      <c r="Z29" s="34">
        <f>INDEX('9 - Water Readings'!$L$8:$L$962,1+(2*(ROWS(A$1:A28)-1)))</f>
        <v>0</v>
      </c>
      <c r="AA29" s="35">
        <f>'9 - Water Readings'!Q34</f>
        <v>0</v>
      </c>
      <c r="AB29" s="33">
        <f>'9 - Water Readings'!R34</f>
        <v>0</v>
      </c>
      <c r="AC29">
        <f>'9 - Water Readings'!S34</f>
        <v>0</v>
      </c>
    </row>
    <row r="30" spans="1:29" x14ac:dyDescent="0.25">
      <c r="A30" s="36" t="s">
        <v>11</v>
      </c>
      <c r="B30" s="36">
        <v>29</v>
      </c>
      <c r="C30" s="36">
        <v>1</v>
      </c>
      <c r="D30" s="33">
        <v>2023</v>
      </c>
      <c r="E30" s="34">
        <f>INDEX('13 - Electrical Readings'!$C$8:$C$960,1+(2*(ROWS(A$1:A29)-1)))</f>
        <v>0</v>
      </c>
      <c r="F30" s="34">
        <f>INDEX('13 - Electrical Readings'!$D$6:$D$960,1+(2*(ROWS(A$1:A30)-1)))</f>
        <v>0</v>
      </c>
      <c r="G30" s="33">
        <f>INDEX('13 - Electrical Readings'!$E$6:$E$960,1+(2*(ROWS(A$1:A30)-1)))</f>
        <v>0</v>
      </c>
      <c r="H30" s="33">
        <f>INDEX('13 - Electrical Readings'!$F$6:$F$960,1+(2*(ROWS(A$1:A30)-1)))</f>
        <v>0</v>
      </c>
      <c r="I30" s="34">
        <f>INDEX('13 - Electrical Readings'!$G$6:$G$960,1+(2*(ROWS(A$1:A30)-1)))</f>
        <v>0</v>
      </c>
      <c r="J30" s="33">
        <f>INDEX('13 - Electrical Readings'!$I$6:$I$960,1+(2*(ROWS(A$1:A30)-1)))</f>
        <v>0</v>
      </c>
      <c r="K30" s="33">
        <f>INDEX('13 - Electrical Readings'!$J$6:$J$960,1+(2*(ROWS(B$1:B30)-1)))</f>
        <v>0</v>
      </c>
      <c r="L30" s="33">
        <f>INDEX('13 - Electrical Readings'!$K$6:$K$960,1+(2*(ROWS(C$1:C30)-1)))</f>
        <v>0</v>
      </c>
      <c r="M30" s="33">
        <f>INDEX('13 - Electrical Readings'!$L$6:$L$960,1+(2*(ROWS(D$1:D30)-1)))</f>
        <v>0</v>
      </c>
      <c r="N30" s="33">
        <f>INDEX('13 - Electrical Readings'!$M$6:$M$960,1+(2*(ROWS(E$1:E30)-1)))</f>
        <v>0</v>
      </c>
      <c r="O30" s="34">
        <f>INDEX('13 - Electrical Readings'!$N$6:$N$960,1+(2*(ROWS(E$1:E30)-1)))</f>
        <v>0</v>
      </c>
      <c r="P30" s="34">
        <f>INDEX('13 - Electrical Readings'!$O$6:$O$960,1+(2*(ROWS(E$1:E30)-1)))</f>
        <v>0</v>
      </c>
      <c r="Q30" s="34">
        <f>INDEX('13 - Electrical Readings'!$P$6:$P$960,1+(2*(ROWS(E$1:E30)-1)))</f>
        <v>0</v>
      </c>
      <c r="R30" s="34">
        <f>INDEX('9 - Water Readings'!$C$8:$C$962,1+(2*(ROWS(A$1:A29)-1)))</f>
        <v>0</v>
      </c>
      <c r="S30" s="34">
        <f>INDEX('9 - Water Readings'!$D$8:$D$961,1+(2*(ROWS(A$1:A29)-1)))</f>
        <v>0</v>
      </c>
      <c r="T30" s="34">
        <f>INDEX('9 - Water Readings'!$E$8:$E$962,1+(2*(ROWS(A$1:A29)-1)))</f>
        <v>0</v>
      </c>
      <c r="U30" s="34">
        <f>INDEX('9 - Water Readings'!$G$8:$G$961,1+(2*(ROWS(A$1:A29)-1)))</f>
        <v>0</v>
      </c>
      <c r="V30" s="34">
        <f>INDEX('9 - Water Readings'!$H$8:$H$962,1+(2*(ROWS(A$1:A29)-1)))</f>
        <v>0</v>
      </c>
      <c r="W30" s="34">
        <f>INDEX('9 - Water Readings'!$I$8:$I$962,1+(2*(ROWS(A$1:A29)-1)))</f>
        <v>0</v>
      </c>
      <c r="X30" s="34">
        <f>INDEX('9 - Water Readings'!$J$8:$J$962,1+(2*(ROWS(A$1:A29)-1)))</f>
        <v>0</v>
      </c>
      <c r="Y30" s="34">
        <f>INDEX('9 - Water Readings'!$K$8:$K$962,1+(2*(ROWS(A$1:A29)-1)))</f>
        <v>0</v>
      </c>
      <c r="Z30" s="34">
        <f>INDEX('9 - Water Readings'!$L$8:$L$962,1+(2*(ROWS(A$1:A29)-1)))</f>
        <v>0</v>
      </c>
      <c r="AA30" s="35">
        <f>'9 - Water Readings'!Q35</f>
        <v>0</v>
      </c>
      <c r="AB30" s="33">
        <f>'9 - Water Readings'!R35</f>
        <v>0</v>
      </c>
      <c r="AC30">
        <f>'9 - Water Readings'!S35</f>
        <v>0</v>
      </c>
    </row>
    <row r="31" spans="1:29" x14ac:dyDescent="0.25">
      <c r="A31" s="36" t="s">
        <v>11</v>
      </c>
      <c r="B31" s="36">
        <v>30</v>
      </c>
      <c r="C31" s="36">
        <v>1</v>
      </c>
      <c r="D31" s="33">
        <v>2023</v>
      </c>
      <c r="E31" s="34">
        <f>INDEX('13 - Electrical Readings'!$C$8:$C$960,1+(2*(ROWS(A$1:A30)-1)))</f>
        <v>0</v>
      </c>
      <c r="F31" s="34">
        <f>INDEX('13 - Electrical Readings'!$D$6:$D$960,1+(2*(ROWS(A$1:A31)-1)))</f>
        <v>0</v>
      </c>
      <c r="G31" s="33">
        <f>INDEX('13 - Electrical Readings'!$E$6:$E$960,1+(2*(ROWS(A$1:A31)-1)))</f>
        <v>0</v>
      </c>
      <c r="H31" s="33">
        <f>INDEX('13 - Electrical Readings'!$F$6:$F$960,1+(2*(ROWS(A$1:A31)-1)))</f>
        <v>0</v>
      </c>
      <c r="I31" s="34">
        <f>INDEX('13 - Electrical Readings'!$G$6:$G$960,1+(2*(ROWS(A$1:A31)-1)))</f>
        <v>0</v>
      </c>
      <c r="J31" s="33">
        <f>INDEX('13 - Electrical Readings'!$I$6:$I$960,1+(2*(ROWS(A$1:A31)-1)))</f>
        <v>0</v>
      </c>
      <c r="K31" s="33">
        <f>INDEX('13 - Electrical Readings'!$J$6:$J$960,1+(2*(ROWS(B$1:B31)-1)))</f>
        <v>0</v>
      </c>
      <c r="L31" s="33">
        <f>INDEX('13 - Electrical Readings'!$K$6:$K$960,1+(2*(ROWS(C$1:C31)-1)))</f>
        <v>0</v>
      </c>
      <c r="M31" s="33">
        <f>INDEX('13 - Electrical Readings'!$L$6:$L$960,1+(2*(ROWS(D$1:D31)-1)))</f>
        <v>0</v>
      </c>
      <c r="N31" s="33">
        <f>INDEX('13 - Electrical Readings'!$M$6:$M$960,1+(2*(ROWS(E$1:E31)-1)))</f>
        <v>0</v>
      </c>
      <c r="O31" s="34">
        <f>INDEX('13 - Electrical Readings'!$N$6:$N$960,1+(2*(ROWS(E$1:E31)-1)))</f>
        <v>0</v>
      </c>
      <c r="P31" s="34">
        <f>INDEX('13 - Electrical Readings'!$O$6:$O$960,1+(2*(ROWS(E$1:E31)-1)))</f>
        <v>0</v>
      </c>
      <c r="Q31" s="34">
        <f>INDEX('13 - Electrical Readings'!$P$6:$P$960,1+(2*(ROWS(E$1:E31)-1)))</f>
        <v>0</v>
      </c>
      <c r="R31" s="34">
        <f>INDEX('9 - Water Readings'!$C$8:$C$962,1+(2*(ROWS(A$1:A30)-1)))</f>
        <v>0</v>
      </c>
      <c r="S31" s="34">
        <f>INDEX('9 - Water Readings'!$D$8:$D$961,1+(2*(ROWS(A$1:A30)-1)))</f>
        <v>0</v>
      </c>
      <c r="T31" s="34">
        <f>INDEX('9 - Water Readings'!$E$8:$E$962,1+(2*(ROWS(A$1:A30)-1)))</f>
        <v>0</v>
      </c>
      <c r="U31" s="34">
        <f>INDEX('9 - Water Readings'!$G$8:$G$961,1+(2*(ROWS(A$1:A30)-1)))</f>
        <v>0</v>
      </c>
      <c r="V31" s="34">
        <f>INDEX('9 - Water Readings'!$H$8:$H$962,1+(2*(ROWS(A$1:A30)-1)))</f>
        <v>0</v>
      </c>
      <c r="W31" s="34">
        <f>INDEX('9 - Water Readings'!$I$8:$I$962,1+(2*(ROWS(A$1:A30)-1)))</f>
        <v>0</v>
      </c>
      <c r="X31" s="34">
        <f>INDEX('9 - Water Readings'!$J$8:$J$962,1+(2*(ROWS(A$1:A30)-1)))</f>
        <v>0</v>
      </c>
      <c r="Y31" s="34">
        <f>INDEX('9 - Water Readings'!$K$8:$K$962,1+(2*(ROWS(A$1:A30)-1)))</f>
        <v>0</v>
      </c>
      <c r="Z31" s="34">
        <f>INDEX('9 - Water Readings'!$L$8:$L$962,1+(2*(ROWS(A$1:A30)-1)))</f>
        <v>0</v>
      </c>
      <c r="AA31" s="35">
        <f>'9 - Water Readings'!Q36</f>
        <v>0</v>
      </c>
      <c r="AB31" s="33">
        <f>'9 - Water Readings'!R36</f>
        <v>0</v>
      </c>
      <c r="AC31">
        <f>'9 - Water Readings'!S36</f>
        <v>0</v>
      </c>
    </row>
    <row r="32" spans="1:29" x14ac:dyDescent="0.25">
      <c r="A32" s="36" t="s">
        <v>11</v>
      </c>
      <c r="B32" s="36">
        <v>31</v>
      </c>
      <c r="C32" s="36">
        <v>1</v>
      </c>
      <c r="D32" s="33">
        <v>2023</v>
      </c>
      <c r="E32" s="34">
        <f>INDEX('13 - Electrical Readings'!$C$8:$C$960,1+(2*(ROWS(A$1:A31)-1)))</f>
        <v>0</v>
      </c>
      <c r="F32" s="34">
        <f>INDEX('13 - Electrical Readings'!$D$6:$D$960,1+(2*(ROWS(A$1:A32)-1)))</f>
        <v>0</v>
      </c>
      <c r="G32" s="33">
        <f>INDEX('13 - Electrical Readings'!$E$6:$E$960,1+(2*(ROWS(A$1:A32)-1)))</f>
        <v>0</v>
      </c>
      <c r="H32" s="33">
        <f>INDEX('13 - Electrical Readings'!$F$6:$F$960,1+(2*(ROWS(A$1:A32)-1)))</f>
        <v>0</v>
      </c>
      <c r="I32" s="34">
        <f>INDEX('13 - Electrical Readings'!$G$6:$G$960,1+(2*(ROWS(A$1:A32)-1)))</f>
        <v>0</v>
      </c>
      <c r="J32" s="33">
        <f>INDEX('13 - Electrical Readings'!$I$6:$I$960,1+(2*(ROWS(A$1:A32)-1)))</f>
        <v>0</v>
      </c>
      <c r="K32" s="33">
        <f>INDEX('13 - Electrical Readings'!$J$6:$J$960,1+(2*(ROWS(B$1:B32)-1)))</f>
        <v>0</v>
      </c>
      <c r="L32" s="33">
        <f>INDEX('13 - Electrical Readings'!$K$6:$K$960,1+(2*(ROWS(C$1:C32)-1)))</f>
        <v>0</v>
      </c>
      <c r="M32" s="33">
        <f>INDEX('13 - Electrical Readings'!$L$6:$L$960,1+(2*(ROWS(D$1:D32)-1)))</f>
        <v>0</v>
      </c>
      <c r="N32" s="33">
        <f>INDEX('13 - Electrical Readings'!$M$6:$M$960,1+(2*(ROWS(E$1:E32)-1)))</f>
        <v>0</v>
      </c>
      <c r="O32" s="34">
        <f>INDEX('13 - Electrical Readings'!$N$6:$N$960,1+(2*(ROWS(E$1:E32)-1)))</f>
        <v>0</v>
      </c>
      <c r="P32" s="34">
        <f>INDEX('13 - Electrical Readings'!$O$6:$O$960,1+(2*(ROWS(E$1:E32)-1)))</f>
        <v>0</v>
      </c>
      <c r="Q32" s="34">
        <f>INDEX('13 - Electrical Readings'!$P$6:$P$960,1+(2*(ROWS(E$1:E32)-1)))</f>
        <v>0</v>
      </c>
      <c r="R32" s="34">
        <f>INDEX('9 - Water Readings'!$C$8:$C$962,1+(2*(ROWS(A$1:A31)-1)))</f>
        <v>0</v>
      </c>
      <c r="S32" s="34">
        <f>INDEX('9 - Water Readings'!$D$8:$D$961,1+(2*(ROWS(A$1:A31)-1)))</f>
        <v>0</v>
      </c>
      <c r="T32" s="34">
        <f>INDEX('9 - Water Readings'!$E$8:$E$962,1+(2*(ROWS(A$1:A31)-1)))</f>
        <v>0</v>
      </c>
      <c r="U32" s="34">
        <f>INDEX('9 - Water Readings'!$G$8:$G$961,1+(2*(ROWS(A$1:A31)-1)))</f>
        <v>0</v>
      </c>
      <c r="V32" s="34">
        <f>INDEX('9 - Water Readings'!$H$8:$H$962,1+(2*(ROWS(A$1:A31)-1)))</f>
        <v>0</v>
      </c>
      <c r="W32" s="34">
        <f>INDEX('9 - Water Readings'!$I$8:$I$962,1+(2*(ROWS(A$1:A31)-1)))</f>
        <v>0</v>
      </c>
      <c r="X32" s="34">
        <f>INDEX('9 - Water Readings'!$J$8:$J$962,1+(2*(ROWS(A$1:A31)-1)))</f>
        <v>0</v>
      </c>
      <c r="Y32" s="34">
        <f>INDEX('9 - Water Readings'!$K$8:$K$962,1+(2*(ROWS(A$1:A31)-1)))</f>
        <v>0</v>
      </c>
      <c r="Z32" s="34">
        <f>INDEX('9 - Water Readings'!$L$8:$L$962,1+(2*(ROWS(A$1:A31)-1)))</f>
        <v>0</v>
      </c>
      <c r="AA32" s="35">
        <f>'9 - Water Readings'!Q37</f>
        <v>0</v>
      </c>
      <c r="AB32" s="33">
        <f>'9 - Water Readings'!R37</f>
        <v>0</v>
      </c>
      <c r="AC32">
        <f>'9 - Water Readings'!S37</f>
        <v>0</v>
      </c>
    </row>
    <row r="33" spans="5:29" x14ac:dyDescent="0.25">
      <c r="E33" s="34">
        <f>SUM(E2:E32)</f>
        <v>35604</v>
      </c>
      <c r="F33" s="34">
        <f t="shared" ref="F33:AC33" si="1">SUM(F2:F32)</f>
        <v>11363</v>
      </c>
      <c r="G33" s="34">
        <f t="shared" si="1"/>
        <v>23200</v>
      </c>
      <c r="H33" s="34">
        <f t="shared" si="1"/>
        <v>22668</v>
      </c>
      <c r="I33" s="34">
        <f t="shared" si="1"/>
        <v>101997</v>
      </c>
      <c r="J33" s="34">
        <f t="shared" si="1"/>
        <v>16832</v>
      </c>
      <c r="K33" s="34">
        <f t="shared" si="1"/>
        <v>98610</v>
      </c>
      <c r="L33" s="34">
        <f t="shared" si="1"/>
        <v>37545</v>
      </c>
      <c r="M33" s="34">
        <f t="shared" si="1"/>
        <v>49480</v>
      </c>
      <c r="N33" s="34">
        <f t="shared" si="1"/>
        <v>108394</v>
      </c>
      <c r="O33" s="34">
        <f t="shared" si="1"/>
        <v>64316</v>
      </c>
      <c r="P33" s="34">
        <f t="shared" si="1"/>
        <v>14059</v>
      </c>
      <c r="Q33" s="34">
        <f t="shared" si="1"/>
        <v>25190</v>
      </c>
      <c r="R33" s="34">
        <f t="shared" si="1"/>
        <v>1</v>
      </c>
      <c r="S33" s="34">
        <f t="shared" si="1"/>
        <v>1</v>
      </c>
      <c r="T33" s="34">
        <f t="shared" si="1"/>
        <v>0</v>
      </c>
      <c r="U33" s="34">
        <f t="shared" si="1"/>
        <v>1236</v>
      </c>
      <c r="V33" s="34">
        <f t="shared" si="1"/>
        <v>153</v>
      </c>
      <c r="W33" s="34">
        <f t="shared" si="1"/>
        <v>598</v>
      </c>
      <c r="X33" s="34">
        <f t="shared" si="1"/>
        <v>3006</v>
      </c>
      <c r="Y33" s="34">
        <f t="shared" si="1"/>
        <v>0</v>
      </c>
      <c r="Z33" s="34">
        <f t="shared" si="1"/>
        <v>224</v>
      </c>
      <c r="AA33" s="34">
        <f t="shared" si="1"/>
        <v>1305</v>
      </c>
      <c r="AB33" s="34">
        <f t="shared" si="1"/>
        <v>5040</v>
      </c>
      <c r="AC33" s="34">
        <f t="shared" si="1"/>
        <v>1.5</v>
      </c>
    </row>
    <row r="34" spans="5:29" x14ac:dyDescent="0.25">
      <c r="I34" s="34"/>
      <c r="AA34" s="35"/>
      <c r="AC34"/>
    </row>
    <row r="35" spans="5:29" x14ac:dyDescent="0.25">
      <c r="I35" s="34"/>
      <c r="AA35" s="35"/>
      <c r="AC35"/>
    </row>
    <row r="36" spans="5:29" x14ac:dyDescent="0.25">
      <c r="I36" s="34"/>
      <c r="AA36" s="35"/>
      <c r="AC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9"/>
  <sheetViews>
    <sheetView zoomScale="90" zoomScaleNormal="90" zoomScaleSheetLayoutView="100" workbookViewId="0">
      <pane ySplit="6" topLeftCell="A7" activePane="bottomLeft" state="frozen"/>
      <selection activeCell="E54" sqref="E54"/>
      <selection pane="bottomLeft" activeCell="K32" sqref="K32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91" t="s">
        <v>34</v>
      </c>
      <c r="G2" s="91"/>
      <c r="H2" s="91"/>
      <c r="I2" s="91"/>
      <c r="J2" s="91"/>
      <c r="K2" s="91"/>
      <c r="L2" s="91"/>
      <c r="M2" s="91"/>
    </row>
    <row r="3" spans="2:18" ht="21" customHeight="1" x14ac:dyDescent="0.3">
      <c r="F3" s="92" t="s">
        <v>35</v>
      </c>
      <c r="G3" s="92"/>
      <c r="H3" s="92"/>
      <c r="I3" s="92"/>
      <c r="J3" s="92"/>
      <c r="K3" s="92"/>
      <c r="L3" s="92"/>
      <c r="M3" s="92"/>
      <c r="N3" s="88" t="s">
        <v>36</v>
      </c>
      <c r="O3" s="88"/>
      <c r="P3" s="88"/>
    </row>
    <row r="4" spans="2:18" ht="15" customHeight="1" thickBot="1" x14ac:dyDescent="0.3">
      <c r="N4" s="88"/>
      <c r="O4" s="88"/>
      <c r="P4" s="88"/>
    </row>
    <row r="5" spans="2:18" ht="30.75" thickTop="1" x14ac:dyDescent="0.25">
      <c r="B5" s="89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95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93" t="s">
        <v>45</v>
      </c>
      <c r="R5" s="86" t="s">
        <v>46</v>
      </c>
    </row>
    <row r="6" spans="2:18" x14ac:dyDescent="0.25">
      <c r="B6" s="90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96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94"/>
      <c r="R6" s="87"/>
    </row>
    <row r="7" spans="2:18" ht="17.25" customHeight="1" x14ac:dyDescent="0.25">
      <c r="B7" s="23">
        <v>1</v>
      </c>
      <c r="C7" s="66">
        <v>22823937</v>
      </c>
      <c r="D7" s="68">
        <v>16483135</v>
      </c>
      <c r="E7" s="67">
        <v>29272112</v>
      </c>
      <c r="F7" s="67">
        <v>28899778</v>
      </c>
      <c r="G7" s="67">
        <v>17336869</v>
      </c>
      <c r="H7" s="65" t="s">
        <v>47</v>
      </c>
      <c r="I7" s="64">
        <v>6515389</v>
      </c>
      <c r="J7" s="64">
        <v>28526632</v>
      </c>
      <c r="K7" s="64">
        <v>9502788</v>
      </c>
      <c r="L7" s="64">
        <v>14094725</v>
      </c>
      <c r="M7" s="64">
        <v>21675514</v>
      </c>
      <c r="N7" s="64">
        <v>27102024</v>
      </c>
      <c r="O7" s="64">
        <v>8807666</v>
      </c>
      <c r="P7" s="64">
        <v>7965910</v>
      </c>
      <c r="Q7" s="9"/>
      <c r="R7" s="10"/>
    </row>
    <row r="8" spans="2:18" ht="17.25" customHeight="1" x14ac:dyDescent="0.25">
      <c r="B8" s="11" t="s">
        <v>48</v>
      </c>
      <c r="C8" s="69">
        <v>8</v>
      </c>
      <c r="D8" s="70">
        <v>3134</v>
      </c>
      <c r="E8" s="70">
        <v>2235</v>
      </c>
      <c r="F8" s="70">
        <v>2306</v>
      </c>
      <c r="G8" s="70">
        <v>11639</v>
      </c>
      <c r="H8" s="8">
        <f>G8+F8+E8+D8+C8</f>
        <v>19322</v>
      </c>
      <c r="I8" s="72">
        <v>1668</v>
      </c>
      <c r="J8" s="72">
        <v>10076</v>
      </c>
      <c r="K8" s="72">
        <v>4221</v>
      </c>
      <c r="L8" s="72">
        <v>5113</v>
      </c>
      <c r="M8" s="72">
        <v>10776</v>
      </c>
      <c r="N8" s="72">
        <v>7194</v>
      </c>
      <c r="O8" s="72">
        <v>1545</v>
      </c>
      <c r="P8" s="72">
        <v>2280</v>
      </c>
      <c r="Q8" s="13">
        <f>P8+O8+N8+M8+L8+K8+J8+I8</f>
        <v>42873</v>
      </c>
      <c r="R8" s="14">
        <f>Q8+H8</f>
        <v>62195</v>
      </c>
    </row>
    <row r="9" spans="2:18" ht="17.25" customHeight="1" x14ac:dyDescent="0.25">
      <c r="B9" s="23">
        <v>2</v>
      </c>
      <c r="C9" s="73">
        <v>22823947</v>
      </c>
      <c r="D9" s="74">
        <v>16484057</v>
      </c>
      <c r="E9" s="74">
        <v>29274436</v>
      </c>
      <c r="F9" s="74">
        <v>28902090</v>
      </c>
      <c r="G9" s="74">
        <v>17351354</v>
      </c>
      <c r="H9" s="71" t="s">
        <v>47</v>
      </c>
      <c r="I9" s="74">
        <v>6517075</v>
      </c>
      <c r="J9" s="74">
        <v>28536709</v>
      </c>
      <c r="K9" s="74">
        <v>9506387</v>
      </c>
      <c r="L9" s="75">
        <v>14099655</v>
      </c>
      <c r="M9" s="74">
        <v>21686477</v>
      </c>
      <c r="N9" s="74">
        <v>27108915</v>
      </c>
      <c r="O9" s="74">
        <v>8809199</v>
      </c>
      <c r="P9" s="74">
        <v>7968320</v>
      </c>
      <c r="Q9" s="9"/>
      <c r="R9" s="15"/>
    </row>
    <row r="10" spans="2:18" ht="17.25" customHeight="1" x14ac:dyDescent="0.25">
      <c r="B10" s="11" t="s">
        <v>48</v>
      </c>
      <c r="C10" s="69">
        <f>C9-C7</f>
        <v>10</v>
      </c>
      <c r="D10" s="69">
        <f t="shared" ref="D10:G26" si="0">D9-D7</f>
        <v>922</v>
      </c>
      <c r="E10" s="69">
        <f t="shared" si="0"/>
        <v>2324</v>
      </c>
      <c r="F10" s="69">
        <f t="shared" si="0"/>
        <v>2312</v>
      </c>
      <c r="G10" s="69">
        <f t="shared" si="0"/>
        <v>14485</v>
      </c>
      <c r="H10" s="8">
        <f>G10+F10+E10+D10+C10</f>
        <v>20053</v>
      </c>
      <c r="I10" s="72">
        <f>I9-I7</f>
        <v>1686</v>
      </c>
      <c r="J10" s="72">
        <f t="shared" ref="J10:P26" si="1">J9-J7</f>
        <v>10077</v>
      </c>
      <c r="K10" s="72">
        <f t="shared" si="1"/>
        <v>3599</v>
      </c>
      <c r="L10" s="72">
        <f t="shared" si="1"/>
        <v>4930</v>
      </c>
      <c r="M10" s="72">
        <f t="shared" si="1"/>
        <v>10963</v>
      </c>
      <c r="N10" s="72">
        <f t="shared" si="1"/>
        <v>6891</v>
      </c>
      <c r="O10" s="72">
        <f t="shared" si="1"/>
        <v>1533</v>
      </c>
      <c r="P10" s="72">
        <f t="shared" si="1"/>
        <v>2410</v>
      </c>
      <c r="Q10" s="13">
        <f>P10+O10+N10+M10+L10+K10+J10+I10</f>
        <v>42089</v>
      </c>
      <c r="R10" s="14">
        <f>Q10+H10</f>
        <v>62142</v>
      </c>
    </row>
    <row r="11" spans="2:18" ht="17.25" customHeight="1" x14ac:dyDescent="0.25">
      <c r="B11" s="23">
        <v>3</v>
      </c>
      <c r="C11" s="73">
        <v>22823959</v>
      </c>
      <c r="D11" s="74">
        <v>16484981</v>
      </c>
      <c r="E11" s="74">
        <v>29276738</v>
      </c>
      <c r="F11" s="74">
        <v>28904338</v>
      </c>
      <c r="G11" s="74">
        <v>17364773</v>
      </c>
      <c r="H11" s="71" t="s">
        <v>47</v>
      </c>
      <c r="I11" s="74">
        <v>6518739</v>
      </c>
      <c r="J11" s="76">
        <v>28546433</v>
      </c>
      <c r="K11" s="74">
        <v>9509898</v>
      </c>
      <c r="L11" s="74">
        <v>14104407</v>
      </c>
      <c r="M11" s="74">
        <v>21697174</v>
      </c>
      <c r="N11" s="74">
        <v>27115232</v>
      </c>
      <c r="O11" s="74">
        <v>8810527</v>
      </c>
      <c r="P11" s="74">
        <v>7970880</v>
      </c>
      <c r="Q11" s="9"/>
      <c r="R11" s="10"/>
    </row>
    <row r="12" spans="2:18" ht="17.25" customHeight="1" x14ac:dyDescent="0.25">
      <c r="B12" s="11" t="s">
        <v>48</v>
      </c>
      <c r="C12" s="69">
        <f>C11-C9</f>
        <v>12</v>
      </c>
      <c r="D12" s="69">
        <f t="shared" si="0"/>
        <v>924</v>
      </c>
      <c r="E12" s="69">
        <f t="shared" si="0"/>
        <v>2302</v>
      </c>
      <c r="F12" s="69">
        <f t="shared" si="0"/>
        <v>2248</v>
      </c>
      <c r="G12" s="69">
        <f t="shared" si="0"/>
        <v>13419</v>
      </c>
      <c r="H12" s="8">
        <f>G12+F12+E12+D12+C12</f>
        <v>18905</v>
      </c>
      <c r="I12" s="72">
        <f>I11-I9</f>
        <v>1664</v>
      </c>
      <c r="J12" s="72">
        <f t="shared" si="1"/>
        <v>9724</v>
      </c>
      <c r="K12" s="72">
        <f t="shared" si="1"/>
        <v>3511</v>
      </c>
      <c r="L12" s="72">
        <f t="shared" si="1"/>
        <v>4752</v>
      </c>
      <c r="M12" s="72">
        <f t="shared" si="1"/>
        <v>10697</v>
      </c>
      <c r="N12" s="72">
        <f t="shared" si="1"/>
        <v>6317</v>
      </c>
      <c r="O12" s="72">
        <f t="shared" si="1"/>
        <v>1328</v>
      </c>
      <c r="P12" s="72">
        <f t="shared" si="1"/>
        <v>2560</v>
      </c>
      <c r="Q12" s="13">
        <f>P12+O12+N12+M12+L12+K12+J12+I12</f>
        <v>40553</v>
      </c>
      <c r="R12" s="14">
        <f>Q12+H12</f>
        <v>59458</v>
      </c>
    </row>
    <row r="13" spans="2:18" ht="17.25" customHeight="1" x14ac:dyDescent="0.25">
      <c r="B13" s="23">
        <v>4</v>
      </c>
      <c r="C13" s="7">
        <v>22823960</v>
      </c>
      <c r="D13" s="7">
        <v>16485898</v>
      </c>
      <c r="E13" s="7">
        <v>29279073</v>
      </c>
      <c r="F13" s="7">
        <v>28906618</v>
      </c>
      <c r="G13" s="7">
        <v>17379431</v>
      </c>
      <c r="H13" s="8"/>
      <c r="I13" s="7">
        <v>6520437</v>
      </c>
      <c r="J13" s="46">
        <v>28556319</v>
      </c>
      <c r="K13" s="7">
        <v>9513455</v>
      </c>
      <c r="L13" s="7">
        <v>14109486</v>
      </c>
      <c r="M13" s="7">
        <v>21707939</v>
      </c>
      <c r="N13" s="7">
        <v>27121838</v>
      </c>
      <c r="O13" s="7">
        <v>8811841</v>
      </c>
      <c r="P13" s="7">
        <v>7973440</v>
      </c>
      <c r="Q13" s="9"/>
      <c r="R13" s="10"/>
    </row>
    <row r="14" spans="2:18" ht="17.25" customHeight="1" x14ac:dyDescent="0.25">
      <c r="B14" s="11" t="s">
        <v>48</v>
      </c>
      <c r="C14" s="69">
        <f>C13-C11</f>
        <v>1</v>
      </c>
      <c r="D14" s="69">
        <f t="shared" si="0"/>
        <v>917</v>
      </c>
      <c r="E14" s="69">
        <f t="shared" si="0"/>
        <v>2335</v>
      </c>
      <c r="F14" s="69">
        <f t="shared" si="0"/>
        <v>2280</v>
      </c>
      <c r="G14" s="69">
        <f t="shared" si="0"/>
        <v>14658</v>
      </c>
      <c r="H14" s="8">
        <f>G14+F14+E14+D14+C14</f>
        <v>20191</v>
      </c>
      <c r="I14" s="72">
        <f>I13-I11</f>
        <v>1698</v>
      </c>
      <c r="J14" s="72">
        <f t="shared" si="1"/>
        <v>9886</v>
      </c>
      <c r="K14" s="72">
        <f t="shared" si="1"/>
        <v>3557</v>
      </c>
      <c r="L14" s="72">
        <f t="shared" si="1"/>
        <v>5079</v>
      </c>
      <c r="M14" s="72">
        <f t="shared" si="1"/>
        <v>10765</v>
      </c>
      <c r="N14" s="72">
        <f t="shared" si="1"/>
        <v>6606</v>
      </c>
      <c r="O14" s="72">
        <f t="shared" si="1"/>
        <v>1314</v>
      </c>
      <c r="P14" s="72">
        <f t="shared" si="1"/>
        <v>2560</v>
      </c>
      <c r="Q14" s="13">
        <f>P14+O14+N14+M14+L14+K14+J14+I14</f>
        <v>41465</v>
      </c>
      <c r="R14" s="14">
        <f>Q14+H14</f>
        <v>61656</v>
      </c>
    </row>
    <row r="15" spans="2:18" ht="17.25" customHeight="1" x14ac:dyDescent="0.25">
      <c r="B15" s="23">
        <v>5</v>
      </c>
      <c r="C15" s="79">
        <v>22823960</v>
      </c>
      <c r="D15" s="77">
        <v>16486825</v>
      </c>
      <c r="E15" s="78">
        <v>29281390</v>
      </c>
      <c r="F15" s="78">
        <v>28909088</v>
      </c>
      <c r="G15" s="80">
        <v>17395298</v>
      </c>
      <c r="H15" s="8"/>
      <c r="I15" s="7">
        <v>6522113</v>
      </c>
      <c r="J15" s="7">
        <v>28566419</v>
      </c>
      <c r="K15" s="7">
        <v>9517519</v>
      </c>
      <c r="L15" s="7">
        <v>14114557</v>
      </c>
      <c r="M15" s="46">
        <v>21718899</v>
      </c>
      <c r="N15" s="7">
        <v>27128600</v>
      </c>
      <c r="O15" s="7">
        <v>8813209</v>
      </c>
      <c r="P15" s="7">
        <v>7976090</v>
      </c>
      <c r="Q15" s="9"/>
      <c r="R15" s="10"/>
    </row>
    <row r="16" spans="2:18" ht="17.25" customHeight="1" x14ac:dyDescent="0.25">
      <c r="B16" s="11" t="s">
        <v>48</v>
      </c>
      <c r="C16" s="69">
        <f>C15-C13</f>
        <v>0</v>
      </c>
      <c r="D16" s="69">
        <f t="shared" si="0"/>
        <v>927</v>
      </c>
      <c r="E16" s="69">
        <f t="shared" si="0"/>
        <v>2317</v>
      </c>
      <c r="F16" s="69">
        <f t="shared" si="0"/>
        <v>2470</v>
      </c>
      <c r="G16" s="69">
        <f t="shared" si="0"/>
        <v>15867</v>
      </c>
      <c r="H16" s="8">
        <f>G16+F16+E16+D16+C16</f>
        <v>21581</v>
      </c>
      <c r="I16" s="72">
        <f>I15-I13</f>
        <v>1676</v>
      </c>
      <c r="J16" s="72">
        <f t="shared" si="1"/>
        <v>10100</v>
      </c>
      <c r="K16" s="72">
        <f t="shared" si="1"/>
        <v>4064</v>
      </c>
      <c r="L16" s="72">
        <f t="shared" si="1"/>
        <v>5071</v>
      </c>
      <c r="M16" s="72">
        <f t="shared" si="1"/>
        <v>10960</v>
      </c>
      <c r="N16" s="72">
        <f t="shared" si="1"/>
        <v>6762</v>
      </c>
      <c r="O16" s="72">
        <f t="shared" si="1"/>
        <v>1368</v>
      </c>
      <c r="P16" s="72">
        <f t="shared" si="1"/>
        <v>2650</v>
      </c>
      <c r="Q16" s="13">
        <f>P16+O16+N16+M16+L16+K16+J16+I16</f>
        <v>42651</v>
      </c>
      <c r="R16" s="14">
        <f>Q16+H16</f>
        <v>64232</v>
      </c>
    </row>
    <row r="17" spans="2:18" ht="17.25" customHeight="1" x14ac:dyDescent="0.25">
      <c r="B17" s="23">
        <v>6</v>
      </c>
      <c r="C17" s="79">
        <v>22823967</v>
      </c>
      <c r="D17" s="77">
        <v>16487765</v>
      </c>
      <c r="E17" s="78">
        <v>29283703</v>
      </c>
      <c r="F17" s="78">
        <v>28911321</v>
      </c>
      <c r="G17" s="80">
        <v>17409766</v>
      </c>
      <c r="H17" s="8"/>
      <c r="I17" s="7">
        <v>6523843</v>
      </c>
      <c r="J17" s="7">
        <v>28576478</v>
      </c>
      <c r="K17" s="7">
        <v>9521582</v>
      </c>
      <c r="L17" s="7">
        <v>14119565</v>
      </c>
      <c r="M17" s="46">
        <v>21729829</v>
      </c>
      <c r="N17" s="7">
        <v>27134564</v>
      </c>
      <c r="O17" s="7">
        <v>8814599</v>
      </c>
      <c r="P17" s="7">
        <v>7979010</v>
      </c>
      <c r="Q17" s="9"/>
      <c r="R17" s="10"/>
    </row>
    <row r="18" spans="2:18" ht="17.25" customHeight="1" x14ac:dyDescent="0.25">
      <c r="B18" s="11" t="s">
        <v>48</v>
      </c>
      <c r="C18" s="69">
        <f>C17-C15</f>
        <v>7</v>
      </c>
      <c r="D18" s="69">
        <f t="shared" si="0"/>
        <v>940</v>
      </c>
      <c r="E18" s="69">
        <f t="shared" si="0"/>
        <v>2313</v>
      </c>
      <c r="F18" s="69">
        <f t="shared" si="0"/>
        <v>2233</v>
      </c>
      <c r="G18" s="69">
        <f t="shared" si="0"/>
        <v>14468</v>
      </c>
      <c r="H18" s="8">
        <f>G18+F18+E18+D18+C18</f>
        <v>19961</v>
      </c>
      <c r="I18" s="72">
        <f>I17-I15</f>
        <v>1730</v>
      </c>
      <c r="J18" s="72">
        <f t="shared" si="1"/>
        <v>10059</v>
      </c>
      <c r="K18" s="72">
        <f t="shared" si="1"/>
        <v>4063</v>
      </c>
      <c r="L18" s="72">
        <f t="shared" si="1"/>
        <v>5008</v>
      </c>
      <c r="M18" s="72">
        <f t="shared" si="1"/>
        <v>10930</v>
      </c>
      <c r="N18" s="72">
        <f t="shared" si="1"/>
        <v>5964</v>
      </c>
      <c r="O18" s="72">
        <f t="shared" si="1"/>
        <v>1390</v>
      </c>
      <c r="P18" s="72">
        <f t="shared" si="1"/>
        <v>2920</v>
      </c>
      <c r="Q18" s="13">
        <f>P18+O18+N18+M18+L18+K18+J18+I18</f>
        <v>42064</v>
      </c>
      <c r="R18" s="14">
        <f>Q18+H18</f>
        <v>62025</v>
      </c>
    </row>
    <row r="19" spans="2:18" ht="17.25" customHeight="1" x14ac:dyDescent="0.25">
      <c r="B19" s="23">
        <v>7</v>
      </c>
      <c r="C19" s="79">
        <v>22823968</v>
      </c>
      <c r="D19" s="77">
        <v>16488695</v>
      </c>
      <c r="E19" s="78">
        <v>29286024</v>
      </c>
      <c r="F19" s="78">
        <v>28913572</v>
      </c>
      <c r="G19" s="80">
        <v>17423758</v>
      </c>
      <c r="H19" s="8"/>
      <c r="I19" s="7">
        <v>6525454</v>
      </c>
      <c r="J19" s="7">
        <v>28585916</v>
      </c>
      <c r="K19" s="7">
        <v>9525428</v>
      </c>
      <c r="L19" s="7">
        <v>14124498</v>
      </c>
      <c r="M19" s="7">
        <v>21740592</v>
      </c>
      <c r="N19" s="7">
        <v>27140787</v>
      </c>
      <c r="O19" s="7">
        <v>8815866</v>
      </c>
      <c r="P19" s="7">
        <v>7981570</v>
      </c>
      <c r="Q19" s="9"/>
      <c r="R19" s="10"/>
    </row>
    <row r="20" spans="2:18" ht="17.25" customHeight="1" x14ac:dyDescent="0.25">
      <c r="B20" s="11" t="s">
        <v>48</v>
      </c>
      <c r="C20" s="69">
        <f>C19-C17</f>
        <v>1</v>
      </c>
      <c r="D20" s="69">
        <f t="shared" si="0"/>
        <v>930</v>
      </c>
      <c r="E20" s="69">
        <f t="shared" si="0"/>
        <v>2321</v>
      </c>
      <c r="F20" s="69">
        <f t="shared" si="0"/>
        <v>2251</v>
      </c>
      <c r="G20" s="69">
        <f t="shared" si="0"/>
        <v>13992</v>
      </c>
      <c r="H20" s="8">
        <f>G20+F20+E20+D20+C20</f>
        <v>19495</v>
      </c>
      <c r="I20" s="72">
        <f>I19-I17</f>
        <v>1611</v>
      </c>
      <c r="J20" s="72">
        <f t="shared" si="1"/>
        <v>9438</v>
      </c>
      <c r="K20" s="72">
        <f t="shared" si="1"/>
        <v>3846</v>
      </c>
      <c r="L20" s="72">
        <f t="shared" si="1"/>
        <v>4933</v>
      </c>
      <c r="M20" s="72">
        <f t="shared" si="1"/>
        <v>10763</v>
      </c>
      <c r="N20" s="72">
        <f t="shared" si="1"/>
        <v>6223</v>
      </c>
      <c r="O20" s="72">
        <f t="shared" si="1"/>
        <v>1267</v>
      </c>
      <c r="P20" s="72">
        <f t="shared" si="1"/>
        <v>2560</v>
      </c>
      <c r="Q20" s="13">
        <f>P20+O20+N20+M20+L20+K20+J20+I20</f>
        <v>40641</v>
      </c>
      <c r="R20" s="14">
        <f>Q20+H20</f>
        <v>60136</v>
      </c>
    </row>
    <row r="21" spans="2:18" ht="17.25" customHeight="1" x14ac:dyDescent="0.25">
      <c r="B21" s="23">
        <v>8</v>
      </c>
      <c r="C21" s="79">
        <v>22833603</v>
      </c>
      <c r="D21" s="78">
        <v>16489601</v>
      </c>
      <c r="E21" s="78">
        <v>29288401</v>
      </c>
      <c r="F21" s="78">
        <v>28915749</v>
      </c>
      <c r="G21" s="80">
        <v>17427204</v>
      </c>
      <c r="H21" s="8"/>
      <c r="I21" s="7">
        <v>6527176</v>
      </c>
      <c r="J21" s="7">
        <v>28595723</v>
      </c>
      <c r="K21" s="7">
        <v>9529006</v>
      </c>
      <c r="L21" s="7">
        <v>14129326</v>
      </c>
      <c r="M21" s="7">
        <v>21751527</v>
      </c>
      <c r="N21" s="7">
        <v>27147396</v>
      </c>
      <c r="O21" s="7">
        <v>8817280</v>
      </c>
      <c r="P21" s="7">
        <v>7983760</v>
      </c>
      <c r="Q21" s="9"/>
      <c r="R21" s="10"/>
    </row>
    <row r="22" spans="2:18" ht="17.25" customHeight="1" x14ac:dyDescent="0.25">
      <c r="B22" s="11" t="s">
        <v>48</v>
      </c>
      <c r="C22" s="69">
        <f>C21-C19</f>
        <v>9635</v>
      </c>
      <c r="D22" s="69">
        <f t="shared" si="0"/>
        <v>906</v>
      </c>
      <c r="E22" s="69">
        <f t="shared" si="0"/>
        <v>2377</v>
      </c>
      <c r="F22" s="69">
        <f t="shared" si="0"/>
        <v>2177</v>
      </c>
      <c r="G22" s="69">
        <f t="shared" si="0"/>
        <v>3446</v>
      </c>
      <c r="H22" s="8">
        <f>G22+F22+E22+D22+C22</f>
        <v>18541</v>
      </c>
      <c r="I22" s="72">
        <f>I21-I19</f>
        <v>1722</v>
      </c>
      <c r="J22" s="72">
        <f t="shared" si="1"/>
        <v>9807</v>
      </c>
      <c r="K22" s="72">
        <f t="shared" si="1"/>
        <v>3578</v>
      </c>
      <c r="L22" s="72">
        <f t="shared" si="1"/>
        <v>4828</v>
      </c>
      <c r="M22" s="72">
        <f t="shared" si="1"/>
        <v>10935</v>
      </c>
      <c r="N22" s="72">
        <f t="shared" si="1"/>
        <v>6609</v>
      </c>
      <c r="O22" s="72">
        <f t="shared" si="1"/>
        <v>1414</v>
      </c>
      <c r="P22" s="72">
        <f t="shared" si="1"/>
        <v>2190</v>
      </c>
      <c r="Q22" s="13">
        <f>P22+O22+N22+M22+L22+K22+J22+I22</f>
        <v>41083</v>
      </c>
      <c r="R22" s="14">
        <f>Q22+H22</f>
        <v>59624</v>
      </c>
    </row>
    <row r="23" spans="2:18" ht="17.25" customHeight="1" x14ac:dyDescent="0.25">
      <c r="B23" s="23">
        <v>9</v>
      </c>
      <c r="C23" s="7">
        <v>22846397</v>
      </c>
      <c r="D23" s="81">
        <v>16490476</v>
      </c>
      <c r="E23" s="81">
        <v>29290755</v>
      </c>
      <c r="F23" s="81">
        <v>28917896</v>
      </c>
      <c r="G23" s="7">
        <v>17427219</v>
      </c>
      <c r="H23" s="8"/>
      <c r="I23" s="7">
        <v>6528843</v>
      </c>
      <c r="J23" s="7">
        <v>28605349</v>
      </c>
      <c r="K23" s="7">
        <v>9532490</v>
      </c>
      <c r="L23" s="7">
        <v>14134036</v>
      </c>
      <c r="M23" s="7">
        <v>21762227</v>
      </c>
      <c r="N23" s="7">
        <v>27153660</v>
      </c>
      <c r="O23" s="7">
        <v>8818674</v>
      </c>
      <c r="P23" s="7">
        <v>7986140</v>
      </c>
      <c r="Q23" s="9"/>
      <c r="R23" s="10"/>
    </row>
    <row r="24" spans="2:18" ht="17.25" customHeight="1" x14ac:dyDescent="0.25">
      <c r="B24" s="11" t="s">
        <v>48</v>
      </c>
      <c r="C24" s="69">
        <f>C23-C21</f>
        <v>12794</v>
      </c>
      <c r="D24" s="69">
        <f t="shared" si="0"/>
        <v>875</v>
      </c>
      <c r="E24" s="69">
        <f t="shared" si="0"/>
        <v>2354</v>
      </c>
      <c r="F24" s="69">
        <f t="shared" si="0"/>
        <v>2147</v>
      </c>
      <c r="G24" s="69">
        <f t="shared" si="0"/>
        <v>15</v>
      </c>
      <c r="H24" s="8">
        <f>G24+F24+E24+D24+C24</f>
        <v>18185</v>
      </c>
      <c r="I24" s="72">
        <f>I23-I21</f>
        <v>1667</v>
      </c>
      <c r="J24" s="72">
        <f t="shared" si="1"/>
        <v>9626</v>
      </c>
      <c r="K24" s="72">
        <f t="shared" si="1"/>
        <v>3484</v>
      </c>
      <c r="L24" s="72">
        <f t="shared" si="1"/>
        <v>4710</v>
      </c>
      <c r="M24" s="72">
        <f t="shared" si="1"/>
        <v>10700</v>
      </c>
      <c r="N24" s="72">
        <f t="shared" si="1"/>
        <v>6264</v>
      </c>
      <c r="O24" s="72">
        <f t="shared" si="1"/>
        <v>1394</v>
      </c>
      <c r="P24" s="72">
        <f t="shared" si="1"/>
        <v>2380</v>
      </c>
      <c r="Q24" s="13">
        <f>P24+O24+N24+M24+L24+K24+J24+I24</f>
        <v>40225</v>
      </c>
      <c r="R24" s="14">
        <f>Q24+H24</f>
        <v>58410</v>
      </c>
    </row>
    <row r="25" spans="2:18" ht="17.25" customHeight="1" x14ac:dyDescent="0.25">
      <c r="B25" s="23">
        <v>10</v>
      </c>
      <c r="C25" s="7">
        <v>22859533</v>
      </c>
      <c r="D25" s="7">
        <v>16491364</v>
      </c>
      <c r="E25" s="7">
        <v>29293077</v>
      </c>
      <c r="F25" s="7">
        <v>28920140</v>
      </c>
      <c r="G25" s="7">
        <v>17427227</v>
      </c>
      <c r="H25" s="8"/>
      <c r="I25" s="7">
        <v>6530553</v>
      </c>
      <c r="J25" s="7">
        <v>28615166</v>
      </c>
      <c r="K25" s="7">
        <v>9536112</v>
      </c>
      <c r="L25" s="7">
        <v>14139092</v>
      </c>
      <c r="M25" s="7">
        <v>21773132</v>
      </c>
      <c r="N25" s="7">
        <v>27159146</v>
      </c>
      <c r="O25" s="7">
        <v>8820180</v>
      </c>
      <c r="P25" s="7">
        <v>7988820</v>
      </c>
      <c r="Q25" s="9"/>
      <c r="R25" s="10"/>
    </row>
    <row r="26" spans="2:18" ht="17.25" customHeight="1" x14ac:dyDescent="0.25">
      <c r="B26" s="11" t="s">
        <v>48</v>
      </c>
      <c r="C26" s="69">
        <f>C25-C23</f>
        <v>13136</v>
      </c>
      <c r="D26" s="69">
        <f t="shared" si="0"/>
        <v>888</v>
      </c>
      <c r="E26" s="69">
        <f t="shared" si="0"/>
        <v>2322</v>
      </c>
      <c r="F26" s="69">
        <f t="shared" si="0"/>
        <v>2244</v>
      </c>
      <c r="G26" s="69">
        <f t="shared" si="0"/>
        <v>8</v>
      </c>
      <c r="H26" s="8">
        <f>G26+F26+E26+D26+C26</f>
        <v>18598</v>
      </c>
      <c r="I26" s="72">
        <f>I25-I23</f>
        <v>1710</v>
      </c>
      <c r="J26" s="72">
        <f t="shared" si="1"/>
        <v>9817</v>
      </c>
      <c r="K26" s="72">
        <f t="shared" si="1"/>
        <v>3622</v>
      </c>
      <c r="L26" s="72">
        <f t="shared" si="1"/>
        <v>5056</v>
      </c>
      <c r="M26" s="72">
        <f t="shared" si="1"/>
        <v>10905</v>
      </c>
      <c r="N26" s="72">
        <f t="shared" si="1"/>
        <v>5486</v>
      </c>
      <c r="O26" s="72">
        <f t="shared" si="1"/>
        <v>1506</v>
      </c>
      <c r="P26" s="72">
        <f t="shared" si="1"/>
        <v>2680</v>
      </c>
      <c r="Q26" s="13">
        <f>P26+O26+N26+M26+L26+K26+J26+I26</f>
        <v>40782</v>
      </c>
      <c r="R26" s="14">
        <f>Q26+H26</f>
        <v>59380</v>
      </c>
    </row>
    <row r="27" spans="2:18" ht="17.25" customHeight="1" x14ac:dyDescent="0.25">
      <c r="B27" s="23">
        <v>11</v>
      </c>
      <c r="C27" s="7"/>
      <c r="D27" s="7"/>
      <c r="E27" s="7"/>
      <c r="F27" s="7"/>
      <c r="G27" s="7"/>
      <c r="H27" s="8"/>
      <c r="I27" s="7"/>
      <c r="J27" s="7"/>
      <c r="K27" s="7"/>
      <c r="L27" s="7"/>
      <c r="M27" s="46"/>
      <c r="N27" s="7"/>
      <c r="O27" s="7"/>
      <c r="P27" s="7"/>
      <c r="Q27" s="9"/>
      <c r="R27" s="10"/>
    </row>
    <row r="28" spans="2:18" ht="17.25" customHeight="1" x14ac:dyDescent="0.25">
      <c r="B28" s="11" t="s">
        <v>48</v>
      </c>
      <c r="C28" s="69"/>
      <c r="D28" s="69"/>
      <c r="E28" s="69"/>
      <c r="F28" s="69"/>
      <c r="G28" s="69"/>
      <c r="H28" s="8"/>
      <c r="I28" s="72"/>
      <c r="J28" s="72"/>
      <c r="K28" s="72"/>
      <c r="L28" s="72"/>
      <c r="M28" s="72"/>
      <c r="N28" s="72"/>
      <c r="O28" s="72"/>
      <c r="P28" s="72"/>
      <c r="Q28" s="13">
        <f>P28+O28+N28+M28+L28+K28+J28+I28</f>
        <v>0</v>
      </c>
      <c r="R28" s="14">
        <f>Q28+H28</f>
        <v>0</v>
      </c>
    </row>
    <row r="29" spans="2:18" ht="17.25" customHeight="1" x14ac:dyDescent="0.25">
      <c r="B29" s="23">
        <v>12</v>
      </c>
      <c r="C29" s="7"/>
      <c r="D29" s="7"/>
      <c r="E29" s="7"/>
      <c r="F29" s="7"/>
      <c r="G29" s="7"/>
      <c r="H29" s="8"/>
      <c r="I29" s="7"/>
      <c r="J29" s="7"/>
      <c r="K29" s="7"/>
      <c r="L29" s="7"/>
      <c r="M29" s="46"/>
      <c r="N29" s="7"/>
      <c r="O29" s="7"/>
      <c r="P29" s="7"/>
      <c r="Q29" s="9"/>
      <c r="R29" s="10"/>
    </row>
    <row r="30" spans="2:18" ht="17.25" customHeight="1" x14ac:dyDescent="0.25">
      <c r="B30" s="11" t="s">
        <v>48</v>
      </c>
      <c r="C30" s="69"/>
      <c r="D30" s="69"/>
      <c r="E30" s="69"/>
      <c r="F30" s="69"/>
      <c r="G30" s="69"/>
      <c r="H30" s="8"/>
      <c r="I30" s="72"/>
      <c r="J30" s="72"/>
      <c r="K30" s="72"/>
      <c r="L30" s="72"/>
      <c r="M30" s="72"/>
      <c r="N30" s="72"/>
      <c r="O30" s="72"/>
      <c r="P30" s="72"/>
      <c r="Q30" s="13">
        <f>P30+O30+N30+M30+L30+K30+J30+I30</f>
        <v>0</v>
      </c>
      <c r="R30" s="14">
        <f>Q30+H30</f>
        <v>0</v>
      </c>
    </row>
    <row r="31" spans="2:18" ht="17.25" customHeight="1" x14ac:dyDescent="0.25">
      <c r="B31" s="23">
        <v>13</v>
      </c>
      <c r="C31" s="7"/>
      <c r="D31" s="7"/>
      <c r="E31" s="7"/>
      <c r="F31" s="7"/>
      <c r="G31" s="7"/>
      <c r="H31" s="8"/>
      <c r="I31" s="7"/>
      <c r="J31" s="7"/>
      <c r="K31" s="7"/>
      <c r="L31" s="7"/>
      <c r="M31" s="7"/>
      <c r="N31" s="7"/>
      <c r="O31" s="7"/>
      <c r="P31" s="7"/>
      <c r="Q31" s="9"/>
      <c r="R31" s="10"/>
    </row>
    <row r="32" spans="2:18" ht="17.25" customHeight="1" x14ac:dyDescent="0.25">
      <c r="B32" s="11" t="s">
        <v>48</v>
      </c>
      <c r="C32" s="69"/>
      <c r="D32" s="69"/>
      <c r="E32" s="69"/>
      <c r="F32" s="69"/>
      <c r="G32" s="69"/>
      <c r="H32" s="8"/>
      <c r="I32" s="72"/>
      <c r="J32" s="72"/>
      <c r="K32" s="72"/>
      <c r="L32" s="72"/>
      <c r="M32" s="72"/>
      <c r="N32" s="72"/>
      <c r="O32" s="72"/>
      <c r="P32" s="72"/>
      <c r="Q32" s="13">
        <f>P32+O32+N32+M32+L32+K32+J32+I32</f>
        <v>0</v>
      </c>
      <c r="R32" s="14">
        <f>Q32+H32</f>
        <v>0</v>
      </c>
    </row>
    <row r="33" spans="2:18" ht="17.25" customHeight="1" x14ac:dyDescent="0.25">
      <c r="B33" s="23">
        <v>14</v>
      </c>
      <c r="C33" s="7"/>
      <c r="D33" s="7"/>
      <c r="E33" s="7"/>
      <c r="F33" s="7"/>
      <c r="G33" s="7"/>
      <c r="H33" s="8"/>
      <c r="I33" s="7"/>
      <c r="J33" s="7"/>
      <c r="K33" s="7"/>
      <c r="L33" s="7"/>
      <c r="M33" s="7"/>
      <c r="N33" s="7"/>
      <c r="O33" s="7"/>
      <c r="P33" s="7"/>
      <c r="Q33" s="9"/>
      <c r="R33" s="10"/>
    </row>
    <row r="34" spans="2:18" ht="17.25" customHeight="1" x14ac:dyDescent="0.25">
      <c r="B34" s="11" t="s">
        <v>48</v>
      </c>
      <c r="C34" s="69"/>
      <c r="D34" s="69"/>
      <c r="E34" s="69"/>
      <c r="F34" s="69"/>
      <c r="G34" s="69"/>
      <c r="H34" s="8"/>
      <c r="I34" s="72"/>
      <c r="J34" s="72"/>
      <c r="K34" s="72"/>
      <c r="L34" s="72"/>
      <c r="M34" s="72"/>
      <c r="N34" s="72"/>
      <c r="O34" s="72"/>
      <c r="P34" s="72"/>
      <c r="Q34" s="13">
        <f>P34+O34+N34+M34+L34+K34+J34+I34</f>
        <v>0</v>
      </c>
      <c r="R34" s="14">
        <f>Q34+H34</f>
        <v>0</v>
      </c>
    </row>
    <row r="35" spans="2:18" ht="17.25" customHeight="1" x14ac:dyDescent="0.25">
      <c r="B35" s="23">
        <v>15</v>
      </c>
      <c r="C35" s="7"/>
      <c r="D35" s="7"/>
      <c r="E35" s="7"/>
      <c r="F35" s="7"/>
      <c r="G35" s="7"/>
      <c r="H35" s="8"/>
      <c r="I35" s="7"/>
      <c r="J35" s="7"/>
      <c r="K35" s="7"/>
      <c r="L35" s="7"/>
      <c r="M35" s="7"/>
      <c r="N35" s="7"/>
      <c r="O35" s="7"/>
      <c r="P35" s="7"/>
      <c r="Q35" s="9"/>
      <c r="R35" s="10"/>
    </row>
    <row r="36" spans="2:18" ht="17.25" customHeight="1" x14ac:dyDescent="0.25">
      <c r="B36" s="11" t="s">
        <v>48</v>
      </c>
      <c r="C36" s="69"/>
      <c r="D36" s="69"/>
      <c r="E36" s="69"/>
      <c r="F36" s="69"/>
      <c r="G36" s="69"/>
      <c r="H36" s="8"/>
      <c r="I36" s="72"/>
      <c r="J36" s="72"/>
      <c r="K36" s="72"/>
      <c r="L36" s="72"/>
      <c r="M36" s="72"/>
      <c r="N36" s="72"/>
      <c r="O36" s="72"/>
      <c r="P36" s="72"/>
      <c r="Q36" s="13">
        <f>P36+O36+N36+M36+L36+K36+J36+I36</f>
        <v>0</v>
      </c>
      <c r="R36" s="14">
        <f>Q36+H36</f>
        <v>0</v>
      </c>
    </row>
    <row r="37" spans="2:18" ht="17.25" customHeight="1" x14ac:dyDescent="0.25">
      <c r="B37" s="23">
        <v>16</v>
      </c>
      <c r="C37" s="7"/>
      <c r="D37" s="7"/>
      <c r="E37" s="7"/>
      <c r="F37" s="7"/>
      <c r="G37" s="7"/>
      <c r="H37" s="8"/>
      <c r="I37" s="7"/>
      <c r="J37" s="7"/>
      <c r="K37" s="7"/>
      <c r="L37" s="7"/>
      <c r="M37" s="7"/>
      <c r="N37" s="7"/>
      <c r="O37" s="7"/>
      <c r="P37" s="85"/>
      <c r="Q37" s="9"/>
      <c r="R37" s="10"/>
    </row>
    <row r="38" spans="2:18" ht="17.25" customHeight="1" x14ac:dyDescent="0.25">
      <c r="B38" s="11" t="s">
        <v>48</v>
      </c>
      <c r="C38" s="69"/>
      <c r="D38" s="69"/>
      <c r="E38" s="69"/>
      <c r="F38" s="69"/>
      <c r="G38" s="69"/>
      <c r="H38" s="8"/>
      <c r="I38" s="72"/>
      <c r="J38" s="72"/>
      <c r="K38" s="72"/>
      <c r="L38" s="72"/>
      <c r="M38" s="72"/>
      <c r="N38" s="72"/>
      <c r="O38" s="72"/>
      <c r="P38" s="72"/>
      <c r="Q38" s="13">
        <f>P38+O38+N38+M38+L38+K38+J38+I38</f>
        <v>0</v>
      </c>
      <c r="R38" s="14">
        <f>Q38+H38</f>
        <v>0</v>
      </c>
    </row>
    <row r="39" spans="2:18" ht="17.25" customHeight="1" x14ac:dyDescent="0.25">
      <c r="B39" s="23">
        <v>17</v>
      </c>
      <c r="C39" s="7"/>
      <c r="D39" s="7"/>
      <c r="E39" s="7"/>
      <c r="F39" s="7"/>
      <c r="G39" s="7"/>
      <c r="H39" s="8"/>
      <c r="I39" s="7"/>
      <c r="J39" s="7"/>
      <c r="K39" s="7"/>
      <c r="L39" s="7"/>
      <c r="M39" s="7"/>
      <c r="N39" s="7"/>
      <c r="O39" s="7"/>
      <c r="P39" s="7"/>
      <c r="Q39" s="9"/>
      <c r="R39" s="10"/>
    </row>
    <row r="40" spans="2:18" ht="17.25" customHeight="1" x14ac:dyDescent="0.25">
      <c r="B40" s="11" t="s">
        <v>48</v>
      </c>
      <c r="C40" s="69"/>
      <c r="D40" s="69"/>
      <c r="E40" s="69"/>
      <c r="F40" s="69"/>
      <c r="G40" s="69"/>
      <c r="H40" s="8"/>
      <c r="I40" s="72"/>
      <c r="J40" s="72"/>
      <c r="K40" s="72"/>
      <c r="L40" s="72"/>
      <c r="M40" s="72"/>
      <c r="N40" s="72"/>
      <c r="O40" s="72"/>
      <c r="P40" s="72"/>
      <c r="Q40" s="13">
        <f>P40+O40+N40+M40+L40+K40+J40+I40</f>
        <v>0</v>
      </c>
      <c r="R40" s="14">
        <f>Q40+H40</f>
        <v>0</v>
      </c>
    </row>
    <row r="41" spans="2:18" ht="17.25" customHeight="1" x14ac:dyDescent="0.25">
      <c r="B41" s="23">
        <v>18</v>
      </c>
      <c r="C41" s="7"/>
      <c r="D41" s="7"/>
      <c r="E41" s="7"/>
      <c r="F41" s="7"/>
      <c r="G41" s="7"/>
      <c r="H41" s="8"/>
      <c r="I41" s="7"/>
      <c r="J41" s="7"/>
      <c r="K41" s="7"/>
      <c r="L41" s="7"/>
      <c r="M41" s="7"/>
      <c r="N41" s="7"/>
      <c r="O41" s="7"/>
      <c r="P41" s="7"/>
      <c r="Q41" s="9"/>
      <c r="R41" s="10"/>
    </row>
    <row r="42" spans="2:18" ht="17.25" customHeight="1" x14ac:dyDescent="0.25">
      <c r="B42" s="11" t="s">
        <v>48</v>
      </c>
      <c r="C42" s="69"/>
      <c r="D42" s="69"/>
      <c r="E42" s="69"/>
      <c r="F42" s="69"/>
      <c r="G42" s="69"/>
      <c r="H42" s="8"/>
      <c r="I42" s="72"/>
      <c r="J42" s="72"/>
      <c r="K42" s="72"/>
      <c r="L42" s="72"/>
      <c r="M42" s="72"/>
      <c r="N42" s="72"/>
      <c r="O42" s="72"/>
      <c r="P42" s="72"/>
      <c r="Q42" s="13">
        <f>P42+O42+N42+M42+L42+K42+J42+I42</f>
        <v>0</v>
      </c>
      <c r="R42" s="14">
        <f>Q42+H42</f>
        <v>0</v>
      </c>
    </row>
    <row r="43" spans="2:18" ht="17.25" customHeight="1" x14ac:dyDescent="0.25">
      <c r="B43" s="23">
        <v>19</v>
      </c>
      <c r="C43" s="63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4"/>
      <c r="O43" s="64"/>
      <c r="P43" s="64"/>
      <c r="Q43" s="9"/>
      <c r="R43" s="10"/>
    </row>
    <row r="44" spans="2:18" ht="17.25" customHeight="1" x14ac:dyDescent="0.25">
      <c r="B44" s="11" t="s">
        <v>48</v>
      </c>
      <c r="C44" s="69"/>
      <c r="D44" s="69"/>
      <c r="E44" s="69"/>
      <c r="F44" s="69"/>
      <c r="G44" s="69"/>
      <c r="H44" s="8"/>
      <c r="I44" s="72"/>
      <c r="J44" s="72"/>
      <c r="K44" s="72"/>
      <c r="L44" s="72"/>
      <c r="M44" s="72"/>
      <c r="N44" s="72"/>
      <c r="O44" s="72"/>
      <c r="P44" s="72"/>
      <c r="Q44" s="13">
        <f>P44+O44+N44+M44+L44+K44+J44+I44</f>
        <v>0</v>
      </c>
      <c r="R44" s="14">
        <f>Q44+H44</f>
        <v>0</v>
      </c>
    </row>
    <row r="45" spans="2:18" ht="17.25" customHeight="1" x14ac:dyDescent="0.25">
      <c r="B45" s="23">
        <v>20</v>
      </c>
      <c r="C45" s="63"/>
      <c r="D45" s="63"/>
      <c r="E45" s="64"/>
      <c r="F45" s="64"/>
      <c r="G45" s="64"/>
      <c r="H45" s="65"/>
      <c r="I45" s="64"/>
      <c r="J45" s="64"/>
      <c r="K45" s="64"/>
      <c r="L45" s="64"/>
      <c r="M45" s="64"/>
      <c r="N45" s="64"/>
      <c r="O45" s="64"/>
      <c r="P45" s="64"/>
      <c r="Q45" s="9"/>
      <c r="R45" s="10"/>
    </row>
    <row r="46" spans="2:18" ht="17.25" customHeight="1" x14ac:dyDescent="0.25">
      <c r="B46" s="11" t="s">
        <v>48</v>
      </c>
      <c r="C46" s="69"/>
      <c r="D46" s="69"/>
      <c r="E46" s="69"/>
      <c r="F46" s="69"/>
      <c r="G46" s="69"/>
      <c r="H46" s="8"/>
      <c r="I46" s="72"/>
      <c r="J46" s="72"/>
      <c r="K46" s="72"/>
      <c r="L46" s="72"/>
      <c r="M46" s="72"/>
      <c r="N46" s="72"/>
      <c r="O46" s="72"/>
      <c r="P46" s="72"/>
      <c r="Q46" s="13">
        <f>P46+O46+N46+M46+L46+K46+J46+I46</f>
        <v>0</v>
      </c>
      <c r="R46" s="14">
        <f>Q46+H46</f>
        <v>0</v>
      </c>
    </row>
    <row r="47" spans="2:18" ht="17.25" customHeight="1" x14ac:dyDescent="0.25">
      <c r="B47" s="23">
        <v>21</v>
      </c>
      <c r="C47" s="7"/>
      <c r="D47" s="7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9"/>
      <c r="R47" s="10"/>
    </row>
    <row r="48" spans="2:18" ht="17.25" customHeight="1" x14ac:dyDescent="0.25">
      <c r="B48" s="11" t="s">
        <v>48</v>
      </c>
      <c r="C48" s="69"/>
      <c r="D48" s="69"/>
      <c r="E48" s="69"/>
      <c r="F48" s="69"/>
      <c r="G48" s="69"/>
      <c r="H48" s="8"/>
      <c r="I48" s="72"/>
      <c r="J48" s="72"/>
      <c r="K48" s="72"/>
      <c r="L48" s="72"/>
      <c r="M48" s="72"/>
      <c r="N48" s="72"/>
      <c r="O48" s="72"/>
      <c r="P48" s="72"/>
      <c r="Q48" s="13">
        <f>P48+O48+N48+M48+L48+K48+J48+I48</f>
        <v>0</v>
      </c>
      <c r="R48" s="14">
        <f>Q48+H48</f>
        <v>0</v>
      </c>
    </row>
    <row r="49" spans="2:18" ht="17.25" customHeight="1" x14ac:dyDescent="0.25">
      <c r="B49" s="23">
        <v>22</v>
      </c>
      <c r="C49" s="7"/>
      <c r="D49" s="7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9"/>
      <c r="R49" s="10"/>
    </row>
    <row r="50" spans="2:18" ht="17.25" customHeight="1" x14ac:dyDescent="0.25">
      <c r="B50" s="11" t="s">
        <v>48</v>
      </c>
      <c r="C50" s="69"/>
      <c r="D50" s="69"/>
      <c r="E50" s="69"/>
      <c r="F50" s="69"/>
      <c r="G50" s="69"/>
      <c r="H50" s="8">
        <f>G50+F50+E50+D50+C50</f>
        <v>0</v>
      </c>
      <c r="I50" s="72"/>
      <c r="J50" s="72"/>
      <c r="K50" s="72"/>
      <c r="L50" s="72"/>
      <c r="M50" s="72"/>
      <c r="N50" s="72"/>
      <c r="O50" s="72"/>
      <c r="P50" s="72"/>
      <c r="Q50" s="13">
        <f>P50+O50+N50+M50+L50+K50+J50+I50</f>
        <v>0</v>
      </c>
      <c r="R50" s="14">
        <f>Q50+H50</f>
        <v>0</v>
      </c>
    </row>
    <row r="51" spans="2:18" ht="17.25" customHeight="1" x14ac:dyDescent="0.25">
      <c r="B51" s="23">
        <v>23</v>
      </c>
      <c r="C51" s="7"/>
      <c r="D51" s="7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9"/>
      <c r="R51" s="10"/>
    </row>
    <row r="52" spans="2:18" ht="17.25" customHeight="1" x14ac:dyDescent="0.25">
      <c r="B52" s="11" t="s">
        <v>48</v>
      </c>
      <c r="C52" s="69"/>
      <c r="D52" s="69"/>
      <c r="E52" s="69"/>
      <c r="F52" s="69"/>
      <c r="G52" s="69"/>
      <c r="H52" s="8">
        <f>G52+F52+E52+D52+C52</f>
        <v>0</v>
      </c>
      <c r="I52" s="72"/>
      <c r="J52" s="72"/>
      <c r="K52" s="72"/>
      <c r="L52" s="72"/>
      <c r="M52" s="72"/>
      <c r="N52" s="72"/>
      <c r="O52" s="72"/>
      <c r="P52" s="72"/>
      <c r="Q52" s="13">
        <f>P52+O52+N52+M52+L52+K52+J52+I52</f>
        <v>0</v>
      </c>
      <c r="R52" s="14">
        <f>Q52+H52</f>
        <v>0</v>
      </c>
    </row>
    <row r="53" spans="2:18" ht="17.25" customHeight="1" x14ac:dyDescent="0.25">
      <c r="B53" s="23">
        <v>24</v>
      </c>
      <c r="C53" s="7"/>
      <c r="D53" s="46"/>
      <c r="E53" s="46"/>
      <c r="F53" s="46"/>
      <c r="G53" s="46"/>
      <c r="H53" s="8"/>
      <c r="I53" s="7"/>
      <c r="J53" s="7"/>
      <c r="K53" s="7"/>
      <c r="L53" s="7"/>
      <c r="M53" s="7"/>
      <c r="N53" s="7"/>
      <c r="O53" s="7"/>
      <c r="P53" s="7"/>
      <c r="Q53" s="9"/>
      <c r="R53" s="10"/>
    </row>
    <row r="54" spans="2:18" ht="17.25" customHeight="1" x14ac:dyDescent="0.25">
      <c r="B54" s="11" t="s">
        <v>48</v>
      </c>
      <c r="C54" s="69"/>
      <c r="D54" s="69"/>
      <c r="E54" s="69"/>
      <c r="F54" s="69"/>
      <c r="G54" s="69"/>
      <c r="H54" s="8">
        <f>G54+F54+E54+D54+C54</f>
        <v>0</v>
      </c>
      <c r="I54" s="72"/>
      <c r="J54" s="72"/>
      <c r="K54" s="72"/>
      <c r="L54" s="72"/>
      <c r="M54" s="72"/>
      <c r="N54" s="72"/>
      <c r="O54" s="72"/>
      <c r="P54" s="72"/>
      <c r="Q54" s="13">
        <f>P54+O54+N54+M54+L54+K54+J54+I54</f>
        <v>0</v>
      </c>
      <c r="R54" s="14">
        <f>Q54+H54</f>
        <v>0</v>
      </c>
    </row>
    <row r="55" spans="2:18" ht="17.25" customHeight="1" x14ac:dyDescent="0.25">
      <c r="B55" s="23">
        <v>25</v>
      </c>
      <c r="C55" s="7"/>
      <c r="D55" s="79"/>
      <c r="E55" s="82"/>
      <c r="F55" s="80"/>
      <c r="G55" s="7"/>
      <c r="H55" s="8"/>
      <c r="I55" s="7"/>
      <c r="J55" s="7"/>
      <c r="K55" s="7"/>
      <c r="L55" s="7"/>
      <c r="M55" s="7"/>
      <c r="N55" s="7"/>
      <c r="O55" s="7"/>
      <c r="P55" s="7"/>
      <c r="Q55" s="9"/>
      <c r="R55" s="10"/>
    </row>
    <row r="56" spans="2:18" ht="17.25" customHeight="1" x14ac:dyDescent="0.25">
      <c r="B56" s="11" t="s">
        <v>48</v>
      </c>
      <c r="C56" s="69"/>
      <c r="D56" s="69"/>
      <c r="E56" s="69"/>
      <c r="F56" s="69"/>
      <c r="G56" s="69"/>
      <c r="H56" s="8">
        <f>G56+F56+E56+D56+C56</f>
        <v>0</v>
      </c>
      <c r="I56" s="72"/>
      <c r="J56" s="72"/>
      <c r="K56" s="72"/>
      <c r="L56" s="72"/>
      <c r="M56" s="72"/>
      <c r="N56" s="72"/>
      <c r="O56" s="72"/>
      <c r="P56" s="72"/>
      <c r="Q56" s="13">
        <f>P56+O56+N56+M56+L56+K56+J56+I56</f>
        <v>0</v>
      </c>
      <c r="R56" s="14">
        <f>Q56+H56</f>
        <v>0</v>
      </c>
    </row>
    <row r="57" spans="2:18" ht="17.25" customHeight="1" x14ac:dyDescent="0.25">
      <c r="B57" s="23">
        <v>26</v>
      </c>
      <c r="C57" s="7"/>
      <c r="D57" s="79"/>
      <c r="E57" s="78"/>
      <c r="F57" s="80"/>
      <c r="G57" s="7"/>
      <c r="H57" s="8"/>
      <c r="I57" s="7"/>
      <c r="J57" s="7"/>
      <c r="K57" s="7"/>
      <c r="L57" s="7"/>
      <c r="M57" s="7"/>
      <c r="N57" s="7"/>
      <c r="O57" s="7"/>
      <c r="P57" s="7"/>
      <c r="Q57" s="9"/>
      <c r="R57" s="10"/>
    </row>
    <row r="58" spans="2:18" ht="17.25" customHeight="1" x14ac:dyDescent="0.25">
      <c r="B58" s="11" t="s">
        <v>48</v>
      </c>
      <c r="C58" s="69"/>
      <c r="D58" s="69"/>
      <c r="E58" s="69"/>
      <c r="F58" s="69"/>
      <c r="G58" s="69"/>
      <c r="H58" s="8">
        <f>G58+F58+E58+D58+C58</f>
        <v>0</v>
      </c>
      <c r="I58" s="72"/>
      <c r="J58" s="72"/>
      <c r="K58" s="72"/>
      <c r="L58" s="72"/>
      <c r="M58" s="72"/>
      <c r="N58" s="72"/>
      <c r="O58" s="72"/>
      <c r="P58" s="72"/>
      <c r="Q58" s="13">
        <f>P58+O58+N58+M58+L58+K58+J58+I58</f>
        <v>0</v>
      </c>
      <c r="R58" s="14">
        <f>Q58+H58</f>
        <v>0</v>
      </c>
    </row>
    <row r="59" spans="2:18" ht="17.25" customHeight="1" x14ac:dyDescent="0.25">
      <c r="B59" s="23">
        <v>27</v>
      </c>
      <c r="C59" s="7"/>
      <c r="D59" s="7"/>
      <c r="E59" s="7"/>
      <c r="F59" s="7"/>
      <c r="G59" s="7"/>
      <c r="H59" s="8"/>
      <c r="I59" s="7"/>
      <c r="J59" s="7"/>
      <c r="K59" s="7"/>
      <c r="L59" s="46"/>
      <c r="M59" s="7"/>
      <c r="N59" s="7"/>
      <c r="O59" s="7"/>
      <c r="P59" s="85"/>
      <c r="Q59" s="9"/>
      <c r="R59" s="10"/>
    </row>
    <row r="60" spans="2:18" ht="17.25" customHeight="1" x14ac:dyDescent="0.25">
      <c r="B60" s="11" t="s">
        <v>48</v>
      </c>
      <c r="C60" s="69"/>
      <c r="D60" s="69"/>
      <c r="E60" s="69"/>
      <c r="F60" s="69"/>
      <c r="G60" s="69"/>
      <c r="H60" s="8">
        <f>G60+F60+E60+D60+C60</f>
        <v>0</v>
      </c>
      <c r="I60" s="72"/>
      <c r="J60" s="72"/>
      <c r="K60" s="72"/>
      <c r="L60" s="72"/>
      <c r="M60" s="72"/>
      <c r="N60" s="72"/>
      <c r="O60" s="72"/>
      <c r="P60" s="72"/>
      <c r="Q60" s="13">
        <f>P60+O60+N60+M60+L60+K60+J60+I60</f>
        <v>0</v>
      </c>
      <c r="R60" s="14">
        <f>Q60+H60</f>
        <v>0</v>
      </c>
    </row>
    <row r="61" spans="2:18" ht="17.25" customHeight="1" x14ac:dyDescent="0.25">
      <c r="B61" s="23">
        <v>28</v>
      </c>
      <c r="C61" s="7"/>
      <c r="D61" s="7"/>
      <c r="E61" s="7"/>
      <c r="F61" s="7"/>
      <c r="G61" s="7"/>
      <c r="H61" s="8"/>
      <c r="I61" s="7"/>
      <c r="J61" s="7"/>
      <c r="K61" s="7"/>
      <c r="L61" s="46"/>
      <c r="M61" s="7"/>
      <c r="N61" s="7"/>
      <c r="O61" s="7"/>
      <c r="P61" s="7"/>
      <c r="Q61" s="9"/>
      <c r="R61" s="10"/>
    </row>
    <row r="62" spans="2:18" ht="17.25" customHeight="1" x14ac:dyDescent="0.25">
      <c r="B62" s="11" t="s">
        <v>48</v>
      </c>
      <c r="C62" s="69"/>
      <c r="D62" s="69"/>
      <c r="E62" s="69"/>
      <c r="F62" s="69"/>
      <c r="G62" s="69"/>
      <c r="H62" s="8">
        <f>G62+F62+E62+D62+C62</f>
        <v>0</v>
      </c>
      <c r="I62" s="72"/>
      <c r="J62" s="72"/>
      <c r="K62" s="72"/>
      <c r="L62" s="72"/>
      <c r="M62" s="72"/>
      <c r="N62" s="72"/>
      <c r="O62" s="72"/>
      <c r="P62" s="72"/>
      <c r="Q62" s="13">
        <f>P62+O62+N62+M62+L62+K62+J62+I62</f>
        <v>0</v>
      </c>
      <c r="R62" s="14">
        <f>Q62+H62</f>
        <v>0</v>
      </c>
    </row>
    <row r="63" spans="2:18" ht="17.25" customHeight="1" x14ac:dyDescent="0.25">
      <c r="B63" s="23">
        <v>29</v>
      </c>
      <c r="C63" s="7"/>
      <c r="D63" s="7"/>
      <c r="E63" s="7"/>
      <c r="F63" s="7"/>
      <c r="G63" s="7"/>
      <c r="H63" s="8"/>
      <c r="I63" s="7"/>
      <c r="J63" s="7"/>
      <c r="K63" s="7"/>
      <c r="L63" s="46"/>
      <c r="M63" s="7"/>
      <c r="N63" s="7"/>
      <c r="O63" s="7"/>
      <c r="P63" s="7"/>
      <c r="Q63" s="9"/>
      <c r="R63" s="10"/>
    </row>
    <row r="64" spans="2:18" ht="17.25" customHeight="1" x14ac:dyDescent="0.25">
      <c r="B64" s="11" t="s">
        <v>48</v>
      </c>
      <c r="C64" s="69"/>
      <c r="D64" s="69"/>
      <c r="E64" s="69"/>
      <c r="F64" s="69"/>
      <c r="G64" s="69"/>
      <c r="H64" s="8">
        <f>G64+F64+E64+D64+C64</f>
        <v>0</v>
      </c>
      <c r="I64" s="72"/>
      <c r="J64" s="72"/>
      <c r="K64" s="72"/>
      <c r="L64" s="72"/>
      <c r="M64" s="72"/>
      <c r="N64" s="72"/>
      <c r="O64" s="72"/>
      <c r="P64" s="72"/>
      <c r="Q64" s="13">
        <f>P64+O64+N64+M64+L64+K64+J64+I64</f>
        <v>0</v>
      </c>
      <c r="R64" s="14">
        <f>Q64+H64</f>
        <v>0</v>
      </c>
    </row>
    <row r="65" spans="2:18" ht="17.25" customHeight="1" x14ac:dyDescent="0.25">
      <c r="B65" s="23">
        <v>30</v>
      </c>
      <c r="C65" s="7"/>
      <c r="D65" s="7"/>
      <c r="E65" s="7"/>
      <c r="F65" s="7"/>
      <c r="G65" s="7"/>
      <c r="H65" s="8"/>
      <c r="I65" s="7"/>
      <c r="J65" s="7"/>
      <c r="K65" s="7"/>
      <c r="L65" s="46"/>
      <c r="M65" s="7"/>
      <c r="N65" s="7"/>
      <c r="O65" s="7"/>
      <c r="P65" s="7"/>
      <c r="Q65" s="9"/>
      <c r="R65" s="10"/>
    </row>
    <row r="66" spans="2:18" ht="17.25" customHeight="1" x14ac:dyDescent="0.25">
      <c r="B66" s="11" t="s">
        <v>48</v>
      </c>
      <c r="C66" s="69"/>
      <c r="D66" s="69"/>
      <c r="E66" s="69"/>
      <c r="F66" s="69"/>
      <c r="G66" s="69"/>
      <c r="H66" s="8">
        <f>G66+F66+E66+D66+C66</f>
        <v>0</v>
      </c>
      <c r="I66" s="72"/>
      <c r="J66" s="72"/>
      <c r="K66" s="72"/>
      <c r="L66" s="72"/>
      <c r="M66" s="72"/>
      <c r="N66" s="72"/>
      <c r="O66" s="72"/>
      <c r="P66" s="72"/>
      <c r="Q66" s="13">
        <f>P66+O66+N66+M66+L66+K66+J66+I66</f>
        <v>0</v>
      </c>
      <c r="R66" s="14">
        <f>Q66+H66</f>
        <v>0</v>
      </c>
    </row>
    <row r="67" spans="2:18" ht="15.75" x14ac:dyDescent="0.25">
      <c r="B67" s="23">
        <v>31</v>
      </c>
      <c r="C67" s="7"/>
      <c r="D67" s="7"/>
      <c r="E67" s="7"/>
      <c r="F67" s="7"/>
      <c r="G67" s="7"/>
      <c r="H67" s="8"/>
      <c r="I67" s="7"/>
      <c r="J67" s="7"/>
      <c r="K67" s="7"/>
      <c r="L67" s="46"/>
      <c r="M67" s="7"/>
      <c r="N67" s="7"/>
      <c r="O67" s="7"/>
      <c r="P67" s="7"/>
      <c r="Q67" s="9"/>
      <c r="R67" s="10"/>
    </row>
    <row r="68" spans="2:18" ht="15.75" x14ac:dyDescent="0.25">
      <c r="B68" s="11" t="s">
        <v>48</v>
      </c>
      <c r="C68" s="69"/>
      <c r="D68" s="69"/>
      <c r="E68" s="69"/>
      <c r="F68" s="69"/>
      <c r="G68" s="69"/>
      <c r="H68" s="8">
        <f>G68+F68+E68+D68+C68</f>
        <v>0</v>
      </c>
      <c r="I68" s="72"/>
      <c r="J68" s="72"/>
      <c r="K68" s="72"/>
      <c r="L68" s="72"/>
      <c r="M68" s="72"/>
      <c r="N68" s="72"/>
      <c r="O68" s="72"/>
      <c r="P68" s="72"/>
      <c r="Q68" s="13">
        <f>P68+O68+N68+M68+L68+K68+J68+I68</f>
        <v>0</v>
      </c>
      <c r="R68" s="14">
        <f>Q68+H68</f>
        <v>0</v>
      </c>
    </row>
    <row r="69" spans="2:18" x14ac:dyDescent="0.25">
      <c r="C69" s="57"/>
      <c r="D69" s="57"/>
      <c r="E69" s="57"/>
      <c r="F69" s="57"/>
      <c r="G69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topLeftCell="M1" zoomScaleNormal="100" zoomScaleSheetLayoutView="100" workbookViewId="0">
      <pane ySplit="6" topLeftCell="A7" activePane="bottomLeft" state="frozen"/>
      <selection activeCell="M15" activeCellId="2" sqref="N15 M19 M15"/>
      <selection pane="bottomLeft" activeCell="AC17" sqref="AC17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91" t="s">
        <v>34</v>
      </c>
      <c r="G2" s="91"/>
      <c r="H2" s="91"/>
      <c r="I2" s="91"/>
      <c r="J2" s="91"/>
      <c r="K2" s="21"/>
      <c r="L2" s="21"/>
    </row>
    <row r="3" spans="2:21" ht="21" customHeight="1" x14ac:dyDescent="0.25">
      <c r="F3" s="104" t="s">
        <v>49</v>
      </c>
      <c r="G3" s="104"/>
      <c r="H3" s="104"/>
      <c r="I3" s="104"/>
      <c r="J3" s="104"/>
      <c r="K3" s="22"/>
      <c r="L3" s="22"/>
      <c r="M3" s="88" t="s">
        <v>36</v>
      </c>
      <c r="N3" s="88"/>
    </row>
    <row r="4" spans="2:21" ht="15" customHeight="1" thickBot="1" x14ac:dyDescent="0.3"/>
    <row r="5" spans="2:21" ht="30.75" customHeight="1" thickTop="1" x14ac:dyDescent="0.25">
      <c r="B5" s="98" t="s">
        <v>37</v>
      </c>
      <c r="C5" s="4" t="s">
        <v>50</v>
      </c>
      <c r="D5" s="4" t="s">
        <v>51</v>
      </c>
      <c r="E5" s="4" t="s">
        <v>52</v>
      </c>
      <c r="F5" s="100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105" t="s">
        <v>59</v>
      </c>
      <c r="N5" s="107" t="s">
        <v>60</v>
      </c>
      <c r="O5" s="6"/>
      <c r="P5" s="102" t="s">
        <v>1</v>
      </c>
      <c r="Q5" s="102" t="s">
        <v>8</v>
      </c>
      <c r="R5" s="102" t="s">
        <v>9</v>
      </c>
      <c r="S5" s="102" t="s">
        <v>10</v>
      </c>
    </row>
    <row r="6" spans="2:21" ht="15.75" customHeight="1" x14ac:dyDescent="0.25">
      <c r="B6" s="99"/>
      <c r="C6" s="3">
        <v>130465</v>
      </c>
      <c r="D6" s="3">
        <v>130460</v>
      </c>
      <c r="E6" s="3">
        <v>130461</v>
      </c>
      <c r="F6" s="101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06"/>
      <c r="N6" s="108"/>
      <c r="O6" s="6"/>
      <c r="P6" s="103"/>
      <c r="Q6" s="103"/>
      <c r="R6" s="103"/>
      <c r="S6" s="103"/>
      <c r="T6" s="97" t="s">
        <v>61</v>
      </c>
      <c r="U6" s="97"/>
    </row>
    <row r="7" spans="2:21" ht="17.25" customHeight="1" x14ac:dyDescent="0.25">
      <c r="B7" s="23">
        <v>1</v>
      </c>
      <c r="C7" s="49">
        <v>8344</v>
      </c>
      <c r="D7" s="49">
        <v>530</v>
      </c>
      <c r="E7" s="46">
        <v>46762</v>
      </c>
      <c r="F7" s="18"/>
      <c r="G7" s="52">
        <v>296294</v>
      </c>
      <c r="H7" s="51">
        <v>168289</v>
      </c>
      <c r="I7" s="20">
        <v>184925</v>
      </c>
      <c r="J7" s="51">
        <v>20046</v>
      </c>
      <c r="K7" s="57">
        <v>639998</v>
      </c>
      <c r="L7" s="52">
        <v>6025</v>
      </c>
      <c r="M7" s="19"/>
      <c r="N7" s="16"/>
      <c r="P7" s="58">
        <v>1</v>
      </c>
      <c r="Q7" s="59">
        <v>172</v>
      </c>
      <c r="R7" s="7">
        <v>740</v>
      </c>
      <c r="S7" s="7">
        <v>0.7</v>
      </c>
      <c r="T7" s="61">
        <v>130461</v>
      </c>
      <c r="U7" s="61" t="s">
        <v>62</v>
      </c>
    </row>
    <row r="8" spans="2:21" ht="17.25" customHeight="1" x14ac:dyDescent="0.25">
      <c r="B8" s="11" t="s">
        <v>48</v>
      </c>
      <c r="C8" s="12">
        <v>0</v>
      </c>
      <c r="D8" s="12">
        <v>0</v>
      </c>
      <c r="E8" s="12">
        <v>0</v>
      </c>
      <c r="F8" s="18">
        <f>E8+D8+C8</f>
        <v>0</v>
      </c>
      <c r="G8" s="54">
        <v>124</v>
      </c>
      <c r="H8" s="54">
        <v>15</v>
      </c>
      <c r="I8" s="54">
        <v>53</v>
      </c>
      <c r="J8" s="54">
        <v>364</v>
      </c>
      <c r="K8" s="54">
        <v>0</v>
      </c>
      <c r="L8" s="54">
        <v>21</v>
      </c>
      <c r="M8" s="19">
        <f>L8+K8+J8+I8+H8+G8</f>
        <v>577</v>
      </c>
      <c r="N8" s="55">
        <f>M8+F8</f>
        <v>577</v>
      </c>
      <c r="P8" s="58">
        <v>2</v>
      </c>
      <c r="Q8" s="59">
        <v>141</v>
      </c>
      <c r="R8" s="7">
        <v>594</v>
      </c>
      <c r="S8" s="7">
        <v>0.1</v>
      </c>
      <c r="T8" s="83">
        <v>130459</v>
      </c>
      <c r="U8" s="84" t="s">
        <v>63</v>
      </c>
    </row>
    <row r="9" spans="2:21" ht="17.25" customHeight="1" x14ac:dyDescent="0.25">
      <c r="B9" s="23">
        <v>2</v>
      </c>
      <c r="C9" s="49">
        <v>8344</v>
      </c>
      <c r="D9" s="49">
        <v>530</v>
      </c>
      <c r="E9" s="46">
        <v>46762</v>
      </c>
      <c r="F9" s="18"/>
      <c r="G9" s="7">
        <v>296422</v>
      </c>
      <c r="H9" s="7">
        <v>168304</v>
      </c>
      <c r="I9" s="20">
        <v>184985</v>
      </c>
      <c r="J9" s="51">
        <v>20375</v>
      </c>
      <c r="K9" s="57">
        <v>639998</v>
      </c>
      <c r="L9" s="52">
        <v>6047</v>
      </c>
      <c r="M9" s="19"/>
      <c r="N9" s="17"/>
      <c r="P9" s="58">
        <v>3</v>
      </c>
      <c r="Q9" s="59">
        <v>135</v>
      </c>
      <c r="R9" s="7">
        <v>564</v>
      </c>
      <c r="S9" s="7">
        <v>0</v>
      </c>
    </row>
    <row r="10" spans="2:21" ht="17.25" customHeight="1" x14ac:dyDescent="0.25">
      <c r="B10" s="11" t="s">
        <v>48</v>
      </c>
      <c r="C10" s="12">
        <f>C9-C7</f>
        <v>0</v>
      </c>
      <c r="D10" s="12">
        <f t="shared" ref="D10:E12" si="0">D9-D7</f>
        <v>0</v>
      </c>
      <c r="E10" s="12">
        <f t="shared" si="0"/>
        <v>0</v>
      </c>
      <c r="F10" s="18">
        <f>E10+D10+C10</f>
        <v>0</v>
      </c>
      <c r="G10" s="12">
        <f>G9-G7</f>
        <v>128</v>
      </c>
      <c r="H10" s="12">
        <f t="shared" ref="H10:L12" si="1">H9-H7</f>
        <v>15</v>
      </c>
      <c r="I10" s="12">
        <f t="shared" si="1"/>
        <v>60</v>
      </c>
      <c r="J10" s="12">
        <f t="shared" si="1"/>
        <v>329</v>
      </c>
      <c r="K10" s="12">
        <f t="shared" si="1"/>
        <v>0</v>
      </c>
      <c r="L10" s="12">
        <f t="shared" si="1"/>
        <v>22</v>
      </c>
      <c r="M10" s="19">
        <f>L10+K10+J10+I10+H10+G10</f>
        <v>554</v>
      </c>
      <c r="N10" s="55">
        <f>M10+F10</f>
        <v>554</v>
      </c>
      <c r="P10" s="58">
        <v>4</v>
      </c>
      <c r="Q10" s="59">
        <v>115</v>
      </c>
      <c r="R10" s="7">
        <v>490</v>
      </c>
      <c r="S10" s="7">
        <v>0.4</v>
      </c>
    </row>
    <row r="11" spans="2:21" ht="17.25" customHeight="1" x14ac:dyDescent="0.25">
      <c r="B11" s="23">
        <v>3</v>
      </c>
      <c r="C11" s="49">
        <v>8345</v>
      </c>
      <c r="D11" s="49">
        <v>530</v>
      </c>
      <c r="E11" s="46">
        <v>46762</v>
      </c>
      <c r="F11" s="18"/>
      <c r="G11" s="7">
        <v>296539</v>
      </c>
      <c r="H11" s="7">
        <v>168319</v>
      </c>
      <c r="I11" s="20">
        <v>185043</v>
      </c>
      <c r="J11" s="51">
        <v>20655</v>
      </c>
      <c r="K11" s="57">
        <v>639998</v>
      </c>
      <c r="L11" s="52">
        <v>6072</v>
      </c>
      <c r="M11" s="19"/>
      <c r="N11" s="17"/>
      <c r="P11" s="58">
        <v>5</v>
      </c>
      <c r="Q11" s="59">
        <v>157</v>
      </c>
      <c r="R11" s="7">
        <v>636</v>
      </c>
      <c r="S11" s="7">
        <v>0.3</v>
      </c>
    </row>
    <row r="12" spans="2:21" ht="17.25" customHeight="1" x14ac:dyDescent="0.25">
      <c r="B12" s="11" t="s">
        <v>48</v>
      </c>
      <c r="C12" s="12">
        <f>C11-C9</f>
        <v>1</v>
      </c>
      <c r="D12" s="12">
        <f t="shared" si="0"/>
        <v>0</v>
      </c>
      <c r="E12" s="12">
        <f t="shared" si="0"/>
        <v>0</v>
      </c>
      <c r="F12" s="18">
        <f>E12+D12+C12</f>
        <v>1</v>
      </c>
      <c r="G12" s="12">
        <f>G11-G9</f>
        <v>117</v>
      </c>
      <c r="H12" s="12">
        <f t="shared" si="1"/>
        <v>15</v>
      </c>
      <c r="I12" s="12">
        <f t="shared" si="1"/>
        <v>58</v>
      </c>
      <c r="J12" s="12">
        <f t="shared" si="1"/>
        <v>280</v>
      </c>
      <c r="K12" s="12">
        <f t="shared" si="1"/>
        <v>0</v>
      </c>
      <c r="L12" s="12">
        <f t="shared" si="1"/>
        <v>25</v>
      </c>
      <c r="M12" s="19">
        <f>L12+K12+J12+I12+H12+G12</f>
        <v>495</v>
      </c>
      <c r="N12" s="55">
        <f>M12+F12</f>
        <v>496</v>
      </c>
      <c r="P12" s="58">
        <v>6</v>
      </c>
      <c r="Q12" s="59">
        <v>193</v>
      </c>
      <c r="R12" s="7">
        <v>740</v>
      </c>
      <c r="S12" s="7">
        <v>0</v>
      </c>
    </row>
    <row r="13" spans="2:21" ht="17.25" customHeight="1" x14ac:dyDescent="0.25">
      <c r="B13" s="62">
        <v>4</v>
      </c>
      <c r="C13" s="49">
        <v>8345</v>
      </c>
      <c r="D13" s="49">
        <v>530</v>
      </c>
      <c r="E13" s="46">
        <v>46762</v>
      </c>
      <c r="F13" s="18"/>
      <c r="G13" s="7">
        <v>296664</v>
      </c>
      <c r="H13" s="7">
        <v>168334</v>
      </c>
      <c r="I13" s="20">
        <v>185103</v>
      </c>
      <c r="J13" s="51">
        <v>20961</v>
      </c>
      <c r="K13" s="57">
        <v>639998</v>
      </c>
      <c r="L13" s="52">
        <v>6100</v>
      </c>
      <c r="M13" s="19"/>
      <c r="N13" s="17"/>
      <c r="P13" s="58">
        <v>7</v>
      </c>
      <c r="Q13" s="59">
        <v>106</v>
      </c>
      <c r="R13" s="7">
        <v>394</v>
      </c>
      <c r="S13" s="7">
        <v>0</v>
      </c>
    </row>
    <row r="14" spans="2:21" ht="17.25" customHeight="1" x14ac:dyDescent="0.25">
      <c r="B14" s="11" t="s">
        <v>48</v>
      </c>
      <c r="C14" s="12">
        <f>C13-C11</f>
        <v>0</v>
      </c>
      <c r="D14" s="12">
        <f t="shared" ref="D14:E14" si="2">D13-D11</f>
        <v>0</v>
      </c>
      <c r="E14" s="12">
        <f t="shared" si="2"/>
        <v>0</v>
      </c>
      <c r="F14" s="18">
        <f>E14+D14+C14</f>
        <v>0</v>
      </c>
      <c r="G14" s="12">
        <f>G13-G11</f>
        <v>125</v>
      </c>
      <c r="H14" s="12">
        <f t="shared" ref="H14:L14" si="3">H13-H11</f>
        <v>15</v>
      </c>
      <c r="I14" s="12">
        <f t="shared" si="3"/>
        <v>60</v>
      </c>
      <c r="J14" s="12">
        <f t="shared" si="3"/>
        <v>306</v>
      </c>
      <c r="K14" s="12">
        <f t="shared" si="3"/>
        <v>0</v>
      </c>
      <c r="L14" s="12">
        <f t="shared" si="3"/>
        <v>28</v>
      </c>
      <c r="M14" s="19">
        <f>L14+K14+J14+I14+H14+G14</f>
        <v>534</v>
      </c>
      <c r="N14" s="55">
        <f>M14+F14</f>
        <v>534</v>
      </c>
      <c r="P14" s="58">
        <v>8</v>
      </c>
      <c r="Q14" s="59">
        <v>107</v>
      </c>
      <c r="R14" s="7">
        <v>344</v>
      </c>
      <c r="S14" s="7">
        <v>0</v>
      </c>
    </row>
    <row r="15" spans="2:21" ht="17.25" customHeight="1" x14ac:dyDescent="0.25">
      <c r="B15" s="23">
        <v>5</v>
      </c>
      <c r="C15" s="49">
        <v>8345</v>
      </c>
      <c r="D15" s="49">
        <v>531</v>
      </c>
      <c r="E15" s="46">
        <v>46762</v>
      </c>
      <c r="F15" s="18"/>
      <c r="G15" s="7">
        <v>296787</v>
      </c>
      <c r="H15" s="7">
        <v>168353</v>
      </c>
      <c r="I15" s="20">
        <v>185167</v>
      </c>
      <c r="J15" s="51">
        <v>21297</v>
      </c>
      <c r="K15" s="57">
        <v>639998</v>
      </c>
      <c r="L15" s="52">
        <v>6116</v>
      </c>
      <c r="M15" s="19"/>
      <c r="N15" s="17"/>
      <c r="P15" s="58">
        <v>9</v>
      </c>
      <c r="Q15" s="59">
        <v>105</v>
      </c>
      <c r="R15" s="7">
        <v>314</v>
      </c>
      <c r="S15" s="7">
        <v>0</v>
      </c>
    </row>
    <row r="16" spans="2:21" ht="17.25" customHeight="1" x14ac:dyDescent="0.25">
      <c r="B16" s="11" t="s">
        <v>48</v>
      </c>
      <c r="C16" s="12">
        <f>C15-C13</f>
        <v>0</v>
      </c>
      <c r="D16" s="12">
        <f t="shared" ref="D16:E16" si="4">D15-D13</f>
        <v>1</v>
      </c>
      <c r="E16" s="12">
        <f t="shared" si="4"/>
        <v>0</v>
      </c>
      <c r="F16" s="18">
        <f>E16+D16+C16</f>
        <v>1</v>
      </c>
      <c r="G16" s="12">
        <f>G15-G13</f>
        <v>123</v>
      </c>
      <c r="H16" s="12">
        <f t="shared" ref="H16:L16" si="5">H15-H13</f>
        <v>19</v>
      </c>
      <c r="I16" s="12">
        <f t="shared" si="5"/>
        <v>64</v>
      </c>
      <c r="J16" s="12">
        <f t="shared" si="5"/>
        <v>336</v>
      </c>
      <c r="K16" s="12">
        <f t="shared" si="5"/>
        <v>0</v>
      </c>
      <c r="L16" s="12">
        <f t="shared" si="5"/>
        <v>16</v>
      </c>
      <c r="M16" s="19">
        <f>L16+K16+J16+I16+H16+G16</f>
        <v>558</v>
      </c>
      <c r="N16" s="55">
        <f>M16+F16</f>
        <v>559</v>
      </c>
      <c r="P16" s="58">
        <v>10</v>
      </c>
      <c r="Q16" s="59">
        <v>74</v>
      </c>
      <c r="R16" s="7">
        <v>224</v>
      </c>
      <c r="S16" s="7">
        <v>0</v>
      </c>
    </row>
    <row r="17" spans="2:19" ht="17.25" customHeight="1" x14ac:dyDescent="0.25">
      <c r="B17" s="23">
        <v>6</v>
      </c>
      <c r="C17" s="49">
        <v>8345</v>
      </c>
      <c r="D17" s="49">
        <v>531</v>
      </c>
      <c r="E17" s="46">
        <v>46762</v>
      </c>
      <c r="F17" s="18"/>
      <c r="G17" s="7">
        <v>296902</v>
      </c>
      <c r="H17" s="7">
        <v>168365</v>
      </c>
      <c r="I17" s="20">
        <v>185237</v>
      </c>
      <c r="J17" s="51">
        <v>21588</v>
      </c>
      <c r="K17" s="57">
        <v>639998</v>
      </c>
      <c r="L17" s="52">
        <v>6129</v>
      </c>
      <c r="M17" s="19"/>
      <c r="N17" s="17"/>
      <c r="P17" s="58">
        <v>11</v>
      </c>
      <c r="Q17" s="59"/>
      <c r="R17" s="7"/>
      <c r="S17" s="7"/>
    </row>
    <row r="18" spans="2:19" ht="17.25" customHeight="1" x14ac:dyDescent="0.25">
      <c r="B18" s="11" t="s">
        <v>48</v>
      </c>
      <c r="C18" s="12">
        <f>C17-C15</f>
        <v>0</v>
      </c>
      <c r="D18" s="12">
        <f t="shared" ref="D18:E18" si="6">D17-D15</f>
        <v>0</v>
      </c>
      <c r="E18" s="12">
        <f t="shared" si="6"/>
        <v>0</v>
      </c>
      <c r="F18" s="18">
        <f>E18+D18+C18</f>
        <v>0</v>
      </c>
      <c r="G18" s="12">
        <f>G17-G15</f>
        <v>115</v>
      </c>
      <c r="H18" s="12">
        <f t="shared" ref="H18:L18" si="7">H17-H15</f>
        <v>12</v>
      </c>
      <c r="I18" s="12">
        <f t="shared" si="7"/>
        <v>70</v>
      </c>
      <c r="J18" s="12">
        <f t="shared" si="7"/>
        <v>291</v>
      </c>
      <c r="K18" s="12">
        <f t="shared" si="7"/>
        <v>0</v>
      </c>
      <c r="L18" s="12">
        <f t="shared" si="7"/>
        <v>13</v>
      </c>
      <c r="M18" s="19">
        <f>L18+K18+J18+I18+H18+G18</f>
        <v>501</v>
      </c>
      <c r="N18" s="55">
        <f>M18+F18</f>
        <v>501</v>
      </c>
      <c r="P18" s="58">
        <v>12</v>
      </c>
      <c r="Q18" s="59"/>
      <c r="R18" s="7"/>
      <c r="S18" s="7"/>
    </row>
    <row r="19" spans="2:19" ht="17.25" customHeight="1" x14ac:dyDescent="0.25">
      <c r="B19" s="23">
        <v>7</v>
      </c>
      <c r="C19" s="49">
        <v>8345</v>
      </c>
      <c r="D19" s="49">
        <v>531</v>
      </c>
      <c r="E19" s="46">
        <v>46762</v>
      </c>
      <c r="F19" s="18"/>
      <c r="G19" s="7">
        <v>297025</v>
      </c>
      <c r="H19" s="7">
        <v>168381</v>
      </c>
      <c r="I19" s="20">
        <v>185291</v>
      </c>
      <c r="J19" s="51">
        <v>21862</v>
      </c>
      <c r="K19" s="57">
        <v>639998</v>
      </c>
      <c r="L19" s="52">
        <v>6150</v>
      </c>
      <c r="M19" s="19"/>
      <c r="N19" s="17"/>
      <c r="P19" s="58">
        <v>13</v>
      </c>
      <c r="Q19" s="59"/>
      <c r="R19" s="7"/>
      <c r="S19" s="7"/>
    </row>
    <row r="20" spans="2:19" ht="17.25" customHeight="1" x14ac:dyDescent="0.25">
      <c r="B20" s="11" t="s">
        <v>48</v>
      </c>
      <c r="C20" s="12">
        <f>C19-C17</f>
        <v>0</v>
      </c>
      <c r="D20" s="12">
        <f t="shared" ref="D20:E20" si="8">D19-D17</f>
        <v>0</v>
      </c>
      <c r="E20" s="12">
        <f t="shared" si="8"/>
        <v>0</v>
      </c>
      <c r="F20" s="18">
        <f>E20+D20+C20</f>
        <v>0</v>
      </c>
      <c r="G20" s="12">
        <f>G19-G17</f>
        <v>123</v>
      </c>
      <c r="H20" s="12">
        <f t="shared" ref="H20:L20" si="9">H19-H17</f>
        <v>16</v>
      </c>
      <c r="I20" s="12">
        <f t="shared" si="9"/>
        <v>54</v>
      </c>
      <c r="J20" s="12">
        <f t="shared" si="9"/>
        <v>274</v>
      </c>
      <c r="K20" s="12">
        <f t="shared" si="9"/>
        <v>0</v>
      </c>
      <c r="L20" s="12">
        <f t="shared" si="9"/>
        <v>21</v>
      </c>
      <c r="M20" s="19">
        <f>L20+K20+J20+I20+H20+G20</f>
        <v>488</v>
      </c>
      <c r="N20" s="55">
        <f>M20+F20</f>
        <v>488</v>
      </c>
      <c r="P20" s="58">
        <v>14</v>
      </c>
      <c r="Q20" s="59"/>
      <c r="R20" s="7"/>
      <c r="S20" s="7"/>
    </row>
    <row r="21" spans="2:19" ht="17.25" customHeight="1" x14ac:dyDescent="0.25">
      <c r="B21" s="23">
        <v>8</v>
      </c>
      <c r="C21" s="49">
        <v>8345</v>
      </c>
      <c r="D21" s="49">
        <v>531</v>
      </c>
      <c r="E21" s="46">
        <v>46762</v>
      </c>
      <c r="F21" s="18"/>
      <c r="G21" s="7">
        <v>297151</v>
      </c>
      <c r="H21" s="7">
        <v>168396</v>
      </c>
      <c r="I21" s="20">
        <v>185347</v>
      </c>
      <c r="J21" s="51">
        <v>22153</v>
      </c>
      <c r="K21" s="57">
        <v>639998</v>
      </c>
      <c r="L21" s="52">
        <v>6181</v>
      </c>
      <c r="M21" s="19"/>
      <c r="N21" s="17"/>
      <c r="P21" s="58">
        <v>15</v>
      </c>
      <c r="Q21" s="59"/>
      <c r="R21" s="7"/>
      <c r="S21" s="7"/>
    </row>
    <row r="22" spans="2:19" ht="17.25" customHeight="1" x14ac:dyDescent="0.25">
      <c r="B22" s="11" t="s">
        <v>48</v>
      </c>
      <c r="C22" s="12">
        <f>C21-C19</f>
        <v>0</v>
      </c>
      <c r="D22" s="12">
        <f t="shared" ref="D22:E22" si="10">D21-D19</f>
        <v>0</v>
      </c>
      <c r="E22" s="12">
        <f t="shared" si="10"/>
        <v>0</v>
      </c>
      <c r="F22" s="18">
        <f>E22+D22+C22</f>
        <v>0</v>
      </c>
      <c r="G22" s="12">
        <f>G21-G19</f>
        <v>126</v>
      </c>
      <c r="H22" s="12">
        <f t="shared" ref="H22:L22" si="11">H21-H19</f>
        <v>15</v>
      </c>
      <c r="I22" s="12">
        <f t="shared" si="11"/>
        <v>56</v>
      </c>
      <c r="J22" s="12">
        <f t="shared" si="11"/>
        <v>291</v>
      </c>
      <c r="K22" s="12">
        <f t="shared" si="11"/>
        <v>0</v>
      </c>
      <c r="L22" s="12">
        <f t="shared" si="11"/>
        <v>31</v>
      </c>
      <c r="M22" s="19">
        <f>L22+K22+J22+I22+H22+G22</f>
        <v>519</v>
      </c>
      <c r="N22" s="55">
        <f>M22+F22</f>
        <v>519</v>
      </c>
      <c r="P22" s="58">
        <v>16</v>
      </c>
      <c r="Q22" s="59"/>
      <c r="R22" s="7"/>
      <c r="S22" s="7"/>
    </row>
    <row r="23" spans="2:19" ht="17.25" customHeight="1" x14ac:dyDescent="0.25">
      <c r="B23" s="23">
        <v>9</v>
      </c>
      <c r="C23" s="49">
        <v>8345</v>
      </c>
      <c r="D23" s="49">
        <v>531</v>
      </c>
      <c r="E23" s="46">
        <v>46762</v>
      </c>
      <c r="F23" s="18"/>
      <c r="G23" s="7">
        <v>297277</v>
      </c>
      <c r="H23" s="7">
        <v>168412</v>
      </c>
      <c r="I23" s="20">
        <v>185404</v>
      </c>
      <c r="J23" s="51">
        <v>22419</v>
      </c>
      <c r="K23" s="57">
        <v>639998</v>
      </c>
      <c r="L23" s="52">
        <v>6207</v>
      </c>
      <c r="M23" s="19"/>
      <c r="N23" s="17"/>
      <c r="P23" s="58">
        <v>17</v>
      </c>
      <c r="Q23" s="59"/>
      <c r="R23" s="7"/>
      <c r="S23" s="7"/>
    </row>
    <row r="24" spans="2:19" ht="17.25" customHeight="1" x14ac:dyDescent="0.25">
      <c r="B24" s="11" t="s">
        <v>48</v>
      </c>
      <c r="C24" s="12">
        <f>C23-C21</f>
        <v>0</v>
      </c>
      <c r="D24" s="12">
        <f t="shared" ref="D24:E26" si="12">D23-D21</f>
        <v>0</v>
      </c>
      <c r="E24" s="12">
        <f t="shared" si="12"/>
        <v>0</v>
      </c>
      <c r="F24" s="18">
        <f>E24+D24+C24</f>
        <v>0</v>
      </c>
      <c r="G24" s="12">
        <f>G23-G21</f>
        <v>126</v>
      </c>
      <c r="H24" s="12">
        <f t="shared" ref="H24:L26" si="13">H23-H21</f>
        <v>16</v>
      </c>
      <c r="I24" s="12">
        <f t="shared" si="13"/>
        <v>57</v>
      </c>
      <c r="J24" s="12">
        <f t="shared" si="13"/>
        <v>266</v>
      </c>
      <c r="K24" s="12">
        <f t="shared" si="13"/>
        <v>0</v>
      </c>
      <c r="L24" s="12">
        <f t="shared" si="13"/>
        <v>26</v>
      </c>
      <c r="M24" s="19">
        <f>L24+K24+J24+I24+H24+G24</f>
        <v>491</v>
      </c>
      <c r="N24" s="55">
        <f>M24+F24</f>
        <v>491</v>
      </c>
      <c r="P24" s="58">
        <v>18</v>
      </c>
      <c r="Q24" s="59"/>
      <c r="R24" s="7"/>
      <c r="S24" s="7"/>
    </row>
    <row r="25" spans="2:19" ht="17.25" customHeight="1" x14ac:dyDescent="0.25">
      <c r="B25" s="23">
        <v>10</v>
      </c>
      <c r="C25" s="49">
        <v>8345</v>
      </c>
      <c r="D25" s="49">
        <v>531</v>
      </c>
      <c r="E25" s="46">
        <v>46762</v>
      </c>
      <c r="F25" s="18"/>
      <c r="G25" s="48">
        <v>297406</v>
      </c>
      <c r="H25" s="48">
        <v>168427</v>
      </c>
      <c r="I25" s="20">
        <v>185470</v>
      </c>
      <c r="J25" s="48">
        <v>22688</v>
      </c>
      <c r="K25" s="57">
        <v>639998</v>
      </c>
      <c r="L25" s="52">
        <v>6228</v>
      </c>
      <c r="M25" s="19"/>
      <c r="N25" s="17"/>
      <c r="P25" s="58">
        <v>19</v>
      </c>
      <c r="Q25" s="59"/>
      <c r="R25" s="7"/>
      <c r="S25" s="7"/>
    </row>
    <row r="26" spans="2:19" ht="17.25" customHeight="1" x14ac:dyDescent="0.25">
      <c r="B26" s="11" t="s">
        <v>48</v>
      </c>
      <c r="C26" s="12">
        <f>C25-C23</f>
        <v>0</v>
      </c>
      <c r="D26" s="12">
        <f t="shared" si="12"/>
        <v>0</v>
      </c>
      <c r="E26" s="12">
        <f t="shared" si="12"/>
        <v>0</v>
      </c>
      <c r="F26" s="18">
        <f>E26+D26+C26</f>
        <v>0</v>
      </c>
      <c r="G26" s="12">
        <f>G25-G23</f>
        <v>129</v>
      </c>
      <c r="H26" s="12">
        <f t="shared" si="13"/>
        <v>15</v>
      </c>
      <c r="I26" s="12">
        <f t="shared" si="13"/>
        <v>66</v>
      </c>
      <c r="J26" s="12">
        <f t="shared" si="13"/>
        <v>269</v>
      </c>
      <c r="K26" s="12">
        <f t="shared" si="13"/>
        <v>0</v>
      </c>
      <c r="L26" s="12">
        <f t="shared" si="13"/>
        <v>21</v>
      </c>
      <c r="M26" s="19">
        <f>L26+K26+J26+I26+H26+G26</f>
        <v>500</v>
      </c>
      <c r="N26" s="55">
        <f>M26+F26</f>
        <v>500</v>
      </c>
      <c r="P26" s="58">
        <v>20</v>
      </c>
      <c r="Q26" s="59"/>
      <c r="R26" s="7"/>
      <c r="S26" s="7"/>
    </row>
    <row r="27" spans="2:19" ht="17.25" customHeight="1" x14ac:dyDescent="0.25">
      <c r="B27" s="23">
        <v>11</v>
      </c>
      <c r="C27" s="49"/>
      <c r="D27" s="49"/>
      <c r="E27" s="46"/>
      <c r="F27" s="18"/>
      <c r="G27" s="48"/>
      <c r="H27" s="48"/>
      <c r="I27" s="20"/>
      <c r="J27" s="48"/>
      <c r="K27" s="57"/>
      <c r="L27" s="52"/>
      <c r="M27" s="19"/>
      <c r="N27" s="17"/>
      <c r="P27" s="58">
        <v>21</v>
      </c>
      <c r="Q27" s="59"/>
      <c r="R27" s="7"/>
      <c r="S27" s="7"/>
    </row>
    <row r="28" spans="2:19" ht="17.25" customHeight="1" x14ac:dyDescent="0.25">
      <c r="B28" s="11" t="s">
        <v>48</v>
      </c>
      <c r="C28" s="12"/>
      <c r="D28" s="12"/>
      <c r="E28" s="12"/>
      <c r="F28" s="18"/>
      <c r="G28" s="12"/>
      <c r="H28" s="12"/>
      <c r="I28" s="12"/>
      <c r="J28" s="12"/>
      <c r="K28" s="12"/>
      <c r="L28" s="12"/>
      <c r="M28" s="19">
        <f>L28+K28+J28+I28+H28+G28</f>
        <v>0</v>
      </c>
      <c r="N28" s="55">
        <f>M28+F28</f>
        <v>0</v>
      </c>
      <c r="P28" s="58">
        <v>22</v>
      </c>
      <c r="Q28" s="59"/>
      <c r="R28" s="7"/>
      <c r="S28" s="7"/>
    </row>
    <row r="29" spans="2:19" ht="17.25" customHeight="1" x14ac:dyDescent="0.25">
      <c r="B29" s="23">
        <v>12</v>
      </c>
      <c r="C29" s="49"/>
      <c r="D29" s="49"/>
      <c r="E29" s="46"/>
      <c r="F29" s="18"/>
      <c r="G29" s="48"/>
      <c r="H29" s="48"/>
      <c r="I29" s="20"/>
      <c r="J29" s="48"/>
      <c r="K29" s="57"/>
      <c r="L29" s="52"/>
      <c r="M29" s="19"/>
      <c r="N29" s="17"/>
      <c r="P29" s="58">
        <v>23</v>
      </c>
      <c r="Q29" s="59"/>
      <c r="R29" s="7"/>
      <c r="S29" s="7"/>
    </row>
    <row r="30" spans="2:19" ht="17.25" customHeight="1" x14ac:dyDescent="0.25">
      <c r="B30" s="11" t="s">
        <v>48</v>
      </c>
      <c r="C30" s="12"/>
      <c r="D30" s="12"/>
      <c r="E30" s="12"/>
      <c r="F30" s="18"/>
      <c r="G30" s="12"/>
      <c r="H30" s="12"/>
      <c r="I30" s="12"/>
      <c r="J30" s="12"/>
      <c r="K30" s="12"/>
      <c r="L30" s="12"/>
      <c r="M30" s="19">
        <f>L30+K30+J30+I30+H30+G30</f>
        <v>0</v>
      </c>
      <c r="N30" s="55">
        <f>M30+F30</f>
        <v>0</v>
      </c>
      <c r="P30" s="58">
        <v>24</v>
      </c>
      <c r="Q30" s="59"/>
      <c r="R30" s="7"/>
      <c r="S30" s="7"/>
    </row>
    <row r="31" spans="2:19" ht="17.25" customHeight="1" x14ac:dyDescent="0.25">
      <c r="B31" s="23">
        <v>13</v>
      </c>
      <c r="C31" s="49"/>
      <c r="D31" s="49"/>
      <c r="E31" s="46"/>
      <c r="F31" s="18"/>
      <c r="G31" s="48"/>
      <c r="H31" s="48"/>
      <c r="I31" s="20"/>
      <c r="J31" s="48"/>
      <c r="K31" s="57"/>
      <c r="L31" s="52"/>
      <c r="M31" s="19"/>
      <c r="N31" s="17"/>
      <c r="P31" s="58">
        <v>25</v>
      </c>
      <c r="Q31" s="59"/>
      <c r="R31" s="7"/>
      <c r="S31" s="7"/>
    </row>
    <row r="32" spans="2:19" ht="17.25" customHeight="1" x14ac:dyDescent="0.25">
      <c r="B32" s="11" t="s">
        <v>48</v>
      </c>
      <c r="C32" s="12"/>
      <c r="D32" s="12"/>
      <c r="E32" s="12"/>
      <c r="F32" s="18"/>
      <c r="G32" s="12"/>
      <c r="H32" s="12"/>
      <c r="I32" s="12"/>
      <c r="J32" s="12"/>
      <c r="K32" s="12"/>
      <c r="L32" s="12"/>
      <c r="M32" s="19">
        <f>L32+K32+J32+I32+H32+G32</f>
        <v>0</v>
      </c>
      <c r="N32" s="55">
        <f>M32+F32</f>
        <v>0</v>
      </c>
      <c r="P32" s="58">
        <v>26</v>
      </c>
      <c r="Q32" s="59"/>
      <c r="R32" s="7"/>
      <c r="S32" s="7"/>
    </row>
    <row r="33" spans="2:19" ht="17.25" customHeight="1" x14ac:dyDescent="0.25">
      <c r="B33" s="23">
        <v>14</v>
      </c>
      <c r="C33" s="49"/>
      <c r="D33" s="49"/>
      <c r="E33" s="46"/>
      <c r="F33" s="18"/>
      <c r="G33" s="48"/>
      <c r="H33" s="48"/>
      <c r="I33" s="20"/>
      <c r="J33" s="48"/>
      <c r="K33" s="57"/>
      <c r="L33" s="52"/>
      <c r="M33" s="19"/>
      <c r="N33" s="17"/>
      <c r="P33" s="58">
        <v>27</v>
      </c>
      <c r="Q33" s="59"/>
      <c r="R33" s="7"/>
      <c r="S33" s="7"/>
    </row>
    <row r="34" spans="2:19" ht="17.25" customHeight="1" x14ac:dyDescent="0.25">
      <c r="B34" s="11" t="s">
        <v>48</v>
      </c>
      <c r="C34" s="12"/>
      <c r="D34" s="12"/>
      <c r="E34" s="12"/>
      <c r="F34" s="18"/>
      <c r="G34" s="12"/>
      <c r="H34" s="12"/>
      <c r="I34" s="12"/>
      <c r="J34" s="12"/>
      <c r="K34" s="12"/>
      <c r="L34" s="12"/>
      <c r="M34" s="19">
        <f>L34+K34+J34+I34+H34+G34</f>
        <v>0</v>
      </c>
      <c r="N34" s="55">
        <f>M34+F34</f>
        <v>0</v>
      </c>
      <c r="P34" s="58">
        <v>28</v>
      </c>
      <c r="Q34" s="59"/>
      <c r="R34" s="7"/>
      <c r="S34" s="7"/>
    </row>
    <row r="35" spans="2:19" ht="17.25" customHeight="1" x14ac:dyDescent="0.25">
      <c r="B35" s="23">
        <v>15</v>
      </c>
      <c r="C35" s="49"/>
      <c r="D35" s="49"/>
      <c r="E35" s="46"/>
      <c r="F35" s="18"/>
      <c r="G35" s="48"/>
      <c r="H35" s="48"/>
      <c r="I35" s="20"/>
      <c r="J35" s="48"/>
      <c r="K35" s="57"/>
      <c r="L35" s="52"/>
      <c r="M35" s="19"/>
      <c r="N35" s="17"/>
      <c r="P35" s="58">
        <v>29</v>
      </c>
      <c r="Q35" s="59"/>
      <c r="R35" s="7"/>
      <c r="S35" s="7"/>
    </row>
    <row r="36" spans="2:19" ht="17.25" customHeight="1" x14ac:dyDescent="0.25">
      <c r="B36" s="11" t="s">
        <v>48</v>
      </c>
      <c r="C36" s="12"/>
      <c r="D36" s="12"/>
      <c r="E36" s="12"/>
      <c r="F36" s="18"/>
      <c r="G36" s="12"/>
      <c r="H36" s="12"/>
      <c r="I36" s="12"/>
      <c r="J36" s="12"/>
      <c r="K36" s="12"/>
      <c r="L36" s="12"/>
      <c r="M36" s="19">
        <f>L36+K36+J36+I36+H36+G36</f>
        <v>0</v>
      </c>
      <c r="N36" s="55">
        <f>M36+F36</f>
        <v>0</v>
      </c>
      <c r="P36" s="58">
        <v>30</v>
      </c>
      <c r="Q36" s="59"/>
      <c r="R36" s="7"/>
      <c r="S36" s="7"/>
    </row>
    <row r="37" spans="2:19" ht="17.25" customHeight="1" x14ac:dyDescent="0.25">
      <c r="B37" s="23">
        <v>16</v>
      </c>
      <c r="C37" s="49"/>
      <c r="D37" s="49"/>
      <c r="E37" s="46"/>
      <c r="F37" s="18"/>
      <c r="G37" s="48"/>
      <c r="H37" s="48"/>
      <c r="I37" s="20"/>
      <c r="J37" s="48"/>
      <c r="K37" s="57"/>
      <c r="L37" s="52"/>
      <c r="M37" s="19"/>
      <c r="N37" s="17"/>
      <c r="P37" s="58">
        <v>31</v>
      </c>
      <c r="Q37" s="59"/>
      <c r="R37" s="7"/>
      <c r="S37" s="7"/>
    </row>
    <row r="38" spans="2:19" ht="17.25" customHeight="1" x14ac:dyDescent="0.25">
      <c r="B38" s="11" t="s">
        <v>48</v>
      </c>
      <c r="C38" s="12"/>
      <c r="D38" s="12"/>
      <c r="E38" s="12"/>
      <c r="F38" s="18"/>
      <c r="G38" s="12"/>
      <c r="H38" s="12"/>
      <c r="I38" s="12"/>
      <c r="J38" s="12"/>
      <c r="K38" s="12"/>
      <c r="L38" s="12"/>
      <c r="M38" s="19">
        <f>L38+K38+J38+I38+H38+G38</f>
        <v>0</v>
      </c>
      <c r="N38" s="55">
        <f>M38+F38</f>
        <v>0</v>
      </c>
      <c r="P38" s="36"/>
      <c r="Q38" s="60"/>
      <c r="R38" s="57"/>
      <c r="S38" s="57"/>
    </row>
    <row r="39" spans="2:19" ht="17.25" customHeight="1" x14ac:dyDescent="0.25">
      <c r="B39" s="23">
        <v>17</v>
      </c>
      <c r="C39" s="49"/>
      <c r="D39" s="49"/>
      <c r="E39" s="46"/>
      <c r="F39" s="18"/>
      <c r="G39" s="20"/>
      <c r="H39" s="20"/>
      <c r="I39" s="20"/>
      <c r="J39" s="51"/>
      <c r="K39" s="57"/>
      <c r="L39" s="52"/>
      <c r="M39" s="19"/>
      <c r="N39" s="17"/>
    </row>
    <row r="40" spans="2:19" ht="17.25" customHeight="1" x14ac:dyDescent="0.25">
      <c r="B40" s="11" t="s">
        <v>48</v>
      </c>
      <c r="C40" s="12"/>
      <c r="D40" s="12"/>
      <c r="E40" s="12"/>
      <c r="F40" s="18"/>
      <c r="G40" s="12"/>
      <c r="H40" s="12"/>
      <c r="I40" s="12"/>
      <c r="J40" s="12"/>
      <c r="K40" s="12"/>
      <c r="L40" s="12"/>
      <c r="M40" s="19">
        <f>L40+K40+J40+I40+H40+G40</f>
        <v>0</v>
      </c>
      <c r="N40" s="55">
        <f>M40+F40</f>
        <v>0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/>
      <c r="D41" s="49"/>
      <c r="E41" s="46"/>
      <c r="F41" s="18"/>
      <c r="G41" s="20"/>
      <c r="H41" s="20"/>
      <c r="I41" s="20"/>
      <c r="J41" s="51"/>
      <c r="K41" s="57"/>
      <c r="L41" s="52"/>
      <c r="M41" s="19"/>
      <c r="N41" s="17"/>
    </row>
    <row r="42" spans="2:19" ht="17.25" customHeight="1" x14ac:dyDescent="0.25">
      <c r="B42" s="11" t="s">
        <v>48</v>
      </c>
      <c r="C42" s="12"/>
      <c r="D42" s="12"/>
      <c r="E42" s="12"/>
      <c r="F42" s="18"/>
      <c r="G42" s="12"/>
      <c r="H42" s="12"/>
      <c r="I42" s="12"/>
      <c r="J42" s="12"/>
      <c r="K42" s="12"/>
      <c r="L42" s="12"/>
      <c r="M42" s="19">
        <f>L42+K42+J42+I42+H42+G42</f>
        <v>0</v>
      </c>
      <c r="N42" s="55">
        <f>M42+F42</f>
        <v>0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49"/>
      <c r="D43" s="49"/>
      <c r="E43" s="46"/>
      <c r="F43" s="18"/>
      <c r="G43" s="20"/>
      <c r="H43" s="20"/>
      <c r="I43" s="20"/>
      <c r="J43" s="51"/>
      <c r="K43" s="57"/>
      <c r="L43" s="52"/>
      <c r="M43" s="19"/>
      <c r="N43" s="17"/>
    </row>
    <row r="44" spans="2:19" ht="17.25" customHeight="1" x14ac:dyDescent="0.25">
      <c r="B44" s="11" t="s">
        <v>48</v>
      </c>
      <c r="C44" s="12"/>
      <c r="D44" s="12"/>
      <c r="E44" s="12"/>
      <c r="F44" s="18"/>
      <c r="G44" s="12"/>
      <c r="H44" s="12"/>
      <c r="I44" s="12"/>
      <c r="J44" s="12"/>
      <c r="K44" s="12"/>
      <c r="L44" s="12"/>
      <c r="M44" s="19">
        <f>L44+K44+J44+I44+H44+G44</f>
        <v>0</v>
      </c>
      <c r="N44" s="55">
        <f>M44+F44</f>
        <v>0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49"/>
      <c r="D45" s="49"/>
      <c r="E45" s="46"/>
      <c r="F45" s="18"/>
      <c r="G45" s="20"/>
      <c r="H45" s="20"/>
      <c r="I45" s="20"/>
      <c r="J45" s="51"/>
      <c r="K45" s="57"/>
      <c r="L45" s="52"/>
      <c r="M45" s="19"/>
      <c r="N45" s="17"/>
    </row>
    <row r="46" spans="2:19" ht="17.25" customHeight="1" x14ac:dyDescent="0.25">
      <c r="B46" s="11" t="s">
        <v>48</v>
      </c>
      <c r="C46" s="12"/>
      <c r="D46" s="12"/>
      <c r="E46" s="12"/>
      <c r="F46" s="18"/>
      <c r="G46" s="12"/>
      <c r="H46" s="12"/>
      <c r="I46" s="12"/>
      <c r="J46" s="12"/>
      <c r="K46" s="12"/>
      <c r="L46" s="12"/>
      <c r="M46" s="19">
        <f>L46+K46+J46+I46+H46+G46</f>
        <v>0</v>
      </c>
      <c r="N46" s="55">
        <f>M46+F46</f>
        <v>0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/>
      <c r="D47" s="49"/>
      <c r="E47" s="46"/>
      <c r="F47" s="18"/>
      <c r="G47" s="20"/>
      <c r="H47" s="20"/>
      <c r="I47" s="20"/>
      <c r="J47" s="51"/>
      <c r="K47" s="57"/>
      <c r="L47" s="52"/>
      <c r="M47" s="19"/>
      <c r="N47" s="17"/>
    </row>
    <row r="48" spans="2:19" ht="17.25" customHeight="1" x14ac:dyDescent="0.25">
      <c r="B48" s="11" t="s">
        <v>48</v>
      </c>
      <c r="C48" s="12"/>
      <c r="D48" s="12"/>
      <c r="E48" s="12"/>
      <c r="F48" s="18"/>
      <c r="G48" s="12"/>
      <c r="H48" s="12"/>
      <c r="I48" s="12"/>
      <c r="J48" s="12"/>
      <c r="K48" s="12"/>
      <c r="L48" s="12"/>
      <c r="M48" s="19">
        <f>L48+K48+J48+I48+H48+G48</f>
        <v>0</v>
      </c>
      <c r="N48" s="55">
        <f>M48+F48</f>
        <v>0</v>
      </c>
      <c r="P48" s="36"/>
      <c r="Q48" s="60"/>
      <c r="R48" s="57"/>
      <c r="S48" s="57"/>
    </row>
    <row r="49" spans="2:19" ht="17.25" customHeight="1" x14ac:dyDescent="0.25">
      <c r="B49" s="23">
        <v>22</v>
      </c>
      <c r="C49" s="49"/>
      <c r="D49" s="49"/>
      <c r="E49" s="46"/>
      <c r="F49" s="18"/>
      <c r="G49" s="20"/>
      <c r="H49" s="20"/>
      <c r="I49" s="20"/>
      <c r="J49" s="51"/>
      <c r="K49" s="57"/>
      <c r="L49" s="52"/>
      <c r="M49" s="19"/>
      <c r="N49" s="17"/>
    </row>
    <row r="50" spans="2:19" ht="17.25" customHeight="1" x14ac:dyDescent="0.25">
      <c r="B50" s="11" t="s">
        <v>48</v>
      </c>
      <c r="C50" s="12"/>
      <c r="D50" s="12"/>
      <c r="E50" s="12"/>
      <c r="F50" s="18">
        <f>E50+D50+C50</f>
        <v>0</v>
      </c>
      <c r="G50" s="12"/>
      <c r="H50" s="12"/>
      <c r="I50" s="12"/>
      <c r="J50" s="12"/>
      <c r="K50" s="12"/>
      <c r="L50" s="12"/>
      <c r="M50" s="19">
        <f>L50+K50+J50+I50+H50+G50</f>
        <v>0</v>
      </c>
      <c r="N50" s="55">
        <f>M50+F50</f>
        <v>0</v>
      </c>
      <c r="P50" s="36"/>
      <c r="Q50" s="60"/>
      <c r="R50" s="57"/>
      <c r="S50" s="57"/>
    </row>
    <row r="51" spans="2:19" ht="17.25" customHeight="1" x14ac:dyDescent="0.25">
      <c r="B51" s="23">
        <v>23</v>
      </c>
      <c r="C51" s="49"/>
      <c r="D51" s="49"/>
      <c r="E51" s="46"/>
      <c r="F51" s="18"/>
      <c r="G51" s="20"/>
      <c r="H51" s="20"/>
      <c r="I51" s="20"/>
      <c r="J51" s="51"/>
      <c r="K51" s="57"/>
      <c r="L51" s="52"/>
      <c r="M51" s="19"/>
      <c r="N51" s="17"/>
    </row>
    <row r="52" spans="2:19" ht="17.25" customHeight="1" x14ac:dyDescent="0.25">
      <c r="B52" s="11" t="s">
        <v>48</v>
      </c>
      <c r="C52" s="12"/>
      <c r="D52" s="12"/>
      <c r="E52" s="12"/>
      <c r="F52" s="18">
        <f>E52+D52+C52</f>
        <v>0</v>
      </c>
      <c r="G52" s="12"/>
      <c r="H52" s="12"/>
      <c r="I52" s="12"/>
      <c r="J52" s="12"/>
      <c r="K52" s="12"/>
      <c r="L52" s="12"/>
      <c r="M52" s="19">
        <f>L52+K52+J52+I52+H52+G52</f>
        <v>0</v>
      </c>
      <c r="N52" s="55">
        <f>M52+F52</f>
        <v>0</v>
      </c>
    </row>
    <row r="53" spans="2:19" ht="17.25" customHeight="1" x14ac:dyDescent="0.25">
      <c r="B53" s="23">
        <v>24</v>
      </c>
      <c r="C53" s="49"/>
      <c r="D53" s="49"/>
      <c r="E53" s="46"/>
      <c r="F53" s="18"/>
      <c r="G53" s="20"/>
      <c r="H53" s="20"/>
      <c r="I53" s="67"/>
      <c r="J53" s="51"/>
      <c r="K53" s="57"/>
      <c r="L53" s="52"/>
      <c r="M53" s="19"/>
      <c r="N53" s="17"/>
    </row>
    <row r="54" spans="2:19" ht="17.25" customHeight="1" x14ac:dyDescent="0.25">
      <c r="B54" s="11" t="s">
        <v>48</v>
      </c>
      <c r="C54" s="12"/>
      <c r="D54" s="12"/>
      <c r="E54" s="12"/>
      <c r="F54" s="18">
        <f>E54+D54+C54</f>
        <v>0</v>
      </c>
      <c r="G54" s="12"/>
      <c r="H54" s="12"/>
      <c r="I54" s="12"/>
      <c r="J54" s="12"/>
      <c r="K54" s="12"/>
      <c r="L54" s="12"/>
      <c r="M54" s="19">
        <f>L54+K54+J54+I54+H54+G54</f>
        <v>0</v>
      </c>
      <c r="N54" s="55">
        <f>M54+F54</f>
        <v>0</v>
      </c>
    </row>
    <row r="55" spans="2:19" ht="17.25" customHeight="1" x14ac:dyDescent="0.25">
      <c r="B55" s="23">
        <v>25</v>
      </c>
      <c r="C55" s="49"/>
      <c r="D55" s="49"/>
      <c r="E55" s="46"/>
      <c r="F55" s="18"/>
      <c r="G55" s="20"/>
      <c r="H55" s="20"/>
      <c r="I55" s="67"/>
      <c r="J55" s="51"/>
      <c r="K55" s="57"/>
      <c r="L55" s="52"/>
      <c r="M55" s="19"/>
      <c r="N55" s="17"/>
    </row>
    <row r="56" spans="2:19" ht="17.25" customHeight="1" x14ac:dyDescent="0.25">
      <c r="B56" s="11" t="s">
        <v>48</v>
      </c>
      <c r="C56" s="12"/>
      <c r="D56" s="12"/>
      <c r="E56" s="12"/>
      <c r="F56" s="18">
        <f>E56+D56+C56</f>
        <v>0</v>
      </c>
      <c r="G56" s="12"/>
      <c r="H56" s="12"/>
      <c r="I56" s="12"/>
      <c r="J56" s="12"/>
      <c r="K56" s="12"/>
      <c r="L56" s="12"/>
      <c r="M56" s="19">
        <f>L56+K56+J56+I56+H56+G56</f>
        <v>0</v>
      </c>
      <c r="N56" s="55">
        <f>M56+F56</f>
        <v>0</v>
      </c>
    </row>
    <row r="57" spans="2:19" ht="17.25" customHeight="1" x14ac:dyDescent="0.25">
      <c r="B57" s="23">
        <v>26</v>
      </c>
      <c r="C57" s="49"/>
      <c r="D57" s="49"/>
      <c r="E57" s="46"/>
      <c r="F57" s="18"/>
      <c r="G57" s="20"/>
      <c r="H57" s="20"/>
      <c r="I57" s="67"/>
      <c r="J57" s="51"/>
      <c r="K57" s="57"/>
      <c r="L57" s="52"/>
      <c r="M57" s="19"/>
      <c r="N57" s="17"/>
    </row>
    <row r="58" spans="2:19" ht="17.25" customHeight="1" x14ac:dyDescent="0.25">
      <c r="B58" s="11" t="s">
        <v>48</v>
      </c>
      <c r="C58" s="12"/>
      <c r="D58" s="12"/>
      <c r="E58" s="12"/>
      <c r="F58" s="18">
        <f>E58+D58+C58</f>
        <v>0</v>
      </c>
      <c r="G58" s="12"/>
      <c r="H58" s="12"/>
      <c r="I58" s="12"/>
      <c r="J58" s="12"/>
      <c r="K58" s="12"/>
      <c r="L58" s="12"/>
      <c r="M58" s="19">
        <f>L58+K58+J58+I58+H58+G58</f>
        <v>0</v>
      </c>
      <c r="N58" s="55">
        <f>M58+F58</f>
        <v>0</v>
      </c>
    </row>
    <row r="59" spans="2:19" ht="17.25" customHeight="1" x14ac:dyDescent="0.25">
      <c r="B59" s="23">
        <v>27</v>
      </c>
      <c r="C59" s="49"/>
      <c r="D59" s="49"/>
      <c r="E59" s="46"/>
      <c r="F59" s="18"/>
      <c r="G59" s="20"/>
      <c r="H59" s="20"/>
      <c r="I59" s="20"/>
      <c r="J59" s="51"/>
      <c r="K59" s="57"/>
      <c r="L59" s="52"/>
      <c r="M59" s="19"/>
      <c r="N59" s="17"/>
    </row>
    <row r="60" spans="2:19" ht="17.25" customHeight="1" x14ac:dyDescent="0.25">
      <c r="B60" s="11" t="s">
        <v>48</v>
      </c>
      <c r="C60" s="12"/>
      <c r="D60" s="12"/>
      <c r="E60" s="12"/>
      <c r="F60" s="18">
        <f>E60+D60+C60</f>
        <v>0</v>
      </c>
      <c r="G60" s="12"/>
      <c r="H60" s="12"/>
      <c r="I60" s="12"/>
      <c r="J60" s="12"/>
      <c r="K60" s="12"/>
      <c r="L60" s="12"/>
      <c r="M60" s="19">
        <f>L60+K60+J60+I60+H60+G60</f>
        <v>0</v>
      </c>
      <c r="N60" s="55">
        <f>M60+F60</f>
        <v>0</v>
      </c>
    </row>
    <row r="61" spans="2:19" ht="17.25" customHeight="1" x14ac:dyDescent="0.25">
      <c r="B61" s="23">
        <v>28</v>
      </c>
      <c r="C61" s="49"/>
      <c r="D61" s="49"/>
      <c r="E61" s="46"/>
      <c r="F61" s="18"/>
      <c r="G61" s="20"/>
      <c r="H61" s="20"/>
      <c r="I61" s="20"/>
      <c r="J61" s="51"/>
      <c r="K61" s="57"/>
      <c r="L61" s="52"/>
      <c r="M61" s="19"/>
      <c r="N61" s="17"/>
    </row>
    <row r="62" spans="2:19" ht="17.25" customHeight="1" x14ac:dyDescent="0.25">
      <c r="B62" s="11" t="s">
        <v>48</v>
      </c>
      <c r="C62" s="12"/>
      <c r="D62" s="12"/>
      <c r="E62" s="12"/>
      <c r="F62" s="18">
        <f>E62+D62+C62</f>
        <v>0</v>
      </c>
      <c r="G62" s="12"/>
      <c r="H62" s="12"/>
      <c r="I62" s="12"/>
      <c r="J62" s="12"/>
      <c r="K62" s="12"/>
      <c r="L62" s="12"/>
      <c r="M62" s="19">
        <f>L62+K62+J62+I62+H62+G62</f>
        <v>0</v>
      </c>
      <c r="N62" s="55">
        <f>M62+F62</f>
        <v>0</v>
      </c>
    </row>
    <row r="63" spans="2:19" ht="17.25" customHeight="1" x14ac:dyDescent="0.25">
      <c r="B63" s="23">
        <v>29</v>
      </c>
      <c r="C63" s="49"/>
      <c r="D63" s="49"/>
      <c r="E63" s="46"/>
      <c r="F63" s="18"/>
      <c r="G63" s="20"/>
      <c r="H63" s="20"/>
      <c r="I63" s="20"/>
      <c r="J63" s="51"/>
      <c r="K63" s="57"/>
      <c r="L63" s="52"/>
      <c r="M63" s="19"/>
      <c r="N63" s="17"/>
    </row>
    <row r="64" spans="2:19" ht="17.25" customHeight="1" x14ac:dyDescent="0.25">
      <c r="B64" s="11" t="s">
        <v>48</v>
      </c>
      <c r="C64" s="12"/>
      <c r="D64" s="12"/>
      <c r="E64" s="12"/>
      <c r="F64" s="18">
        <f>E64+D64+C64</f>
        <v>0</v>
      </c>
      <c r="G64" s="12"/>
      <c r="H64" s="12"/>
      <c r="I64" s="12"/>
      <c r="J64" s="12"/>
      <c r="K64" s="12"/>
      <c r="L64" s="12"/>
      <c r="M64" s="19">
        <f>L64+K64+J64+I64+H64+G64</f>
        <v>0</v>
      </c>
      <c r="N64" s="55">
        <f>M64+F64</f>
        <v>0</v>
      </c>
    </row>
    <row r="65" spans="2:14" ht="17.25" customHeight="1" x14ac:dyDescent="0.25">
      <c r="B65" s="23">
        <v>30</v>
      </c>
      <c r="C65" s="49"/>
      <c r="D65" s="49"/>
      <c r="E65" s="46"/>
      <c r="F65" s="18"/>
      <c r="G65" s="20"/>
      <c r="H65" s="20"/>
      <c r="I65" s="20"/>
      <c r="J65" s="51"/>
      <c r="K65" s="57"/>
      <c r="L65" s="52"/>
      <c r="M65" s="19"/>
      <c r="N65" s="17"/>
    </row>
    <row r="66" spans="2:14" ht="17.25" customHeight="1" x14ac:dyDescent="0.25">
      <c r="B66" s="11" t="s">
        <v>48</v>
      </c>
      <c r="C66" s="12"/>
      <c r="D66" s="12"/>
      <c r="E66" s="12"/>
      <c r="F66" s="18">
        <f>E66+D66+C66</f>
        <v>0</v>
      </c>
      <c r="G66" s="12"/>
      <c r="H66" s="12"/>
      <c r="I66" s="12"/>
      <c r="J66" s="12"/>
      <c r="K66" s="12"/>
      <c r="L66" s="12"/>
      <c r="M66" s="19">
        <f>L66+K66+J66+I66+H66+G66</f>
        <v>0</v>
      </c>
      <c r="N66" s="55">
        <f>M66+F66</f>
        <v>0</v>
      </c>
    </row>
    <row r="67" spans="2:14" ht="15.75" x14ac:dyDescent="0.25">
      <c r="B67" s="23">
        <v>31</v>
      </c>
      <c r="C67" s="49"/>
      <c r="D67" s="49"/>
      <c r="E67" s="46"/>
      <c r="F67" s="18"/>
      <c r="G67" s="20"/>
      <c r="H67" s="20"/>
      <c r="I67" s="20"/>
      <c r="J67" s="51"/>
      <c r="K67" s="57"/>
      <c r="L67" s="52"/>
      <c r="M67" s="19"/>
      <c r="N67" s="17"/>
    </row>
    <row r="68" spans="2:14" ht="15.75" x14ac:dyDescent="0.25">
      <c r="B68" s="11" t="s">
        <v>48</v>
      </c>
      <c r="C68" s="12"/>
      <c r="D68" s="12"/>
      <c r="E68" s="12"/>
      <c r="F68" s="18">
        <f>E68+D68+C68</f>
        <v>0</v>
      </c>
      <c r="G68" s="12"/>
      <c r="H68" s="12"/>
      <c r="I68" s="12"/>
      <c r="J68" s="12"/>
      <c r="K68" s="12"/>
      <c r="L68" s="12"/>
      <c r="M68" s="19">
        <f>L68+K68+J68+I68+H68+G68</f>
        <v>0</v>
      </c>
      <c r="N68" s="55">
        <f>M68+F68</f>
        <v>0</v>
      </c>
    </row>
  </sheetData>
  <mergeCells count="12">
    <mergeCell ref="F2:J2"/>
    <mergeCell ref="F3:J3"/>
    <mergeCell ref="M5:M6"/>
    <mergeCell ref="N5:N6"/>
    <mergeCell ref="M3:N3"/>
    <mergeCell ref="T6:U6"/>
    <mergeCell ref="B5:B6"/>
    <mergeCell ref="F5:F6"/>
    <mergeCell ref="P5:P6"/>
    <mergeCell ref="Q5:Q6"/>
    <mergeCell ref="R5:R6"/>
    <mergeCell ref="S5:S6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68"/>
  <sheetViews>
    <sheetView zoomScaleNormal="100" workbookViewId="0">
      <pane ySplit="6" topLeftCell="A7" activePane="bottomLeft" state="frozen"/>
      <selection pane="bottomLeft" activeCell="M27" sqref="M27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64</v>
      </c>
      <c r="F3" s="111"/>
      <c r="G3" s="111"/>
      <c r="H3" s="111"/>
    </row>
    <row r="4" spans="2:8" ht="15" customHeight="1" thickBot="1" x14ac:dyDescent="0.3">
      <c r="D4" s="112" t="s">
        <v>36</v>
      </c>
      <c r="E4" s="112"/>
      <c r="F4" s="111"/>
      <c r="G4" s="111"/>
      <c r="H4" s="111"/>
    </row>
    <row r="5" spans="2:8" ht="30.75" customHeight="1" thickTop="1" x14ac:dyDescent="0.25">
      <c r="B5" s="98" t="s">
        <v>37</v>
      </c>
      <c r="C5" s="4" t="s">
        <v>65</v>
      </c>
      <c r="D5" s="4" t="s">
        <v>66</v>
      </c>
      <c r="E5" s="109" t="s">
        <v>67</v>
      </c>
    </row>
    <row r="6" spans="2:8" ht="15.75" customHeight="1" x14ac:dyDescent="0.25">
      <c r="B6" s="99"/>
      <c r="C6" s="3" t="s">
        <v>68</v>
      </c>
      <c r="D6" s="3"/>
      <c r="E6" s="110"/>
    </row>
    <row r="7" spans="2:8" ht="17.25" customHeight="1" x14ac:dyDescent="0.25">
      <c r="B7" s="23">
        <v>1</v>
      </c>
      <c r="C7" s="49">
        <v>321493</v>
      </c>
      <c r="D7" s="50">
        <v>1837</v>
      </c>
      <c r="E7" s="56"/>
      <c r="H7" s="1" t="s">
        <v>69</v>
      </c>
    </row>
    <row r="8" spans="2:8" ht="17.25" customHeight="1" x14ac:dyDescent="0.25">
      <c r="B8" s="11" t="s">
        <v>48</v>
      </c>
      <c r="C8" s="53">
        <v>523</v>
      </c>
      <c r="D8" s="53">
        <v>3</v>
      </c>
      <c r="E8" s="56">
        <f>C8</f>
        <v>523</v>
      </c>
    </row>
    <row r="9" spans="2:8" ht="17.25" customHeight="1" x14ac:dyDescent="0.25">
      <c r="B9" s="23">
        <v>2</v>
      </c>
      <c r="C9" s="48">
        <v>322012</v>
      </c>
      <c r="D9" s="50">
        <v>1855</v>
      </c>
      <c r="E9" s="56"/>
    </row>
    <row r="10" spans="2:8" ht="17.25" customHeight="1" x14ac:dyDescent="0.25">
      <c r="B10" s="11" t="s">
        <v>48</v>
      </c>
      <c r="C10" s="53">
        <f>C9-C7</f>
        <v>519</v>
      </c>
      <c r="D10" s="53">
        <f>D9-D7</f>
        <v>18</v>
      </c>
      <c r="E10" s="56">
        <f>C10</f>
        <v>519</v>
      </c>
      <c r="G10"/>
      <c r="H10" s="57"/>
    </row>
    <row r="11" spans="2:8" ht="17.25" customHeight="1" x14ac:dyDescent="0.25">
      <c r="B11" s="23">
        <v>3</v>
      </c>
      <c r="C11" s="47">
        <v>322509</v>
      </c>
      <c r="D11" s="50">
        <v>1875</v>
      </c>
      <c r="E11" s="56"/>
    </row>
    <row r="12" spans="2:8" ht="17.25" customHeight="1" x14ac:dyDescent="0.25">
      <c r="B12" s="11" t="s">
        <v>48</v>
      </c>
      <c r="C12" s="53">
        <f>C11-C9</f>
        <v>497</v>
      </c>
      <c r="D12" s="53">
        <f>D11-D9</f>
        <v>20</v>
      </c>
      <c r="E12" s="56">
        <f>C12</f>
        <v>497</v>
      </c>
    </row>
    <row r="13" spans="2:8" ht="17.25" customHeight="1" x14ac:dyDescent="0.25">
      <c r="B13" s="23">
        <v>4</v>
      </c>
      <c r="C13" s="48">
        <v>323007</v>
      </c>
      <c r="D13" s="50">
        <v>1893</v>
      </c>
      <c r="E13" s="56"/>
    </row>
    <row r="14" spans="2:8" ht="17.25" customHeight="1" x14ac:dyDescent="0.25">
      <c r="B14" s="11" t="s">
        <v>48</v>
      </c>
      <c r="C14" s="53">
        <f>C13-C11</f>
        <v>498</v>
      </c>
      <c r="D14" s="53">
        <f>D13-D11</f>
        <v>18</v>
      </c>
      <c r="E14" s="56">
        <f>C14</f>
        <v>498</v>
      </c>
    </row>
    <row r="15" spans="2:8" ht="17.25" customHeight="1" x14ac:dyDescent="0.25">
      <c r="B15" s="23">
        <v>5</v>
      </c>
      <c r="C15" s="48">
        <v>323500</v>
      </c>
      <c r="D15" s="50">
        <v>1913</v>
      </c>
      <c r="E15" s="56"/>
    </row>
    <row r="16" spans="2:8" ht="17.25" customHeight="1" x14ac:dyDescent="0.25">
      <c r="B16" s="11" t="s">
        <v>48</v>
      </c>
      <c r="C16" s="53">
        <f>C15-C13</f>
        <v>493</v>
      </c>
      <c r="D16" s="53">
        <f>D15-D13</f>
        <v>20</v>
      </c>
      <c r="E16" s="56">
        <f>C16</f>
        <v>493</v>
      </c>
    </row>
    <row r="17" spans="2:5" ht="17.25" customHeight="1" x14ac:dyDescent="0.25">
      <c r="B17" s="23">
        <v>6</v>
      </c>
      <c r="C17" s="48">
        <v>323972</v>
      </c>
      <c r="D17" s="50">
        <v>1940</v>
      </c>
      <c r="E17" s="56"/>
    </row>
    <row r="18" spans="2:5" ht="17.25" customHeight="1" x14ac:dyDescent="0.25">
      <c r="B18" s="11" t="s">
        <v>48</v>
      </c>
      <c r="C18" s="53">
        <f>C17-C15</f>
        <v>472</v>
      </c>
      <c r="D18" s="53">
        <f>D17-D15</f>
        <v>27</v>
      </c>
      <c r="E18" s="56">
        <f>C18</f>
        <v>472</v>
      </c>
    </row>
    <row r="19" spans="2:5" ht="17.25" customHeight="1" x14ac:dyDescent="0.25">
      <c r="B19" s="23">
        <v>7</v>
      </c>
      <c r="C19" s="48">
        <v>324410</v>
      </c>
      <c r="D19" s="50">
        <v>1958</v>
      </c>
      <c r="E19" s="56"/>
    </row>
    <row r="20" spans="2:5" ht="17.25" customHeight="1" x14ac:dyDescent="0.25">
      <c r="B20" s="11" t="s">
        <v>48</v>
      </c>
      <c r="C20" s="53">
        <f>C19-C17</f>
        <v>438</v>
      </c>
      <c r="D20" s="53">
        <f>D19-D17</f>
        <v>18</v>
      </c>
      <c r="E20" s="56">
        <f>C20</f>
        <v>438</v>
      </c>
    </row>
    <row r="21" spans="2:5" ht="17.25" customHeight="1" x14ac:dyDescent="0.25">
      <c r="B21" s="23">
        <v>8</v>
      </c>
      <c r="C21" s="48">
        <v>324874</v>
      </c>
      <c r="D21" s="50">
        <v>1960</v>
      </c>
      <c r="E21" s="56"/>
    </row>
    <row r="22" spans="2:5" ht="17.25" customHeight="1" x14ac:dyDescent="0.25">
      <c r="B22" s="11" t="s">
        <v>48</v>
      </c>
      <c r="C22" s="53">
        <f>C21-C19</f>
        <v>464</v>
      </c>
      <c r="D22" s="53">
        <f>D21-D19</f>
        <v>2</v>
      </c>
      <c r="E22" s="56">
        <f>C22</f>
        <v>464</v>
      </c>
    </row>
    <row r="23" spans="2:5" ht="17.25" customHeight="1" x14ac:dyDescent="0.25">
      <c r="B23" s="23">
        <v>9</v>
      </c>
      <c r="C23" s="47">
        <v>325313</v>
      </c>
      <c r="D23" s="50">
        <v>1976</v>
      </c>
      <c r="E23" s="56"/>
    </row>
    <row r="24" spans="2:5" ht="17.25" customHeight="1" x14ac:dyDescent="0.25">
      <c r="B24" s="11" t="s">
        <v>48</v>
      </c>
      <c r="C24" s="53">
        <f>C23-C21</f>
        <v>439</v>
      </c>
      <c r="D24" s="53">
        <f>D23-D21</f>
        <v>16</v>
      </c>
      <c r="E24" s="56">
        <f>C24</f>
        <v>439</v>
      </c>
    </row>
    <row r="25" spans="2:5" ht="17.25" customHeight="1" x14ac:dyDescent="0.25">
      <c r="B25" s="23">
        <v>10</v>
      </c>
      <c r="C25" s="47">
        <v>325807</v>
      </c>
      <c r="D25" s="50">
        <v>1995</v>
      </c>
      <c r="E25" s="56"/>
    </row>
    <row r="26" spans="2:5" ht="17.25" customHeight="1" x14ac:dyDescent="0.25">
      <c r="B26" s="11" t="s">
        <v>48</v>
      </c>
      <c r="C26" s="53">
        <f>C25-C23</f>
        <v>494</v>
      </c>
      <c r="D26" s="53">
        <f>D25-D23</f>
        <v>19</v>
      </c>
      <c r="E26" s="56">
        <f>C26</f>
        <v>494</v>
      </c>
    </row>
    <row r="27" spans="2:5" ht="17.25" customHeight="1" x14ac:dyDescent="0.25">
      <c r="B27" s="23">
        <v>11</v>
      </c>
      <c r="C27" s="47"/>
      <c r="D27" s="50"/>
      <c r="E27" s="56"/>
    </row>
    <row r="28" spans="2:5" ht="17.25" customHeight="1" x14ac:dyDescent="0.25">
      <c r="B28" s="11" t="s">
        <v>48</v>
      </c>
      <c r="C28" s="53"/>
      <c r="D28" s="53"/>
      <c r="E28" s="56">
        <f>C28</f>
        <v>0</v>
      </c>
    </row>
    <row r="29" spans="2:5" ht="17.25" customHeight="1" x14ac:dyDescent="0.25">
      <c r="B29" s="23">
        <v>12</v>
      </c>
      <c r="C29" s="47"/>
      <c r="D29" s="50"/>
      <c r="E29" s="56"/>
    </row>
    <row r="30" spans="2:5" ht="17.25" customHeight="1" x14ac:dyDescent="0.25">
      <c r="B30" s="11" t="s">
        <v>48</v>
      </c>
      <c r="C30" s="53"/>
      <c r="D30" s="53"/>
      <c r="E30" s="56">
        <f>C30</f>
        <v>0</v>
      </c>
    </row>
    <row r="31" spans="2:5" ht="17.25" customHeight="1" x14ac:dyDescent="0.25">
      <c r="B31" s="23">
        <v>13</v>
      </c>
      <c r="C31" s="47"/>
      <c r="D31" s="50"/>
      <c r="E31" s="56"/>
    </row>
    <row r="32" spans="2:5" ht="17.25" customHeight="1" x14ac:dyDescent="0.25">
      <c r="B32" s="11" t="s">
        <v>48</v>
      </c>
      <c r="C32" s="53"/>
      <c r="D32" s="53"/>
      <c r="E32" s="56">
        <f>C32</f>
        <v>0</v>
      </c>
    </row>
    <row r="33" spans="2:5" ht="17.25" customHeight="1" x14ac:dyDescent="0.25">
      <c r="B33" s="23">
        <v>14</v>
      </c>
      <c r="C33" s="48"/>
      <c r="D33" s="50"/>
      <c r="E33" s="56"/>
    </row>
    <row r="34" spans="2:5" ht="17.25" customHeight="1" x14ac:dyDescent="0.25">
      <c r="B34" s="11" t="s">
        <v>48</v>
      </c>
      <c r="C34" s="53"/>
      <c r="D34" s="53"/>
      <c r="E34" s="56">
        <f>C34</f>
        <v>0</v>
      </c>
    </row>
    <row r="35" spans="2:5" ht="17.25" customHeight="1" x14ac:dyDescent="0.25">
      <c r="B35" s="23">
        <v>15</v>
      </c>
      <c r="C35" s="48"/>
      <c r="D35" s="50"/>
      <c r="E35" s="56"/>
    </row>
    <row r="36" spans="2:5" ht="17.25" customHeight="1" x14ac:dyDescent="0.25">
      <c r="B36" s="11" t="s">
        <v>48</v>
      </c>
      <c r="C36" s="53"/>
      <c r="D36" s="53"/>
      <c r="E36" s="56">
        <f>C36</f>
        <v>0</v>
      </c>
    </row>
    <row r="37" spans="2:5" ht="17.25" customHeight="1" x14ac:dyDescent="0.25">
      <c r="B37" s="23">
        <v>16</v>
      </c>
      <c r="C37" s="48"/>
      <c r="D37" s="50"/>
      <c r="E37" s="56"/>
    </row>
    <row r="38" spans="2:5" ht="17.25" customHeight="1" x14ac:dyDescent="0.25">
      <c r="B38" s="11" t="s">
        <v>48</v>
      </c>
      <c r="C38" s="53"/>
      <c r="D38" s="53"/>
      <c r="E38" s="56">
        <f>C38</f>
        <v>0</v>
      </c>
    </row>
    <row r="39" spans="2:5" ht="17.25" customHeight="1" x14ac:dyDescent="0.25">
      <c r="B39" s="23">
        <v>17</v>
      </c>
      <c r="C39" s="48"/>
      <c r="D39" s="50"/>
      <c r="E39" s="56"/>
    </row>
    <row r="40" spans="2:5" ht="17.25" customHeight="1" x14ac:dyDescent="0.25">
      <c r="B40" s="11" t="s">
        <v>48</v>
      </c>
      <c r="C40" s="53"/>
      <c r="D40" s="53"/>
      <c r="E40" s="56">
        <f>C40</f>
        <v>0</v>
      </c>
    </row>
    <row r="41" spans="2:5" ht="17.25" customHeight="1" x14ac:dyDescent="0.25">
      <c r="B41" s="23">
        <v>18</v>
      </c>
      <c r="C41" s="48"/>
      <c r="D41" s="50"/>
      <c r="E41" s="56"/>
    </row>
    <row r="42" spans="2:5" ht="17.25" customHeight="1" x14ac:dyDescent="0.25">
      <c r="B42" s="11" t="s">
        <v>48</v>
      </c>
      <c r="C42" s="53"/>
      <c r="D42" s="53"/>
      <c r="E42" s="56">
        <f>C42</f>
        <v>0</v>
      </c>
    </row>
    <row r="43" spans="2:5" ht="17.25" customHeight="1" x14ac:dyDescent="0.25">
      <c r="B43" s="23">
        <v>19</v>
      </c>
      <c r="C43" s="48"/>
      <c r="D43" s="50"/>
      <c r="E43" s="56"/>
    </row>
    <row r="44" spans="2:5" ht="17.25" customHeight="1" x14ac:dyDescent="0.25">
      <c r="B44" s="11" t="s">
        <v>48</v>
      </c>
      <c r="C44" s="53"/>
      <c r="D44" s="53"/>
      <c r="E44" s="56">
        <f>C44</f>
        <v>0</v>
      </c>
    </row>
    <row r="45" spans="2:5" ht="17.25" customHeight="1" x14ac:dyDescent="0.25">
      <c r="B45" s="23">
        <v>20</v>
      </c>
      <c r="C45" s="48"/>
      <c r="D45" s="50"/>
      <c r="E45" s="56"/>
    </row>
    <row r="46" spans="2:5" ht="17.25" customHeight="1" x14ac:dyDescent="0.25">
      <c r="B46" s="11" t="s">
        <v>48</v>
      </c>
      <c r="C46" s="53"/>
      <c r="D46" s="53"/>
      <c r="E46" s="56">
        <f>C46</f>
        <v>0</v>
      </c>
    </row>
    <row r="47" spans="2:5" ht="17.25" customHeight="1" x14ac:dyDescent="0.25">
      <c r="B47" s="23">
        <v>21</v>
      </c>
      <c r="C47" s="48"/>
      <c r="D47" s="50"/>
      <c r="E47" s="56"/>
    </row>
    <row r="48" spans="2:5" ht="17.25" customHeight="1" x14ac:dyDescent="0.25">
      <c r="B48" s="11" t="s">
        <v>48</v>
      </c>
      <c r="C48" s="53"/>
      <c r="D48" s="53"/>
      <c r="E48" s="56">
        <f>C48</f>
        <v>0</v>
      </c>
    </row>
    <row r="49" spans="2:5" ht="17.25" customHeight="1" x14ac:dyDescent="0.25">
      <c r="B49" s="23">
        <v>22</v>
      </c>
      <c r="C49" s="48"/>
      <c r="D49" s="50"/>
      <c r="E49" s="56"/>
    </row>
    <row r="50" spans="2:5" ht="17.25" customHeight="1" x14ac:dyDescent="0.25">
      <c r="B50" s="11" t="s">
        <v>48</v>
      </c>
      <c r="C50" s="53"/>
      <c r="D50" s="53"/>
      <c r="E50" s="56">
        <f>C50</f>
        <v>0</v>
      </c>
    </row>
    <row r="51" spans="2:5" ht="17.25" customHeight="1" x14ac:dyDescent="0.25">
      <c r="B51" s="23">
        <v>23</v>
      </c>
      <c r="C51" s="48"/>
      <c r="D51" s="50"/>
      <c r="E51" s="56"/>
    </row>
    <row r="52" spans="2:5" ht="17.25" customHeight="1" x14ac:dyDescent="0.25">
      <c r="B52" s="11" t="s">
        <v>48</v>
      </c>
      <c r="C52" s="53"/>
      <c r="D52" s="53"/>
      <c r="E52" s="56">
        <f>C52</f>
        <v>0</v>
      </c>
    </row>
    <row r="53" spans="2:5" ht="17.25" customHeight="1" x14ac:dyDescent="0.25">
      <c r="B53" s="23">
        <v>24</v>
      </c>
      <c r="C53" s="48"/>
      <c r="D53" s="50"/>
      <c r="E53" s="56"/>
    </row>
    <row r="54" spans="2:5" ht="17.25" customHeight="1" x14ac:dyDescent="0.25">
      <c r="B54" s="11" t="s">
        <v>48</v>
      </c>
      <c r="C54" s="53"/>
      <c r="D54" s="53"/>
      <c r="E54" s="56">
        <f>C54</f>
        <v>0</v>
      </c>
    </row>
    <row r="55" spans="2:5" ht="17.25" customHeight="1" x14ac:dyDescent="0.25">
      <c r="B55" s="23">
        <v>25</v>
      </c>
      <c r="C55" s="48"/>
      <c r="D55" s="50"/>
      <c r="E55" s="56"/>
    </row>
    <row r="56" spans="2:5" ht="17.25" customHeight="1" x14ac:dyDescent="0.25">
      <c r="B56" s="11" t="s">
        <v>48</v>
      </c>
      <c r="C56" s="53"/>
      <c r="D56" s="53"/>
      <c r="E56" s="56">
        <f>C56</f>
        <v>0</v>
      </c>
    </row>
    <row r="57" spans="2:5" ht="17.25" customHeight="1" x14ac:dyDescent="0.25">
      <c r="B57" s="23">
        <v>26</v>
      </c>
      <c r="C57" s="48"/>
      <c r="D57" s="50"/>
      <c r="E57" s="56"/>
    </row>
    <row r="58" spans="2:5" ht="17.25" customHeight="1" x14ac:dyDescent="0.25">
      <c r="B58" s="11" t="s">
        <v>48</v>
      </c>
      <c r="C58" s="53"/>
      <c r="D58" s="53"/>
      <c r="E58" s="56">
        <f>C58</f>
        <v>0</v>
      </c>
    </row>
    <row r="59" spans="2:5" ht="17.25" customHeight="1" x14ac:dyDescent="0.25">
      <c r="B59" s="23">
        <v>27</v>
      </c>
      <c r="C59" s="48"/>
      <c r="D59" s="50"/>
      <c r="E59" s="56"/>
    </row>
    <row r="60" spans="2:5" ht="17.25" customHeight="1" x14ac:dyDescent="0.25">
      <c r="B60" s="11" t="s">
        <v>48</v>
      </c>
      <c r="C60" s="53"/>
      <c r="D60" s="53"/>
      <c r="E60" s="56">
        <f>C60</f>
        <v>0</v>
      </c>
    </row>
    <row r="61" spans="2:5" ht="17.25" customHeight="1" x14ac:dyDescent="0.25">
      <c r="B61" s="23">
        <v>28</v>
      </c>
      <c r="C61" s="48"/>
      <c r="D61" s="50"/>
      <c r="E61" s="56"/>
    </row>
    <row r="62" spans="2:5" ht="17.25" customHeight="1" x14ac:dyDescent="0.25">
      <c r="B62" s="11" t="s">
        <v>48</v>
      </c>
      <c r="C62" s="53"/>
      <c r="D62" s="53"/>
      <c r="E62" s="56">
        <f>C62</f>
        <v>0</v>
      </c>
    </row>
    <row r="63" spans="2:5" ht="17.25" customHeight="1" x14ac:dyDescent="0.25">
      <c r="B63" s="23">
        <v>29</v>
      </c>
      <c r="C63" s="48"/>
      <c r="D63" s="50"/>
      <c r="E63" s="56"/>
    </row>
    <row r="64" spans="2:5" ht="17.25" customHeight="1" x14ac:dyDescent="0.25">
      <c r="B64" s="11" t="s">
        <v>48</v>
      </c>
      <c r="C64" s="53"/>
      <c r="D64" s="53"/>
      <c r="E64" s="56">
        <f>C64</f>
        <v>0</v>
      </c>
    </row>
    <row r="65" spans="2:5" ht="17.25" customHeight="1" x14ac:dyDescent="0.25">
      <c r="B65" s="23">
        <v>30</v>
      </c>
      <c r="C65" s="48"/>
      <c r="D65" s="50"/>
      <c r="E65" s="56"/>
    </row>
    <row r="66" spans="2:5" ht="17.25" customHeight="1" x14ac:dyDescent="0.25">
      <c r="B66" s="11" t="s">
        <v>48</v>
      </c>
      <c r="C66" s="53"/>
      <c r="D66" s="53"/>
      <c r="E66" s="56">
        <f>C66</f>
        <v>0</v>
      </c>
    </row>
    <row r="67" spans="2:5" ht="15.75" x14ac:dyDescent="0.25">
      <c r="B67" s="23">
        <v>31</v>
      </c>
      <c r="C67" s="48"/>
      <c r="D67" s="50"/>
      <c r="E67" s="56"/>
    </row>
    <row r="68" spans="2:5" ht="15.75" x14ac:dyDescent="0.25">
      <c r="B68" s="11" t="s">
        <v>48</v>
      </c>
      <c r="C68" s="53"/>
      <c r="D68" s="53"/>
      <c r="E68" s="56">
        <f>C68</f>
        <v>0</v>
      </c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f80d94-36c6-4cfa-b190-3af03c89e98e">
      <UserInfo>
        <DisplayName>John George Podimannil</DisplayName>
        <AccountId>38</AccountId>
        <AccountType/>
      </UserInfo>
      <UserInfo>
        <DisplayName>Carmelyn Abaygar</DisplayName>
        <AccountId>32</AccountId>
        <AccountType/>
      </UserInfo>
    </SharedWithUsers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289D42-0477-45C1-A145-5FA373F96E3A}">
  <ds:schemaRefs>
    <ds:schemaRef ds:uri="85f80d94-36c6-4cfa-b190-3af03c89e98e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4a585a97-453b-43f7-adce-c4bafe4f3563"/>
  </ds:schemaRefs>
</ds:datastoreItem>
</file>

<file path=customXml/itemProps3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2023-01-22T07:23:47Z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