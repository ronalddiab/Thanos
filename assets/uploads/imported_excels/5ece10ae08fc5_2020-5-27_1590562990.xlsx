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Sheet1" sheetId="4" r:id="rId3"/>
    <sheet name="Geneva Daily" sheetId="2" r:id="rId4"/>
  </sheets>
  <calcPr calcId="162913"/>
</workbook>
</file>

<file path=xl/calcChain.xml><?xml version="1.0" encoding="utf-8"?>
<calcChain xmlns="http://schemas.openxmlformats.org/spreadsheetml/2006/main">
  <c r="G16" i="1" l="1"/>
  <c r="E8" i="1" l="1"/>
  <c r="I24" i="1"/>
  <c r="I25" i="1"/>
  <c r="I26" i="1"/>
  <c r="I27" i="1"/>
  <c r="I28" i="1"/>
  <c r="I29" i="1"/>
  <c r="I30" i="1"/>
  <c r="I3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E3" i="1"/>
  <c r="E4" i="1"/>
  <c r="E5" i="1"/>
  <c r="E6" i="1"/>
  <c r="E7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  <c r="G2" i="1"/>
  <c r="L31" i="1" l="1"/>
  <c r="K31" i="1"/>
  <c r="F4" i="2" l="1"/>
  <c r="F6" i="2"/>
  <c r="F7" i="2"/>
  <c r="F8" i="2"/>
  <c r="F9" i="2"/>
  <c r="F10" i="2"/>
  <c r="F11" i="2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<sst xmlns="http://schemas.openxmlformats.org/spreadsheetml/2006/main" count="106" uniqueCount="33">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</sst>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1"/>
  <sheetViews>
    <sheetView workbookViewId="0">
      <selection activeCell="G17" sqref="G17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5</v>
      </c>
      <c r="D2" s="9">
        <v>2020</v>
      </c>
      <c r="E2" s="20">
        <f>Submetering!E2</f>
        <v>4245.75</v>
      </c>
      <c r="F2" s="16">
        <v>0.12</v>
      </c>
      <c r="G2" s="20">
        <f>Submetering!F2+Submetering!G2</f>
        <v>66.000000000000014</v>
      </c>
      <c r="H2" s="16">
        <v>0.71</v>
      </c>
      <c r="I2" s="20">
        <f>Submetering!J2+Submetering!I2+Submetering!H2</f>
        <v>24.811501661099999</v>
      </c>
      <c r="J2" s="16">
        <v>2.3196172978505634</v>
      </c>
      <c r="K2" s="20">
        <f>Submetering!K2</f>
        <v>4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5</v>
      </c>
      <c r="D3" s="9">
        <v>2020</v>
      </c>
      <c r="E3" s="20">
        <f>Submetering!E3</f>
        <v>4050</v>
      </c>
      <c r="F3" s="16">
        <v>0.12</v>
      </c>
      <c r="G3" s="20">
        <f>Submetering!F3+Submetering!G3</f>
        <v>70</v>
      </c>
      <c r="H3" s="16">
        <v>0.71</v>
      </c>
      <c r="I3" s="20">
        <f>Submetering!J3+Submetering!I3+Submetering!H3</f>
        <v>22.032498338899998</v>
      </c>
      <c r="J3" s="16">
        <v>2.3196172978505634</v>
      </c>
      <c r="K3" s="20">
        <f>Submetering!K3</f>
        <v>4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5</v>
      </c>
      <c r="D4" s="9">
        <v>2020</v>
      </c>
      <c r="E4" s="20">
        <f>Submetering!E4</f>
        <v>4241.25</v>
      </c>
      <c r="F4" s="16">
        <v>0.12</v>
      </c>
      <c r="G4" s="20">
        <f>Submetering!F4+Submetering!G4</f>
        <v>50</v>
      </c>
      <c r="H4" s="16">
        <v>0.71</v>
      </c>
      <c r="I4" s="20">
        <f>Submetering!J4+Submetering!I4+Submetering!H4</f>
        <v>22.941849162</v>
      </c>
      <c r="J4" s="16">
        <v>2.3196172978505634</v>
      </c>
      <c r="K4" s="20">
        <f>Submetering!K4</f>
        <v>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5</v>
      </c>
      <c r="D5" s="9">
        <v>2020</v>
      </c>
      <c r="E5" s="20">
        <f>Submetering!E5</f>
        <v>4371.75</v>
      </c>
      <c r="F5" s="16">
        <v>0.12</v>
      </c>
      <c r="G5" s="20">
        <f>Submetering!F5+Submetering!G5</f>
        <v>22.000000000000004</v>
      </c>
      <c r="H5" s="16">
        <v>0.71</v>
      </c>
      <c r="I5" s="20">
        <f>Submetering!J5+Submetering!I5+Submetering!H5</f>
        <v>22.637268087100001</v>
      </c>
      <c r="J5" s="16">
        <v>2.3196172978505634</v>
      </c>
      <c r="K5" s="20">
        <f>Submetering!K5</f>
        <v>7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5</v>
      </c>
      <c r="D6" s="9">
        <v>2020</v>
      </c>
      <c r="E6" s="20">
        <f>Submetering!E6</f>
        <v>4619.25</v>
      </c>
      <c r="F6" s="16">
        <v>0.12</v>
      </c>
      <c r="G6" s="20">
        <f>Submetering!F6+Submetering!G6</f>
        <v>0</v>
      </c>
      <c r="H6" s="16">
        <v>0.71</v>
      </c>
      <c r="I6" s="20">
        <f>Submetering!J6+Submetering!I6+Submetering!H6</f>
        <v>23.191882750800001</v>
      </c>
      <c r="J6" s="16">
        <v>2.3196172978505634</v>
      </c>
      <c r="K6" s="20">
        <f>Submetering!K6</f>
        <v>5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5</v>
      </c>
      <c r="D7" s="9">
        <v>2020</v>
      </c>
      <c r="E7" s="20">
        <f>Submetering!E7</f>
        <v>4783.5</v>
      </c>
      <c r="F7" s="16">
        <v>0.12</v>
      </c>
      <c r="G7" s="20">
        <f>Submetering!F7+Submetering!G7</f>
        <v>0</v>
      </c>
      <c r="H7" s="16">
        <v>0.71</v>
      </c>
      <c r="I7" s="20">
        <f>Submetering!J7+Submetering!I7+Submetering!H7</f>
        <v>26.581</v>
      </c>
      <c r="J7" s="16">
        <v>2.3196172978505634</v>
      </c>
      <c r="K7" s="20">
        <f>Submetering!K7</f>
        <v>3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5</v>
      </c>
      <c r="D8" s="9">
        <v>2020</v>
      </c>
      <c r="E8" s="20">
        <f>Submetering!E8</f>
        <v>4855.5</v>
      </c>
      <c r="F8" s="16">
        <v>0.12</v>
      </c>
      <c r="G8" s="20">
        <f>Submetering!F8+Submetering!G8</f>
        <v>0</v>
      </c>
      <c r="H8" s="16">
        <v>0.71</v>
      </c>
      <c r="I8" s="20">
        <f>Submetering!J8+Submetering!I8+Submetering!H8</f>
        <v>23.875132753000003</v>
      </c>
      <c r="J8" s="16">
        <v>2.3196172978505634</v>
      </c>
      <c r="K8" s="20">
        <f>Submetering!K8</f>
        <v>3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5</v>
      </c>
      <c r="D9" s="9">
        <v>2020</v>
      </c>
      <c r="E9" s="20">
        <f>Submetering!E9</f>
        <v>4911.75</v>
      </c>
      <c r="F9" s="16">
        <v>0.12</v>
      </c>
      <c r="G9" s="20">
        <f>Submetering!F9+Submetering!G9</f>
        <v>0</v>
      </c>
      <c r="H9" s="16">
        <v>0.71</v>
      </c>
      <c r="I9" s="20">
        <f>Submetering!J9+Submetering!I9+Submetering!H9</f>
        <v>37.738867247000002</v>
      </c>
      <c r="J9" s="16">
        <v>2.3196172978505634</v>
      </c>
      <c r="K9" s="20">
        <v>6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5</v>
      </c>
      <c r="D10" s="9">
        <v>2020</v>
      </c>
      <c r="E10" s="20">
        <f>Submetering!E10</f>
        <v>4830.75</v>
      </c>
      <c r="F10" s="16">
        <v>0.12</v>
      </c>
      <c r="G10" s="20">
        <f>Submetering!F10+Submetering!G10</f>
        <v>0</v>
      </c>
      <c r="H10" s="16">
        <v>0.71</v>
      </c>
      <c r="I10" s="20">
        <f>Submetering!J10+Submetering!I10+Submetering!H10</f>
        <v>33.018000000000001</v>
      </c>
      <c r="J10" s="16">
        <v>2.3196172978505634</v>
      </c>
      <c r="K10" s="20">
        <f>Submetering!K10</f>
        <v>4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5</v>
      </c>
      <c r="D11" s="9">
        <v>2020</v>
      </c>
      <c r="E11" s="20">
        <f>Submetering!E11</f>
        <v>5019.75</v>
      </c>
      <c r="F11" s="16">
        <v>0.12</v>
      </c>
      <c r="G11" s="20">
        <f>Submetering!F11+Submetering!G11</f>
        <v>0</v>
      </c>
      <c r="H11" s="16">
        <v>0.71</v>
      </c>
      <c r="I11" s="20">
        <f>Submetering!J11+Submetering!I11+Submetering!H11</f>
        <v>28.465960132899998</v>
      </c>
      <c r="J11" s="16">
        <v>2.3196172978505634</v>
      </c>
      <c r="K11" s="20">
        <f>Submetering!K11</f>
        <v>5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5</v>
      </c>
      <c r="D12" s="9">
        <v>2020</v>
      </c>
      <c r="E12" s="20">
        <f>Submetering!E12</f>
        <v>5859</v>
      </c>
      <c r="F12" s="16">
        <v>0.12</v>
      </c>
      <c r="G12" s="20">
        <f>Submetering!F12+Submetering!G12</f>
        <v>11</v>
      </c>
      <c r="H12" s="16">
        <v>0.71</v>
      </c>
      <c r="I12" s="20">
        <f>Submetering!J12+Submetering!I12+Submetering!H12</f>
        <v>60.072323817700003</v>
      </c>
      <c r="J12" s="16">
        <v>2.3196172978505634</v>
      </c>
      <c r="K12" s="20">
        <f>Submetering!K12</f>
        <v>3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5</v>
      </c>
      <c r="D13" s="9">
        <v>2020</v>
      </c>
      <c r="E13" s="20">
        <f>Submetering!E13</f>
        <v>5739.75</v>
      </c>
      <c r="F13" s="16">
        <v>0.12</v>
      </c>
      <c r="G13" s="20">
        <f>Submetering!F13+Submetering!G13</f>
        <v>12.000000000000002</v>
      </c>
      <c r="H13" s="16">
        <v>0.71</v>
      </c>
      <c r="I13" s="20">
        <f>Submetering!J13+Submetering!I13+Submetering!H13</f>
        <v>37.393716049399998</v>
      </c>
      <c r="J13" s="16">
        <v>2.3196172978505634</v>
      </c>
      <c r="K13" s="20">
        <f>Submetering!K13</f>
        <v>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5</v>
      </c>
      <c r="D14" s="9">
        <v>2020</v>
      </c>
      <c r="E14" s="20">
        <f>Submetering!E14</f>
        <v>5555.25</v>
      </c>
      <c r="F14" s="16">
        <v>0.12</v>
      </c>
      <c r="G14" s="20">
        <f>Submetering!F14+Submetering!G14</f>
        <v>151.00000000000003</v>
      </c>
      <c r="H14" s="16">
        <v>0.71</v>
      </c>
      <c r="I14" s="20">
        <f>Submetering!J14+Submetering!I14+Submetering!H14</f>
        <v>36.379499436300009</v>
      </c>
      <c r="J14" s="16">
        <v>2.3196172978505634</v>
      </c>
      <c r="K14" s="20">
        <f>Submetering!K14</f>
        <v>9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5</v>
      </c>
      <c r="D15" s="9">
        <v>2020</v>
      </c>
      <c r="E15" s="20">
        <f>Submetering!E15</f>
        <v>5548.5</v>
      </c>
      <c r="F15" s="16">
        <v>0.12</v>
      </c>
      <c r="G15" s="20">
        <f>Submetering!F15+Submetering!G15</f>
        <v>240.73318632897198</v>
      </c>
      <c r="H15" s="16">
        <v>0.71</v>
      </c>
      <c r="I15" s="20">
        <f>Submetering!J15+Submetering!I15+Submetering!H15</f>
        <v>36.771512801900002</v>
      </c>
      <c r="J15" s="16">
        <v>2.3196172978505634</v>
      </c>
      <c r="K15" s="20">
        <f>Submetering!K15</f>
        <v>6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5</v>
      </c>
      <c r="D16" s="9">
        <v>2020</v>
      </c>
      <c r="E16" s="20">
        <f>Submetering!E16</f>
        <v>5604.75</v>
      </c>
      <c r="F16" s="16">
        <v>0.12</v>
      </c>
      <c r="G16" s="20">
        <f>Submetering!F16+Submetering!G16</f>
        <v>71.266813671401877</v>
      </c>
      <c r="H16" s="16">
        <v>0.71</v>
      </c>
      <c r="I16" s="20">
        <f>Submetering!J16+Submetering!I16+Submetering!H16</f>
        <v>40.550332744899997</v>
      </c>
      <c r="J16" s="16">
        <v>2.3196172978505634</v>
      </c>
      <c r="K16" s="20">
        <f>Submetering!K16</f>
        <v>7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5</v>
      </c>
      <c r="D17" s="9">
        <v>2020</v>
      </c>
      <c r="E17" s="20">
        <f>Submetering!E17</f>
        <v>5591.25</v>
      </c>
      <c r="F17" s="16">
        <v>0.12</v>
      </c>
      <c r="G17" s="20">
        <f>Submetering!F17+Submetering!G16</f>
        <v>2</v>
      </c>
      <c r="H17" s="16">
        <v>0.71</v>
      </c>
      <c r="I17" s="20">
        <f>Submetering!J17+Submetering!I17+Submetering!H17</f>
        <v>40.587655016900001</v>
      </c>
      <c r="J17" s="16">
        <v>2.3196172978505634</v>
      </c>
      <c r="K17" s="20">
        <f>Submetering!K17</f>
        <v>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5</v>
      </c>
      <c r="D18" s="9">
        <v>2020</v>
      </c>
      <c r="E18" s="20">
        <f>Submetering!E18</f>
        <v>5901.75</v>
      </c>
      <c r="F18" s="16">
        <v>0.12</v>
      </c>
      <c r="G18" s="20">
        <f>Submetering!F18+Submetering!G17</f>
        <v>1.4581451118130841</v>
      </c>
      <c r="H18" s="16">
        <v>0.71</v>
      </c>
      <c r="I18" s="20">
        <f>Submetering!J18+Submetering!I18+Submetering!H18</f>
        <v>36.6665938529</v>
      </c>
      <c r="J18" s="16">
        <v>2.3196172978505634</v>
      </c>
      <c r="K18" s="20">
        <f>Submetering!K18</f>
        <v>3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5</v>
      </c>
      <c r="D19" s="9">
        <v>2020</v>
      </c>
      <c r="E19" s="20">
        <f>Submetering!E19</f>
        <v>6045.75</v>
      </c>
      <c r="F19" s="16">
        <v>0.12</v>
      </c>
      <c r="G19" s="20">
        <f>Submetering!F19+Submetering!G18</f>
        <v>0.54185488818224303</v>
      </c>
      <c r="H19" s="16">
        <v>0.71</v>
      </c>
      <c r="I19" s="20">
        <f>Submetering!J19+Submetering!I19+Submetering!H19</f>
        <v>40.557406147099996</v>
      </c>
      <c r="J19" s="16">
        <v>2.3196172978505634</v>
      </c>
      <c r="K19" s="20">
        <f>Submetering!K19</f>
        <v>4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5</v>
      </c>
      <c r="D20" s="9">
        <v>2020</v>
      </c>
      <c r="E20" s="20">
        <f>Submetering!E20</f>
        <v>6365.25</v>
      </c>
      <c r="F20" s="16">
        <v>0.12</v>
      </c>
      <c r="G20" s="20">
        <f>Submetering!F20+Submetering!G19</f>
        <v>11.233486660560748</v>
      </c>
      <c r="H20" s="16">
        <v>0.71</v>
      </c>
      <c r="I20" s="20">
        <f>Submetering!J20+Submetering!I20+Submetering!H20</f>
        <v>32.610423034299998</v>
      </c>
      <c r="J20" s="16">
        <v>2.3196172978505634</v>
      </c>
      <c r="K20" s="20">
        <f>Submetering!K20</f>
        <v>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5</v>
      </c>
      <c r="D21" s="9">
        <v>2020</v>
      </c>
      <c r="E21" s="20">
        <f>Submetering!E21</f>
        <v>6680.25</v>
      </c>
      <c r="F21" s="16">
        <v>0.12</v>
      </c>
      <c r="G21" s="20">
        <f>Submetering!F21+Submetering!G20</f>
        <v>15.914346936728974</v>
      </c>
      <c r="H21" s="16">
        <v>0.71</v>
      </c>
      <c r="I21" s="20">
        <f>Submetering!J21+Submetering!I21+Submetering!H21</f>
        <v>39.846576965699995</v>
      </c>
      <c r="J21" s="16">
        <v>2.3196172978505634</v>
      </c>
      <c r="K21" s="20">
        <f>Submetering!K21</f>
        <v>12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5</v>
      </c>
      <c r="D22" s="9">
        <v>2020</v>
      </c>
      <c r="E22" s="20">
        <f>Submetering!E22</f>
        <v>6599.25</v>
      </c>
      <c r="F22" s="16">
        <v>0.12</v>
      </c>
      <c r="G22" s="20">
        <f>Submetering!F22+Submetering!G21</f>
        <v>14.005301901121495</v>
      </c>
      <c r="H22" s="16">
        <v>0.71</v>
      </c>
      <c r="I22" s="20">
        <f>Submetering!J22+Submetering!I22+Submetering!H22</f>
        <v>39.8701129568</v>
      </c>
      <c r="J22" s="16">
        <v>2.3196172978505634</v>
      </c>
      <c r="K22" s="20">
        <f>Submetering!K22</f>
        <v>15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5</v>
      </c>
      <c r="D23" s="9">
        <v>2020</v>
      </c>
      <c r="E23" s="20">
        <f>Submetering!E23</f>
        <v>6957</v>
      </c>
      <c r="F23" s="16">
        <v>0.12</v>
      </c>
      <c r="G23" s="20">
        <f>Submetering!F23+Submetering!G22</f>
        <v>9.2899411399626182</v>
      </c>
      <c r="H23" s="16">
        <v>0.71</v>
      </c>
      <c r="I23" s="20">
        <f>Submetering!J23+Submetering!I23+Submetering!H23</f>
        <v>49.301004562199999</v>
      </c>
      <c r="J23" s="16">
        <v>2.3196172978505634</v>
      </c>
      <c r="K23" s="20">
        <f>Submetering!K23</f>
        <v>25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5</v>
      </c>
      <c r="D24" s="9">
        <v>2020</v>
      </c>
      <c r="E24" s="20">
        <f>Submetering!E24</f>
        <v>6738.75</v>
      </c>
      <c r="F24" s="16">
        <v>0.12</v>
      </c>
      <c r="G24" s="20">
        <f>Submetering!F24+Submetering!G23</f>
        <v>12.226838798130842</v>
      </c>
      <c r="H24" s="16">
        <v>0.71</v>
      </c>
      <c r="I24" s="20">
        <f>Submetering!J24+Submetering!I24+Submetering!H24</f>
        <v>48.449433823300005</v>
      </c>
      <c r="J24" s="16">
        <v>2.3196172978505634</v>
      </c>
      <c r="K24" s="20">
        <f>Submetering!K24</f>
        <v>21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5</v>
      </c>
      <c r="D25" s="9">
        <v>2020</v>
      </c>
      <c r="E25" s="20">
        <f>Submetering!E25</f>
        <v>6639.75</v>
      </c>
      <c r="F25" s="16">
        <v>0.12</v>
      </c>
      <c r="G25" s="20">
        <f>Submetering!F25+Submetering!G24</f>
        <v>13.62521191682243</v>
      </c>
      <c r="H25" s="16">
        <v>0.71</v>
      </c>
      <c r="I25" s="20">
        <f>Submetering!J25+Submetering!I25+Submetering!H25</f>
        <v>40.835448657600004</v>
      </c>
      <c r="J25" s="16">
        <v>2.3196172978505634</v>
      </c>
      <c r="K25" s="20">
        <f>Submetering!K25</f>
        <v>10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5</v>
      </c>
      <c r="D26" s="9">
        <v>2020</v>
      </c>
      <c r="E26" s="20">
        <f>Submetering!E26</f>
        <v>6594.75</v>
      </c>
      <c r="F26" s="16">
        <v>0.12</v>
      </c>
      <c r="G26" s="20">
        <f>Submetering!F26+Submetering!G25</f>
        <v>15.026320512710283</v>
      </c>
      <c r="H26" s="16">
        <v>0.71</v>
      </c>
      <c r="I26" s="20">
        <f>Submetering!J26+Submetering!I26+Submetering!H26</f>
        <v>54.494751038499999</v>
      </c>
      <c r="J26" s="16">
        <v>2.3196172978505634</v>
      </c>
      <c r="K26" s="20">
        <f>Submetering!K26</f>
        <v>9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5</v>
      </c>
      <c r="D27" s="9">
        <v>2020</v>
      </c>
      <c r="E27" s="20">
        <f>Submetering!E27</f>
        <v>6756.75</v>
      </c>
      <c r="F27" s="16">
        <v>0.12</v>
      </c>
      <c r="G27" s="20">
        <f>Submetering!F27+Submetering!G26</f>
        <v>14.852993474766356</v>
      </c>
      <c r="H27" s="16">
        <v>0.71</v>
      </c>
      <c r="I27" s="20">
        <f>Submetering!J27+Submetering!I27+Submetering!H27</f>
        <v>47.188986070599995</v>
      </c>
      <c r="J27" s="16">
        <v>2.3196172978505634</v>
      </c>
      <c r="K27" s="20">
        <f>Submetering!K27</f>
        <v>15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5</v>
      </c>
      <c r="D28" s="9">
        <v>2020</v>
      </c>
      <c r="E28" s="20">
        <f>Submetering!E28</f>
        <v>0</v>
      </c>
      <c r="F28" s="16">
        <v>0.12</v>
      </c>
      <c r="G28" s="20">
        <f>Submetering!F28+Submetering!G27</f>
        <v>15.498477521214955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5</v>
      </c>
      <c r="D29" s="9">
        <v>2020</v>
      </c>
      <c r="E29" s="20">
        <f>Submetering!E29</f>
        <v>0</v>
      </c>
      <c r="F29" s="16">
        <v>0.12</v>
      </c>
      <c r="G29" s="20">
        <f>Submetering!F29+Submetering!G28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5</v>
      </c>
      <c r="D30" s="9">
        <v>2020</v>
      </c>
      <c r="E30" s="20">
        <f>Submetering!E30</f>
        <v>0</v>
      </c>
      <c r="F30" s="16">
        <v>0.12</v>
      </c>
      <c r="G30" s="20">
        <f>Submetering!F30+Submetering!G29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5</v>
      </c>
      <c r="D31" s="9">
        <v>2020</v>
      </c>
      <c r="E31" s="20">
        <f>Submetering!E31</f>
        <v>0</v>
      </c>
      <c r="F31" s="16">
        <v>0.12</v>
      </c>
      <c r="G31" s="20">
        <f>Submetering!F31+Submetering!G30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1"/>
  <sheetViews>
    <sheetView tabSelected="1" workbookViewId="0">
      <pane xSplit="2" ySplit="1" topLeftCell="E8" activePane="bottomRight" state="frozen"/>
      <selection pane="topRight" activeCell="C1" sqref="C1"/>
      <selection pane="bottomLeft" activeCell="A2" sqref="A2"/>
      <selection pane="bottomRight" activeCell="K28" sqref="K28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5</v>
      </c>
      <c r="D2" s="6">
        <v>2020</v>
      </c>
      <c r="E2" s="20">
        <v>4245.75</v>
      </c>
      <c r="F2" s="20">
        <v>66.000000000000014</v>
      </c>
      <c r="G2" s="20">
        <v>0</v>
      </c>
      <c r="H2" s="20">
        <v>0.41199999999999998</v>
      </c>
      <c r="I2" s="20">
        <v>6</v>
      </c>
      <c r="J2" s="20">
        <v>18.3995016611</v>
      </c>
      <c r="K2" s="20">
        <v>4</v>
      </c>
    </row>
    <row r="3" spans="1:12" x14ac:dyDescent="0.25">
      <c r="A3" s="17" t="s">
        <v>32</v>
      </c>
      <c r="B3" s="6">
        <f>B2+1</f>
        <v>2</v>
      </c>
      <c r="C3" s="6">
        <v>5</v>
      </c>
      <c r="D3" s="6">
        <v>2020</v>
      </c>
      <c r="E3" s="20">
        <v>4050</v>
      </c>
      <c r="F3" s="20">
        <v>70</v>
      </c>
      <c r="G3" s="20">
        <v>0</v>
      </c>
      <c r="H3" s="20">
        <v>0.432</v>
      </c>
      <c r="I3" s="20">
        <v>8</v>
      </c>
      <c r="J3" s="20">
        <v>13.6004983389</v>
      </c>
      <c r="K3" s="20">
        <v>4</v>
      </c>
    </row>
    <row r="4" spans="1:12" x14ac:dyDescent="0.25">
      <c r="A4" s="17" t="s">
        <v>32</v>
      </c>
      <c r="B4" s="6">
        <f t="shared" ref="B4:B31" si="0">B3+1</f>
        <v>3</v>
      </c>
      <c r="C4" s="6">
        <v>5</v>
      </c>
      <c r="D4" s="6">
        <v>2020</v>
      </c>
      <c r="E4" s="20">
        <v>4241.25</v>
      </c>
      <c r="F4" s="20">
        <v>50</v>
      </c>
      <c r="G4" s="20">
        <v>0</v>
      </c>
      <c r="H4" s="20">
        <v>0.52900000000000003</v>
      </c>
      <c r="I4" s="20">
        <v>7</v>
      </c>
      <c r="J4" s="20">
        <v>15.412849162000001</v>
      </c>
      <c r="K4" s="20">
        <v>3</v>
      </c>
    </row>
    <row r="5" spans="1:12" x14ac:dyDescent="0.25">
      <c r="A5" s="17" t="s">
        <v>32</v>
      </c>
      <c r="B5" s="6">
        <f t="shared" si="0"/>
        <v>4</v>
      </c>
      <c r="C5" s="6">
        <v>5</v>
      </c>
      <c r="D5" s="6">
        <v>2020</v>
      </c>
      <c r="E5" s="20">
        <v>4371.75</v>
      </c>
      <c r="F5" s="20">
        <v>22.000000000000004</v>
      </c>
      <c r="G5" s="20">
        <v>0</v>
      </c>
      <c r="H5" s="20">
        <v>0.64200000000000002</v>
      </c>
      <c r="I5" s="20">
        <v>7</v>
      </c>
      <c r="J5" s="20">
        <v>14.995268087099999</v>
      </c>
      <c r="K5" s="20">
        <v>7</v>
      </c>
    </row>
    <row r="6" spans="1:12" x14ac:dyDescent="0.25">
      <c r="A6" s="17" t="s">
        <v>32</v>
      </c>
      <c r="B6" s="6">
        <f t="shared" si="0"/>
        <v>5</v>
      </c>
      <c r="C6" s="6">
        <v>5</v>
      </c>
      <c r="D6" s="6">
        <v>2020</v>
      </c>
      <c r="E6" s="20">
        <v>4619.25</v>
      </c>
      <c r="F6" s="20">
        <v>0</v>
      </c>
      <c r="G6" s="20">
        <v>0</v>
      </c>
      <c r="H6" s="20">
        <v>0.6</v>
      </c>
      <c r="I6" s="20">
        <v>6</v>
      </c>
      <c r="J6" s="20">
        <v>16.5918827508</v>
      </c>
      <c r="K6" s="20">
        <v>5</v>
      </c>
    </row>
    <row r="7" spans="1:12" x14ac:dyDescent="0.25">
      <c r="A7" s="17" t="s">
        <v>32</v>
      </c>
      <c r="B7" s="6">
        <f t="shared" si="0"/>
        <v>6</v>
      </c>
      <c r="C7" s="6">
        <v>5</v>
      </c>
      <c r="D7" s="6">
        <v>2020</v>
      </c>
      <c r="E7" s="20">
        <v>4783.5</v>
      </c>
      <c r="F7" s="20">
        <v>0</v>
      </c>
      <c r="G7" s="20">
        <v>0</v>
      </c>
      <c r="H7" s="20">
        <v>0.58099999999999996</v>
      </c>
      <c r="I7" s="20">
        <v>9</v>
      </c>
      <c r="J7" s="20">
        <v>17</v>
      </c>
      <c r="K7" s="20">
        <v>3</v>
      </c>
    </row>
    <row r="8" spans="1:12" x14ac:dyDescent="0.25">
      <c r="A8" s="17" t="s">
        <v>32</v>
      </c>
      <c r="B8" s="6">
        <f t="shared" si="0"/>
        <v>7</v>
      </c>
      <c r="C8" s="6">
        <v>5</v>
      </c>
      <c r="D8" s="6">
        <v>2020</v>
      </c>
      <c r="E8" s="20">
        <v>4855.5</v>
      </c>
      <c r="F8" s="20">
        <v>0</v>
      </c>
      <c r="G8" s="20">
        <v>0</v>
      </c>
      <c r="H8" s="20">
        <v>0.46300000000000002</v>
      </c>
      <c r="I8" s="20">
        <v>7</v>
      </c>
      <c r="J8" s="20">
        <v>16.412132753000002</v>
      </c>
      <c r="K8" s="20">
        <v>3</v>
      </c>
    </row>
    <row r="9" spans="1:12" x14ac:dyDescent="0.25">
      <c r="A9" s="17" t="s">
        <v>32</v>
      </c>
      <c r="B9" s="6">
        <f t="shared" si="0"/>
        <v>8</v>
      </c>
      <c r="C9" s="6">
        <v>5</v>
      </c>
      <c r="D9" s="6">
        <v>2020</v>
      </c>
      <c r="E9" s="20">
        <v>4911.75</v>
      </c>
      <c r="F9" s="20">
        <v>0</v>
      </c>
      <c r="G9" s="20">
        <v>0</v>
      </c>
      <c r="H9" s="20">
        <v>6.1509999999999998</v>
      </c>
      <c r="I9" s="6">
        <v>10</v>
      </c>
      <c r="J9" s="20">
        <v>21.587867246999998</v>
      </c>
      <c r="K9" s="20">
        <v>3</v>
      </c>
    </row>
    <row r="10" spans="1:12" x14ac:dyDescent="0.25">
      <c r="A10" s="17" t="s">
        <v>32</v>
      </c>
      <c r="B10" s="6">
        <f t="shared" si="0"/>
        <v>9</v>
      </c>
      <c r="C10" s="6">
        <v>5</v>
      </c>
      <c r="D10" s="6">
        <v>2020</v>
      </c>
      <c r="E10" s="20">
        <v>4830.75</v>
      </c>
      <c r="F10" s="20">
        <v>0</v>
      </c>
      <c r="G10" s="20">
        <v>0</v>
      </c>
      <c r="H10" s="20">
        <v>3.0179999999999998</v>
      </c>
      <c r="I10" s="6">
        <v>12</v>
      </c>
      <c r="J10" s="20">
        <v>18</v>
      </c>
      <c r="K10" s="20">
        <v>4</v>
      </c>
    </row>
    <row r="11" spans="1:12" x14ac:dyDescent="0.25">
      <c r="A11" s="17" t="s">
        <v>32</v>
      </c>
      <c r="B11" s="6">
        <f t="shared" si="0"/>
        <v>10</v>
      </c>
      <c r="C11" s="6">
        <v>5</v>
      </c>
      <c r="D11" s="6">
        <v>2020</v>
      </c>
      <c r="E11" s="20">
        <v>5019.75</v>
      </c>
      <c r="F11" s="20">
        <v>0</v>
      </c>
      <c r="G11" s="20">
        <v>0</v>
      </c>
      <c r="H11" s="20">
        <v>1.054</v>
      </c>
      <c r="I11" s="6">
        <v>11</v>
      </c>
      <c r="J11" s="20">
        <v>16.411960132899999</v>
      </c>
      <c r="K11" s="20">
        <v>5</v>
      </c>
    </row>
    <row r="12" spans="1:12" x14ac:dyDescent="0.25">
      <c r="A12" s="17" t="s">
        <v>32</v>
      </c>
      <c r="B12" s="6">
        <f t="shared" si="0"/>
        <v>11</v>
      </c>
      <c r="C12" s="6">
        <v>5</v>
      </c>
      <c r="D12" s="6">
        <v>2020</v>
      </c>
      <c r="E12" s="20">
        <v>5859</v>
      </c>
      <c r="F12" s="20">
        <v>11</v>
      </c>
      <c r="G12" s="20">
        <v>0</v>
      </c>
      <c r="H12" s="20">
        <v>1.0669999999999999</v>
      </c>
      <c r="I12" s="20">
        <v>19</v>
      </c>
      <c r="J12" s="20">
        <v>40.005323817700003</v>
      </c>
      <c r="K12" s="20">
        <v>3</v>
      </c>
    </row>
    <row r="13" spans="1:12" x14ac:dyDescent="0.25">
      <c r="A13" s="17" t="s">
        <v>32</v>
      </c>
      <c r="B13" s="6">
        <f t="shared" si="0"/>
        <v>12</v>
      </c>
      <c r="C13" s="6">
        <v>5</v>
      </c>
      <c r="D13" s="6">
        <v>2020</v>
      </c>
      <c r="E13" s="20">
        <v>5739.75</v>
      </c>
      <c r="F13" s="20">
        <v>12.000000000000002</v>
      </c>
      <c r="G13" s="20">
        <v>0</v>
      </c>
      <c r="H13" s="20">
        <v>0.81100000000000005</v>
      </c>
      <c r="I13" s="20">
        <v>17</v>
      </c>
      <c r="J13" s="20">
        <v>19.582716049399998</v>
      </c>
      <c r="K13" s="20">
        <v>9</v>
      </c>
    </row>
    <row r="14" spans="1:12" x14ac:dyDescent="0.25">
      <c r="A14" s="17" t="s">
        <v>32</v>
      </c>
      <c r="B14" s="6">
        <f t="shared" si="0"/>
        <v>13</v>
      </c>
      <c r="C14" s="6">
        <v>5</v>
      </c>
      <c r="D14" s="6">
        <v>2020</v>
      </c>
      <c r="E14" s="20">
        <v>5555.25</v>
      </c>
      <c r="F14" s="20">
        <v>151.00000000000003</v>
      </c>
      <c r="G14" s="20">
        <v>0</v>
      </c>
      <c r="H14" s="20">
        <v>0.96799999999999997</v>
      </c>
      <c r="I14" s="20">
        <v>17</v>
      </c>
      <c r="J14" s="20">
        <v>18.411499436300002</v>
      </c>
      <c r="K14" s="20">
        <v>9</v>
      </c>
    </row>
    <row r="15" spans="1:12" x14ac:dyDescent="0.25">
      <c r="A15" s="17" t="s">
        <v>32</v>
      </c>
      <c r="B15" s="6">
        <f t="shared" si="0"/>
        <v>14</v>
      </c>
      <c r="C15" s="6">
        <v>5</v>
      </c>
      <c r="D15" s="6">
        <v>2020</v>
      </c>
      <c r="E15" s="20">
        <v>5548.5</v>
      </c>
      <c r="F15" s="20">
        <v>240.73318632897198</v>
      </c>
      <c r="G15" s="20">
        <v>0</v>
      </c>
      <c r="H15" s="20">
        <v>0.76800000000000002</v>
      </c>
      <c r="I15" s="20">
        <v>16</v>
      </c>
      <c r="J15" s="20">
        <v>20.003512801900001</v>
      </c>
      <c r="K15" s="20">
        <v>6</v>
      </c>
    </row>
    <row r="16" spans="1:12" x14ac:dyDescent="0.25">
      <c r="A16" s="17" t="s">
        <v>32</v>
      </c>
      <c r="B16" s="6">
        <f t="shared" si="0"/>
        <v>15</v>
      </c>
      <c r="C16" s="6">
        <v>5</v>
      </c>
      <c r="D16" s="6">
        <v>2020</v>
      </c>
      <c r="E16" s="20">
        <v>5604.75</v>
      </c>
      <c r="F16" s="20">
        <v>69.266813671401877</v>
      </c>
      <c r="G16" s="20">
        <v>2</v>
      </c>
      <c r="H16" s="20">
        <v>1.5529999999999999</v>
      </c>
      <c r="I16" s="20">
        <v>17</v>
      </c>
      <c r="J16" s="20">
        <v>21.9973327449</v>
      </c>
      <c r="K16" s="20">
        <v>7</v>
      </c>
    </row>
    <row r="17" spans="1:11" x14ac:dyDescent="0.25">
      <c r="A17" s="17" t="s">
        <v>32</v>
      </c>
      <c r="B17" s="6">
        <f t="shared" si="0"/>
        <v>16</v>
      </c>
      <c r="C17" s="6">
        <v>5</v>
      </c>
      <c r="D17" s="6">
        <v>2020</v>
      </c>
      <c r="E17" s="20">
        <v>5591.25</v>
      </c>
      <c r="F17" s="20">
        <v>0</v>
      </c>
      <c r="G17" s="20">
        <v>1.4581451118130841</v>
      </c>
      <c r="H17" s="20">
        <v>1</v>
      </c>
      <c r="I17" s="20">
        <v>19</v>
      </c>
      <c r="J17" s="20">
        <v>20.587655016900001</v>
      </c>
      <c r="K17" s="20">
        <v>8</v>
      </c>
    </row>
    <row r="18" spans="1:11" x14ac:dyDescent="0.25">
      <c r="A18" s="17" t="s">
        <v>32</v>
      </c>
      <c r="B18" s="6">
        <f t="shared" si="0"/>
        <v>17</v>
      </c>
      <c r="C18" s="6">
        <v>5</v>
      </c>
      <c r="D18" s="6">
        <v>2020</v>
      </c>
      <c r="E18" s="20">
        <v>5901.75</v>
      </c>
      <c r="F18" s="20">
        <v>0</v>
      </c>
      <c r="G18" s="20">
        <v>0.54185488818224303</v>
      </c>
      <c r="H18" s="20">
        <v>1.2470000000000001</v>
      </c>
      <c r="I18" s="20">
        <v>15</v>
      </c>
      <c r="J18" s="20">
        <v>20.4195938529</v>
      </c>
      <c r="K18" s="20">
        <v>3</v>
      </c>
    </row>
    <row r="19" spans="1:11" x14ac:dyDescent="0.25">
      <c r="A19" s="17" t="s">
        <v>32</v>
      </c>
      <c r="B19" s="6">
        <f t="shared" si="0"/>
        <v>18</v>
      </c>
      <c r="C19" s="6">
        <v>5</v>
      </c>
      <c r="D19" s="6">
        <v>2020</v>
      </c>
      <c r="E19" s="20">
        <v>6045.75</v>
      </c>
      <c r="F19" s="20">
        <v>0</v>
      </c>
      <c r="G19" s="20">
        <v>11.233486660560748</v>
      </c>
      <c r="H19" s="20">
        <v>0.97699999999999998</v>
      </c>
      <c r="I19" s="20">
        <v>18</v>
      </c>
      <c r="J19" s="20">
        <v>21.5804061471</v>
      </c>
      <c r="K19" s="20">
        <v>4</v>
      </c>
    </row>
    <row r="20" spans="1:11" x14ac:dyDescent="0.25">
      <c r="A20" s="17" t="s">
        <v>32</v>
      </c>
      <c r="B20" s="6">
        <f t="shared" si="0"/>
        <v>19</v>
      </c>
      <c r="C20" s="6">
        <v>5</v>
      </c>
      <c r="D20" s="6">
        <v>2020</v>
      </c>
      <c r="E20" s="20">
        <v>6365.25</v>
      </c>
      <c r="F20" s="20">
        <v>0</v>
      </c>
      <c r="G20" s="20">
        <v>15.914346936728974</v>
      </c>
      <c r="H20" s="20">
        <v>1.204</v>
      </c>
      <c r="I20" s="20">
        <v>11</v>
      </c>
      <c r="J20" s="20">
        <v>20.406423034300001</v>
      </c>
      <c r="K20" s="20">
        <v>9</v>
      </c>
    </row>
    <row r="21" spans="1:11" x14ac:dyDescent="0.25">
      <c r="A21" s="17" t="s">
        <v>32</v>
      </c>
      <c r="B21" s="6">
        <f t="shared" si="0"/>
        <v>20</v>
      </c>
      <c r="C21" s="6">
        <v>5</v>
      </c>
      <c r="D21" s="6">
        <v>2020</v>
      </c>
      <c r="E21" s="20">
        <v>6680.25</v>
      </c>
      <c r="F21" s="20">
        <v>0</v>
      </c>
      <c r="G21" s="20">
        <v>14.005301901121495</v>
      </c>
      <c r="H21" s="20">
        <v>1.2529999999999999</v>
      </c>
      <c r="I21" s="20">
        <v>17</v>
      </c>
      <c r="J21" s="20">
        <v>21.593576965699999</v>
      </c>
      <c r="K21" s="20">
        <v>12</v>
      </c>
    </row>
    <row r="22" spans="1:11" x14ac:dyDescent="0.25">
      <c r="A22" s="17" t="s">
        <v>32</v>
      </c>
      <c r="B22" s="6">
        <f t="shared" si="0"/>
        <v>21</v>
      </c>
      <c r="C22" s="6">
        <v>5</v>
      </c>
      <c r="D22" s="6">
        <v>2020</v>
      </c>
      <c r="E22" s="20">
        <v>6599.25</v>
      </c>
      <c r="F22" s="20">
        <v>0</v>
      </c>
      <c r="G22" s="20">
        <v>9.2899411399626182</v>
      </c>
      <c r="H22" s="20">
        <v>1.454</v>
      </c>
      <c r="I22" s="20">
        <v>16</v>
      </c>
      <c r="J22" s="20">
        <v>22.416112956799999</v>
      </c>
      <c r="K22" s="20">
        <v>15</v>
      </c>
    </row>
    <row r="23" spans="1:11" x14ac:dyDescent="0.25">
      <c r="A23" s="17" t="s">
        <v>32</v>
      </c>
      <c r="B23" s="6">
        <f t="shared" si="0"/>
        <v>22</v>
      </c>
      <c r="C23" s="6">
        <v>5</v>
      </c>
      <c r="D23" s="6">
        <v>2020</v>
      </c>
      <c r="E23" s="20">
        <v>6957</v>
      </c>
      <c r="F23" s="20">
        <v>0</v>
      </c>
      <c r="G23" s="20">
        <v>12.226838798130842</v>
      </c>
      <c r="H23" s="20">
        <v>1.2989999999999999</v>
      </c>
      <c r="I23" s="20">
        <v>21</v>
      </c>
      <c r="J23" s="20">
        <v>27.0020045622</v>
      </c>
      <c r="K23" s="20">
        <v>25</v>
      </c>
    </row>
    <row r="24" spans="1:11" x14ac:dyDescent="0.25">
      <c r="A24" s="17" t="s">
        <v>32</v>
      </c>
      <c r="B24" s="6">
        <f t="shared" si="0"/>
        <v>23</v>
      </c>
      <c r="C24" s="6">
        <v>5</v>
      </c>
      <c r="D24" s="6">
        <v>2020</v>
      </c>
      <c r="E24" s="20">
        <v>6738.75</v>
      </c>
      <c r="F24" s="20">
        <v>0</v>
      </c>
      <c r="G24" s="20">
        <v>13.62521191682243</v>
      </c>
      <c r="H24" s="20">
        <v>1.4510000000000001</v>
      </c>
      <c r="I24" s="20">
        <v>24</v>
      </c>
      <c r="J24" s="20">
        <v>22.998433823300001</v>
      </c>
      <c r="K24" s="20">
        <v>21</v>
      </c>
    </row>
    <row r="25" spans="1:11" x14ac:dyDescent="0.25">
      <c r="A25" s="17" t="s">
        <v>32</v>
      </c>
      <c r="B25" s="6">
        <f t="shared" si="0"/>
        <v>24</v>
      </c>
      <c r="C25" s="6">
        <v>5</v>
      </c>
      <c r="D25" s="6">
        <v>2020</v>
      </c>
      <c r="E25" s="20">
        <v>6639.75</v>
      </c>
      <c r="F25" s="20">
        <v>0</v>
      </c>
      <c r="G25" s="20">
        <v>15.026320512710283</v>
      </c>
      <c r="H25" s="20">
        <v>1.252</v>
      </c>
      <c r="I25" s="20">
        <v>19</v>
      </c>
      <c r="J25" s="20">
        <v>20.583448657600002</v>
      </c>
      <c r="K25" s="20">
        <v>10</v>
      </c>
    </row>
    <row r="26" spans="1:11" x14ac:dyDescent="0.25">
      <c r="A26" s="17" t="s">
        <v>32</v>
      </c>
      <c r="B26" s="6">
        <f>B25+1</f>
        <v>25</v>
      </c>
      <c r="C26" s="6">
        <v>5</v>
      </c>
      <c r="D26" s="6">
        <v>2020</v>
      </c>
      <c r="E26" s="20">
        <v>6594.75</v>
      </c>
      <c r="F26" s="20">
        <v>0</v>
      </c>
      <c r="G26" s="20">
        <v>14.852993474766356</v>
      </c>
      <c r="H26" s="20">
        <v>4.0860000000000003</v>
      </c>
      <c r="I26" s="20">
        <v>27</v>
      </c>
      <c r="J26" s="20">
        <v>23.4087510385</v>
      </c>
      <c r="K26" s="20">
        <v>9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5</v>
      </c>
      <c r="D27" s="6">
        <v>2020</v>
      </c>
      <c r="E27" s="20">
        <v>6756.75</v>
      </c>
      <c r="F27" s="20">
        <v>0</v>
      </c>
      <c r="G27" s="20">
        <v>15.498477521214955</v>
      </c>
      <c r="H27" s="20">
        <v>3.181</v>
      </c>
      <c r="I27" s="20">
        <v>19</v>
      </c>
      <c r="J27" s="20">
        <v>25.007986070600001</v>
      </c>
      <c r="K27" s="20">
        <v>15</v>
      </c>
    </row>
    <row r="28" spans="1:11" x14ac:dyDescent="0.25">
      <c r="A28" s="17" t="s">
        <v>32</v>
      </c>
      <c r="B28" s="6">
        <f t="shared" si="0"/>
        <v>27</v>
      </c>
      <c r="C28" s="6">
        <v>5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5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5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5</v>
      </c>
      <c r="D31" s="6">
        <v>2020</v>
      </c>
      <c r="K31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Sheet1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2020-05-27T07:02:32Z</dcterms:modified>
</cp:coreProperties>
</file>