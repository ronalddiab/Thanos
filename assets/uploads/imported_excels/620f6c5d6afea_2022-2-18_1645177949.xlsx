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89C9B8E0-0D1D-43E1-9A4E-BFAF97E07B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January 202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8" i="2" l="1"/>
  <c r="O38" i="2"/>
  <c r="M38" i="2"/>
  <c r="K38" i="2"/>
  <c r="I38" i="2"/>
  <c r="G38" i="2"/>
  <c r="E38" i="2"/>
  <c r="C38" i="2"/>
  <c r="R41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9" i="2"/>
  <c r="O39" i="2"/>
  <c r="M39" i="2"/>
  <c r="K39" i="2"/>
  <c r="I39" i="2"/>
  <c r="G39" i="2"/>
  <c r="E39" i="2"/>
  <c r="G31" i="1" s="1"/>
  <c r="C39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K4" i="1" l="1"/>
  <c r="K10" i="1"/>
  <c r="K13" i="1"/>
  <c r="K16" i="1"/>
  <c r="K25" i="1"/>
  <c r="K28" i="1"/>
  <c r="K22" i="1"/>
  <c r="K21" i="1"/>
  <c r="K15" i="1"/>
  <c r="K3" i="1"/>
  <c r="M41" i="2"/>
  <c r="K9" i="1"/>
  <c r="I4" i="1"/>
  <c r="I10" i="1"/>
  <c r="I13" i="1"/>
  <c r="I16" i="1"/>
  <c r="I19" i="1"/>
  <c r="I22" i="1"/>
  <c r="I28" i="1"/>
  <c r="I31" i="1"/>
  <c r="O41" i="2"/>
  <c r="I5" i="1"/>
  <c r="I8" i="1"/>
  <c r="I11" i="1"/>
  <c r="I14" i="1"/>
  <c r="I17" i="1"/>
  <c r="I20" i="1"/>
  <c r="I23" i="1"/>
  <c r="I26" i="1"/>
  <c r="I29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<sst xmlns="http://schemas.openxmlformats.org/spreadsheetml/2006/main" count="72" uniqueCount="35">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</sst>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workbookViewId="0">
      <selection activeCell="L4" sqref="L4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</v>
      </c>
      <c r="D2" s="2">
        <v>2022</v>
      </c>
      <c r="E2" s="4">
        <f>IF('January 2022'!C9&gt;0,'January 2022'!C9,0)</f>
        <v>7500</v>
      </c>
      <c r="F2" s="9">
        <v>0.14000000000000001</v>
      </c>
      <c r="G2" s="4">
        <f>IF('January 2022'!E9&gt;0,'January 2022'!E9,0)</f>
        <v>16.751999999999999</v>
      </c>
      <c r="H2" s="10">
        <v>2.06</v>
      </c>
      <c r="I2" s="4">
        <f>IF(('January 2022'!I9+'January 2022'!O9)&gt;0,('January 2022'!I9+'January 2022'!O9),0)</f>
        <v>11410</v>
      </c>
      <c r="J2" s="10">
        <v>0.04</v>
      </c>
      <c r="K2" s="4">
        <f>IF(('January 2022'!G9+'January 2022'!M9)&gt;0,('January 2022'!G9+'January 2022'!M9),0)</f>
        <v>14.700000000000001</v>
      </c>
      <c r="L2" s="10">
        <v>41.08</v>
      </c>
      <c r="M2" s="4">
        <f>'January 2022'!R9</f>
        <v>58</v>
      </c>
    </row>
    <row r="3" spans="1:25" x14ac:dyDescent="0.25">
      <c r="A3" s="3" t="s">
        <v>7</v>
      </c>
      <c r="B3" s="2">
        <f>B2+1</f>
        <v>2</v>
      </c>
      <c r="C3" s="14">
        <v>1</v>
      </c>
      <c r="D3" s="14">
        <v>2022</v>
      </c>
      <c r="E3" s="4">
        <f>IF('January 2022'!C10&gt;0,'January 2022'!C10,0)</f>
        <v>4500</v>
      </c>
      <c r="F3" s="9">
        <v>0.14000000000000001</v>
      </c>
      <c r="G3" s="4">
        <f>IF('January 2022'!E10&gt;0,'January 2022'!E10,0)</f>
        <v>9.423</v>
      </c>
      <c r="H3" s="14">
        <v>2.06</v>
      </c>
      <c r="I3" s="4">
        <f>IF(('January 2022'!I10+'January 2022'!O10)&gt;0,('January 2022'!I10+'January 2022'!O10),0)</f>
        <v>6673</v>
      </c>
      <c r="J3" s="10">
        <v>0.04</v>
      </c>
      <c r="K3" s="4">
        <f>IF(('January 2022'!G10+'January 2022'!M10)&gt;0,('January 2022'!G10+'January 2022'!M10),0)</f>
        <v>8</v>
      </c>
      <c r="L3" s="14">
        <v>41.08</v>
      </c>
      <c r="M3" s="4">
        <f>'January 2022'!R10</f>
        <v>41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</v>
      </c>
      <c r="D4" s="14">
        <v>2022</v>
      </c>
      <c r="E4" s="4">
        <f>IF('January 2022'!C11&gt;0,'January 2022'!C11,0)</f>
        <v>5400</v>
      </c>
      <c r="F4" s="9">
        <v>0.14000000000000001</v>
      </c>
      <c r="G4" s="4">
        <f>IF('January 2022'!E11&gt;0,'January 2022'!E11,0)</f>
        <v>11.516999999999999</v>
      </c>
      <c r="H4" s="14">
        <v>2.06</v>
      </c>
      <c r="I4" s="4">
        <f>IF(('January 2022'!I11+'January 2022'!O11)&gt;0,('January 2022'!I11+'January 2022'!O11),0)</f>
        <v>7438</v>
      </c>
      <c r="J4" s="10">
        <v>0.04</v>
      </c>
      <c r="K4" s="4">
        <f>IF(('January 2022'!G11+'January 2022'!M11)&gt;0,('January 2022'!G11+'January 2022'!M11),0)</f>
        <v>9.5</v>
      </c>
      <c r="L4" s="14">
        <v>41.08</v>
      </c>
      <c r="M4" s="4">
        <f>'January 2022'!R11</f>
        <v>36</v>
      </c>
    </row>
    <row r="5" spans="1:25" x14ac:dyDescent="0.25">
      <c r="A5" s="3" t="s">
        <v>7</v>
      </c>
      <c r="B5" s="2">
        <f t="shared" si="0"/>
        <v>4</v>
      </c>
      <c r="C5" s="14">
        <v>1</v>
      </c>
      <c r="D5" s="14">
        <v>2022</v>
      </c>
      <c r="E5" s="4">
        <f>IF('January 2022'!C12&gt;0,'January 2022'!C12,0)</f>
        <v>5700</v>
      </c>
      <c r="F5" s="9">
        <v>0.14000000000000001</v>
      </c>
      <c r="G5" s="4">
        <f>IF('January 2022'!E12&gt;0,'January 2022'!E12,0)</f>
        <v>12.564</v>
      </c>
      <c r="H5" s="14">
        <v>2.06</v>
      </c>
      <c r="I5" s="4">
        <f>IF(('January 2022'!I12+'January 2022'!O12)&gt;0,('January 2022'!I12+'January 2022'!O12),0)</f>
        <v>11892</v>
      </c>
      <c r="J5" s="10">
        <v>0.04</v>
      </c>
      <c r="K5" s="4">
        <f>IF(('January 2022'!G12+'January 2022'!M12)&gt;0,('January 2022'!G12+'January 2022'!M12),0)</f>
        <v>9.7000000000000011</v>
      </c>
      <c r="L5" s="14">
        <v>41.08</v>
      </c>
      <c r="M5" s="4">
        <f>'January 2022'!R12</f>
        <v>29</v>
      </c>
    </row>
    <row r="6" spans="1:25" x14ac:dyDescent="0.25">
      <c r="A6" s="3" t="s">
        <v>7</v>
      </c>
      <c r="B6" s="2">
        <f t="shared" si="0"/>
        <v>5</v>
      </c>
      <c r="C6" s="14">
        <v>1</v>
      </c>
      <c r="D6" s="14">
        <v>2022</v>
      </c>
      <c r="E6" s="4">
        <f>IF('January 2022'!C13&gt;0,'January 2022'!C13,0)</f>
        <v>3900</v>
      </c>
      <c r="F6" s="9">
        <v>0.14000000000000001</v>
      </c>
      <c r="G6" s="4">
        <f>IF('January 2022'!E13&gt;0,'January 2022'!E13,0)</f>
        <v>9.423</v>
      </c>
      <c r="H6" s="14">
        <v>2.06</v>
      </c>
      <c r="I6" s="4">
        <f>IF(('January 2022'!I13+'January 2022'!O13)&gt;0,('January 2022'!I13+'January 2022'!O13),0)</f>
        <v>4447</v>
      </c>
      <c r="J6" s="10">
        <v>0.04</v>
      </c>
      <c r="K6" s="4">
        <f>IF(('January 2022'!G13+'January 2022'!M13)&gt;0,('January 2022'!G13+'January 2022'!M13),0)</f>
        <v>6.5</v>
      </c>
      <c r="L6" s="14">
        <v>41.08</v>
      </c>
      <c r="M6" s="4">
        <f>'January 2022'!R13</f>
        <v>30</v>
      </c>
    </row>
    <row r="7" spans="1:25" x14ac:dyDescent="0.25">
      <c r="A7" s="3" t="s">
        <v>7</v>
      </c>
      <c r="B7" s="2">
        <f t="shared" si="0"/>
        <v>6</v>
      </c>
      <c r="C7" s="14">
        <v>1</v>
      </c>
      <c r="D7" s="14">
        <v>2022</v>
      </c>
      <c r="E7" s="4">
        <f>IF('January 2022'!C14&gt;0,'January 2022'!C14,0)</f>
        <v>5400</v>
      </c>
      <c r="F7" s="9">
        <v>0.14000000000000001</v>
      </c>
      <c r="G7" s="4">
        <f>IF('January 2022'!E14&gt;0,'January 2022'!E14,0)</f>
        <v>10.469999999999999</v>
      </c>
      <c r="H7" s="14">
        <v>2.06</v>
      </c>
      <c r="I7" s="4">
        <f>IF(('January 2022'!I14+'January 2022'!O14)&gt;0,('January 2022'!I14+'January 2022'!O14),0)</f>
        <v>6895</v>
      </c>
      <c r="J7" s="10">
        <v>0.04</v>
      </c>
      <c r="K7" s="4">
        <f>IF(('January 2022'!G14+'January 2022'!M14)&gt;0,('January 2022'!G14+'January 2022'!M14),0)</f>
        <v>8</v>
      </c>
      <c r="L7" s="14">
        <v>41.08</v>
      </c>
      <c r="M7" s="4">
        <f>'January 2022'!R14</f>
        <v>27</v>
      </c>
    </row>
    <row r="8" spans="1:25" x14ac:dyDescent="0.25">
      <c r="A8" s="3" t="s">
        <v>7</v>
      </c>
      <c r="B8" s="2">
        <f t="shared" si="0"/>
        <v>7</v>
      </c>
      <c r="C8" s="14">
        <v>1</v>
      </c>
      <c r="D8" s="14">
        <v>2022</v>
      </c>
      <c r="E8" s="4">
        <f>IF('January 2022'!C15&gt;0,'January 2022'!C15,0)</f>
        <v>5100</v>
      </c>
      <c r="F8" s="9">
        <v>0.14000000000000001</v>
      </c>
      <c r="G8" s="4">
        <f>IF('January 2022'!E15&gt;0,'January 2022'!E15,0)</f>
        <v>10.469999999999999</v>
      </c>
      <c r="H8" s="14">
        <v>2.06</v>
      </c>
      <c r="I8" s="4">
        <f>IF(('January 2022'!I15+'January 2022'!O15)&gt;0,('January 2022'!I15+'January 2022'!O15),0)</f>
        <v>5790</v>
      </c>
      <c r="J8" s="10">
        <v>0.04</v>
      </c>
      <c r="K8" s="4">
        <f>IF(('January 2022'!G15+'January 2022'!M15)&gt;0,('January 2022'!G15+'January 2022'!M15),0)</f>
        <v>8.6999999999999993</v>
      </c>
      <c r="L8" s="14">
        <v>41.08</v>
      </c>
      <c r="M8" s="4">
        <f>'January 2022'!R15</f>
        <v>25</v>
      </c>
    </row>
    <row r="9" spans="1:25" x14ac:dyDescent="0.25">
      <c r="A9" s="3" t="s">
        <v>7</v>
      </c>
      <c r="B9" s="2">
        <f t="shared" si="0"/>
        <v>8</v>
      </c>
      <c r="C9" s="14">
        <v>1</v>
      </c>
      <c r="D9" s="14">
        <v>2022</v>
      </c>
      <c r="E9" s="4">
        <f>IF('January 2022'!C16&gt;0,'January 2022'!C16,0)</f>
        <v>5400</v>
      </c>
      <c r="F9" s="9">
        <v>0.14000000000000001</v>
      </c>
      <c r="G9" s="4">
        <f>IF('January 2022'!E16&gt;0,'January 2022'!E16,0)</f>
        <v>28.268999999999998</v>
      </c>
      <c r="H9" s="14">
        <v>2.06</v>
      </c>
      <c r="I9" s="4">
        <f>IF(('January 2022'!I16+'January 2022'!O16)&gt;0,('January 2022'!I16+'January 2022'!O16),0)</f>
        <v>10970</v>
      </c>
      <c r="J9" s="10">
        <v>0.04</v>
      </c>
      <c r="K9" s="4">
        <f>IF(('January 2022'!G16+'January 2022'!M16)&gt;0,('January 2022'!G16+'January 2022'!M16),0)</f>
        <v>10.1</v>
      </c>
      <c r="L9" s="14">
        <v>41.08</v>
      </c>
      <c r="M9" s="4">
        <f>'January 2022'!R16</f>
        <v>29</v>
      </c>
    </row>
    <row r="10" spans="1:25" x14ac:dyDescent="0.25">
      <c r="A10" s="3" t="s">
        <v>7</v>
      </c>
      <c r="B10" s="2">
        <f t="shared" si="0"/>
        <v>9</v>
      </c>
      <c r="C10" s="14">
        <v>1</v>
      </c>
      <c r="D10" s="14">
        <v>2022</v>
      </c>
      <c r="E10" s="4">
        <f>IF('January 2022'!C17&gt;0,'January 2022'!C17,0)</f>
        <v>6600</v>
      </c>
      <c r="F10" s="9">
        <v>0.14000000000000001</v>
      </c>
      <c r="G10" s="4">
        <f>IF('January 2022'!E17&gt;0,'January 2022'!E17,0)</f>
        <v>19.892999999999997</v>
      </c>
      <c r="H10" s="14">
        <v>2.06</v>
      </c>
      <c r="I10" s="4">
        <f>IF(('January 2022'!I17+'January 2022'!O17)&gt;0,('January 2022'!I17+'January 2022'!O17),0)</f>
        <v>11450</v>
      </c>
      <c r="J10" s="10">
        <v>0.04</v>
      </c>
      <c r="K10" s="4">
        <f>IF(('January 2022'!G17+'January 2022'!M17)&gt;0,('January 2022'!G17+'January 2022'!M17),0)</f>
        <v>10</v>
      </c>
      <c r="L10" s="14">
        <v>41.08</v>
      </c>
      <c r="M10" s="4">
        <f>'January 2022'!R17</f>
        <v>31</v>
      </c>
    </row>
    <row r="11" spans="1:25" x14ac:dyDescent="0.25">
      <c r="A11" s="3" t="s">
        <v>7</v>
      </c>
      <c r="B11" s="2">
        <f t="shared" si="0"/>
        <v>10</v>
      </c>
      <c r="C11" s="14">
        <v>1</v>
      </c>
      <c r="D11" s="14">
        <v>2022</v>
      </c>
      <c r="E11" s="4">
        <f>IF('January 2022'!C18&gt;0,'January 2022'!C18,0)</f>
        <v>6900</v>
      </c>
      <c r="F11" s="9">
        <v>0.14000000000000001</v>
      </c>
      <c r="G11" s="4">
        <f>IF('January 2022'!E18&gt;0,'January 2022'!E18,0)</f>
        <v>13.610999999999999</v>
      </c>
      <c r="H11" s="14">
        <v>2.06</v>
      </c>
      <c r="I11" s="4">
        <f>IF(('January 2022'!I18+'January 2022'!O18)&gt;0,('January 2022'!I18+'January 2022'!O18),0)</f>
        <v>9392</v>
      </c>
      <c r="J11" s="10">
        <v>0.04</v>
      </c>
      <c r="K11" s="4">
        <f>IF(('January 2022'!G18+'January 2022'!M18)&gt;0,('January 2022'!G18+'January 2022'!M18),0)</f>
        <v>10.600000000000001</v>
      </c>
      <c r="L11" s="14">
        <v>41.08</v>
      </c>
      <c r="M11" s="4">
        <f>'January 2022'!R18</f>
        <v>23</v>
      </c>
    </row>
    <row r="12" spans="1:25" x14ac:dyDescent="0.25">
      <c r="A12" s="3" t="s">
        <v>7</v>
      </c>
      <c r="B12" s="2">
        <f t="shared" si="0"/>
        <v>11</v>
      </c>
      <c r="C12" s="14">
        <v>1</v>
      </c>
      <c r="D12" s="14">
        <v>2022</v>
      </c>
      <c r="E12" s="4">
        <f>IF('January 2022'!C19&gt;0,'January 2022'!C19,0)</f>
        <v>5400</v>
      </c>
      <c r="F12" s="9">
        <v>0.14000000000000001</v>
      </c>
      <c r="G12" s="4">
        <f>IF('January 2022'!E19&gt;0,'January 2022'!E19,0)</f>
        <v>10.469999999999999</v>
      </c>
      <c r="H12" s="14">
        <v>2.06</v>
      </c>
      <c r="I12" s="4">
        <f>IF(('January 2022'!I19+'January 2022'!O19)&gt;0,('January 2022'!I19+'January 2022'!O19),0)</f>
        <v>5628</v>
      </c>
      <c r="J12" s="10">
        <v>0.04</v>
      </c>
      <c r="K12" s="4">
        <f>IF(('January 2022'!G19+'January 2022'!M19)&gt;0,('January 2022'!G19+'January 2022'!M19),0)</f>
        <v>8.1</v>
      </c>
      <c r="L12" s="14">
        <v>41.08</v>
      </c>
      <c r="M12" s="4">
        <f>'January 2022'!R19</f>
        <v>27</v>
      </c>
    </row>
    <row r="13" spans="1:25" x14ac:dyDescent="0.25">
      <c r="A13" s="3" t="s">
        <v>7</v>
      </c>
      <c r="B13" s="2">
        <f t="shared" si="0"/>
        <v>12</v>
      </c>
      <c r="C13" s="14">
        <v>1</v>
      </c>
      <c r="D13" s="14">
        <v>2022</v>
      </c>
      <c r="E13" s="4">
        <f>IF('January 2022'!C20&gt;0,'January 2022'!C20,0)</f>
        <v>4200</v>
      </c>
      <c r="F13" s="9">
        <v>0.14000000000000001</v>
      </c>
      <c r="G13" s="4">
        <f>IF('January 2022'!E20&gt;0,'January 2022'!E20,0)</f>
        <v>6.282</v>
      </c>
      <c r="H13" s="14">
        <v>2.06</v>
      </c>
      <c r="I13" s="4">
        <f>IF(('January 2022'!I20+'January 2022'!O20)&gt;0,('January 2022'!I20+'January 2022'!O20),0)</f>
        <v>4540</v>
      </c>
      <c r="J13" s="10">
        <v>0.04</v>
      </c>
      <c r="K13" s="4">
        <f>IF(('January 2022'!G20+'January 2022'!M20)&gt;0,('January 2022'!G20+'January 2022'!M20),0)</f>
        <v>6.4</v>
      </c>
      <c r="L13" s="14">
        <v>41.08</v>
      </c>
      <c r="M13" s="4">
        <f>'January 2022'!R20</f>
        <v>28</v>
      </c>
    </row>
    <row r="14" spans="1:25" x14ac:dyDescent="0.25">
      <c r="A14" s="3" t="s">
        <v>7</v>
      </c>
      <c r="B14" s="2">
        <f t="shared" si="0"/>
        <v>13</v>
      </c>
      <c r="C14" s="14">
        <v>1</v>
      </c>
      <c r="D14" s="14">
        <v>2022</v>
      </c>
      <c r="E14" s="4">
        <f>IF('January 2022'!C21&gt;0,'January 2022'!C21,0)</f>
        <v>6000</v>
      </c>
      <c r="F14" s="9">
        <v>0.14000000000000001</v>
      </c>
      <c r="G14" s="4">
        <f>IF('January 2022'!E21&gt;0,'January 2022'!E21,0)</f>
        <v>10.469999999999999</v>
      </c>
      <c r="H14" s="14">
        <v>2.06</v>
      </c>
      <c r="I14" s="4">
        <f>IF(('January 2022'!I21+'January 2022'!O21)&gt;0,('January 2022'!I21+'January 2022'!O21),0)</f>
        <v>6755</v>
      </c>
      <c r="J14" s="10">
        <v>0.04</v>
      </c>
      <c r="K14" s="4">
        <f>IF(('January 2022'!G21+'January 2022'!M21)&gt;0,('January 2022'!G21+'January 2022'!M21),0)</f>
        <v>7.4</v>
      </c>
      <c r="L14" s="14">
        <v>41.08</v>
      </c>
      <c r="M14" s="4">
        <f>'January 2022'!R21</f>
        <v>26</v>
      </c>
    </row>
    <row r="15" spans="1:25" x14ac:dyDescent="0.25">
      <c r="A15" s="3" t="s">
        <v>7</v>
      </c>
      <c r="B15" s="2">
        <f t="shared" si="0"/>
        <v>14</v>
      </c>
      <c r="C15" s="14">
        <v>1</v>
      </c>
      <c r="D15" s="14">
        <v>2022</v>
      </c>
      <c r="E15" s="4">
        <f>IF('January 2022'!C22&gt;0,'January 2022'!C22,0)</f>
        <v>6300</v>
      </c>
      <c r="F15" s="9">
        <v>0.14000000000000001</v>
      </c>
      <c r="G15" s="4">
        <f>IF('January 2022'!E22&gt;0,'January 2022'!E22,0)</f>
        <v>11.516999999999999</v>
      </c>
      <c r="H15" s="14">
        <v>2.06</v>
      </c>
      <c r="I15" s="4">
        <f>IF(('January 2022'!I22+'January 2022'!O22)&gt;0,('January 2022'!I22+'January 2022'!O22),0)</f>
        <v>6240</v>
      </c>
      <c r="J15" s="10">
        <v>0.04</v>
      </c>
      <c r="K15" s="4">
        <f>IF(('January 2022'!G22+'January 2022'!M22)&gt;0,('January 2022'!G22+'January 2022'!M22),0)</f>
        <v>7.0000000000000009</v>
      </c>
      <c r="L15" s="14">
        <v>41.08</v>
      </c>
      <c r="M15" s="4">
        <f>'January 2022'!R22</f>
        <v>30</v>
      </c>
    </row>
    <row r="16" spans="1:25" x14ac:dyDescent="0.25">
      <c r="A16" s="3" t="s">
        <v>7</v>
      </c>
      <c r="B16" s="2">
        <f t="shared" si="0"/>
        <v>15</v>
      </c>
      <c r="C16" s="14">
        <v>1</v>
      </c>
      <c r="D16" s="14">
        <v>2022</v>
      </c>
      <c r="E16" s="4">
        <f>IF('January 2022'!C23&gt;0,'January 2022'!C23,0)</f>
        <v>6300</v>
      </c>
      <c r="F16" s="9">
        <v>0.14000000000000001</v>
      </c>
      <c r="G16" s="4">
        <f>IF('January 2022'!E23&gt;0,'January 2022'!E23,0)</f>
        <v>10.469999999999999</v>
      </c>
      <c r="H16" s="14">
        <v>2.06</v>
      </c>
      <c r="I16" s="4">
        <f>IF(('January 2022'!I23+'January 2022'!O23)&gt;0,('January 2022'!I23+'January 2022'!O23),0)</f>
        <v>6155</v>
      </c>
      <c r="J16" s="10">
        <v>0.04</v>
      </c>
      <c r="K16" s="4">
        <f>IF(('January 2022'!G23+'January 2022'!M23)&gt;0,('January 2022'!G23+'January 2022'!M23),0)</f>
        <v>7.5000000000000009</v>
      </c>
      <c r="L16" s="14">
        <v>41.08</v>
      </c>
      <c r="M16" s="4">
        <f>'January 2022'!R23</f>
        <v>27</v>
      </c>
    </row>
    <row r="17" spans="1:13" x14ac:dyDescent="0.25">
      <c r="A17" s="3" t="s">
        <v>7</v>
      </c>
      <c r="B17" s="2">
        <f t="shared" si="0"/>
        <v>16</v>
      </c>
      <c r="C17" s="14">
        <v>1</v>
      </c>
      <c r="D17" s="14">
        <v>2022</v>
      </c>
      <c r="E17" s="4">
        <f>IF('January 2022'!C24&gt;0,'January 2022'!C24,0)</f>
        <v>6600</v>
      </c>
      <c r="F17" s="9">
        <v>0.14000000000000001</v>
      </c>
      <c r="G17" s="4">
        <f>IF('January 2022'!E24&gt;0,'January 2022'!E24,0)</f>
        <v>13.610999999999999</v>
      </c>
      <c r="H17" s="14">
        <v>2.06</v>
      </c>
      <c r="I17" s="4">
        <f>IF(('January 2022'!I24+'January 2022'!O24)&gt;0,('January 2022'!I24+'January 2022'!O24),0)</f>
        <v>9533</v>
      </c>
      <c r="J17" s="10">
        <v>0.04</v>
      </c>
      <c r="K17" s="4">
        <f>IF(('January 2022'!G24+'January 2022'!M24)&gt;0,('January 2022'!G24+'January 2022'!M24),0)</f>
        <v>8.5</v>
      </c>
      <c r="L17" s="14">
        <v>41.08</v>
      </c>
      <c r="M17" s="4">
        <f>'January 2022'!R24</f>
        <v>47</v>
      </c>
    </row>
    <row r="18" spans="1:13" x14ac:dyDescent="0.25">
      <c r="A18" s="3" t="s">
        <v>7</v>
      </c>
      <c r="B18" s="2">
        <f t="shared" si="0"/>
        <v>17</v>
      </c>
      <c r="C18" s="14">
        <v>1</v>
      </c>
      <c r="D18" s="14">
        <v>2022</v>
      </c>
      <c r="E18" s="4">
        <f>IF('January 2022'!C25&gt;0,'January 2022'!C25,0)</f>
        <v>6600</v>
      </c>
      <c r="F18" s="9">
        <v>0.14000000000000001</v>
      </c>
      <c r="G18" s="4">
        <f>IF('January 2022'!E25&gt;0,'January 2022'!E25,0)</f>
        <v>16.751999999999999</v>
      </c>
      <c r="H18" s="14">
        <v>2.06</v>
      </c>
      <c r="I18" s="4">
        <f>IF(('January 2022'!I25+'January 2022'!O25)&gt;0,('January 2022'!I25+'January 2022'!O25),0)</f>
        <v>7126</v>
      </c>
      <c r="J18" s="10">
        <v>0.04</v>
      </c>
      <c r="K18" s="4">
        <f>IF(('January 2022'!G25+'January 2022'!M25)&gt;0,('January 2022'!G25+'January 2022'!M25),0)</f>
        <v>10.4</v>
      </c>
      <c r="L18" s="14">
        <v>41.08</v>
      </c>
      <c r="M18" s="4">
        <f>'January 2022'!R25</f>
        <v>31</v>
      </c>
    </row>
    <row r="19" spans="1:13" x14ac:dyDescent="0.25">
      <c r="A19" s="3" t="s">
        <v>7</v>
      </c>
      <c r="B19" s="2">
        <f t="shared" si="0"/>
        <v>18</v>
      </c>
      <c r="C19" s="14">
        <v>1</v>
      </c>
      <c r="D19" s="14">
        <v>2022</v>
      </c>
      <c r="E19" s="4">
        <f>IF('January 2022'!C26&gt;0,'January 2022'!C26,0)</f>
        <v>6600</v>
      </c>
      <c r="F19" s="9">
        <v>0.14000000000000001</v>
      </c>
      <c r="G19" s="4">
        <f>IF('January 2022'!E26&gt;0,'January 2022'!E26,0)</f>
        <v>13.610999999999999</v>
      </c>
      <c r="H19" s="14">
        <v>2.06</v>
      </c>
      <c r="I19" s="4">
        <f>IF(('January 2022'!I26+'January 2022'!O26)&gt;0,('January 2022'!I26+'January 2022'!O26),0)</f>
        <v>7140</v>
      </c>
      <c r="J19" s="10">
        <v>0.04</v>
      </c>
      <c r="K19" s="4">
        <f>IF(('January 2022'!G26+'January 2022'!M26)&gt;0,('January 2022'!G26+'January 2022'!M26),0)</f>
        <v>4.1000000000000005</v>
      </c>
      <c r="L19" s="14">
        <v>41.08</v>
      </c>
      <c r="M19" s="4">
        <f>'January 2022'!R26</f>
        <v>23</v>
      </c>
    </row>
    <row r="20" spans="1:13" x14ac:dyDescent="0.25">
      <c r="A20" s="3" t="s">
        <v>7</v>
      </c>
      <c r="B20" s="2">
        <f t="shared" si="0"/>
        <v>19</v>
      </c>
      <c r="C20" s="14">
        <v>1</v>
      </c>
      <c r="D20" s="14">
        <v>2022</v>
      </c>
      <c r="E20" s="4">
        <f>IF('January 2022'!C27&gt;0,'January 2022'!C27,0)</f>
        <v>3300</v>
      </c>
      <c r="F20" s="9">
        <v>0.14000000000000001</v>
      </c>
      <c r="G20" s="4">
        <f>IF('January 2022'!E27&gt;0,'January 2022'!E27,0)</f>
        <v>5.2349999999999994</v>
      </c>
      <c r="H20" s="14">
        <v>2.06</v>
      </c>
      <c r="I20" s="4">
        <f>IF(('January 2022'!I27+'January 2022'!O27)&gt;0,('January 2022'!I27+'January 2022'!O27),0)</f>
        <v>2706</v>
      </c>
      <c r="J20" s="10">
        <v>0.04</v>
      </c>
      <c r="K20" s="4">
        <f>IF(('January 2022'!G27+'January 2022'!M27)&gt;0,('January 2022'!G27+'January 2022'!M27),0)</f>
        <v>6.4</v>
      </c>
      <c r="L20" s="14">
        <v>41.08</v>
      </c>
      <c r="M20" s="4">
        <f>'January 2022'!R27</f>
        <v>26</v>
      </c>
    </row>
    <row r="21" spans="1:13" x14ac:dyDescent="0.25">
      <c r="A21" s="3" t="s">
        <v>7</v>
      </c>
      <c r="B21" s="2">
        <f t="shared" si="0"/>
        <v>20</v>
      </c>
      <c r="C21" s="14">
        <v>1</v>
      </c>
      <c r="D21" s="14">
        <v>2022</v>
      </c>
      <c r="E21" s="4">
        <f>IF('January 2022'!C28&gt;0,'January 2022'!C28,0)</f>
        <v>6300</v>
      </c>
      <c r="F21" s="9">
        <v>0.14000000000000001</v>
      </c>
      <c r="G21" s="4">
        <f>IF('January 2022'!E28&gt;0,'January 2022'!E28,0)</f>
        <v>11.516999999999999</v>
      </c>
      <c r="H21" s="14">
        <v>2.06</v>
      </c>
      <c r="I21" s="4">
        <f>IF(('January 2022'!I28+'January 2022'!O28)&gt;0,('January 2022'!I28+'January 2022'!O28),0)</f>
        <v>6500</v>
      </c>
      <c r="J21" s="10">
        <v>0.04</v>
      </c>
      <c r="K21" s="4">
        <f>IF(('January 2022'!G28+'January 2022'!M28)&gt;0,('January 2022'!G28+'January 2022'!M28),0)</f>
        <v>8.1</v>
      </c>
      <c r="L21" s="14">
        <v>41.08</v>
      </c>
      <c r="M21" s="4">
        <f>'January 2022'!R28</f>
        <v>30</v>
      </c>
    </row>
    <row r="22" spans="1:13" x14ac:dyDescent="0.25">
      <c r="A22" s="3" t="s">
        <v>7</v>
      </c>
      <c r="B22" s="2">
        <f t="shared" si="0"/>
        <v>21</v>
      </c>
      <c r="C22" s="14">
        <v>1</v>
      </c>
      <c r="D22" s="14">
        <v>2022</v>
      </c>
      <c r="E22" s="4">
        <f>IF('January 2022'!C29&gt;0,'January 2022'!C29,0)</f>
        <v>6600</v>
      </c>
      <c r="F22" s="9">
        <v>0.14000000000000001</v>
      </c>
      <c r="G22" s="4">
        <f>IF('January 2022'!E29&gt;0,'January 2022'!E29,0)</f>
        <v>14.657999999999999</v>
      </c>
      <c r="H22" s="14">
        <v>2.06</v>
      </c>
      <c r="I22" s="4">
        <f>IF(('January 2022'!I29+'January 2022'!O29)&gt;0,('January 2022'!I29+'January 2022'!O29),0)</f>
        <v>7960</v>
      </c>
      <c r="J22" s="10">
        <v>0.04</v>
      </c>
      <c r="K22" s="4">
        <f>IF(('January 2022'!G29+'January 2022'!M29)&gt;0,('January 2022'!G29+'January 2022'!M29),0)</f>
        <v>8.8000000000000007</v>
      </c>
      <c r="L22" s="14">
        <v>41.08</v>
      </c>
      <c r="M22" s="4">
        <f>'January 2022'!R29</f>
        <v>32</v>
      </c>
    </row>
    <row r="23" spans="1:13" x14ac:dyDescent="0.25">
      <c r="A23" s="3" t="s">
        <v>7</v>
      </c>
      <c r="B23" s="2">
        <f t="shared" si="0"/>
        <v>22</v>
      </c>
      <c r="C23" s="14">
        <v>1</v>
      </c>
      <c r="D23" s="14">
        <v>2022</v>
      </c>
      <c r="E23" s="4">
        <f>IF('January 2022'!C30&gt;0,'January 2022'!C30,0)</f>
        <v>6300</v>
      </c>
      <c r="F23" s="9">
        <v>0.14000000000000001</v>
      </c>
      <c r="G23" s="4">
        <f>IF('January 2022'!E30&gt;0,'January 2022'!E30,0)</f>
        <v>13.610999999999999</v>
      </c>
      <c r="H23" s="14">
        <v>2.06</v>
      </c>
      <c r="I23" s="4">
        <f>IF(('January 2022'!I30+'January 2022'!O30)&gt;0,('January 2022'!I30+'January 2022'!O30),0)</f>
        <v>6665</v>
      </c>
      <c r="J23" s="10">
        <v>0.04</v>
      </c>
      <c r="K23" s="4">
        <f>IF(('January 2022'!G30+'January 2022'!M30)&gt;0,('January 2022'!G30+'January 2022'!M30),0)</f>
        <v>7.7</v>
      </c>
      <c r="L23" s="14">
        <v>41.08</v>
      </c>
      <c r="M23" s="4">
        <f>'January 2022'!R30</f>
        <v>29</v>
      </c>
    </row>
    <row r="24" spans="1:13" x14ac:dyDescent="0.25">
      <c r="A24" s="3" t="s">
        <v>7</v>
      </c>
      <c r="B24" s="2">
        <f t="shared" si="0"/>
        <v>23</v>
      </c>
      <c r="C24" s="14">
        <v>1</v>
      </c>
      <c r="D24" s="14">
        <v>2022</v>
      </c>
      <c r="E24" s="4">
        <f>IF('January 2022'!C31&gt;0,'January 2022'!C31,0)</f>
        <v>6900</v>
      </c>
      <c r="F24" s="9">
        <v>0.14000000000000001</v>
      </c>
      <c r="G24" s="4">
        <f>IF('January 2022'!E31&gt;0,'January 2022'!E31,0)</f>
        <v>12.564</v>
      </c>
      <c r="H24" s="14">
        <v>2.06</v>
      </c>
      <c r="I24" s="4">
        <f>IF(('January 2022'!I31+'January 2022'!O31)&gt;0,('January 2022'!I31+'January 2022'!O31),0)</f>
        <v>7309</v>
      </c>
      <c r="J24" s="10">
        <v>0.04</v>
      </c>
      <c r="K24" s="4">
        <f>IF(('January 2022'!G31+'January 2022'!M31)&gt;0,('January 2022'!G31+'January 2022'!M31),0)</f>
        <v>8.6999999999999993</v>
      </c>
      <c r="L24" s="14">
        <v>41.08</v>
      </c>
      <c r="M24" s="4">
        <f>'January 2022'!R31</f>
        <v>11</v>
      </c>
    </row>
    <row r="25" spans="1:13" x14ac:dyDescent="0.25">
      <c r="A25" s="3" t="s">
        <v>7</v>
      </c>
      <c r="B25" s="2">
        <f t="shared" si="0"/>
        <v>24</v>
      </c>
      <c r="C25" s="14">
        <v>1</v>
      </c>
      <c r="D25" s="14">
        <v>2022</v>
      </c>
      <c r="E25" s="4">
        <f>IF('January 2022'!C32&gt;0,'January 2022'!C32,0)</f>
        <v>6600</v>
      </c>
      <c r="F25" s="9">
        <v>0.14000000000000001</v>
      </c>
      <c r="G25" s="4">
        <f>IF('January 2022'!E32&gt;0,'January 2022'!E32,0)</f>
        <v>10.469999999999999</v>
      </c>
      <c r="H25" s="14">
        <v>2.06</v>
      </c>
      <c r="I25" s="4">
        <f>IF(('January 2022'!I32+'January 2022'!O32)&gt;0,('January 2022'!I32+'January 2022'!O32),0)</f>
        <v>6500</v>
      </c>
      <c r="J25" s="10">
        <v>0.04</v>
      </c>
      <c r="K25" s="4">
        <f>IF(('January 2022'!G32+'January 2022'!M32)&gt;0,('January 2022'!G32+'January 2022'!M32),0)</f>
        <v>8.9</v>
      </c>
      <c r="L25" s="14">
        <v>41.08</v>
      </c>
      <c r="M25" s="4">
        <f>'January 2022'!R32</f>
        <v>12</v>
      </c>
    </row>
    <row r="26" spans="1:13" x14ac:dyDescent="0.25">
      <c r="A26" s="3" t="s">
        <v>7</v>
      </c>
      <c r="B26" s="2">
        <f>B25+1</f>
        <v>25</v>
      </c>
      <c r="C26" s="14">
        <v>1</v>
      </c>
      <c r="D26" s="14">
        <v>2022</v>
      </c>
      <c r="E26" s="4">
        <f>IF('January 2022'!C33&gt;0,'January 2022'!C33,0)</f>
        <v>6300</v>
      </c>
      <c r="F26" s="9">
        <v>0.14000000000000001</v>
      </c>
      <c r="G26" s="4">
        <f>IF('January 2022'!E33&gt;0,'January 2022'!E33,0)</f>
        <v>11.516999999999999</v>
      </c>
      <c r="H26" s="14">
        <v>2.06</v>
      </c>
      <c r="I26" s="4">
        <f>IF(('January 2022'!I33+'January 2022'!O33)&gt;0,('January 2022'!I33+'January 2022'!O33),0)</f>
        <v>6404</v>
      </c>
      <c r="J26" s="10">
        <v>0.04</v>
      </c>
      <c r="K26" s="4">
        <f>IF(('January 2022'!G33+'January 2022'!M33)&gt;0,('January 2022'!G33+'January 2022'!M33),0)</f>
        <v>8</v>
      </c>
      <c r="L26" s="14">
        <v>41.08</v>
      </c>
      <c r="M26" s="4">
        <f>'January 2022'!R33</f>
        <v>22</v>
      </c>
    </row>
    <row r="27" spans="1:13" x14ac:dyDescent="0.25">
      <c r="A27" s="3" t="s">
        <v>7</v>
      </c>
      <c r="B27" s="2">
        <f t="shared" si="0"/>
        <v>26</v>
      </c>
      <c r="C27" s="14">
        <v>1</v>
      </c>
      <c r="D27" s="14">
        <v>2022</v>
      </c>
      <c r="E27" s="4">
        <f>IF('January 2022'!C34&gt;0,'January 2022'!C34,0)</f>
        <v>4500</v>
      </c>
      <c r="F27" s="9">
        <v>0.14000000000000001</v>
      </c>
      <c r="G27" s="4">
        <f>IF('January 2022'!E34&gt;0,'January 2022'!E34,0)</f>
        <v>7.3289999999999997</v>
      </c>
      <c r="H27" s="14">
        <v>2.06</v>
      </c>
      <c r="I27" s="4">
        <f>IF(('January 2022'!I34+'January 2022'!O34)&gt;0,('January 2022'!I34+'January 2022'!O34),0)</f>
        <v>4237</v>
      </c>
      <c r="J27" s="10">
        <v>0.04</v>
      </c>
      <c r="K27" s="4">
        <f>IF(('January 2022'!G34+'January 2022'!M34)&gt;0,('January 2022'!G34+'January 2022'!M34),0)</f>
        <v>6.7</v>
      </c>
      <c r="L27" s="14">
        <v>41.08</v>
      </c>
      <c r="M27" s="4">
        <f>'January 2022'!R34</f>
        <v>29</v>
      </c>
    </row>
    <row r="28" spans="1:13" x14ac:dyDescent="0.25">
      <c r="A28" s="3" t="s">
        <v>7</v>
      </c>
      <c r="B28" s="2">
        <f t="shared" si="0"/>
        <v>27</v>
      </c>
      <c r="C28" s="14">
        <v>1</v>
      </c>
      <c r="D28" s="14">
        <v>2022</v>
      </c>
      <c r="E28" s="4">
        <f>IF('January 2022'!C35&gt;0,'January 2022'!C35,0)</f>
        <v>6300</v>
      </c>
      <c r="F28" s="9">
        <v>0.14000000000000001</v>
      </c>
      <c r="G28" s="4">
        <f>IF('January 2022'!E35&gt;0,'January 2022'!E35,0)</f>
        <v>11.516999999999999</v>
      </c>
      <c r="H28" s="14">
        <v>2.06</v>
      </c>
      <c r="I28" s="4">
        <f>IF(('January 2022'!I35+'January 2022'!O35)&gt;0,('January 2022'!I35+'January 2022'!O35),0)</f>
        <v>7727</v>
      </c>
      <c r="J28" s="10">
        <v>0.04</v>
      </c>
      <c r="K28" s="4">
        <f>IF(('January 2022'!G35+'January 2022'!M35)&gt;0,('January 2022'!G35+'January 2022'!M35),0)</f>
        <v>9.7000000000000011</v>
      </c>
      <c r="L28" s="14">
        <v>41.08</v>
      </c>
      <c r="M28" s="4">
        <f>'January 2022'!R35</f>
        <v>28</v>
      </c>
    </row>
    <row r="29" spans="1:13" x14ac:dyDescent="0.25">
      <c r="A29" s="3" t="s">
        <v>7</v>
      </c>
      <c r="B29" s="2">
        <f t="shared" si="0"/>
        <v>28</v>
      </c>
      <c r="C29" s="14">
        <v>1</v>
      </c>
      <c r="D29" s="14">
        <v>2022</v>
      </c>
      <c r="E29" s="4">
        <f>IF('January 2022'!C36&gt;0,'January 2022'!C36,0)</f>
        <v>6300</v>
      </c>
      <c r="F29" s="9">
        <v>0.14000000000000001</v>
      </c>
      <c r="G29" s="4">
        <f>IF('January 2022'!E36&gt;0,'January 2022'!E36,0)</f>
        <v>10.469999999999999</v>
      </c>
      <c r="H29" s="14">
        <v>2.06</v>
      </c>
      <c r="I29" s="4">
        <f>IF(('January 2022'!I36+'January 2022'!O36)&gt;0,('January 2022'!I36+'January 2022'!O36),0)</f>
        <v>4998</v>
      </c>
      <c r="J29" s="10">
        <v>0.04</v>
      </c>
      <c r="K29" s="4">
        <f>IF(('January 2022'!G36+'January 2022'!M36)&gt;0,('January 2022'!G36+'January 2022'!M36),0)</f>
        <v>6.4</v>
      </c>
      <c r="L29" s="14">
        <v>41.08</v>
      </c>
      <c r="M29" s="4">
        <f>'January 2022'!R36</f>
        <v>32</v>
      </c>
    </row>
    <row r="30" spans="1:13" x14ac:dyDescent="0.25">
      <c r="A30" s="3" t="s">
        <v>7</v>
      </c>
      <c r="B30" s="2">
        <f t="shared" si="0"/>
        <v>29</v>
      </c>
      <c r="C30" s="14">
        <v>1</v>
      </c>
      <c r="D30" s="14">
        <v>2022</v>
      </c>
      <c r="E30" s="4">
        <f>IF('January 2022'!C37&gt;0,'January 2022'!C37,0)</f>
        <v>5700</v>
      </c>
      <c r="F30" s="9">
        <v>0.14000000000000001</v>
      </c>
      <c r="G30" s="4">
        <f>IF('January 2022'!E37&gt;0,'January 2022'!E37,0)</f>
        <v>15.704999999999998</v>
      </c>
      <c r="H30" s="14">
        <v>2.06</v>
      </c>
      <c r="I30" s="4">
        <f>IF(('January 2022'!I37+'January 2022'!O37)&gt;0,('January 2022'!I37+'January 2022'!O37),0)</f>
        <v>7940</v>
      </c>
      <c r="J30" s="10">
        <v>0.04</v>
      </c>
      <c r="K30" s="4">
        <f>IF(('January 2022'!G37+'January 2022'!M37)&gt;0,('January 2022'!G37+'January 2022'!M37),0)</f>
        <v>8.2000000000000011</v>
      </c>
      <c r="L30" s="14">
        <v>41.08</v>
      </c>
      <c r="M30" s="4">
        <f>'January 2022'!R37</f>
        <v>38</v>
      </c>
    </row>
    <row r="31" spans="1:13" x14ac:dyDescent="0.25">
      <c r="A31" s="3" t="s">
        <v>7</v>
      </c>
      <c r="B31" s="2">
        <f t="shared" si="0"/>
        <v>30</v>
      </c>
      <c r="C31" s="14">
        <v>1</v>
      </c>
      <c r="D31" s="14">
        <v>2022</v>
      </c>
      <c r="E31" s="4">
        <f>IF('January 2022'!C39&gt;0,'January 2022'!C39,0)</f>
        <v>12300</v>
      </c>
      <c r="F31" s="9">
        <v>0.14000000000000001</v>
      </c>
      <c r="G31" s="4">
        <f>IF('January 2022'!E39&gt;0,'January 2022'!E39,0)</f>
        <v>25.128</v>
      </c>
      <c r="H31" s="14">
        <v>2.06</v>
      </c>
      <c r="I31" s="4">
        <f>IF(('January 2022'!I39+'January 2022'!O39)&gt;0,('January 2022'!I39+'January 2022'!O39),0)</f>
        <v>15860</v>
      </c>
      <c r="J31" s="10">
        <v>0.04</v>
      </c>
      <c r="K31" s="4">
        <f>IF(('January 2022'!G39+'January 2022'!M39)&gt;0,('January 2022'!G39+'January 2022'!M39),0)</f>
        <v>16.8</v>
      </c>
      <c r="L31" s="14">
        <v>41.08</v>
      </c>
      <c r="M31" s="4">
        <f>'January 2022'!R39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showWhiteSpace="0" topLeftCell="I19" zoomScaleNormal="100" workbookViewId="0">
      <selection activeCell="Q37" sqref="Q37:Q38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18358</v>
      </c>
      <c r="C6" s="21"/>
      <c r="D6" s="21">
        <v>49283</v>
      </c>
      <c r="E6" s="21"/>
      <c r="F6" s="21">
        <v>29793</v>
      </c>
      <c r="G6" s="21"/>
      <c r="H6" s="21">
        <v>10831310</v>
      </c>
      <c r="I6" s="21"/>
      <c r="J6" s="21">
        <v>353515</v>
      </c>
      <c r="K6" s="21"/>
      <c r="L6" s="21">
        <v>18895</v>
      </c>
      <c r="M6" s="21"/>
      <c r="N6" s="22">
        <v>29159910</v>
      </c>
      <c r="O6" s="22"/>
      <c r="P6" s="22">
        <v>6255135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18383</v>
      </c>
      <c r="C9" s="29">
        <f>+(B9-B6)*300</f>
        <v>7500</v>
      </c>
      <c r="D9" s="29">
        <v>49299</v>
      </c>
      <c r="E9" s="29">
        <f>+(D9-D6)*1.047</f>
        <v>16.751999999999999</v>
      </c>
      <c r="F9" s="29">
        <v>29816</v>
      </c>
      <c r="G9" s="29">
        <f>+(F9-F6)*0.1</f>
        <v>2.3000000000000003</v>
      </c>
      <c r="H9" s="29">
        <v>10832445</v>
      </c>
      <c r="I9" s="29">
        <f>+H9-H6</f>
        <v>1135</v>
      </c>
      <c r="J9" s="29">
        <v>353515</v>
      </c>
      <c r="K9" s="29">
        <f>+J9-J6</f>
        <v>0</v>
      </c>
      <c r="L9" s="29">
        <v>19019</v>
      </c>
      <c r="M9" s="29">
        <f>+(L9-L6)*0.1</f>
        <v>12.4</v>
      </c>
      <c r="N9" s="29">
        <v>29170185</v>
      </c>
      <c r="O9" s="29">
        <f>+N9-N6</f>
        <v>10275</v>
      </c>
      <c r="P9" s="29">
        <v>6255135</v>
      </c>
      <c r="Q9" s="29">
        <f>+P9-P6</f>
        <v>0</v>
      </c>
      <c r="R9" s="29">
        <v>58</v>
      </c>
    </row>
    <row r="10" spans="1:18" ht="20.25" customHeight="1" x14ac:dyDescent="0.25">
      <c r="A10" s="29">
        <v>2</v>
      </c>
      <c r="B10" s="29">
        <v>18398</v>
      </c>
      <c r="C10" s="29">
        <f>+(B10-B9)*300</f>
        <v>4500</v>
      </c>
      <c r="D10" s="29">
        <v>49308</v>
      </c>
      <c r="E10" s="29">
        <f>+(D10-D9)*1.047</f>
        <v>9.423</v>
      </c>
      <c r="F10" s="29">
        <v>29818</v>
      </c>
      <c r="G10" s="29">
        <f>+(F10-F9)*0.1</f>
        <v>0.2</v>
      </c>
      <c r="H10" s="29">
        <v>10832903</v>
      </c>
      <c r="I10" s="29">
        <f>+H10-H9</f>
        <v>458</v>
      </c>
      <c r="J10" s="29">
        <v>353515</v>
      </c>
      <c r="K10" s="29">
        <f>+J10-J9</f>
        <v>0</v>
      </c>
      <c r="L10" s="29">
        <v>19097</v>
      </c>
      <c r="M10" s="29">
        <f>+(L10-L9)*0.1</f>
        <v>7.8000000000000007</v>
      </c>
      <c r="N10" s="29">
        <v>29176400</v>
      </c>
      <c r="O10" s="29">
        <f>+N10-N9</f>
        <v>6215</v>
      </c>
      <c r="P10" s="29">
        <v>6255207</v>
      </c>
      <c r="Q10" s="29">
        <f>+P10-P9</f>
        <v>72</v>
      </c>
      <c r="R10" s="29">
        <v>41</v>
      </c>
    </row>
    <row r="11" spans="1:18" ht="20.25" customHeight="1" x14ac:dyDescent="0.25">
      <c r="A11" s="29">
        <v>3</v>
      </c>
      <c r="B11" s="29">
        <v>18416</v>
      </c>
      <c r="C11" s="29">
        <f t="shared" ref="C11:C38" si="0">+(B11-B10)*300</f>
        <v>5400</v>
      </c>
      <c r="D11" s="29">
        <v>49319</v>
      </c>
      <c r="E11" s="29">
        <f t="shared" ref="E11:E38" si="1">+(D11-D10)*1.047</f>
        <v>11.516999999999999</v>
      </c>
      <c r="F11" s="29">
        <v>29822</v>
      </c>
      <c r="G11" s="29">
        <f t="shared" ref="G11:G38" si="2">+(F11-F10)*0.1</f>
        <v>0.4</v>
      </c>
      <c r="H11" s="29">
        <v>10833641</v>
      </c>
      <c r="I11" s="29">
        <f>+H11-H10</f>
        <v>738</v>
      </c>
      <c r="J11" s="29">
        <v>353515</v>
      </c>
      <c r="K11" s="29">
        <f>+J11-J10</f>
        <v>0</v>
      </c>
      <c r="L11" s="29">
        <v>19188</v>
      </c>
      <c r="M11" s="29">
        <f t="shared" ref="M11:M38" si="3">+(L11-L10)*0.1</f>
        <v>9.1</v>
      </c>
      <c r="N11" s="29">
        <v>29183100</v>
      </c>
      <c r="O11" s="29">
        <f>+N11-N10</f>
        <v>6700</v>
      </c>
      <c r="P11" s="29">
        <v>6255212</v>
      </c>
      <c r="Q11" s="29">
        <f>+P11-P10</f>
        <v>5</v>
      </c>
      <c r="R11" s="29">
        <v>36</v>
      </c>
    </row>
    <row r="12" spans="1:18" ht="20.25" customHeight="1" x14ac:dyDescent="0.25">
      <c r="A12" s="29">
        <v>4</v>
      </c>
      <c r="B12" s="29">
        <v>18435</v>
      </c>
      <c r="C12" s="29">
        <f t="shared" si="0"/>
        <v>5700</v>
      </c>
      <c r="D12" s="29">
        <v>49331</v>
      </c>
      <c r="E12" s="29">
        <f t="shared" si="1"/>
        <v>12.564</v>
      </c>
      <c r="F12" s="29">
        <v>29830</v>
      </c>
      <c r="G12" s="29">
        <f t="shared" si="2"/>
        <v>0.8</v>
      </c>
      <c r="H12" s="29">
        <v>10834418</v>
      </c>
      <c r="I12" s="29">
        <f t="shared" ref="I12:K38" si="4">+H12-H11</f>
        <v>777</v>
      </c>
      <c r="J12" s="29">
        <v>353515</v>
      </c>
      <c r="K12" s="29">
        <f t="shared" si="4"/>
        <v>0</v>
      </c>
      <c r="L12" s="29">
        <v>19277</v>
      </c>
      <c r="M12" s="29">
        <f t="shared" si="3"/>
        <v>8.9</v>
      </c>
      <c r="N12" s="29">
        <v>29194215</v>
      </c>
      <c r="O12" s="29">
        <f t="shared" ref="O12:Q27" si="5">+N12-N11</f>
        <v>11115</v>
      </c>
      <c r="P12" s="29">
        <v>6255212</v>
      </c>
      <c r="Q12" s="29">
        <f t="shared" si="5"/>
        <v>0</v>
      </c>
      <c r="R12" s="29">
        <v>29</v>
      </c>
    </row>
    <row r="13" spans="1:18" ht="20.25" customHeight="1" x14ac:dyDescent="0.25">
      <c r="A13" s="29">
        <v>5</v>
      </c>
      <c r="B13" s="29">
        <v>18448</v>
      </c>
      <c r="C13" s="29">
        <f t="shared" si="0"/>
        <v>3900</v>
      </c>
      <c r="D13" s="29">
        <v>49340</v>
      </c>
      <c r="E13" s="29">
        <f t="shared" si="1"/>
        <v>9.423</v>
      </c>
      <c r="F13" s="29">
        <v>29836</v>
      </c>
      <c r="G13" s="29">
        <f t="shared" si="2"/>
        <v>0.60000000000000009</v>
      </c>
      <c r="H13" s="29">
        <v>10834980</v>
      </c>
      <c r="I13" s="29">
        <f t="shared" si="4"/>
        <v>562</v>
      </c>
      <c r="J13" s="29">
        <v>353515</v>
      </c>
      <c r="K13" s="29">
        <f t="shared" si="4"/>
        <v>0</v>
      </c>
      <c r="L13" s="29">
        <v>19336</v>
      </c>
      <c r="M13" s="29">
        <f t="shared" si="3"/>
        <v>5.9</v>
      </c>
      <c r="N13" s="29">
        <v>29198100</v>
      </c>
      <c r="O13" s="29">
        <f t="shared" si="5"/>
        <v>3885</v>
      </c>
      <c r="P13" s="29">
        <v>6255214</v>
      </c>
      <c r="Q13" s="29">
        <f t="shared" si="5"/>
        <v>2</v>
      </c>
      <c r="R13" s="29">
        <v>30</v>
      </c>
    </row>
    <row r="14" spans="1:18" ht="20.25" customHeight="1" x14ac:dyDescent="0.25">
      <c r="A14" s="29">
        <v>6</v>
      </c>
      <c r="B14" s="29">
        <v>18466</v>
      </c>
      <c r="C14" s="29">
        <f t="shared" si="0"/>
        <v>5400</v>
      </c>
      <c r="D14" s="29">
        <v>49350</v>
      </c>
      <c r="E14" s="29">
        <f t="shared" si="1"/>
        <v>10.469999999999999</v>
      </c>
      <c r="F14" s="29">
        <v>29844</v>
      </c>
      <c r="G14" s="29">
        <f t="shared" si="2"/>
        <v>0.8</v>
      </c>
      <c r="H14" s="29">
        <v>10835820</v>
      </c>
      <c r="I14" s="29">
        <f t="shared" si="4"/>
        <v>840</v>
      </c>
      <c r="J14" s="29">
        <v>353515</v>
      </c>
      <c r="K14" s="29">
        <f t="shared" si="4"/>
        <v>0</v>
      </c>
      <c r="L14" s="29">
        <v>19408</v>
      </c>
      <c r="M14" s="29">
        <f t="shared" si="3"/>
        <v>7.2</v>
      </c>
      <c r="N14" s="29">
        <v>29204155</v>
      </c>
      <c r="O14" s="29">
        <f t="shared" si="5"/>
        <v>6055</v>
      </c>
      <c r="P14" s="29">
        <v>6255214</v>
      </c>
      <c r="Q14" s="29">
        <f t="shared" si="5"/>
        <v>0</v>
      </c>
      <c r="R14" s="29">
        <v>27</v>
      </c>
    </row>
    <row r="15" spans="1:18" ht="20.25" customHeight="1" x14ac:dyDescent="0.25">
      <c r="A15" s="29">
        <v>7</v>
      </c>
      <c r="B15" s="29">
        <v>18483</v>
      </c>
      <c r="C15" s="29">
        <f t="shared" si="0"/>
        <v>5100</v>
      </c>
      <c r="D15" s="29">
        <v>49360</v>
      </c>
      <c r="E15" s="29">
        <f t="shared" si="1"/>
        <v>10.469999999999999</v>
      </c>
      <c r="F15" s="29">
        <v>29851</v>
      </c>
      <c r="G15" s="29">
        <f t="shared" si="2"/>
        <v>0.70000000000000007</v>
      </c>
      <c r="H15" s="29">
        <v>10836575</v>
      </c>
      <c r="I15" s="29">
        <f t="shared" si="4"/>
        <v>755</v>
      </c>
      <c r="J15" s="29">
        <v>353515</v>
      </c>
      <c r="K15" s="29">
        <f t="shared" si="4"/>
        <v>0</v>
      </c>
      <c r="L15" s="29">
        <v>19488</v>
      </c>
      <c r="M15" s="29">
        <f t="shared" si="3"/>
        <v>8</v>
      </c>
      <c r="N15" s="29">
        <v>29209190</v>
      </c>
      <c r="O15" s="29">
        <f t="shared" si="5"/>
        <v>5035</v>
      </c>
      <c r="P15" s="29">
        <v>6255214</v>
      </c>
      <c r="Q15" s="29">
        <f t="shared" si="5"/>
        <v>0</v>
      </c>
      <c r="R15" s="29">
        <v>25</v>
      </c>
    </row>
    <row r="16" spans="1:18" ht="20.25" customHeight="1" x14ac:dyDescent="0.25">
      <c r="A16" s="29">
        <v>8</v>
      </c>
      <c r="B16" s="29">
        <v>18501</v>
      </c>
      <c r="C16" s="29">
        <f t="shared" si="0"/>
        <v>5400</v>
      </c>
      <c r="D16" s="29">
        <v>49387</v>
      </c>
      <c r="E16" s="29">
        <f t="shared" si="1"/>
        <v>28.268999999999998</v>
      </c>
      <c r="F16" s="29">
        <v>29858</v>
      </c>
      <c r="G16" s="29">
        <f t="shared" si="2"/>
        <v>0.70000000000000007</v>
      </c>
      <c r="H16" s="29">
        <v>10837250</v>
      </c>
      <c r="I16" s="29">
        <f t="shared" si="4"/>
        <v>675</v>
      </c>
      <c r="J16" s="29">
        <v>353515</v>
      </c>
      <c r="K16" s="29">
        <f t="shared" si="4"/>
        <v>0</v>
      </c>
      <c r="L16" s="29">
        <v>19582</v>
      </c>
      <c r="M16" s="29">
        <f t="shared" si="3"/>
        <v>9.4</v>
      </c>
      <c r="N16" s="29">
        <v>29219485</v>
      </c>
      <c r="O16" s="29">
        <f t="shared" si="5"/>
        <v>10295</v>
      </c>
      <c r="P16" s="29">
        <v>6255256</v>
      </c>
      <c r="Q16" s="29">
        <f t="shared" si="5"/>
        <v>42</v>
      </c>
      <c r="R16" s="29">
        <v>29</v>
      </c>
    </row>
    <row r="17" spans="1:18" ht="20.25" customHeight="1" x14ac:dyDescent="0.25">
      <c r="A17" s="29">
        <v>9</v>
      </c>
      <c r="B17" s="29">
        <v>18523</v>
      </c>
      <c r="C17" s="29">
        <f>+(B17-B16)*300</f>
        <v>6600</v>
      </c>
      <c r="D17" s="29">
        <v>49406</v>
      </c>
      <c r="E17" s="29">
        <f t="shared" si="1"/>
        <v>19.892999999999997</v>
      </c>
      <c r="F17" s="29">
        <v>29867</v>
      </c>
      <c r="G17" s="29">
        <f t="shared" si="2"/>
        <v>0.9</v>
      </c>
      <c r="H17" s="29">
        <v>10838196</v>
      </c>
      <c r="I17" s="29">
        <f t="shared" si="4"/>
        <v>946</v>
      </c>
      <c r="J17" s="29">
        <v>353515</v>
      </c>
      <c r="K17" s="29">
        <f t="shared" si="4"/>
        <v>0</v>
      </c>
      <c r="L17" s="29">
        <v>19673</v>
      </c>
      <c r="M17" s="29">
        <f t="shared" si="3"/>
        <v>9.1</v>
      </c>
      <c r="N17" s="29">
        <v>29229989</v>
      </c>
      <c r="O17" s="29">
        <f t="shared" si="5"/>
        <v>10504</v>
      </c>
      <c r="P17" s="29">
        <v>6255313</v>
      </c>
      <c r="Q17" s="29">
        <f t="shared" si="5"/>
        <v>57</v>
      </c>
      <c r="R17" s="29">
        <v>31</v>
      </c>
    </row>
    <row r="18" spans="1:18" ht="20.25" customHeight="1" x14ac:dyDescent="0.25">
      <c r="A18" s="29">
        <v>10</v>
      </c>
      <c r="B18" s="29">
        <v>18546</v>
      </c>
      <c r="C18" s="29">
        <f t="shared" si="0"/>
        <v>6900</v>
      </c>
      <c r="D18" s="29">
        <v>49419</v>
      </c>
      <c r="E18" s="29">
        <f t="shared" si="1"/>
        <v>13.610999999999999</v>
      </c>
      <c r="F18" s="29">
        <v>29876</v>
      </c>
      <c r="G18" s="29">
        <f t="shared" si="2"/>
        <v>0.9</v>
      </c>
      <c r="H18" s="29">
        <v>10839102</v>
      </c>
      <c r="I18" s="29">
        <f t="shared" si="4"/>
        <v>906</v>
      </c>
      <c r="J18" s="29">
        <v>353515</v>
      </c>
      <c r="K18" s="29">
        <f t="shared" si="4"/>
        <v>0</v>
      </c>
      <c r="L18" s="29">
        <v>19770</v>
      </c>
      <c r="M18" s="29">
        <f t="shared" si="3"/>
        <v>9.7000000000000011</v>
      </c>
      <c r="N18" s="29">
        <v>29238475</v>
      </c>
      <c r="O18" s="29">
        <f t="shared" si="5"/>
        <v>8486</v>
      </c>
      <c r="P18" s="29">
        <v>6255746</v>
      </c>
      <c r="Q18" s="29">
        <f t="shared" si="5"/>
        <v>433</v>
      </c>
      <c r="R18" s="29">
        <v>23</v>
      </c>
    </row>
    <row r="19" spans="1:18" ht="20.25" customHeight="1" x14ac:dyDescent="0.25">
      <c r="A19" s="29">
        <v>11</v>
      </c>
      <c r="B19" s="29">
        <v>18564</v>
      </c>
      <c r="C19" s="29">
        <f t="shared" si="0"/>
        <v>5400</v>
      </c>
      <c r="D19" s="29">
        <v>49429</v>
      </c>
      <c r="E19" s="29">
        <f t="shared" si="1"/>
        <v>10.469999999999999</v>
      </c>
      <c r="F19" s="29">
        <v>29883</v>
      </c>
      <c r="G19" s="29">
        <f t="shared" si="2"/>
        <v>0.70000000000000007</v>
      </c>
      <c r="H19" s="29">
        <v>10839890</v>
      </c>
      <c r="I19" s="29">
        <f t="shared" si="4"/>
        <v>788</v>
      </c>
      <c r="J19" s="29">
        <v>353515</v>
      </c>
      <c r="K19" s="29">
        <f t="shared" si="4"/>
        <v>0</v>
      </c>
      <c r="L19" s="29">
        <v>19844</v>
      </c>
      <c r="M19" s="29">
        <f t="shared" si="3"/>
        <v>7.4</v>
      </c>
      <c r="N19" s="29">
        <v>29243315</v>
      </c>
      <c r="O19" s="29">
        <f t="shared" si="5"/>
        <v>4840</v>
      </c>
      <c r="P19" s="29">
        <v>6256128</v>
      </c>
      <c r="Q19" s="29">
        <f t="shared" si="5"/>
        <v>382</v>
      </c>
      <c r="R19" s="29">
        <v>27</v>
      </c>
    </row>
    <row r="20" spans="1:18" ht="20.25" customHeight="1" x14ac:dyDescent="0.25">
      <c r="A20" s="29">
        <v>12</v>
      </c>
      <c r="B20" s="29">
        <v>18578</v>
      </c>
      <c r="C20" s="29">
        <f t="shared" si="0"/>
        <v>4200</v>
      </c>
      <c r="D20" s="29">
        <v>49435</v>
      </c>
      <c r="E20" s="29">
        <f t="shared" si="1"/>
        <v>6.282</v>
      </c>
      <c r="F20" s="29">
        <v>29888</v>
      </c>
      <c r="G20" s="29">
        <f t="shared" si="2"/>
        <v>0.5</v>
      </c>
      <c r="H20" s="29">
        <v>10840170</v>
      </c>
      <c r="I20" s="29">
        <f t="shared" si="4"/>
        <v>280</v>
      </c>
      <c r="J20" s="29">
        <v>353515</v>
      </c>
      <c r="K20" s="29">
        <f t="shared" si="4"/>
        <v>0</v>
      </c>
      <c r="L20" s="29">
        <v>19903</v>
      </c>
      <c r="M20" s="29">
        <f t="shared" si="3"/>
        <v>5.9</v>
      </c>
      <c r="N20" s="29">
        <v>29247575</v>
      </c>
      <c r="O20" s="29">
        <f t="shared" si="5"/>
        <v>4260</v>
      </c>
      <c r="P20" s="29">
        <v>6256492</v>
      </c>
      <c r="Q20" s="29">
        <f t="shared" si="5"/>
        <v>364</v>
      </c>
      <c r="R20" s="29">
        <v>28</v>
      </c>
    </row>
    <row r="21" spans="1:18" ht="20.25" customHeight="1" x14ac:dyDescent="0.25">
      <c r="A21" s="29">
        <v>13</v>
      </c>
      <c r="B21" s="29">
        <v>18598</v>
      </c>
      <c r="C21" s="29">
        <f t="shared" si="0"/>
        <v>6000</v>
      </c>
      <c r="D21" s="29">
        <v>49445</v>
      </c>
      <c r="E21" s="29">
        <f t="shared" si="1"/>
        <v>10.469999999999999</v>
      </c>
      <c r="F21" s="29">
        <v>29894</v>
      </c>
      <c r="G21" s="29">
        <f t="shared" si="2"/>
        <v>0.60000000000000009</v>
      </c>
      <c r="H21" s="29">
        <v>10841000</v>
      </c>
      <c r="I21" s="29">
        <f t="shared" si="4"/>
        <v>830</v>
      </c>
      <c r="J21" s="29">
        <v>353673</v>
      </c>
      <c r="K21" s="29">
        <f t="shared" si="4"/>
        <v>158</v>
      </c>
      <c r="L21" s="29">
        <v>19971</v>
      </c>
      <c r="M21" s="29">
        <f t="shared" si="3"/>
        <v>6.8000000000000007</v>
      </c>
      <c r="N21" s="29">
        <v>29253500</v>
      </c>
      <c r="O21" s="29">
        <f t="shared" si="5"/>
        <v>5925</v>
      </c>
      <c r="P21" s="29">
        <v>6256791</v>
      </c>
      <c r="Q21" s="29">
        <f t="shared" si="5"/>
        <v>299</v>
      </c>
      <c r="R21" s="29">
        <v>26</v>
      </c>
    </row>
    <row r="22" spans="1:18" ht="20.25" customHeight="1" x14ac:dyDescent="0.25">
      <c r="A22" s="29">
        <v>14</v>
      </c>
      <c r="B22" s="29">
        <v>18619</v>
      </c>
      <c r="C22" s="29">
        <f t="shared" si="0"/>
        <v>6300</v>
      </c>
      <c r="D22" s="29">
        <v>49456</v>
      </c>
      <c r="E22" s="29">
        <f t="shared" si="1"/>
        <v>11.516999999999999</v>
      </c>
      <c r="F22" s="29">
        <v>29901</v>
      </c>
      <c r="G22" s="29">
        <f t="shared" si="2"/>
        <v>0.70000000000000007</v>
      </c>
      <c r="H22" s="29">
        <v>10841790</v>
      </c>
      <c r="I22" s="29">
        <f t="shared" si="4"/>
        <v>790</v>
      </c>
      <c r="J22" s="29">
        <v>353994</v>
      </c>
      <c r="K22" s="29">
        <f t="shared" si="4"/>
        <v>321</v>
      </c>
      <c r="L22" s="29">
        <v>20034</v>
      </c>
      <c r="M22" s="29">
        <f t="shared" si="3"/>
        <v>6.3000000000000007</v>
      </c>
      <c r="N22" s="29">
        <v>29258950</v>
      </c>
      <c r="O22" s="29">
        <f t="shared" si="5"/>
        <v>5450</v>
      </c>
      <c r="P22" s="29">
        <v>6257006</v>
      </c>
      <c r="Q22" s="29">
        <f t="shared" si="5"/>
        <v>215</v>
      </c>
      <c r="R22" s="29">
        <v>30</v>
      </c>
    </row>
    <row r="23" spans="1:18" ht="20.25" customHeight="1" x14ac:dyDescent="0.25">
      <c r="A23" s="29">
        <v>15</v>
      </c>
      <c r="B23" s="29">
        <v>18640</v>
      </c>
      <c r="C23" s="29">
        <f t="shared" si="0"/>
        <v>6300</v>
      </c>
      <c r="D23" s="29">
        <v>49466</v>
      </c>
      <c r="E23" s="29">
        <f t="shared" si="1"/>
        <v>10.469999999999999</v>
      </c>
      <c r="F23" s="29">
        <v>29908</v>
      </c>
      <c r="G23" s="29">
        <f t="shared" si="2"/>
        <v>0.70000000000000007</v>
      </c>
      <c r="H23" s="29">
        <v>10842530</v>
      </c>
      <c r="I23" s="29">
        <f t="shared" si="4"/>
        <v>740</v>
      </c>
      <c r="J23" s="29">
        <v>354327</v>
      </c>
      <c r="K23" s="29">
        <f t="shared" si="4"/>
        <v>333</v>
      </c>
      <c r="L23" s="29">
        <v>20102</v>
      </c>
      <c r="M23" s="29">
        <f t="shared" si="3"/>
        <v>6.8000000000000007</v>
      </c>
      <c r="N23" s="29">
        <v>29264365</v>
      </c>
      <c r="O23" s="29">
        <f t="shared" si="5"/>
        <v>5415</v>
      </c>
      <c r="P23" s="29">
        <v>6257289</v>
      </c>
      <c r="Q23" s="29">
        <f t="shared" si="5"/>
        <v>283</v>
      </c>
      <c r="R23" s="29">
        <v>27</v>
      </c>
    </row>
    <row r="24" spans="1:18" ht="20.25" customHeight="1" x14ac:dyDescent="0.25">
      <c r="A24" s="29">
        <v>16</v>
      </c>
      <c r="B24" s="29">
        <v>18662</v>
      </c>
      <c r="C24" s="29">
        <f t="shared" si="0"/>
        <v>6600</v>
      </c>
      <c r="D24" s="29">
        <v>49479</v>
      </c>
      <c r="E24" s="29">
        <f t="shared" si="1"/>
        <v>13.610999999999999</v>
      </c>
      <c r="F24" s="29">
        <v>29916</v>
      </c>
      <c r="G24" s="29">
        <f t="shared" si="2"/>
        <v>0.8</v>
      </c>
      <c r="H24" s="29">
        <v>10843598</v>
      </c>
      <c r="I24" s="29">
        <f t="shared" si="4"/>
        <v>1068</v>
      </c>
      <c r="J24" s="29">
        <v>354788</v>
      </c>
      <c r="K24" s="29">
        <f t="shared" si="4"/>
        <v>461</v>
      </c>
      <c r="L24" s="29">
        <v>20179</v>
      </c>
      <c r="M24" s="29">
        <f t="shared" si="3"/>
        <v>7.7</v>
      </c>
      <c r="N24" s="29">
        <v>29272830</v>
      </c>
      <c r="O24" s="29">
        <f t="shared" si="5"/>
        <v>8465</v>
      </c>
      <c r="P24" s="29">
        <v>6257463</v>
      </c>
      <c r="Q24" s="29">
        <f t="shared" si="5"/>
        <v>174</v>
      </c>
      <c r="R24" s="29">
        <v>47</v>
      </c>
    </row>
    <row r="25" spans="1:18" ht="20.25" customHeight="1" x14ac:dyDescent="0.25">
      <c r="A25" s="29">
        <v>17</v>
      </c>
      <c r="B25" s="29">
        <v>18684</v>
      </c>
      <c r="C25" s="29">
        <f t="shared" si="0"/>
        <v>6600</v>
      </c>
      <c r="D25" s="29">
        <v>49495</v>
      </c>
      <c r="E25" s="29">
        <f t="shared" si="1"/>
        <v>16.751999999999999</v>
      </c>
      <c r="F25" s="29">
        <v>29923</v>
      </c>
      <c r="G25" s="29">
        <f t="shared" si="2"/>
        <v>0.70000000000000007</v>
      </c>
      <c r="H25" s="29">
        <v>10844498</v>
      </c>
      <c r="I25" s="29">
        <f t="shared" si="4"/>
        <v>900</v>
      </c>
      <c r="J25" s="29">
        <v>355103</v>
      </c>
      <c r="K25" s="29">
        <f t="shared" si="4"/>
        <v>315</v>
      </c>
      <c r="L25" s="29">
        <v>20276</v>
      </c>
      <c r="M25" s="29">
        <f t="shared" si="3"/>
        <v>9.7000000000000011</v>
      </c>
      <c r="N25" s="29">
        <v>29279056</v>
      </c>
      <c r="O25" s="29">
        <f t="shared" si="5"/>
        <v>6226</v>
      </c>
      <c r="P25" s="29">
        <v>6257555</v>
      </c>
      <c r="Q25" s="29">
        <f t="shared" si="5"/>
        <v>92</v>
      </c>
      <c r="R25" s="29">
        <v>31</v>
      </c>
    </row>
    <row r="26" spans="1:18" ht="20.25" customHeight="1" x14ac:dyDescent="0.25">
      <c r="A26" s="29">
        <v>18</v>
      </c>
      <c r="B26" s="29">
        <v>18706</v>
      </c>
      <c r="C26" s="29">
        <f t="shared" si="0"/>
        <v>6600</v>
      </c>
      <c r="D26" s="29">
        <v>49508</v>
      </c>
      <c r="E26" s="29">
        <f t="shared" si="1"/>
        <v>13.610999999999999</v>
      </c>
      <c r="F26" s="29">
        <v>29930</v>
      </c>
      <c r="G26" s="29">
        <f t="shared" si="2"/>
        <v>0.70000000000000007</v>
      </c>
      <c r="H26" s="29">
        <v>10845403</v>
      </c>
      <c r="I26" s="29">
        <f t="shared" si="4"/>
        <v>905</v>
      </c>
      <c r="J26" s="29">
        <v>355417</v>
      </c>
      <c r="K26" s="29">
        <f t="shared" si="4"/>
        <v>314</v>
      </c>
      <c r="L26" s="29">
        <v>20310</v>
      </c>
      <c r="M26" s="29">
        <f t="shared" si="3"/>
        <v>3.4000000000000004</v>
      </c>
      <c r="N26" s="29">
        <v>29285291</v>
      </c>
      <c r="O26" s="29">
        <f t="shared" si="5"/>
        <v>6235</v>
      </c>
      <c r="P26" s="29">
        <v>6257648</v>
      </c>
      <c r="Q26" s="29">
        <f t="shared" si="5"/>
        <v>93</v>
      </c>
      <c r="R26" s="29">
        <v>23</v>
      </c>
    </row>
    <row r="27" spans="1:18" ht="20.25" customHeight="1" x14ac:dyDescent="0.25">
      <c r="A27" s="29">
        <v>19</v>
      </c>
      <c r="B27" s="29">
        <v>18717</v>
      </c>
      <c r="C27" s="29">
        <f t="shared" si="0"/>
        <v>3300</v>
      </c>
      <c r="D27" s="29">
        <v>49513</v>
      </c>
      <c r="E27" s="29">
        <f t="shared" si="1"/>
        <v>5.2349999999999994</v>
      </c>
      <c r="F27" s="29">
        <v>29933</v>
      </c>
      <c r="G27" s="29">
        <f t="shared" si="2"/>
        <v>0.30000000000000004</v>
      </c>
      <c r="H27" s="29">
        <v>10845610</v>
      </c>
      <c r="I27" s="29">
        <f t="shared" si="4"/>
        <v>207</v>
      </c>
      <c r="J27" s="29">
        <v>355460</v>
      </c>
      <c r="K27" s="29">
        <f t="shared" si="4"/>
        <v>43</v>
      </c>
      <c r="L27" s="29">
        <v>20371</v>
      </c>
      <c r="M27" s="29">
        <f t="shared" si="3"/>
        <v>6.1000000000000005</v>
      </c>
      <c r="N27" s="29">
        <v>29287790</v>
      </c>
      <c r="O27" s="29">
        <f t="shared" si="5"/>
        <v>2499</v>
      </c>
      <c r="P27" s="29">
        <v>6257659</v>
      </c>
      <c r="Q27" s="29">
        <f t="shared" si="5"/>
        <v>11</v>
      </c>
      <c r="R27" s="29">
        <v>26</v>
      </c>
    </row>
    <row r="28" spans="1:18" ht="20.25" customHeight="1" x14ac:dyDescent="0.25">
      <c r="A28" s="29">
        <v>20</v>
      </c>
      <c r="B28" s="29">
        <v>18738</v>
      </c>
      <c r="C28" s="29">
        <f t="shared" si="0"/>
        <v>6300</v>
      </c>
      <c r="D28" s="29">
        <v>49524</v>
      </c>
      <c r="E28" s="29">
        <f t="shared" si="1"/>
        <v>11.516999999999999</v>
      </c>
      <c r="F28" s="29">
        <v>29940</v>
      </c>
      <c r="G28" s="29">
        <f t="shared" si="2"/>
        <v>0.70000000000000007</v>
      </c>
      <c r="H28" s="29">
        <v>10846510</v>
      </c>
      <c r="I28" s="29">
        <f t="shared" si="4"/>
        <v>900</v>
      </c>
      <c r="J28" s="29">
        <v>355782</v>
      </c>
      <c r="K28" s="29">
        <f t="shared" si="4"/>
        <v>322</v>
      </c>
      <c r="L28" s="29">
        <v>20445</v>
      </c>
      <c r="M28" s="29">
        <f t="shared" si="3"/>
        <v>7.4</v>
      </c>
      <c r="N28" s="29">
        <v>29293390</v>
      </c>
      <c r="O28" s="29">
        <f t="shared" ref="O28:Q38" si="6">+N28-N27</f>
        <v>5600</v>
      </c>
      <c r="P28" s="29">
        <v>6257838</v>
      </c>
      <c r="Q28" s="29">
        <f t="shared" si="6"/>
        <v>179</v>
      </c>
      <c r="R28" s="29">
        <v>30</v>
      </c>
    </row>
    <row r="29" spans="1:18" ht="20.25" customHeight="1" x14ac:dyDescent="0.25">
      <c r="A29" s="29">
        <v>21</v>
      </c>
      <c r="B29" s="29">
        <v>18760</v>
      </c>
      <c r="C29" s="29">
        <f t="shared" si="0"/>
        <v>6600</v>
      </c>
      <c r="D29" s="29">
        <v>49538</v>
      </c>
      <c r="E29" s="29">
        <f t="shared" si="1"/>
        <v>14.657999999999999</v>
      </c>
      <c r="F29" s="29">
        <v>29946</v>
      </c>
      <c r="G29" s="29">
        <f t="shared" si="2"/>
        <v>0.60000000000000009</v>
      </c>
      <c r="H29" s="29">
        <v>10847355</v>
      </c>
      <c r="I29" s="29">
        <f t="shared" si="4"/>
        <v>845</v>
      </c>
      <c r="J29" s="29">
        <v>356103</v>
      </c>
      <c r="K29" s="29">
        <f t="shared" si="4"/>
        <v>321</v>
      </c>
      <c r="L29" s="29">
        <v>20527</v>
      </c>
      <c r="M29" s="29">
        <f t="shared" si="3"/>
        <v>8.2000000000000011</v>
      </c>
      <c r="N29" s="29">
        <v>29300505</v>
      </c>
      <c r="O29" s="29">
        <f t="shared" si="6"/>
        <v>7115</v>
      </c>
      <c r="P29" s="29">
        <v>6258311</v>
      </c>
      <c r="Q29" s="29">
        <f t="shared" si="6"/>
        <v>473</v>
      </c>
      <c r="R29" s="29">
        <v>32</v>
      </c>
    </row>
    <row r="30" spans="1:18" ht="20.25" customHeight="1" x14ac:dyDescent="0.25">
      <c r="A30" s="29">
        <v>22</v>
      </c>
      <c r="B30" s="29">
        <v>18781</v>
      </c>
      <c r="C30" s="29">
        <f t="shared" si="0"/>
        <v>6300</v>
      </c>
      <c r="D30" s="29">
        <v>49551</v>
      </c>
      <c r="E30" s="29">
        <f t="shared" si="1"/>
        <v>13.610999999999999</v>
      </c>
      <c r="F30" s="29">
        <v>29954</v>
      </c>
      <c r="G30" s="29">
        <f t="shared" si="2"/>
        <v>0.8</v>
      </c>
      <c r="H30" s="29">
        <v>10848380</v>
      </c>
      <c r="I30" s="29">
        <f t="shared" si="4"/>
        <v>1025</v>
      </c>
      <c r="J30" s="29">
        <v>356517</v>
      </c>
      <c r="K30" s="29">
        <f t="shared" si="4"/>
        <v>414</v>
      </c>
      <c r="L30" s="29">
        <v>20596</v>
      </c>
      <c r="M30" s="29">
        <f t="shared" si="3"/>
        <v>6.9</v>
      </c>
      <c r="N30" s="29">
        <v>29306145</v>
      </c>
      <c r="O30" s="29">
        <f t="shared" si="6"/>
        <v>5640</v>
      </c>
      <c r="P30" s="29">
        <v>6259172</v>
      </c>
      <c r="Q30" s="29">
        <f t="shared" si="6"/>
        <v>861</v>
      </c>
      <c r="R30" s="29">
        <v>29</v>
      </c>
    </row>
    <row r="31" spans="1:18" ht="20.25" customHeight="1" x14ac:dyDescent="0.25">
      <c r="A31" s="29">
        <v>23</v>
      </c>
      <c r="B31" s="29">
        <v>18804</v>
      </c>
      <c r="C31" s="29">
        <f t="shared" si="0"/>
        <v>6900</v>
      </c>
      <c r="D31" s="29">
        <v>49563</v>
      </c>
      <c r="E31" s="29">
        <f t="shared" si="1"/>
        <v>12.564</v>
      </c>
      <c r="F31" s="29">
        <v>29960</v>
      </c>
      <c r="G31" s="29">
        <f t="shared" si="2"/>
        <v>0.60000000000000009</v>
      </c>
      <c r="H31" s="29">
        <v>10849234</v>
      </c>
      <c r="I31" s="29">
        <f t="shared" si="4"/>
        <v>854</v>
      </c>
      <c r="J31" s="29">
        <v>357017</v>
      </c>
      <c r="K31" s="29">
        <f t="shared" si="4"/>
        <v>500</v>
      </c>
      <c r="L31" s="29">
        <v>20677</v>
      </c>
      <c r="M31" s="29">
        <f t="shared" si="3"/>
        <v>8.1</v>
      </c>
      <c r="N31" s="29">
        <v>29312600</v>
      </c>
      <c r="O31" s="29">
        <f t="shared" si="6"/>
        <v>6455</v>
      </c>
      <c r="P31" s="29">
        <v>6259946</v>
      </c>
      <c r="Q31" s="29">
        <f t="shared" si="6"/>
        <v>774</v>
      </c>
      <c r="R31" s="29">
        <v>11</v>
      </c>
    </row>
    <row r="32" spans="1:18" ht="20.25" customHeight="1" x14ac:dyDescent="0.25">
      <c r="A32" s="29">
        <v>24</v>
      </c>
      <c r="B32" s="29">
        <v>18826</v>
      </c>
      <c r="C32" s="29">
        <f t="shared" si="0"/>
        <v>6600</v>
      </c>
      <c r="D32" s="29">
        <v>49573</v>
      </c>
      <c r="E32" s="29">
        <f t="shared" si="1"/>
        <v>10.469999999999999</v>
      </c>
      <c r="F32" s="29">
        <v>29969</v>
      </c>
      <c r="G32" s="29">
        <f t="shared" si="2"/>
        <v>0.9</v>
      </c>
      <c r="H32" s="29">
        <v>10850033</v>
      </c>
      <c r="I32" s="29">
        <f t="shared" si="4"/>
        <v>799</v>
      </c>
      <c r="J32" s="29">
        <v>357405</v>
      </c>
      <c r="K32" s="29">
        <f t="shared" si="4"/>
        <v>388</v>
      </c>
      <c r="L32" s="29">
        <v>20757</v>
      </c>
      <c r="M32" s="29">
        <f t="shared" si="3"/>
        <v>8</v>
      </c>
      <c r="N32" s="29">
        <v>29318301</v>
      </c>
      <c r="O32" s="29">
        <f t="shared" si="6"/>
        <v>5701</v>
      </c>
      <c r="P32" s="29">
        <v>6260868</v>
      </c>
      <c r="Q32" s="29">
        <f t="shared" si="6"/>
        <v>922</v>
      </c>
      <c r="R32" s="29">
        <v>12</v>
      </c>
    </row>
    <row r="33" spans="1:18" ht="20.25" customHeight="1" x14ac:dyDescent="0.25">
      <c r="A33" s="29">
        <v>25</v>
      </c>
      <c r="B33" s="29">
        <v>18847</v>
      </c>
      <c r="C33" s="29">
        <f t="shared" si="0"/>
        <v>6300</v>
      </c>
      <c r="D33" s="29">
        <v>49584</v>
      </c>
      <c r="E33" s="29">
        <f t="shared" si="1"/>
        <v>11.516999999999999</v>
      </c>
      <c r="F33" s="29">
        <v>29977</v>
      </c>
      <c r="G33" s="29">
        <f t="shared" si="2"/>
        <v>0.8</v>
      </c>
      <c r="H33" s="29">
        <v>10850889</v>
      </c>
      <c r="I33" s="29">
        <f t="shared" si="4"/>
        <v>856</v>
      </c>
      <c r="J33" s="29">
        <v>357704</v>
      </c>
      <c r="K33" s="29">
        <f t="shared" si="4"/>
        <v>299</v>
      </c>
      <c r="L33" s="29">
        <v>20829</v>
      </c>
      <c r="M33" s="29">
        <f t="shared" si="3"/>
        <v>7.2</v>
      </c>
      <c r="N33" s="29">
        <v>29323849</v>
      </c>
      <c r="O33" s="29">
        <f t="shared" si="6"/>
        <v>5548</v>
      </c>
      <c r="P33" s="29">
        <v>6261105</v>
      </c>
      <c r="Q33" s="29">
        <f t="shared" si="6"/>
        <v>237</v>
      </c>
      <c r="R33" s="29">
        <v>22</v>
      </c>
    </row>
    <row r="34" spans="1:18" ht="20.25" customHeight="1" x14ac:dyDescent="0.25">
      <c r="A34" s="29">
        <v>26</v>
      </c>
      <c r="B34" s="29">
        <v>18862</v>
      </c>
      <c r="C34" s="29">
        <f t="shared" si="0"/>
        <v>4500</v>
      </c>
      <c r="D34" s="29">
        <v>49591</v>
      </c>
      <c r="E34" s="29">
        <f t="shared" si="1"/>
        <v>7.3289999999999997</v>
      </c>
      <c r="F34" s="29">
        <v>29982</v>
      </c>
      <c r="G34" s="29">
        <f t="shared" si="2"/>
        <v>0.5</v>
      </c>
      <c r="H34" s="29">
        <v>10851400</v>
      </c>
      <c r="I34" s="29">
        <f t="shared" si="4"/>
        <v>511</v>
      </c>
      <c r="J34" s="29">
        <v>357825</v>
      </c>
      <c r="K34" s="29">
        <f t="shared" si="4"/>
        <v>121</v>
      </c>
      <c r="L34" s="29">
        <v>20891</v>
      </c>
      <c r="M34" s="29">
        <f t="shared" si="3"/>
        <v>6.2</v>
      </c>
      <c r="N34" s="29">
        <v>29327575</v>
      </c>
      <c r="O34" s="29">
        <f t="shared" si="6"/>
        <v>3726</v>
      </c>
      <c r="P34" s="29">
        <v>6261216</v>
      </c>
      <c r="Q34" s="29">
        <f t="shared" si="6"/>
        <v>111</v>
      </c>
      <c r="R34" s="29">
        <v>29</v>
      </c>
    </row>
    <row r="35" spans="1:18" ht="20.25" customHeight="1" x14ac:dyDescent="0.25">
      <c r="A35" s="29">
        <v>27</v>
      </c>
      <c r="B35" s="29">
        <v>18883</v>
      </c>
      <c r="C35" s="29">
        <f t="shared" si="0"/>
        <v>6300</v>
      </c>
      <c r="D35" s="29">
        <v>49602</v>
      </c>
      <c r="E35" s="29">
        <f t="shared" si="1"/>
        <v>11.516999999999999</v>
      </c>
      <c r="F35" s="29">
        <v>29990</v>
      </c>
      <c r="G35" s="29">
        <f t="shared" si="2"/>
        <v>0.8</v>
      </c>
      <c r="H35" s="29">
        <v>10852182</v>
      </c>
      <c r="I35" s="29">
        <f t="shared" si="4"/>
        <v>782</v>
      </c>
      <c r="J35" s="29">
        <v>358000</v>
      </c>
      <c r="K35" s="29">
        <f t="shared" si="4"/>
        <v>175</v>
      </c>
      <c r="L35" s="29">
        <v>20980</v>
      </c>
      <c r="M35" s="29">
        <f t="shared" si="3"/>
        <v>8.9</v>
      </c>
      <c r="N35" s="29">
        <v>29334520</v>
      </c>
      <c r="O35" s="29">
        <f t="shared" si="6"/>
        <v>6945</v>
      </c>
      <c r="P35" s="29">
        <v>6261601</v>
      </c>
      <c r="Q35" s="29">
        <f t="shared" si="6"/>
        <v>385</v>
      </c>
      <c r="R35" s="29">
        <v>28</v>
      </c>
    </row>
    <row r="36" spans="1:18" ht="20.25" customHeight="1" x14ac:dyDescent="0.25">
      <c r="A36" s="29">
        <v>28</v>
      </c>
      <c r="B36" s="29">
        <v>18904</v>
      </c>
      <c r="C36" s="29">
        <f t="shared" si="0"/>
        <v>6300</v>
      </c>
      <c r="D36" s="29">
        <v>49612</v>
      </c>
      <c r="E36" s="29">
        <f t="shared" si="1"/>
        <v>10.469999999999999</v>
      </c>
      <c r="F36" s="29">
        <v>29996</v>
      </c>
      <c r="G36" s="29">
        <f t="shared" si="2"/>
        <v>0.60000000000000009</v>
      </c>
      <c r="H36" s="29">
        <v>10853000</v>
      </c>
      <c r="I36" s="29">
        <f t="shared" si="4"/>
        <v>818</v>
      </c>
      <c r="J36" s="29">
        <v>358356</v>
      </c>
      <c r="K36" s="29">
        <f t="shared" si="4"/>
        <v>356</v>
      </c>
      <c r="L36" s="29">
        <v>21038</v>
      </c>
      <c r="M36" s="29">
        <f t="shared" si="3"/>
        <v>5.8000000000000007</v>
      </c>
      <c r="N36" s="29">
        <v>29338700</v>
      </c>
      <c r="O36" s="29">
        <f t="shared" si="6"/>
        <v>4180</v>
      </c>
      <c r="P36" s="29">
        <v>6262902</v>
      </c>
      <c r="Q36" s="29">
        <f t="shared" si="6"/>
        <v>1301</v>
      </c>
      <c r="R36" s="29">
        <v>32</v>
      </c>
    </row>
    <row r="37" spans="1:18" ht="20.25" customHeight="1" x14ac:dyDescent="0.25">
      <c r="A37" s="29">
        <v>29</v>
      </c>
      <c r="B37" s="29">
        <v>18923</v>
      </c>
      <c r="C37" s="29">
        <f t="shared" si="0"/>
        <v>5700</v>
      </c>
      <c r="D37" s="29">
        <v>49627</v>
      </c>
      <c r="E37" s="29">
        <f t="shared" si="1"/>
        <v>15.704999999999998</v>
      </c>
      <c r="F37" s="29">
        <v>30005</v>
      </c>
      <c r="G37" s="29">
        <f t="shared" si="2"/>
        <v>0.9</v>
      </c>
      <c r="H37" s="29">
        <v>10853740</v>
      </c>
      <c r="I37" s="29">
        <f t="shared" si="4"/>
        <v>740</v>
      </c>
      <c r="J37" s="29">
        <v>358953</v>
      </c>
      <c r="K37" s="29">
        <f t="shared" si="4"/>
        <v>597</v>
      </c>
      <c r="L37" s="29">
        <v>21111</v>
      </c>
      <c r="M37" s="29">
        <f t="shared" si="3"/>
        <v>7.3000000000000007</v>
      </c>
      <c r="N37" s="29">
        <v>29345900</v>
      </c>
      <c r="O37" s="29">
        <f t="shared" si="6"/>
        <v>7200</v>
      </c>
      <c r="P37" s="29">
        <v>6263369</v>
      </c>
      <c r="Q37" s="29">
        <f t="shared" si="6"/>
        <v>467</v>
      </c>
      <c r="R37" s="29">
        <v>38</v>
      </c>
    </row>
    <row r="38" spans="1:18" ht="20.25" customHeight="1" x14ac:dyDescent="0.25">
      <c r="A38" s="29">
        <v>30</v>
      </c>
      <c r="B38" s="29">
        <v>18947</v>
      </c>
      <c r="C38" s="29">
        <f t="shared" si="0"/>
        <v>7200</v>
      </c>
      <c r="D38" s="29">
        <v>49641</v>
      </c>
      <c r="E38" s="29">
        <f t="shared" si="1"/>
        <v>14.657999999999999</v>
      </c>
      <c r="F38" s="29">
        <v>30012</v>
      </c>
      <c r="G38" s="29">
        <f t="shared" si="2"/>
        <v>0.70000000000000007</v>
      </c>
      <c r="H38" s="29">
        <v>10854589</v>
      </c>
      <c r="I38" s="29">
        <f t="shared" si="4"/>
        <v>849</v>
      </c>
      <c r="J38" s="29">
        <v>359234</v>
      </c>
      <c r="K38" s="29">
        <f t="shared" si="4"/>
        <v>281</v>
      </c>
      <c r="L38" s="29">
        <v>21196</v>
      </c>
      <c r="M38" s="29">
        <f t="shared" si="3"/>
        <v>8.5</v>
      </c>
      <c r="N38" s="29">
        <v>29354354</v>
      </c>
      <c r="O38" s="29">
        <f t="shared" si="6"/>
        <v>8454</v>
      </c>
      <c r="P38" s="29">
        <v>6263642</v>
      </c>
      <c r="Q38" s="29">
        <f t="shared" si="6"/>
        <v>273</v>
      </c>
      <c r="R38" s="29">
        <v>47</v>
      </c>
    </row>
    <row r="39" spans="1:18" ht="20.25" customHeight="1" x14ac:dyDescent="0.25">
      <c r="A39" s="29">
        <v>31</v>
      </c>
      <c r="B39" s="29">
        <v>18964</v>
      </c>
      <c r="C39" s="29">
        <f>+(B39-B37)*300</f>
        <v>12300</v>
      </c>
      <c r="D39" s="29">
        <v>49651</v>
      </c>
      <c r="E39" s="29">
        <f>+(D39-D37)*1.047</f>
        <v>25.128</v>
      </c>
      <c r="F39" s="29">
        <v>30019</v>
      </c>
      <c r="G39" s="29">
        <f>+(F39-F37)*0.1</f>
        <v>1.4000000000000001</v>
      </c>
      <c r="H39" s="29">
        <v>10855075</v>
      </c>
      <c r="I39" s="29">
        <f>+H39-H37</f>
        <v>1335</v>
      </c>
      <c r="J39" s="29">
        <v>359330</v>
      </c>
      <c r="K39" s="29">
        <f>+J39-J37</f>
        <v>377</v>
      </c>
      <c r="L39" s="29">
        <v>21265</v>
      </c>
      <c r="M39" s="29">
        <f>+(L39-L37)*0.1</f>
        <v>15.4</v>
      </c>
      <c r="N39" s="29">
        <v>29360425</v>
      </c>
      <c r="O39" s="29">
        <f>+N39-N37</f>
        <v>14525</v>
      </c>
      <c r="P39" s="29">
        <v>6263823</v>
      </c>
      <c r="Q39" s="29">
        <f>+P39-P37</f>
        <v>454</v>
      </c>
      <c r="R39" s="29">
        <v>39</v>
      </c>
    </row>
    <row r="41" spans="1:18" x14ac:dyDescent="0.25">
      <c r="A41" s="30" t="s">
        <v>26</v>
      </c>
      <c r="C41" s="31">
        <f>SUM(C9:C40)</f>
        <v>189000</v>
      </c>
      <c r="E41" s="31">
        <f>SUM(E9:E40)</f>
        <v>399.95399999999995</v>
      </c>
      <c r="G41" s="31">
        <f>SUM(G9:G40)</f>
        <v>23.299999999999997</v>
      </c>
      <c r="I41" s="31">
        <f>SUM(I9:I40)</f>
        <v>24614</v>
      </c>
      <c r="K41" s="31">
        <f>SUM(K9:K40)</f>
        <v>6096</v>
      </c>
      <c r="M41" s="31">
        <f>SUM(M9:M40)</f>
        <v>245.5</v>
      </c>
      <c r="O41" s="31">
        <f>SUM(O9:O40)</f>
        <v>208969</v>
      </c>
      <c r="Q41" s="31">
        <f>SUM(Q9:Q40)</f>
        <v>8961</v>
      </c>
      <c r="R41" s="16">
        <f>SUM(R9:R40)</f>
        <v>943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2022-02-18T09:40:01Z</dcterms:modified>
  <cp:category/>
  <cp:contentStatus/>
</cp:coreProperties>
</file>