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8958" documentId="8_{5B502D95-7A37-4D5A-8B6B-374537CC2F26}" xr6:coauthVersionLast="47" xr6:coauthVersionMax="47" xr10:uidLastSave="{5BE31879-F246-4F8B-B9EF-CC60F23D354F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9" i="2" l="1"/>
  <c r="N40" i="2"/>
  <c r="M40" i="2"/>
  <c r="L40" i="2"/>
  <c r="F40" i="2"/>
  <c r="K39" i="6"/>
  <c r="I39" i="6"/>
  <c r="G39" i="6"/>
  <c r="E39" i="6"/>
  <c r="C39" i="6"/>
  <c r="V38" i="2"/>
  <c r="N39" i="2"/>
  <c r="M39" i="2"/>
  <c r="L39" i="2"/>
  <c r="F39" i="2"/>
  <c r="K38" i="6"/>
  <c r="I38" i="6"/>
  <c r="G38" i="6"/>
  <c r="E38" i="6"/>
  <c r="C38" i="6"/>
  <c r="V37" i="2"/>
  <c r="N38" i="2"/>
  <c r="M38" i="2"/>
  <c r="L38" i="2"/>
  <c r="F38" i="2"/>
  <c r="K37" i="6"/>
  <c r="I37" i="6"/>
  <c r="G37" i="6"/>
  <c r="E37" i="6"/>
  <c r="C37" i="6"/>
  <c r="V36" i="2"/>
  <c r="N37" i="2"/>
  <c r="M37" i="2"/>
  <c r="L37" i="2"/>
  <c r="F37" i="2"/>
  <c r="K36" i="6"/>
  <c r="I36" i="6"/>
  <c r="G36" i="6"/>
  <c r="E36" i="6"/>
  <c r="C36" i="6"/>
  <c r="V33" i="2"/>
  <c r="V34" i="2"/>
  <c r="V35" i="2"/>
  <c r="N34" i="2"/>
  <c r="N35" i="2"/>
  <c r="N36" i="2"/>
  <c r="M34" i="2"/>
  <c r="M35" i="2"/>
  <c r="M36" i="2"/>
  <c r="L34" i="2"/>
  <c r="L35" i="2"/>
  <c r="L36" i="2"/>
  <c r="F34" i="2"/>
  <c r="F35" i="2"/>
  <c r="F36" i="2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V32" i="2"/>
  <c r="N33" i="2"/>
  <c r="M33" i="2"/>
  <c r="L33" i="2"/>
  <c r="F33" i="2"/>
  <c r="K32" i="6"/>
  <c r="I32" i="6"/>
  <c r="G32" i="6"/>
  <c r="E32" i="6"/>
  <c r="C32" i="6"/>
  <c r="V31" i="2"/>
  <c r="N32" i="2"/>
  <c r="M32" i="2"/>
  <c r="L32" i="2"/>
  <c r="K31" i="6"/>
  <c r="I31" i="6"/>
  <c r="G31" i="6"/>
  <c r="E31" i="6"/>
  <c r="F32" i="2" s="1"/>
  <c r="C31" i="6"/>
  <c r="V30" i="2"/>
  <c r="N31" i="2"/>
  <c r="M31" i="2"/>
  <c r="L31" i="2"/>
  <c r="K30" i="6"/>
  <c r="I30" i="6"/>
  <c r="G30" i="6"/>
  <c r="E30" i="6"/>
  <c r="F31" i="2" s="1"/>
  <c r="C30" i="6"/>
  <c r="V29" i="2"/>
  <c r="N30" i="2"/>
  <c r="M30" i="2"/>
  <c r="L30" i="2"/>
  <c r="F30" i="2"/>
  <c r="K29" i="6"/>
  <c r="I29" i="6"/>
  <c r="G29" i="6"/>
  <c r="E29" i="6"/>
  <c r="C29" i="6"/>
  <c r="V26" i="2"/>
  <c r="V27" i="2"/>
  <c r="V28" i="2"/>
  <c r="N27" i="2"/>
  <c r="N28" i="2"/>
  <c r="N29" i="2"/>
  <c r="M27" i="2"/>
  <c r="M28" i="2"/>
  <c r="M29" i="2"/>
  <c r="L27" i="2"/>
  <c r="L28" i="2"/>
  <c r="L29" i="2"/>
  <c r="F27" i="2"/>
  <c r="F28" i="2"/>
  <c r="F29" i="2"/>
  <c r="G22" i="4"/>
  <c r="E22" i="4"/>
  <c r="C22" i="4"/>
  <c r="G21" i="4"/>
  <c r="E21" i="4"/>
  <c r="C21" i="4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V25" i="2"/>
  <c r="N26" i="2"/>
  <c r="M26" i="2"/>
  <c r="L26" i="2"/>
  <c r="F26" i="2"/>
  <c r="K25" i="6"/>
  <c r="I25" i="6"/>
  <c r="G25" i="6"/>
  <c r="E25" i="6"/>
  <c r="C25" i="6"/>
  <c r="V23" i="2"/>
  <c r="V24" i="2"/>
  <c r="N24" i="2"/>
  <c r="N25" i="2"/>
  <c r="M24" i="2"/>
  <c r="M25" i="2"/>
  <c r="L24" i="2"/>
  <c r="L25" i="2"/>
  <c r="F24" i="2"/>
  <c r="F25" i="2"/>
  <c r="K24" i="6"/>
  <c r="I24" i="6"/>
  <c r="G24" i="6"/>
  <c r="E24" i="6"/>
  <c r="C24" i="6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19" i="2"/>
  <c r="V20" i="2"/>
  <c r="V21" i="2"/>
  <c r="N20" i="2"/>
  <c r="N21" i="2"/>
  <c r="N22" i="2"/>
  <c r="M20" i="2"/>
  <c r="M21" i="2"/>
  <c r="M22" i="2"/>
  <c r="L20" i="2"/>
  <c r="L21" i="2"/>
  <c r="L22" i="2"/>
  <c r="F20" i="2"/>
  <c r="F21" i="2"/>
  <c r="F22" i="2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V18" i="2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5" i="2"/>
  <c r="V16" i="2"/>
  <c r="N16" i="2"/>
  <c r="N17" i="2"/>
  <c r="M16" i="2"/>
  <c r="M17" i="2"/>
  <c r="L16" i="2"/>
  <c r="L17" i="2"/>
  <c r="F16" i="2"/>
  <c r="F17" i="2"/>
  <c r="K15" i="6"/>
  <c r="K16" i="6"/>
  <c r="I16" i="6"/>
  <c r="I15" i="6"/>
  <c r="G15" i="6"/>
  <c r="G16" i="6"/>
  <c r="E15" i="6"/>
  <c r="E16" i="6"/>
  <c r="C15" i="6"/>
  <c r="C16" i="6"/>
  <c r="V12" i="2"/>
  <c r="V13" i="2"/>
  <c r="V14" i="2"/>
  <c r="N13" i="2"/>
  <c r="N14" i="2"/>
  <c r="N15" i="2"/>
  <c r="M13" i="2"/>
  <c r="M14" i="2"/>
  <c r="M15" i="2"/>
  <c r="L13" i="2"/>
  <c r="L14" i="2"/>
  <c r="L15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M4" i="4"/>
  <c r="M5" i="4"/>
  <c r="M6" i="4"/>
  <c r="M7" i="4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G4" i="4"/>
  <c r="E4" i="4"/>
  <c r="C4" i="4"/>
  <c r="L31" i="22"/>
  <c r="L32" i="22"/>
  <c r="K31" i="22"/>
  <c r="K32" i="22"/>
  <c r="I31" i="22"/>
  <c r="I32" i="22"/>
  <c r="G32" i="22"/>
  <c r="B31" i="22"/>
  <c r="B32" i="22"/>
  <c r="I31" i="21"/>
  <c r="I32" i="21"/>
  <c r="H31" i="21"/>
  <c r="H32" i="21"/>
  <c r="G31" i="21"/>
  <c r="G32" i="21"/>
  <c r="F31" i="21"/>
  <c r="F32" i="21"/>
  <c r="E31" i="21"/>
  <c r="E31" i="22" s="1"/>
  <c r="E32" i="21"/>
  <c r="E32" i="22" s="1"/>
  <c r="B31" i="21"/>
  <c r="B32" i="21"/>
  <c r="X39" i="2"/>
  <c r="O39" i="2"/>
  <c r="Q39" i="2"/>
  <c r="H39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40" i="2"/>
  <c r="G30" i="22"/>
  <c r="P39" i="4"/>
  <c r="Q40" i="2"/>
  <c r="O40" i="2"/>
  <c r="G17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C35" i="4"/>
  <c r="G30" i="21"/>
  <c r="F30" i="21"/>
  <c r="E30" i="21"/>
  <c r="E30" i="22" s="1"/>
  <c r="I30" i="22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24" i="4"/>
  <c r="G26" i="4"/>
  <c r="E8" i="4"/>
  <c r="E12" i="4"/>
  <c r="E13" i="4"/>
  <c r="E14" i="4"/>
  <c r="E15" i="4"/>
  <c r="E16" i="4"/>
  <c r="E17" i="4"/>
  <c r="E24" i="4"/>
  <c r="E26" i="4"/>
  <c r="C8" i="4"/>
  <c r="C12" i="4"/>
  <c r="C13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H38" i="2"/>
  <c r="Q37" i="2"/>
  <c r="Q38" i="2"/>
  <c r="F41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Q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23" i="4" l="1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9" i="22"/>
  <c r="G27" i="22"/>
  <c r="G28" i="22"/>
  <c r="L41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P4" i="4" l="1"/>
  <c r="V10" i="2"/>
  <c r="X10" i="2" s="1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<sst xmlns="http://schemas.openxmlformats.org/spreadsheetml/2006/main" count="478" uniqueCount="186">
  <si>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</si>
  <si>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</si>
  <si>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</si>
  <si>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</si>
  <si>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</si>
  <si>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</si>
  <si>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</si>
  <si>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</si>
  <si>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</si>
  <si>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</si>
  <si>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</si>
  <si>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</si>
  <si>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</si>
  <si>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</si>
  <si>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</si>
  <si>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</si>
  <si>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</si>
  <si>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</si>
  <si>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</si>
  <si>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</si>
  <si>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</si>
  <si>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</si>
  <si>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</si>
  <si>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</si>
  <si>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</si>
  <si>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</si>
  <si>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</si>
  <si>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</si>
  <si>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</si>
  <si>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</si>
  <si>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</si>
  <si>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</si>
  <si>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</si>
  <si>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</si>
  <si>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</si>
  <si>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</si>
  <si>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</si>
  <si>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</si>
  <si>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</si>
  <si>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</si>
  <si>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</si>
  <si>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</si>
  <si>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</si>
  <si>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</si>
  <si>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</si>
  <si>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</si>
  <si>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</si>
  <si>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</si>
  <si>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</si>
  <si>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</si>
  <si>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</si>
  <si>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</si>
  <si>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</si>
  <si>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</si>
  <si>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</si>
  <si>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</si>
  <si>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</si>
  <si>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</si>
  <si>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</si>
  <si>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</si>
  <si>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</si>
  <si>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</si>
  <si>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</si>
  <si>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</si>
  <si>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</si>
  <si>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</si>
  <si>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</si>
  <si>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</si>
  <si>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</si>
  <si>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</si>
  <si>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</si>
  <si>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</si>
  <si>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</si>
  <si>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</si>
  <si>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</si>
  <si>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</si>
  <si>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</si>
  <si>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</si>
  <si>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</si>
  <si>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</si>
  <si>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</si>
  <si>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</si>
  <si>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</si>
  <si>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</si>
  <si>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</si>
  <si>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</si>
  <si>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</si>
  <si>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</si>
  <si>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</si>
  <si>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</si>
  <si>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</si>
  <si>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</si>
  <si>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</si>
  <si>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</si>
  <si>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</si>
  <si>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</si>
  <si>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</si>
  <si>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</si>
  <si>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</si>
  <si>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</si>
  <si>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</si>
  <si>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</si>
  <si>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</si>
  <si>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</si>
  <si>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</si>
  <si>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</si>
  <si>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</si>
  <si>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</si>
  <si>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</si>
  <si>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</si>
  <si>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</si>
  <si>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</si>
  <si>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</si>
  <si>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</si>
  <si>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</si>
  <si>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</si>
  <si>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</si>
  <si>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</si>
  <si>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</si>
  <si>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</si>
  <si>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</si>
  <si>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</si>
  <si>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</si>
  <si>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</si>
  <si>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</si>
  <si>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</si>
  <si>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</si>
  <si>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</si>
  <si>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</si>
  <si>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</si>
  <si>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</si>
  <si>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2021</t>
  </si>
  <si>
    <t>01jours</t>
  </si>
  <si>
    <t>Estimation de la consommation d'Eau Sanitaire Dec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</si>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</sst>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82.799999999988358</c:v>
                </c:pt>
                <c:pt idx="1">
                  <c:v>102.10000000000582</c:v>
                </c:pt>
                <c:pt idx="2">
                  <c:v>99</c:v>
                </c:pt>
                <c:pt idx="3">
                  <c:v>71.19999999999709</c:v>
                </c:pt>
                <c:pt idx="4">
                  <c:v>76.69999999999709</c:v>
                </c:pt>
                <c:pt idx="5">
                  <c:v>93</c:v>
                </c:pt>
                <c:pt idx="6">
                  <c:v>93.200000000011642</c:v>
                </c:pt>
                <c:pt idx="7">
                  <c:v>75.100000000005821</c:v>
                </c:pt>
                <c:pt idx="8">
                  <c:v>77.599999999976717</c:v>
                </c:pt>
                <c:pt idx="9">
                  <c:v>71.800000000017462</c:v>
                </c:pt>
                <c:pt idx="10">
                  <c:v>62.5</c:v>
                </c:pt>
                <c:pt idx="11">
                  <c:v>58.399999999994179</c:v>
                </c:pt>
                <c:pt idx="12">
                  <c:v>54.799999999988358</c:v>
                </c:pt>
                <c:pt idx="13">
                  <c:v>66.700000000011642</c:v>
                </c:pt>
                <c:pt idx="14">
                  <c:v>79.600000000005821</c:v>
                </c:pt>
                <c:pt idx="15">
                  <c:v>85.699999999982538</c:v>
                </c:pt>
                <c:pt idx="16">
                  <c:v>79.5</c:v>
                </c:pt>
                <c:pt idx="17">
                  <c:v>66.900000000023283</c:v>
                </c:pt>
                <c:pt idx="18">
                  <c:v>66.699999999982538</c:v>
                </c:pt>
                <c:pt idx="19">
                  <c:v>66.100000000005821</c:v>
                </c:pt>
                <c:pt idx="20">
                  <c:v>57.600000000005821</c:v>
                </c:pt>
                <c:pt idx="21">
                  <c:v>45.100000000005821</c:v>
                </c:pt>
                <c:pt idx="22">
                  <c:v>65.899999999994179</c:v>
                </c:pt>
                <c:pt idx="23">
                  <c:v>53.699999999982538</c:v>
                </c:pt>
                <c:pt idx="24">
                  <c:v>58.400000000023283</c:v>
                </c:pt>
                <c:pt idx="25">
                  <c:v>70.099999999976717</c:v>
                </c:pt>
                <c:pt idx="26">
                  <c:v>62.200000000011642</c:v>
                </c:pt>
                <c:pt idx="27">
                  <c:v>38.799999999988358</c:v>
                </c:pt>
                <c:pt idx="28">
                  <c:v>61.800000000017462</c:v>
                </c:pt>
                <c:pt idx="29">
                  <c:v>80.5</c:v>
                </c:pt>
                <c:pt idx="30">
                  <c:v>41.600000000005821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3423</c:v>
                </c:pt>
                <c:pt idx="1">
                  <c:v>3375</c:v>
                </c:pt>
                <c:pt idx="2">
                  <c:v>3397</c:v>
                </c:pt>
                <c:pt idx="3">
                  <c:v>3041</c:v>
                </c:pt>
                <c:pt idx="4">
                  <c:v>2893</c:v>
                </c:pt>
                <c:pt idx="5">
                  <c:v>2890</c:v>
                </c:pt>
                <c:pt idx="6">
                  <c:v>2901</c:v>
                </c:pt>
                <c:pt idx="7">
                  <c:v>2753</c:v>
                </c:pt>
                <c:pt idx="8">
                  <c:v>2727</c:v>
                </c:pt>
                <c:pt idx="9">
                  <c:v>2826</c:v>
                </c:pt>
                <c:pt idx="10">
                  <c:v>2681</c:v>
                </c:pt>
                <c:pt idx="11">
                  <c:v>2765</c:v>
                </c:pt>
                <c:pt idx="12">
                  <c:v>2771</c:v>
                </c:pt>
                <c:pt idx="13">
                  <c:v>2051</c:v>
                </c:pt>
                <c:pt idx="14">
                  <c:v>2489</c:v>
                </c:pt>
                <c:pt idx="15">
                  <c:v>2765</c:v>
                </c:pt>
                <c:pt idx="16">
                  <c:v>2723</c:v>
                </c:pt>
                <c:pt idx="17">
                  <c:v>2566</c:v>
                </c:pt>
                <c:pt idx="18">
                  <c:v>2664</c:v>
                </c:pt>
                <c:pt idx="19">
                  <c:v>2552</c:v>
                </c:pt>
                <c:pt idx="20">
                  <c:v>2427</c:v>
                </c:pt>
                <c:pt idx="21">
                  <c:v>2848</c:v>
                </c:pt>
                <c:pt idx="22">
                  <c:v>2702</c:v>
                </c:pt>
                <c:pt idx="23">
                  <c:v>2589</c:v>
                </c:pt>
                <c:pt idx="24">
                  <c:v>2674</c:v>
                </c:pt>
                <c:pt idx="25">
                  <c:v>2620</c:v>
                </c:pt>
                <c:pt idx="26">
                  <c:v>2582</c:v>
                </c:pt>
                <c:pt idx="27">
                  <c:v>2462</c:v>
                </c:pt>
                <c:pt idx="28">
                  <c:v>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5315</c:v>
                </c:pt>
                <c:pt idx="1">
                  <c:v>4977</c:v>
                </c:pt>
                <c:pt idx="2">
                  <c:v>4591</c:v>
                </c:pt>
                <c:pt idx="3">
                  <c:v>4195</c:v>
                </c:pt>
                <c:pt idx="4">
                  <c:v>4245</c:v>
                </c:pt>
                <c:pt idx="5">
                  <c:v>4030</c:v>
                </c:pt>
                <c:pt idx="6">
                  <c:v>4036</c:v>
                </c:pt>
                <c:pt idx="7">
                  <c:v>3746</c:v>
                </c:pt>
                <c:pt idx="8">
                  <c:v>3928</c:v>
                </c:pt>
                <c:pt idx="9">
                  <c:v>3807</c:v>
                </c:pt>
                <c:pt idx="10">
                  <c:v>3705</c:v>
                </c:pt>
                <c:pt idx="11">
                  <c:v>3389</c:v>
                </c:pt>
                <c:pt idx="12">
                  <c:v>3503</c:v>
                </c:pt>
                <c:pt idx="13">
                  <c:v>3453</c:v>
                </c:pt>
                <c:pt idx="14">
                  <c:v>3611</c:v>
                </c:pt>
                <c:pt idx="15">
                  <c:v>3982</c:v>
                </c:pt>
                <c:pt idx="16">
                  <c:v>3811</c:v>
                </c:pt>
                <c:pt idx="17">
                  <c:v>3589</c:v>
                </c:pt>
                <c:pt idx="18">
                  <c:v>3555</c:v>
                </c:pt>
                <c:pt idx="19">
                  <c:v>3406</c:v>
                </c:pt>
                <c:pt idx="20">
                  <c:v>3384</c:v>
                </c:pt>
                <c:pt idx="21">
                  <c:v>3407</c:v>
                </c:pt>
                <c:pt idx="22">
                  <c:v>3831</c:v>
                </c:pt>
                <c:pt idx="23">
                  <c:v>3586</c:v>
                </c:pt>
                <c:pt idx="24">
                  <c:v>3624</c:v>
                </c:pt>
                <c:pt idx="25">
                  <c:v>3598</c:v>
                </c:pt>
                <c:pt idx="26">
                  <c:v>3430</c:v>
                </c:pt>
                <c:pt idx="27">
                  <c:v>3343</c:v>
                </c:pt>
                <c:pt idx="28">
                  <c:v>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  <c:pt idx="31">
                  <c:v>44562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2185</c:v>
                </c:pt>
                <c:pt idx="1">
                  <c:v>2203</c:v>
                </c:pt>
                <c:pt idx="2">
                  <c:v>2192</c:v>
                </c:pt>
                <c:pt idx="3">
                  <c:v>1913</c:v>
                </c:pt>
                <c:pt idx="4">
                  <c:v>1983</c:v>
                </c:pt>
                <c:pt idx="5">
                  <c:v>1903</c:v>
                </c:pt>
                <c:pt idx="6">
                  <c:v>1815</c:v>
                </c:pt>
                <c:pt idx="7">
                  <c:v>1546</c:v>
                </c:pt>
                <c:pt idx="8">
                  <c:v>1887</c:v>
                </c:pt>
                <c:pt idx="9">
                  <c:v>1739</c:v>
                </c:pt>
                <c:pt idx="10">
                  <c:v>1649</c:v>
                </c:pt>
                <c:pt idx="11">
                  <c:v>1598</c:v>
                </c:pt>
                <c:pt idx="12">
                  <c:v>1617</c:v>
                </c:pt>
                <c:pt idx="13">
                  <c:v>1630</c:v>
                </c:pt>
                <c:pt idx="14">
                  <c:v>1693</c:v>
                </c:pt>
                <c:pt idx="15">
                  <c:v>1891</c:v>
                </c:pt>
                <c:pt idx="16">
                  <c:v>1680</c:v>
                </c:pt>
                <c:pt idx="17">
                  <c:v>1650</c:v>
                </c:pt>
                <c:pt idx="18">
                  <c:v>1967</c:v>
                </c:pt>
                <c:pt idx="19">
                  <c:v>1602</c:v>
                </c:pt>
                <c:pt idx="20">
                  <c:v>1517</c:v>
                </c:pt>
                <c:pt idx="21">
                  <c:v>1616</c:v>
                </c:pt>
                <c:pt idx="22">
                  <c:v>1824</c:v>
                </c:pt>
                <c:pt idx="23">
                  <c:v>1702</c:v>
                </c:pt>
                <c:pt idx="24">
                  <c:v>1776</c:v>
                </c:pt>
                <c:pt idx="25">
                  <c:v>1640</c:v>
                </c:pt>
                <c:pt idx="26">
                  <c:v>1614</c:v>
                </c:pt>
                <c:pt idx="27">
                  <c:v>1550</c:v>
                </c:pt>
                <c:pt idx="28">
                  <c:v>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44531</c:v>
                </c:pt>
                <c:pt idx="1">
                  <c:v>44532</c:v>
                </c:pt>
                <c:pt idx="2">
                  <c:v>44533</c:v>
                </c:pt>
                <c:pt idx="3">
                  <c:v>44534</c:v>
                </c:pt>
                <c:pt idx="4">
                  <c:v>44535</c:v>
                </c:pt>
                <c:pt idx="5">
                  <c:v>44536</c:v>
                </c:pt>
                <c:pt idx="6">
                  <c:v>44537</c:v>
                </c:pt>
                <c:pt idx="7">
                  <c:v>44538</c:v>
                </c:pt>
                <c:pt idx="8">
                  <c:v>44539</c:v>
                </c:pt>
                <c:pt idx="9">
                  <c:v>44540</c:v>
                </c:pt>
                <c:pt idx="10">
                  <c:v>44541</c:v>
                </c:pt>
                <c:pt idx="11">
                  <c:v>44542</c:v>
                </c:pt>
                <c:pt idx="12">
                  <c:v>44543</c:v>
                </c:pt>
                <c:pt idx="13">
                  <c:v>44544</c:v>
                </c:pt>
                <c:pt idx="14">
                  <c:v>44545</c:v>
                </c:pt>
                <c:pt idx="15">
                  <c:v>44546</c:v>
                </c:pt>
                <c:pt idx="16">
                  <c:v>44547</c:v>
                </c:pt>
                <c:pt idx="17">
                  <c:v>44548</c:v>
                </c:pt>
                <c:pt idx="18">
                  <c:v>44549</c:v>
                </c:pt>
                <c:pt idx="19">
                  <c:v>44550</c:v>
                </c:pt>
                <c:pt idx="20">
                  <c:v>44551</c:v>
                </c:pt>
                <c:pt idx="21">
                  <c:v>44552</c:v>
                </c:pt>
                <c:pt idx="22">
                  <c:v>44553</c:v>
                </c:pt>
                <c:pt idx="23">
                  <c:v>44554</c:v>
                </c:pt>
                <c:pt idx="24">
                  <c:v>44555</c:v>
                </c:pt>
                <c:pt idx="25">
                  <c:v>44556</c:v>
                </c:pt>
                <c:pt idx="26">
                  <c:v>44557</c:v>
                </c:pt>
                <c:pt idx="27">
                  <c:v>44558</c:v>
                </c:pt>
                <c:pt idx="28">
                  <c:v>44559</c:v>
                </c:pt>
                <c:pt idx="29">
                  <c:v>44560</c:v>
                </c:pt>
                <c:pt idx="30">
                  <c:v>44561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767.98104000000001</c:v>
                </c:pt>
                <c:pt idx="1">
                  <c:v>191.99526</c:v>
                </c:pt>
                <c:pt idx="2">
                  <c:v>191.99526</c:v>
                </c:pt>
                <c:pt idx="3">
                  <c:v>256.4776</c:v>
                </c:pt>
                <c:pt idx="4">
                  <c:v>543.98657000000003</c:v>
                </c:pt>
                <c:pt idx="5">
                  <c:v>223.99447000000001</c:v>
                </c:pt>
                <c:pt idx="6">
                  <c:v>95.997630000000001</c:v>
                </c:pt>
                <c:pt idx="7">
                  <c:v>383.99052</c:v>
                </c:pt>
                <c:pt idx="8">
                  <c:v>287.99288999999999</c:v>
                </c:pt>
                <c:pt idx="9">
                  <c:v>159.99605</c:v>
                </c:pt>
                <c:pt idx="10">
                  <c:v>319.99209999999999</c:v>
                </c:pt>
                <c:pt idx="11">
                  <c:v>383.99052</c:v>
                </c:pt>
                <c:pt idx="12">
                  <c:v>159.99605</c:v>
                </c:pt>
                <c:pt idx="13">
                  <c:v>511.98736000000002</c:v>
                </c:pt>
                <c:pt idx="14">
                  <c:v>63.998420000000003</c:v>
                </c:pt>
                <c:pt idx="15">
                  <c:v>223.99447000000001</c:v>
                </c:pt>
                <c:pt idx="16">
                  <c:v>191.99526</c:v>
                </c:pt>
                <c:pt idx="17">
                  <c:v>415.98973000000001</c:v>
                </c:pt>
                <c:pt idx="18">
                  <c:v>447.98894000000001</c:v>
                </c:pt>
                <c:pt idx="19">
                  <c:v>95.997630000000001</c:v>
                </c:pt>
                <c:pt idx="20">
                  <c:v>255.99368000000001</c:v>
                </c:pt>
                <c:pt idx="21">
                  <c:v>223.99447000000001</c:v>
                </c:pt>
                <c:pt idx="22">
                  <c:v>223.99447000000001</c:v>
                </c:pt>
                <c:pt idx="23">
                  <c:v>287.99288999999999</c:v>
                </c:pt>
                <c:pt idx="24">
                  <c:v>319.99209999999999</c:v>
                </c:pt>
                <c:pt idx="25">
                  <c:v>127.99684000000001</c:v>
                </c:pt>
                <c:pt idx="26">
                  <c:v>479.98815000000002</c:v>
                </c:pt>
                <c:pt idx="27">
                  <c:v>351.99131</c:v>
                </c:pt>
                <c:pt idx="28">
                  <c:v>319.99209999999999</c:v>
                </c:pt>
                <c:pt idx="29">
                  <c:v>255.99368000000001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workbookViewId="0">
      <selection activeCell="L30" sqref="L30:L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12</v>
      </c>
      <c r="D2" s="141">
        <v>2021</v>
      </c>
      <c r="E2" s="137">
        <f>submetering!E2+submetering!F2+submetering!G2</f>
        <v>10923</v>
      </c>
      <c r="F2" s="134">
        <v>1.05</v>
      </c>
      <c r="G2" s="134">
        <f>'Consommation mensuel énergie'!V10</f>
        <v>767.98104000000001</v>
      </c>
      <c r="H2" s="134">
        <v>9.9649999999999999</v>
      </c>
      <c r="I2" s="134">
        <f>'Consommation mensuel énergie'!F10</f>
        <v>82.799999999988358</v>
      </c>
      <c r="J2" s="134">
        <v>11.4</v>
      </c>
      <c r="K2" s="137">
        <f>'Consommation mensuel énergie'!D10</f>
        <v>42</v>
      </c>
      <c r="L2" s="137">
        <f>'Consommation mensuel énergie'!E10</f>
        <v>59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submetering!E3+submetering!F3+submetering!G3</f>
        <v>10335</v>
      </c>
      <c r="F3" s="134">
        <v>1.05</v>
      </c>
      <c r="G3" s="134">
        <f>'Consommation mensuel énergie'!V11</f>
        <v>191.99526</v>
      </c>
      <c r="H3" s="134">
        <v>9.9649999999999999</v>
      </c>
      <c r="I3" s="134">
        <f>'Consommation mensuel énergie'!F11</f>
        <v>102.10000000000582</v>
      </c>
      <c r="J3" s="134">
        <v>11.4</v>
      </c>
      <c r="K3" s="137">
        <f>'Consommation mensuel énergie'!D11</f>
        <v>43</v>
      </c>
      <c r="L3" s="137">
        <f>'Consommation mensuel énergie'!E11</f>
        <v>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submetering!E4+submetering!F4+submetering!G4</f>
        <v>10180</v>
      </c>
      <c r="F4" s="134">
        <v>1.05</v>
      </c>
      <c r="G4" s="134">
        <f>'Consommation mensuel énergie'!V12</f>
        <v>191.99526</v>
      </c>
      <c r="H4" s="134">
        <v>9.9649999999999999</v>
      </c>
      <c r="I4" s="134">
        <f>'Consommation mensuel énergie'!F12</f>
        <v>99</v>
      </c>
      <c r="J4" s="134">
        <v>11.4</v>
      </c>
      <c r="K4" s="137">
        <f>'Consommation mensuel énergie'!D12</f>
        <v>32</v>
      </c>
      <c r="L4" s="137">
        <f>'Consommation mensuel énergie'!E12</f>
        <v>49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submetering!E5+submetering!F5+submetering!G5</f>
        <v>9149</v>
      </c>
      <c r="F5" s="134">
        <v>1.05</v>
      </c>
      <c r="G5" s="134">
        <f>'Consommation mensuel énergie'!V13</f>
        <v>256.4776</v>
      </c>
      <c r="H5" s="134">
        <v>9.9649999999999999</v>
      </c>
      <c r="I5" s="134">
        <f>'Consommation mensuel énergie'!F13</f>
        <v>71.19999999999709</v>
      </c>
      <c r="J5" s="134">
        <v>11.4</v>
      </c>
      <c r="K5" s="137">
        <f>'Consommation mensuel énergie'!D13</f>
        <v>39</v>
      </c>
      <c r="L5" s="137">
        <f>'Consommation mensuel énergie'!E13</f>
        <v>71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submetering!E6+submetering!F6+submetering!G6</f>
        <v>9121</v>
      </c>
      <c r="F6" s="134">
        <v>1.05</v>
      </c>
      <c r="G6" s="134">
        <f>'Consommation mensuel énergie'!V14</f>
        <v>543.98657000000003</v>
      </c>
      <c r="H6" s="134">
        <v>9.9649999999999999</v>
      </c>
      <c r="I6" s="134">
        <f>'Consommation mensuel énergie'!F14</f>
        <v>76.69999999999709</v>
      </c>
      <c r="J6" s="134">
        <v>11.4</v>
      </c>
      <c r="K6" s="137">
        <f>'Consommation mensuel énergie'!D14</f>
        <v>26</v>
      </c>
      <c r="L6" s="137">
        <f>'Consommation mensuel énergie'!E14</f>
        <v>37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submetering!E7+submetering!F7+submetering!G7</f>
        <v>8823</v>
      </c>
      <c r="F7" s="134">
        <v>1.05</v>
      </c>
      <c r="G7" s="134">
        <f>'Consommation mensuel énergie'!V15</f>
        <v>223.99447000000001</v>
      </c>
      <c r="H7" s="134">
        <v>9.9649999999999999</v>
      </c>
      <c r="I7" s="134">
        <f>'Consommation mensuel énergie'!F15</f>
        <v>93</v>
      </c>
      <c r="J7" s="134">
        <v>11.4</v>
      </c>
      <c r="K7" s="137">
        <f>'Consommation mensuel énergie'!D15</f>
        <v>19</v>
      </c>
      <c r="L7" s="137">
        <f>'Consommation mensuel énergie'!E15</f>
        <v>27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submetering!E8+submetering!F8+submetering!G8</f>
        <v>8752</v>
      </c>
      <c r="F8" s="134">
        <v>1.05</v>
      </c>
      <c r="G8" s="134">
        <f>'Consommation mensuel énergie'!V16</f>
        <v>95.997630000000001</v>
      </c>
      <c r="H8" s="134">
        <v>9.9649999999999999</v>
      </c>
      <c r="I8" s="134">
        <f>'Consommation mensuel énergie'!F16</f>
        <v>93.200000000011642</v>
      </c>
      <c r="J8" s="134">
        <v>11.4</v>
      </c>
      <c r="K8" s="137">
        <f>'Consommation mensuel énergie'!D16</f>
        <v>15</v>
      </c>
      <c r="L8" s="137">
        <f>'Consommation mensuel énergie'!E16</f>
        <v>21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submetering!E9+submetering!F9+submetering!G9</f>
        <v>8045</v>
      </c>
      <c r="F9" s="134">
        <v>1.05</v>
      </c>
      <c r="G9" s="134">
        <f>'Consommation mensuel énergie'!V17</f>
        <v>383.99052</v>
      </c>
      <c r="H9" s="134">
        <v>9.9649999999999999</v>
      </c>
      <c r="I9" s="134">
        <f>'Consommation mensuel énergie'!F17</f>
        <v>75.100000000005821</v>
      </c>
      <c r="J9" s="134">
        <v>11.4</v>
      </c>
      <c r="K9" s="137">
        <f>'Consommation mensuel énergie'!D17</f>
        <v>8</v>
      </c>
      <c r="L9" s="137">
        <f>'Consommation mensuel énergie'!E17</f>
        <v>12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submetering!E10+submetering!F10+submetering!G10</f>
        <v>8542</v>
      </c>
      <c r="F10" s="134">
        <v>1.05</v>
      </c>
      <c r="G10" s="134">
        <f>'Consommation mensuel énergie'!V19</f>
        <v>159.99605</v>
      </c>
      <c r="H10" s="134">
        <v>9.9649999999999999</v>
      </c>
      <c r="I10" s="134">
        <f>'Consommation mensuel énergie'!F18</f>
        <v>77.599999999976717</v>
      </c>
      <c r="J10" s="134">
        <v>11.4</v>
      </c>
      <c r="K10" s="137">
        <f>'Consommation mensuel énergie'!D18</f>
        <v>11</v>
      </c>
      <c r="L10" s="137">
        <f>'Consommation mensuel énergie'!E18</f>
        <v>16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submetering!E11+submetering!F11+submetering!G11</f>
        <v>8372</v>
      </c>
      <c r="F11" s="134">
        <v>1.05</v>
      </c>
      <c r="G11" s="134">
        <f>'Consommation mensuel énergie'!V20</f>
        <v>319.99209999999999</v>
      </c>
      <c r="H11" s="134">
        <v>9.9649999999999999</v>
      </c>
      <c r="I11" s="134">
        <f>'Consommation mensuel énergie'!F19</f>
        <v>71.800000000017462</v>
      </c>
      <c r="J11" s="134">
        <v>11.4</v>
      </c>
      <c r="K11" s="137">
        <f>'Consommation mensuel énergie'!D19</f>
        <v>14</v>
      </c>
      <c r="L11" s="137">
        <f>'Consommation mensuel énergie'!E19</f>
        <v>24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submetering!E12+submetering!F12+submetering!G12</f>
        <v>8035</v>
      </c>
      <c r="F12" s="134">
        <v>1.05</v>
      </c>
      <c r="G12" s="134">
        <f>'Consommation mensuel énergie'!V21</f>
        <v>383.99052</v>
      </c>
      <c r="H12" s="134">
        <v>9.9649999999999999</v>
      </c>
      <c r="I12" s="134">
        <f>'Consommation mensuel énergie'!F20</f>
        <v>62.5</v>
      </c>
      <c r="J12" s="134">
        <v>11.4</v>
      </c>
      <c r="K12" s="137">
        <f>'Consommation mensuel énergie'!D20</f>
        <v>28</v>
      </c>
      <c r="L12" s="137">
        <f>'Consommation mensuel énergie'!E20</f>
        <v>55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submetering!E13+submetering!F13+submetering!G13</f>
        <v>7752</v>
      </c>
      <c r="F13" s="134">
        <v>1.05</v>
      </c>
      <c r="G13" s="134">
        <f>'Consommation mensuel énergie'!V22</f>
        <v>159.99605</v>
      </c>
      <c r="H13" s="134">
        <v>9.9649999999999999</v>
      </c>
      <c r="I13" s="134">
        <f>'Consommation mensuel énergie'!F21</f>
        <v>58.399999999994179</v>
      </c>
      <c r="J13" s="134">
        <v>11.4</v>
      </c>
      <c r="K13" s="137">
        <f>'Consommation mensuel énergie'!D21</f>
        <v>14</v>
      </c>
      <c r="L13" s="137">
        <f>'Consommation mensuel énergie'!E21</f>
        <v>24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submetering!E14+submetering!F14+submetering!G14</f>
        <v>7891</v>
      </c>
      <c r="F14" s="134">
        <v>1.05</v>
      </c>
      <c r="G14" s="134">
        <f>'Consommation mensuel énergie'!V23</f>
        <v>511.98736000000002</v>
      </c>
      <c r="H14" s="134">
        <v>9.9649999999999999</v>
      </c>
      <c r="I14" s="134">
        <f>'Consommation mensuel énergie'!F22</f>
        <v>54.799999999988358</v>
      </c>
      <c r="J14" s="134">
        <v>11.4</v>
      </c>
      <c r="K14" s="137">
        <f>'Consommation mensuel énergie'!D22</f>
        <v>12</v>
      </c>
      <c r="L14" s="137">
        <f>'Consommation mensuel énergie'!E22</f>
        <v>23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submetering!E15+submetering!F15+submetering!G15</f>
        <v>7134</v>
      </c>
      <c r="F15" s="134">
        <v>1.05</v>
      </c>
      <c r="G15" s="134">
        <f>'Consommation mensuel énergie'!V24</f>
        <v>63.998420000000003</v>
      </c>
      <c r="H15" s="134">
        <v>9.9649999999999999</v>
      </c>
      <c r="I15" s="134">
        <f>'Consommation mensuel énergie'!F23</f>
        <v>66.700000000011642</v>
      </c>
      <c r="J15" s="134">
        <v>11.4</v>
      </c>
      <c r="K15" s="137">
        <f>'Consommation mensuel énergie'!D23</f>
        <v>11</v>
      </c>
      <c r="L15" s="137">
        <f>'Consommation mensuel énergie'!E23</f>
        <v>22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submetering!E16+submetering!F16+submetering!G16</f>
        <v>7793</v>
      </c>
      <c r="F16" s="134">
        <v>1.05</v>
      </c>
      <c r="G16" s="134">
        <f>'Consommation mensuel énergie'!V25</f>
        <v>223.99447000000001</v>
      </c>
      <c r="H16" s="134">
        <v>9.9649999999999999</v>
      </c>
      <c r="I16" s="134">
        <f>'Consommation mensuel énergie'!F24</f>
        <v>79.600000000005821</v>
      </c>
      <c r="J16" s="134">
        <v>11.4</v>
      </c>
      <c r="K16" s="137">
        <f>'Consommation mensuel énergie'!D24</f>
        <v>11</v>
      </c>
      <c r="L16" s="137">
        <f>'Consommation mensuel énergie'!E24</f>
        <v>20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submetering!E17+submetering!F17+submetering!G17</f>
        <v>8638</v>
      </c>
      <c r="F17" s="134">
        <v>1.05</v>
      </c>
      <c r="G17" s="134">
        <f>'Consommation mensuel énergie'!V26</f>
        <v>191.99526</v>
      </c>
      <c r="H17" s="134">
        <v>9.9649999999999999</v>
      </c>
      <c r="I17" s="134">
        <f>'Consommation mensuel énergie'!F25</f>
        <v>85.699999999982538</v>
      </c>
      <c r="J17" s="134">
        <v>11.4</v>
      </c>
      <c r="K17" s="137">
        <f>'Consommation mensuel énergie'!D25</f>
        <v>19</v>
      </c>
      <c r="L17" s="137">
        <f>'Consommation mensuel énergie'!E25</f>
        <v>31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submetering!E18+submetering!F18+submetering!G18</f>
        <v>8214</v>
      </c>
      <c r="F18" s="134">
        <v>1.05</v>
      </c>
      <c r="G18" s="134">
        <f>'Consommation mensuel énergie'!V27</f>
        <v>415.98973000000001</v>
      </c>
      <c r="H18" s="134">
        <v>9.9649999999999999</v>
      </c>
      <c r="I18" s="134">
        <f>'Consommation mensuel énergie'!F26</f>
        <v>79.5</v>
      </c>
      <c r="J18" s="134">
        <v>11.4</v>
      </c>
      <c r="K18" s="137">
        <f>'Consommation mensuel énergie'!D26</f>
        <v>22</v>
      </c>
      <c r="L18" s="137">
        <f>'Consommation mensuel énergie'!E26</f>
        <v>38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submetering!E19+submetering!F19+submetering!G19</f>
        <v>7805</v>
      </c>
      <c r="F19" s="134">
        <v>1.05</v>
      </c>
      <c r="G19" s="134">
        <f>'Consommation mensuel énergie'!V28</f>
        <v>447.98894000000001</v>
      </c>
      <c r="H19" s="134">
        <v>9.9649999999999999</v>
      </c>
      <c r="I19" s="134">
        <f>'Consommation mensuel énergie'!F27</f>
        <v>66.900000000023283</v>
      </c>
      <c r="J19" s="134">
        <v>11.4</v>
      </c>
      <c r="K19" s="137">
        <f>'Consommation mensuel énergie'!D27</f>
        <v>21</v>
      </c>
      <c r="L19" s="137">
        <f>'Consommation mensuel énergie'!E27</f>
        <v>38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submetering!E20+submetering!F20+submetering!G20</f>
        <v>8186</v>
      </c>
      <c r="F20" s="134">
        <v>1.05</v>
      </c>
      <c r="G20" s="134">
        <f>'Consommation mensuel énergie'!V29</f>
        <v>95.997630000000001</v>
      </c>
      <c r="H20" s="134">
        <v>9.9649999999999999</v>
      </c>
      <c r="I20" s="134">
        <f>'Consommation mensuel énergie'!F28</f>
        <v>66.699999999982538</v>
      </c>
      <c r="J20" s="134">
        <v>11.4</v>
      </c>
      <c r="K20" s="137">
        <f>'Consommation mensuel énergie'!D28</f>
        <v>18</v>
      </c>
      <c r="L20" s="137">
        <f>'Consommation mensuel énergie'!E28</f>
        <v>26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submetering!E21+submetering!F21+submetering!G21</f>
        <v>7560</v>
      </c>
      <c r="F21" s="134">
        <v>1.05</v>
      </c>
      <c r="G21" s="134">
        <f>'Consommation mensuel énergie'!V30</f>
        <v>255.99368000000001</v>
      </c>
      <c r="H21" s="134">
        <v>9.9649999999999999</v>
      </c>
      <c r="I21" s="134">
        <f>'Consommation mensuel énergie'!F29</f>
        <v>66.100000000005821</v>
      </c>
      <c r="J21" s="134">
        <v>11.4</v>
      </c>
      <c r="K21" s="137">
        <f>'Consommation mensuel énergie'!D29</f>
        <v>8</v>
      </c>
      <c r="L21" s="137">
        <f>'Consommation mensuel énergie'!E29</f>
        <v>14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submetering!E22+submetering!F22+submetering!G22</f>
        <v>7328</v>
      </c>
      <c r="F22" s="134">
        <v>1.05</v>
      </c>
      <c r="G22" s="134">
        <f>'Consommation mensuel énergie'!V31</f>
        <v>223.99447000000001</v>
      </c>
      <c r="H22" s="134">
        <v>9.9649999999999999</v>
      </c>
      <c r="I22" s="134">
        <f>'Consommation mensuel énergie'!F30</f>
        <v>57.600000000005821</v>
      </c>
      <c r="J22" s="134">
        <v>11.4</v>
      </c>
      <c r="K22" s="137">
        <f>'Consommation mensuel énergie'!D30</f>
        <v>11</v>
      </c>
      <c r="L22" s="137">
        <f>'Consommation mensuel énergie'!E30</f>
        <v>16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submetering!E23+submetering!F23+submetering!G23</f>
        <v>7871</v>
      </c>
      <c r="F23" s="134">
        <v>1.05</v>
      </c>
      <c r="G23" s="134">
        <f>'Consommation mensuel énergie'!V32</f>
        <v>223.99447000000001</v>
      </c>
      <c r="H23" s="134">
        <v>9.9649999999999999</v>
      </c>
      <c r="I23" s="134">
        <f>'Consommation mensuel énergie'!F31</f>
        <v>45.100000000005821</v>
      </c>
      <c r="J23" s="134">
        <v>11.4</v>
      </c>
      <c r="K23" s="137">
        <f>'Consommation mensuel énergie'!D31</f>
        <v>11</v>
      </c>
      <c r="L23" s="137">
        <f>'Consommation mensuel énergie'!E31</f>
        <v>18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submetering!E24+submetering!F24+submetering!G24</f>
        <v>8357</v>
      </c>
      <c r="F24" s="134">
        <v>1.05</v>
      </c>
      <c r="G24" s="134">
        <f>'Consommation mensuel énergie'!V33</f>
        <v>287.99288999999999</v>
      </c>
      <c r="H24" s="134">
        <v>9.9649999999999999</v>
      </c>
      <c r="I24" s="134">
        <f>'Consommation mensuel énergie'!F32</f>
        <v>65.899999999994179</v>
      </c>
      <c r="J24" s="134">
        <v>11.4</v>
      </c>
      <c r="K24" s="137">
        <f>'Consommation mensuel énergie'!D32</f>
        <v>18</v>
      </c>
      <c r="L24" s="137">
        <f>'Consommation mensuel énergie'!E32</f>
        <v>33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submetering!E25+submetering!F25+submetering!G25</f>
        <v>7877</v>
      </c>
      <c r="F25" s="134">
        <v>1.05</v>
      </c>
      <c r="G25" s="134">
        <f>'Consommation mensuel énergie'!V34</f>
        <v>319.99209999999999</v>
      </c>
      <c r="H25" s="134">
        <v>9.9649999999999999</v>
      </c>
      <c r="I25" s="134">
        <f>'Consommation mensuel énergie'!F33</f>
        <v>53.699999999982538</v>
      </c>
      <c r="J25" s="134">
        <v>11.4</v>
      </c>
      <c r="K25" s="137">
        <f>'Consommation mensuel énergie'!D33</f>
        <v>22</v>
      </c>
      <c r="L25" s="137">
        <f>'Consommation mensuel énergie'!E33</f>
        <v>33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submetering!E26+submetering!F26+submetering!G26</f>
        <v>8074</v>
      </c>
      <c r="F26" s="134">
        <v>1.05</v>
      </c>
      <c r="G26" s="134">
        <f>'Consommation mensuel énergie'!V35</f>
        <v>127.99684000000001</v>
      </c>
      <c r="H26" s="134">
        <v>9.9649999999999999</v>
      </c>
      <c r="I26" s="134">
        <f>'Consommation mensuel énergie'!F34</f>
        <v>58.400000000023283</v>
      </c>
      <c r="J26" s="134">
        <v>11.4</v>
      </c>
      <c r="K26" s="137">
        <f>'Consommation mensuel énergie'!D34</f>
        <v>30</v>
      </c>
      <c r="L26" s="137">
        <f>'Consommation mensuel énergie'!E34</f>
        <v>44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submetering!E27+submetering!F27+submetering!G27</f>
        <v>7858</v>
      </c>
      <c r="F27" s="134">
        <v>1.05</v>
      </c>
      <c r="G27" s="134">
        <f>'Consommation mensuel énergie'!V36</f>
        <v>479.98815000000002</v>
      </c>
      <c r="H27" s="134">
        <v>9.9649999999999999</v>
      </c>
      <c r="I27" s="134">
        <f>'Consommation mensuel énergie'!F35</f>
        <v>70.099999999976717</v>
      </c>
      <c r="J27" s="134">
        <v>11.4</v>
      </c>
      <c r="K27" s="137">
        <f>'Consommation mensuel énergie'!D35</f>
        <v>21</v>
      </c>
      <c r="L27" s="137">
        <f>'Consommation mensuel énergie'!E35</f>
        <v>43</v>
      </c>
      <c r="M27" s="133"/>
    </row>
    <row r="28" spans="1:13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submetering!E28+submetering!F28+submetering!G28</f>
        <v>7626</v>
      </c>
      <c r="F28" s="134">
        <v>1.05</v>
      </c>
      <c r="G28" s="134">
        <f>'Consommation mensuel énergie'!V37</f>
        <v>351.99131</v>
      </c>
      <c r="H28" s="134">
        <v>9.9649999999999999</v>
      </c>
      <c r="I28" s="134">
        <f>'Consommation mensuel énergie'!F36</f>
        <v>62.200000000011642</v>
      </c>
      <c r="J28" s="134">
        <v>11.4</v>
      </c>
      <c r="K28" s="137">
        <f>'Consommation mensuel énergie'!D36</f>
        <v>11</v>
      </c>
      <c r="L28" s="137">
        <f>'Consommation mensuel énergie'!E36</f>
        <v>25</v>
      </c>
      <c r="M28" s="133"/>
    </row>
    <row r="29" spans="1:13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submetering!E29+submetering!F29+submetering!G29</f>
        <v>7355</v>
      </c>
      <c r="F29" s="134">
        <v>1.05</v>
      </c>
      <c r="G29" s="134">
        <f>'Consommation mensuel énergie'!V38</f>
        <v>319.99209999999999</v>
      </c>
      <c r="H29" s="134">
        <v>9.9649999999999999</v>
      </c>
      <c r="I29" s="134">
        <f>'Consommation mensuel énergie'!F37</f>
        <v>38.799999999988358</v>
      </c>
      <c r="J29" s="134">
        <v>11.4</v>
      </c>
      <c r="K29" s="137">
        <f>'Consommation mensuel énergie'!D37</f>
        <v>19</v>
      </c>
      <c r="L29" s="137">
        <f>'Consommation mensuel énergie'!E37</f>
        <v>43</v>
      </c>
      <c r="M29" s="133"/>
    </row>
    <row r="30" spans="1:13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submetering!E30+submetering!F30+submetering!G30</f>
        <v>7568</v>
      </c>
      <c r="F30" s="134">
        <v>1.05</v>
      </c>
      <c r="G30" s="134">
        <f>'Consommation mensuel énergie'!V40</f>
        <v>0</v>
      </c>
      <c r="H30" s="134">
        <v>9.9649999999999999</v>
      </c>
      <c r="I30" s="134">
        <f>'Consommation mensuel énergie'!F38</f>
        <v>61.800000000017462</v>
      </c>
      <c r="J30" s="134">
        <v>11.4</v>
      </c>
      <c r="K30" s="137">
        <f>'Consommation mensuel énergie'!D38</f>
        <v>32</v>
      </c>
      <c r="L30" s="137">
        <f>'Consommation mensuel énergie'!E38</f>
        <v>28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submetering!E31+submetering!F31+submetering!G31</f>
        <v>7532</v>
      </c>
      <c r="F31" s="134">
        <v>1.05</v>
      </c>
      <c r="G31" s="134">
        <f>'Consommation mensuel énergie'!V41</f>
        <v>8768.2674599999973</v>
      </c>
      <c r="H31" s="134">
        <v>9.9649999999999999</v>
      </c>
      <c r="I31" s="134">
        <f>'Consommation mensuel énergie'!F39</f>
        <v>80.5</v>
      </c>
      <c r="J31" s="134">
        <v>11.4</v>
      </c>
      <c r="K31" s="137">
        <f>'Consommation mensuel énergie'!D39</f>
        <v>19</v>
      </c>
      <c r="L31" s="137">
        <f>'Consommation mensuel énergie'!E39</f>
        <v>44</v>
      </c>
      <c r="M31" s="133"/>
    </row>
    <row r="32" spans="1:13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submetering!E32+submetering!F32+submetering!G32</f>
        <v>7638</v>
      </c>
      <c r="F32" s="134">
        <v>1.05</v>
      </c>
      <c r="G32" s="134">
        <f>'Consommation mensuel énergie'!V42</f>
        <v>0</v>
      </c>
      <c r="H32" s="134">
        <v>9.9649999999999999</v>
      </c>
      <c r="I32" s="134">
        <f>'Consommation mensuel énergie'!F40</f>
        <v>41.600000000005821</v>
      </c>
      <c r="J32" s="134">
        <v>11.4</v>
      </c>
      <c r="K32" s="137">
        <f>'Consommation mensuel énergie'!D40</f>
        <v>0</v>
      </c>
      <c r="L32" s="137">
        <f>'Consommation mensuel énergie'!E40</f>
        <v>0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12</v>
      </c>
      <c r="D2" s="141">
        <v>2021</v>
      </c>
      <c r="E2" s="137">
        <f>'Consommation mensuel énergie'!L10</f>
        <v>3423</v>
      </c>
      <c r="F2" s="137">
        <f>'Consommation mensuel énergie'!M10</f>
        <v>5315</v>
      </c>
      <c r="G2" s="137">
        <f>'Consommation mensuel énergie'!N10</f>
        <v>2185</v>
      </c>
      <c r="H2" s="137">
        <f>'Consommation mensuel énergie'!D10</f>
        <v>42</v>
      </c>
      <c r="I2" s="137">
        <f>'Consommation mensuel énergie'!E10</f>
        <v>59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12</v>
      </c>
      <c r="D3" s="141">
        <v>2021</v>
      </c>
      <c r="E3" s="137">
        <f>'Consommation mensuel énergie'!L11</f>
        <v>3375</v>
      </c>
      <c r="F3" s="137">
        <f>'Consommation mensuel énergie'!M11</f>
        <v>4977</v>
      </c>
      <c r="G3" s="137">
        <f>'Consommation mensuel énergie'!N14</f>
        <v>1983</v>
      </c>
      <c r="H3" s="137">
        <f>'Consommation mensuel énergie'!D11</f>
        <v>43</v>
      </c>
      <c r="I3" s="137">
        <f>'Consommation mensuel énergie'!E11</f>
        <v>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12</v>
      </c>
      <c r="D4" s="141">
        <v>2021</v>
      </c>
      <c r="E4" s="137">
        <f>'Consommation mensuel énergie'!L12</f>
        <v>3397</v>
      </c>
      <c r="F4" s="137">
        <f>'Consommation mensuel énergie'!M12</f>
        <v>4591</v>
      </c>
      <c r="G4" s="137">
        <f>'Consommation mensuel énergie'!N12</f>
        <v>2192</v>
      </c>
      <c r="H4" s="137">
        <f>'Consommation mensuel énergie'!D12</f>
        <v>32</v>
      </c>
      <c r="I4" s="137">
        <f>'Consommation mensuel énergie'!E12</f>
        <v>49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12</v>
      </c>
      <c r="D5" s="141">
        <v>2021</v>
      </c>
      <c r="E5" s="137">
        <f>'Consommation mensuel énergie'!L13</f>
        <v>3041</v>
      </c>
      <c r="F5" s="137">
        <f>'Consommation mensuel énergie'!M13</f>
        <v>4195</v>
      </c>
      <c r="G5" s="137">
        <f>'Consommation mensuel énergie'!N13</f>
        <v>1913</v>
      </c>
      <c r="H5" s="137">
        <f>'Consommation mensuel énergie'!D13</f>
        <v>39</v>
      </c>
      <c r="I5" s="137">
        <f>'Consommation mensuel énergie'!E13</f>
        <v>71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12</v>
      </c>
      <c r="D6" s="141">
        <v>2021</v>
      </c>
      <c r="E6" s="137">
        <f>'Consommation mensuel énergie'!L14</f>
        <v>2893</v>
      </c>
      <c r="F6" s="137">
        <f>'Consommation mensuel énergie'!M14</f>
        <v>4245</v>
      </c>
      <c r="G6" s="137">
        <f>'Consommation mensuel énergie'!N14</f>
        <v>1983</v>
      </c>
      <c r="H6" s="137">
        <f>'Consommation mensuel énergie'!D14</f>
        <v>26</v>
      </c>
      <c r="I6" s="137">
        <f>'Consommation mensuel énergie'!E14</f>
        <v>37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12</v>
      </c>
      <c r="D7" s="141">
        <v>2021</v>
      </c>
      <c r="E7" s="137">
        <f>'Consommation mensuel énergie'!L15</f>
        <v>2890</v>
      </c>
      <c r="F7" s="137">
        <f>'Consommation mensuel énergie'!M15</f>
        <v>4030</v>
      </c>
      <c r="G7" s="137">
        <f>'Consommation mensuel énergie'!N15</f>
        <v>1903</v>
      </c>
      <c r="H7" s="137">
        <f>'Consommation mensuel énergie'!D15</f>
        <v>19</v>
      </c>
      <c r="I7" s="137">
        <f>'Consommation mensuel énergie'!E15</f>
        <v>27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12</v>
      </c>
      <c r="D8" s="141">
        <v>2021</v>
      </c>
      <c r="E8" s="137">
        <f>'Consommation mensuel énergie'!L16</f>
        <v>2901</v>
      </c>
      <c r="F8" s="137">
        <f>'Consommation mensuel énergie'!M16</f>
        <v>4036</v>
      </c>
      <c r="G8" s="137">
        <f>'Consommation mensuel énergie'!N16</f>
        <v>1815</v>
      </c>
      <c r="H8" s="137">
        <f>'Consommation mensuel énergie'!D16</f>
        <v>15</v>
      </c>
      <c r="I8" s="137">
        <f>'Consommation mensuel énergie'!E16</f>
        <v>21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12</v>
      </c>
      <c r="D9" s="141">
        <v>2021</v>
      </c>
      <c r="E9" s="137">
        <f>'Consommation mensuel énergie'!L17</f>
        <v>2753</v>
      </c>
      <c r="F9" s="137">
        <f>'Consommation mensuel énergie'!M17</f>
        <v>3746</v>
      </c>
      <c r="G9" s="137">
        <f>'Consommation mensuel énergie'!N17</f>
        <v>1546</v>
      </c>
      <c r="H9" s="137">
        <f>'Consommation mensuel énergie'!D17</f>
        <v>8</v>
      </c>
      <c r="I9" s="137">
        <f>'Consommation mensuel énergie'!E17</f>
        <v>12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12</v>
      </c>
      <c r="D10" s="141">
        <v>2021</v>
      </c>
      <c r="E10" s="137">
        <f>'Consommation mensuel énergie'!L18</f>
        <v>2727</v>
      </c>
      <c r="F10" s="137">
        <f>'Consommation mensuel énergie'!M18</f>
        <v>3928</v>
      </c>
      <c r="G10" s="137">
        <f>'Consommation mensuel énergie'!N18</f>
        <v>1887</v>
      </c>
      <c r="H10" s="137">
        <f>'Consommation mensuel énergie'!D18</f>
        <v>11</v>
      </c>
      <c r="I10" s="137">
        <f>'Consommation mensuel énergie'!E18</f>
        <v>16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12</v>
      </c>
      <c r="D11" s="141">
        <v>2021</v>
      </c>
      <c r="E11" s="137">
        <f>'Consommation mensuel énergie'!L19</f>
        <v>2826</v>
      </c>
      <c r="F11" s="137">
        <f>'Consommation mensuel énergie'!M19</f>
        <v>3807</v>
      </c>
      <c r="G11" s="137">
        <f>'Consommation mensuel énergie'!N19</f>
        <v>1739</v>
      </c>
      <c r="H11" s="137">
        <f>'Consommation mensuel énergie'!D19</f>
        <v>14</v>
      </c>
      <c r="I11" s="137">
        <f>'Consommation mensuel énergie'!E19</f>
        <v>24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12</v>
      </c>
      <c r="D12" s="141">
        <v>2021</v>
      </c>
      <c r="E12" s="137">
        <f>'Consommation mensuel énergie'!L20</f>
        <v>2681</v>
      </c>
      <c r="F12" s="137">
        <f>'Consommation mensuel énergie'!M20</f>
        <v>3705</v>
      </c>
      <c r="G12" s="137">
        <f>'Consommation mensuel énergie'!N20</f>
        <v>1649</v>
      </c>
      <c r="H12" s="137">
        <f>'Consommation mensuel énergie'!D20</f>
        <v>28</v>
      </c>
      <c r="I12" s="137">
        <f>'Consommation mensuel énergie'!E20</f>
        <v>55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12</v>
      </c>
      <c r="D13" s="141">
        <v>2021</v>
      </c>
      <c r="E13" s="137">
        <f>'Consommation mensuel énergie'!L21</f>
        <v>2765</v>
      </c>
      <c r="F13" s="137">
        <f>'Consommation mensuel énergie'!M21</f>
        <v>3389</v>
      </c>
      <c r="G13" s="137">
        <f>'Consommation mensuel énergie'!N21</f>
        <v>1598</v>
      </c>
      <c r="H13" s="137">
        <f>'Consommation mensuel énergie'!D21</f>
        <v>14</v>
      </c>
      <c r="I13" s="137">
        <f>'Consommation mensuel énergie'!E21</f>
        <v>24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12</v>
      </c>
      <c r="D14" s="141">
        <v>2021</v>
      </c>
      <c r="E14" s="137">
        <f>'Consommation mensuel énergie'!L22</f>
        <v>2771</v>
      </c>
      <c r="F14" s="137">
        <f>'Consommation mensuel énergie'!M22</f>
        <v>3503</v>
      </c>
      <c r="G14" s="137">
        <f>'Consommation mensuel énergie'!N22</f>
        <v>1617</v>
      </c>
      <c r="H14" s="137">
        <f>'Consommation mensuel énergie'!D22</f>
        <v>12</v>
      </c>
      <c r="I14" s="137">
        <f>'Consommation mensuel énergie'!E22</f>
        <v>23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12</v>
      </c>
      <c r="D15" s="141">
        <v>2021</v>
      </c>
      <c r="E15" s="137">
        <f>'Consommation mensuel énergie'!L23</f>
        <v>2051</v>
      </c>
      <c r="F15" s="137">
        <f>'Consommation mensuel énergie'!M23</f>
        <v>3453</v>
      </c>
      <c r="G15" s="137">
        <f>'Consommation mensuel énergie'!N23</f>
        <v>1630</v>
      </c>
      <c r="H15" s="137">
        <f>'Consommation mensuel énergie'!D23</f>
        <v>11</v>
      </c>
      <c r="I15" s="137">
        <f>'Consommation mensuel énergie'!E23</f>
        <v>22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12</v>
      </c>
      <c r="D16" s="141">
        <v>2021</v>
      </c>
      <c r="E16" s="137">
        <f>'Consommation mensuel énergie'!L24</f>
        <v>2489</v>
      </c>
      <c r="F16" s="137">
        <f>'Consommation mensuel énergie'!M24</f>
        <v>3611</v>
      </c>
      <c r="G16" s="137">
        <f>'Consommation mensuel énergie'!N24</f>
        <v>1693</v>
      </c>
      <c r="H16" s="137">
        <f>'Consommation mensuel énergie'!D24</f>
        <v>11</v>
      </c>
      <c r="I16" s="137">
        <f>'Consommation mensuel énergie'!E24</f>
        <v>20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12</v>
      </c>
      <c r="D17" s="141">
        <v>2021</v>
      </c>
      <c r="E17" s="137">
        <f>'Consommation mensuel énergie'!L25</f>
        <v>2765</v>
      </c>
      <c r="F17" s="137">
        <f>'Consommation mensuel énergie'!M25</f>
        <v>3982</v>
      </c>
      <c r="G17" s="137">
        <f>'Consommation mensuel énergie'!N25</f>
        <v>1891</v>
      </c>
      <c r="H17" s="137">
        <f>'Consommation mensuel énergie'!D25</f>
        <v>19</v>
      </c>
      <c r="I17" s="137">
        <f>'Consommation mensuel énergie'!E25</f>
        <v>31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12</v>
      </c>
      <c r="D18" s="141">
        <v>2021</v>
      </c>
      <c r="E18" s="137">
        <f>'Consommation mensuel énergie'!L26</f>
        <v>2723</v>
      </c>
      <c r="F18" s="137">
        <f>'Consommation mensuel énergie'!M26</f>
        <v>3811</v>
      </c>
      <c r="G18" s="137">
        <f>'Consommation mensuel énergie'!N26</f>
        <v>1680</v>
      </c>
      <c r="H18" s="137">
        <f>'Consommation mensuel énergie'!D26</f>
        <v>22</v>
      </c>
      <c r="I18" s="137">
        <f>'Consommation mensuel énergie'!E26</f>
        <v>38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12</v>
      </c>
      <c r="D19" s="141">
        <v>2021</v>
      </c>
      <c r="E19" s="137">
        <f>'Consommation mensuel énergie'!L27</f>
        <v>2566</v>
      </c>
      <c r="F19" s="137">
        <f>'Consommation mensuel énergie'!M27</f>
        <v>3589</v>
      </c>
      <c r="G19" s="137">
        <f>'Consommation mensuel énergie'!N27</f>
        <v>1650</v>
      </c>
      <c r="H19" s="137">
        <f>'Consommation mensuel énergie'!D27</f>
        <v>21</v>
      </c>
      <c r="I19" s="137">
        <f>'Consommation mensuel énergie'!E27</f>
        <v>38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12</v>
      </c>
      <c r="D20" s="141">
        <v>2021</v>
      </c>
      <c r="E20" s="137">
        <f>'Consommation mensuel énergie'!L28</f>
        <v>2664</v>
      </c>
      <c r="F20" s="137">
        <f>'Consommation mensuel énergie'!M28</f>
        <v>3555</v>
      </c>
      <c r="G20" s="137">
        <f>'Consommation mensuel énergie'!N28</f>
        <v>1967</v>
      </c>
      <c r="H20" s="137">
        <f>'Consommation mensuel énergie'!D28</f>
        <v>18</v>
      </c>
      <c r="I20" s="137">
        <f>'Consommation mensuel énergie'!E28</f>
        <v>26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12</v>
      </c>
      <c r="D21" s="141">
        <v>2021</v>
      </c>
      <c r="E21" s="137">
        <f>'Consommation mensuel énergie'!L29</f>
        <v>2552</v>
      </c>
      <c r="F21" s="137">
        <f>'Consommation mensuel énergie'!M29</f>
        <v>3406</v>
      </c>
      <c r="G21" s="137">
        <f>'Consommation mensuel énergie'!N29</f>
        <v>1602</v>
      </c>
      <c r="H21" s="137">
        <f>'Consommation mensuel énergie'!D29</f>
        <v>8</v>
      </c>
      <c r="I21" s="137">
        <f>'Consommation mensuel énergie'!E29</f>
        <v>14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12</v>
      </c>
      <c r="D22" s="141">
        <v>2021</v>
      </c>
      <c r="E22" s="137">
        <f>'Consommation mensuel énergie'!L30</f>
        <v>2427</v>
      </c>
      <c r="F22" s="137">
        <f>'Consommation mensuel énergie'!M30</f>
        <v>3384</v>
      </c>
      <c r="G22" s="137">
        <f>'Consommation mensuel énergie'!N30</f>
        <v>1517</v>
      </c>
      <c r="H22" s="137">
        <f>'Consommation mensuel énergie'!D30</f>
        <v>11</v>
      </c>
      <c r="I22" s="137">
        <f>'Consommation mensuel énergie'!E30</f>
        <v>16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12</v>
      </c>
      <c r="D23" s="141">
        <v>2021</v>
      </c>
      <c r="E23" s="137">
        <f>'Consommation mensuel énergie'!L31</f>
        <v>2848</v>
      </c>
      <c r="F23" s="137">
        <f>'Consommation mensuel énergie'!M31</f>
        <v>3407</v>
      </c>
      <c r="G23" s="137">
        <f>'Consommation mensuel énergie'!N31</f>
        <v>1616</v>
      </c>
      <c r="H23" s="137">
        <f>'Consommation mensuel énergie'!D31</f>
        <v>11</v>
      </c>
      <c r="I23" s="137">
        <f>'Consommation mensuel énergie'!E31</f>
        <v>18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12</v>
      </c>
      <c r="D24" s="141">
        <v>2021</v>
      </c>
      <c r="E24" s="137">
        <f>'Consommation mensuel énergie'!L32</f>
        <v>2702</v>
      </c>
      <c r="F24" s="137">
        <f>'Consommation mensuel énergie'!M32</f>
        <v>3831</v>
      </c>
      <c r="G24" s="137">
        <f>'Consommation mensuel énergie'!N32</f>
        <v>1824</v>
      </c>
      <c r="H24" s="137">
        <f>'Consommation mensuel énergie'!D32</f>
        <v>18</v>
      </c>
      <c r="I24" s="137">
        <f>'Consommation mensuel énergie'!E32</f>
        <v>33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12</v>
      </c>
      <c r="D25" s="141">
        <v>2021</v>
      </c>
      <c r="E25" s="137">
        <f>'Consommation mensuel énergie'!L33</f>
        <v>2589</v>
      </c>
      <c r="F25" s="137">
        <f>'Consommation mensuel énergie'!M33</f>
        <v>3586</v>
      </c>
      <c r="G25" s="137">
        <f>'Consommation mensuel énergie'!N33</f>
        <v>1702</v>
      </c>
      <c r="H25" s="137">
        <f>'Consommation mensuel énergie'!D33</f>
        <v>22</v>
      </c>
      <c r="I25" s="137">
        <f>'Consommation mensuel énergie'!E33</f>
        <v>33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12</v>
      </c>
      <c r="D26" s="141">
        <v>2021</v>
      </c>
      <c r="E26" s="137">
        <f>'Consommation mensuel énergie'!L34</f>
        <v>2674</v>
      </c>
      <c r="F26" s="137">
        <f>'Consommation mensuel énergie'!M34</f>
        <v>3624</v>
      </c>
      <c r="G26" s="137">
        <f>'Consommation mensuel énergie'!N34</f>
        <v>1776</v>
      </c>
      <c r="H26" s="137">
        <f>'Consommation mensuel énergie'!D34</f>
        <v>30</v>
      </c>
      <c r="I26" s="137">
        <f>'Consommation mensuel énergie'!E34</f>
        <v>44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12</v>
      </c>
      <c r="D27" s="141">
        <v>2021</v>
      </c>
      <c r="E27" s="137">
        <f>'Consommation mensuel énergie'!L35</f>
        <v>2620</v>
      </c>
      <c r="F27" s="137">
        <f>'Consommation mensuel énergie'!M35</f>
        <v>3598</v>
      </c>
      <c r="G27" s="137">
        <f>'Consommation mensuel énergie'!N35</f>
        <v>1640</v>
      </c>
      <c r="H27" s="137">
        <f>'Consommation mensuel énergie'!D35</f>
        <v>21</v>
      </c>
      <c r="I27" s="137">
        <f>'Consommation mensuel énergie'!E35</f>
        <v>43</v>
      </c>
      <c r="J27" s="133"/>
    </row>
    <row r="28" spans="1:10">
      <c r="A28" s="136" t="s">
        <v>13</v>
      </c>
      <c r="B28" s="140">
        <f t="shared" si="1"/>
        <v>27</v>
      </c>
      <c r="C28" s="140">
        <v>12</v>
      </c>
      <c r="D28" s="141">
        <v>2021</v>
      </c>
      <c r="E28" s="137">
        <f>'Consommation mensuel énergie'!L36</f>
        <v>2582</v>
      </c>
      <c r="F28" s="137">
        <f>'Consommation mensuel énergie'!M36</f>
        <v>3430</v>
      </c>
      <c r="G28" s="137">
        <f>'Consommation mensuel énergie'!N36</f>
        <v>1614</v>
      </c>
      <c r="H28" s="137">
        <f>'Consommation mensuel énergie'!D36</f>
        <v>11</v>
      </c>
      <c r="I28" s="137">
        <f>'Consommation mensuel énergie'!E36</f>
        <v>25</v>
      </c>
      <c r="J28" s="133"/>
    </row>
    <row r="29" spans="1:10">
      <c r="A29" s="136" t="s">
        <v>13</v>
      </c>
      <c r="B29" s="140">
        <f t="shared" si="1"/>
        <v>28</v>
      </c>
      <c r="C29" s="140">
        <v>12</v>
      </c>
      <c r="D29" s="141">
        <v>2021</v>
      </c>
      <c r="E29" s="137">
        <f>'Consommation mensuel énergie'!L37</f>
        <v>2462</v>
      </c>
      <c r="F29" s="137">
        <f>'Consommation mensuel énergie'!M37</f>
        <v>3343</v>
      </c>
      <c r="G29" s="137">
        <f>'Consommation mensuel énergie'!N37</f>
        <v>1550</v>
      </c>
      <c r="H29" s="137">
        <f>'Consommation mensuel énergie'!D37</f>
        <v>19</v>
      </c>
      <c r="I29" s="137">
        <f>'Consommation mensuel énergie'!E37</f>
        <v>43</v>
      </c>
      <c r="J29" s="133"/>
    </row>
    <row r="30" spans="1:10">
      <c r="A30" s="136" t="s">
        <v>13</v>
      </c>
      <c r="B30" s="140">
        <f t="shared" si="1"/>
        <v>29</v>
      </c>
      <c r="C30" s="140">
        <v>12</v>
      </c>
      <c r="D30" s="141">
        <v>2021</v>
      </c>
      <c r="E30" s="137">
        <f>'Consommation mensuel énergie'!L38</f>
        <v>2533</v>
      </c>
      <c r="F30" s="137">
        <f>'Consommation mensuel énergie'!M38</f>
        <v>3428</v>
      </c>
      <c r="G30" s="137">
        <f>'Consommation mensuel énergie'!N38</f>
        <v>1607</v>
      </c>
      <c r="H30" s="137">
        <f>'Consommation mensuel énergie'!D38</f>
        <v>32</v>
      </c>
      <c r="I30" s="137">
        <f>'Consommation mensuel énergie'!E38</f>
        <v>28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12</v>
      </c>
      <c r="D31" s="141">
        <v>2021</v>
      </c>
      <c r="E31" s="137">
        <f>'Consommation mensuel énergie'!L39</f>
        <v>2516</v>
      </c>
      <c r="F31" s="137">
        <f>'Consommation mensuel énergie'!M39</f>
        <v>3418</v>
      </c>
      <c r="G31" s="137">
        <f>'Consommation mensuel énergie'!N39</f>
        <v>1598</v>
      </c>
      <c r="H31" s="137">
        <f>'Consommation mensuel énergie'!D39</f>
        <v>19</v>
      </c>
      <c r="I31" s="137">
        <f>'Consommation mensuel énergie'!E39</f>
        <v>44</v>
      </c>
      <c r="J31" s="133"/>
    </row>
    <row r="32" spans="1:10">
      <c r="A32" s="136" t="s">
        <v>13</v>
      </c>
      <c r="B32" s="140">
        <f t="shared" si="1"/>
        <v>31</v>
      </c>
      <c r="C32" s="140">
        <v>12</v>
      </c>
      <c r="D32" s="141">
        <v>2021</v>
      </c>
      <c r="E32" s="137">
        <f>'Consommation mensuel énergie'!L40</f>
        <v>2619</v>
      </c>
      <c r="F32" s="137">
        <f>'Consommation mensuel énergie'!M40</f>
        <v>3400</v>
      </c>
      <c r="G32" s="137">
        <f>'Consommation mensuel énergie'!N40</f>
        <v>1619</v>
      </c>
      <c r="H32" s="137">
        <f>'Consommation mensuel énergie'!D40</f>
        <v>0</v>
      </c>
      <c r="I32" s="137">
        <f>'Consommation mensuel énergie'!E40</f>
        <v>0</v>
      </c>
      <c r="J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35" activePane="bottomRight" state="frozen"/>
      <selection pane="bottomRight" activeCell="E40" sqref="E40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2"/>
      <c r="B2" s="233"/>
      <c r="C2" s="233"/>
      <c r="D2" s="233"/>
      <c r="E2" s="233"/>
      <c r="F2" s="233"/>
      <c r="G2" s="233"/>
      <c r="H2" s="234"/>
      <c r="I2" s="243" t="s">
        <v>17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</row>
    <row r="3" spans="1:24" ht="15" hidden="1" customHeight="1" thickBot="1"/>
    <row r="4" spans="1:24" ht="39" hidden="1" customHeight="1" thickBot="1">
      <c r="A4" s="235"/>
      <c r="B4" s="235"/>
      <c r="C4" s="235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5"/>
      <c r="B5" s="235"/>
      <c r="C5" s="235"/>
      <c r="D5" s="5"/>
      <c r="E5" s="5"/>
      <c r="F5" s="5"/>
      <c r="G5" s="5"/>
      <c r="H5" s="5"/>
      <c r="I5" s="5"/>
      <c r="J5" s="5"/>
      <c r="K5" s="5"/>
      <c r="L5" s="5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</row>
    <row r="6" spans="1:24" s="5" customFormat="1" ht="44.25" hidden="1" customHeight="1" thickBot="1">
      <c r="A6" s="3"/>
      <c r="B6" s="3"/>
      <c r="C6" s="3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</row>
    <row r="7" spans="1:24" s="5" customFormat="1" ht="18.75" hidden="1" customHeight="1" thickBot="1">
      <c r="F7" s="236"/>
      <c r="G7" s="236"/>
      <c r="H7" s="236"/>
      <c r="I7" s="236"/>
      <c r="J7" s="236"/>
      <c r="K7" s="236"/>
      <c r="L7" s="236"/>
      <c r="M7" s="236"/>
      <c r="N7" s="245"/>
      <c r="O7" s="245"/>
      <c r="P7" s="236"/>
      <c r="Q7" s="236"/>
      <c r="R7" s="236"/>
      <c r="S7" s="236"/>
      <c r="T7" s="236"/>
      <c r="U7" s="236"/>
      <c r="V7" s="236"/>
      <c r="W7" s="236"/>
      <c r="X7" s="236"/>
    </row>
    <row r="8" spans="1:24" ht="18.75" customHeight="1" thickBot="1">
      <c r="A8" s="236"/>
      <c r="B8" s="247" t="s">
        <v>19</v>
      </c>
      <c r="C8" s="4"/>
      <c r="D8" s="207" t="s">
        <v>20</v>
      </c>
      <c r="E8" s="207" t="s">
        <v>21</v>
      </c>
      <c r="F8" s="230" t="s">
        <v>22</v>
      </c>
      <c r="G8" s="2"/>
      <c r="H8" s="237" t="s">
        <v>23</v>
      </c>
      <c r="I8" s="238"/>
      <c r="J8" s="239"/>
      <c r="K8" s="248" t="s">
        <v>24</v>
      </c>
      <c r="L8" s="229" t="s">
        <v>25</v>
      </c>
      <c r="M8" s="229"/>
      <c r="N8" s="229"/>
      <c r="O8" s="229" t="s">
        <v>26</v>
      </c>
      <c r="P8" s="2"/>
      <c r="Q8" s="209" t="s">
        <v>23</v>
      </c>
      <c r="R8" s="2"/>
      <c r="S8" s="209" t="s">
        <v>27</v>
      </c>
      <c r="T8" s="2"/>
      <c r="U8" s="209" t="s">
        <v>28</v>
      </c>
      <c r="V8" s="211" t="s">
        <v>29</v>
      </c>
      <c r="W8" s="2"/>
      <c r="X8" s="209" t="s">
        <v>23</v>
      </c>
    </row>
    <row r="9" spans="1:24" ht="59.25" customHeight="1" thickBot="1">
      <c r="A9" s="236"/>
      <c r="B9" s="247"/>
      <c r="C9" s="4"/>
      <c r="D9" s="208"/>
      <c r="E9" s="208"/>
      <c r="F9" s="231"/>
      <c r="G9" s="2"/>
      <c r="H9" s="240"/>
      <c r="I9" s="241"/>
      <c r="J9" s="242"/>
      <c r="K9" s="249"/>
      <c r="L9" s="155" t="s">
        <v>30</v>
      </c>
      <c r="M9" s="155" t="s">
        <v>31</v>
      </c>
      <c r="N9" s="155" t="s">
        <v>32</v>
      </c>
      <c r="O9" s="246"/>
      <c r="P9" s="2"/>
      <c r="Q9" s="210"/>
      <c r="R9" s="2"/>
      <c r="S9" s="210"/>
      <c r="T9" s="2"/>
      <c r="U9" s="210"/>
      <c r="V9" s="212"/>
      <c r="W9" s="2"/>
      <c r="X9" s="210"/>
    </row>
    <row r="10" spans="1:24" ht="32.25" customHeight="1">
      <c r="A10" s="2"/>
      <c r="B10" s="6">
        <v>44531</v>
      </c>
      <c r="C10" s="7"/>
      <c r="D10" s="143">
        <v>42</v>
      </c>
      <c r="E10" s="143">
        <v>59</v>
      </c>
      <c r="F10" s="13">
        <f>'Suivi EAU-ELEC'!E9</f>
        <v>82.799999999988358</v>
      </c>
      <c r="G10" s="11"/>
      <c r="H10" s="166">
        <f>F10*8.79</f>
        <v>727.81199999989758</v>
      </c>
      <c r="I10" s="167"/>
      <c r="J10" s="167"/>
      <c r="K10" s="60">
        <v>42278</v>
      </c>
      <c r="L10" s="90">
        <f>'Suivi EAU-ELEC'!G9</f>
        <v>3423</v>
      </c>
      <c r="M10" s="91">
        <f>'Suivi EAU-ELEC'!I9</f>
        <v>5315</v>
      </c>
      <c r="N10" s="91">
        <f>'Suivi EAU-ELEC'!K9</f>
        <v>2185</v>
      </c>
      <c r="O10" s="91">
        <f>L10+M10+N10</f>
        <v>10923</v>
      </c>
      <c r="P10" s="11"/>
      <c r="Q10" s="34">
        <f>L10*0.6985+M10*0.9514+N10*1.3304</f>
        <v>10354.5805</v>
      </c>
      <c r="R10" s="11"/>
      <c r="S10" s="28"/>
      <c r="T10" s="11"/>
      <c r="U10" s="28"/>
      <c r="V10" s="146">
        <f>'Suvi Gaz'!O4</f>
        <v>767.98104000000001</v>
      </c>
      <c r="W10" s="11"/>
      <c r="X10" s="34">
        <f>V10*10.491</f>
        <v>8056.8890906400002</v>
      </c>
    </row>
    <row r="11" spans="1:24" ht="32.25" customHeight="1">
      <c r="A11" s="2"/>
      <c r="B11" s="6">
        <v>44532</v>
      </c>
      <c r="C11" s="7"/>
      <c r="D11" s="143">
        <v>43</v>
      </c>
      <c r="E11" s="143">
        <v>63</v>
      </c>
      <c r="F11" s="13">
        <f>'Suivi EAU-ELEC'!E10</f>
        <v>102.10000000000582</v>
      </c>
      <c r="G11" s="11"/>
      <c r="H11" s="166">
        <f t="shared" ref="H11:H21" si="0">F11*8.79</f>
        <v>897.45900000005111</v>
      </c>
      <c r="I11" s="167"/>
      <c r="J11" s="167"/>
      <c r="K11" s="60">
        <v>42279</v>
      </c>
      <c r="L11" s="90">
        <f>'Suivi EAU-ELEC'!G10</f>
        <v>3375</v>
      </c>
      <c r="M11" s="91">
        <f>'Suivi EAU-ELEC'!I10</f>
        <v>4977</v>
      </c>
      <c r="N11" s="91">
        <f>'Suivi EAU-ELEC'!K10</f>
        <v>2203</v>
      </c>
      <c r="O11" s="91">
        <f>L11+M11+N11</f>
        <v>10555</v>
      </c>
      <c r="P11" s="11"/>
      <c r="Q11" s="34">
        <f>L11*0.6985+M11*0.9514+N14*1.3304</f>
        <v>9730.7384999999995</v>
      </c>
      <c r="R11" s="11"/>
      <c r="S11" s="28"/>
      <c r="T11" s="11"/>
      <c r="U11" s="28"/>
      <c r="V11" s="146">
        <f>'Suvi Gaz'!O5</f>
        <v>191.99526</v>
      </c>
      <c r="W11" s="11"/>
      <c r="X11" s="34">
        <f t="shared" ref="X11:X40" si="1">V11*10.491</f>
        <v>2014.22227266</v>
      </c>
    </row>
    <row r="12" spans="1:24" ht="32.25" customHeight="1">
      <c r="A12" s="2"/>
      <c r="B12" s="6">
        <v>44533</v>
      </c>
      <c r="C12" s="7"/>
      <c r="D12" s="143">
        <v>32</v>
      </c>
      <c r="E12" s="143">
        <v>49</v>
      </c>
      <c r="F12" s="13">
        <f>'Suivi EAU-ELEC'!E11</f>
        <v>99</v>
      </c>
      <c r="G12" s="11"/>
      <c r="H12" s="166">
        <f t="shared" si="0"/>
        <v>870.20999999999992</v>
      </c>
      <c r="I12" s="167"/>
      <c r="J12" s="167"/>
      <c r="K12" s="60">
        <v>42280</v>
      </c>
      <c r="L12" s="90">
        <f>'Suivi EAU-ELEC'!G11</f>
        <v>3397</v>
      </c>
      <c r="M12" s="91">
        <f>'Suivi EAU-ELEC'!I11</f>
        <v>4591</v>
      </c>
      <c r="N12" s="91">
        <f>'Suivi EAU-ELEC'!K11</f>
        <v>2192</v>
      </c>
      <c r="O12" s="91">
        <f>L12+M12+N12</f>
        <v>10180</v>
      </c>
      <c r="P12" s="11"/>
      <c r="Q12" s="34">
        <f>L12*0.6985+M12*0.9514+N12*1.3304</f>
        <v>9656.9187000000002</v>
      </c>
      <c r="R12" s="11"/>
      <c r="S12" s="28"/>
      <c r="T12" s="11"/>
      <c r="U12" s="28"/>
      <c r="V12" s="146">
        <f>'Suvi Gaz'!O6</f>
        <v>191.99526</v>
      </c>
      <c r="W12" s="11"/>
      <c r="X12" s="34">
        <f t="shared" si="1"/>
        <v>2014.22227266</v>
      </c>
    </row>
    <row r="13" spans="1:24" ht="32.25" customHeight="1">
      <c r="A13" s="2"/>
      <c r="B13" s="6">
        <v>44534</v>
      </c>
      <c r="C13" s="7"/>
      <c r="D13" s="143">
        <v>39</v>
      </c>
      <c r="E13" s="143">
        <v>71</v>
      </c>
      <c r="F13" s="13">
        <f>'Suivi EAU-ELEC'!E12</f>
        <v>71.19999999999709</v>
      </c>
      <c r="G13" s="11"/>
      <c r="H13" s="166">
        <f t="shared" si="0"/>
        <v>625.84799999997438</v>
      </c>
      <c r="I13" s="167"/>
      <c r="J13" s="167"/>
      <c r="K13" s="60">
        <v>42281</v>
      </c>
      <c r="L13" s="90">
        <f>'Suivi EAU-ELEC'!G12</f>
        <v>3041</v>
      </c>
      <c r="M13" s="91">
        <f>'Suivi EAU-ELEC'!I12</f>
        <v>4195</v>
      </c>
      <c r="N13" s="91">
        <f>'Suivi EAU-ELEC'!K12</f>
        <v>1913</v>
      </c>
      <c r="O13" s="91">
        <f t="shared" ref="O13:O40" si="2">L13+M13+N13</f>
        <v>9149</v>
      </c>
      <c r="P13" s="11"/>
      <c r="Q13" s="34">
        <f t="shared" ref="Q13:Q40" si="3">L13*0.6985+M13*0.9514+N13*1.3304</f>
        <v>8660.3167000000012</v>
      </c>
      <c r="R13" s="11"/>
      <c r="S13" s="28"/>
      <c r="T13" s="11"/>
      <c r="U13" s="28"/>
      <c r="V13" s="146">
        <f>'Suvi Gaz'!O7</f>
        <v>256.4776</v>
      </c>
      <c r="W13" s="11"/>
      <c r="X13" s="34">
        <f t="shared" si="1"/>
        <v>2690.7065015999997</v>
      </c>
    </row>
    <row r="14" spans="1:24" ht="32.25" customHeight="1">
      <c r="A14" s="2"/>
      <c r="B14" s="6">
        <v>44535</v>
      </c>
      <c r="C14" s="7"/>
      <c r="D14" s="143">
        <v>26</v>
      </c>
      <c r="E14" s="143">
        <v>37</v>
      </c>
      <c r="F14" s="13">
        <f>'Suivi EAU-ELEC'!E13</f>
        <v>76.69999999999709</v>
      </c>
      <c r="G14" s="12"/>
      <c r="H14" s="166">
        <f t="shared" si="0"/>
        <v>674.1929999999744</v>
      </c>
      <c r="I14" s="167"/>
      <c r="J14" s="167"/>
      <c r="K14" s="60">
        <v>42282</v>
      </c>
      <c r="L14" s="90">
        <f>'Suivi EAU-ELEC'!G13</f>
        <v>2893</v>
      </c>
      <c r="M14" s="91">
        <f>'Suivi EAU-ELEC'!I13</f>
        <v>4245</v>
      </c>
      <c r="N14" s="91">
        <f>'Suivi EAU-ELEC'!K13</f>
        <v>1983</v>
      </c>
      <c r="O14" s="91">
        <f t="shared" si="2"/>
        <v>9121</v>
      </c>
      <c r="P14" s="12"/>
      <c r="Q14" s="34">
        <f t="shared" si="3"/>
        <v>8697.6367000000009</v>
      </c>
      <c r="R14" s="12"/>
      <c r="S14" s="28"/>
      <c r="T14" s="12"/>
      <c r="U14" s="28"/>
      <c r="V14" s="146">
        <f>'Suvi Gaz'!O8</f>
        <v>543.98657000000003</v>
      </c>
      <c r="W14" s="11"/>
      <c r="X14" s="34">
        <f t="shared" si="1"/>
        <v>5706.9631058699997</v>
      </c>
    </row>
    <row r="15" spans="1:24" ht="32.25" customHeight="1">
      <c r="A15" s="5"/>
      <c r="B15" s="6">
        <v>44536</v>
      </c>
      <c r="C15" s="7"/>
      <c r="D15" s="143">
        <v>19</v>
      </c>
      <c r="E15" s="143">
        <v>27</v>
      </c>
      <c r="F15" s="13">
        <f>'Suivi EAU-ELEC'!E14</f>
        <v>93</v>
      </c>
      <c r="G15" s="11"/>
      <c r="H15" s="166">
        <f t="shared" si="0"/>
        <v>817.46999999999991</v>
      </c>
      <c r="I15" s="167"/>
      <c r="J15" s="167"/>
      <c r="K15" s="60">
        <v>42283</v>
      </c>
      <c r="L15" s="90">
        <f>'Suivi EAU-ELEC'!G14</f>
        <v>2890</v>
      </c>
      <c r="M15" s="91">
        <f>'Suivi EAU-ELEC'!I14</f>
        <v>4030</v>
      </c>
      <c r="N15" s="91">
        <f>'Suivi EAU-ELEC'!K14</f>
        <v>1903</v>
      </c>
      <c r="O15" s="91">
        <f t="shared" si="2"/>
        <v>8823</v>
      </c>
      <c r="P15" s="12"/>
      <c r="Q15" s="34">
        <f>L15*0.6985+M15*0.9514+N15*1.3304</f>
        <v>8384.5582000000013</v>
      </c>
      <c r="R15" s="12"/>
      <c r="S15" s="28"/>
      <c r="T15" s="12"/>
      <c r="U15" s="28"/>
      <c r="V15" s="146">
        <f>'Suvi Gaz'!O9</f>
        <v>223.99447000000001</v>
      </c>
      <c r="W15" s="11"/>
      <c r="X15" s="34">
        <f t="shared" si="1"/>
        <v>2349.92598477</v>
      </c>
    </row>
    <row r="16" spans="1:24" ht="32.25" customHeight="1">
      <c r="A16" s="5"/>
      <c r="B16" s="6">
        <v>44537</v>
      </c>
      <c r="C16" s="7"/>
      <c r="D16" s="143">
        <v>15</v>
      </c>
      <c r="E16" s="143">
        <v>21</v>
      </c>
      <c r="F16" s="13">
        <f>'Suivi EAU-ELEC'!E15</f>
        <v>93.200000000011642</v>
      </c>
      <c r="G16" s="11"/>
      <c r="H16" s="166">
        <f t="shared" si="0"/>
        <v>819.22800000010227</v>
      </c>
      <c r="I16" s="167"/>
      <c r="J16" s="167"/>
      <c r="K16" s="60">
        <v>42284</v>
      </c>
      <c r="L16" s="90">
        <f>'Suivi EAU-ELEC'!G15</f>
        <v>2901</v>
      </c>
      <c r="M16" s="91">
        <f>'Suivi EAU-ELEC'!I15</f>
        <v>4036</v>
      </c>
      <c r="N16" s="91">
        <f>'Suivi EAU-ELEC'!K15</f>
        <v>1815</v>
      </c>
      <c r="O16" s="91">
        <f t="shared" si="2"/>
        <v>8752</v>
      </c>
      <c r="P16" s="11"/>
      <c r="Q16" s="34">
        <f t="shared" si="3"/>
        <v>8280.8749000000007</v>
      </c>
      <c r="R16" s="11"/>
      <c r="S16" s="28"/>
      <c r="T16" s="11"/>
      <c r="U16" s="28"/>
      <c r="V16" s="146">
        <f>'Suvi Gaz'!O10</f>
        <v>95.997630000000001</v>
      </c>
      <c r="W16" s="11"/>
      <c r="X16" s="34">
        <f t="shared" si="1"/>
        <v>1007.11113633</v>
      </c>
    </row>
    <row r="17" spans="1:24" s="5" customFormat="1" ht="32.25" customHeight="1">
      <c r="A17" s="2"/>
      <c r="B17" s="6">
        <v>44538</v>
      </c>
      <c r="C17" s="7"/>
      <c r="D17" s="143">
        <v>8</v>
      </c>
      <c r="E17" s="143">
        <v>12</v>
      </c>
      <c r="F17" s="13">
        <f>'Suivi EAU-ELEC'!E16</f>
        <v>75.100000000005821</v>
      </c>
      <c r="G17" s="11"/>
      <c r="H17" s="166">
        <f t="shared" si="0"/>
        <v>660.12900000005106</v>
      </c>
      <c r="I17" s="167"/>
      <c r="J17" s="167"/>
      <c r="K17" s="60">
        <v>42285</v>
      </c>
      <c r="L17" s="90">
        <f>'Suivi EAU-ELEC'!G16</f>
        <v>2753</v>
      </c>
      <c r="M17" s="91">
        <f>'Suivi EAU-ELEC'!I16</f>
        <v>3746</v>
      </c>
      <c r="N17" s="91">
        <f>'Suivi EAU-ELEC'!K16</f>
        <v>1546</v>
      </c>
      <c r="O17" s="91">
        <f t="shared" si="2"/>
        <v>8045</v>
      </c>
      <c r="P17" s="12"/>
      <c r="Q17" s="34">
        <f t="shared" si="3"/>
        <v>7543.7133000000013</v>
      </c>
      <c r="R17" s="12"/>
      <c r="S17" s="28"/>
      <c r="T17" s="12"/>
      <c r="U17" s="28"/>
      <c r="V17" s="146">
        <f>'Suvi Gaz'!O11</f>
        <v>383.99052</v>
      </c>
      <c r="W17" s="11"/>
      <c r="X17" s="34">
        <f t="shared" si="1"/>
        <v>4028.4445453200001</v>
      </c>
    </row>
    <row r="18" spans="1:24" ht="32.25" customHeight="1">
      <c r="A18" s="2"/>
      <c r="B18" s="6">
        <v>44539</v>
      </c>
      <c r="C18" s="7"/>
      <c r="D18" s="143">
        <v>11</v>
      </c>
      <c r="E18" s="143">
        <v>16</v>
      </c>
      <c r="F18" s="13">
        <f>'Suivi EAU-ELEC'!E17</f>
        <v>77.599999999976717</v>
      </c>
      <c r="G18" s="11"/>
      <c r="H18" s="166">
        <f t="shared" si="0"/>
        <v>682.10399999979529</v>
      </c>
      <c r="I18" s="167"/>
      <c r="J18" s="167"/>
      <c r="K18" s="60">
        <v>42286</v>
      </c>
      <c r="L18" s="90">
        <f>'Suivi EAU-ELEC'!G17</f>
        <v>2727</v>
      </c>
      <c r="M18" s="91">
        <f>'Suivi EAU-ELEC'!I17</f>
        <v>3928</v>
      </c>
      <c r="N18" s="91">
        <f>'Suivi EAU-ELEC'!K17</f>
        <v>1887</v>
      </c>
      <c r="O18" s="91">
        <f t="shared" si="2"/>
        <v>8542</v>
      </c>
      <c r="P18" s="12"/>
      <c r="Q18" s="34">
        <f t="shared" si="3"/>
        <v>8152.3734999999997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3021.33340899</v>
      </c>
    </row>
    <row r="19" spans="1:24" ht="32.25" customHeight="1">
      <c r="A19" s="2"/>
      <c r="B19" s="6">
        <v>44540</v>
      </c>
      <c r="C19" s="7"/>
      <c r="D19" s="143">
        <v>14</v>
      </c>
      <c r="E19" s="143">
        <v>24</v>
      </c>
      <c r="F19" s="13">
        <f>'Suivi EAU-ELEC'!E18</f>
        <v>71.800000000017462</v>
      </c>
      <c r="G19" s="12"/>
      <c r="H19" s="166">
        <f t="shared" si="0"/>
        <v>631.12200000015343</v>
      </c>
      <c r="I19" s="167"/>
      <c r="J19" s="167"/>
      <c r="K19" s="60">
        <v>42287</v>
      </c>
      <c r="L19" s="90">
        <f>'Suivi EAU-ELEC'!G18</f>
        <v>2826</v>
      </c>
      <c r="M19" s="91">
        <f>'Suivi EAU-ELEC'!I18</f>
        <v>3807</v>
      </c>
      <c r="N19" s="91">
        <f>'Suivi EAU-ELEC'!K18</f>
        <v>1739</v>
      </c>
      <c r="O19" s="91">
        <f t="shared" si="2"/>
        <v>8372</v>
      </c>
      <c r="P19" s="12"/>
      <c r="Q19" s="34">
        <f t="shared" si="3"/>
        <v>7909.5064000000002</v>
      </c>
      <c r="R19" s="12"/>
      <c r="S19" s="28"/>
      <c r="T19" s="12"/>
      <c r="U19" s="28"/>
      <c r="V19" s="146">
        <f>'Suvi Gaz'!O13</f>
        <v>159.99605</v>
      </c>
      <c r="W19" s="11"/>
      <c r="X19" s="34">
        <f t="shared" si="1"/>
        <v>1678.5185605499998</v>
      </c>
    </row>
    <row r="20" spans="1:24" ht="32.25" customHeight="1">
      <c r="A20" s="2"/>
      <c r="B20" s="6">
        <v>44541</v>
      </c>
      <c r="C20" s="7"/>
      <c r="D20" s="143">
        <v>28</v>
      </c>
      <c r="E20" s="143">
        <v>55</v>
      </c>
      <c r="F20" s="13">
        <f>'Suivi EAU-ELEC'!E19</f>
        <v>62.5</v>
      </c>
      <c r="G20" s="12"/>
      <c r="H20" s="166">
        <f t="shared" si="0"/>
        <v>549.375</v>
      </c>
      <c r="I20" s="167"/>
      <c r="J20" s="167"/>
      <c r="K20" s="60">
        <v>42288</v>
      </c>
      <c r="L20" s="90">
        <f>'Suivi EAU-ELEC'!G19</f>
        <v>2681</v>
      </c>
      <c r="M20" s="91">
        <f>'Suivi EAU-ELEC'!I19</f>
        <v>3705</v>
      </c>
      <c r="N20" s="91">
        <f>'Suivi EAU-ELEC'!K19</f>
        <v>1649</v>
      </c>
      <c r="O20" s="91">
        <f t="shared" si="2"/>
        <v>8035</v>
      </c>
      <c r="P20" s="12"/>
      <c r="Q20" s="34">
        <f t="shared" si="3"/>
        <v>7591.4450999999999</v>
      </c>
      <c r="R20" s="12"/>
      <c r="S20" s="28"/>
      <c r="T20" s="12"/>
      <c r="U20" s="28"/>
      <c r="V20" s="146">
        <f>'Suvi Gaz'!O14</f>
        <v>319.99209999999999</v>
      </c>
      <c r="W20" s="11"/>
      <c r="X20" s="34">
        <f t="shared" si="1"/>
        <v>3357.0371210999997</v>
      </c>
    </row>
    <row r="21" spans="1:24" ht="32.25" customHeight="1">
      <c r="A21" s="2"/>
      <c r="B21" s="6">
        <v>44542</v>
      </c>
      <c r="C21" s="7"/>
      <c r="D21" s="143">
        <v>14</v>
      </c>
      <c r="E21" s="143">
        <v>24</v>
      </c>
      <c r="F21" s="13">
        <f>'Suivi EAU-ELEC'!E20</f>
        <v>58.399999999994179</v>
      </c>
      <c r="G21" s="12"/>
      <c r="H21" s="166">
        <f t="shared" si="0"/>
        <v>513.33599999994874</v>
      </c>
      <c r="I21" s="167"/>
      <c r="J21" s="167"/>
      <c r="K21" s="60">
        <v>42289</v>
      </c>
      <c r="L21" s="90">
        <f>'Suivi EAU-ELEC'!G20</f>
        <v>2765</v>
      </c>
      <c r="M21" s="91">
        <f>'Suivi EAU-ELEC'!I20</f>
        <v>3389</v>
      </c>
      <c r="N21" s="91">
        <f>'Suivi EAU-ELEC'!K20</f>
        <v>1598</v>
      </c>
      <c r="O21" s="91">
        <f>L21+M21+N21</f>
        <v>7752</v>
      </c>
      <c r="P21" s="12"/>
      <c r="Q21" s="34">
        <f t="shared" si="3"/>
        <v>7281.6262999999999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1"/>
        <v>4028.4445453200001</v>
      </c>
    </row>
    <row r="22" spans="1:24" ht="32.25" customHeight="1">
      <c r="A22" s="2"/>
      <c r="B22" s="6">
        <v>44543</v>
      </c>
      <c r="C22" s="7"/>
      <c r="D22" s="143">
        <v>12</v>
      </c>
      <c r="E22" s="143">
        <v>23</v>
      </c>
      <c r="F22" s="13">
        <f>'Suivi EAU-ELEC'!E21</f>
        <v>54.799999999988358</v>
      </c>
      <c r="G22" s="12"/>
      <c r="H22" s="166">
        <f t="shared" ref="H22:H35" si="4">F22*8.79</f>
        <v>481.69199999989763</v>
      </c>
      <c r="I22" s="167"/>
      <c r="J22" s="167"/>
      <c r="K22" s="60">
        <v>42290</v>
      </c>
      <c r="L22" s="90">
        <f>'Suivi EAU-ELEC'!G21</f>
        <v>2771</v>
      </c>
      <c r="M22" s="91">
        <f>'Suivi EAU-ELEC'!I21</f>
        <v>3503</v>
      </c>
      <c r="N22" s="91">
        <f>'Suivi EAU-ELEC'!K21</f>
        <v>1617</v>
      </c>
      <c r="O22" s="91">
        <f t="shared" si="2"/>
        <v>7891</v>
      </c>
      <c r="P22" s="12"/>
      <c r="Q22" s="34">
        <f t="shared" si="3"/>
        <v>7419.5545000000002</v>
      </c>
      <c r="R22" s="12"/>
      <c r="S22" s="28"/>
      <c r="T22" s="12"/>
      <c r="U22" s="28"/>
      <c r="V22" s="146">
        <f>'Suvi Gaz'!O16</f>
        <v>159.99605</v>
      </c>
      <c r="W22" s="11"/>
      <c r="X22" s="34">
        <f t="shared" si="1"/>
        <v>1678.5185605499998</v>
      </c>
    </row>
    <row r="23" spans="1:24" ht="32.25" customHeight="1">
      <c r="A23" s="2"/>
      <c r="B23" s="6">
        <v>44544</v>
      </c>
      <c r="C23" s="7"/>
      <c r="D23" s="143">
        <v>11</v>
      </c>
      <c r="E23" s="143">
        <v>22</v>
      </c>
      <c r="F23" s="13">
        <f>'Suivi EAU-ELEC'!E22</f>
        <v>66.700000000011642</v>
      </c>
      <c r="G23" s="14"/>
      <c r="H23" s="166">
        <f t="shared" si="4"/>
        <v>586.29300000010232</v>
      </c>
      <c r="I23" s="167"/>
      <c r="J23" s="167"/>
      <c r="K23" s="60">
        <v>42291</v>
      </c>
      <c r="L23" s="90">
        <f>'Suivi EAU-ELEC'!G22</f>
        <v>2051</v>
      </c>
      <c r="M23" s="91">
        <f>'Suivi EAU-ELEC'!I22</f>
        <v>3453</v>
      </c>
      <c r="N23" s="91">
        <f>'Suivi EAU-ELEC'!K22</f>
        <v>1630</v>
      </c>
      <c r="O23" s="91">
        <f>L23+M23+N23</f>
        <v>7134</v>
      </c>
      <c r="P23" s="12"/>
      <c r="Q23" s="34">
        <f>L23*0.6985+M23*0.9514+N23*1.3304</f>
        <v>6886.3597000000009</v>
      </c>
      <c r="R23" s="12"/>
      <c r="S23" s="28"/>
      <c r="T23" s="14"/>
      <c r="U23" s="28"/>
      <c r="V23" s="146">
        <f>'Suvi Gaz'!O17</f>
        <v>511.98736000000002</v>
      </c>
      <c r="W23" s="11"/>
      <c r="X23" s="34">
        <f t="shared" si="1"/>
        <v>5371.2593937600004</v>
      </c>
    </row>
    <row r="24" spans="1:24" ht="32.25" customHeight="1">
      <c r="A24" s="2"/>
      <c r="B24" s="6">
        <v>44545</v>
      </c>
      <c r="C24" s="7"/>
      <c r="D24" s="143">
        <v>11</v>
      </c>
      <c r="E24" s="143">
        <v>20</v>
      </c>
      <c r="F24" s="13">
        <f>'Suivi EAU-ELEC'!E23</f>
        <v>79.600000000005821</v>
      </c>
      <c r="G24" s="14"/>
      <c r="H24" s="166">
        <f t="shared" si="4"/>
        <v>699.68400000005113</v>
      </c>
      <c r="I24" s="167"/>
      <c r="J24" s="167"/>
      <c r="K24" s="60">
        <v>42292</v>
      </c>
      <c r="L24" s="90">
        <f>'Suivi EAU-ELEC'!G23</f>
        <v>2489</v>
      </c>
      <c r="M24" s="91">
        <f>'Suivi EAU-ELEC'!I23</f>
        <v>3611</v>
      </c>
      <c r="N24" s="91">
        <f>'Suivi EAU-ELEC'!K23</f>
        <v>1693</v>
      </c>
      <c r="O24" s="91">
        <f>L24+M24+N24</f>
        <v>7793</v>
      </c>
      <c r="P24" s="12"/>
      <c r="Q24" s="34">
        <f>L24*0.6985+M24*0.9514+N24*1.3304</f>
        <v>7426.4390999999996</v>
      </c>
      <c r="R24" s="12"/>
      <c r="S24" s="28"/>
      <c r="T24" s="14"/>
      <c r="U24" s="28"/>
      <c r="V24" s="146">
        <f>'Suvi Gaz'!O18</f>
        <v>63.998420000000003</v>
      </c>
      <c r="W24" s="11"/>
      <c r="X24" s="34">
        <f t="shared" si="1"/>
        <v>671.40742422000005</v>
      </c>
    </row>
    <row r="25" spans="1:24" ht="32.25" customHeight="1">
      <c r="A25" s="2"/>
      <c r="B25" s="6">
        <v>44546</v>
      </c>
      <c r="C25" s="7"/>
      <c r="D25" s="143">
        <v>19</v>
      </c>
      <c r="E25" s="143">
        <v>31</v>
      </c>
      <c r="F25" s="13">
        <f>'Suivi EAU-ELEC'!E24</f>
        <v>85.699999999982538</v>
      </c>
      <c r="G25" s="14"/>
      <c r="H25" s="166">
        <f t="shared" si="4"/>
        <v>753.30299999984641</v>
      </c>
      <c r="I25" s="167"/>
      <c r="J25" s="167"/>
      <c r="K25" s="60">
        <v>42293</v>
      </c>
      <c r="L25" s="90">
        <f>'Suivi EAU-ELEC'!G24</f>
        <v>2765</v>
      </c>
      <c r="M25" s="91">
        <f>'Suivi EAU-ELEC'!I24</f>
        <v>3982</v>
      </c>
      <c r="N25" s="91">
        <f>'Suivi EAU-ELEC'!K24</f>
        <v>1891</v>
      </c>
      <c r="O25" s="91">
        <f>L25+M25+N25</f>
        <v>8638</v>
      </c>
      <c r="P25" s="12"/>
      <c r="Q25" s="34">
        <f>L25*0.6985+M25*0.9514+N25*1.3304</f>
        <v>8235.6136999999999</v>
      </c>
      <c r="R25" s="12"/>
      <c r="S25" s="28"/>
      <c r="T25" s="14"/>
      <c r="U25" s="28"/>
      <c r="V25" s="146">
        <f>'Suvi Gaz'!O19</f>
        <v>223.99447000000001</v>
      </c>
      <c r="W25" s="11"/>
      <c r="X25" s="34">
        <f t="shared" si="1"/>
        <v>2349.92598477</v>
      </c>
    </row>
    <row r="26" spans="1:24" ht="32.25" customHeight="1">
      <c r="A26" s="2"/>
      <c r="B26" s="6">
        <v>44547</v>
      </c>
      <c r="C26" s="7"/>
      <c r="D26" s="143">
        <v>22</v>
      </c>
      <c r="E26" s="143">
        <v>38</v>
      </c>
      <c r="F26" s="13">
        <f>'Suivi EAU-ELEC'!E25</f>
        <v>79.5</v>
      </c>
      <c r="G26" s="14"/>
      <c r="H26" s="166">
        <f t="shared" si="4"/>
        <v>698.80499999999995</v>
      </c>
      <c r="I26" s="167"/>
      <c r="J26" s="167"/>
      <c r="K26" s="60">
        <v>42294</v>
      </c>
      <c r="L26" s="90">
        <f>'Suivi EAU-ELEC'!G25</f>
        <v>2723</v>
      </c>
      <c r="M26" s="91">
        <f>'Suivi EAU-ELEC'!I25</f>
        <v>3811</v>
      </c>
      <c r="N26" s="91">
        <f>'Suivi EAU-ELEC'!K25</f>
        <v>1680</v>
      </c>
      <c r="O26" s="91">
        <f>L26+M26+N26</f>
        <v>8214</v>
      </c>
      <c r="P26" s="14"/>
      <c r="Q26" s="34">
        <f>L26*0.6985+M26*0.9514+N26*1.3304</f>
        <v>7762.8729000000003</v>
      </c>
      <c r="R26" s="14"/>
      <c r="S26" s="28"/>
      <c r="T26" s="14"/>
      <c r="U26" s="28"/>
      <c r="V26" s="146">
        <f>'Suvi Gaz'!O20</f>
        <v>191.99526</v>
      </c>
      <c r="W26" s="11"/>
      <c r="X26" s="34">
        <f t="shared" si="1"/>
        <v>2014.22227266</v>
      </c>
    </row>
    <row r="27" spans="1:24" ht="32.25" customHeight="1">
      <c r="A27" s="2"/>
      <c r="B27" s="6">
        <v>44548</v>
      </c>
      <c r="C27" s="7"/>
      <c r="D27" s="143">
        <v>21</v>
      </c>
      <c r="E27" s="143">
        <v>38</v>
      </c>
      <c r="F27" s="13">
        <f>'Suivi EAU-ELEC'!E26</f>
        <v>66.900000000023283</v>
      </c>
      <c r="G27" s="14"/>
      <c r="H27" s="166">
        <f t="shared" si="4"/>
        <v>588.05100000020457</v>
      </c>
      <c r="I27" s="167"/>
      <c r="J27" s="167"/>
      <c r="K27" s="60">
        <v>42295</v>
      </c>
      <c r="L27" s="90">
        <f>'Suivi EAU-ELEC'!G26</f>
        <v>2566</v>
      </c>
      <c r="M27" s="91">
        <f>'Suivi EAU-ELEC'!I26</f>
        <v>3589</v>
      </c>
      <c r="N27" s="91">
        <f>'Suivi EAU-ELEC'!K26</f>
        <v>1650</v>
      </c>
      <c r="O27" s="91">
        <f t="shared" si="2"/>
        <v>7805</v>
      </c>
      <c r="P27" s="14"/>
      <c r="Q27" s="34">
        <f t="shared" si="3"/>
        <v>7402.0856000000003</v>
      </c>
      <c r="R27" s="14"/>
      <c r="S27" s="28"/>
      <c r="T27" s="14"/>
      <c r="U27" s="28"/>
      <c r="V27" s="146">
        <f>'Suvi Gaz'!O21</f>
        <v>415.98973000000001</v>
      </c>
      <c r="W27" s="11"/>
      <c r="X27" s="34">
        <f t="shared" si="1"/>
        <v>4364.1482574299998</v>
      </c>
    </row>
    <row r="28" spans="1:24" ht="32.25" customHeight="1">
      <c r="A28" s="2"/>
      <c r="B28" s="6">
        <v>44549</v>
      </c>
      <c r="C28" s="7"/>
      <c r="D28" s="143">
        <v>18</v>
      </c>
      <c r="E28" s="143">
        <v>26</v>
      </c>
      <c r="F28" s="13">
        <f>'Suivi EAU-ELEC'!E27</f>
        <v>66.699999999982538</v>
      </c>
      <c r="G28" s="11"/>
      <c r="H28" s="166">
        <f t="shared" si="4"/>
        <v>586.29299999984642</v>
      </c>
      <c r="I28" s="167"/>
      <c r="J28" s="167"/>
      <c r="K28" s="60">
        <v>42296</v>
      </c>
      <c r="L28" s="90">
        <f>'Suivi EAU-ELEC'!G27</f>
        <v>2664</v>
      </c>
      <c r="M28" s="91">
        <f>'Suivi EAU-ELEC'!I27</f>
        <v>3555</v>
      </c>
      <c r="N28" s="91">
        <f>'Suivi EAU-ELEC'!K27</f>
        <v>1967</v>
      </c>
      <c r="O28" s="91">
        <f t="shared" si="2"/>
        <v>8186</v>
      </c>
      <c r="P28" s="11"/>
      <c r="Q28" s="34">
        <f>L28*0.6985+M28*0.9514+N28*1.3304</f>
        <v>7859.9277999999995</v>
      </c>
      <c r="R28" s="11"/>
      <c r="S28" s="28"/>
      <c r="T28" s="11"/>
      <c r="U28" s="28"/>
      <c r="V28" s="146">
        <f>'Suvi Gaz'!O22</f>
        <v>447.98894000000001</v>
      </c>
      <c r="W28" s="11"/>
      <c r="X28" s="34">
        <f t="shared" si="1"/>
        <v>4699.85196954</v>
      </c>
    </row>
    <row r="29" spans="1:24" ht="32.25" customHeight="1">
      <c r="A29" s="2"/>
      <c r="B29" s="6">
        <v>44550</v>
      </c>
      <c r="C29" s="7"/>
      <c r="D29" s="143">
        <v>8</v>
      </c>
      <c r="E29" s="143">
        <v>14</v>
      </c>
      <c r="F29" s="13">
        <f>'Suivi EAU-ELEC'!E28</f>
        <v>66.100000000005821</v>
      </c>
      <c r="G29" s="11"/>
      <c r="H29" s="166">
        <f t="shared" si="4"/>
        <v>581.01900000005116</v>
      </c>
      <c r="I29" s="167"/>
      <c r="J29" s="167"/>
      <c r="K29" s="60">
        <v>42297</v>
      </c>
      <c r="L29" s="90">
        <f>'Suivi EAU-ELEC'!G28</f>
        <v>2552</v>
      </c>
      <c r="M29" s="91">
        <f>'Suivi EAU-ELEC'!I28</f>
        <v>3406</v>
      </c>
      <c r="N29" s="91">
        <f>'Suivi EAU-ELEC'!K28</f>
        <v>1602</v>
      </c>
      <c r="O29" s="91">
        <f>L29+M29+N29</f>
        <v>7560</v>
      </c>
      <c r="P29" s="11"/>
      <c r="Q29" s="34">
        <f t="shared" si="3"/>
        <v>7154.3411999999998</v>
      </c>
      <c r="R29" s="11"/>
      <c r="S29" s="28"/>
      <c r="T29" s="11"/>
      <c r="U29" s="28"/>
      <c r="V29" s="146">
        <f>'Suvi Gaz'!O23</f>
        <v>95.997630000000001</v>
      </c>
      <c r="W29" s="11"/>
      <c r="X29" s="34">
        <f t="shared" si="1"/>
        <v>1007.11113633</v>
      </c>
    </row>
    <row r="30" spans="1:24" ht="32.25" customHeight="1">
      <c r="A30" s="2"/>
      <c r="B30" s="6">
        <v>44551</v>
      </c>
      <c r="C30" s="7"/>
      <c r="D30" s="143">
        <v>11</v>
      </c>
      <c r="E30" s="143">
        <v>16</v>
      </c>
      <c r="F30" s="13">
        <f>'Suivi EAU-ELEC'!E29</f>
        <v>57.600000000005821</v>
      </c>
      <c r="G30" s="11"/>
      <c r="H30" s="166">
        <f t="shared" si="4"/>
        <v>506.30400000005113</v>
      </c>
      <c r="I30" s="167"/>
      <c r="J30" s="167"/>
      <c r="K30" s="60">
        <v>42298</v>
      </c>
      <c r="L30" s="90">
        <f>'Suivi EAU-ELEC'!G29</f>
        <v>2427</v>
      </c>
      <c r="M30" s="91">
        <f>'Suivi EAU-ELEC'!I29</f>
        <v>3384</v>
      </c>
      <c r="N30" s="91">
        <f>'Suivi EAU-ELEC'!K29</f>
        <v>1517</v>
      </c>
      <c r="O30" s="91">
        <f>L30+M30+N30</f>
        <v>7328</v>
      </c>
      <c r="P30" s="11"/>
      <c r="Q30" s="34">
        <f>L30*0.6985+M30*0.9514+N30*1.3304</f>
        <v>6933.0138999999999</v>
      </c>
      <c r="R30" s="11"/>
      <c r="S30" s="28"/>
      <c r="T30" s="11"/>
      <c r="U30" s="28"/>
      <c r="V30" s="146">
        <f>'Suvi Gaz'!O24</f>
        <v>255.99368000000001</v>
      </c>
      <c r="W30" s="11"/>
      <c r="X30" s="34">
        <f t="shared" si="1"/>
        <v>2685.6296968800002</v>
      </c>
    </row>
    <row r="31" spans="1:24" ht="27.75" customHeight="1">
      <c r="A31" s="2"/>
      <c r="B31" s="6">
        <v>44552</v>
      </c>
      <c r="C31" s="7"/>
      <c r="D31" s="143">
        <v>11</v>
      </c>
      <c r="E31" s="143">
        <v>18</v>
      </c>
      <c r="F31" s="13">
        <f>'Suivi EAU-ELEC'!E30</f>
        <v>45.100000000005821</v>
      </c>
      <c r="G31" s="11"/>
      <c r="H31" s="166">
        <f t="shared" si="4"/>
        <v>396.42900000005113</v>
      </c>
      <c r="I31" s="167"/>
      <c r="J31" s="167"/>
      <c r="K31" s="60">
        <v>42299</v>
      </c>
      <c r="L31" s="90">
        <f>'Suivi EAU-ELEC'!G30</f>
        <v>2848</v>
      </c>
      <c r="M31" s="91">
        <f>'Suivi EAU-ELEC'!I30</f>
        <v>3407</v>
      </c>
      <c r="N31" s="91">
        <f>'Suivi EAU-ELEC'!K30</f>
        <v>1616</v>
      </c>
      <c r="O31" s="91">
        <f>L31+M31+N31</f>
        <v>7871</v>
      </c>
      <c r="P31" s="11"/>
      <c r="Q31" s="34">
        <f>L31*0.6985+M31*0.9514+N31*1.3304</f>
        <v>7380.6741999999995</v>
      </c>
      <c r="R31" s="11"/>
      <c r="S31" s="28"/>
      <c r="T31" s="11"/>
      <c r="U31" s="28"/>
      <c r="V31" s="146">
        <f>'Suvi Gaz'!O25</f>
        <v>223.99447000000001</v>
      </c>
      <c r="W31" s="11"/>
      <c r="X31" s="34">
        <f t="shared" si="1"/>
        <v>2349.92598477</v>
      </c>
    </row>
    <row r="32" spans="1:24" ht="37.5" customHeight="1">
      <c r="A32" s="2"/>
      <c r="B32" s="6">
        <v>44553</v>
      </c>
      <c r="C32" s="7"/>
      <c r="D32" s="143">
        <v>18</v>
      </c>
      <c r="E32" s="143">
        <v>33</v>
      </c>
      <c r="F32" s="13">
        <f>'Suivi EAU-ELEC'!E31</f>
        <v>65.899999999994179</v>
      </c>
      <c r="G32" s="11"/>
      <c r="H32" s="166">
        <f t="shared" si="4"/>
        <v>579.26099999994881</v>
      </c>
      <c r="I32" s="167"/>
      <c r="J32" s="167"/>
      <c r="K32" s="60">
        <v>42300</v>
      </c>
      <c r="L32" s="90">
        <f>'Suivi EAU-ELEC'!G31</f>
        <v>2702</v>
      </c>
      <c r="M32" s="91">
        <f>'Suivi EAU-ELEC'!I31</f>
        <v>3831</v>
      </c>
      <c r="N32" s="91">
        <f>'Suivi EAU-ELEC'!K31</f>
        <v>1824</v>
      </c>
      <c r="O32" s="91">
        <f t="shared" si="2"/>
        <v>8357</v>
      </c>
      <c r="P32" s="11"/>
      <c r="Q32" s="34">
        <f t="shared" si="3"/>
        <v>7958.8099999999995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1"/>
        <v>2349.92598477</v>
      </c>
    </row>
    <row r="33" spans="1:24" ht="37.5" customHeight="1">
      <c r="A33" s="2"/>
      <c r="B33" s="6">
        <v>44554</v>
      </c>
      <c r="C33" s="7"/>
      <c r="D33" s="143">
        <v>22</v>
      </c>
      <c r="E33" s="143">
        <v>33</v>
      </c>
      <c r="F33" s="13">
        <f>'Suivi EAU-ELEC'!E32</f>
        <v>53.699999999982538</v>
      </c>
      <c r="G33" s="11"/>
      <c r="H33" s="166">
        <f t="shared" si="4"/>
        <v>472.02299999984643</v>
      </c>
      <c r="I33" s="167"/>
      <c r="J33" s="167"/>
      <c r="K33" s="60">
        <v>42301</v>
      </c>
      <c r="L33" s="90">
        <f>'Suivi EAU-ELEC'!G32</f>
        <v>2589</v>
      </c>
      <c r="M33" s="91">
        <f>'Suivi EAU-ELEC'!I32</f>
        <v>3586</v>
      </c>
      <c r="N33" s="91">
        <f>'Suivi EAU-ELEC'!K32</f>
        <v>1702</v>
      </c>
      <c r="O33" s="91">
        <f t="shared" si="2"/>
        <v>7877</v>
      </c>
      <c r="P33" s="11"/>
      <c r="Q33" s="34">
        <f t="shared" si="3"/>
        <v>7484.4777000000004</v>
      </c>
      <c r="R33" s="11"/>
      <c r="S33" s="28"/>
      <c r="T33" s="11"/>
      <c r="U33" s="28"/>
      <c r="V33" s="146">
        <f>'Suvi Gaz'!O27</f>
        <v>287.99288999999999</v>
      </c>
      <c r="W33" s="11"/>
      <c r="X33" s="34">
        <f t="shared" si="1"/>
        <v>3021.33340899</v>
      </c>
    </row>
    <row r="34" spans="1:24" ht="37.5" customHeight="1">
      <c r="A34" s="2"/>
      <c r="B34" s="6">
        <v>44555</v>
      </c>
      <c r="C34" s="7"/>
      <c r="D34" s="143">
        <v>30</v>
      </c>
      <c r="E34" s="143">
        <v>44</v>
      </c>
      <c r="F34" s="13">
        <f>'Suivi EAU-ELEC'!E33</f>
        <v>58.400000000023283</v>
      </c>
      <c r="G34" s="11"/>
      <c r="H34" s="166">
        <f t="shared" si="4"/>
        <v>513.33600000020465</v>
      </c>
      <c r="I34" s="167"/>
      <c r="J34" s="167"/>
      <c r="K34" s="60">
        <v>42302</v>
      </c>
      <c r="L34" s="90">
        <f>'Suivi EAU-ELEC'!G33</f>
        <v>2674</v>
      </c>
      <c r="M34" s="91">
        <f>'Suivi EAU-ELEC'!I33</f>
        <v>3624</v>
      </c>
      <c r="N34" s="91">
        <f>'Suivi EAU-ELEC'!K33</f>
        <v>1776</v>
      </c>
      <c r="O34" s="91">
        <f t="shared" si="2"/>
        <v>8074</v>
      </c>
      <c r="P34" s="11"/>
      <c r="Q34" s="34">
        <f t="shared" si="3"/>
        <v>7678.4529999999995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1"/>
        <v>3357.0371210999997</v>
      </c>
    </row>
    <row r="35" spans="1:24" ht="33.75" customHeight="1">
      <c r="A35" s="2"/>
      <c r="B35" s="6">
        <v>44556</v>
      </c>
      <c r="C35" s="7"/>
      <c r="D35" s="143">
        <v>21</v>
      </c>
      <c r="E35" s="143">
        <v>43</v>
      </c>
      <c r="F35" s="13">
        <f>'Suivi EAU-ELEC'!E34</f>
        <v>70.099999999976717</v>
      </c>
      <c r="G35" s="11"/>
      <c r="H35" s="166">
        <f t="shared" si="4"/>
        <v>616.17899999979534</v>
      </c>
      <c r="I35" s="167"/>
      <c r="J35" s="167"/>
      <c r="K35" s="60">
        <v>42303</v>
      </c>
      <c r="L35" s="90">
        <f>'Suivi EAU-ELEC'!G34</f>
        <v>2620</v>
      </c>
      <c r="M35" s="91">
        <f>'Suivi EAU-ELEC'!I34</f>
        <v>3598</v>
      </c>
      <c r="N35" s="91">
        <f>'Suivi EAU-ELEC'!K34</f>
        <v>1640</v>
      </c>
      <c r="O35" s="91">
        <f t="shared" si="2"/>
        <v>7858</v>
      </c>
      <c r="P35" s="11"/>
      <c r="Q35" s="34">
        <f t="shared" si="3"/>
        <v>7435.0632000000005</v>
      </c>
      <c r="R35" s="11"/>
      <c r="S35" s="28"/>
      <c r="T35" s="11"/>
      <c r="U35" s="28"/>
      <c r="V35" s="146">
        <f>'Suvi Gaz'!O29</f>
        <v>127.99684000000001</v>
      </c>
      <c r="W35" s="11"/>
      <c r="X35" s="34">
        <f t="shared" si="1"/>
        <v>1342.8148484400001</v>
      </c>
    </row>
    <row r="36" spans="1:24" ht="33.75" customHeight="1">
      <c r="A36" s="2"/>
      <c r="B36" s="6">
        <v>44557</v>
      </c>
      <c r="C36" s="7"/>
      <c r="D36" s="143">
        <v>11</v>
      </c>
      <c r="E36" s="143">
        <v>25</v>
      </c>
      <c r="F36" s="13">
        <f>'Suivi EAU-ELEC'!E35</f>
        <v>62.200000000011642</v>
      </c>
      <c r="G36" s="11"/>
      <c r="H36" s="166">
        <f>F36*8.79</f>
        <v>546.73800000010226</v>
      </c>
      <c r="I36" s="167"/>
      <c r="J36" s="167"/>
      <c r="K36" s="60">
        <v>42304</v>
      </c>
      <c r="L36" s="90">
        <f>'Suivi EAU-ELEC'!G35</f>
        <v>2582</v>
      </c>
      <c r="M36" s="91">
        <f>'Suivi EAU-ELEC'!I35</f>
        <v>3430</v>
      </c>
      <c r="N36" s="91">
        <f>'Suivi EAU-ELEC'!K35</f>
        <v>1614</v>
      </c>
      <c r="O36" s="91">
        <f t="shared" si="2"/>
        <v>7626</v>
      </c>
      <c r="P36" s="11"/>
      <c r="Q36" s="34">
        <f t="shared" si="3"/>
        <v>7214.0946000000004</v>
      </c>
      <c r="R36" s="11"/>
      <c r="S36" s="28"/>
      <c r="T36" s="11"/>
      <c r="U36" s="28"/>
      <c r="V36" s="146">
        <f>'Suvi Gaz'!O30</f>
        <v>479.98815000000002</v>
      </c>
      <c r="W36" s="11"/>
      <c r="X36" s="34">
        <f t="shared" si="1"/>
        <v>5035.5556816500002</v>
      </c>
    </row>
    <row r="37" spans="1:24" ht="33.75" customHeight="1">
      <c r="A37" s="2"/>
      <c r="B37" s="6">
        <v>44558</v>
      </c>
      <c r="C37" s="7"/>
      <c r="D37" s="143">
        <v>19</v>
      </c>
      <c r="E37" s="143">
        <v>43</v>
      </c>
      <c r="F37" s="13">
        <f>'Suivi EAU-ELEC'!E36</f>
        <v>38.799999999988358</v>
      </c>
      <c r="G37" s="11"/>
      <c r="H37" s="166">
        <f t="shared" ref="H37:H38" si="5">F37*8.79</f>
        <v>341.05199999989765</v>
      </c>
      <c r="I37" s="167"/>
      <c r="J37" s="167"/>
      <c r="K37" s="60"/>
      <c r="L37" s="90">
        <f>'Suivi EAU-ELEC'!G36</f>
        <v>2462</v>
      </c>
      <c r="M37" s="91">
        <f>'Suivi EAU-ELEC'!I36</f>
        <v>3343</v>
      </c>
      <c r="N37" s="91">
        <f>'Suivi EAU-ELEC'!K36</f>
        <v>1550</v>
      </c>
      <c r="O37" s="91">
        <f t="shared" si="2"/>
        <v>7355</v>
      </c>
      <c r="P37" s="11"/>
      <c r="Q37" s="34">
        <f t="shared" si="3"/>
        <v>6962.3572000000004</v>
      </c>
      <c r="R37" s="11"/>
      <c r="S37" s="28"/>
      <c r="T37" s="11"/>
      <c r="U37" s="28"/>
      <c r="V37" s="146">
        <f>'Suvi Gaz'!O31</f>
        <v>351.99131</v>
      </c>
      <c r="W37" s="11"/>
      <c r="X37" s="34">
        <f t="shared" si="1"/>
        <v>3692.7408332099999</v>
      </c>
    </row>
    <row r="38" spans="1:24" ht="33.75" customHeight="1">
      <c r="A38" s="2"/>
      <c r="B38" s="6">
        <v>44559</v>
      </c>
      <c r="C38" s="7"/>
      <c r="D38" s="143">
        <v>32</v>
      </c>
      <c r="E38" s="143">
        <v>28</v>
      </c>
      <c r="F38" s="13">
        <f>'Suivi EAU-ELEC'!E37</f>
        <v>61.800000000017462</v>
      </c>
      <c r="G38" s="11"/>
      <c r="H38" s="166">
        <f t="shared" si="5"/>
        <v>543.22200000015346</v>
      </c>
      <c r="I38" s="167"/>
      <c r="J38" s="167"/>
      <c r="K38" s="60"/>
      <c r="L38" s="90">
        <f>'Suivi EAU-ELEC'!G37</f>
        <v>2533</v>
      </c>
      <c r="M38" s="91">
        <f>'Suivi EAU-ELEC'!I37</f>
        <v>3428</v>
      </c>
      <c r="N38" s="91">
        <f>'Suivi EAU-ELEC'!K37</f>
        <v>1607</v>
      </c>
      <c r="O38" s="91">
        <f t="shared" si="2"/>
        <v>7568</v>
      </c>
      <c r="P38" s="11"/>
      <c r="Q38" s="34">
        <f t="shared" si="3"/>
        <v>7168.6525000000001</v>
      </c>
      <c r="R38" s="11"/>
      <c r="S38" s="28"/>
      <c r="T38" s="11"/>
      <c r="U38" s="28"/>
      <c r="V38" s="146">
        <f>'Suvi Gaz'!O32</f>
        <v>319.99209999999999</v>
      </c>
      <c r="W38" s="11"/>
      <c r="X38" s="34">
        <f>V38*10.491</f>
        <v>3357.0371210999997</v>
      </c>
    </row>
    <row r="39" spans="1:24" ht="33.75" customHeight="1">
      <c r="A39" s="2"/>
      <c r="B39" s="6">
        <v>44560</v>
      </c>
      <c r="C39" s="7"/>
      <c r="D39" s="143">
        <v>19</v>
      </c>
      <c r="E39" s="143">
        <v>44</v>
      </c>
      <c r="F39" s="13">
        <f>'Suivi EAU-ELEC'!E38</f>
        <v>80.5</v>
      </c>
      <c r="G39" s="11"/>
      <c r="H39" s="166">
        <f t="shared" ref="H39" si="6">F39*8.79</f>
        <v>707.59499999999991</v>
      </c>
      <c r="I39" s="167"/>
      <c r="J39" s="167"/>
      <c r="K39" s="60"/>
      <c r="L39" s="90">
        <f>'Suivi EAU-ELEC'!G38</f>
        <v>2516</v>
      </c>
      <c r="M39" s="91">
        <f>'Suivi EAU-ELEC'!I38</f>
        <v>3418</v>
      </c>
      <c r="N39" s="91">
        <f>'Suivi EAU-ELEC'!K38</f>
        <v>1598</v>
      </c>
      <c r="O39" s="91">
        <f t="shared" si="2"/>
        <v>7532</v>
      </c>
      <c r="P39" s="11"/>
      <c r="Q39" s="34">
        <f t="shared" si="3"/>
        <v>7135.2903999999999</v>
      </c>
      <c r="R39" s="11"/>
      <c r="S39" s="28"/>
      <c r="T39" s="11"/>
      <c r="U39" s="28"/>
      <c r="V39" s="146">
        <f>'Suvi Gaz'!O33</f>
        <v>255.99368000000001</v>
      </c>
      <c r="W39" s="11"/>
      <c r="X39" s="34">
        <f>V39*10.491</f>
        <v>2685.6296968800002</v>
      </c>
    </row>
    <row r="40" spans="1:24" ht="33.75" customHeight="1">
      <c r="A40" s="2"/>
      <c r="B40" s="6">
        <v>44561</v>
      </c>
      <c r="C40" s="7"/>
      <c r="D40" s="143"/>
      <c r="E40" s="143"/>
      <c r="F40" s="13">
        <f>'Suivi EAU-ELEC'!E39</f>
        <v>41.600000000005821</v>
      </c>
      <c r="G40" s="11"/>
      <c r="H40" s="166">
        <f t="shared" ref="H40" si="7">F40*8.79</f>
        <v>365.66400000005115</v>
      </c>
      <c r="I40" s="167"/>
      <c r="J40" s="167"/>
      <c r="K40" s="60"/>
      <c r="L40" s="90">
        <f>'Suivi EAU-ELEC'!G39</f>
        <v>2619</v>
      </c>
      <c r="M40" s="91">
        <f>'Suivi EAU-ELEC'!I39</f>
        <v>3400</v>
      </c>
      <c r="N40" s="91">
        <f>'Suivi EAU-ELEC'!K39</f>
        <v>1619</v>
      </c>
      <c r="O40" s="91">
        <f t="shared" si="2"/>
        <v>7638</v>
      </c>
      <c r="P40" s="11"/>
      <c r="Q40" s="34">
        <f t="shared" si="3"/>
        <v>7218.0491000000002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607</v>
      </c>
      <c r="E41" s="8">
        <f>SUM(E10:E40)</f>
        <v>997</v>
      </c>
      <c r="F41" s="152">
        <f>SUM(F10:F40)</f>
        <v>2165.1000000000058</v>
      </c>
      <c r="G41" s="1"/>
      <c r="H41" s="204">
        <f>SUM(H10:H40)</f>
        <v>19031.229000000054</v>
      </c>
      <c r="I41" s="205"/>
      <c r="J41" s="206"/>
      <c r="K41" s="1"/>
      <c r="L41" s="53">
        <f>SUM(L10:L40)</f>
        <v>84825</v>
      </c>
      <c r="M41" s="53">
        <f>SUM(M10:M40)</f>
        <v>117323</v>
      </c>
      <c r="N41" s="54">
        <f>SUM(N10:N40)</f>
        <v>54406</v>
      </c>
      <c r="O41" s="55">
        <f>SUM(O10:O40)</f>
        <v>256554</v>
      </c>
      <c r="P41" s="31"/>
      <c r="Q41" s="32">
        <f>SUM(Q10:Q40)</f>
        <v>242960.4191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8768.2674599999973</v>
      </c>
      <c r="W41" s="31"/>
      <c r="X41" s="32">
        <f>SUM(X10:X40)</f>
        <v>91987.893922860036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4" t="s">
        <v>33</v>
      </c>
      <c r="B43" s="185"/>
      <c r="C43" s="185"/>
      <c r="D43" s="185"/>
      <c r="E43" s="185"/>
      <c r="F43" s="186"/>
      <c r="G43" s="26"/>
      <c r="H43" s="27" t="s">
        <v>34</v>
      </c>
      <c r="I43" s="196" t="s">
        <v>35</v>
      </c>
      <c r="J43" s="197"/>
      <c r="K43" s="198"/>
      <c r="L43" s="227" t="s">
        <v>36</v>
      </c>
      <c r="M43" s="228"/>
      <c r="N43" s="184" t="s">
        <v>37</v>
      </c>
      <c r="O43" s="185"/>
      <c r="P43" s="185"/>
      <c r="Q43" s="185"/>
      <c r="R43" s="185"/>
      <c r="S43" s="185"/>
      <c r="T43" s="185"/>
      <c r="U43" s="185"/>
      <c r="V43" s="185"/>
      <c r="W43" s="185"/>
      <c r="X43" s="186"/>
    </row>
    <row r="44" spans="1:24" s="18" customFormat="1" ht="29.25" customHeight="1" thickBot="1">
      <c r="A44" s="221" t="s">
        <v>38</v>
      </c>
      <c r="B44" s="222"/>
      <c r="C44" s="223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18">
        <f>L41</f>
        <v>84825</v>
      </c>
      <c r="J44" s="219"/>
      <c r="K44" s="220"/>
      <c r="L44" s="202">
        <f>I44*H44</f>
        <v>59250.262500000004</v>
      </c>
      <c r="M44" s="203"/>
      <c r="N44" s="175">
        <f>L44+L45+L46</f>
        <v>243253.10710000002</v>
      </c>
      <c r="O44" s="176"/>
      <c r="P44" s="176"/>
      <c r="Q44" s="176"/>
      <c r="R44" s="176"/>
      <c r="S44" s="176"/>
      <c r="T44" s="176"/>
      <c r="U44" s="176"/>
      <c r="V44" s="176"/>
      <c r="W44" s="176"/>
      <c r="X44" s="177"/>
    </row>
    <row r="45" spans="1:24" s="18" customFormat="1" ht="29.25" customHeight="1" thickBot="1">
      <c r="A45" s="224"/>
      <c r="B45" s="225"/>
      <c r="C45" s="226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18">
        <f>M41</f>
        <v>117323</v>
      </c>
      <c r="J45" s="219"/>
      <c r="K45" s="220"/>
      <c r="L45" s="202">
        <f>I45*H45</f>
        <v>111621.10220000001</v>
      </c>
      <c r="M45" s="203"/>
      <c r="N45" s="178"/>
      <c r="O45" s="179"/>
      <c r="P45" s="179"/>
      <c r="Q45" s="179"/>
      <c r="R45" s="179"/>
      <c r="S45" s="179"/>
      <c r="T45" s="179"/>
      <c r="U45" s="179"/>
      <c r="V45" s="179"/>
      <c r="W45" s="179"/>
      <c r="X45" s="180"/>
    </row>
    <row r="46" spans="1:24" s="18" customFormat="1" ht="24.75" customHeight="1" thickBot="1">
      <c r="A46" s="224"/>
      <c r="B46" s="225"/>
      <c r="C46" s="226"/>
      <c r="D46" s="162" t="s">
        <v>32</v>
      </c>
      <c r="E46" s="162" t="s">
        <v>32</v>
      </c>
      <c r="F46" s="162" t="s">
        <v>32</v>
      </c>
      <c r="G46" s="20"/>
      <c r="H46" s="20">
        <v>1.3304</v>
      </c>
      <c r="I46" s="193">
        <f>N41</f>
        <v>54406</v>
      </c>
      <c r="J46" s="194"/>
      <c r="K46" s="195"/>
      <c r="L46" s="202">
        <f>I46*H46</f>
        <v>72381.742400000003</v>
      </c>
      <c r="M46" s="203"/>
      <c r="N46" s="181"/>
      <c r="O46" s="182"/>
      <c r="P46" s="182"/>
      <c r="Q46" s="182"/>
      <c r="R46" s="182"/>
      <c r="S46" s="182"/>
      <c r="T46" s="182"/>
      <c r="U46" s="182"/>
      <c r="V46" s="182"/>
      <c r="W46" s="182"/>
      <c r="X46" s="183"/>
    </row>
    <row r="47" spans="1:24" s="18" customFormat="1" ht="43.5" customHeight="1" thickBot="1">
      <c r="A47" s="158"/>
      <c r="B47" s="159"/>
      <c r="C47" s="159"/>
      <c r="D47" s="162"/>
      <c r="E47" s="162"/>
      <c r="F47" s="162"/>
      <c r="G47" s="16"/>
      <c r="H47" s="16"/>
      <c r="I47" s="160"/>
      <c r="J47" s="161"/>
      <c r="K47" s="162"/>
      <c r="L47" s="153"/>
      <c r="M47" s="154"/>
      <c r="N47" s="199">
        <f>N44*1.3</f>
        <v>316229.03923000005</v>
      </c>
      <c r="O47" s="200"/>
      <c r="P47" s="200"/>
      <c r="Q47" s="200"/>
      <c r="R47" s="200"/>
      <c r="S47" s="200"/>
      <c r="T47" s="200"/>
      <c r="U47" s="200"/>
      <c r="V47" s="200"/>
      <c r="W47" s="200"/>
      <c r="X47" s="201"/>
    </row>
    <row r="48" spans="1:24" s="23" customFormat="1" ht="32.25" customHeight="1" thickBot="1">
      <c r="A48" s="213" t="s">
        <v>39</v>
      </c>
      <c r="B48" s="214"/>
      <c r="C48" s="214"/>
      <c r="D48" s="214"/>
      <c r="E48" s="214"/>
      <c r="F48" s="215"/>
      <c r="G48" s="21"/>
      <c r="H48" s="22">
        <v>8.7899999999999991</v>
      </c>
      <c r="I48" s="213">
        <f>F41</f>
        <v>2165.1000000000058</v>
      </c>
      <c r="J48" s="214"/>
      <c r="K48" s="215"/>
      <c r="L48" s="216">
        <f>I48*H48</f>
        <v>19031.22900000005</v>
      </c>
      <c r="M48" s="217"/>
      <c r="N48" s="172">
        <f>L48</f>
        <v>19031.22900000005</v>
      </c>
      <c r="O48" s="173"/>
      <c r="P48" s="173"/>
      <c r="Q48" s="173"/>
      <c r="R48" s="173"/>
      <c r="S48" s="173"/>
      <c r="T48" s="173"/>
      <c r="U48" s="173"/>
      <c r="V48" s="173"/>
      <c r="W48" s="173"/>
      <c r="X48" s="174"/>
    </row>
    <row r="49" spans="1:24" s="23" customFormat="1" ht="36.75" customHeight="1">
      <c r="A49" s="187" t="s">
        <v>40</v>
      </c>
      <c r="B49" s="188"/>
      <c r="C49" s="188"/>
      <c r="D49" s="188"/>
      <c r="E49" s="188"/>
      <c r="F49" s="189"/>
      <c r="G49" s="24"/>
      <c r="H49" s="25">
        <v>10.491</v>
      </c>
      <c r="I49" s="190">
        <f>V41</f>
        <v>8768.2674599999973</v>
      </c>
      <c r="J49" s="191"/>
      <c r="K49" s="192"/>
      <c r="L49" s="190">
        <f>I49*H49</f>
        <v>91987.893922859963</v>
      </c>
      <c r="M49" s="192"/>
      <c r="N49" s="169">
        <f>L49</f>
        <v>91987.893922859963</v>
      </c>
      <c r="O49" s="170"/>
      <c r="P49" s="170"/>
      <c r="Q49" s="170"/>
      <c r="R49" s="170"/>
      <c r="S49" s="170"/>
      <c r="T49" s="170"/>
      <c r="U49" s="170"/>
      <c r="V49" s="170"/>
      <c r="W49" s="170"/>
      <c r="X49" s="171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7" activePane="bottomRight" state="frozen"/>
      <selection pane="bottomRight" activeCell="K38" sqref="K38:K39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69"/>
      <c r="B1" s="270"/>
      <c r="C1" s="270"/>
      <c r="D1" s="271"/>
      <c r="E1" s="252" t="s">
        <v>41</v>
      </c>
      <c r="F1" s="253"/>
      <c r="G1" s="253"/>
      <c r="H1" s="253"/>
      <c r="I1" s="254"/>
      <c r="J1" s="261" t="s">
        <v>42</v>
      </c>
      <c r="K1" s="262"/>
      <c r="L1" s="49"/>
    </row>
    <row r="2" spans="1:12" ht="16.5" customHeight="1">
      <c r="A2" s="272"/>
      <c r="B2" s="273"/>
      <c r="C2" s="273"/>
      <c r="D2" s="274"/>
      <c r="E2" s="255"/>
      <c r="F2" s="256"/>
      <c r="G2" s="256"/>
      <c r="H2" s="256"/>
      <c r="I2" s="257"/>
      <c r="J2" s="263"/>
      <c r="K2" s="264"/>
      <c r="L2" s="49"/>
    </row>
    <row r="3" spans="1:12" ht="48" customHeight="1">
      <c r="A3" s="275"/>
      <c r="B3" s="276"/>
      <c r="C3" s="276"/>
      <c r="D3" s="277"/>
      <c r="E3" s="258"/>
      <c r="F3" s="259"/>
      <c r="G3" s="259"/>
      <c r="H3" s="259"/>
      <c r="I3" s="260"/>
      <c r="J3" s="265"/>
      <c r="K3" s="266"/>
      <c r="L3" s="49"/>
    </row>
    <row r="6" spans="1:12" ht="10.5" customHeight="1"/>
    <row r="7" spans="1:12" ht="16.5" customHeight="1">
      <c r="A7" s="250" t="s">
        <v>43</v>
      </c>
      <c r="B7" s="278" t="s">
        <v>44</v>
      </c>
      <c r="C7" s="279"/>
      <c r="D7" s="267" t="s">
        <v>45</v>
      </c>
      <c r="E7" s="267"/>
      <c r="F7" s="268" t="s">
        <v>46</v>
      </c>
      <c r="G7" s="268"/>
      <c r="H7" s="268"/>
      <c r="I7" s="268"/>
      <c r="J7" s="268"/>
      <c r="K7" s="268"/>
    </row>
    <row r="8" spans="1:12" s="29" customFormat="1" ht="28.5" customHeight="1">
      <c r="A8" s="251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44531</v>
      </c>
      <c r="B9" s="116">
        <v>2560</v>
      </c>
      <c r="C9" s="115">
        <v>0</v>
      </c>
      <c r="D9" s="57">
        <v>130607.9</v>
      </c>
      <c r="E9" s="50">
        <v>82.799999999988358</v>
      </c>
      <c r="F9" s="51">
        <v>11280504</v>
      </c>
      <c r="G9" s="50">
        <v>3423</v>
      </c>
      <c r="H9" s="51">
        <v>19204667</v>
      </c>
      <c r="I9" s="50">
        <v>5315</v>
      </c>
      <c r="J9" s="51">
        <v>8427356</v>
      </c>
      <c r="K9" s="50">
        <v>2185</v>
      </c>
    </row>
    <row r="10" spans="1:12" ht="19.5">
      <c r="A10" s="59">
        <v>44532</v>
      </c>
      <c r="B10" s="116">
        <v>2560</v>
      </c>
      <c r="C10" s="115">
        <f>B10-B9</f>
        <v>0</v>
      </c>
      <c r="D10" s="57">
        <v>130710</v>
      </c>
      <c r="E10" s="50">
        <f>D10-D9</f>
        <v>102.10000000000582</v>
      </c>
      <c r="F10" s="51">
        <v>11283879</v>
      </c>
      <c r="G10" s="50">
        <f>F10-F9</f>
        <v>3375</v>
      </c>
      <c r="H10" s="51">
        <v>19209644</v>
      </c>
      <c r="I10" s="50">
        <f>H10-H9</f>
        <v>4977</v>
      </c>
      <c r="J10" s="51">
        <v>8429559</v>
      </c>
      <c r="K10" s="50">
        <f>J10-J9</f>
        <v>2203</v>
      </c>
    </row>
    <row r="11" spans="1:12" ht="19.5">
      <c r="A11" s="59">
        <v>44533</v>
      </c>
      <c r="B11" s="116">
        <v>2560</v>
      </c>
      <c r="C11" s="115">
        <f>B11-B10</f>
        <v>0</v>
      </c>
      <c r="D11" s="57">
        <v>130809</v>
      </c>
      <c r="E11" s="50">
        <f>D11-D10</f>
        <v>99</v>
      </c>
      <c r="F11" s="51">
        <v>11287276</v>
      </c>
      <c r="G11" s="50">
        <f>F11-F10</f>
        <v>3397</v>
      </c>
      <c r="H11" s="51">
        <v>19214235</v>
      </c>
      <c r="I11" s="50">
        <f>H11-H10</f>
        <v>4591</v>
      </c>
      <c r="J11" s="51">
        <v>8431751</v>
      </c>
      <c r="K11" s="50">
        <f>J11-J10</f>
        <v>2192</v>
      </c>
    </row>
    <row r="12" spans="1:12" ht="19.5">
      <c r="A12" s="59">
        <v>44534</v>
      </c>
      <c r="B12" s="116">
        <v>2560</v>
      </c>
      <c r="C12" s="115">
        <f>B12-B11</f>
        <v>0</v>
      </c>
      <c r="D12" s="57">
        <v>130880.2</v>
      </c>
      <c r="E12" s="50">
        <f>D12-D11</f>
        <v>71.19999999999709</v>
      </c>
      <c r="F12" s="51">
        <v>11290317</v>
      </c>
      <c r="G12" s="50">
        <f>F12-F11</f>
        <v>3041</v>
      </c>
      <c r="H12" s="51">
        <v>19218430</v>
      </c>
      <c r="I12" s="50">
        <f>H12-H11</f>
        <v>4195</v>
      </c>
      <c r="J12" s="51">
        <v>8433664</v>
      </c>
      <c r="K12" s="50">
        <f>J12-J11</f>
        <v>1913</v>
      </c>
    </row>
    <row r="13" spans="1:12" ht="19.5">
      <c r="A13" s="59">
        <v>44535</v>
      </c>
      <c r="B13" s="116">
        <v>2560</v>
      </c>
      <c r="C13" s="115">
        <f>B13-B12</f>
        <v>0</v>
      </c>
      <c r="D13" s="57">
        <v>130956.9</v>
      </c>
      <c r="E13" s="50">
        <f>D13-D12</f>
        <v>76.69999999999709</v>
      </c>
      <c r="F13" s="51">
        <v>11293210</v>
      </c>
      <c r="G13" s="50">
        <f>F13-F12</f>
        <v>2893</v>
      </c>
      <c r="H13" s="51">
        <v>19222675</v>
      </c>
      <c r="I13" s="50">
        <f>H13-H12</f>
        <v>4245</v>
      </c>
      <c r="J13" s="51">
        <v>8435647</v>
      </c>
      <c r="K13" s="50">
        <f>J13-J12</f>
        <v>1983</v>
      </c>
    </row>
    <row r="14" spans="1:12" ht="19.5">
      <c r="A14" s="59">
        <v>44536</v>
      </c>
      <c r="B14" s="116">
        <v>2560</v>
      </c>
      <c r="C14" s="115">
        <f>B14-B13</f>
        <v>0</v>
      </c>
      <c r="D14" s="57">
        <v>131049.9</v>
      </c>
      <c r="E14" s="50">
        <f>D14-D13</f>
        <v>93</v>
      </c>
      <c r="F14" s="51">
        <v>11296100</v>
      </c>
      <c r="G14" s="50">
        <f>F14-F13</f>
        <v>2890</v>
      </c>
      <c r="H14" s="51">
        <v>19226705</v>
      </c>
      <c r="I14" s="50">
        <f>H14-H13</f>
        <v>4030</v>
      </c>
      <c r="J14" s="51">
        <v>8437550</v>
      </c>
      <c r="K14" s="50">
        <f>J14-J13</f>
        <v>1903</v>
      </c>
    </row>
    <row r="15" spans="1:12" ht="19.5">
      <c r="A15" s="59">
        <v>44537</v>
      </c>
      <c r="B15" s="116">
        <v>2560</v>
      </c>
      <c r="C15" s="115">
        <f t="shared" ref="C15:D39" si="0">B15-B14</f>
        <v>0</v>
      </c>
      <c r="D15" s="57">
        <v>131143.1</v>
      </c>
      <c r="E15" s="50">
        <f t="shared" ref="E15:E39" si="1">D15-D14</f>
        <v>93.200000000011642</v>
      </c>
      <c r="F15" s="51">
        <v>11299001</v>
      </c>
      <c r="G15" s="50">
        <f t="shared" ref="G15:G39" si="2">F15-F14</f>
        <v>2901</v>
      </c>
      <c r="H15" s="51">
        <v>19230741</v>
      </c>
      <c r="I15" s="50">
        <f>H15-H14</f>
        <v>4036</v>
      </c>
      <c r="J15" s="51">
        <v>8439365</v>
      </c>
      <c r="K15" s="50">
        <f t="shared" ref="K15:K39" si="3">J15-J14</f>
        <v>1815</v>
      </c>
    </row>
    <row r="16" spans="1:12" ht="19.5">
      <c r="A16" s="59">
        <v>44538</v>
      </c>
      <c r="B16" s="116">
        <v>2560</v>
      </c>
      <c r="C16" s="115">
        <f t="shared" si="0"/>
        <v>0</v>
      </c>
      <c r="D16" s="57">
        <v>131218.20000000001</v>
      </c>
      <c r="E16" s="50">
        <f t="shared" si="1"/>
        <v>75.100000000005821</v>
      </c>
      <c r="F16" s="51">
        <v>11301754</v>
      </c>
      <c r="G16" s="50">
        <f t="shared" si="2"/>
        <v>2753</v>
      </c>
      <c r="H16" s="51">
        <v>19234487</v>
      </c>
      <c r="I16" s="50">
        <f>H16-H15</f>
        <v>3746</v>
      </c>
      <c r="J16" s="51">
        <v>8440911</v>
      </c>
      <c r="K16" s="50">
        <f t="shared" si="3"/>
        <v>1546</v>
      </c>
    </row>
    <row r="17" spans="1:29" ht="19.5">
      <c r="A17" s="59">
        <v>44539</v>
      </c>
      <c r="B17" s="116">
        <v>2560</v>
      </c>
      <c r="C17" s="115">
        <f t="shared" si="0"/>
        <v>0</v>
      </c>
      <c r="D17" s="57">
        <v>131295.79999999999</v>
      </c>
      <c r="E17" s="50">
        <f t="shared" si="1"/>
        <v>77.599999999976717</v>
      </c>
      <c r="F17" s="51">
        <v>11304481</v>
      </c>
      <c r="G17" s="50">
        <f t="shared" si="2"/>
        <v>2727</v>
      </c>
      <c r="H17" s="51">
        <v>19238415</v>
      </c>
      <c r="I17" s="50">
        <f>H17-H16</f>
        <v>3928</v>
      </c>
      <c r="J17" s="51">
        <v>8442798</v>
      </c>
      <c r="K17" s="50">
        <f t="shared" si="3"/>
        <v>1887</v>
      </c>
    </row>
    <row r="18" spans="1:29" ht="19.5">
      <c r="A18" s="59">
        <v>44540</v>
      </c>
      <c r="B18" s="116">
        <v>2560</v>
      </c>
      <c r="C18" s="115">
        <f t="shared" si="0"/>
        <v>0</v>
      </c>
      <c r="D18" s="57">
        <v>131367.6</v>
      </c>
      <c r="E18" s="50">
        <f t="shared" si="1"/>
        <v>71.800000000017462</v>
      </c>
      <c r="F18" s="51">
        <v>11307307</v>
      </c>
      <c r="G18" s="50">
        <f t="shared" si="2"/>
        <v>2826</v>
      </c>
      <c r="H18" s="51">
        <v>19242222</v>
      </c>
      <c r="I18" s="50">
        <f>H18-H17</f>
        <v>3807</v>
      </c>
      <c r="J18" s="51">
        <v>8444537</v>
      </c>
      <c r="K18" s="50">
        <f t="shared" si="3"/>
        <v>1739</v>
      </c>
    </row>
    <row r="19" spans="1:29" ht="19.5">
      <c r="A19" s="59">
        <v>44541</v>
      </c>
      <c r="B19" s="116">
        <v>2560</v>
      </c>
      <c r="C19" s="115">
        <f t="shared" si="0"/>
        <v>0</v>
      </c>
      <c r="D19" s="57">
        <v>131430.1</v>
      </c>
      <c r="E19" s="50">
        <f t="shared" si="1"/>
        <v>62.5</v>
      </c>
      <c r="F19" s="51">
        <v>11309988</v>
      </c>
      <c r="G19" s="50">
        <f t="shared" si="2"/>
        <v>2681</v>
      </c>
      <c r="H19" s="51">
        <v>19245927</v>
      </c>
      <c r="I19" s="50">
        <f>H19-H18</f>
        <v>3705</v>
      </c>
      <c r="J19" s="51">
        <v>8446186</v>
      </c>
      <c r="K19" s="50">
        <f t="shared" si="3"/>
        <v>1649</v>
      </c>
    </row>
    <row r="20" spans="1:29" ht="25.5">
      <c r="A20" s="59">
        <v>44542</v>
      </c>
      <c r="B20" s="116">
        <v>2560</v>
      </c>
      <c r="C20" s="115">
        <f t="shared" si="0"/>
        <v>0</v>
      </c>
      <c r="D20" s="57">
        <v>131488.5</v>
      </c>
      <c r="E20" s="50">
        <f t="shared" si="1"/>
        <v>58.399999999994179</v>
      </c>
      <c r="F20" s="51">
        <v>11312753</v>
      </c>
      <c r="G20" s="50">
        <f t="shared" si="2"/>
        <v>2765</v>
      </c>
      <c r="H20" s="51">
        <v>19249316</v>
      </c>
      <c r="I20" s="50">
        <f>H20-H19</f>
        <v>3389</v>
      </c>
      <c r="J20" s="51">
        <v>8447784</v>
      </c>
      <c r="K20" s="50">
        <f t="shared" si="3"/>
        <v>1598</v>
      </c>
      <c r="L20" s="117" t="s">
        <v>18</v>
      </c>
      <c r="AC20" t="s">
        <v>56</v>
      </c>
    </row>
    <row r="21" spans="1:29" ht="19.5">
      <c r="A21" s="59">
        <v>44543</v>
      </c>
      <c r="B21" s="116">
        <v>2560</v>
      </c>
      <c r="C21" s="115">
        <f t="shared" si="0"/>
        <v>0</v>
      </c>
      <c r="D21" s="57">
        <v>131543.29999999999</v>
      </c>
      <c r="E21" s="50">
        <f t="shared" si="1"/>
        <v>54.799999999988358</v>
      </c>
      <c r="F21" s="51">
        <v>11315524</v>
      </c>
      <c r="G21" s="50">
        <f t="shared" si="2"/>
        <v>2771</v>
      </c>
      <c r="H21" s="51">
        <v>19252819</v>
      </c>
      <c r="I21" s="50">
        <f>H21-H20</f>
        <v>3503</v>
      </c>
      <c r="J21" s="51">
        <v>8449401</v>
      </c>
      <c r="K21" s="50">
        <f t="shared" si="3"/>
        <v>1617</v>
      </c>
    </row>
    <row r="22" spans="1:29" ht="19.5">
      <c r="A22" s="59">
        <v>44544</v>
      </c>
      <c r="B22" s="116">
        <v>2560</v>
      </c>
      <c r="C22" s="115">
        <f t="shared" si="0"/>
        <v>0</v>
      </c>
      <c r="D22" s="57">
        <v>131610</v>
      </c>
      <c r="E22" s="50">
        <f t="shared" si="1"/>
        <v>66.700000000011642</v>
      </c>
      <c r="F22" s="51">
        <v>11317575</v>
      </c>
      <c r="G22" s="50">
        <f t="shared" si="2"/>
        <v>2051</v>
      </c>
      <c r="H22" s="51">
        <v>19256272</v>
      </c>
      <c r="I22" s="50">
        <f>H22-H21</f>
        <v>3453</v>
      </c>
      <c r="J22" s="51">
        <v>8451031</v>
      </c>
      <c r="K22" s="50">
        <f t="shared" si="3"/>
        <v>1630</v>
      </c>
    </row>
    <row r="23" spans="1:29" ht="19.5">
      <c r="A23" s="59">
        <v>44545</v>
      </c>
      <c r="B23" s="116">
        <v>2560</v>
      </c>
      <c r="C23" s="115">
        <f t="shared" si="0"/>
        <v>0</v>
      </c>
      <c r="D23" s="57">
        <v>131689.60000000001</v>
      </c>
      <c r="E23" s="50">
        <f t="shared" si="1"/>
        <v>79.600000000005821</v>
      </c>
      <c r="F23" s="51">
        <v>11320064</v>
      </c>
      <c r="G23" s="50">
        <f t="shared" si="2"/>
        <v>2489</v>
      </c>
      <c r="H23" s="51">
        <v>19259883</v>
      </c>
      <c r="I23" s="50">
        <f>H23-H22</f>
        <v>3611</v>
      </c>
      <c r="J23" s="51">
        <v>8452724</v>
      </c>
      <c r="K23" s="50">
        <f t="shared" si="3"/>
        <v>1693</v>
      </c>
    </row>
    <row r="24" spans="1:29" ht="19.5">
      <c r="A24" s="59">
        <v>44546</v>
      </c>
      <c r="B24" s="116">
        <v>2560</v>
      </c>
      <c r="C24" s="115">
        <f t="shared" si="0"/>
        <v>0</v>
      </c>
      <c r="D24" s="57">
        <v>131775.29999999999</v>
      </c>
      <c r="E24" s="50">
        <f t="shared" si="1"/>
        <v>85.699999999982538</v>
      </c>
      <c r="F24" s="51">
        <v>11322829</v>
      </c>
      <c r="G24" s="50">
        <f t="shared" si="2"/>
        <v>2765</v>
      </c>
      <c r="H24" s="51">
        <v>19263865</v>
      </c>
      <c r="I24" s="50">
        <f>H24-H23</f>
        <v>3982</v>
      </c>
      <c r="J24" s="51">
        <v>8454615</v>
      </c>
      <c r="K24" s="50">
        <f t="shared" si="3"/>
        <v>1891</v>
      </c>
    </row>
    <row r="25" spans="1:29" ht="19.5">
      <c r="A25" s="59">
        <v>44547</v>
      </c>
      <c r="B25" s="116">
        <v>2560</v>
      </c>
      <c r="C25" s="115">
        <f t="shared" si="0"/>
        <v>0</v>
      </c>
      <c r="D25" s="57">
        <v>131854.79999999999</v>
      </c>
      <c r="E25" s="50">
        <f t="shared" si="1"/>
        <v>79.5</v>
      </c>
      <c r="F25" s="51">
        <v>11325552</v>
      </c>
      <c r="G25" s="50">
        <f t="shared" si="2"/>
        <v>2723</v>
      </c>
      <c r="H25" s="51">
        <v>19267676</v>
      </c>
      <c r="I25" s="50">
        <f>H25-H24</f>
        <v>3811</v>
      </c>
      <c r="J25" s="51">
        <v>8456295</v>
      </c>
      <c r="K25" s="50">
        <f t="shared" si="3"/>
        <v>1680</v>
      </c>
    </row>
    <row r="26" spans="1:29" ht="19.5">
      <c r="A26" s="59">
        <v>44548</v>
      </c>
      <c r="B26" s="116">
        <v>2560</v>
      </c>
      <c r="C26" s="115">
        <f t="shared" si="0"/>
        <v>0</v>
      </c>
      <c r="D26" s="57">
        <v>131921.70000000001</v>
      </c>
      <c r="E26" s="50">
        <f t="shared" si="1"/>
        <v>66.900000000023283</v>
      </c>
      <c r="F26" s="51">
        <v>11328118</v>
      </c>
      <c r="G26" s="50">
        <f t="shared" si="2"/>
        <v>2566</v>
      </c>
      <c r="H26" s="51">
        <v>19271265</v>
      </c>
      <c r="I26" s="50">
        <f>H26-H25</f>
        <v>3589</v>
      </c>
      <c r="J26" s="51">
        <v>8457945</v>
      </c>
      <c r="K26" s="50">
        <f t="shared" si="3"/>
        <v>1650</v>
      </c>
    </row>
    <row r="27" spans="1:29" ht="19.5">
      <c r="A27" s="59">
        <v>44549</v>
      </c>
      <c r="B27" s="116">
        <v>2560</v>
      </c>
      <c r="C27" s="115">
        <f t="shared" si="0"/>
        <v>0</v>
      </c>
      <c r="D27" s="57">
        <v>131988.4</v>
      </c>
      <c r="E27" s="50">
        <f t="shared" si="1"/>
        <v>66.699999999982538</v>
      </c>
      <c r="F27" s="51">
        <v>11330782</v>
      </c>
      <c r="G27" s="50">
        <f t="shared" si="2"/>
        <v>2664</v>
      </c>
      <c r="H27" s="51">
        <v>19274820</v>
      </c>
      <c r="I27" s="50">
        <f>H27-H26</f>
        <v>3555</v>
      </c>
      <c r="J27" s="51">
        <v>8459912</v>
      </c>
      <c r="K27" s="50">
        <f t="shared" si="3"/>
        <v>1967</v>
      </c>
    </row>
    <row r="28" spans="1:29" ht="19.5">
      <c r="A28" s="59">
        <v>44550</v>
      </c>
      <c r="B28" s="116">
        <v>2560</v>
      </c>
      <c r="C28" s="115">
        <f t="shared" si="0"/>
        <v>0</v>
      </c>
      <c r="D28" s="57">
        <v>132054.5</v>
      </c>
      <c r="E28" s="50">
        <f t="shared" si="1"/>
        <v>66.100000000005821</v>
      </c>
      <c r="F28" s="51">
        <v>11333334</v>
      </c>
      <c r="G28" s="50">
        <f t="shared" si="2"/>
        <v>2552</v>
      </c>
      <c r="H28" s="51">
        <v>19278226</v>
      </c>
      <c r="I28" s="50">
        <f>H28-H27</f>
        <v>3406</v>
      </c>
      <c r="J28" s="51">
        <v>8461514</v>
      </c>
      <c r="K28" s="50">
        <f t="shared" si="3"/>
        <v>1602</v>
      </c>
    </row>
    <row r="29" spans="1:29" ht="19.5">
      <c r="A29" s="59">
        <v>44551</v>
      </c>
      <c r="B29" s="116">
        <v>2560</v>
      </c>
      <c r="C29" s="115">
        <f t="shared" si="0"/>
        <v>0</v>
      </c>
      <c r="D29" s="57">
        <v>132112.1</v>
      </c>
      <c r="E29" s="50">
        <f t="shared" si="1"/>
        <v>57.600000000005821</v>
      </c>
      <c r="F29" s="51">
        <v>11335761</v>
      </c>
      <c r="G29" s="50">
        <f t="shared" si="2"/>
        <v>2427</v>
      </c>
      <c r="H29" s="51">
        <v>19281610</v>
      </c>
      <c r="I29" s="50">
        <f>H29-H28</f>
        <v>3384</v>
      </c>
      <c r="J29" s="51">
        <v>8463031</v>
      </c>
      <c r="K29" s="50">
        <f t="shared" si="3"/>
        <v>1517</v>
      </c>
    </row>
    <row r="30" spans="1:29" ht="19.5">
      <c r="A30" s="59">
        <v>44552</v>
      </c>
      <c r="B30" s="116">
        <v>2560</v>
      </c>
      <c r="C30" s="115">
        <f t="shared" si="0"/>
        <v>0</v>
      </c>
      <c r="D30" s="57">
        <v>132157.20000000001</v>
      </c>
      <c r="E30" s="50">
        <f t="shared" si="1"/>
        <v>45.100000000005821</v>
      </c>
      <c r="F30" s="51">
        <v>11338609</v>
      </c>
      <c r="G30" s="50">
        <f t="shared" si="2"/>
        <v>2848</v>
      </c>
      <c r="H30" s="51">
        <v>19285017</v>
      </c>
      <c r="I30" s="50">
        <f>H30-H29</f>
        <v>3407</v>
      </c>
      <c r="J30" s="51">
        <v>8464647</v>
      </c>
      <c r="K30" s="50">
        <f t="shared" si="3"/>
        <v>1616</v>
      </c>
    </row>
    <row r="31" spans="1:29" ht="19.5">
      <c r="A31" s="59">
        <v>44553</v>
      </c>
      <c r="B31" s="116">
        <v>2560</v>
      </c>
      <c r="C31" s="115">
        <f t="shared" si="0"/>
        <v>0</v>
      </c>
      <c r="D31" s="57">
        <v>132223.1</v>
      </c>
      <c r="E31" s="50">
        <f t="shared" si="1"/>
        <v>65.899999999994179</v>
      </c>
      <c r="F31" s="51">
        <v>11341311</v>
      </c>
      <c r="G31" s="50">
        <f t="shared" si="2"/>
        <v>2702</v>
      </c>
      <c r="H31" s="51">
        <v>19288848</v>
      </c>
      <c r="I31" s="50">
        <f>H31-H30</f>
        <v>3831</v>
      </c>
      <c r="J31" s="51">
        <v>8466471</v>
      </c>
      <c r="K31" s="50">
        <f t="shared" si="3"/>
        <v>1824</v>
      </c>
    </row>
    <row r="32" spans="1:29" ht="19.5">
      <c r="A32" s="59">
        <v>44554</v>
      </c>
      <c r="B32" s="116">
        <v>2560</v>
      </c>
      <c r="C32" s="115">
        <f t="shared" si="0"/>
        <v>0</v>
      </c>
      <c r="D32" s="57">
        <v>132276.79999999999</v>
      </c>
      <c r="E32" s="50">
        <f t="shared" si="1"/>
        <v>53.699999999982538</v>
      </c>
      <c r="F32" s="51">
        <v>11343900</v>
      </c>
      <c r="G32" s="50">
        <f t="shared" si="2"/>
        <v>2589</v>
      </c>
      <c r="H32" s="51">
        <v>19292434</v>
      </c>
      <c r="I32" s="50">
        <f>H32-H31</f>
        <v>3586</v>
      </c>
      <c r="J32" s="51">
        <v>8468173</v>
      </c>
      <c r="K32" s="50">
        <f t="shared" si="3"/>
        <v>1702</v>
      </c>
    </row>
    <row r="33" spans="1:11" ht="19.5">
      <c r="A33" s="59">
        <v>44555</v>
      </c>
      <c r="B33" s="116">
        <v>2560</v>
      </c>
      <c r="C33" s="115">
        <f t="shared" si="0"/>
        <v>0</v>
      </c>
      <c r="D33" s="57">
        <v>132335.20000000001</v>
      </c>
      <c r="E33" s="50">
        <f t="shared" si="1"/>
        <v>58.400000000023283</v>
      </c>
      <c r="F33" s="51">
        <v>11346574</v>
      </c>
      <c r="G33" s="50">
        <f t="shared" si="2"/>
        <v>2674</v>
      </c>
      <c r="H33" s="51">
        <v>19296058</v>
      </c>
      <c r="I33" s="50">
        <f>H33-H32</f>
        <v>3624</v>
      </c>
      <c r="J33" s="51">
        <v>8469949</v>
      </c>
      <c r="K33" s="50">
        <f t="shared" si="3"/>
        <v>1776</v>
      </c>
    </row>
    <row r="34" spans="1:11" ht="19.5">
      <c r="A34" s="59">
        <v>44556</v>
      </c>
      <c r="B34" s="116">
        <v>2560</v>
      </c>
      <c r="C34" s="115">
        <f t="shared" si="0"/>
        <v>0</v>
      </c>
      <c r="D34" s="57">
        <v>132405.29999999999</v>
      </c>
      <c r="E34" s="50">
        <f t="shared" si="1"/>
        <v>70.099999999976717</v>
      </c>
      <c r="F34" s="51">
        <v>11349194</v>
      </c>
      <c r="G34" s="50">
        <f t="shared" si="2"/>
        <v>2620</v>
      </c>
      <c r="H34" s="51">
        <v>19299656</v>
      </c>
      <c r="I34" s="50">
        <f>H34-H33</f>
        <v>3598</v>
      </c>
      <c r="J34" s="51">
        <v>8471589</v>
      </c>
      <c r="K34" s="50">
        <f t="shared" si="3"/>
        <v>1640</v>
      </c>
    </row>
    <row r="35" spans="1:11" ht="19.5">
      <c r="A35" s="59">
        <v>44557</v>
      </c>
      <c r="B35" s="116">
        <v>2560</v>
      </c>
      <c r="C35" s="115">
        <f t="shared" si="0"/>
        <v>0</v>
      </c>
      <c r="D35" s="57">
        <v>132467.5</v>
      </c>
      <c r="E35" s="50">
        <f t="shared" si="1"/>
        <v>62.200000000011642</v>
      </c>
      <c r="F35" s="51">
        <v>11351776</v>
      </c>
      <c r="G35" s="50">
        <f t="shared" si="2"/>
        <v>2582</v>
      </c>
      <c r="H35" s="51">
        <v>19303086</v>
      </c>
      <c r="I35" s="50">
        <f>H35-H34</f>
        <v>3430</v>
      </c>
      <c r="J35" s="51">
        <v>8473203</v>
      </c>
      <c r="K35" s="50">
        <f t="shared" si="3"/>
        <v>1614</v>
      </c>
    </row>
    <row r="36" spans="1:11" ht="19.5">
      <c r="A36" s="59">
        <v>44558</v>
      </c>
      <c r="B36" s="116">
        <v>2560</v>
      </c>
      <c r="C36" s="115">
        <f t="shared" si="0"/>
        <v>0</v>
      </c>
      <c r="D36" s="57">
        <v>132506.29999999999</v>
      </c>
      <c r="E36" s="50">
        <f t="shared" si="1"/>
        <v>38.799999999988358</v>
      </c>
      <c r="F36" s="51">
        <v>11354238</v>
      </c>
      <c r="G36" s="50">
        <f t="shared" si="2"/>
        <v>2462</v>
      </c>
      <c r="H36" s="51">
        <v>19306429</v>
      </c>
      <c r="I36" s="50">
        <f>H36-H35</f>
        <v>3343</v>
      </c>
      <c r="J36" s="51">
        <v>8474753</v>
      </c>
      <c r="K36" s="50">
        <f t="shared" si="3"/>
        <v>1550</v>
      </c>
    </row>
    <row r="37" spans="1:11" ht="19.5">
      <c r="A37" s="59">
        <v>44559</v>
      </c>
      <c r="B37" s="116">
        <v>2560</v>
      </c>
      <c r="C37" s="115">
        <f t="shared" si="0"/>
        <v>0</v>
      </c>
      <c r="D37" s="57">
        <v>132568.1</v>
      </c>
      <c r="E37" s="50">
        <f t="shared" si="1"/>
        <v>61.800000000017462</v>
      </c>
      <c r="F37" s="51">
        <v>11356771</v>
      </c>
      <c r="G37" s="50">
        <f t="shared" si="2"/>
        <v>2533</v>
      </c>
      <c r="H37" s="51">
        <v>19309857</v>
      </c>
      <c r="I37" s="50">
        <f>H37-H36</f>
        <v>3428</v>
      </c>
      <c r="J37" s="51">
        <v>8476360</v>
      </c>
      <c r="K37" s="50">
        <f t="shared" si="3"/>
        <v>1607</v>
      </c>
    </row>
    <row r="38" spans="1:11" ht="19.5">
      <c r="A38" s="59">
        <v>44560</v>
      </c>
      <c r="B38" s="116">
        <v>2560</v>
      </c>
      <c r="C38" s="115">
        <f t="shared" si="0"/>
        <v>0</v>
      </c>
      <c r="D38" s="57">
        <v>132648.6</v>
      </c>
      <c r="E38" s="50">
        <f t="shared" si="1"/>
        <v>80.5</v>
      </c>
      <c r="F38" s="51">
        <v>11359287</v>
      </c>
      <c r="G38" s="50">
        <f t="shared" si="2"/>
        <v>2516</v>
      </c>
      <c r="H38" s="51">
        <v>19313275</v>
      </c>
      <c r="I38" s="50">
        <f>H38-H37</f>
        <v>3418</v>
      </c>
      <c r="J38" s="51">
        <v>8477958</v>
      </c>
      <c r="K38" s="50">
        <f t="shared" si="3"/>
        <v>1598</v>
      </c>
    </row>
    <row r="39" spans="1:11" ht="19.5">
      <c r="A39" s="59">
        <v>44561</v>
      </c>
      <c r="B39" s="116">
        <v>2560</v>
      </c>
      <c r="C39" s="115">
        <f t="shared" si="0"/>
        <v>0</v>
      </c>
      <c r="D39" s="57">
        <v>132690.20000000001</v>
      </c>
      <c r="E39" s="50">
        <f t="shared" si="1"/>
        <v>41.600000000005821</v>
      </c>
      <c r="F39" s="51">
        <v>11361906</v>
      </c>
      <c r="G39" s="50">
        <f t="shared" si="2"/>
        <v>2619</v>
      </c>
      <c r="H39" s="51">
        <v>19316675</v>
      </c>
      <c r="I39" s="50">
        <f>H39-H38</f>
        <v>3400</v>
      </c>
      <c r="J39" s="51">
        <v>8479577</v>
      </c>
      <c r="K39" s="50">
        <f t="shared" si="3"/>
        <v>1619</v>
      </c>
    </row>
    <row r="40" spans="1:11" ht="19.5">
      <c r="A40" s="59">
        <v>44562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5 E40">
    <cfRule type="cellIs" dxfId="5" priority="6" stopIfTrue="1" operator="lessThanOrEqual">
      <formula>0</formula>
    </cfRule>
  </conditionalFormatting>
  <conditionalFormatting sqref="E10:E25 E40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6:E39">
    <cfRule type="cellIs" dxfId="1" priority="2" stopIfTrue="1" operator="lessThanOrEqual">
      <formula>0</formula>
    </cfRule>
  </conditionalFormatting>
  <conditionalFormatting sqref="E26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3" activePane="bottomRight" state="frozen"/>
      <selection pane="bottomRight" activeCell="I34" sqref="I3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3" t="s">
        <v>57</v>
      </c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/>
      <c r="R1" s="283"/>
      <c r="S1" s="283"/>
      <c r="T1" s="283"/>
      <c r="U1" s="283"/>
      <c r="V1" s="283"/>
      <c r="W1" s="283"/>
      <c r="X1" s="283"/>
      <c r="Y1" s="283"/>
      <c r="Z1" s="283"/>
    </row>
    <row r="2" spans="1:31" ht="41.25" customHeight="1" thickBot="1">
      <c r="Q2" s="288">
        <v>803</v>
      </c>
      <c r="R2" s="289"/>
      <c r="S2" s="290"/>
      <c r="T2" s="291">
        <v>519</v>
      </c>
      <c r="U2" s="289"/>
      <c r="V2" s="290"/>
      <c r="W2" s="291">
        <v>800</v>
      </c>
      <c r="X2" s="289"/>
      <c r="Y2" s="290"/>
      <c r="Z2" s="291">
        <v>802</v>
      </c>
      <c r="AA2" s="289"/>
      <c r="AB2" s="292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44531</v>
      </c>
      <c r="B4" s="41">
        <v>61</v>
      </c>
      <c r="C4" s="39">
        <f t="shared" ref="C4" si="0">IF(AC4&gt;0,((B4-R4)+(S4-B5)),IF(B5=0, ,(B4-B5)))</f>
        <v>8</v>
      </c>
      <c r="D4" s="41">
        <v>60</v>
      </c>
      <c r="E4" s="39">
        <f t="shared" ref="E4" si="1">IF(AC4&gt;0,((D4-U4)+(V4-D5)),IF(D5=0, ,(D4-D5)))</f>
        <v>6</v>
      </c>
      <c r="F4" s="41">
        <v>62</v>
      </c>
      <c r="G4" s="39">
        <f t="shared" ref="G4" si="2">IF(AC4&gt;0,((F4-X4)+(Y4-F5)),IF(F5=0, ,(F4-F5)))</f>
        <v>6</v>
      </c>
      <c r="H4" s="41">
        <v>63</v>
      </c>
      <c r="I4" s="39">
        <f>IF(AC4&gt;0,((H4-AA4)+(AB4-H5)),IF(H5=0, ,(H4-H5)))</f>
        <v>4</v>
      </c>
      <c r="J4" s="39">
        <f>B4+D4+F4+H4</f>
        <v>246</v>
      </c>
      <c r="K4" s="39">
        <f>J4/4</f>
        <v>61.5</v>
      </c>
      <c r="L4" s="39">
        <f>IF(AC4&gt;0,((K4-AD4)+(AE4-K5)),IF(K5=0, ,(K4-K5)))</f>
        <v>6</v>
      </c>
      <c r="M4" s="149">
        <f t="shared" ref="M4:M7" si="3">6049*4</f>
        <v>24196</v>
      </c>
      <c r="N4" s="39">
        <f>L4*M4/100</f>
        <v>1451.76</v>
      </c>
      <c r="O4" s="39">
        <f>N4*0.529</f>
        <v>767.98104000000001</v>
      </c>
      <c r="P4" s="42">
        <f>O4*10.491</f>
        <v>8056.8890906400002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44532</v>
      </c>
      <c r="B5" s="41">
        <v>53</v>
      </c>
      <c r="C5" s="39">
        <f t="shared" ref="C4:C35" si="7">IF(AC5&gt;0,((B5-R5)+(S5-B6)),IF(B6=0, ,(B5-B6)))</f>
        <v>0</v>
      </c>
      <c r="D5" s="41">
        <v>54</v>
      </c>
      <c r="E5" s="39">
        <f t="shared" ref="E4:E35" si="8">IF(AC5&gt;0,((D5-U5)+(V5-D6)),IF(D6=0, ,(D5-D6)))</f>
        <v>1</v>
      </c>
      <c r="F5" s="41">
        <v>56</v>
      </c>
      <c r="G5" s="39">
        <f t="shared" ref="G4:G35" si="9">IF(AC5&gt;0,((F5-X5)+(Y5-F6)),IF(F6=0, ,(F5-F6)))</f>
        <v>2</v>
      </c>
      <c r="H5" s="41">
        <v>59</v>
      </c>
      <c r="I5" s="39">
        <f>IF(AC5&gt;0,((H5-AA5)+(AB5-H6)),IF(H6=0, ,(H5-H6)))</f>
        <v>3</v>
      </c>
      <c r="J5" s="39">
        <f>B5+D5+F5+H5</f>
        <v>222</v>
      </c>
      <c r="K5" s="39">
        <f>J5/4</f>
        <v>55.5</v>
      </c>
      <c r="L5" s="39">
        <f>IF(AC5&gt;0,((K5-AD5)+(AE5-K6)),IF(K6=0, ,(K5-K6)))</f>
        <v>1.5</v>
      </c>
      <c r="M5" s="149">
        <f t="shared" si="3"/>
        <v>24196</v>
      </c>
      <c r="N5" s="39">
        <f>L5*M5/100</f>
        <v>362.94</v>
      </c>
      <c r="O5" s="39">
        <f>N5*0.529</f>
        <v>191.99526</v>
      </c>
      <c r="P5" s="42">
        <f t="shared" ref="P5:P36" si="10">O5*10.491</f>
        <v>2014.22227266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44533</v>
      </c>
      <c r="B6" s="41">
        <v>53</v>
      </c>
      <c r="C6" s="39">
        <f t="shared" si="7"/>
        <v>3</v>
      </c>
      <c r="D6" s="41">
        <v>53</v>
      </c>
      <c r="E6" s="39">
        <f t="shared" si="8"/>
        <v>1</v>
      </c>
      <c r="F6" s="41">
        <v>54</v>
      </c>
      <c r="G6" s="39">
        <f t="shared" si="9"/>
        <v>0</v>
      </c>
      <c r="H6" s="41">
        <v>56</v>
      </c>
      <c r="I6" s="39">
        <f t="shared" ref="I6:I36" si="11">IF(AC6&gt;0,((H6-AA6)+(AB6-H7)),IF(H7=0, ,(H6-H7)))</f>
        <v>2</v>
      </c>
      <c r="J6" s="39">
        <f t="shared" ref="J6:J42" si="12">B6+D6+F6+H6</f>
        <v>216</v>
      </c>
      <c r="K6" s="39">
        <f t="shared" ref="K6:K42" si="13">J6/4</f>
        <v>54</v>
      </c>
      <c r="L6" s="39">
        <f t="shared" ref="L6:L19" si="14">IF(AC6&gt;0,((K6-AD6)+(AE6-K7)),IF(K7=0, ,(K6-K7)))</f>
        <v>1.5</v>
      </c>
      <c r="M6" s="149">
        <f t="shared" si="3"/>
        <v>24196</v>
      </c>
      <c r="N6" s="39">
        <f t="shared" ref="N6:N42" si="15">L6*M6/100</f>
        <v>362.94</v>
      </c>
      <c r="O6" s="39">
        <f>N6*0.529</f>
        <v>191.99526</v>
      </c>
      <c r="P6" s="42">
        <f t="shared" si="10"/>
        <v>2014.22227266</v>
      </c>
      <c r="Q6" s="39">
        <v>1894</v>
      </c>
      <c r="R6" s="39">
        <v>50</v>
      </c>
      <c r="S6" s="39">
        <v>75</v>
      </c>
      <c r="T6" s="39">
        <v>1890</v>
      </c>
      <c r="U6" s="39">
        <v>53</v>
      </c>
      <c r="V6" s="39">
        <v>80</v>
      </c>
      <c r="W6" s="39">
        <v>1890</v>
      </c>
      <c r="X6" s="39">
        <v>54</v>
      </c>
      <c r="Y6" s="39">
        <v>80</v>
      </c>
      <c r="Z6" s="39">
        <v>1890</v>
      </c>
      <c r="AA6" s="39">
        <v>55</v>
      </c>
      <c r="AB6" s="39">
        <v>80</v>
      </c>
      <c r="AC6" s="39">
        <f t="shared" si="4"/>
        <v>7564</v>
      </c>
      <c r="AD6" s="38">
        <f t="shared" si="5"/>
        <v>53</v>
      </c>
      <c r="AE6" s="38">
        <f t="shared" si="6"/>
        <v>78.75</v>
      </c>
    </row>
    <row r="7" spans="1:31" ht="32.25" customHeight="1">
      <c r="A7" s="40">
        <v>44534</v>
      </c>
      <c r="B7" s="41">
        <v>75</v>
      </c>
      <c r="C7" s="39">
        <f t="shared" si="7"/>
        <v>0</v>
      </c>
      <c r="D7" s="41">
        <v>79</v>
      </c>
      <c r="E7" s="39">
        <f t="shared" si="8"/>
        <v>4</v>
      </c>
      <c r="F7" s="41">
        <v>80</v>
      </c>
      <c r="G7" s="39">
        <f t="shared" si="9"/>
        <v>4</v>
      </c>
      <c r="H7" s="41">
        <v>79</v>
      </c>
      <c r="I7" s="39">
        <f t="shared" si="11"/>
        <v>0</v>
      </c>
      <c r="J7" s="39">
        <f t="shared" si="12"/>
        <v>313</v>
      </c>
      <c r="K7" s="39">
        <f t="shared" si="13"/>
        <v>78.25</v>
      </c>
      <c r="L7" s="39">
        <f t="shared" si="14"/>
        <v>2</v>
      </c>
      <c r="M7" s="149">
        <f t="shared" si="3"/>
        <v>24196</v>
      </c>
      <c r="N7" s="39">
        <f t="shared" si="15"/>
        <v>483.92</v>
      </c>
      <c r="O7" s="39">
        <f>N7*0.53</f>
        <v>256.4776</v>
      </c>
      <c r="P7" s="42">
        <f t="shared" si="10"/>
        <v>2690.7065015999997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44535</v>
      </c>
      <c r="B8" s="41">
        <v>75</v>
      </c>
      <c r="C8" s="39">
        <f t="shared" si="7"/>
        <v>3</v>
      </c>
      <c r="D8" s="41">
        <v>75</v>
      </c>
      <c r="E8" s="39">
        <f t="shared" si="8"/>
        <v>5</v>
      </c>
      <c r="F8" s="41">
        <v>76</v>
      </c>
      <c r="G8" s="39">
        <f t="shared" si="9"/>
        <v>4</v>
      </c>
      <c r="H8" s="41">
        <v>79</v>
      </c>
      <c r="I8" s="39">
        <f t="shared" si="11"/>
        <v>5</v>
      </c>
      <c r="J8" s="39">
        <f t="shared" si="12"/>
        <v>305</v>
      </c>
      <c r="K8" s="39">
        <f t="shared" si="13"/>
        <v>76.25</v>
      </c>
      <c r="L8" s="39">
        <f t="shared" si="14"/>
        <v>4.25</v>
      </c>
      <c r="M8" s="149">
        <f>6049*4</f>
        <v>24196</v>
      </c>
      <c r="N8" s="39">
        <f t="shared" si="15"/>
        <v>1028.33</v>
      </c>
      <c r="O8" s="148">
        <f t="shared" ref="O8:O37" si="16">N8*0.529</f>
        <v>543.98657000000003</v>
      </c>
      <c r="P8" s="42">
        <f t="shared" si="10"/>
        <v>5706.9631058699997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44536</v>
      </c>
      <c r="B9" s="41">
        <v>72</v>
      </c>
      <c r="C9" s="39">
        <f t="shared" si="7"/>
        <v>2</v>
      </c>
      <c r="D9" s="41">
        <v>70</v>
      </c>
      <c r="E9" s="39">
        <f t="shared" si="8"/>
        <v>0</v>
      </c>
      <c r="F9" s="41">
        <v>72</v>
      </c>
      <c r="G9" s="39">
        <f t="shared" si="9"/>
        <v>2</v>
      </c>
      <c r="H9" s="41">
        <v>74</v>
      </c>
      <c r="I9" s="39">
        <f t="shared" si="11"/>
        <v>3</v>
      </c>
      <c r="J9" s="39">
        <f t="shared" si="12"/>
        <v>288</v>
      </c>
      <c r="K9" s="39">
        <f t="shared" si="13"/>
        <v>72</v>
      </c>
      <c r="L9" s="39">
        <f t="shared" si="14"/>
        <v>1.75</v>
      </c>
      <c r="M9" s="149">
        <f t="shared" ref="M9:M42" si="17">6049*4</f>
        <v>24196</v>
      </c>
      <c r="N9" s="39">
        <f t="shared" si="15"/>
        <v>423.43</v>
      </c>
      <c r="O9" s="39">
        <f t="shared" si="16"/>
        <v>223.99447000000001</v>
      </c>
      <c r="P9" s="42">
        <f t="shared" si="10"/>
        <v>2349.92598477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44537</v>
      </c>
      <c r="B10" s="41">
        <v>70</v>
      </c>
      <c r="C10" s="39">
        <f t="shared" si="7"/>
        <v>1</v>
      </c>
      <c r="D10" s="41">
        <v>70</v>
      </c>
      <c r="E10" s="39">
        <f t="shared" si="8"/>
        <v>1</v>
      </c>
      <c r="F10" s="41">
        <v>70</v>
      </c>
      <c r="G10" s="39">
        <f t="shared" si="9"/>
        <v>0</v>
      </c>
      <c r="H10" s="41">
        <v>71</v>
      </c>
      <c r="I10" s="39">
        <f t="shared" si="11"/>
        <v>1</v>
      </c>
      <c r="J10" s="39">
        <f t="shared" si="12"/>
        <v>281</v>
      </c>
      <c r="K10" s="39">
        <f t="shared" si="13"/>
        <v>70.25</v>
      </c>
      <c r="L10" s="39">
        <f t="shared" si="14"/>
        <v>0.75</v>
      </c>
      <c r="M10" s="149">
        <f t="shared" si="17"/>
        <v>24196</v>
      </c>
      <c r="N10" s="39">
        <f t="shared" si="15"/>
        <v>181.47</v>
      </c>
      <c r="O10" s="148">
        <f t="shared" si="16"/>
        <v>95.997630000000001</v>
      </c>
      <c r="P10" s="42">
        <f t="shared" si="10"/>
        <v>1007.11113633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44538</v>
      </c>
      <c r="B11" s="41">
        <v>69</v>
      </c>
      <c r="C11" s="39">
        <f t="shared" si="7"/>
        <v>4</v>
      </c>
      <c r="D11" s="41">
        <v>69</v>
      </c>
      <c r="E11" s="39">
        <f t="shared" si="8"/>
        <v>4</v>
      </c>
      <c r="F11" s="41">
        <v>70</v>
      </c>
      <c r="G11" s="39">
        <f t="shared" si="9"/>
        <v>4</v>
      </c>
      <c r="H11" s="41">
        <v>70</v>
      </c>
      <c r="I11" s="39">
        <f t="shared" si="11"/>
        <v>0</v>
      </c>
      <c r="J11" s="39">
        <f t="shared" si="12"/>
        <v>278</v>
      </c>
      <c r="K11" s="39">
        <f t="shared" si="13"/>
        <v>69.5</v>
      </c>
      <c r="L11" s="39">
        <f t="shared" si="14"/>
        <v>3</v>
      </c>
      <c r="M11" s="149">
        <f t="shared" si="17"/>
        <v>24196</v>
      </c>
      <c r="N11" s="39">
        <f t="shared" si="15"/>
        <v>725.88</v>
      </c>
      <c r="O11" s="39">
        <f t="shared" si="16"/>
        <v>383.99052</v>
      </c>
      <c r="P11" s="42">
        <f t="shared" si="10"/>
        <v>4028.4445453200001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44539</v>
      </c>
      <c r="B12" s="41">
        <v>65</v>
      </c>
      <c r="C12" s="39">
        <f t="shared" si="7"/>
        <v>2</v>
      </c>
      <c r="D12" s="41">
        <v>65</v>
      </c>
      <c r="E12" s="39">
        <f t="shared" si="8"/>
        <v>2</v>
      </c>
      <c r="F12" s="41">
        <v>66</v>
      </c>
      <c r="G12" s="39">
        <f t="shared" si="9"/>
        <v>1</v>
      </c>
      <c r="H12" s="41">
        <v>70</v>
      </c>
      <c r="I12" s="39">
        <f t="shared" si="11"/>
        <v>4</v>
      </c>
      <c r="J12" s="39">
        <f t="shared" si="12"/>
        <v>266</v>
      </c>
      <c r="K12" s="39">
        <f t="shared" si="13"/>
        <v>66.5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3021.33340899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44540</v>
      </c>
      <c r="B13" s="41">
        <v>63</v>
      </c>
      <c r="C13" s="39">
        <f t="shared" si="7"/>
        <v>1</v>
      </c>
      <c r="D13" s="41">
        <v>63</v>
      </c>
      <c r="E13" s="39">
        <f t="shared" si="8"/>
        <v>2</v>
      </c>
      <c r="F13" s="41">
        <v>65</v>
      </c>
      <c r="G13" s="39">
        <f t="shared" si="9"/>
        <v>1</v>
      </c>
      <c r="H13" s="41">
        <v>66</v>
      </c>
      <c r="I13" s="39">
        <f t="shared" si="11"/>
        <v>1</v>
      </c>
      <c r="J13" s="39">
        <f t="shared" si="12"/>
        <v>257</v>
      </c>
      <c r="K13" s="39">
        <f t="shared" si="13"/>
        <v>64.25</v>
      </c>
      <c r="L13" s="39">
        <f t="shared" si="14"/>
        <v>1.25</v>
      </c>
      <c r="M13" s="149">
        <f t="shared" si="17"/>
        <v>24196</v>
      </c>
      <c r="N13" s="39">
        <f t="shared" si="15"/>
        <v>302.45</v>
      </c>
      <c r="O13" s="39">
        <f t="shared" si="16"/>
        <v>159.99605</v>
      </c>
      <c r="P13" s="42">
        <f t="shared" si="10"/>
        <v>1678.5185605499998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44541</v>
      </c>
      <c r="B14" s="41">
        <v>62</v>
      </c>
      <c r="C14" s="39">
        <f t="shared" si="7"/>
        <v>2</v>
      </c>
      <c r="D14" s="41">
        <v>61</v>
      </c>
      <c r="E14" s="39">
        <f t="shared" si="8"/>
        <v>1</v>
      </c>
      <c r="F14" s="41">
        <v>64</v>
      </c>
      <c r="G14" s="39">
        <f t="shared" si="9"/>
        <v>4</v>
      </c>
      <c r="H14" s="41">
        <v>65</v>
      </c>
      <c r="I14" s="39">
        <f>IF(AC14&gt;0,((H14-AA14)+(AB14-H15)),IF(H15=0, ,(H14-H15)))</f>
        <v>3</v>
      </c>
      <c r="J14" s="39">
        <f t="shared" si="12"/>
        <v>252</v>
      </c>
      <c r="K14" s="39">
        <f t="shared" si="13"/>
        <v>63</v>
      </c>
      <c r="L14" s="39">
        <f t="shared" si="14"/>
        <v>2.5</v>
      </c>
      <c r="M14" s="149">
        <f t="shared" si="17"/>
        <v>24196</v>
      </c>
      <c r="N14" s="39">
        <f t="shared" si="15"/>
        <v>604.9</v>
      </c>
      <c r="O14" s="39">
        <f t="shared" si="16"/>
        <v>319.99209999999999</v>
      </c>
      <c r="P14" s="42">
        <f t="shared" si="10"/>
        <v>3357.0371210999997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44542</v>
      </c>
      <c r="B15" s="41">
        <v>60</v>
      </c>
      <c r="C15" s="39">
        <f t="shared" si="7"/>
        <v>3</v>
      </c>
      <c r="D15" s="41">
        <v>60</v>
      </c>
      <c r="E15" s="39">
        <f t="shared" si="8"/>
        <v>5</v>
      </c>
      <c r="F15" s="41">
        <v>60</v>
      </c>
      <c r="G15" s="39">
        <f t="shared" si="9"/>
        <v>2</v>
      </c>
      <c r="H15" s="41">
        <v>62</v>
      </c>
      <c r="I15" s="39">
        <f>IF(AC15&gt;0,((H15-AA15)+(AB15-H16)),IF(H16=0, ,(H15-H16)))</f>
        <v>2</v>
      </c>
      <c r="J15" s="39">
        <f t="shared" si="12"/>
        <v>242</v>
      </c>
      <c r="K15" s="39">
        <f t="shared" si="13"/>
        <v>60.5</v>
      </c>
      <c r="L15" s="39">
        <f t="shared" si="14"/>
        <v>3</v>
      </c>
      <c r="M15" s="149">
        <f t="shared" si="17"/>
        <v>24196</v>
      </c>
      <c r="N15" s="39">
        <f t="shared" si="15"/>
        <v>725.88</v>
      </c>
      <c r="O15" s="39">
        <f t="shared" si="16"/>
        <v>383.99052</v>
      </c>
      <c r="P15" s="42">
        <f t="shared" si="10"/>
        <v>4028.4445453200001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44543</v>
      </c>
      <c r="B16" s="41">
        <v>57</v>
      </c>
      <c r="C16" s="39">
        <f t="shared" si="7"/>
        <v>2</v>
      </c>
      <c r="D16" s="41">
        <v>55</v>
      </c>
      <c r="E16" s="39">
        <f t="shared" si="8"/>
        <v>0</v>
      </c>
      <c r="F16" s="41">
        <v>58</v>
      </c>
      <c r="G16" s="39">
        <f t="shared" si="9"/>
        <v>3</v>
      </c>
      <c r="H16" s="41">
        <v>60</v>
      </c>
      <c r="I16" s="39">
        <f t="shared" si="11"/>
        <v>0</v>
      </c>
      <c r="J16" s="39">
        <f t="shared" si="12"/>
        <v>230</v>
      </c>
      <c r="K16" s="39">
        <f t="shared" si="13"/>
        <v>57.5</v>
      </c>
      <c r="L16" s="39">
        <f t="shared" si="14"/>
        <v>1.25</v>
      </c>
      <c r="M16" s="149">
        <f t="shared" si="17"/>
        <v>24196</v>
      </c>
      <c r="N16" s="39">
        <f t="shared" si="15"/>
        <v>302.45</v>
      </c>
      <c r="O16" s="39">
        <f t="shared" si="16"/>
        <v>159.99605</v>
      </c>
      <c r="P16" s="42">
        <f t="shared" si="10"/>
        <v>1678.5185605499998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44544</v>
      </c>
      <c r="B17" s="41">
        <v>55</v>
      </c>
      <c r="C17" s="39">
        <f t="shared" si="7"/>
        <v>4</v>
      </c>
      <c r="D17" s="41">
        <v>55</v>
      </c>
      <c r="E17" s="39">
        <f t="shared" si="8"/>
        <v>4</v>
      </c>
      <c r="F17" s="41">
        <v>55</v>
      </c>
      <c r="G17" s="39">
        <f t="shared" si="9"/>
        <v>3</v>
      </c>
      <c r="H17" s="41">
        <v>60</v>
      </c>
      <c r="I17" s="39">
        <f t="shared" si="11"/>
        <v>5</v>
      </c>
      <c r="J17" s="39">
        <f t="shared" si="12"/>
        <v>225</v>
      </c>
      <c r="K17" s="39">
        <f t="shared" si="13"/>
        <v>56.25</v>
      </c>
      <c r="L17" s="39">
        <f t="shared" si="14"/>
        <v>4</v>
      </c>
      <c r="M17" s="149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0"/>
        <v>5371.2593937600004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44545</v>
      </c>
      <c r="B18" s="41">
        <v>51</v>
      </c>
      <c r="C18" s="39">
        <f t="shared" si="7"/>
        <v>1</v>
      </c>
      <c r="D18" s="41">
        <v>51</v>
      </c>
      <c r="E18" s="39">
        <f t="shared" si="8"/>
        <v>1</v>
      </c>
      <c r="F18" s="41">
        <v>52</v>
      </c>
      <c r="G18" s="39">
        <f t="shared" si="9"/>
        <v>0</v>
      </c>
      <c r="H18" s="41">
        <v>55</v>
      </c>
      <c r="I18" s="39">
        <f t="shared" si="11"/>
        <v>0</v>
      </c>
      <c r="J18" s="39">
        <f t="shared" si="12"/>
        <v>209</v>
      </c>
      <c r="K18" s="39">
        <f t="shared" si="13"/>
        <v>52.25</v>
      </c>
      <c r="L18" s="39">
        <f t="shared" si="14"/>
        <v>0.5</v>
      </c>
      <c r="M18" s="149">
        <f t="shared" si="17"/>
        <v>24196</v>
      </c>
      <c r="N18" s="39">
        <f t="shared" si="15"/>
        <v>120.98</v>
      </c>
      <c r="O18" s="39">
        <f t="shared" si="16"/>
        <v>63.998420000000003</v>
      </c>
      <c r="P18" s="42">
        <f t="shared" si="10"/>
        <v>671.40742422000005</v>
      </c>
      <c r="Q18" s="39">
        <v>500</v>
      </c>
      <c r="R18" s="39">
        <v>50</v>
      </c>
      <c r="S18" s="39">
        <v>60</v>
      </c>
      <c r="T18" s="39">
        <v>500</v>
      </c>
      <c r="U18" s="39">
        <v>50</v>
      </c>
      <c r="V18" s="39">
        <v>60</v>
      </c>
      <c r="W18" s="39">
        <v>500</v>
      </c>
      <c r="X18" s="39">
        <v>52</v>
      </c>
      <c r="Y18" s="39">
        <v>65</v>
      </c>
      <c r="Z18" s="39">
        <v>500</v>
      </c>
      <c r="AA18" s="39">
        <v>55</v>
      </c>
      <c r="AB18" s="39">
        <v>65</v>
      </c>
      <c r="AC18" s="39">
        <f t="shared" si="4"/>
        <v>2000</v>
      </c>
      <c r="AD18" s="38">
        <f t="shared" si="5"/>
        <v>51.75</v>
      </c>
      <c r="AE18" s="38">
        <f t="shared" si="6"/>
        <v>62.5</v>
      </c>
    </row>
    <row r="19" spans="1:31" ht="32.25" customHeight="1">
      <c r="A19" s="40">
        <v>44546</v>
      </c>
      <c r="B19" s="41">
        <v>60</v>
      </c>
      <c r="C19" s="39">
        <f t="shared" si="7"/>
        <v>1</v>
      </c>
      <c r="D19" s="41">
        <v>60</v>
      </c>
      <c r="E19" s="39">
        <f t="shared" si="8"/>
        <v>2</v>
      </c>
      <c r="F19" s="41">
        <v>65</v>
      </c>
      <c r="G19" s="39">
        <f t="shared" si="9"/>
        <v>2</v>
      </c>
      <c r="H19" s="41">
        <v>65</v>
      </c>
      <c r="I19" s="39">
        <f t="shared" si="11"/>
        <v>2</v>
      </c>
      <c r="J19" s="39">
        <f t="shared" si="12"/>
        <v>250</v>
      </c>
      <c r="K19" s="39">
        <f t="shared" si="13"/>
        <v>62.5</v>
      </c>
      <c r="L19" s="39">
        <f t="shared" si="14"/>
        <v>1.75</v>
      </c>
      <c r="M19" s="149">
        <f t="shared" si="17"/>
        <v>24196</v>
      </c>
      <c r="N19" s="39">
        <f t="shared" si="15"/>
        <v>423.43</v>
      </c>
      <c r="O19" s="39">
        <f t="shared" si="16"/>
        <v>223.99447000000001</v>
      </c>
      <c r="P19" s="42">
        <f t="shared" si="10"/>
        <v>2349.92598477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44547</v>
      </c>
      <c r="B20" s="41">
        <v>59</v>
      </c>
      <c r="C20" s="39">
        <f t="shared" si="7"/>
        <v>1</v>
      </c>
      <c r="D20" s="41">
        <v>58</v>
      </c>
      <c r="E20" s="39">
        <f t="shared" si="8"/>
        <v>1</v>
      </c>
      <c r="F20" s="41">
        <v>63</v>
      </c>
      <c r="G20" s="39">
        <f t="shared" si="9"/>
        <v>2</v>
      </c>
      <c r="H20" s="41">
        <v>63</v>
      </c>
      <c r="I20" s="39">
        <f t="shared" si="11"/>
        <v>2</v>
      </c>
      <c r="J20" s="39">
        <f t="shared" si="12"/>
        <v>243</v>
      </c>
      <c r="K20" s="39">
        <f t="shared" si="13"/>
        <v>60.75</v>
      </c>
      <c r="L20" s="39">
        <f t="shared" ref="L20:L42" si="18">IF(AC20&gt;0,((K20-AD20)+(AE20-K21)),IF(K21=0, ,(K20-K21)))</f>
        <v>1.5</v>
      </c>
      <c r="M20" s="149">
        <f t="shared" si="17"/>
        <v>24196</v>
      </c>
      <c r="N20" s="39">
        <f t="shared" si="15"/>
        <v>362.94</v>
      </c>
      <c r="O20" s="39">
        <f t="shared" si="16"/>
        <v>191.99526</v>
      </c>
      <c r="P20" s="42">
        <f t="shared" si="10"/>
        <v>2014.22227266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44548</v>
      </c>
      <c r="B21" s="41">
        <v>58</v>
      </c>
      <c r="C21" s="39">
        <f t="shared" si="7"/>
        <v>4</v>
      </c>
      <c r="D21" s="41">
        <v>57</v>
      </c>
      <c r="E21" s="39">
        <f t="shared" si="8"/>
        <v>3</v>
      </c>
      <c r="F21" s="41">
        <v>61</v>
      </c>
      <c r="G21" s="39">
        <f t="shared" si="9"/>
        <v>5</v>
      </c>
      <c r="H21" s="41">
        <v>61</v>
      </c>
      <c r="I21" s="39">
        <f t="shared" si="11"/>
        <v>1</v>
      </c>
      <c r="J21" s="39">
        <f t="shared" si="12"/>
        <v>237</v>
      </c>
      <c r="K21" s="39">
        <f t="shared" si="13"/>
        <v>59.25</v>
      </c>
      <c r="L21" s="39">
        <f>IF(AC21&gt;0,((K21-AD21)+(AE21-K22)),IF(K22=0, ,(K21-K22)))</f>
        <v>3.25</v>
      </c>
      <c r="M21" s="149">
        <f t="shared" si="17"/>
        <v>24196</v>
      </c>
      <c r="N21" s="39">
        <f t="shared" si="15"/>
        <v>786.37</v>
      </c>
      <c r="O21" s="39">
        <f t="shared" si="16"/>
        <v>415.98973000000001</v>
      </c>
      <c r="P21" s="42">
        <f t="shared" si="10"/>
        <v>4364.1482574299998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44549</v>
      </c>
      <c r="B22" s="41">
        <v>54</v>
      </c>
      <c r="C22" s="39">
        <f t="shared" si="7"/>
        <v>3</v>
      </c>
      <c r="D22" s="41">
        <v>54</v>
      </c>
      <c r="E22" s="39">
        <f t="shared" si="8"/>
        <v>3</v>
      </c>
      <c r="F22" s="41">
        <v>56</v>
      </c>
      <c r="G22" s="39">
        <f t="shared" si="9"/>
        <v>3</v>
      </c>
      <c r="H22" s="41">
        <v>60</v>
      </c>
      <c r="I22" s="39">
        <f t="shared" si="11"/>
        <v>5</v>
      </c>
      <c r="J22" s="39">
        <f t="shared" si="12"/>
        <v>224</v>
      </c>
      <c r="K22" s="39">
        <f t="shared" si="13"/>
        <v>56</v>
      </c>
      <c r="L22" s="39">
        <f>IF(AC22&gt;0,((K22-AD22)+(AE22-K23)),IF(K23=0, ,(K22-K23)))</f>
        <v>3.5</v>
      </c>
      <c r="M22" s="149">
        <f t="shared" si="17"/>
        <v>24196</v>
      </c>
      <c r="N22" s="39">
        <f t="shared" si="15"/>
        <v>846.86</v>
      </c>
      <c r="O22" s="39">
        <f t="shared" si="16"/>
        <v>447.98894000000001</v>
      </c>
      <c r="P22" s="42">
        <f t="shared" si="10"/>
        <v>4699.85196954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44550</v>
      </c>
      <c r="B23" s="41">
        <v>51</v>
      </c>
      <c r="C23" s="39">
        <f t="shared" si="7"/>
        <v>1</v>
      </c>
      <c r="D23" s="41">
        <v>51</v>
      </c>
      <c r="E23" s="39">
        <f t="shared" si="8"/>
        <v>1</v>
      </c>
      <c r="F23" s="41">
        <v>53</v>
      </c>
      <c r="G23" s="39">
        <f t="shared" si="9"/>
        <v>1</v>
      </c>
      <c r="H23" s="41">
        <v>55</v>
      </c>
      <c r="I23" s="39">
        <f t="shared" si="11"/>
        <v>0</v>
      </c>
      <c r="J23" s="39">
        <f t="shared" si="12"/>
        <v>210</v>
      </c>
      <c r="K23" s="39">
        <f t="shared" si="13"/>
        <v>52.5</v>
      </c>
      <c r="L23" s="39">
        <f t="shared" si="18"/>
        <v>0.75</v>
      </c>
      <c r="M23" s="149">
        <f t="shared" si="17"/>
        <v>24196</v>
      </c>
      <c r="N23" s="39">
        <f t="shared" si="15"/>
        <v>181.47</v>
      </c>
      <c r="O23" s="39">
        <f t="shared" si="16"/>
        <v>95.997630000000001</v>
      </c>
      <c r="P23" s="42">
        <f t="shared" si="10"/>
        <v>1007.11113633</v>
      </c>
      <c r="Q23" s="39">
        <v>1890</v>
      </c>
      <c r="R23" s="39">
        <v>50</v>
      </c>
      <c r="S23" s="39">
        <v>75</v>
      </c>
      <c r="T23" s="39">
        <v>1890</v>
      </c>
      <c r="U23" s="39">
        <v>50</v>
      </c>
      <c r="V23" s="39">
        <v>75</v>
      </c>
      <c r="W23" s="39">
        <v>1890</v>
      </c>
      <c r="X23" s="39">
        <v>53</v>
      </c>
      <c r="Y23" s="39">
        <v>80</v>
      </c>
      <c r="Z23" s="39">
        <v>1980</v>
      </c>
      <c r="AA23" s="39">
        <v>55</v>
      </c>
      <c r="AB23" s="39">
        <v>80</v>
      </c>
      <c r="AC23" s="39">
        <f t="shared" si="4"/>
        <v>7650</v>
      </c>
      <c r="AD23" s="38">
        <f t="shared" si="5"/>
        <v>52</v>
      </c>
      <c r="AE23" s="38">
        <f t="shared" si="6"/>
        <v>77.5</v>
      </c>
    </row>
    <row r="24" spans="1:31" ht="32.25" customHeight="1">
      <c r="A24" s="40">
        <v>44551</v>
      </c>
      <c r="B24" s="41">
        <v>75</v>
      </c>
      <c r="C24" s="39">
        <f t="shared" si="7"/>
        <v>0</v>
      </c>
      <c r="D24" s="41">
        <v>75</v>
      </c>
      <c r="E24" s="39">
        <f t="shared" si="8"/>
        <v>0</v>
      </c>
      <c r="F24" s="41">
        <v>79</v>
      </c>
      <c r="G24" s="39">
        <f t="shared" si="9"/>
        <v>4</v>
      </c>
      <c r="H24" s="41">
        <v>80</v>
      </c>
      <c r="I24" s="39">
        <f t="shared" si="11"/>
        <v>4</v>
      </c>
      <c r="J24" s="39">
        <f t="shared" si="12"/>
        <v>309</v>
      </c>
      <c r="K24" s="39">
        <f t="shared" si="13"/>
        <v>77.25</v>
      </c>
      <c r="L24" s="39">
        <f t="shared" si="18"/>
        <v>2</v>
      </c>
      <c r="M24" s="149">
        <f t="shared" si="17"/>
        <v>24196</v>
      </c>
      <c r="N24" s="39">
        <f t="shared" si="15"/>
        <v>483.92</v>
      </c>
      <c r="O24" s="39">
        <f t="shared" si="16"/>
        <v>255.99368000000001</v>
      </c>
      <c r="P24" s="42">
        <f t="shared" si="10"/>
        <v>2685.6296968800002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44552</v>
      </c>
      <c r="B25" s="41">
        <v>75</v>
      </c>
      <c r="C25" s="39">
        <f t="shared" si="7"/>
        <v>4</v>
      </c>
      <c r="D25" s="41">
        <v>75</v>
      </c>
      <c r="E25" s="39">
        <f t="shared" si="8"/>
        <v>3</v>
      </c>
      <c r="F25" s="41">
        <v>75</v>
      </c>
      <c r="G25" s="39">
        <f t="shared" si="9"/>
        <v>0</v>
      </c>
      <c r="H25" s="41">
        <v>76</v>
      </c>
      <c r="I25" s="39">
        <f t="shared" si="11"/>
        <v>0</v>
      </c>
      <c r="J25" s="39">
        <f t="shared" si="12"/>
        <v>301</v>
      </c>
      <c r="K25" s="39">
        <f t="shared" si="13"/>
        <v>75.25</v>
      </c>
      <c r="L25" s="39">
        <f t="shared" si="18"/>
        <v>1.75</v>
      </c>
      <c r="M25" s="149">
        <f t="shared" si="17"/>
        <v>24196</v>
      </c>
      <c r="N25" s="39">
        <f t="shared" si="15"/>
        <v>423.43</v>
      </c>
      <c r="O25" s="39">
        <f t="shared" si="16"/>
        <v>223.99447000000001</v>
      </c>
      <c r="P25" s="42">
        <f t="shared" si="10"/>
        <v>2349.92598477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44553</v>
      </c>
      <c r="B26" s="41">
        <v>71</v>
      </c>
      <c r="C26" s="39">
        <f t="shared" si="7"/>
        <v>2</v>
      </c>
      <c r="D26" s="41">
        <v>72</v>
      </c>
      <c r="E26" s="39">
        <f t="shared" si="8"/>
        <v>2</v>
      </c>
      <c r="F26" s="41">
        <v>75</v>
      </c>
      <c r="G26" s="39">
        <f t="shared" si="9"/>
        <v>1</v>
      </c>
      <c r="H26" s="41">
        <v>76</v>
      </c>
      <c r="I26" s="39">
        <f t="shared" si="11"/>
        <v>2</v>
      </c>
      <c r="J26" s="39">
        <f t="shared" si="12"/>
        <v>294</v>
      </c>
      <c r="K26" s="39">
        <f t="shared" si="13"/>
        <v>73.5</v>
      </c>
      <c r="L26" s="39">
        <f t="shared" si="18"/>
        <v>1.75</v>
      </c>
      <c r="M26" s="149">
        <f t="shared" si="17"/>
        <v>24196</v>
      </c>
      <c r="N26" s="39">
        <f t="shared" si="15"/>
        <v>423.43</v>
      </c>
      <c r="O26" s="39">
        <f t="shared" si="16"/>
        <v>223.99447000000001</v>
      </c>
      <c r="P26" s="42">
        <f t="shared" si="10"/>
        <v>2349.92598477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44554</v>
      </c>
      <c r="B27" s="41">
        <v>69</v>
      </c>
      <c r="C27" s="39">
        <f t="shared" si="7"/>
        <v>2</v>
      </c>
      <c r="D27" s="41">
        <v>70</v>
      </c>
      <c r="E27" s="39">
        <f t="shared" si="8"/>
        <v>2</v>
      </c>
      <c r="F27" s="41">
        <v>74</v>
      </c>
      <c r="G27" s="39">
        <f t="shared" si="9"/>
        <v>3</v>
      </c>
      <c r="H27" s="41">
        <v>74</v>
      </c>
      <c r="I27" s="39">
        <f t="shared" si="11"/>
        <v>2</v>
      </c>
      <c r="J27" s="39">
        <f t="shared" si="12"/>
        <v>287</v>
      </c>
      <c r="K27" s="39">
        <f t="shared" si="13"/>
        <v>71.75</v>
      </c>
      <c r="L27" s="39">
        <f t="shared" si="18"/>
        <v>2.25</v>
      </c>
      <c r="M27" s="149">
        <f t="shared" si="17"/>
        <v>24196</v>
      </c>
      <c r="N27" s="39">
        <f t="shared" si="15"/>
        <v>544.41</v>
      </c>
      <c r="O27" s="39">
        <f t="shared" si="16"/>
        <v>287.99288999999999</v>
      </c>
      <c r="P27" s="42">
        <f t="shared" si="10"/>
        <v>3021.33340899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44555</v>
      </c>
      <c r="B28" s="41">
        <v>67</v>
      </c>
      <c r="C28" s="39">
        <f t="shared" si="7"/>
        <v>3</v>
      </c>
      <c r="D28" s="41">
        <v>68</v>
      </c>
      <c r="E28" s="39">
        <f t="shared" si="8"/>
        <v>4</v>
      </c>
      <c r="F28" s="41">
        <v>71</v>
      </c>
      <c r="G28" s="39">
        <f t="shared" si="9"/>
        <v>1</v>
      </c>
      <c r="H28" s="41">
        <v>72</v>
      </c>
      <c r="I28" s="39">
        <f>IF(AC28&gt;0,((H28-AA28)+(AB28-H29)),IF(H29=0, ,(H28-H29)))</f>
        <v>2</v>
      </c>
      <c r="J28" s="39">
        <f t="shared" si="12"/>
        <v>278</v>
      </c>
      <c r="K28" s="39">
        <f t="shared" si="13"/>
        <v>69.5</v>
      </c>
      <c r="L28" s="39">
        <f t="shared" si="18"/>
        <v>2.5</v>
      </c>
      <c r="M28" s="149">
        <f t="shared" si="17"/>
        <v>24196</v>
      </c>
      <c r="N28" s="39">
        <f t="shared" si="15"/>
        <v>604.9</v>
      </c>
      <c r="O28" s="39">
        <f t="shared" si="16"/>
        <v>319.99209999999999</v>
      </c>
      <c r="P28" s="42">
        <f t="shared" si="10"/>
        <v>3357.0371210999997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44556</v>
      </c>
      <c r="B29" s="41">
        <v>64</v>
      </c>
      <c r="C29" s="39">
        <f t="shared" si="7"/>
        <v>1</v>
      </c>
      <c r="D29" s="41">
        <v>64</v>
      </c>
      <c r="E29" s="39">
        <f t="shared" si="8"/>
        <v>0</v>
      </c>
      <c r="F29" s="41">
        <v>70</v>
      </c>
      <c r="G29" s="39">
        <f t="shared" si="9"/>
        <v>3</v>
      </c>
      <c r="H29" s="41">
        <v>70</v>
      </c>
      <c r="I29" s="39">
        <f t="shared" si="11"/>
        <v>0</v>
      </c>
      <c r="J29" s="39">
        <f t="shared" si="12"/>
        <v>268</v>
      </c>
      <c r="K29" s="39">
        <f t="shared" si="13"/>
        <v>67</v>
      </c>
      <c r="L29" s="39">
        <f t="shared" si="18"/>
        <v>1</v>
      </c>
      <c r="M29" s="149">
        <f t="shared" si="17"/>
        <v>24196</v>
      </c>
      <c r="N29" s="39">
        <f t="shared" si="15"/>
        <v>241.96</v>
      </c>
      <c r="O29" s="39">
        <f t="shared" si="16"/>
        <v>127.99684000000001</v>
      </c>
      <c r="P29" s="42">
        <f t="shared" si="10"/>
        <v>1342.8148484400001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44557</v>
      </c>
      <c r="B30" s="41">
        <v>63</v>
      </c>
      <c r="C30" s="39">
        <f t="shared" si="7"/>
        <v>3</v>
      </c>
      <c r="D30" s="41">
        <v>64</v>
      </c>
      <c r="E30" s="39">
        <f t="shared" si="8"/>
        <v>4</v>
      </c>
      <c r="F30" s="41">
        <v>67</v>
      </c>
      <c r="G30" s="39">
        <f t="shared" si="9"/>
        <v>3</v>
      </c>
      <c r="H30" s="41">
        <v>70</v>
      </c>
      <c r="I30" s="39">
        <f t="shared" si="11"/>
        <v>5</v>
      </c>
      <c r="J30" s="39">
        <f t="shared" si="12"/>
        <v>264</v>
      </c>
      <c r="K30" s="39">
        <f t="shared" si="13"/>
        <v>66</v>
      </c>
      <c r="L30" s="39">
        <f t="shared" si="18"/>
        <v>3.75</v>
      </c>
      <c r="M30" s="149">
        <f t="shared" si="17"/>
        <v>24196</v>
      </c>
      <c r="N30" s="39">
        <f t="shared" si="15"/>
        <v>907.35</v>
      </c>
      <c r="O30" s="39">
        <f t="shared" si="16"/>
        <v>479.98815000000002</v>
      </c>
      <c r="P30" s="42">
        <f t="shared" si="10"/>
        <v>5035.5556816500002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44558</v>
      </c>
      <c r="B31" s="41">
        <v>60</v>
      </c>
      <c r="C31" s="39">
        <f t="shared" si="7"/>
        <v>3</v>
      </c>
      <c r="D31" s="41">
        <v>60</v>
      </c>
      <c r="E31" s="39">
        <f t="shared" si="8"/>
        <v>3</v>
      </c>
      <c r="F31" s="41">
        <v>64</v>
      </c>
      <c r="G31" s="39">
        <f t="shared" si="9"/>
        <v>4</v>
      </c>
      <c r="H31" s="41">
        <v>65</v>
      </c>
      <c r="I31" s="39">
        <f t="shared" si="11"/>
        <v>1</v>
      </c>
      <c r="J31" s="39">
        <f t="shared" si="12"/>
        <v>249</v>
      </c>
      <c r="K31" s="39">
        <f t="shared" si="13"/>
        <v>62.25</v>
      </c>
      <c r="L31" s="39">
        <f t="shared" si="18"/>
        <v>2.75</v>
      </c>
      <c r="M31" s="149">
        <f t="shared" si="17"/>
        <v>24196</v>
      </c>
      <c r="N31" s="39">
        <f t="shared" si="15"/>
        <v>665.39</v>
      </c>
      <c r="O31" s="39">
        <f t="shared" si="16"/>
        <v>351.99131</v>
      </c>
      <c r="P31" s="42">
        <f t="shared" si="10"/>
        <v>3692.7408332099999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44559</v>
      </c>
      <c r="B32" s="41">
        <v>57</v>
      </c>
      <c r="C32" s="39">
        <f t="shared" si="7"/>
        <v>2</v>
      </c>
      <c r="D32" s="41">
        <v>57</v>
      </c>
      <c r="E32" s="39">
        <f t="shared" si="8"/>
        <v>3</v>
      </c>
      <c r="F32" s="41">
        <v>60</v>
      </c>
      <c r="G32" s="39">
        <f t="shared" si="9"/>
        <v>1</v>
      </c>
      <c r="H32" s="41">
        <v>64</v>
      </c>
      <c r="I32" s="39">
        <f t="shared" si="11"/>
        <v>4</v>
      </c>
      <c r="J32" s="39">
        <f t="shared" si="12"/>
        <v>238</v>
      </c>
      <c r="K32" s="39">
        <f t="shared" si="13"/>
        <v>59.5</v>
      </c>
      <c r="L32" s="39">
        <f t="shared" si="18"/>
        <v>2.5</v>
      </c>
      <c r="M32" s="149">
        <f t="shared" si="17"/>
        <v>24196</v>
      </c>
      <c r="N32" s="39">
        <f t="shared" si="15"/>
        <v>604.9</v>
      </c>
      <c r="O32" s="149">
        <f t="shared" si="16"/>
        <v>319.99209999999999</v>
      </c>
      <c r="P32" s="42">
        <f t="shared" si="10"/>
        <v>3357.0371210999997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44560</v>
      </c>
      <c r="B33" s="41">
        <v>55</v>
      </c>
      <c r="C33" s="39">
        <f t="shared" si="7"/>
        <v>1</v>
      </c>
      <c r="D33" s="41">
        <v>54</v>
      </c>
      <c r="E33" s="39">
        <f t="shared" si="8"/>
        <v>0</v>
      </c>
      <c r="F33" s="41">
        <v>59</v>
      </c>
      <c r="G33" s="39">
        <f t="shared" si="9"/>
        <v>3</v>
      </c>
      <c r="H33" s="41">
        <v>60</v>
      </c>
      <c r="I33" s="39">
        <f t="shared" si="11"/>
        <v>4</v>
      </c>
      <c r="J33" s="39">
        <f t="shared" si="12"/>
        <v>228</v>
      </c>
      <c r="K33" s="39">
        <f t="shared" si="13"/>
        <v>57</v>
      </c>
      <c r="L33" s="39">
        <f t="shared" si="18"/>
        <v>2</v>
      </c>
      <c r="M33" s="149">
        <f t="shared" si="17"/>
        <v>24196</v>
      </c>
      <c r="N33" s="39">
        <f t="shared" si="15"/>
        <v>483.92</v>
      </c>
      <c r="O33" s="39">
        <f t="shared" si="16"/>
        <v>255.99368000000001</v>
      </c>
      <c r="P33" s="42">
        <f t="shared" si="10"/>
        <v>2685.6296968800002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44561</v>
      </c>
      <c r="B34" s="41">
        <v>54</v>
      </c>
      <c r="C34" s="39">
        <f t="shared" si="7"/>
        <v>0</v>
      </c>
      <c r="D34" s="41">
        <v>54</v>
      </c>
      <c r="E34" s="39">
        <f t="shared" si="8"/>
        <v>0</v>
      </c>
      <c r="F34" s="41">
        <v>56</v>
      </c>
      <c r="G34" s="39">
        <f t="shared" si="9"/>
        <v>0</v>
      </c>
      <c r="H34" s="41">
        <v>56</v>
      </c>
      <c r="I34" s="39">
        <f t="shared" si="11"/>
        <v>0</v>
      </c>
      <c r="J34" s="39">
        <f>B34+D34+F34+H34</f>
        <v>220</v>
      </c>
      <c r="K34" s="39">
        <f>J34/4</f>
        <v>55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44562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9" si="27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2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16574.259999999998</v>
      </c>
      <c r="O43" s="39">
        <f>N43*0.529</f>
        <v>8767.7835400000004</v>
      </c>
      <c r="P43" s="42">
        <f>O43*10.491</f>
        <v>91982.817118139996</v>
      </c>
      <c r="Q43" s="284">
        <f>SUM(Q4:Q42)</f>
        <v>4284</v>
      </c>
      <c r="R43" s="285"/>
      <c r="S43" s="286"/>
      <c r="T43" s="287">
        <f>SUM(T4:T42)</f>
        <v>4280</v>
      </c>
      <c r="U43" s="285"/>
      <c r="V43" s="286"/>
      <c r="W43" s="287">
        <f>SUM(W4:W42)</f>
        <v>4280</v>
      </c>
      <c r="X43" s="285"/>
      <c r="Y43" s="286"/>
      <c r="Z43" s="287">
        <f>SUM(Z4:Z42)</f>
        <v>4370</v>
      </c>
      <c r="AA43" s="285"/>
      <c r="AB43" s="286"/>
      <c r="AC43" s="39">
        <f t="shared" si="20"/>
        <v>17214</v>
      </c>
    </row>
    <row r="44" spans="1:31" ht="35.25" customHeight="1" thickBot="1">
      <c r="B44" s="293"/>
      <c r="C44" s="294"/>
      <c r="D44" s="294"/>
      <c r="E44" s="294"/>
      <c r="F44" s="294"/>
      <c r="G44" s="294"/>
      <c r="H44" s="294"/>
      <c r="I44" s="295"/>
      <c r="J44" s="37"/>
      <c r="K44" s="37"/>
      <c r="L44" s="37"/>
      <c r="M44" s="37"/>
      <c r="N44" s="37"/>
      <c r="O44" s="37"/>
      <c r="P44" s="37"/>
      <c r="Q44" s="296">
        <f>Q43+T43+W43+Z43</f>
        <v>17214</v>
      </c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8"/>
      <c r="AC44" s="39">
        <f>Q44+T44+W44+Z44</f>
        <v>17214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0" t="s">
        <v>85</v>
      </c>
      <c r="I47" s="281"/>
      <c r="J47" s="282"/>
      <c r="K47" s="45">
        <f>N43</f>
        <v>16574.259999999998</v>
      </c>
      <c r="L47" s="46">
        <f>O43</f>
        <v>8767.7835400000004</v>
      </c>
      <c r="M47" s="46">
        <f>P43</f>
        <v>91982.817118139996</v>
      </c>
    </row>
    <row r="48" spans="1:31" ht="54.75" customHeight="1" thickBot="1">
      <c r="H48" s="280" t="s">
        <v>86</v>
      </c>
      <c r="I48" s="281"/>
      <c r="J48" s="282"/>
      <c r="K48" s="43">
        <f>AC44</f>
        <v>17214</v>
      </c>
      <c r="L48" s="44">
        <f>K48*0.529</f>
        <v>9106.2060000000001</v>
      </c>
      <c r="M48" s="44">
        <f>L48*10.491</f>
        <v>95533.207146000001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69"/>
      <c r="B1" s="271"/>
      <c r="C1" s="356" t="s">
        <v>87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44528</v>
      </c>
      <c r="D8" s="350"/>
      <c r="E8" s="113">
        <v>44558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688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19306429</v>
      </c>
      <c r="D17" s="66">
        <v>19189353</v>
      </c>
      <c r="E17" s="67">
        <f>MIN(C17-D17)</f>
        <v>117076</v>
      </c>
      <c r="F17" s="67">
        <f>+E17</f>
        <v>117076</v>
      </c>
      <c r="G17" s="336"/>
      <c r="H17" s="337"/>
      <c r="I17" s="336">
        <f>+E17</f>
        <v>117076</v>
      </c>
      <c r="J17" s="337"/>
    </row>
    <row r="18" spans="1:10">
      <c r="A18" s="334" t="s">
        <v>111</v>
      </c>
      <c r="B18" s="335"/>
      <c r="C18" s="66">
        <v>11353001</v>
      </c>
      <c r="D18" s="66">
        <v>11267897</v>
      </c>
      <c r="E18" s="67">
        <f>MIN(C18-D18)</f>
        <v>85104</v>
      </c>
      <c r="F18" s="67">
        <f>+E18</f>
        <v>85104</v>
      </c>
      <c r="G18" s="336"/>
      <c r="H18" s="337"/>
      <c r="I18" s="336">
        <f>+E18</f>
        <v>85104</v>
      </c>
      <c r="J18" s="337"/>
    </row>
    <row r="19" spans="1:10">
      <c r="A19" s="334" t="s">
        <v>112</v>
      </c>
      <c r="B19" s="335"/>
      <c r="C19" s="66">
        <v>8474753</v>
      </c>
      <c r="D19" s="66">
        <v>8420514</v>
      </c>
      <c r="E19" s="67">
        <f>AVERAGE(C19-D19)</f>
        <v>54239</v>
      </c>
      <c r="F19" s="67">
        <f>+E19</f>
        <v>54239</v>
      </c>
      <c r="G19" s="336"/>
      <c r="H19" s="337"/>
      <c r="I19" s="336">
        <f>+E19</f>
        <v>54239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256419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117076</v>
      </c>
      <c r="E25" s="72">
        <v>0.95140000000000002</v>
      </c>
      <c r="F25" s="73">
        <f>PRODUCT(D25*E25)</f>
        <v>111386.1064</v>
      </c>
      <c r="G25" s="151">
        <v>14</v>
      </c>
      <c r="H25" s="65">
        <f>PRODUCT(0.14,F25)</f>
        <v>15594.054896000001</v>
      </c>
      <c r="I25" s="302">
        <f>SUM(H25,F25)</f>
        <v>126980.16129600001</v>
      </c>
      <c r="J25" s="303"/>
    </row>
    <row r="26" spans="1:10" ht="15">
      <c r="A26" s="299" t="s">
        <v>124</v>
      </c>
      <c r="B26" s="300"/>
      <c r="C26" s="301"/>
      <c r="D26" s="67">
        <f>+E18</f>
        <v>85104</v>
      </c>
      <c r="E26" s="74">
        <v>0.69850000000000001</v>
      </c>
      <c r="F26" s="73">
        <f>PRODUCT(D26*E26)</f>
        <v>59445.144</v>
      </c>
      <c r="G26">
        <v>14</v>
      </c>
      <c r="H26" s="67">
        <f>PRODUCT(0.14,F26)</f>
        <v>8322.3201600000011</v>
      </c>
      <c r="I26" s="302">
        <f t="shared" ref="I26:I31" si="0">SUM(H26,F26)</f>
        <v>67767.464160000003</v>
      </c>
      <c r="J26" s="303"/>
    </row>
    <row r="27" spans="1:10" ht="15">
      <c r="A27" s="299" t="s">
        <v>125</v>
      </c>
      <c r="B27" s="300"/>
      <c r="C27" s="301"/>
      <c r="D27" s="67">
        <f>+E19</f>
        <v>54239</v>
      </c>
      <c r="E27" s="74">
        <v>1.3304</v>
      </c>
      <c r="F27" s="73">
        <f>PRODUCT(D27*E27)</f>
        <v>72159.565600000002</v>
      </c>
      <c r="G27">
        <v>14</v>
      </c>
      <c r="H27" s="67">
        <f>PRODUCT(0.14,F27)</f>
        <v>10102.339184</v>
      </c>
      <c r="I27" s="302">
        <f>SUM(H27,F27)</f>
        <v>82261.904783999998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289205.48600000003</v>
      </c>
      <c r="G32" s="85"/>
      <c r="H32" s="86"/>
      <c r="I32" s="311">
        <f>SUM(I25:J31)</f>
        <v>329640.27403999999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69"/>
      <c r="B1" s="271"/>
      <c r="C1" s="356" t="s">
        <v>131</v>
      </c>
      <c r="D1" s="357"/>
      <c r="E1" s="357"/>
      <c r="F1" s="357"/>
      <c r="G1" s="357"/>
      <c r="H1" s="362" t="s">
        <v>88</v>
      </c>
      <c r="I1" s="363"/>
      <c r="J1" s="364"/>
    </row>
    <row r="2" spans="1:10" ht="16.5" customHeight="1" thickBot="1">
      <c r="A2" s="272"/>
      <c r="B2" s="274"/>
      <c r="C2" s="358"/>
      <c r="D2" s="359"/>
      <c r="E2" s="359"/>
      <c r="F2" s="359"/>
      <c r="G2" s="359"/>
      <c r="H2" s="365"/>
      <c r="I2" s="366"/>
      <c r="J2" s="367"/>
    </row>
    <row r="3" spans="1:10" ht="15" customHeight="1">
      <c r="A3" s="272"/>
      <c r="B3" s="274"/>
      <c r="C3" s="358"/>
      <c r="D3" s="359"/>
      <c r="E3" s="359"/>
      <c r="F3" s="359"/>
      <c r="G3" s="359"/>
      <c r="H3" s="368" t="s">
        <v>89</v>
      </c>
      <c r="I3" s="369"/>
      <c r="J3" s="370"/>
    </row>
    <row r="4" spans="1:10" ht="15.75" customHeight="1" thickBot="1">
      <c r="A4" s="275"/>
      <c r="B4" s="277"/>
      <c r="C4" s="360"/>
      <c r="D4" s="361"/>
      <c r="E4" s="361"/>
      <c r="F4" s="361"/>
      <c r="G4" s="361"/>
      <c r="H4" s="371"/>
      <c r="I4" s="372"/>
      <c r="J4" s="373"/>
    </row>
    <row r="6" spans="1:10" ht="33" customHeight="1" thickBot="1"/>
    <row r="7" spans="1:10" ht="36.75" thickTop="1">
      <c r="A7" s="374" t="s">
        <v>90</v>
      </c>
      <c r="B7" s="374"/>
      <c r="C7" s="375" t="s">
        <v>91</v>
      </c>
      <c r="D7" s="376"/>
      <c r="E7" s="61" t="s">
        <v>92</v>
      </c>
      <c r="F7" s="61" t="s">
        <v>93</v>
      </c>
      <c r="G7" s="61" t="s">
        <v>94</v>
      </c>
      <c r="H7" s="61" t="s">
        <v>95</v>
      </c>
      <c r="I7" s="377" t="s">
        <v>96</v>
      </c>
      <c r="J7" s="378"/>
    </row>
    <row r="8" spans="1:10">
      <c r="A8" s="345">
        <v>95670781</v>
      </c>
      <c r="B8" s="345"/>
      <c r="C8" s="349">
        <v>44297</v>
      </c>
      <c r="D8" s="350"/>
      <c r="E8" s="113">
        <v>44327</v>
      </c>
      <c r="F8" s="163" t="s">
        <v>132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29" t="s">
        <v>98</v>
      </c>
      <c r="B11" s="329"/>
      <c r="C11" s="353" t="s">
        <v>99</v>
      </c>
      <c r="D11" s="354"/>
      <c r="E11" s="329" t="s">
        <v>100</v>
      </c>
      <c r="F11" s="329"/>
      <c r="G11" s="353" t="s">
        <v>101</v>
      </c>
      <c r="H11" s="354"/>
      <c r="I11" s="355" t="s">
        <v>102</v>
      </c>
      <c r="J11" s="355"/>
    </row>
    <row r="12" spans="1:10">
      <c r="A12" s="345" t="s">
        <v>103</v>
      </c>
      <c r="B12" s="345"/>
      <c r="C12" s="345">
        <v>3750</v>
      </c>
      <c r="D12" s="345"/>
      <c r="E12" s="345">
        <v>1000</v>
      </c>
      <c r="F12" s="345"/>
      <c r="G12" s="346">
        <v>712</v>
      </c>
      <c r="H12" s="346"/>
      <c r="I12" s="347"/>
      <c r="J12" s="347"/>
    </row>
    <row r="13" spans="1:10">
      <c r="A13" s="348"/>
      <c r="B13" s="431"/>
      <c r="C13" s="431"/>
      <c r="D13" s="431"/>
      <c r="E13" s="431"/>
      <c r="F13" s="431"/>
      <c r="G13" s="431"/>
      <c r="H13" s="431"/>
      <c r="I13" s="431"/>
      <c r="J13" s="431"/>
    </row>
    <row r="15" spans="1:10" ht="13.5" thickBot="1"/>
    <row r="16" spans="1:10" ht="26.25" thickTop="1">
      <c r="A16" s="329" t="s">
        <v>104</v>
      </c>
      <c r="B16" s="329"/>
      <c r="C16" s="63" t="s">
        <v>105</v>
      </c>
      <c r="D16" s="64" t="s">
        <v>106</v>
      </c>
      <c r="E16" s="64" t="s">
        <v>48</v>
      </c>
      <c r="F16" s="64" t="s">
        <v>107</v>
      </c>
      <c r="G16" s="342" t="s">
        <v>108</v>
      </c>
      <c r="H16" s="342"/>
      <c r="I16" s="343" t="s">
        <v>109</v>
      </c>
      <c r="J16" s="344"/>
    </row>
    <row r="17" spans="1:10">
      <c r="A17" s="334" t="s">
        <v>110</v>
      </c>
      <c r="B17" s="335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6"/>
      <c r="H17" s="337"/>
      <c r="I17" s="336">
        <f>+E17</f>
        <v>6887</v>
      </c>
      <c r="J17" s="337"/>
    </row>
    <row r="18" spans="1:10">
      <c r="A18" s="334" t="s">
        <v>111</v>
      </c>
      <c r="B18" s="335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6"/>
      <c r="H18" s="337"/>
      <c r="I18" s="336">
        <f>+E18</f>
        <v>3799</v>
      </c>
      <c r="J18" s="337"/>
    </row>
    <row r="19" spans="1:10">
      <c r="A19" s="334" t="s">
        <v>112</v>
      </c>
      <c r="B19" s="335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6"/>
      <c r="H19" s="337"/>
      <c r="I19" s="336">
        <f>+E19</f>
        <v>3073</v>
      </c>
      <c r="J19" s="337"/>
    </row>
    <row r="20" spans="1:10" ht="15">
      <c r="A20" s="338" t="s">
        <v>113</v>
      </c>
      <c r="B20" s="339"/>
      <c r="C20" s="68"/>
      <c r="D20" s="69"/>
      <c r="E20" s="68">
        <f>SUM(E17:E19)</f>
        <v>13759</v>
      </c>
      <c r="F20" s="70"/>
      <c r="G20" s="340"/>
      <c r="H20" s="341"/>
      <c r="I20" s="340"/>
      <c r="J20" s="341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23" t="s">
        <v>115</v>
      </c>
      <c r="B23" s="324"/>
      <c r="C23" s="325"/>
      <c r="D23" s="329" t="s">
        <v>116</v>
      </c>
      <c r="E23" s="329" t="s">
        <v>117</v>
      </c>
      <c r="F23" s="331" t="s">
        <v>118</v>
      </c>
      <c r="G23" s="333" t="s">
        <v>119</v>
      </c>
      <c r="H23" s="333"/>
      <c r="I23" s="317" t="s">
        <v>120</v>
      </c>
      <c r="J23" s="317"/>
    </row>
    <row r="24" spans="1:10">
      <c r="A24" s="326"/>
      <c r="B24" s="327"/>
      <c r="C24" s="328"/>
      <c r="D24" s="330"/>
      <c r="E24" s="330"/>
      <c r="F24" s="332"/>
      <c r="G24" s="164" t="s">
        <v>121</v>
      </c>
      <c r="H24" s="71" t="s">
        <v>122</v>
      </c>
      <c r="I24" s="317"/>
      <c r="J24" s="317"/>
    </row>
    <row r="25" spans="1:10" ht="15">
      <c r="A25" s="318" t="s">
        <v>123</v>
      </c>
      <c r="B25" s="319"/>
      <c r="C25" s="320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2">
        <f>SUM(H25,F25)</f>
        <v>7469.6126519999998</v>
      </c>
      <c r="J25" s="303"/>
    </row>
    <row r="26" spans="1:10" ht="15">
      <c r="A26" s="299" t="s">
        <v>124</v>
      </c>
      <c r="B26" s="300"/>
      <c r="C26" s="301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2">
        <f t="shared" ref="I26:I31" si="0">SUM(H26,F26)</f>
        <v>3025.1057100000003</v>
      </c>
      <c r="J26" s="303"/>
    </row>
    <row r="27" spans="1:10" ht="15">
      <c r="A27" s="299" t="s">
        <v>125</v>
      </c>
      <c r="B27" s="300"/>
      <c r="C27" s="301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2">
        <f>SUM(H27,F27)</f>
        <v>4660.6838879999996</v>
      </c>
      <c r="J27" s="303"/>
    </row>
    <row r="28" spans="1:10" ht="15">
      <c r="A28" s="299" t="s">
        <v>126</v>
      </c>
      <c r="B28" s="300"/>
      <c r="C28" s="301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2">
        <f t="shared" si="0"/>
        <v>50025.103799999997</v>
      </c>
      <c r="J28" s="303"/>
    </row>
    <row r="29" spans="1:10" ht="15">
      <c r="A29" s="312" t="s">
        <v>127</v>
      </c>
      <c r="B29" s="313"/>
      <c r="C29" s="31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5">
        <f t="shared" si="0"/>
        <v>0</v>
      </c>
      <c r="J29" s="316"/>
    </row>
    <row r="30" spans="1:10" ht="15">
      <c r="A30" s="299" t="s">
        <v>128</v>
      </c>
      <c r="B30" s="300"/>
      <c r="C30" s="301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2">
        <f>SUM(H30,F30)</f>
        <v>1009.2</v>
      </c>
      <c r="J30" s="303"/>
    </row>
    <row r="31" spans="1:10" ht="15.75" thickBot="1">
      <c r="A31" s="304" t="s">
        <v>129</v>
      </c>
      <c r="B31" s="305"/>
      <c r="C31" s="30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2">
        <f t="shared" si="0"/>
        <v>1596.44</v>
      </c>
      <c r="J31" s="303"/>
    </row>
    <row r="32" spans="1:10" ht="21">
      <c r="A32" s="307" t="s">
        <v>130</v>
      </c>
      <c r="B32" s="308"/>
      <c r="C32" s="308"/>
      <c r="D32" s="308"/>
      <c r="E32" s="308"/>
      <c r="F32" s="84">
        <f>SUM(F25:F31)</f>
        <v>59508.8825</v>
      </c>
      <c r="G32" s="85"/>
      <c r="H32" s="86"/>
      <c r="I32" s="311">
        <f>SUM(I25:J31)</f>
        <v>67786.146049999996</v>
      </c>
      <c r="J32" s="311"/>
    </row>
    <row r="33" spans="1:10" ht="21.75" thickBot="1">
      <c r="A33" s="309"/>
      <c r="B33" s="310"/>
      <c r="C33" s="310"/>
      <c r="D33" s="310"/>
      <c r="E33" s="310"/>
      <c r="F33" s="87"/>
      <c r="G33" s="88"/>
      <c r="H33" s="89"/>
      <c r="I33" s="311"/>
      <c r="J33" s="31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127675.7</v>
      </c>
      <c r="D8" s="97">
        <v>44136</v>
      </c>
      <c r="E8" s="96">
        <v>130607.9</v>
      </c>
      <c r="F8" s="97">
        <v>44531</v>
      </c>
      <c r="G8" s="98">
        <f>E8-C8</f>
        <v>2932.1999999999971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2932.1999999999971</v>
      </c>
      <c r="C13" s="394"/>
      <c r="D13" s="394">
        <v>8.7899999999999991</v>
      </c>
      <c r="E13" s="394"/>
      <c r="F13" s="398">
        <f>PRODUCT(D13,B13)</f>
        <v>25774.037999999971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f>G8</f>
        <v>2932.1999999999971</v>
      </c>
      <c r="C19" s="394"/>
      <c r="D19" s="394">
        <v>2.61</v>
      </c>
      <c r="E19" s="394"/>
      <c r="F19" s="394">
        <f>PRODUCT(D19,B19)</f>
        <v>7653.0419999999922</v>
      </c>
      <c r="G19" s="394"/>
      <c r="H19" s="394"/>
    </row>
    <row r="20" spans="1:8" ht="18.75">
      <c r="A20" s="390" t="s">
        <v>149</v>
      </c>
      <c r="B20" s="391"/>
      <c r="C20" s="391"/>
      <c r="D20" s="391"/>
      <c r="E20" s="392"/>
      <c r="F20" s="393">
        <f>SUM(F11+F13+F16+F17+F18+F19)</f>
        <v>33450.079999999965</v>
      </c>
      <c r="G20" s="393"/>
      <c r="H20" s="393"/>
    </row>
    <row r="21" spans="1:8" ht="15">
      <c r="A21" s="379" t="s">
        <v>150</v>
      </c>
      <c r="B21" s="380"/>
      <c r="C21" s="380"/>
      <c r="D21" s="380"/>
      <c r="E21" s="381"/>
      <c r="F21" s="394">
        <f>PRODUCT(F20,0.07)</f>
        <v>2341.5055999999977</v>
      </c>
      <c r="G21" s="394"/>
      <c r="H21" s="394"/>
    </row>
    <row r="22" spans="1:8" ht="15">
      <c r="A22" s="432" t="s">
        <v>151</v>
      </c>
      <c r="B22" s="433"/>
      <c r="C22" s="433"/>
      <c r="D22" s="433"/>
      <c r="E22" s="434"/>
      <c r="F22" s="394">
        <v>208.26</v>
      </c>
      <c r="G22" s="394"/>
      <c r="H22" s="394"/>
    </row>
    <row r="23" spans="1:8" ht="15.75">
      <c r="A23" s="379" t="s">
        <v>152</v>
      </c>
      <c r="B23" s="380"/>
      <c r="C23" s="380"/>
      <c r="D23" s="380"/>
      <c r="E23" s="381"/>
      <c r="F23" s="382">
        <f>SUM(F21:H22)</f>
        <v>2549.7655999999979</v>
      </c>
      <c r="G23" s="382"/>
      <c r="H23" s="382"/>
    </row>
    <row r="24" spans="1:8">
      <c r="A24" s="383" t="s">
        <v>153</v>
      </c>
      <c r="B24" s="384"/>
      <c r="C24" s="384"/>
      <c r="D24" s="384"/>
      <c r="E24" s="385"/>
      <c r="F24" s="389">
        <f>SUM(F20,F23)</f>
        <v>35999.845599999964</v>
      </c>
      <c r="G24" s="389"/>
      <c r="H24" s="389"/>
    </row>
    <row r="25" spans="1:8">
      <c r="A25" s="386"/>
      <c r="B25" s="387"/>
      <c r="C25" s="387"/>
      <c r="D25" s="387"/>
      <c r="E25" s="388"/>
      <c r="F25" s="389"/>
      <c r="G25" s="389"/>
      <c r="H25" s="389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133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23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4">
        <f>G8</f>
        <v>119.80000000000291</v>
      </c>
      <c r="C13" s="394"/>
      <c r="D13" s="394">
        <v>8.5</v>
      </c>
      <c r="E13" s="394"/>
      <c r="F13" s="398">
        <f>PRODUCT(D13,B13)</f>
        <v>1018.3000000000247</v>
      </c>
      <c r="G13" s="398"/>
      <c r="H13" s="398"/>
    </row>
    <row r="14" spans="1:8" ht="45" customHeight="1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>
      <c r="A15" s="396"/>
      <c r="B15" s="396"/>
      <c r="C15" s="396"/>
      <c r="D15" s="396"/>
      <c r="E15" s="396"/>
      <c r="F15" s="396"/>
      <c r="G15" s="396"/>
      <c r="H15" s="396"/>
    </row>
    <row r="16" spans="1:8" ht="15">
      <c r="A16" s="103" t="s">
        <v>145</v>
      </c>
      <c r="B16" s="394">
        <v>0</v>
      </c>
      <c r="C16" s="394"/>
      <c r="D16" s="394">
        <v>0</v>
      </c>
      <c r="E16" s="394"/>
      <c r="F16" s="394">
        <f>PRODUCT(D16,B16)</f>
        <v>0</v>
      </c>
      <c r="G16" s="394"/>
      <c r="H16" s="394"/>
    </row>
    <row r="17" spans="1:8" ht="15">
      <c r="A17" s="103" t="s">
        <v>146</v>
      </c>
      <c r="B17" s="394">
        <v>0</v>
      </c>
      <c r="C17" s="394"/>
      <c r="D17" s="394">
        <v>0</v>
      </c>
      <c r="E17" s="394"/>
      <c r="F17" s="394">
        <f>PRODUCT(D17,B17)</f>
        <v>0</v>
      </c>
      <c r="G17" s="394"/>
      <c r="H17" s="394"/>
    </row>
    <row r="18" spans="1:8" ht="15">
      <c r="A18" s="103" t="s">
        <v>147</v>
      </c>
      <c r="B18" s="394">
        <v>0</v>
      </c>
      <c r="C18" s="394"/>
      <c r="D18" s="394">
        <v>0</v>
      </c>
      <c r="E18" s="394"/>
      <c r="F18" s="394">
        <f>PRODUCT(D18,B18)</f>
        <v>0</v>
      </c>
      <c r="G18" s="394"/>
      <c r="H18" s="394"/>
    </row>
    <row r="19" spans="1:8" ht="15">
      <c r="A19" s="103" t="s">
        <v>148</v>
      </c>
      <c r="B19" s="394">
        <v>0</v>
      </c>
      <c r="C19" s="394"/>
      <c r="D19" s="415">
        <v>0</v>
      </c>
      <c r="E19" s="416"/>
      <c r="F19" s="415">
        <v>0</v>
      </c>
      <c r="G19" s="416"/>
      <c r="H19" s="165"/>
    </row>
    <row r="20" spans="1:8" ht="15">
      <c r="A20" s="103" t="s">
        <v>154</v>
      </c>
      <c r="B20" s="394">
        <f>G8</f>
        <v>119.80000000000291</v>
      </c>
      <c r="C20" s="394"/>
      <c r="D20" s="394">
        <v>2.54</v>
      </c>
      <c r="E20" s="394"/>
      <c r="F20" s="394">
        <f>PRODUCT(D20,B20)</f>
        <v>304.29200000000742</v>
      </c>
      <c r="G20" s="394"/>
      <c r="H20" s="394"/>
    </row>
    <row r="21" spans="1:8" ht="18.75">
      <c r="A21" s="390" t="s">
        <v>149</v>
      </c>
      <c r="B21" s="391"/>
      <c r="C21" s="391"/>
      <c r="D21" s="391"/>
      <c r="E21" s="392"/>
      <c r="F21" s="393">
        <f>SUM(F11+F13+F16+F17+F18+F20)</f>
        <v>1345.5920000000322</v>
      </c>
      <c r="G21" s="393"/>
      <c r="H21" s="393"/>
    </row>
    <row r="22" spans="1:8" ht="15">
      <c r="A22" s="379" t="s">
        <v>150</v>
      </c>
      <c r="B22" s="380"/>
      <c r="C22" s="380"/>
      <c r="D22" s="380"/>
      <c r="E22" s="381"/>
      <c r="F22" s="394">
        <f>PRODUCT(F21,0.07)</f>
        <v>94.19144000000226</v>
      </c>
      <c r="G22" s="394"/>
      <c r="H22" s="394"/>
    </row>
    <row r="23" spans="1:8" ht="15">
      <c r="A23" s="432" t="s">
        <v>151</v>
      </c>
      <c r="B23" s="433"/>
      <c r="C23" s="433"/>
      <c r="D23" s="433"/>
      <c r="E23" s="434"/>
      <c r="F23" s="394">
        <v>208.26</v>
      </c>
      <c r="G23" s="394"/>
      <c r="H23" s="394"/>
    </row>
    <row r="24" spans="1:8" ht="15.75">
      <c r="A24" s="379" t="s">
        <v>152</v>
      </c>
      <c r="B24" s="380"/>
      <c r="C24" s="380"/>
      <c r="D24" s="380"/>
      <c r="E24" s="381"/>
      <c r="F24" s="382">
        <f>SUM(F22:H23)</f>
        <v>302.45144000000226</v>
      </c>
      <c r="G24" s="382"/>
      <c r="H24" s="382"/>
    </row>
    <row r="25" spans="1:8">
      <c r="A25" s="383" t="s">
        <v>153</v>
      </c>
      <c r="B25" s="384"/>
      <c r="C25" s="384"/>
      <c r="D25" s="384"/>
      <c r="E25" s="385"/>
      <c r="F25" s="389">
        <f>SUM(F21,F24)</f>
        <v>1648.0434400000345</v>
      </c>
      <c r="G25" s="389"/>
      <c r="H25" s="389"/>
    </row>
    <row r="26" spans="1:8">
      <c r="A26" s="386"/>
      <c r="B26" s="387"/>
      <c r="C26" s="387"/>
      <c r="D26" s="387"/>
      <c r="E26" s="388"/>
      <c r="F26" s="389"/>
      <c r="G26" s="389"/>
      <c r="H26" s="389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9"/>
      <c r="B1" s="356" t="s">
        <v>155</v>
      </c>
      <c r="C1" s="357"/>
      <c r="D1" s="357"/>
      <c r="E1" s="357"/>
      <c r="F1" s="402" t="s">
        <v>88</v>
      </c>
      <c r="G1" s="403"/>
      <c r="H1" s="404"/>
    </row>
    <row r="2" spans="1:8" ht="15.75" customHeight="1" thickBot="1">
      <c r="A2" s="400"/>
      <c r="B2" s="358"/>
      <c r="C2" s="359"/>
      <c r="D2" s="359"/>
      <c r="E2" s="359"/>
      <c r="F2" s="405"/>
      <c r="G2" s="406"/>
      <c r="H2" s="407"/>
    </row>
    <row r="3" spans="1:8" ht="15" customHeight="1">
      <c r="A3" s="400"/>
      <c r="B3" s="358"/>
      <c r="C3" s="359"/>
      <c r="D3" s="359"/>
      <c r="E3" s="359"/>
      <c r="F3" s="402" t="s">
        <v>89</v>
      </c>
      <c r="G3" s="403"/>
      <c r="H3" s="404"/>
    </row>
    <row r="4" spans="1:8" ht="15.75" customHeight="1" thickBot="1">
      <c r="A4" s="401"/>
      <c r="B4" s="360"/>
      <c r="C4" s="361"/>
      <c r="D4" s="361"/>
      <c r="E4" s="361"/>
      <c r="F4" s="408"/>
      <c r="G4" s="409"/>
      <c r="H4" s="410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44501</v>
      </c>
      <c r="E8" s="96">
        <v>2560</v>
      </c>
      <c r="F8" s="97">
        <v>44531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1" t="s">
        <v>116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>
      <c r="A11" s="102" t="s">
        <v>141</v>
      </c>
      <c r="B11" s="394"/>
      <c r="C11" s="394"/>
      <c r="D11" s="394"/>
      <c r="E11" s="394"/>
      <c r="F11" s="394">
        <v>15</v>
      </c>
      <c r="G11" s="394"/>
      <c r="H11" s="394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4">
        <f>G8</f>
        <v>0</v>
      </c>
      <c r="C13" s="394"/>
      <c r="D13" s="394">
        <v>16.48</v>
      </c>
      <c r="E13" s="394"/>
      <c r="F13" s="398">
        <f>PRODUCT(D13,B13)</f>
        <v>0</v>
      </c>
      <c r="G13" s="398"/>
      <c r="H13" s="398"/>
    </row>
    <row r="14" spans="1:8" ht="15">
      <c r="A14" s="102" t="s">
        <v>157</v>
      </c>
      <c r="B14" s="415"/>
      <c r="C14" s="416"/>
      <c r="D14" s="415"/>
      <c r="E14" s="416"/>
      <c r="F14" s="415"/>
      <c r="G14" s="416"/>
      <c r="H14" s="111"/>
    </row>
    <row r="15" spans="1:8" ht="15">
      <c r="A15" s="102" t="s">
        <v>158</v>
      </c>
      <c r="B15" s="415"/>
      <c r="C15" s="416"/>
      <c r="D15" s="415"/>
      <c r="E15" s="416"/>
      <c r="F15" s="415"/>
      <c r="G15" s="416"/>
      <c r="H15" s="111"/>
    </row>
    <row r="16" spans="1:8" ht="15">
      <c r="A16" s="102" t="s">
        <v>159</v>
      </c>
      <c r="B16" s="415"/>
      <c r="C16" s="416"/>
      <c r="D16" s="415"/>
      <c r="E16" s="416"/>
      <c r="F16" s="415"/>
      <c r="G16" s="416"/>
      <c r="H16" s="111"/>
    </row>
    <row r="17" spans="1:8" ht="15">
      <c r="A17" s="102" t="s">
        <v>160</v>
      </c>
      <c r="B17" s="415"/>
      <c r="C17" s="416"/>
      <c r="D17" s="415"/>
      <c r="E17" s="416"/>
      <c r="F17" s="415"/>
      <c r="G17" s="416"/>
      <c r="H17" s="111"/>
    </row>
    <row r="18" spans="1:8" ht="45" customHeight="1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>
      <c r="A19" s="396"/>
      <c r="B19" s="396"/>
      <c r="C19" s="396"/>
      <c r="D19" s="396"/>
      <c r="E19" s="396"/>
      <c r="F19" s="396"/>
      <c r="G19" s="396"/>
      <c r="H19" s="396"/>
    </row>
    <row r="20" spans="1:8" ht="15">
      <c r="A20" s="103" t="s">
        <v>145</v>
      </c>
      <c r="B20" s="394">
        <v>0</v>
      </c>
      <c r="C20" s="394"/>
      <c r="D20" s="394">
        <v>0</v>
      </c>
      <c r="E20" s="394"/>
      <c r="F20" s="394">
        <f>PRODUCT(D20,B20)</f>
        <v>0</v>
      </c>
      <c r="G20" s="394"/>
      <c r="H20" s="394"/>
    </row>
    <row r="21" spans="1:8" ht="15">
      <c r="A21" s="103" t="s">
        <v>146</v>
      </c>
      <c r="B21" s="394">
        <v>0</v>
      </c>
      <c r="C21" s="394"/>
      <c r="D21" s="394">
        <v>0</v>
      </c>
      <c r="E21" s="394"/>
      <c r="F21" s="394">
        <f>PRODUCT(D21,B21)</f>
        <v>0</v>
      </c>
      <c r="G21" s="394"/>
      <c r="H21" s="394"/>
    </row>
    <row r="22" spans="1:8" ht="15">
      <c r="A22" s="103" t="s">
        <v>147</v>
      </c>
      <c r="B22" s="394">
        <v>0</v>
      </c>
      <c r="C22" s="394"/>
      <c r="D22" s="394">
        <v>0</v>
      </c>
      <c r="E22" s="394"/>
      <c r="F22" s="394">
        <f>PRODUCT(D22,B22)</f>
        <v>0</v>
      </c>
      <c r="G22" s="394"/>
      <c r="H22" s="394"/>
    </row>
    <row r="23" spans="1:8" ht="15">
      <c r="A23" s="103" t="s">
        <v>148</v>
      </c>
      <c r="B23" s="394">
        <f>G8</f>
        <v>0</v>
      </c>
      <c r="C23" s="394"/>
      <c r="D23" s="394">
        <v>0</v>
      </c>
      <c r="E23" s="394"/>
      <c r="F23" s="394">
        <f>PRODUCT(D23,B23)</f>
        <v>0</v>
      </c>
      <c r="G23" s="394"/>
      <c r="H23" s="394"/>
    </row>
    <row r="24" spans="1:8" ht="15">
      <c r="A24" s="103" t="s">
        <v>154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65"/>
    </row>
    <row r="25" spans="1:8" ht="18.75">
      <c r="A25" s="390" t="s">
        <v>149</v>
      </c>
      <c r="B25" s="391"/>
      <c r="C25" s="391"/>
      <c r="D25" s="391"/>
      <c r="E25" s="392"/>
      <c r="F25" s="417">
        <f>SUM(F11+F13+F20+F21+F22+F23)</f>
        <v>15</v>
      </c>
      <c r="G25" s="393"/>
      <c r="H25" s="393"/>
    </row>
    <row r="26" spans="1:8" ht="15">
      <c r="A26" s="379" t="s">
        <v>150</v>
      </c>
      <c r="B26" s="380"/>
      <c r="C26" s="380"/>
      <c r="D26" s="380"/>
      <c r="E26" s="381"/>
      <c r="F26" s="394">
        <v>63.63</v>
      </c>
      <c r="G26" s="394"/>
      <c r="H26" s="394"/>
    </row>
    <row r="27" spans="1:8" ht="15">
      <c r="A27" s="432" t="s">
        <v>151</v>
      </c>
      <c r="B27" s="433"/>
      <c r="C27" s="433"/>
      <c r="D27" s="433"/>
      <c r="E27" s="434"/>
      <c r="F27" s="394">
        <v>2.4300000000000002</v>
      </c>
      <c r="G27" s="394"/>
      <c r="H27" s="394"/>
    </row>
    <row r="28" spans="1:8" ht="15.75">
      <c r="A28" s="379" t="s">
        <v>152</v>
      </c>
      <c r="B28" s="380"/>
      <c r="C28" s="380"/>
      <c r="D28" s="380"/>
      <c r="E28" s="381"/>
      <c r="F28" s="382">
        <f>SUM(F26:H27)</f>
        <v>66.06</v>
      </c>
      <c r="G28" s="382"/>
      <c r="H28" s="382"/>
    </row>
    <row r="29" spans="1:8">
      <c r="A29" s="383" t="s">
        <v>153</v>
      </c>
      <c r="B29" s="384"/>
      <c r="C29" s="384"/>
      <c r="D29" s="384"/>
      <c r="E29" s="385"/>
      <c r="F29" s="389">
        <f>SUM(F25,F28)</f>
        <v>81.06</v>
      </c>
      <c r="G29" s="389"/>
      <c r="H29" s="389"/>
    </row>
    <row r="30" spans="1:8">
      <c r="A30" s="386"/>
      <c r="B30" s="387"/>
      <c r="C30" s="387"/>
      <c r="D30" s="387"/>
      <c r="E30" s="388"/>
      <c r="F30" s="389"/>
      <c r="G30" s="389"/>
      <c r="H30" s="389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9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8" t="s">
        <v>161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21" thickBot="1">
      <c r="C15" s="421" t="s">
        <v>181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>
        <v>289205.48600000003</v>
      </c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182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/>
    </row>
    <row r="15" spans="2:14" ht="21" thickBot="1">
      <c r="C15" s="421" t="s">
        <v>183</v>
      </c>
      <c r="D15" s="429"/>
      <c r="E15" s="429"/>
      <c r="F15" s="429"/>
      <c r="G15" s="429"/>
      <c r="H15" s="429"/>
      <c r="I15" s="429"/>
      <c r="J15" s="429"/>
      <c r="K15" s="429"/>
      <c r="L15" s="429"/>
      <c r="M15" s="429"/>
      <c r="N15" s="430"/>
    </row>
    <row r="17" spans="2:15" ht="18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/>
      <c r="M18" s="104">
        <v>43165.84</v>
      </c>
      <c r="N18" s="104">
        <v>50595.28</v>
      </c>
    </row>
    <row r="19" spans="2:15" ht="31.5" customHeight="1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M24" sqref="M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8" t="s">
        <v>184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4"/>
      <c r="D8" s="425"/>
      <c r="E8" s="425"/>
      <c r="F8" s="425"/>
      <c r="G8" s="425"/>
      <c r="H8" s="425"/>
      <c r="I8" s="425"/>
      <c r="J8" s="425"/>
      <c r="K8" s="426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/>
    </row>
    <row r="15" spans="2:14" ht="21" thickBot="1">
      <c r="C15" s="421" t="s">
        <v>185</v>
      </c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3"/>
    </row>
    <row r="17" spans="2:14" ht="17.25" customHeight="1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>
      <c r="B18" s="106" t="s">
        <v>174</v>
      </c>
      <c r="C18" s="424"/>
      <c r="D18" s="425"/>
      <c r="E18" s="425"/>
      <c r="F18" s="425"/>
      <c r="G18" s="425"/>
      <c r="H18" s="425"/>
      <c r="I18" s="425"/>
      <c r="J18" s="425"/>
      <c r="K18" s="426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2021-12-31T09:09:42Z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