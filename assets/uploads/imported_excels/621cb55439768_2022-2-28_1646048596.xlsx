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10" l="1"/>
  <c r="H32" i="10" l="1"/>
  <c r="H31" i="10"/>
  <c r="I31" i="10" s="1"/>
  <c r="H30" i="10"/>
  <c r="H29" i="10"/>
  <c r="H28" i="10"/>
  <c r="H27" i="10"/>
  <c r="I27" i="10" s="1"/>
  <c r="H26" i="10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I13" i="10" s="1"/>
  <c r="H12" i="10"/>
  <c r="H11" i="10"/>
  <c r="H10" i="10"/>
  <c r="H9" i="10"/>
  <c r="H8" i="10"/>
  <c r="I9" i="10" s="1"/>
  <c r="H7" i="10"/>
  <c r="H6" i="10"/>
  <c r="H5" i="10"/>
  <c r="I5" i="10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I8" i="9"/>
  <c r="G8" i="9"/>
  <c r="G7" i="9"/>
  <c r="I7" i="9" s="1"/>
  <c r="G6" i="9"/>
  <c r="I6" i="9" s="1"/>
  <c r="G5" i="9"/>
  <c r="I5" i="9" s="1"/>
  <c r="G4" i="9"/>
  <c r="I32" i="10" l="1"/>
  <c r="I29" i="10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H16" i="8" s="1"/>
  <c r="G14" i="8"/>
  <c r="G13" i="8"/>
  <c r="G12" i="8"/>
  <c r="G11" i="8"/>
  <c r="G10" i="8"/>
  <c r="G9" i="8"/>
  <c r="H9" i="8" s="1"/>
  <c r="G8" i="8"/>
  <c r="G7" i="8"/>
  <c r="G6" i="8"/>
  <c r="G5" i="8"/>
  <c r="G4" i="8"/>
  <c r="H27" i="8" l="1"/>
  <c r="H24" i="8"/>
  <c r="H20" i="8"/>
  <c r="H17" i="8"/>
  <c r="H8" i="8"/>
  <c r="I34" i="10"/>
  <c r="H6" i="8"/>
  <c r="J33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3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<sst xmlns="http://schemas.openxmlformats.org/spreadsheetml/2006/main" count="74" uniqueCount="39">
  <si>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</si>
  <si>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</si>
  <si>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</si>
  <si>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</si>
  <si>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</si>
  <si>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</si>
  <si>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</si>
  <si>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</si>
  <si>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</si>
  <si>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</si>
  <si>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</si>
  <si>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</si>
  <si>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</si>
  <si>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</si>
  <si>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</si>
  <si>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</si>
  <si>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</si>
  <si>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</si>
  <si>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</si>
  <si>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</si>
  <si>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</si>
  <si>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</si>
  <si>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</si>
  <si>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</si>
  <si>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</si>
  <si>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</si>
  <si>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</si>
  <si>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</si>
  <si>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</si>
  <si>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</si>
  <si>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</si>
  <si>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</si>
  <si>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</si>
  <si>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</si>
  <si>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</si>
  <si>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FEB.2022</t>
  </si>
  <si>
    <t>NATURAL GAS CONSUMPTION , FEB.2022</t>
  </si>
  <si>
    <t>ELECTRICITY CONSUMPTION , FEB.2022</t>
  </si>
  <si>
    <t>2.597.2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</si>
</sst>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0" zoomScale="110" zoomScaleNormal="110" workbookViewId="0">
      <selection activeCell="A29" sqref="A29:XFD2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2</v>
      </c>
      <c r="D2" s="12">
        <v>2022</v>
      </c>
      <c r="E2" s="13">
        <v>2597</v>
      </c>
      <c r="F2" s="3">
        <v>2.2000000000000002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2</v>
      </c>
      <c r="D3" s="12">
        <v>2022</v>
      </c>
      <c r="E3" s="13">
        <f>Electricity!I5</f>
        <v>2627.5200000014156</v>
      </c>
      <c r="F3" s="3">
        <v>2.2000000000000002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2</v>
      </c>
      <c r="D4" s="12">
        <v>2022</v>
      </c>
      <c r="E4" s="13">
        <f>Electricity!I6</f>
        <v>2481.2399999983609</v>
      </c>
      <c r="F4" s="3">
        <v>2.2000000000000002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2</v>
      </c>
      <c r="D5" s="12">
        <v>2022</v>
      </c>
      <c r="E5" s="13">
        <f>Electricity!I7</f>
        <v>2426.0399999991059</v>
      </c>
      <c r="F5" s="3">
        <v>2.2000000000000002</v>
      </c>
      <c r="G5" s="13">
        <f>Gas!J7</f>
        <v>0</v>
      </c>
      <c r="H5" s="3">
        <v>1.69</v>
      </c>
      <c r="I5" s="13">
        <f>Water!H7</f>
        <v>10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2</v>
      </c>
      <c r="D6" s="12">
        <v>2022</v>
      </c>
      <c r="E6" s="13">
        <f>Electricity!I8</f>
        <v>2199.7200000006706</v>
      </c>
      <c r="F6" s="3">
        <v>2.2000000000000002</v>
      </c>
      <c r="G6" s="13">
        <f>Gas!J8</f>
        <v>0</v>
      </c>
      <c r="H6" s="3">
        <v>1.69</v>
      </c>
      <c r="I6" s="13">
        <f>Water!H8</f>
        <v>6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2</v>
      </c>
      <c r="D7" s="12">
        <v>2022</v>
      </c>
      <c r="E7" s="13">
        <f>Electricity!I9</f>
        <v>2274.2400000002235</v>
      </c>
      <c r="F7" s="3">
        <v>2.2000000000000002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2</v>
      </c>
      <c r="D8" s="12">
        <v>2022</v>
      </c>
      <c r="E8" s="13">
        <f>Electricity!I10</f>
        <v>1934.7599999997765</v>
      </c>
      <c r="F8" s="3">
        <v>2.2000000000000002</v>
      </c>
      <c r="G8" s="13">
        <f>Gas!J10</f>
        <v>0</v>
      </c>
      <c r="H8" s="3">
        <v>1.69</v>
      </c>
      <c r="I8" s="13">
        <f>Water!H10</f>
        <v>0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2</v>
      </c>
      <c r="D9" s="12">
        <v>2022</v>
      </c>
      <c r="E9" s="13">
        <f>Electricity!I11</f>
        <v>2213.5200000014156</v>
      </c>
      <c r="F9" s="3">
        <v>2.2000000000000002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2</v>
      </c>
      <c r="D10" s="12">
        <v>2022</v>
      </c>
      <c r="E10" s="13">
        <f>Electricity!I12</f>
        <v>2845.5600000005215</v>
      </c>
      <c r="F10" s="3">
        <v>2.2000000000000002</v>
      </c>
      <c r="G10" s="13">
        <f>Gas!J12</f>
        <v>0</v>
      </c>
      <c r="H10" s="3">
        <v>1.69</v>
      </c>
      <c r="I10" s="13">
        <f>Water!H12</f>
        <v>7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2</v>
      </c>
      <c r="D11" s="12">
        <v>2022</v>
      </c>
      <c r="E11" s="13">
        <f>Electricity!I13</f>
        <v>1479.359999999404</v>
      </c>
      <c r="F11" s="3">
        <v>2.2000000000000002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2</v>
      </c>
      <c r="D12" s="12">
        <v>2022</v>
      </c>
      <c r="E12" s="13">
        <f>Electricity!I14</f>
        <v>1799.519999999553</v>
      </c>
      <c r="F12" s="3">
        <v>2.2000000000000002</v>
      </c>
      <c r="G12" s="13">
        <f>Gas!J14</f>
        <v>0</v>
      </c>
      <c r="H12" s="3">
        <v>1.69</v>
      </c>
      <c r="I12" s="13">
        <f>Water!H14</f>
        <v>12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2</v>
      </c>
      <c r="D13" s="12">
        <v>2022</v>
      </c>
      <c r="E13" s="13">
        <f>Electricity!I15</f>
        <v>2061.7199999988079</v>
      </c>
      <c r="F13" s="3">
        <v>2.2000000000000002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2</v>
      </c>
      <c r="D14" s="12">
        <v>2022</v>
      </c>
      <c r="E14" s="13">
        <f>Electricity!I16</f>
        <v>1697.4000000022352</v>
      </c>
      <c r="F14" s="3">
        <v>2.2000000000000002</v>
      </c>
      <c r="G14" s="13">
        <f>Gas!J16</f>
        <v>0</v>
      </c>
      <c r="H14" s="3">
        <v>1.69</v>
      </c>
      <c r="I14" s="13">
        <f>Water!H16</f>
        <v>9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2</v>
      </c>
      <c r="D15" s="12">
        <v>2022</v>
      </c>
      <c r="E15" s="13">
        <f>Electricity!I17</f>
        <v>1515.2400000002235</v>
      </c>
      <c r="F15" s="3">
        <v>2.2000000000000002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2</v>
      </c>
      <c r="D16" s="12">
        <v>2022</v>
      </c>
      <c r="E16" s="13">
        <f>Electricity!I18</f>
        <v>1777.4399999976158</v>
      </c>
      <c r="F16" s="3">
        <v>2.2000000000000002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2</v>
      </c>
      <c r="D17" s="12">
        <v>2022</v>
      </c>
      <c r="E17" s="13">
        <f>Electricity!I19</f>
        <v>1752.6000000014901</v>
      </c>
      <c r="F17" s="3">
        <v>2.2000000000000002</v>
      </c>
      <c r="G17" s="13">
        <f>Gas!J19</f>
        <v>0</v>
      </c>
      <c r="H17" s="3">
        <v>1.69</v>
      </c>
      <c r="I17" s="13">
        <f>Water!H19</f>
        <v>11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2</v>
      </c>
      <c r="D18" s="12">
        <v>2022</v>
      </c>
      <c r="E18" s="13">
        <f>Electricity!I20</f>
        <v>2072.7599999997765</v>
      </c>
      <c r="F18" s="3">
        <v>2.2000000000000002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2</v>
      </c>
      <c r="D19" s="12">
        <v>2022</v>
      </c>
      <c r="E19" s="13">
        <f>Electricity!I21</f>
        <v>805.91999999806285</v>
      </c>
      <c r="F19" s="3">
        <v>2.2000000000000002</v>
      </c>
      <c r="G19" s="13">
        <f>Gas!J21</f>
        <v>0</v>
      </c>
      <c r="H19" s="3">
        <v>1.69</v>
      </c>
      <c r="I19" s="13">
        <f>Water!H21</f>
        <v>12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2</v>
      </c>
      <c r="D20" s="12">
        <v>2022</v>
      </c>
      <c r="E20" s="13">
        <f>Electricity!I22</f>
        <v>1426.9200000017881</v>
      </c>
      <c r="F20" s="3">
        <v>2.2000000000000002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2</v>
      </c>
      <c r="D21" s="12">
        <v>2022</v>
      </c>
      <c r="E21" s="13">
        <f>Electricity!I23</f>
        <v>1391.0400000009686</v>
      </c>
      <c r="F21" s="3">
        <v>2.2000000000000002</v>
      </c>
      <c r="G21" s="13">
        <f>Gas!J23</f>
        <v>0</v>
      </c>
      <c r="H21" s="3">
        <v>1.69</v>
      </c>
      <c r="I21" s="13">
        <f>Water!H23</f>
        <v>8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2</v>
      </c>
      <c r="D22" s="12">
        <v>2022</v>
      </c>
      <c r="E22" s="13">
        <f>Electricity!I24</f>
        <v>1139.8799999989569</v>
      </c>
      <c r="F22" s="3">
        <v>2.2000000000000002</v>
      </c>
      <c r="G22" s="13">
        <f>Gas!J24</f>
        <v>0</v>
      </c>
      <c r="H22" s="3">
        <v>1.69</v>
      </c>
      <c r="I22" s="13">
        <f>Water!H24</f>
        <v>8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2</v>
      </c>
      <c r="D23" s="12">
        <v>2022</v>
      </c>
      <c r="E23" s="13">
        <f>Electricity!I25</f>
        <v>1391.0399999991059</v>
      </c>
      <c r="F23" s="3">
        <v>2.2000000000000002</v>
      </c>
      <c r="G23" s="13">
        <f>Gas!J25</f>
        <v>0</v>
      </c>
      <c r="H23" s="3">
        <v>1.69</v>
      </c>
      <c r="I23" s="13">
        <f>Water!H25</f>
        <v>1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2</v>
      </c>
      <c r="D24" s="12">
        <v>2022</v>
      </c>
      <c r="E24" s="13">
        <f>Electricity!I26</f>
        <v>1283.4000000003725</v>
      </c>
      <c r="F24" s="3">
        <v>2.2000000000000002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2</v>
      </c>
      <c r="D25" s="12">
        <v>2022</v>
      </c>
      <c r="E25" s="13">
        <f>Electricity!I27</f>
        <v>1313.7600000016391</v>
      </c>
      <c r="F25" s="3">
        <v>2.2000000000000002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2</v>
      </c>
      <c r="D26" s="12">
        <v>2022</v>
      </c>
      <c r="E26" s="13">
        <f>Electricity!I28</f>
        <v>1509.7199999988079</v>
      </c>
      <c r="F26" s="3">
        <v>2.2000000000000002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2</v>
      </c>
      <c r="D27" s="12">
        <v>2022</v>
      </c>
      <c r="E27" s="13">
        <f>Electricity!I29</f>
        <v>1413.1199999991804</v>
      </c>
      <c r="F27" s="3">
        <v>2.2000000000000002</v>
      </c>
      <c r="G27" s="13">
        <f>Gas!J29</f>
        <v>0</v>
      </c>
      <c r="H27" s="3">
        <v>1.69</v>
      </c>
      <c r="I27" s="13">
        <f>Water!H29</f>
        <v>18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2</v>
      </c>
      <c r="D28" s="12">
        <v>2022</v>
      </c>
      <c r="E28" s="13">
        <f>Electricity!I30</f>
        <v>1258.5600000005215</v>
      </c>
      <c r="F28" s="3">
        <v>2.2000000000000002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2</v>
      </c>
      <c r="D29" s="12">
        <v>2022</v>
      </c>
      <c r="E29" s="13">
        <f>Electricity!I31</f>
        <v>1518</v>
      </c>
      <c r="F29" s="3">
        <v>2.2000000000000002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2</v>
      </c>
      <c r="D30" s="12">
        <v>2022</v>
      </c>
      <c r="E30" s="13">
        <f>Electricity!I32</f>
        <v>-13297199.76</v>
      </c>
      <c r="F30" s="3">
        <v>2.2000000000000002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2</v>
      </c>
      <c r="D31" s="12">
        <v>2022</v>
      </c>
      <c r="E31" s="13">
        <f>Electricity!I33</f>
        <v>0</v>
      </c>
      <c r="F31" s="3">
        <v>2.2000000000000002</v>
      </c>
      <c r="G31" s="13">
        <f>Gas!J33</f>
        <v>0</v>
      </c>
      <c r="H31" s="3">
        <v>1.69</v>
      </c>
      <c r="I31" s="13">
        <f>Water!H33</f>
        <v>117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2</v>
      </c>
      <c r="D32" s="12">
        <v>2022</v>
      </c>
      <c r="E32" s="13">
        <f>Electricity!I34</f>
        <v>-13249589.76</v>
      </c>
      <c r="F32" s="3">
        <v>2.2000000000000002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workbookViewId="0">
      <selection activeCell="E31" sqref="E3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35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44593</v>
      </c>
      <c r="E4" s="24">
        <v>11614</v>
      </c>
      <c r="F4" s="72">
        <v>1065</v>
      </c>
      <c r="G4" s="72">
        <f t="shared" ref="G4:G30" si="0">E4+F4</f>
        <v>12679</v>
      </c>
      <c r="H4" s="73">
        <v>0</v>
      </c>
    </row>
    <row r="5" spans="2:9" s="32" customFormat="1" ht="11.25" x14ac:dyDescent="0.25">
      <c r="D5" s="71">
        <v>44594</v>
      </c>
      <c r="E5" s="24">
        <v>11627</v>
      </c>
      <c r="F5" s="24">
        <v>1065</v>
      </c>
      <c r="G5" s="24">
        <f t="shared" si="0"/>
        <v>12692</v>
      </c>
      <c r="H5" s="25">
        <f t="shared" ref="H5:H31" si="1">G5-G4</f>
        <v>13</v>
      </c>
    </row>
    <row r="6" spans="2:9" s="32" customFormat="1" ht="11.25" x14ac:dyDescent="0.25">
      <c r="D6" s="71">
        <v>44595</v>
      </c>
      <c r="E6" s="24">
        <v>11627</v>
      </c>
      <c r="F6" s="24">
        <v>1065</v>
      </c>
      <c r="G6" s="24">
        <f t="shared" si="0"/>
        <v>12692</v>
      </c>
      <c r="H6" s="25">
        <f t="shared" si="1"/>
        <v>0</v>
      </c>
    </row>
    <row r="7" spans="2:9" s="32" customFormat="1" ht="11.25" x14ac:dyDescent="0.25">
      <c r="D7" s="71">
        <v>44596</v>
      </c>
      <c r="E7" s="24">
        <v>11637</v>
      </c>
      <c r="F7" s="24">
        <v>1065</v>
      </c>
      <c r="G7" s="24">
        <f t="shared" si="0"/>
        <v>12702</v>
      </c>
      <c r="H7" s="25">
        <f t="shared" si="1"/>
        <v>10</v>
      </c>
    </row>
    <row r="8" spans="2:9" s="32" customFormat="1" ht="11.25" x14ac:dyDescent="0.25">
      <c r="D8" s="71">
        <v>44597</v>
      </c>
      <c r="E8" s="24">
        <v>11643</v>
      </c>
      <c r="F8" s="24">
        <v>1065</v>
      </c>
      <c r="G8" s="24">
        <f t="shared" si="0"/>
        <v>12708</v>
      </c>
      <c r="H8" s="25">
        <f t="shared" si="1"/>
        <v>6</v>
      </c>
    </row>
    <row r="9" spans="2:9" s="32" customFormat="1" ht="11.25" x14ac:dyDescent="0.25">
      <c r="D9" s="71">
        <v>44598</v>
      </c>
      <c r="E9" s="24">
        <v>11643</v>
      </c>
      <c r="F9" s="24">
        <v>1065</v>
      </c>
      <c r="G9" s="24">
        <f t="shared" si="0"/>
        <v>12708</v>
      </c>
      <c r="H9" s="25">
        <f t="shared" si="1"/>
        <v>0</v>
      </c>
    </row>
    <row r="10" spans="2:9" s="32" customFormat="1" ht="11.25" x14ac:dyDescent="0.25">
      <c r="D10" s="71">
        <v>44599</v>
      </c>
      <c r="E10" s="24">
        <v>11643</v>
      </c>
      <c r="F10" s="24">
        <v>1065</v>
      </c>
      <c r="G10" s="24">
        <f t="shared" si="0"/>
        <v>12708</v>
      </c>
      <c r="H10" s="25">
        <f t="shared" si="1"/>
        <v>0</v>
      </c>
    </row>
    <row r="11" spans="2:9" s="32" customFormat="1" ht="11.25" x14ac:dyDescent="0.25">
      <c r="D11" s="71">
        <v>44600</v>
      </c>
      <c r="E11" s="24">
        <v>11644</v>
      </c>
      <c r="F11" s="24">
        <v>1065</v>
      </c>
      <c r="G11" s="24">
        <f t="shared" si="0"/>
        <v>12709</v>
      </c>
      <c r="H11" s="25">
        <f t="shared" si="1"/>
        <v>1</v>
      </c>
    </row>
    <row r="12" spans="2:9" s="32" customFormat="1" ht="11.25" x14ac:dyDescent="0.25">
      <c r="D12" s="71">
        <v>44601</v>
      </c>
      <c r="E12" s="24">
        <v>11651</v>
      </c>
      <c r="F12" s="24">
        <v>1065</v>
      </c>
      <c r="G12" s="24">
        <f t="shared" si="0"/>
        <v>12716</v>
      </c>
      <c r="H12" s="25">
        <f t="shared" si="1"/>
        <v>7</v>
      </c>
    </row>
    <row r="13" spans="2:9" s="32" customFormat="1" ht="11.25" x14ac:dyDescent="0.25">
      <c r="D13" s="71">
        <v>44602</v>
      </c>
      <c r="E13" s="24">
        <v>11651</v>
      </c>
      <c r="F13" s="24">
        <v>1065</v>
      </c>
      <c r="G13" s="24">
        <f t="shared" si="0"/>
        <v>12716</v>
      </c>
      <c r="H13" s="25">
        <f t="shared" si="1"/>
        <v>0</v>
      </c>
    </row>
    <row r="14" spans="2:9" s="32" customFormat="1" ht="11.25" x14ac:dyDescent="0.25">
      <c r="D14" s="71">
        <v>44603</v>
      </c>
      <c r="E14" s="24">
        <v>11663</v>
      </c>
      <c r="F14" s="24">
        <v>1065</v>
      </c>
      <c r="G14" s="24">
        <f t="shared" si="0"/>
        <v>12728</v>
      </c>
      <c r="H14" s="25">
        <f t="shared" si="1"/>
        <v>12</v>
      </c>
    </row>
    <row r="15" spans="2:9" s="35" customFormat="1" ht="11.25" x14ac:dyDescent="0.25">
      <c r="D15" s="71">
        <v>44604</v>
      </c>
      <c r="E15" s="24">
        <v>11663</v>
      </c>
      <c r="F15" s="24">
        <v>1065</v>
      </c>
      <c r="G15" s="24">
        <f t="shared" si="0"/>
        <v>12728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44605</v>
      </c>
      <c r="E16" s="24">
        <v>11672</v>
      </c>
      <c r="F16" s="24">
        <v>1065</v>
      </c>
      <c r="G16" s="24">
        <f t="shared" si="0"/>
        <v>12737</v>
      </c>
      <c r="H16" s="25">
        <f t="shared" si="1"/>
        <v>9</v>
      </c>
    </row>
    <row r="17" spans="4:8" s="32" customFormat="1" ht="11.25" customHeight="1" x14ac:dyDescent="0.25">
      <c r="D17" s="71">
        <v>44606</v>
      </c>
      <c r="E17" s="24">
        <v>11672</v>
      </c>
      <c r="F17" s="24">
        <v>1065</v>
      </c>
      <c r="G17" s="24">
        <f t="shared" si="0"/>
        <v>12737</v>
      </c>
      <c r="H17" s="25">
        <f t="shared" si="1"/>
        <v>0</v>
      </c>
    </row>
    <row r="18" spans="4:8" s="32" customFormat="1" ht="11.25" customHeight="1" x14ac:dyDescent="0.25">
      <c r="D18" s="71">
        <v>44607</v>
      </c>
      <c r="E18" s="24">
        <v>11673</v>
      </c>
      <c r="F18" s="24">
        <v>1065</v>
      </c>
      <c r="G18" s="24">
        <f t="shared" si="0"/>
        <v>12738</v>
      </c>
      <c r="H18" s="25">
        <f t="shared" si="1"/>
        <v>1</v>
      </c>
    </row>
    <row r="19" spans="4:8" s="32" customFormat="1" ht="11.25" customHeight="1" x14ac:dyDescent="0.25">
      <c r="D19" s="71">
        <v>44608</v>
      </c>
      <c r="E19" s="24">
        <v>11684</v>
      </c>
      <c r="F19" s="24">
        <v>1065</v>
      </c>
      <c r="G19" s="24">
        <f t="shared" si="0"/>
        <v>12749</v>
      </c>
      <c r="H19" s="25">
        <f t="shared" si="1"/>
        <v>11</v>
      </c>
    </row>
    <row r="20" spans="4:8" s="32" customFormat="1" ht="11.25" customHeight="1" x14ac:dyDescent="0.25">
      <c r="D20" s="71">
        <v>44609</v>
      </c>
      <c r="E20" s="24">
        <v>11684</v>
      </c>
      <c r="F20" s="24">
        <v>1065</v>
      </c>
      <c r="G20" s="24">
        <f t="shared" si="0"/>
        <v>12749</v>
      </c>
      <c r="H20" s="25">
        <f t="shared" si="1"/>
        <v>0</v>
      </c>
    </row>
    <row r="21" spans="4:8" s="32" customFormat="1" ht="11.25" customHeight="1" x14ac:dyDescent="0.25">
      <c r="D21" s="71">
        <v>44610</v>
      </c>
      <c r="E21" s="24">
        <v>11696</v>
      </c>
      <c r="F21" s="24">
        <v>1065</v>
      </c>
      <c r="G21" s="24">
        <f t="shared" si="0"/>
        <v>12761</v>
      </c>
      <c r="H21" s="25">
        <f t="shared" si="1"/>
        <v>12</v>
      </c>
    </row>
    <row r="22" spans="4:8" s="32" customFormat="1" ht="11.25" customHeight="1" x14ac:dyDescent="0.25">
      <c r="D22" s="71">
        <v>44611</v>
      </c>
      <c r="E22" s="24">
        <v>11696</v>
      </c>
      <c r="F22" s="24">
        <v>1065</v>
      </c>
      <c r="G22" s="24">
        <f t="shared" si="0"/>
        <v>12761</v>
      </c>
      <c r="H22" s="25">
        <f t="shared" si="1"/>
        <v>0</v>
      </c>
    </row>
    <row r="23" spans="4:8" s="32" customFormat="1" ht="11.25" customHeight="1" x14ac:dyDescent="0.25">
      <c r="D23" s="71">
        <v>44612</v>
      </c>
      <c r="E23" s="24">
        <v>11704</v>
      </c>
      <c r="F23" s="24">
        <v>1065</v>
      </c>
      <c r="G23" s="24">
        <f t="shared" si="0"/>
        <v>12769</v>
      </c>
      <c r="H23" s="25">
        <f t="shared" si="1"/>
        <v>8</v>
      </c>
    </row>
    <row r="24" spans="4:8" s="32" customFormat="1" ht="11.25" customHeight="1" x14ac:dyDescent="0.25">
      <c r="D24" s="71">
        <v>44613</v>
      </c>
      <c r="E24" s="24">
        <v>11712</v>
      </c>
      <c r="F24" s="24">
        <v>1065</v>
      </c>
      <c r="G24" s="24">
        <f t="shared" si="0"/>
        <v>12777</v>
      </c>
      <c r="H24" s="25">
        <f t="shared" si="1"/>
        <v>8</v>
      </c>
    </row>
    <row r="25" spans="4:8" s="32" customFormat="1" ht="11.25" customHeight="1" x14ac:dyDescent="0.25">
      <c r="D25" s="71">
        <v>44614</v>
      </c>
      <c r="E25" s="24">
        <v>11713</v>
      </c>
      <c r="F25" s="24">
        <v>1065</v>
      </c>
      <c r="G25" s="24">
        <f t="shared" si="0"/>
        <v>12778</v>
      </c>
      <c r="H25" s="25">
        <f t="shared" si="1"/>
        <v>1</v>
      </c>
    </row>
    <row r="26" spans="4:8" s="32" customFormat="1" ht="11.25" customHeight="1" x14ac:dyDescent="0.25">
      <c r="D26" s="71">
        <v>44615</v>
      </c>
      <c r="E26" s="24">
        <v>11713</v>
      </c>
      <c r="F26" s="24">
        <v>1065</v>
      </c>
      <c r="G26" s="24">
        <f>E26+F26</f>
        <v>12778</v>
      </c>
      <c r="H26" s="25">
        <f t="shared" si="1"/>
        <v>0</v>
      </c>
    </row>
    <row r="27" spans="4:8" s="32" customFormat="1" ht="11.25" customHeight="1" x14ac:dyDescent="0.25">
      <c r="D27" s="71">
        <v>44616</v>
      </c>
      <c r="E27" s="24">
        <v>11713</v>
      </c>
      <c r="F27" s="24">
        <v>1065</v>
      </c>
      <c r="G27" s="24">
        <f>E27+F27</f>
        <v>12778</v>
      </c>
      <c r="H27" s="25">
        <f t="shared" si="1"/>
        <v>0</v>
      </c>
    </row>
    <row r="28" spans="4:8" s="32" customFormat="1" ht="11.25" customHeight="1" x14ac:dyDescent="0.25">
      <c r="D28" s="71">
        <v>44617</v>
      </c>
      <c r="E28" s="24">
        <v>11713</v>
      </c>
      <c r="F28" s="24">
        <v>1065</v>
      </c>
      <c r="G28" s="24">
        <f>E28+F28</f>
        <v>12778</v>
      </c>
      <c r="H28" s="25">
        <f>G28-G27</f>
        <v>0</v>
      </c>
    </row>
    <row r="29" spans="4:8" s="32" customFormat="1" ht="11.25" customHeight="1" x14ac:dyDescent="0.25">
      <c r="D29" s="71">
        <v>44618</v>
      </c>
      <c r="E29" s="24">
        <v>11731</v>
      </c>
      <c r="F29" s="24">
        <v>1065</v>
      </c>
      <c r="G29" s="24">
        <f t="shared" si="0"/>
        <v>12796</v>
      </c>
      <c r="H29" s="25">
        <f t="shared" si="1"/>
        <v>18</v>
      </c>
    </row>
    <row r="30" spans="4:8" s="32" customFormat="1" ht="11.25" customHeight="1" x14ac:dyDescent="0.25">
      <c r="D30" s="71">
        <v>44619</v>
      </c>
      <c r="E30" s="24">
        <v>11731</v>
      </c>
      <c r="F30" s="24">
        <v>1065</v>
      </c>
      <c r="G30" s="24">
        <f t="shared" si="0"/>
        <v>12796</v>
      </c>
      <c r="H30" s="25">
        <f t="shared" si="1"/>
        <v>0</v>
      </c>
    </row>
    <row r="31" spans="4:8" s="32" customFormat="1" ht="11.25" customHeight="1" x14ac:dyDescent="0.25">
      <c r="D31" s="71">
        <v>44620</v>
      </c>
      <c r="E31" s="24">
        <v>11731</v>
      </c>
      <c r="F31" s="24">
        <v>1065</v>
      </c>
      <c r="G31" s="24">
        <f>E31+F31</f>
        <v>12796</v>
      </c>
      <c r="H31" s="25">
        <f t="shared" si="1"/>
        <v>0</v>
      </c>
    </row>
    <row r="32" spans="4:8" s="32" customFormat="1" ht="11.25" customHeight="1" x14ac:dyDescent="0.25">
      <c r="D32" s="71"/>
      <c r="E32" s="24"/>
      <c r="F32" s="24"/>
      <c r="G32" s="24"/>
      <c r="H32" s="25"/>
    </row>
    <row r="33" spans="2:8" s="32" customFormat="1" ht="11.25" customHeight="1" x14ac:dyDescent="0.25">
      <c r="B33" s="33"/>
      <c r="C33" s="33"/>
      <c r="D33" s="74" t="s">
        <v>28</v>
      </c>
      <c r="E33" s="75"/>
      <c r="F33" s="75"/>
      <c r="G33" s="76"/>
      <c r="H33" s="77">
        <f>SUM(H4:H32)</f>
        <v>117</v>
      </c>
    </row>
    <row r="34" spans="2:8" s="32" customFormat="1" ht="11.25" customHeight="1" x14ac:dyDescent="0.25">
      <c r="B34" s="33"/>
      <c r="C34" s="33"/>
      <c r="D34" s="34"/>
      <c r="E34" s="24"/>
      <c r="F34" s="24"/>
      <c r="G34" s="24"/>
      <c r="H34" s="25"/>
    </row>
    <row r="35" spans="2:8" s="32" customFormat="1" ht="11.25" customHeight="1" x14ac:dyDescent="0.25">
      <c r="D35" s="36"/>
      <c r="E35" s="43"/>
      <c r="F35" s="43"/>
      <c r="G35" s="44"/>
      <c r="H35" s="38"/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>
      <selection activeCell="F31" sqref="F3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44593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44594</v>
      </c>
      <c r="E5" s="24">
        <v>760788</v>
      </c>
      <c r="F5" s="78">
        <v>172142</v>
      </c>
      <c r="G5" s="24">
        <f>E5+F5</f>
        <v>932930</v>
      </c>
      <c r="H5" s="18">
        <v>1.2611239999999999</v>
      </c>
      <c r="I5" s="24">
        <f t="shared" ref="I5:I31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44595</v>
      </c>
      <c r="E6" s="24">
        <v>760788</v>
      </c>
      <c r="F6" s="78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44596</v>
      </c>
      <c r="E7" s="24">
        <v>760788</v>
      </c>
      <c r="F7" s="78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44597</v>
      </c>
      <c r="E8" s="24">
        <v>760788</v>
      </c>
      <c r="F8" s="78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44598</v>
      </c>
      <c r="E9" s="24">
        <v>760788</v>
      </c>
      <c r="F9" s="78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44599</v>
      </c>
      <c r="E10" s="24">
        <v>760788</v>
      </c>
      <c r="F10" s="78">
        <v>172142</v>
      </c>
      <c r="G10" s="24">
        <f t="shared" si="3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44600</v>
      </c>
      <c r="E11" s="24">
        <v>760788</v>
      </c>
      <c r="F11" s="78">
        <v>172142</v>
      </c>
      <c r="G11" s="24">
        <f t="shared" si="3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44601</v>
      </c>
      <c r="E12" s="24">
        <v>760788</v>
      </c>
      <c r="F12" s="78">
        <v>172142</v>
      </c>
      <c r="G12" s="24">
        <f t="shared" si="3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44602</v>
      </c>
      <c r="E13" s="24">
        <v>760788</v>
      </c>
      <c r="F13" s="78">
        <v>172142</v>
      </c>
      <c r="G13" s="24">
        <f t="shared" si="3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44603</v>
      </c>
      <c r="E14" s="24">
        <v>760788</v>
      </c>
      <c r="F14" s="78">
        <v>172142</v>
      </c>
      <c r="G14" s="24">
        <f t="shared" si="3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44604</v>
      </c>
      <c r="E15" s="24">
        <v>760788</v>
      </c>
      <c r="F15" s="78">
        <v>172142</v>
      </c>
      <c r="G15" s="24">
        <f t="shared" si="3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</row>
    <row r="16" spans="2:10" s="32" customFormat="1" ht="11.25" customHeight="1" x14ac:dyDescent="0.25">
      <c r="D16" s="34">
        <v>44605</v>
      </c>
      <c r="E16" s="24">
        <v>760788</v>
      </c>
      <c r="F16" s="24">
        <v>172142</v>
      </c>
      <c r="G16" s="24">
        <f t="shared" si="3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</row>
    <row r="17" spans="4:10" s="32" customFormat="1" ht="11.25" customHeight="1" x14ac:dyDescent="0.25">
      <c r="D17" s="34">
        <v>44606</v>
      </c>
      <c r="E17" s="24">
        <v>760788</v>
      </c>
      <c r="F17" s="24">
        <v>172142</v>
      </c>
      <c r="G17" s="24">
        <f t="shared" si="3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</row>
    <row r="18" spans="4:10" s="32" customFormat="1" ht="11.25" customHeight="1" x14ac:dyDescent="0.25">
      <c r="D18" s="34">
        <v>44607</v>
      </c>
      <c r="E18" s="24">
        <v>760788</v>
      </c>
      <c r="F18" s="24">
        <v>172142</v>
      </c>
      <c r="G18" s="24">
        <f t="shared" si="3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</row>
    <row r="19" spans="4:10" s="32" customFormat="1" ht="11.25" customHeight="1" x14ac:dyDescent="0.25">
      <c r="D19" s="34">
        <v>44608</v>
      </c>
      <c r="E19" s="24">
        <v>760788</v>
      </c>
      <c r="F19" s="24">
        <v>172142</v>
      </c>
      <c r="G19" s="24">
        <f t="shared" si="3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</row>
    <row r="20" spans="4:10" s="32" customFormat="1" ht="11.25" customHeight="1" x14ac:dyDescent="0.25">
      <c r="D20" s="34">
        <v>44609</v>
      </c>
      <c r="E20" s="24">
        <v>760788</v>
      </c>
      <c r="F20" s="24">
        <v>172142</v>
      </c>
      <c r="G20" s="24">
        <f t="shared" si="3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</row>
    <row r="21" spans="4:10" s="32" customFormat="1" ht="11.25" customHeight="1" x14ac:dyDescent="0.25">
      <c r="D21" s="34">
        <v>44610</v>
      </c>
      <c r="E21" s="24">
        <v>760788</v>
      </c>
      <c r="F21" s="24">
        <v>172142</v>
      </c>
      <c r="G21" s="24">
        <f t="shared" si="3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</row>
    <row r="22" spans="4:10" s="32" customFormat="1" ht="11.25" customHeight="1" x14ac:dyDescent="0.25">
      <c r="D22" s="34">
        <v>44611</v>
      </c>
      <c r="E22" s="24">
        <v>760788</v>
      </c>
      <c r="F22" s="24">
        <v>172142</v>
      </c>
      <c r="G22" s="24">
        <f t="shared" si="3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</row>
    <row r="23" spans="4:10" s="32" customFormat="1" ht="11.25" customHeight="1" x14ac:dyDescent="0.25">
      <c r="D23" s="34">
        <v>44612</v>
      </c>
      <c r="E23" s="24">
        <v>760788</v>
      </c>
      <c r="F23" s="24">
        <v>172142</v>
      </c>
      <c r="G23" s="24">
        <f t="shared" si="3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</row>
    <row r="24" spans="4:10" s="32" customFormat="1" ht="11.25" customHeight="1" x14ac:dyDescent="0.25">
      <c r="D24" s="34">
        <v>44613</v>
      </c>
      <c r="E24" s="24">
        <v>760788</v>
      </c>
      <c r="F24" s="24">
        <v>172142</v>
      </c>
      <c r="G24" s="24">
        <f t="shared" si="3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</row>
    <row r="25" spans="4:10" s="32" customFormat="1" ht="11.25" customHeight="1" x14ac:dyDescent="0.25">
      <c r="D25" s="34">
        <v>44614</v>
      </c>
      <c r="E25" s="24">
        <v>760788</v>
      </c>
      <c r="F25" s="24">
        <v>172142</v>
      </c>
      <c r="G25" s="24">
        <f t="shared" si="3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</row>
    <row r="26" spans="4:10" s="32" customFormat="1" ht="11.25" customHeight="1" x14ac:dyDescent="0.25">
      <c r="D26" s="34">
        <v>44615</v>
      </c>
      <c r="E26" s="24">
        <v>760788</v>
      </c>
      <c r="F26" s="24">
        <v>172142</v>
      </c>
      <c r="G26" s="24">
        <f t="shared" si="3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</row>
    <row r="27" spans="4:10" s="32" customFormat="1" ht="11.25" customHeight="1" x14ac:dyDescent="0.25">
      <c r="D27" s="34">
        <v>44616</v>
      </c>
      <c r="E27" s="24">
        <v>760788</v>
      </c>
      <c r="F27" s="24">
        <v>172142</v>
      </c>
      <c r="G27" s="24">
        <f t="shared" si="3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</row>
    <row r="28" spans="4:10" s="32" customFormat="1" ht="11.25" customHeight="1" x14ac:dyDescent="0.25">
      <c r="D28" s="34">
        <v>44617</v>
      </c>
      <c r="E28" s="24">
        <v>760788</v>
      </c>
      <c r="F28" s="24">
        <v>172142</v>
      </c>
      <c r="G28" s="24">
        <f>E28+F28</f>
        <v>932930</v>
      </c>
      <c r="H28" s="18">
        <v>1.2611239999999999</v>
      </c>
      <c r="I28" s="24">
        <f t="shared" si="1"/>
        <v>1176540.4133199998</v>
      </c>
      <c r="J28" s="25">
        <f>I28-I27</f>
        <v>0</v>
      </c>
    </row>
    <row r="29" spans="4:10" s="32" customFormat="1" ht="11.25" customHeight="1" x14ac:dyDescent="0.25">
      <c r="D29" s="34">
        <v>44618</v>
      </c>
      <c r="E29" s="24">
        <v>760788</v>
      </c>
      <c r="F29" s="24">
        <v>172142</v>
      </c>
      <c r="G29" s="24">
        <f>E29+F29</f>
        <v>932930</v>
      </c>
      <c r="H29" s="18">
        <v>1.2611239999999999</v>
      </c>
      <c r="I29" s="24">
        <f t="shared" si="1"/>
        <v>1176540.4133199998</v>
      </c>
      <c r="J29" s="25">
        <f>I29-I28</f>
        <v>0</v>
      </c>
    </row>
    <row r="30" spans="4:10" s="32" customFormat="1" ht="11.25" customHeight="1" x14ac:dyDescent="0.25">
      <c r="D30" s="34">
        <v>44619</v>
      </c>
      <c r="E30" s="24">
        <v>760788</v>
      </c>
      <c r="F30" s="24">
        <v>172142</v>
      </c>
      <c r="G30" s="24">
        <f>E30+F30</f>
        <v>932930</v>
      </c>
      <c r="H30" s="18">
        <v>1.2611239999999999</v>
      </c>
      <c r="I30" s="24">
        <f t="shared" si="1"/>
        <v>1176540.4133199998</v>
      </c>
      <c r="J30" s="25">
        <f>I30-I29</f>
        <v>0</v>
      </c>
    </row>
    <row r="31" spans="4:10" s="32" customFormat="1" ht="11.25" customHeight="1" x14ac:dyDescent="0.25">
      <c r="D31" s="34">
        <v>44620</v>
      </c>
      <c r="E31" s="24">
        <v>760788</v>
      </c>
      <c r="F31" s="24">
        <v>172142</v>
      </c>
      <c r="G31" s="24">
        <f>E31+F31</f>
        <v>932930</v>
      </c>
      <c r="H31" s="18">
        <v>1.2611239999999999</v>
      </c>
      <c r="I31" s="24">
        <f t="shared" si="1"/>
        <v>1176540.4133199998</v>
      </c>
      <c r="J31" s="25">
        <f>I31-I30</f>
        <v>0</v>
      </c>
    </row>
    <row r="32" spans="4:10" s="32" customFormat="1" ht="11.25" customHeight="1" x14ac:dyDescent="0.25">
      <c r="D32" s="34"/>
      <c r="E32" s="24"/>
      <c r="F32" s="24"/>
      <c r="G32" s="24"/>
      <c r="H32" s="18"/>
      <c r="I32" s="24"/>
      <c r="J32" s="25"/>
    </row>
    <row r="33" spans="4:10" s="32" customFormat="1" ht="11.25" customHeight="1" x14ac:dyDescent="0.25">
      <c r="D33" s="36" t="s">
        <v>28</v>
      </c>
      <c r="E33" s="43"/>
      <c r="F33" s="43"/>
      <c r="G33" s="43"/>
      <c r="H33" s="18"/>
      <c r="I33" s="44"/>
      <c r="J33" s="38">
        <f>SUM(J4:J31)</f>
        <v>0</v>
      </c>
    </row>
    <row r="34" spans="4:10" s="32" customFormat="1" ht="11.25" customHeight="1" x14ac:dyDescent="0.25">
      <c r="D34" s="34"/>
      <c r="E34" s="24"/>
      <c r="F34" s="24"/>
      <c r="G34" s="24"/>
      <c r="H34" s="18"/>
      <c r="I34" s="24"/>
      <c r="J34" s="25"/>
    </row>
    <row r="35" spans="4:10" s="32" customFormat="1" ht="11.25" customHeight="1" x14ac:dyDescent="0.25">
      <c r="D35" s="36"/>
      <c r="E35" s="43"/>
      <c r="F35" s="43"/>
      <c r="G35" s="43"/>
      <c r="H35" s="43"/>
      <c r="I35" s="44"/>
      <c r="J35" s="38"/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topLeftCell="A13" workbookViewId="0">
      <selection activeCell="F31" sqref="F31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37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44593</v>
      </c>
      <c r="F4" s="68">
        <v>4800.576</v>
      </c>
      <c r="G4" s="23">
        <v>2760</v>
      </c>
      <c r="H4" s="29">
        <f>G4*F4</f>
        <v>13249589.76</v>
      </c>
      <c r="I4" s="25" t="s">
        <v>38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44594</v>
      </c>
      <c r="F5" s="68">
        <v>4801.5280000000002</v>
      </c>
      <c r="G5" s="23">
        <v>2760</v>
      </c>
      <c r="H5" s="24">
        <f t="shared" ref="H5:H27" si="0">G5*F5</f>
        <v>13252217.280000001</v>
      </c>
      <c r="I5" s="25">
        <f t="shared" ref="I5:I32" si="1">H5-H4</f>
        <v>2627.5200000014156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44595</v>
      </c>
      <c r="F6" s="68">
        <v>4802.4269999999997</v>
      </c>
      <c r="G6" s="23">
        <v>2760</v>
      </c>
      <c r="H6" s="24">
        <f t="shared" si="0"/>
        <v>13254698.52</v>
      </c>
      <c r="I6" s="25">
        <f t="shared" si="1"/>
        <v>2481.2399999983609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44596</v>
      </c>
      <c r="F7" s="68">
        <v>4803.3059999999996</v>
      </c>
      <c r="G7" s="23">
        <v>2760</v>
      </c>
      <c r="H7" s="24">
        <f t="shared" si="0"/>
        <v>13257124.559999999</v>
      </c>
      <c r="I7" s="25">
        <f t="shared" si="1"/>
        <v>2426.0399999991059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44597</v>
      </c>
      <c r="F8" s="68">
        <v>4804.1030000000001</v>
      </c>
      <c r="G8" s="23">
        <v>2760</v>
      </c>
      <c r="H8" s="24">
        <f>G8*F8</f>
        <v>13259324.279999999</v>
      </c>
      <c r="I8" s="25">
        <f>H8-H7</f>
        <v>2199.7200000006706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44598</v>
      </c>
      <c r="F9" s="68">
        <v>4804.9269999999997</v>
      </c>
      <c r="G9" s="23">
        <v>2760</v>
      </c>
      <c r="H9" s="24">
        <f>G9*F9</f>
        <v>13261598.52</v>
      </c>
      <c r="I9" s="25">
        <f>H9-H8</f>
        <v>2274.2400000002235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44599</v>
      </c>
      <c r="F10" s="68">
        <v>4805.6279999999997</v>
      </c>
      <c r="G10" s="23">
        <v>2760</v>
      </c>
      <c r="H10" s="24">
        <f t="shared" si="0"/>
        <v>13263533.279999999</v>
      </c>
      <c r="I10" s="25">
        <f t="shared" si="1"/>
        <v>1934.7599999997765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44600</v>
      </c>
      <c r="F11" s="68">
        <v>4806.43</v>
      </c>
      <c r="G11" s="23">
        <v>2760</v>
      </c>
      <c r="H11" s="24">
        <f t="shared" si="0"/>
        <v>13265746.800000001</v>
      </c>
      <c r="I11" s="25">
        <f t="shared" si="1"/>
        <v>2213.5200000014156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44601</v>
      </c>
      <c r="F12" s="68">
        <v>4807.4610000000002</v>
      </c>
      <c r="G12" s="23">
        <v>2760</v>
      </c>
      <c r="H12" s="24">
        <f t="shared" si="0"/>
        <v>13268592.360000001</v>
      </c>
      <c r="I12" s="25">
        <f t="shared" si="1"/>
        <v>2845.5600000005215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44602</v>
      </c>
      <c r="F13" s="68">
        <v>4807.9970000000003</v>
      </c>
      <c r="G13" s="23">
        <v>2760</v>
      </c>
      <c r="H13" s="24">
        <f t="shared" si="0"/>
        <v>13270071.720000001</v>
      </c>
      <c r="I13" s="25">
        <f t="shared" si="1"/>
        <v>1479.359999999404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44603</v>
      </c>
      <c r="F14" s="68">
        <v>4808.6490000000003</v>
      </c>
      <c r="G14" s="23">
        <v>2760</v>
      </c>
      <c r="H14" s="24">
        <f t="shared" si="0"/>
        <v>13271871.24</v>
      </c>
      <c r="I14" s="25">
        <f t="shared" si="1"/>
        <v>1799.519999999553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44604</v>
      </c>
      <c r="F15" s="68">
        <v>4809.3959999999997</v>
      </c>
      <c r="G15" s="23">
        <v>2760</v>
      </c>
      <c r="H15" s="24">
        <f t="shared" si="0"/>
        <v>13273932.959999999</v>
      </c>
      <c r="I15" s="25">
        <f t="shared" si="1"/>
        <v>2061.7199999988079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44605</v>
      </c>
      <c r="F16" s="68">
        <v>4810.0110000000004</v>
      </c>
      <c r="G16" s="23">
        <v>2760</v>
      </c>
      <c r="H16" s="24">
        <f t="shared" si="0"/>
        <v>13275630.360000001</v>
      </c>
      <c r="I16" s="25">
        <f t="shared" si="1"/>
        <v>1697.4000000022352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44606</v>
      </c>
      <c r="F17" s="68">
        <v>4810.5600000000004</v>
      </c>
      <c r="G17" s="23">
        <v>2760</v>
      </c>
      <c r="H17" s="24">
        <f t="shared" si="0"/>
        <v>13277145.600000001</v>
      </c>
      <c r="I17" s="25">
        <f t="shared" si="1"/>
        <v>1515.2400000002235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44607</v>
      </c>
      <c r="F18" s="68">
        <v>4811.2039999999997</v>
      </c>
      <c r="G18" s="23">
        <v>2760</v>
      </c>
      <c r="H18" s="24">
        <f t="shared" si="0"/>
        <v>13278923.039999999</v>
      </c>
      <c r="I18" s="25">
        <f t="shared" si="1"/>
        <v>1777.4399999976158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44608</v>
      </c>
      <c r="F19" s="68">
        <v>4811.8389999999999</v>
      </c>
      <c r="G19" s="23">
        <v>2760</v>
      </c>
      <c r="H19" s="24">
        <f t="shared" si="0"/>
        <v>13280675.640000001</v>
      </c>
      <c r="I19" s="25">
        <f t="shared" si="1"/>
        <v>1752.6000000014901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44609</v>
      </c>
      <c r="F20" s="68">
        <v>4812.59</v>
      </c>
      <c r="G20" s="23">
        <v>2760</v>
      </c>
      <c r="H20" s="24">
        <f t="shared" si="0"/>
        <v>13282748.4</v>
      </c>
      <c r="I20" s="25">
        <f t="shared" si="1"/>
        <v>2072.7599999997765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44610</v>
      </c>
      <c r="F21" s="68">
        <v>4812.8819999999996</v>
      </c>
      <c r="G21" s="23">
        <v>2760</v>
      </c>
      <c r="H21" s="24">
        <f t="shared" si="0"/>
        <v>13283554.319999998</v>
      </c>
      <c r="I21" s="25">
        <f t="shared" si="1"/>
        <v>805.91999999806285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44611</v>
      </c>
      <c r="F22" s="68">
        <v>4813.3990000000003</v>
      </c>
      <c r="G22" s="23">
        <v>2760</v>
      </c>
      <c r="H22" s="24">
        <f t="shared" si="0"/>
        <v>13284981.24</v>
      </c>
      <c r="I22" s="25">
        <f t="shared" si="1"/>
        <v>1426.9200000017881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44612</v>
      </c>
      <c r="F23" s="68">
        <v>4813.9030000000002</v>
      </c>
      <c r="G23" s="23">
        <v>2760</v>
      </c>
      <c r="H23" s="24">
        <f t="shared" si="0"/>
        <v>13286372.280000001</v>
      </c>
      <c r="I23" s="25">
        <f t="shared" si="1"/>
        <v>1391.0400000009686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44613</v>
      </c>
      <c r="F24" s="68">
        <v>4814.3159999999998</v>
      </c>
      <c r="G24" s="23">
        <v>2760</v>
      </c>
      <c r="H24" s="24">
        <f t="shared" si="0"/>
        <v>13287512.16</v>
      </c>
      <c r="I24" s="25">
        <f t="shared" si="1"/>
        <v>1139.8799999989569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44614</v>
      </c>
      <c r="F25" s="68">
        <v>4814.82</v>
      </c>
      <c r="G25" s="23">
        <v>2760</v>
      </c>
      <c r="H25" s="24">
        <f t="shared" si="0"/>
        <v>13288903.199999999</v>
      </c>
      <c r="I25" s="25">
        <f t="shared" si="1"/>
        <v>1391.0399999991059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44615</v>
      </c>
      <c r="F26" s="70">
        <v>4815.2849999999999</v>
      </c>
      <c r="G26" s="28">
        <v>2760</v>
      </c>
      <c r="H26" s="29">
        <f t="shared" si="0"/>
        <v>13290186.6</v>
      </c>
      <c r="I26" s="25">
        <f t="shared" si="1"/>
        <v>1283.4000000003725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44616</v>
      </c>
      <c r="F27" s="70">
        <v>4815.7610000000004</v>
      </c>
      <c r="G27" s="28">
        <v>2760</v>
      </c>
      <c r="H27" s="29">
        <f t="shared" si="0"/>
        <v>13291500.360000001</v>
      </c>
      <c r="I27" s="25">
        <f t="shared" si="1"/>
        <v>1313.7600000016391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44617</v>
      </c>
      <c r="F28" s="70">
        <v>4816.308</v>
      </c>
      <c r="G28" s="28">
        <v>2760</v>
      </c>
      <c r="H28" s="29">
        <f>G28*F28</f>
        <v>13293010.08</v>
      </c>
      <c r="I28" s="25">
        <f t="shared" si="1"/>
        <v>1509.7199999988079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44618</v>
      </c>
      <c r="F29" s="70">
        <v>4816.82</v>
      </c>
      <c r="G29" s="28">
        <v>2760</v>
      </c>
      <c r="H29" s="29">
        <f>G29*F29</f>
        <v>13294423.199999999</v>
      </c>
      <c r="I29" s="25">
        <f t="shared" si="1"/>
        <v>1413.1199999991804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44619</v>
      </c>
      <c r="F30" s="70">
        <v>4817.2759999999998</v>
      </c>
      <c r="G30" s="28">
        <v>2760</v>
      </c>
      <c r="H30" s="29">
        <f>G30*F30</f>
        <v>13295681.76</v>
      </c>
      <c r="I30" s="25">
        <f t="shared" si="1"/>
        <v>1258.5600000005215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44620</v>
      </c>
      <c r="F31" s="70">
        <v>4817.826</v>
      </c>
      <c r="G31" s="28">
        <v>2760</v>
      </c>
      <c r="H31" s="29">
        <f>G31*F31</f>
        <v>13297199.76</v>
      </c>
      <c r="I31" s="25">
        <f t="shared" si="1"/>
        <v>1518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/>
      <c r="F32" s="70"/>
      <c r="G32" s="28">
        <v>2760</v>
      </c>
      <c r="H32" s="29">
        <f>G32*F32</f>
        <v>0</v>
      </c>
      <c r="I32" s="25">
        <f t="shared" si="1"/>
        <v>-13297199.76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/>
      <c r="F33" s="68"/>
      <c r="G33" s="28"/>
      <c r="H33" s="29"/>
      <c r="I33" s="25"/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6" t="s">
        <v>28</v>
      </c>
      <c r="F34" s="37"/>
      <c r="G34" s="37"/>
      <c r="H34" s="29"/>
      <c r="I34" s="69">
        <f>SUM(I4:I33)</f>
        <v>-13249589.76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/>
      <c r="F35" s="37"/>
      <c r="G35" s="37"/>
      <c r="H35" s="29"/>
      <c r="I35" s="79"/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2022-02-28T11:42:39Z</dcterms:modified>
</cp:coreProperties>
</file>