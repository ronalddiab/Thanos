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<sst xmlns="http://schemas.openxmlformats.org/spreadsheetml/2006/main" count="106" uniqueCount="33">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</sst>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v>2020</v>
      </c>
      <c r="E2" s="20">
        <f>Submetering!E2</f>
        <v>7969.5</v>
      </c>
      <c r="F2" s="16">
        <v>0.12</v>
      </c>
      <c r="G2" s="20">
        <f>Submetering!F2+Submetering!G2</f>
        <v>0</v>
      </c>
      <c r="H2" s="16">
        <v>0.71</v>
      </c>
      <c r="I2" s="20">
        <f>Submetering!J2+Submetering!I2+Submetering!H2</f>
        <v>79.805478644800004</v>
      </c>
      <c r="J2" s="16">
        <v>2.3196172978505634</v>
      </c>
      <c r="K2" s="20">
        <f>Submetering!K2</f>
        <v>42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9</v>
      </c>
      <c r="D3" s="9">
        <v>2020</v>
      </c>
      <c r="E3" s="20">
        <f>Submetering!E3</f>
        <v>8016.75</v>
      </c>
      <c r="F3" s="16">
        <v>0.12</v>
      </c>
      <c r="G3" s="20">
        <f>Submetering!F3+Submetering!G3</f>
        <v>1.051683821130841</v>
      </c>
      <c r="H3" s="16">
        <v>0.71</v>
      </c>
      <c r="I3" s="20">
        <f>Submetering!J3+Submetering!I3+Submetering!H3</f>
        <v>61.7788057653</v>
      </c>
      <c r="J3" s="16">
        <v>2.3196172978505634</v>
      </c>
      <c r="K3" s="20">
        <f>Submetering!K3</f>
        <v>32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9</v>
      </c>
      <c r="D4" s="9">
        <v>2020</v>
      </c>
      <c r="E4" s="20">
        <f>Submetering!E4</f>
        <v>8372.25</v>
      </c>
      <c r="F4" s="16">
        <v>0.12</v>
      </c>
      <c r="G4" s="20">
        <f>Submetering!F4+Submetering!G4</f>
        <v>43.004110330560749</v>
      </c>
      <c r="H4" s="16">
        <v>0.71</v>
      </c>
      <c r="I4" s="20">
        <f>Submetering!J4+Submetering!I4+Submetering!H4</f>
        <v>62.9388139315</v>
      </c>
      <c r="J4" s="16">
        <v>2.3196172978505634</v>
      </c>
      <c r="K4" s="20">
        <f>Submetering!K4</f>
        <v>37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9</v>
      </c>
      <c r="D5" s="9">
        <v>2020</v>
      </c>
      <c r="E5" s="20">
        <f>Submetering!E5</f>
        <v>9153</v>
      </c>
      <c r="F5" s="16">
        <v>0.12</v>
      </c>
      <c r="G5" s="20">
        <f>Submetering!F5+Submetering!G5</f>
        <v>52.760887805607481</v>
      </c>
      <c r="H5" s="16">
        <v>0.71</v>
      </c>
      <c r="I5" s="20">
        <f>Submetering!J5+Submetering!I5+Submetering!H5</f>
        <v>70.906422145700006</v>
      </c>
      <c r="J5" s="16">
        <v>2.3196172978505634</v>
      </c>
      <c r="K5" s="20">
        <f>Submetering!K5</f>
        <v>43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9</v>
      </c>
      <c r="D6" s="9">
        <v>2020</v>
      </c>
      <c r="E6" s="20">
        <f>Submetering!E6</f>
        <v>9438.75</v>
      </c>
      <c r="F6" s="16">
        <v>0.12</v>
      </c>
      <c r="G6" s="20">
        <f>Submetering!F6+Submetering!G6</f>
        <v>102.61522594</v>
      </c>
      <c r="H6" s="16">
        <v>0.71</v>
      </c>
      <c r="I6" s="20">
        <f>Submetering!J6+Submetering!I6+Submetering!H6</f>
        <v>67.605141958199994</v>
      </c>
      <c r="J6" s="16">
        <v>2.3196172978505634</v>
      </c>
      <c r="K6" s="20">
        <f>Submetering!K6</f>
        <v>38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9</v>
      </c>
      <c r="D7" s="9">
        <v>2020</v>
      </c>
      <c r="E7" s="20">
        <f>Submetering!E7</f>
        <v>8313.75</v>
      </c>
      <c r="F7" s="16">
        <v>0.12</v>
      </c>
      <c r="G7" s="20">
        <f>Submetering!F7+Submetering!G7</f>
        <v>17.139909971953273</v>
      </c>
      <c r="H7" s="16">
        <v>0.71</v>
      </c>
      <c r="I7" s="20">
        <f>Submetering!J7+Submetering!I7+Submetering!H7</f>
        <v>56.330552394000001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9</v>
      </c>
      <c r="D8" s="9">
        <v>2020</v>
      </c>
      <c r="E8" s="20">
        <f>Submetering!E8</f>
        <v>8226</v>
      </c>
      <c r="F8" s="16">
        <v>0.12</v>
      </c>
      <c r="G8" s="20">
        <f>Submetering!F8+Submetering!G8</f>
        <v>38.079084791588791</v>
      </c>
      <c r="H8" s="16">
        <v>0.71</v>
      </c>
      <c r="I8" s="20">
        <f>Submetering!J8+Submetering!I8+Submetering!H8</f>
        <v>75.056710759299989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9</v>
      </c>
      <c r="D9" s="9">
        <v>2020</v>
      </c>
      <c r="E9" s="20">
        <f>Submetering!E9</f>
        <v>8712</v>
      </c>
      <c r="F9" s="16">
        <v>0.12</v>
      </c>
      <c r="G9" s="20">
        <f>Submetering!F9+Submetering!G9</f>
        <v>40.877081876915895</v>
      </c>
      <c r="H9" s="16">
        <v>0.71</v>
      </c>
      <c r="I9" s="20">
        <f>Submetering!J9+Submetering!I9+Submetering!H9</f>
        <v>79.930445977800005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9</v>
      </c>
      <c r="D10" s="9">
        <v>2020</v>
      </c>
      <c r="E10" s="20">
        <f>Submetering!E10</f>
        <v>9279</v>
      </c>
      <c r="F10" s="16">
        <v>0.12</v>
      </c>
      <c r="G10" s="20">
        <f>Submetering!F10+Submetering!G10</f>
        <v>39.157804286074764</v>
      </c>
      <c r="H10" s="16">
        <v>0.71</v>
      </c>
      <c r="I10" s="20">
        <f>Submetering!J10+Submetering!I10+Submetering!H10</f>
        <v>69.135642242499998</v>
      </c>
      <c r="J10" s="16">
        <v>2.3196172978505634</v>
      </c>
      <c r="K10" s="20">
        <f>Submetering!K10</f>
        <v>29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9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9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9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9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9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9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9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9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9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9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9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9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9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9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9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9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9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9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9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9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9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1" sqref="K11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9</v>
      </c>
      <c r="D2" s="6">
        <v>2020</v>
      </c>
      <c r="E2" s="20">
        <v>7969.5</v>
      </c>
      <c r="G2" s="20">
        <v>0</v>
      </c>
      <c r="H2" s="20">
        <v>4.8010000000000002</v>
      </c>
      <c r="I2" s="20">
        <v>43</v>
      </c>
      <c r="J2" s="20">
        <v>32.004478644800002</v>
      </c>
      <c r="K2" s="20">
        <v>42</v>
      </c>
    </row>
    <row r="3" spans="1:12" x14ac:dyDescent="0.25">
      <c r="A3" s="9" t="s">
        <v>32</v>
      </c>
      <c r="B3" s="6">
        <f>B2+1</f>
        <v>2</v>
      </c>
      <c r="C3" s="6">
        <v>9</v>
      </c>
      <c r="D3" s="6">
        <v>2020</v>
      </c>
      <c r="E3" s="20">
        <v>8016.75</v>
      </c>
      <c r="G3" s="20">
        <v>1.051683821130841</v>
      </c>
      <c r="H3" s="20">
        <v>1.774</v>
      </c>
      <c r="I3" s="6">
        <v>32</v>
      </c>
      <c r="J3" s="20">
        <v>28.004805765299999</v>
      </c>
      <c r="K3" s="20">
        <v>32</v>
      </c>
    </row>
    <row r="4" spans="1:12" x14ac:dyDescent="0.25">
      <c r="A4" s="9" t="s">
        <v>32</v>
      </c>
      <c r="B4" s="6">
        <f t="shared" ref="B4:B31" si="0">B3+1</f>
        <v>3</v>
      </c>
      <c r="C4" s="6">
        <v>9</v>
      </c>
      <c r="D4" s="6">
        <v>2020</v>
      </c>
      <c r="E4" s="20">
        <v>8372.25</v>
      </c>
      <c r="F4" s="20">
        <v>37.208008898785046</v>
      </c>
      <c r="G4" s="20">
        <v>5.7961014317757007</v>
      </c>
      <c r="H4" s="20">
        <v>1.9510000000000001</v>
      </c>
      <c r="I4" s="6">
        <v>33</v>
      </c>
      <c r="J4" s="20">
        <v>27.9878139315</v>
      </c>
      <c r="K4" s="20">
        <v>37</v>
      </c>
    </row>
    <row r="5" spans="1:12" x14ac:dyDescent="0.25">
      <c r="A5" s="9" t="s">
        <v>32</v>
      </c>
      <c r="B5" s="6">
        <f t="shared" si="0"/>
        <v>4</v>
      </c>
      <c r="C5" s="6">
        <v>9</v>
      </c>
      <c r="D5" s="6">
        <v>2020</v>
      </c>
      <c r="E5" s="20">
        <v>9153</v>
      </c>
      <c r="F5" s="20">
        <v>36.255839822056075</v>
      </c>
      <c r="G5" s="20">
        <v>16.505047983551403</v>
      </c>
      <c r="H5" s="20">
        <v>2.8929999999999998</v>
      </c>
      <c r="I5" s="6">
        <v>37</v>
      </c>
      <c r="J5" s="20">
        <v>31.013422145700002</v>
      </c>
      <c r="K5" s="20">
        <v>43</v>
      </c>
    </row>
    <row r="6" spans="1:12" x14ac:dyDescent="0.25">
      <c r="A6" s="9" t="s">
        <v>32</v>
      </c>
      <c r="B6" s="6">
        <f t="shared" si="0"/>
        <v>5</v>
      </c>
      <c r="C6" s="6">
        <v>9</v>
      </c>
      <c r="D6" s="6">
        <v>2020</v>
      </c>
      <c r="E6" s="20">
        <v>9438.75</v>
      </c>
      <c r="F6" s="20">
        <v>86.426041989626171</v>
      </c>
      <c r="G6" s="20">
        <v>16.189183950373831</v>
      </c>
      <c r="H6" s="20">
        <v>2.149</v>
      </c>
      <c r="I6" s="20">
        <v>34</v>
      </c>
      <c r="J6" s="20">
        <v>31.4561419582</v>
      </c>
      <c r="K6" s="20">
        <v>38</v>
      </c>
    </row>
    <row r="7" spans="1:12" x14ac:dyDescent="0.25">
      <c r="A7" s="9" t="s">
        <v>32</v>
      </c>
      <c r="B7" s="6">
        <f t="shared" si="0"/>
        <v>6</v>
      </c>
      <c r="C7" s="6">
        <v>9</v>
      </c>
      <c r="D7" s="6">
        <v>2020</v>
      </c>
      <c r="E7" s="20">
        <v>8313.75</v>
      </c>
      <c r="F7" s="20">
        <v>1.1101092896168225</v>
      </c>
      <c r="G7" s="20">
        <v>16.02980068233645</v>
      </c>
      <c r="H7" s="20">
        <v>1.7949999999999999</v>
      </c>
      <c r="I7" s="20">
        <v>27</v>
      </c>
      <c r="J7" s="20">
        <v>27.535552394</v>
      </c>
      <c r="K7" s="20">
        <v>22</v>
      </c>
    </row>
    <row r="8" spans="1:12" x14ac:dyDescent="0.25">
      <c r="A8" s="9" t="s">
        <v>32</v>
      </c>
      <c r="B8" s="6">
        <f t="shared" si="0"/>
        <v>7</v>
      </c>
      <c r="C8" s="6">
        <v>9</v>
      </c>
      <c r="D8" s="6">
        <v>2020</v>
      </c>
      <c r="E8" s="20">
        <v>8226</v>
      </c>
      <c r="F8" s="20">
        <v>22.000000000000004</v>
      </c>
      <c r="G8" s="20">
        <v>16.079084791588787</v>
      </c>
      <c r="H8" s="20">
        <v>5.0609999999999999</v>
      </c>
      <c r="I8" s="20">
        <v>39</v>
      </c>
      <c r="J8" s="20">
        <v>30.9957107593</v>
      </c>
      <c r="K8" s="20">
        <v>31</v>
      </c>
    </row>
    <row r="9" spans="1:12" x14ac:dyDescent="0.25">
      <c r="A9" s="9" t="s">
        <v>32</v>
      </c>
      <c r="B9" s="6">
        <f t="shared" si="0"/>
        <v>8</v>
      </c>
      <c r="C9" s="6">
        <v>9</v>
      </c>
      <c r="D9" s="6">
        <v>2020</v>
      </c>
      <c r="E9" s="6">
        <v>8712</v>
      </c>
      <c r="F9" s="20">
        <v>24.000000000000004</v>
      </c>
      <c r="G9" s="20">
        <v>16.877081876915891</v>
      </c>
      <c r="H9" s="20">
        <v>5.9249999999999998</v>
      </c>
      <c r="I9" s="6">
        <v>39</v>
      </c>
      <c r="J9" s="20">
        <v>35.005445977800001</v>
      </c>
      <c r="K9" s="20">
        <v>45</v>
      </c>
    </row>
    <row r="10" spans="1:12" x14ac:dyDescent="0.25">
      <c r="A10" s="9" t="s">
        <v>32</v>
      </c>
      <c r="B10" s="6">
        <f t="shared" si="0"/>
        <v>9</v>
      </c>
      <c r="C10" s="6">
        <v>9</v>
      </c>
      <c r="D10" s="6">
        <v>2020</v>
      </c>
      <c r="E10" s="20">
        <v>9279</v>
      </c>
      <c r="F10" s="20">
        <v>23</v>
      </c>
      <c r="G10" s="20">
        <v>16.157804286074768</v>
      </c>
      <c r="H10" s="20">
        <v>1.6850000000000001</v>
      </c>
      <c r="I10" s="6">
        <v>36</v>
      </c>
      <c r="J10" s="20">
        <v>31.450642242499999</v>
      </c>
      <c r="K10" s="20">
        <v>29</v>
      </c>
    </row>
    <row r="11" spans="1:12" x14ac:dyDescent="0.25">
      <c r="A11" s="9" t="s">
        <v>32</v>
      </c>
      <c r="B11" s="6">
        <f t="shared" si="0"/>
        <v>10</v>
      </c>
      <c r="C11" s="6">
        <v>9</v>
      </c>
      <c r="D11" s="6">
        <v>2020</v>
      </c>
      <c r="I11" s="6"/>
      <c r="K11" s="20"/>
    </row>
    <row r="12" spans="1:12" x14ac:dyDescent="0.25">
      <c r="A12" s="9" t="s">
        <v>32</v>
      </c>
      <c r="B12" s="6">
        <f t="shared" si="0"/>
        <v>11</v>
      </c>
      <c r="C12" s="6">
        <v>9</v>
      </c>
      <c r="D12" s="6">
        <v>2020</v>
      </c>
      <c r="K12" s="20"/>
    </row>
    <row r="13" spans="1:12" x14ac:dyDescent="0.25">
      <c r="A13" s="9" t="s">
        <v>32</v>
      </c>
      <c r="B13" s="6">
        <f t="shared" si="0"/>
        <v>12</v>
      </c>
      <c r="C13" s="6">
        <v>9</v>
      </c>
      <c r="D13" s="6">
        <v>2020</v>
      </c>
      <c r="K13" s="20"/>
    </row>
    <row r="14" spans="1:12" x14ac:dyDescent="0.25">
      <c r="A14" s="9" t="s">
        <v>32</v>
      </c>
      <c r="B14" s="6">
        <f t="shared" si="0"/>
        <v>13</v>
      </c>
      <c r="C14" s="6">
        <v>9</v>
      </c>
      <c r="D14" s="6">
        <v>2020</v>
      </c>
      <c r="K14" s="20"/>
    </row>
    <row r="15" spans="1:12" x14ac:dyDescent="0.25">
      <c r="A15" s="9" t="s">
        <v>32</v>
      </c>
      <c r="B15" s="6">
        <f t="shared" si="0"/>
        <v>14</v>
      </c>
      <c r="C15" s="6">
        <v>9</v>
      </c>
      <c r="D15" s="6">
        <v>2020</v>
      </c>
      <c r="K15" s="20"/>
    </row>
    <row r="16" spans="1:12" x14ac:dyDescent="0.25">
      <c r="A16" s="9" t="s">
        <v>32</v>
      </c>
      <c r="B16" s="6">
        <f t="shared" si="0"/>
        <v>15</v>
      </c>
      <c r="C16" s="6">
        <v>9</v>
      </c>
      <c r="D16" s="6">
        <v>2020</v>
      </c>
      <c r="K16" s="20"/>
    </row>
    <row r="17" spans="1:11" x14ac:dyDescent="0.25">
      <c r="A17" s="9" t="s">
        <v>32</v>
      </c>
      <c r="B17" s="6">
        <f t="shared" si="0"/>
        <v>16</v>
      </c>
      <c r="C17" s="6">
        <v>9</v>
      </c>
      <c r="D17" s="6">
        <v>2020</v>
      </c>
      <c r="K17" s="20"/>
    </row>
    <row r="18" spans="1:11" x14ac:dyDescent="0.25">
      <c r="A18" s="9" t="s">
        <v>32</v>
      </c>
      <c r="B18" s="6">
        <f t="shared" si="0"/>
        <v>17</v>
      </c>
      <c r="C18" s="6">
        <v>9</v>
      </c>
      <c r="D18" s="6">
        <v>2020</v>
      </c>
      <c r="K18" s="20"/>
    </row>
    <row r="19" spans="1:11" x14ac:dyDescent="0.25">
      <c r="A19" s="9" t="s">
        <v>32</v>
      </c>
      <c r="B19" s="6">
        <f t="shared" si="0"/>
        <v>18</v>
      </c>
      <c r="C19" s="6">
        <v>9</v>
      </c>
      <c r="D19" s="6">
        <v>2020</v>
      </c>
      <c r="K19" s="20"/>
    </row>
    <row r="20" spans="1:11" x14ac:dyDescent="0.25">
      <c r="A20" s="9" t="s">
        <v>32</v>
      </c>
      <c r="B20" s="6">
        <f t="shared" si="0"/>
        <v>19</v>
      </c>
      <c r="C20" s="6">
        <v>9</v>
      </c>
      <c r="D20" s="6">
        <v>2020</v>
      </c>
      <c r="K20" s="20"/>
    </row>
    <row r="21" spans="1:11" x14ac:dyDescent="0.25">
      <c r="A21" s="9" t="s">
        <v>32</v>
      </c>
      <c r="B21" s="6">
        <f t="shared" si="0"/>
        <v>20</v>
      </c>
      <c r="C21" s="6">
        <v>9</v>
      </c>
      <c r="D21" s="6">
        <v>2020</v>
      </c>
      <c r="K21" s="20"/>
    </row>
    <row r="22" spans="1:11" x14ac:dyDescent="0.25">
      <c r="A22" s="9" t="s">
        <v>32</v>
      </c>
      <c r="B22" s="6">
        <f t="shared" si="0"/>
        <v>21</v>
      </c>
      <c r="C22" s="6">
        <v>9</v>
      </c>
      <c r="D22" s="6">
        <v>2020</v>
      </c>
      <c r="K22" s="20"/>
    </row>
    <row r="23" spans="1:11" x14ac:dyDescent="0.25">
      <c r="A23" s="9" t="s">
        <v>32</v>
      </c>
      <c r="B23" s="6">
        <f t="shared" si="0"/>
        <v>22</v>
      </c>
      <c r="C23" s="6">
        <v>9</v>
      </c>
      <c r="D23" s="6">
        <v>2020</v>
      </c>
      <c r="F23" s="32"/>
      <c r="G23" s="32"/>
      <c r="H23" s="32"/>
      <c r="I23" s="32"/>
      <c r="K23" s="20"/>
    </row>
    <row r="24" spans="1:11" x14ac:dyDescent="0.25">
      <c r="A24" s="9" t="s">
        <v>32</v>
      </c>
      <c r="B24" s="6">
        <f t="shared" si="0"/>
        <v>23</v>
      </c>
      <c r="C24" s="6">
        <v>9</v>
      </c>
      <c r="D24" s="6">
        <v>2020</v>
      </c>
      <c r="F24" s="32"/>
      <c r="G24" s="32"/>
      <c r="H24" s="32"/>
      <c r="I24" s="32"/>
      <c r="K24" s="20"/>
    </row>
    <row r="25" spans="1:11" x14ac:dyDescent="0.25">
      <c r="A25" s="9" t="s">
        <v>32</v>
      </c>
      <c r="B25" s="6">
        <f t="shared" si="0"/>
        <v>24</v>
      </c>
      <c r="C25" s="6">
        <v>9</v>
      </c>
      <c r="D25" s="6">
        <v>2020</v>
      </c>
      <c r="F25" s="32"/>
      <c r="G25" s="32"/>
      <c r="H25" s="32"/>
      <c r="I25" s="32"/>
      <c r="K25" s="20"/>
    </row>
    <row r="26" spans="1:11" x14ac:dyDescent="0.25">
      <c r="A26" s="9" t="s">
        <v>32</v>
      </c>
      <c r="B26" s="6">
        <f>B25+1</f>
        <v>25</v>
      </c>
      <c r="C26" s="6">
        <v>9</v>
      </c>
      <c r="D26" s="6">
        <v>2020</v>
      </c>
      <c r="F26" s="32"/>
      <c r="G26" s="32"/>
      <c r="H26" s="32"/>
      <c r="I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9</v>
      </c>
      <c r="D27" s="6">
        <v>2020</v>
      </c>
      <c r="F27" s="32"/>
      <c r="G27" s="32"/>
      <c r="H27" s="32"/>
      <c r="I27" s="32"/>
      <c r="K27" s="20"/>
    </row>
    <row r="28" spans="1:11" x14ac:dyDescent="0.25">
      <c r="A28" s="9" t="s">
        <v>32</v>
      </c>
      <c r="B28" s="6">
        <f t="shared" si="0"/>
        <v>27</v>
      </c>
      <c r="C28" s="6">
        <v>9</v>
      </c>
      <c r="D28" s="6">
        <v>2020</v>
      </c>
      <c r="F28" s="32"/>
      <c r="G28" s="32"/>
      <c r="H28" s="32"/>
      <c r="I28" s="32"/>
      <c r="K28" s="20"/>
    </row>
    <row r="29" spans="1:11" x14ac:dyDescent="0.25">
      <c r="A29" s="9" t="s">
        <v>32</v>
      </c>
      <c r="B29" s="6">
        <f t="shared" si="0"/>
        <v>28</v>
      </c>
      <c r="C29" s="6">
        <v>9</v>
      </c>
      <c r="D29" s="6">
        <v>2020</v>
      </c>
      <c r="F29" s="32"/>
      <c r="G29" s="32"/>
      <c r="H29" s="32"/>
      <c r="I29" s="32"/>
      <c r="K29" s="20"/>
    </row>
    <row r="30" spans="1:11" x14ac:dyDescent="0.25">
      <c r="A30" s="9" t="s">
        <v>32</v>
      </c>
      <c r="B30" s="6">
        <f t="shared" si="0"/>
        <v>29</v>
      </c>
      <c r="C30" s="6">
        <v>9</v>
      </c>
      <c r="D30" s="6">
        <v>2020</v>
      </c>
      <c r="F30" s="32"/>
      <c r="G30" s="32"/>
      <c r="H30" s="32"/>
      <c r="I30" s="32"/>
      <c r="K30" s="20"/>
    </row>
    <row r="31" spans="1:11" x14ac:dyDescent="0.25">
      <c r="A31" s="9" t="s">
        <v>32</v>
      </c>
      <c r="B31" s="6">
        <f t="shared" si="0"/>
        <v>30</v>
      </c>
      <c r="C31" s="6">
        <v>9</v>
      </c>
      <c r="D31" s="6">
        <v>2020</v>
      </c>
      <c r="F31" s="32"/>
      <c r="G31" s="32"/>
      <c r="H31" s="32"/>
      <c r="I31" s="32"/>
      <c r="K31" s="20"/>
    </row>
    <row r="32" spans="1:11" x14ac:dyDescent="0.25">
      <c r="F32" s="32"/>
      <c r="G32" s="32"/>
      <c r="H32" s="32"/>
      <c r="I32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2020-09-10T07:08:59Z</dcterms:modified>
</cp:coreProperties>
</file>