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HE Portal utilities management\2022\Aug 2022\"/>
    </mc:Choice>
  </mc:AlternateContent>
  <bookViews>
    <workbookView xWindow="180" yWindow="-90" windowWidth="14330" windowHeight="11460" tabRatio="579" firstSheet="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V36" i="5" l="1"/>
  <c r="V35" i="5"/>
  <c r="B29" i="3" l="1"/>
  <c r="B32" i="3"/>
  <c r="B33" i="3" s="1"/>
  <c r="K29" i="1" l="1"/>
  <c r="D22" i="73" l="1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2" i="5" s="1"/>
  <c r="AX24" i="5" s="1"/>
  <c r="AX25" i="5" s="1"/>
  <c r="AX26" i="5" s="1"/>
  <c r="AX27" i="5" s="1"/>
  <c r="AX31" i="5" s="1"/>
  <c r="AX32" i="5" s="1"/>
  <c r="AX34" i="5" s="1"/>
  <c r="AX35" i="5" s="1"/>
  <c r="AX36" i="5" s="1"/>
  <c r="AV8" i="5"/>
  <c r="AV10" i="5" s="1"/>
  <c r="AV11" i="5" s="1"/>
  <c r="AV13" i="5" s="1"/>
  <c r="AV15" i="5" s="1"/>
  <c r="AV16" i="5" s="1"/>
  <c r="AV17" i="5" s="1"/>
  <c r="AV18" i="5" s="1"/>
  <c r="AV19" i="5" s="1"/>
  <c r="AV24" i="5" s="1"/>
  <c r="AV25" i="5" s="1"/>
  <c r="AV26" i="5" s="1"/>
  <c r="AV27" i="5" s="1"/>
  <c r="AV31" i="5" s="1"/>
  <c r="AV32" i="5" s="1"/>
  <c r="AV34" i="5" s="1"/>
  <c r="AV35" i="5" s="1"/>
  <c r="AV36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2" i="5" s="1"/>
  <c r="AT23" i="5" s="1"/>
  <c r="AT24" i="5" s="1"/>
  <c r="AT25" i="5" s="1"/>
  <c r="AT26" i="5" s="1"/>
  <c r="AT27" i="5" s="1"/>
  <c r="AT30" i="5" s="1"/>
  <c r="AT31" i="5" s="1"/>
  <c r="AT32" i="5" s="1"/>
  <c r="AT34" i="5" s="1"/>
  <c r="AT35" i="5" s="1"/>
  <c r="AT36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22" i="2" s="1"/>
  <c r="P23" i="2" s="1"/>
  <c r="P29" i="2" s="1"/>
  <c r="P30" i="2" s="1"/>
  <c r="P33" i="2" s="1"/>
  <c r="P34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B5" i="3"/>
  <c r="B7" i="3" s="1"/>
  <c r="B8" i="3" s="1"/>
  <c r="B10" i="3" s="1"/>
  <c r="B14" i="3" s="1"/>
  <c r="B15" i="3" s="1"/>
  <c r="B16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7" i="5" s="1"/>
  <c r="G28" i="5" s="1"/>
  <c r="G30" i="5" s="1"/>
  <c r="G31" i="5" s="1"/>
  <c r="G32" i="5" s="1"/>
  <c r="G34" i="5" s="1"/>
  <c r="G35" i="5" s="1"/>
  <c r="G36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7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3" i="1" s="1"/>
  <c r="H24" i="1" s="1"/>
  <c r="H28" i="1" s="1"/>
  <c r="H30" i="1" s="1"/>
  <c r="H31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3" i="1" s="1"/>
  <c r="F24" i="1" s="1"/>
  <c r="F28" i="1" s="1"/>
  <c r="F30" i="1" s="1"/>
  <c r="F31" i="1" s="1"/>
  <c r="F32" i="1" s="1"/>
  <c r="F35" i="1" s="1"/>
  <c r="C7" i="1"/>
  <c r="C9" i="1" s="1"/>
  <c r="C10" i="1" s="1"/>
  <c r="C12" i="1" s="1"/>
  <c r="C16" i="1" s="1"/>
  <c r="C17" i="1" s="1"/>
  <c r="C18" i="1" s="1"/>
  <c r="C23" i="1" s="1"/>
  <c r="C24" i="1" s="1"/>
  <c r="C28" i="1" s="1"/>
  <c r="C31" i="1" s="1"/>
  <c r="C3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5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2" i="1" s="1"/>
  <c r="Z23" i="1" s="1"/>
  <c r="Z24" i="1" s="1"/>
  <c r="Z25" i="1" s="1"/>
  <c r="Z26" i="1" s="1"/>
  <c r="Z27" i="1" s="1"/>
  <c r="Z28" i="1" s="1"/>
  <c r="Z30" i="1" s="1"/>
  <c r="Z31" i="1" s="1"/>
  <c r="Z32" i="1" s="1"/>
  <c r="Z33" i="1" s="1"/>
  <c r="Z34" i="1" s="1"/>
  <c r="Z35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3" i="1" s="1"/>
  <c r="B24" i="1" s="1"/>
  <c r="B28" i="1" s="1"/>
  <c r="B31" i="1" s="1"/>
  <c r="B35" i="1" s="1"/>
  <c r="L6" i="2"/>
  <c r="L8" i="2" s="1"/>
  <c r="L9" i="2" s="1"/>
  <c r="L11" i="2" s="1"/>
  <c r="L15" i="2" s="1"/>
  <c r="L16" i="2" s="1"/>
  <c r="L17" i="2" s="1"/>
  <c r="L22" i="2" s="1"/>
  <c r="L23" i="2" s="1"/>
  <c r="L29" i="2" s="1"/>
  <c r="L30" i="2" s="1"/>
  <c r="L33" i="2" s="1"/>
  <c r="L34" i="2" s="1"/>
  <c r="F6" i="2"/>
  <c r="F8" i="2" s="1"/>
  <c r="F9" i="2" s="1"/>
  <c r="F11" i="2" s="1"/>
  <c r="F15" i="2" s="1"/>
  <c r="F16" i="2" s="1"/>
  <c r="F17" i="2" s="1"/>
  <c r="F23" i="2" s="1"/>
  <c r="F29" i="2" s="1"/>
  <c r="F30" i="2" s="1"/>
  <c r="F33" i="2" s="1"/>
  <c r="F34" i="2" s="1"/>
  <c r="H6" i="2"/>
  <c r="H8" i="2" s="1"/>
  <c r="H9" i="2" s="1"/>
  <c r="H11" i="2" s="1"/>
  <c r="H15" i="2" s="1"/>
  <c r="H16" i="2" s="1"/>
  <c r="H17" i="2" s="1"/>
  <c r="J6" i="2"/>
  <c r="J8" i="2" s="1"/>
  <c r="J9" i="2" s="1"/>
  <c r="J11" i="2" s="1"/>
  <c r="J15" i="2" s="1"/>
  <c r="J16" i="2" s="1"/>
  <c r="J17" i="2" s="1"/>
  <c r="J22" i="2" s="1"/>
  <c r="J23" i="2" s="1"/>
  <c r="J29" i="2" s="1"/>
  <c r="J30" i="2" s="1"/>
  <c r="J33" i="2" s="1"/>
  <c r="J34" i="2" s="1"/>
  <c r="D6" i="2"/>
  <c r="D8" i="2" s="1"/>
  <c r="D9" i="2" s="1"/>
  <c r="D11" i="2" s="1"/>
  <c r="D15" i="2" s="1"/>
  <c r="D16" i="2" s="1"/>
  <c r="D17" i="2" s="1"/>
  <c r="D23" i="2" s="1"/>
  <c r="D29" i="2" s="1"/>
  <c r="D30" i="2" s="1"/>
  <c r="D33" i="2" s="1"/>
  <c r="D34" i="2" s="1"/>
  <c r="B21" i="3" l="1"/>
  <c r="B22" i="3" s="1"/>
  <c r="B28" i="3" s="1"/>
  <c r="B17" i="3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J21" i="3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17" i="3"/>
  <c r="H22" i="2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9" i="2" s="1"/>
  <c r="H30" i="2" s="1"/>
  <c r="H33" i="2" s="1"/>
  <c r="H34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N25" i="2" s="1"/>
  <c r="Y30" i="1"/>
  <c r="AB30" i="1" s="1"/>
  <c r="Q13" i="2"/>
  <c r="R25" i="2" l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Z20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C36" i="5" l="1"/>
  <c r="AD36" i="5" s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AY35" i="5"/>
  <c r="BB35" i="5" s="1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D26" i="3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 l="1"/>
  <c r="E27" i="3" s="1"/>
  <c r="AA26" i="3"/>
  <c r="AC26" i="3" s="1"/>
  <c r="AH26" i="3" s="1"/>
  <c r="F26" i="3"/>
  <c r="AB26" i="3" s="1"/>
  <c r="D28" i="3"/>
  <c r="E28" i="3" s="1"/>
  <c r="AA27" i="3" l="1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<sst xmlns="http://schemas.openxmlformats.org/spreadsheetml/2006/main" count="666" uniqueCount="418">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</sst>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??_-;_-@_-"/>
    <numFmt numFmtId="168" formatCode="[$-409]d\-mmm\-yy;@"/>
    <numFmt numFmtId="169" formatCode="0.00_);\(0.00\)"/>
    <numFmt numFmtId="170" formatCode="_(* #,##0_);_(* \(#,##0\);_(* &quot;-&quot;??_);_(@_)"/>
    <numFmt numFmtId="171" formatCode="[$-409]d/mmm;@"/>
    <numFmt numFmtId="172" formatCode="0.0"/>
    <numFmt numFmtId="173" formatCode="0.00_ ;[Red]\-0.00\ "/>
    <numFmt numFmtId="174" formatCode="0_ ;[Red]\-0\ "/>
    <numFmt numFmtId="175" formatCode="[$-409]d\-mmm\-yyyy;@"/>
    <numFmt numFmtId="176" formatCode="0.000"/>
    <numFmt numFmtId="177" formatCode="#,##0.0;[Red]#,##0.0"/>
    <numFmt numFmtId="178" formatCode="_(* #,##0.0000_);_(* \(#,##0.0000\);_(* &quot;-&quot;??_);_(@_)"/>
    <numFmt numFmtId="179" formatCode="0.0000"/>
    <numFmt numFmtId="180" formatCode="0.0000_);\(0.0000\)"/>
    <numFmt numFmtId="181" formatCode="_(* #,##0.000_);_(* \(#,##0.000\);_(* &quot;-&quot;??_);_(@_)"/>
    <numFmt numFmtId="182" formatCode="[$-F800]dddd\,\ mmmm\ dd\,\ yyyy"/>
    <numFmt numFmtId="183" formatCode="[$-F400]h:mm:ss\ AM/PM"/>
    <numFmt numFmtId="184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6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166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166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70" fontId="0" fillId="0" borderId="1" xfId="0" applyNumberFormat="1" applyBorder="1"/>
    <xf numFmtId="170" fontId="0" fillId="0" borderId="0" xfId="0" applyNumberFormat="1"/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166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70" fontId="0" fillId="5" borderId="12" xfId="0" applyNumberFormat="1" applyFill="1" applyBorder="1" applyAlignment="1">
      <alignment horizontal="right"/>
    </xf>
    <xf numFmtId="170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70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70" fontId="16" fillId="11" borderId="5" xfId="1" applyNumberFormat="1" applyFont="1" applyFill="1" applyBorder="1" applyAlignment="1">
      <alignment horizontal="right"/>
    </xf>
    <xf numFmtId="168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70" fontId="16" fillId="5" borderId="12" xfId="1" applyNumberFormat="1" applyFont="1" applyFill="1" applyBorder="1" applyAlignment="1">
      <alignment horizontal="right"/>
    </xf>
    <xf numFmtId="166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70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166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166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166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72" fontId="0" fillId="0" borderId="1" xfId="0" applyNumberFormat="1" applyBorder="1"/>
    <xf numFmtId="173" fontId="0" fillId="0" borderId="1" xfId="0" applyNumberFormat="1" applyBorder="1"/>
    <xf numFmtId="0" fontId="6" fillId="0" borderId="23" xfId="0" applyFont="1" applyBorder="1" applyAlignment="1">
      <alignment horizontal="center"/>
    </xf>
    <xf numFmtId="173" fontId="0" fillId="0" borderId="24" xfId="0" applyNumberFormat="1" applyBorder="1"/>
    <xf numFmtId="173" fontId="0" fillId="0" borderId="23" xfId="0" applyNumberFormat="1" applyBorder="1"/>
    <xf numFmtId="0" fontId="6" fillId="0" borderId="25" xfId="0" applyFont="1" applyBorder="1" applyAlignment="1">
      <alignment horizontal="center"/>
    </xf>
    <xf numFmtId="172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72" fontId="10" fillId="0" borderId="1" xfId="0" applyNumberFormat="1" applyFont="1" applyBorder="1" applyAlignment="1">
      <alignment wrapText="1"/>
    </xf>
    <xf numFmtId="173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3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3" fontId="0" fillId="0" borderId="14" xfId="0" applyNumberFormat="1" applyBorder="1"/>
    <xf numFmtId="173" fontId="0" fillId="0" borderId="0" xfId="0" applyNumberFormat="1"/>
    <xf numFmtId="173" fontId="0" fillId="0" borderId="22" xfId="0" applyNumberFormat="1" applyBorder="1"/>
    <xf numFmtId="173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3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3" fontId="0" fillId="0" borderId="0" xfId="0" applyNumberFormat="1" applyBorder="1"/>
    <xf numFmtId="0" fontId="6" fillId="0" borderId="0" xfId="0" applyFont="1" applyBorder="1" applyAlignment="1">
      <alignment horizontal="center"/>
    </xf>
    <xf numFmtId="174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3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3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166" fontId="16" fillId="0" borderId="1" xfId="1" applyFont="1" applyBorder="1"/>
    <xf numFmtId="166" fontId="0" fillId="3" borderId="0" xfId="0" applyNumberFormat="1" applyFill="1" applyBorder="1" applyAlignment="1">
      <alignment horizontal="center" vertical="center"/>
    </xf>
    <xf numFmtId="165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5" fontId="22" fillId="0" borderId="1" xfId="0" applyNumberFormat="1" applyFont="1" applyBorder="1"/>
    <xf numFmtId="165" fontId="26" fillId="0" borderId="1" xfId="2" applyFont="1" applyBorder="1"/>
    <xf numFmtId="0" fontId="0" fillId="21" borderId="1" xfId="0" applyFill="1" applyBorder="1"/>
    <xf numFmtId="165" fontId="16" fillId="21" borderId="1" xfId="2" applyFont="1" applyFill="1" applyBorder="1"/>
    <xf numFmtId="166" fontId="0" fillId="21" borderId="1" xfId="0" applyNumberFormat="1" applyFill="1" applyBorder="1"/>
    <xf numFmtId="0" fontId="0" fillId="3" borderId="1" xfId="0" applyFill="1" applyBorder="1"/>
    <xf numFmtId="165" fontId="16" fillId="3" borderId="1" xfId="2" applyFont="1" applyFill="1" applyBorder="1"/>
    <xf numFmtId="165" fontId="0" fillId="3" borderId="1" xfId="0" applyNumberFormat="1" applyFill="1" applyBorder="1"/>
    <xf numFmtId="166" fontId="16" fillId="3" borderId="1" xfId="1" applyFont="1" applyFill="1" applyBorder="1"/>
    <xf numFmtId="166" fontId="16" fillId="2" borderId="1" xfId="1" applyFont="1" applyFill="1" applyBorder="1"/>
    <xf numFmtId="165" fontId="16" fillId="2" borderId="1" xfId="2" applyFont="1" applyFill="1" applyBorder="1"/>
    <xf numFmtId="0" fontId="0" fillId="22" borderId="1" xfId="0" applyFill="1" applyBorder="1"/>
    <xf numFmtId="166" fontId="16" fillId="22" borderId="1" xfId="1" applyFont="1" applyFill="1" applyBorder="1"/>
    <xf numFmtId="165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70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6" borderId="0" xfId="1" applyFont="1" applyFill="1" applyBorder="1" applyAlignment="1">
      <alignment horizontal="center" wrapText="1"/>
    </xf>
    <xf numFmtId="166" fontId="16" fillId="0" borderId="22" xfId="1" applyFont="1" applyBorder="1" applyAlignment="1">
      <alignment horizontal="right"/>
    </xf>
    <xf numFmtId="166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165" fontId="0" fillId="0" borderId="1" xfId="0" applyNumberFormat="1" applyBorder="1"/>
    <xf numFmtId="170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166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70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166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3" borderId="1" xfId="0" applyNumberFormat="1" applyFill="1" applyBorder="1" applyAlignment="1">
      <alignment horizontal="center" vertical="center"/>
    </xf>
    <xf numFmtId="170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164" fontId="0" fillId="0" borderId="1" xfId="0" applyNumberFormat="1" applyBorder="1"/>
    <xf numFmtId="177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165" fontId="0" fillId="0" borderId="0" xfId="0" applyNumberFormat="1"/>
    <xf numFmtId="14" fontId="0" fillId="24" borderId="1" xfId="0" applyNumberFormat="1" applyFill="1" applyBorder="1" applyAlignment="1">
      <alignment horizontal="center"/>
    </xf>
    <xf numFmtId="165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70" fontId="16" fillId="0" borderId="1" xfId="1" applyNumberFormat="1" applyFont="1" applyBorder="1"/>
    <xf numFmtId="0" fontId="0" fillId="2" borderId="12" xfId="0" applyFill="1" applyBorder="1" applyAlignment="1">
      <alignment wrapText="1"/>
    </xf>
    <xf numFmtId="170" fontId="16" fillId="25" borderId="1" xfId="1" applyNumberFormat="1" applyFont="1" applyFill="1" applyBorder="1"/>
    <xf numFmtId="164" fontId="21" fillId="25" borderId="1" xfId="0" applyNumberFormat="1" applyFont="1" applyFill="1" applyBorder="1"/>
    <xf numFmtId="176" fontId="0" fillId="0" borderId="0" xfId="0" applyNumberFormat="1"/>
    <xf numFmtId="1" fontId="0" fillId="25" borderId="1" xfId="0" applyNumberFormat="1" applyFill="1" applyBorder="1"/>
    <xf numFmtId="166" fontId="16" fillId="0" borderId="1" xfId="1" applyFont="1" applyBorder="1" applyAlignment="1">
      <alignment horizontal="center" vertical="center"/>
    </xf>
    <xf numFmtId="166" fontId="16" fillId="0" borderId="0" xfId="1" applyFont="1"/>
    <xf numFmtId="165" fontId="16" fillId="0" borderId="0" xfId="2" applyFont="1"/>
    <xf numFmtId="170" fontId="16" fillId="0" borderId="0" xfId="1" applyNumberFormat="1" applyFont="1"/>
    <xf numFmtId="165" fontId="16" fillId="3" borderId="1" xfId="2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22" fillId="14" borderId="1" xfId="1" applyFont="1" applyFill="1" applyBorder="1" applyAlignment="1">
      <alignment horizontal="center" vertical="center"/>
    </xf>
    <xf numFmtId="166" fontId="16" fillId="3" borderId="1" xfId="1" applyFont="1" applyFill="1" applyBorder="1" applyAlignment="1">
      <alignment horizontal="center" vertical="center"/>
    </xf>
    <xf numFmtId="166" fontId="16" fillId="3" borderId="0" xfId="1" applyFont="1" applyFill="1" applyBorder="1" applyAlignment="1">
      <alignment horizontal="center" vertical="center"/>
    </xf>
    <xf numFmtId="166" fontId="16" fillId="16" borderId="0" xfId="1" applyFont="1" applyFill="1" applyBorder="1" applyAlignment="1">
      <alignment horizontal="center" vertical="center"/>
    </xf>
    <xf numFmtId="178" fontId="16" fillId="0" borderId="0" xfId="1" applyNumberFormat="1" applyFont="1"/>
    <xf numFmtId="178" fontId="16" fillId="0" borderId="2" xfId="1" applyNumberFormat="1" applyFont="1" applyBorder="1" applyAlignment="1">
      <alignment horizontal="center" vertical="center"/>
    </xf>
    <xf numFmtId="178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70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9" fontId="0" fillId="3" borderId="1" xfId="0" applyNumberFormat="1" applyFill="1" applyBorder="1"/>
    <xf numFmtId="179" fontId="0" fillId="0" borderId="0" xfId="0" applyNumberFormat="1"/>
    <xf numFmtId="179" fontId="16" fillId="0" borderId="0" xfId="1" applyNumberFormat="1" applyFont="1"/>
    <xf numFmtId="179" fontId="0" fillId="0" borderId="0" xfId="0" applyNumberFormat="1" applyAlignment="1">
      <alignment horizontal="center"/>
    </xf>
    <xf numFmtId="179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/>
    </xf>
    <xf numFmtId="180" fontId="22" fillId="14" borderId="1" xfId="0" applyNumberFormat="1" applyFont="1" applyFill="1" applyBorder="1"/>
    <xf numFmtId="180" fontId="0" fillId="0" borderId="1" xfId="0" applyNumberFormat="1" applyBorder="1"/>
    <xf numFmtId="180" fontId="0" fillId="0" borderId="0" xfId="0" applyNumberFormat="1"/>
    <xf numFmtId="170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166" fontId="22" fillId="0" borderId="0" xfId="0" applyNumberFormat="1" applyFont="1" applyAlignment="1">
      <alignment horizontal="right"/>
    </xf>
    <xf numFmtId="166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166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9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70" fontId="0" fillId="11" borderId="22" xfId="0" applyNumberFormat="1" applyFill="1" applyBorder="1" applyAlignment="1">
      <alignment horizontal="right"/>
    </xf>
    <xf numFmtId="170" fontId="16" fillId="11" borderId="35" xfId="1" applyNumberFormat="1" applyFont="1" applyFill="1" applyBorder="1" applyAlignment="1">
      <alignment horizontal="right"/>
    </xf>
    <xf numFmtId="170" fontId="0" fillId="5" borderId="22" xfId="0" applyNumberFormat="1" applyFill="1" applyBorder="1" applyAlignment="1">
      <alignment horizontal="right"/>
    </xf>
    <xf numFmtId="170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81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70" fontId="16" fillId="0" borderId="0" xfId="1" applyNumberFormat="1" applyFont="1" applyAlignment="1">
      <alignment horizontal="center"/>
    </xf>
    <xf numFmtId="17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0" xfId="0" applyNumberFormat="1"/>
    <xf numFmtId="165" fontId="16" fillId="0" borderId="0" xfId="2" applyFont="1" applyBorder="1"/>
    <xf numFmtId="165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165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7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82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71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8" fontId="0" fillId="14" borderId="0" xfId="0" applyNumberFormat="1" applyFill="1"/>
    <xf numFmtId="168" fontId="0" fillId="14" borderId="1" xfId="0" applyNumberFormat="1" applyFill="1" applyBorder="1"/>
    <xf numFmtId="168" fontId="0" fillId="0" borderId="1" xfId="0" applyNumberFormat="1" applyBorder="1"/>
    <xf numFmtId="168" fontId="0" fillId="0" borderId="0" xfId="0" applyNumberFormat="1"/>
    <xf numFmtId="0" fontId="0" fillId="0" borderId="7" xfId="0" applyBorder="1" applyAlignment="1">
      <alignment horizontal="center" vertical="center"/>
    </xf>
    <xf numFmtId="183" fontId="0" fillId="0" borderId="15" xfId="0" applyNumberFormat="1" applyBorder="1"/>
    <xf numFmtId="183" fontId="0" fillId="0" borderId="15" xfId="0" applyNumberFormat="1" applyFill="1" applyBorder="1"/>
    <xf numFmtId="183" fontId="0" fillId="0" borderId="0" xfId="0" applyNumberFormat="1"/>
    <xf numFmtId="0" fontId="0" fillId="0" borderId="0" xfId="0" applyAlignment="1">
      <alignment horizontal="center"/>
    </xf>
    <xf numFmtId="179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9" fontId="24" fillId="0" borderId="0" xfId="1" applyNumberFormat="1" applyFont="1"/>
    <xf numFmtId="166" fontId="24" fillId="0" borderId="0" xfId="1" applyFont="1"/>
    <xf numFmtId="9" fontId="16" fillId="5" borderId="0" xfId="4" applyFont="1" applyFill="1"/>
    <xf numFmtId="9" fontId="16" fillId="0" borderId="0" xfId="4" applyFont="1"/>
    <xf numFmtId="172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4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9" fontId="16" fillId="25" borderId="1" xfId="4" applyNumberFormat="1" applyFont="1" applyFill="1" applyBorder="1"/>
    <xf numFmtId="9" fontId="0" fillId="0" borderId="0" xfId="4" applyNumberFormat="1" applyFont="1"/>
    <xf numFmtId="167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164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72" fontId="0" fillId="0" borderId="0" xfId="0" applyNumberFormat="1"/>
    <xf numFmtId="175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164" fontId="0" fillId="8" borderId="32" xfId="0" applyNumberFormat="1" applyFill="1" applyBorder="1"/>
    <xf numFmtId="164" fontId="0" fillId="0" borderId="32" xfId="0" applyNumberFormat="1" applyBorder="1"/>
    <xf numFmtId="170" fontId="16" fillId="2" borderId="1" xfId="1" applyNumberFormat="1" applyFont="1" applyFill="1" applyBorder="1"/>
    <xf numFmtId="167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166" fontId="16" fillId="0" borderId="0" xfId="1" applyFont="1" applyBorder="1"/>
    <xf numFmtId="170" fontId="0" fillId="0" borderId="0" xfId="0" applyNumberFormat="1" applyBorder="1"/>
    <xf numFmtId="166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166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166" fontId="22" fillId="0" borderId="0" xfId="0" applyNumberFormat="1" applyFont="1" applyBorder="1"/>
    <xf numFmtId="166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165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166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166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165" fontId="0" fillId="3" borderId="1" xfId="2" applyFont="1" applyFill="1" applyBorder="1"/>
    <xf numFmtId="183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81" fontId="0" fillId="24" borderId="1" xfId="1" applyNumberFormat="1" applyFont="1" applyFill="1" applyBorder="1"/>
    <xf numFmtId="181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71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6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6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3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166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3" fontId="0" fillId="0" borderId="11" xfId="0" applyNumberFormat="1" applyBorder="1"/>
    <xf numFmtId="183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5" fontId="0" fillId="0" borderId="9" xfId="0" applyNumberForma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5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3" fontId="0" fillId="0" borderId="34" xfId="0" applyNumberFormat="1" applyBorder="1"/>
    <xf numFmtId="0" fontId="0" fillId="0" borderId="7" xfId="0" applyBorder="1" applyAlignment="1"/>
    <xf numFmtId="175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166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8" fontId="18" fillId="28" borderId="23" xfId="0" applyNumberFormat="1" applyFont="1" applyFill="1" applyBorder="1" applyAlignment="1">
      <alignment horizontal="center" vertical="center"/>
    </xf>
    <xf numFmtId="168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3" fontId="27" fillId="0" borderId="4" xfId="0" applyNumberFormat="1" applyFont="1" applyBorder="1" applyAlignment="1">
      <alignment horizontal="center" vertical="center"/>
    </xf>
    <xf numFmtId="183" fontId="27" fillId="0" borderId="3" xfId="0" applyNumberFormat="1" applyFont="1" applyBorder="1" applyAlignment="1">
      <alignment horizontal="center" vertical="center"/>
    </xf>
    <xf numFmtId="183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 wrapText="1"/>
    </xf>
    <xf numFmtId="172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2655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86544"/>
        <c:axId val="-1531677296"/>
      </c:lineChart>
      <c:catAx>
        <c:axId val="-153168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77296"/>
        <c:crosses val="autoZero"/>
        <c:auto val="1"/>
        <c:lblAlgn val="ctr"/>
        <c:lblOffset val="100"/>
        <c:noMultiLvlLbl val="0"/>
      </c:catAx>
      <c:valAx>
        <c:axId val="-1531677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86000"/>
        <c:axId val="-1531672944"/>
      </c:lineChart>
      <c:catAx>
        <c:axId val="-153168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72944"/>
        <c:crosses val="autoZero"/>
        <c:auto val="1"/>
        <c:lblAlgn val="ctr"/>
        <c:lblOffset val="100"/>
        <c:noMultiLvlLbl val="0"/>
      </c:catAx>
      <c:valAx>
        <c:axId val="-1531672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77840"/>
        <c:axId val="-1531685456"/>
      </c:lineChart>
      <c:catAx>
        <c:axId val="-153167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5456"/>
        <c:crosses val="autoZero"/>
        <c:auto val="1"/>
        <c:lblAlgn val="ctr"/>
        <c:lblOffset val="100"/>
        <c:noMultiLvlLbl val="0"/>
      </c:catAx>
      <c:valAx>
        <c:axId val="-15316854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7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84368"/>
        <c:axId val="-1531683824"/>
      </c:lineChart>
      <c:catAx>
        <c:axId val="-153168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3824"/>
        <c:crosses val="autoZero"/>
        <c:auto val="1"/>
        <c:lblAlgn val="ctr"/>
        <c:lblOffset val="100"/>
        <c:noMultiLvlLbl val="0"/>
      </c:catAx>
      <c:valAx>
        <c:axId val="-15316838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82192"/>
        <c:axId val="-1531683280"/>
      </c:lineChart>
      <c:catAx>
        <c:axId val="-153168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3280"/>
        <c:crosses val="autoZero"/>
        <c:auto val="1"/>
        <c:lblAlgn val="ctr"/>
        <c:lblOffset val="100"/>
        <c:noMultiLvlLbl val="0"/>
      </c:catAx>
      <c:valAx>
        <c:axId val="-15316832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81648"/>
        <c:axId val="-1531679472"/>
      </c:lineChart>
      <c:catAx>
        <c:axId val="-153168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79472"/>
        <c:crosses val="autoZero"/>
        <c:auto val="1"/>
        <c:lblAlgn val="ctr"/>
        <c:lblOffset val="100"/>
        <c:noMultiLvlLbl val="0"/>
      </c:catAx>
      <c:valAx>
        <c:axId val="-153167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8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31678928"/>
        <c:axId val="-1722914720"/>
      </c:lineChart>
      <c:catAx>
        <c:axId val="-153167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722914720"/>
        <c:crosses val="autoZero"/>
        <c:auto val="1"/>
        <c:lblAlgn val="ctr"/>
        <c:lblOffset val="100"/>
        <c:noMultiLvlLbl val="0"/>
      </c:catAx>
      <c:valAx>
        <c:axId val="-172291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53167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22909280"/>
        <c:axId val="-1722907648"/>
      </c:lineChart>
      <c:catAx>
        <c:axId val="-172290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722907648"/>
        <c:crosses val="autoZero"/>
        <c:auto val="1"/>
        <c:lblAlgn val="ctr"/>
        <c:lblOffset val="100"/>
        <c:noMultiLvlLbl val="0"/>
      </c:catAx>
      <c:valAx>
        <c:axId val="-17229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72290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4032"/>
        <c:axId val="-1375470768"/>
      </c:lineChart>
      <c:catAx>
        <c:axId val="-137547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0768"/>
        <c:crosses val="autoZero"/>
        <c:auto val="1"/>
        <c:lblAlgn val="ctr"/>
        <c:lblOffset val="100"/>
        <c:noMultiLvlLbl val="0"/>
      </c:catAx>
      <c:valAx>
        <c:axId val="-13754707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64240"/>
        <c:axId val="-1375465872"/>
      </c:lineChart>
      <c:catAx>
        <c:axId val="-137546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5872"/>
        <c:crosses val="autoZero"/>
        <c:auto val="1"/>
        <c:lblAlgn val="ctr"/>
        <c:lblOffset val="100"/>
        <c:noMultiLvlLbl val="0"/>
      </c:catAx>
      <c:valAx>
        <c:axId val="-137546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1312"/>
        <c:axId val="-1375477296"/>
      </c:lineChart>
      <c:catAx>
        <c:axId val="-137547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7296"/>
        <c:crosses val="autoZero"/>
        <c:auto val="1"/>
        <c:lblAlgn val="ctr"/>
        <c:lblOffset val="100"/>
        <c:noMultiLvlLbl val="0"/>
      </c:catAx>
      <c:valAx>
        <c:axId val="-13754772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8928"/>
        <c:axId val="-1375479472"/>
      </c:lineChart>
      <c:catAx>
        <c:axId val="-137547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9472"/>
        <c:crosses val="autoZero"/>
        <c:auto val="1"/>
        <c:lblAlgn val="ctr"/>
        <c:lblOffset val="100"/>
        <c:noMultiLvlLbl val="0"/>
      </c:catAx>
      <c:valAx>
        <c:axId val="-137547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243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182</c:v>
                </c:pt>
                <c:pt idx="22">
                  <c:v>101</c:v>
                </c:pt>
                <c:pt idx="23">
                  <c:v>99</c:v>
                </c:pt>
                <c:pt idx="24">
                  <c:v>0</c:v>
                </c:pt>
                <c:pt idx="25">
                  <c:v>166</c:v>
                </c:pt>
                <c:pt idx="26">
                  <c:v>0</c:v>
                </c:pt>
                <c:pt idx="27">
                  <c:v>0</c:v>
                </c:pt>
                <c:pt idx="28">
                  <c:v>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67504"/>
        <c:axId val="-1375478384"/>
      </c:lineChart>
      <c:catAx>
        <c:axId val="-137546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8384"/>
        <c:crosses val="autoZero"/>
        <c:auto val="1"/>
        <c:lblAlgn val="ctr"/>
        <c:lblOffset val="100"/>
        <c:noMultiLvlLbl val="0"/>
      </c:catAx>
      <c:valAx>
        <c:axId val="-137547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65328"/>
        <c:axId val="-1375474576"/>
      </c:lineChart>
      <c:catAx>
        <c:axId val="-137546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4576"/>
        <c:crosses val="autoZero"/>
        <c:auto val="1"/>
        <c:lblAlgn val="ctr"/>
        <c:lblOffset val="100"/>
        <c:noMultiLvlLbl val="0"/>
      </c:catAx>
      <c:valAx>
        <c:axId val="-13754745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3417</c:v>
                </c:pt>
                <c:pt idx="22">
                  <c:v>3328</c:v>
                </c:pt>
                <c:pt idx="23">
                  <c:v>3430</c:v>
                </c:pt>
                <c:pt idx="24">
                  <c:v>3334</c:v>
                </c:pt>
                <c:pt idx="25">
                  <c:v>2683</c:v>
                </c:pt>
                <c:pt idx="26">
                  <c:v>0</c:v>
                </c:pt>
                <c:pt idx="27">
                  <c:v>0</c:v>
                </c:pt>
                <c:pt idx="28">
                  <c:v>2655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5664"/>
        <c:axId val="-1375477840"/>
      </c:lineChart>
      <c:catAx>
        <c:axId val="-137547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7840"/>
        <c:crosses val="autoZero"/>
        <c:auto val="1"/>
        <c:lblAlgn val="ctr"/>
        <c:lblOffset val="100"/>
        <c:noMultiLvlLbl val="0"/>
      </c:catAx>
      <c:valAx>
        <c:axId val="-1375477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6752"/>
        <c:axId val="-1375464784"/>
      </c:lineChart>
      <c:catAx>
        <c:axId val="-137547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4784"/>
        <c:crosses val="autoZero"/>
        <c:auto val="1"/>
        <c:lblAlgn val="ctr"/>
        <c:lblOffset val="100"/>
        <c:noMultiLvlLbl val="0"/>
      </c:catAx>
      <c:valAx>
        <c:axId val="-137546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10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6208"/>
        <c:axId val="-1375473488"/>
      </c:lineChart>
      <c:catAx>
        <c:axId val="-137547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3488"/>
        <c:crosses val="autoZero"/>
        <c:auto val="1"/>
        <c:lblAlgn val="ctr"/>
        <c:lblOffset val="100"/>
        <c:noMultiLvlLbl val="0"/>
      </c:catAx>
      <c:valAx>
        <c:axId val="-13754734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732.74193548384937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-1226.7096774193487</c:v>
                </c:pt>
                <c:pt idx="16">
                  <c:v>-1498.3870967741823</c:v>
                </c:pt>
                <c:pt idx="17">
                  <c:v>-1261.7096774193778</c:v>
                </c:pt>
                <c:pt idx="18">
                  <c:v>0</c:v>
                </c:pt>
                <c:pt idx="19">
                  <c:v>0</c:v>
                </c:pt>
                <c:pt idx="20">
                  <c:v>-1770.0645161290158</c:v>
                </c:pt>
                <c:pt idx="21">
                  <c:v>-990.03225806451519</c:v>
                </c:pt>
                <c:pt idx="22">
                  <c:v>-1463.3870967742114</c:v>
                </c:pt>
                <c:pt idx="23">
                  <c:v>0</c:v>
                </c:pt>
                <c:pt idx="24">
                  <c:v>-990.03225806451519</c:v>
                </c:pt>
                <c:pt idx="25">
                  <c:v>-920.03225806451519</c:v>
                </c:pt>
                <c:pt idx="26">
                  <c:v>0</c:v>
                </c:pt>
                <c:pt idx="27">
                  <c:v>-1463.387096774175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5120"/>
        <c:axId val="-1375472944"/>
      </c:lineChart>
      <c:catAx>
        <c:axId val="-137547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2944"/>
        <c:crosses val="autoZero"/>
        <c:auto val="1"/>
        <c:lblAlgn val="ctr"/>
        <c:lblOffset val="100"/>
        <c:noMultiLvlLbl val="0"/>
      </c:catAx>
      <c:valAx>
        <c:axId val="-13754729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68048"/>
        <c:axId val="-1375469680"/>
      </c:lineChart>
      <c:catAx>
        <c:axId val="-137546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9680"/>
        <c:crosses val="autoZero"/>
        <c:auto val="1"/>
        <c:lblAlgn val="ctr"/>
        <c:lblOffset val="100"/>
        <c:noMultiLvlLbl val="0"/>
      </c:catAx>
      <c:valAx>
        <c:axId val="-1375469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72400"/>
        <c:axId val="-1375471856"/>
      </c:lineChart>
      <c:catAx>
        <c:axId val="-137547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1856"/>
        <c:crosses val="autoZero"/>
        <c:auto val="1"/>
        <c:lblAlgn val="ctr"/>
        <c:lblOffset val="100"/>
        <c:noMultiLvlLbl val="0"/>
      </c:catAx>
      <c:valAx>
        <c:axId val="-13754718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7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66960"/>
        <c:axId val="-1375466416"/>
      </c:lineChart>
      <c:catAx>
        <c:axId val="-137546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6416"/>
        <c:crosses val="autoZero"/>
        <c:auto val="1"/>
        <c:lblAlgn val="ctr"/>
        <c:lblOffset val="100"/>
        <c:noMultiLvlLbl val="0"/>
      </c:catAx>
      <c:valAx>
        <c:axId val="-13754664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5469136"/>
        <c:axId val="-1375468592"/>
      </c:lineChart>
      <c:catAx>
        <c:axId val="-137546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8592"/>
        <c:crosses val="autoZero"/>
        <c:auto val="1"/>
        <c:lblAlgn val="ctr"/>
        <c:lblOffset val="100"/>
        <c:noMultiLvlLbl val="0"/>
      </c:catAx>
      <c:valAx>
        <c:axId val="-137546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546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0</c:v>
                </c:pt>
                <c:pt idx="23">
                  <c:v>70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3954240"/>
        <c:axId val="-1373957504"/>
      </c:lineChart>
      <c:catAx>
        <c:axId val="-1373954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7504"/>
        <c:crosses val="autoZero"/>
        <c:auto val="1"/>
        <c:lblAlgn val="ctr"/>
        <c:lblOffset val="100"/>
        <c:noMultiLvlLbl val="0"/>
      </c:catAx>
      <c:valAx>
        <c:axId val="-137395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3964032"/>
        <c:axId val="-1373951520"/>
      </c:lineChart>
      <c:catAx>
        <c:axId val="-1373964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1520"/>
        <c:crosses val="autoZero"/>
        <c:auto val="1"/>
        <c:lblAlgn val="ctr"/>
        <c:lblOffset val="100"/>
        <c:noMultiLvlLbl val="0"/>
      </c:catAx>
      <c:valAx>
        <c:axId val="-13739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6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3952064"/>
        <c:axId val="-1373950976"/>
      </c:lineChart>
      <c:catAx>
        <c:axId val="-1373952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0976"/>
        <c:crosses val="autoZero"/>
        <c:auto val="1"/>
        <c:lblAlgn val="ctr"/>
        <c:lblOffset val="100"/>
        <c:noMultiLvlLbl val="0"/>
      </c:catAx>
      <c:valAx>
        <c:axId val="-137395097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3956960"/>
        <c:axId val="-1373955872"/>
      </c:lineChart>
      <c:catAx>
        <c:axId val="-137395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5872"/>
        <c:crosses val="autoZero"/>
        <c:auto val="1"/>
        <c:lblAlgn val="ctr"/>
        <c:lblOffset val="100"/>
        <c:noMultiLvlLbl val="0"/>
      </c:catAx>
      <c:valAx>
        <c:axId val="-13739558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27.5</c:v>
                </c:pt>
                <c:pt idx="22">
                  <c:v>27.5</c:v>
                </c:pt>
                <c:pt idx="23">
                  <c:v>27.5</c:v>
                </c:pt>
                <c:pt idx="24">
                  <c:v>29</c:v>
                </c:pt>
                <c:pt idx="25">
                  <c:v>29</c:v>
                </c:pt>
                <c:pt idx="26">
                  <c:v>0</c:v>
                </c:pt>
                <c:pt idx="27">
                  <c:v>29.5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3961312"/>
        <c:axId val="-1373958048"/>
      </c:lineChart>
      <c:catAx>
        <c:axId val="-137396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8048"/>
        <c:crosses val="autoZero"/>
        <c:auto val="1"/>
        <c:lblAlgn val="ctr"/>
        <c:lblOffset val="100"/>
        <c:noMultiLvlLbl val="0"/>
      </c:catAx>
      <c:valAx>
        <c:axId val="-137395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6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73958592"/>
        <c:axId val="-1373956416"/>
      </c:lineChart>
      <c:catAx>
        <c:axId val="-1373958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6416"/>
        <c:crosses val="autoZero"/>
        <c:auto val="1"/>
        <c:lblAlgn val="ctr"/>
        <c:lblOffset val="100"/>
        <c:noMultiLvlLbl val="0"/>
      </c:catAx>
      <c:valAx>
        <c:axId val="-137395641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150"/>
          </a:p>
        </c:txPr>
        <c:crossAx val="-137395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150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150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>
            <v>0</v>
          </cell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>
            <v>0</v>
          </cell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>
            <v>0</v>
          </cell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>
            <v>0</v>
          </cell>
          <cell r="AU36">
            <v>0</v>
          </cell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>
            <v>0</v>
          </cell>
          <cell r="AB30">
            <v>7305405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216</v>
          </cell>
          <cell r="X32">
            <v>216</v>
          </cell>
          <cell r="Y32">
            <v>216</v>
          </cell>
          <cell r="AA32">
            <v>0</v>
          </cell>
          <cell r="AB32">
            <v>0</v>
          </cell>
          <cell r="AC32">
            <v>0</v>
          </cell>
        </row>
        <row r="33">
          <cell r="W33">
            <v>0</v>
          </cell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>
            <v>0</v>
          </cell>
          <cell r="AB34">
            <v>8108999.5499999998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4846.039800995025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8" workbookViewId="0">
      <selection activeCell="C3" sqref="C3:C32"/>
    </sheetView>
  </sheetViews>
  <sheetFormatPr defaultColWidth="11.54296875" defaultRowHeight="14.5"/>
  <cols>
    <col min="1" max="1" width="10.1796875" bestFit="1" customWidth="1"/>
    <col min="2" max="2" width="4.26953125" bestFit="1" customWidth="1"/>
    <col min="3" max="3" width="6.7265625" bestFit="1" customWidth="1"/>
    <col min="4" max="4" width="6" bestFit="1" customWidth="1"/>
    <col min="5" max="5" width="10.54296875" bestFit="1" customWidth="1"/>
    <col min="6" max="6" width="9.7265625" bestFit="1" customWidth="1"/>
    <col min="7" max="10" width="11.7265625" bestFit="1" customWidth="1"/>
    <col min="11" max="11" width="14.26953125" bestFit="1" customWidth="1"/>
    <col min="12" max="12" width="12.26953125" style="281" bestFit="1" customWidth="1"/>
    <col min="13" max="13" width="12.26953125" style="281" customWidth="1"/>
    <col min="14" max="14" width="12.26953125" style="470" customWidth="1"/>
    <col min="15" max="15" width="11.7265625" bestFit="1" customWidth="1"/>
  </cols>
  <sheetData>
    <row r="1" spans="1:15" ht="43.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0.11403686688972163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0.30725403451231925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0.59540025794197116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0.26868268137355533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0.69191576749424166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0.40351803923597873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-0.21435154066577916</v>
      </c>
      <c r="G12" s="203">
        <f>-tanks!AW16</f>
        <v>24</v>
      </c>
      <c r="H12" s="315">
        <f>tanks!AV16</f>
        <v>1.0249999999999999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1.0249999999999999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1.0249999999999999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1.0249999999999999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0.51519961465118191</v>
      </c>
      <c r="G16" s="203">
        <f>-tanks!AW20</f>
        <v>0</v>
      </c>
      <c r="H16" s="315">
        <f>tanks!AV20</f>
        <v>1.0249999999999999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3754</v>
      </c>
      <c r="F17" s="315">
        <f>SUM('EDl log'!T19)</f>
        <v>0.3389031071862102</v>
      </c>
      <c r="G17" s="203">
        <f>-tanks!AW21</f>
        <v>164</v>
      </c>
      <c r="H17" s="315">
        <f>tanks!AV21</f>
        <v>1.0249999999999999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4077</v>
      </c>
      <c r="F18" s="315">
        <f>SUM('EDl log'!T20)</f>
        <v>0.36174701271244553</v>
      </c>
      <c r="G18" s="203">
        <f>-tanks!AW22</f>
        <v>243</v>
      </c>
      <c r="H18" s="315">
        <f>tanks!AV22</f>
        <v>1.0249999999999999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4786</v>
      </c>
      <c r="F19" s="315">
        <f>SUM('EDl log'!T21)</f>
        <v>0.30693313344108586</v>
      </c>
      <c r="G19" s="203">
        <f>-tanks!AW23</f>
        <v>22</v>
      </c>
      <c r="H19" s="315">
        <f>tanks!AV23</f>
        <v>1.0249999999999999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1.0249999999999999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1.0249999999999999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3417</v>
      </c>
      <c r="F22" s="315">
        <f>SUM('EDl log'!T24)</f>
        <v>0.53399264772614807</v>
      </c>
      <c r="G22" s="203">
        <f>-tanks!AW26</f>
        <v>182</v>
      </c>
      <c r="H22" s="315">
        <f>tanks!AV26</f>
        <v>1.0249999999999999</v>
      </c>
      <c r="I22" s="10">
        <f>('B5'!AU25)*0.51</f>
        <v>0</v>
      </c>
      <c r="J22" s="296">
        <f>'B5'!AX25/0.51</f>
        <v>1.5686274509803921</v>
      </c>
      <c r="K22" s="203">
        <f>WATER!I26</f>
        <v>35</v>
      </c>
      <c r="L22" s="316">
        <f>SUM(WATER!J26)</f>
        <v>6.9124423963133639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3328</v>
      </c>
      <c r="F23" s="315">
        <f>SUM('EDl log'!T25)</f>
        <v>0.32740999336701493</v>
      </c>
      <c r="G23" s="203">
        <f>-tanks!AW27</f>
        <v>101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3430</v>
      </c>
      <c r="F24" s="315">
        <f>SUM('EDl log'!T26)</f>
        <v>0.46339827137862127</v>
      </c>
      <c r="G24" s="203">
        <f>-tanks!AW28</f>
        <v>99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3334</v>
      </c>
      <c r="F25" s="315">
        <f>SUM('EDl log'!T27)</f>
        <v>4.6431625246127151E-2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70</v>
      </c>
      <c r="L25" s="316">
        <f>SUM(WATER!J29)</f>
        <v>3.4562211981566819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2683</v>
      </c>
      <c r="F26" s="315">
        <f>SUM('EDl log'!T28)</f>
        <v>0.3806459030657568</v>
      </c>
      <c r="G26" s="203">
        <f>-tanks!AW30</f>
        <v>166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2655</v>
      </c>
      <c r="F29" s="315">
        <f>SUM('EDl log'!T31)</f>
        <v>0.62559626019910841</v>
      </c>
      <c r="G29" s="203">
        <f>-tanks!AW33</f>
        <v>31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144</v>
      </c>
      <c r="L29" s="316">
        <f>SUM(WATER!J33)</f>
        <v>1.6801075268817205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2922</v>
      </c>
      <c r="F30" s="315">
        <f>SUM('EDl log'!T32)</f>
        <v>0.3885306744961961</v>
      </c>
      <c r="G30" s="203">
        <f>-tanks!AW34</f>
        <v>260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4" workbookViewId="0">
      <selection activeCell="F36" sqref="F36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7265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942</v>
      </c>
      <c r="F17" s="203">
        <f>ELEC!K19</f>
        <v>522</v>
      </c>
      <c r="G17" s="203">
        <f>ELEC!I19</f>
        <v>424</v>
      </c>
      <c r="H17" s="203">
        <f>ELEC!E19</f>
        <v>1420</v>
      </c>
      <c r="I17" s="203">
        <f>ELEC!G19</f>
        <v>446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978</v>
      </c>
      <c r="F18" s="203">
        <f>ELEC!K20</f>
        <v>996</v>
      </c>
      <c r="G18" s="203">
        <f>ELEC!I20</f>
        <v>436</v>
      </c>
      <c r="H18" s="203">
        <f>ELEC!E20</f>
        <v>1230</v>
      </c>
      <c r="I18" s="203">
        <f>ELEC!G20</f>
        <v>437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952</v>
      </c>
      <c r="F19" s="203">
        <f>ELEC!K21</f>
        <v>1562</v>
      </c>
      <c r="G19" s="203">
        <f>ELEC!I21</f>
        <v>438</v>
      </c>
      <c r="H19" s="203">
        <f>ELEC!E21</f>
        <v>1390</v>
      </c>
      <c r="I19" s="203">
        <f>ELEC!G21</f>
        <v>444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850</v>
      </c>
      <c r="F22" s="203">
        <f>ELEC!K24</f>
        <v>866</v>
      </c>
      <c r="G22" s="203">
        <f>ELEC!I24</f>
        <v>410</v>
      </c>
      <c r="H22" s="203">
        <f>ELEC!E24</f>
        <v>870</v>
      </c>
      <c r="I22" s="203">
        <f>ELEC!G24</f>
        <v>421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1010</v>
      </c>
      <c r="F23" s="203">
        <f>ELEC!K25</f>
        <v>580</v>
      </c>
      <c r="G23" s="203">
        <f>ELEC!I25</f>
        <v>440</v>
      </c>
      <c r="H23" s="203">
        <f>ELEC!E25</f>
        <v>850</v>
      </c>
      <c r="I23" s="203">
        <f>ELEC!G25</f>
        <v>448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1048</v>
      </c>
      <c r="F24" s="203">
        <f>ELEC!K26</f>
        <v>580</v>
      </c>
      <c r="G24" s="203">
        <f>ELEC!I26</f>
        <v>464</v>
      </c>
      <c r="H24" s="203">
        <f>ELEC!E26</f>
        <v>860</v>
      </c>
      <c r="I24" s="203">
        <f>ELEC!G26</f>
        <v>478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952</v>
      </c>
      <c r="F25" s="203">
        <f>ELEC!K27</f>
        <v>642</v>
      </c>
      <c r="G25" s="203">
        <f>ELEC!I27</f>
        <v>454</v>
      </c>
      <c r="H25" s="203">
        <f>ELEC!E27</f>
        <v>810</v>
      </c>
      <c r="I25" s="203">
        <f>ELEC!G27</f>
        <v>476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752</v>
      </c>
      <c r="F26" s="203">
        <f>ELEC!K28</f>
        <v>480</v>
      </c>
      <c r="G26" s="203">
        <f>ELEC!I28</f>
        <v>378</v>
      </c>
      <c r="H26" s="203">
        <f>ELEC!E28</f>
        <v>670</v>
      </c>
      <c r="I26" s="203">
        <f>ELEC!G28</f>
        <v>403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800</v>
      </c>
      <c r="F29" s="203">
        <f>ELEC!K31</f>
        <v>428</v>
      </c>
      <c r="G29" s="203">
        <f>ELEC!I31</f>
        <v>388</v>
      </c>
      <c r="H29" s="203">
        <f>ELEC!E31</f>
        <v>650</v>
      </c>
      <c r="I29" s="203">
        <f>ELEC!G31</f>
        <v>389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752</v>
      </c>
      <c r="F30" s="203">
        <f>ELEC!K32</f>
        <v>660</v>
      </c>
      <c r="G30" s="203">
        <f>ELEC!I32</f>
        <v>422</v>
      </c>
      <c r="H30" s="203">
        <f>ELEC!E32</f>
        <v>670</v>
      </c>
      <c r="I30" s="203">
        <f>ELEC!G32</f>
        <v>418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abSelected="1" topLeftCell="I1" zoomScale="70" zoomScaleNormal="70" zoomScaleSheetLayoutView="100" workbookViewId="0">
      <pane ySplit="2" topLeftCell="A13" activePane="bottomLeft" state="frozen"/>
      <selection activeCell="C1" sqref="C1"/>
      <selection pane="bottomLeft" activeCell="L31" sqref="L31"/>
    </sheetView>
  </sheetViews>
  <sheetFormatPr defaultColWidth="9.26953125" defaultRowHeight="14.5"/>
  <cols>
    <col min="1" max="1" width="7.7265625" style="444" bestFit="1" customWidth="1"/>
    <col min="2" max="2" width="10.26953125" style="452" bestFit="1" customWidth="1"/>
    <col min="3" max="3" width="11.54296875" style="444" customWidth="1"/>
    <col min="4" max="4" width="18" style="453" bestFit="1" customWidth="1"/>
    <col min="5" max="5" width="14.81640625" style="453" bestFit="1" customWidth="1"/>
    <col min="6" max="6" width="15.26953125" style="453" bestFit="1" customWidth="1"/>
    <col min="7" max="7" width="24" style="453" customWidth="1"/>
    <col min="8" max="8" width="18" style="453" bestFit="1" customWidth="1"/>
    <col min="9" max="9" width="13.1796875" style="453" bestFit="1" customWidth="1"/>
    <col min="10" max="10" width="18" style="453" bestFit="1" customWidth="1"/>
    <col min="11" max="11" width="11.7265625" style="453" customWidth="1"/>
    <col min="12" max="12" width="18" style="453" bestFit="1" customWidth="1"/>
    <col min="13" max="13" width="13.1796875" style="453" bestFit="1" customWidth="1"/>
    <col min="14" max="14" width="15.453125" style="444" bestFit="1" customWidth="1"/>
    <col min="15" max="15" width="13.26953125" style="454" bestFit="1" customWidth="1"/>
    <col min="16" max="16" width="14.26953125" style="444" bestFit="1" customWidth="1"/>
    <col min="17" max="17" width="13.7265625" style="444" bestFit="1" customWidth="1"/>
    <col min="18" max="18" width="12.453125" style="444" bestFit="1" customWidth="1"/>
    <col min="19" max="21" width="11.54296875" style="444" bestFit="1" customWidth="1"/>
    <col min="22" max="22" width="13.26953125" style="444" bestFit="1" customWidth="1"/>
    <col min="23" max="25" width="11.54296875" style="444" bestFit="1" customWidth="1"/>
    <col min="26" max="26" width="13.26953125" style="444" bestFit="1" customWidth="1"/>
    <col min="27" max="29" width="11.54296875" style="444" bestFit="1" customWidth="1"/>
    <col min="30" max="30" width="13.26953125" style="444" bestFit="1" customWidth="1"/>
    <col min="31" max="32" width="11.54296875" style="444" bestFit="1" customWidth="1"/>
    <col min="33" max="33" width="15.7265625" style="444" customWidth="1"/>
    <col min="34" max="34" width="9.26953125" style="444"/>
    <col min="35" max="35" width="9.7265625" style="444" bestFit="1" customWidth="1"/>
    <col min="36" max="36" width="11.54296875" style="444" bestFit="1" customWidth="1"/>
    <col min="37" max="37" width="12.453125" style="444" customWidth="1"/>
    <col min="38" max="38" width="11.453125" style="444" customWidth="1"/>
    <col min="39" max="39" width="10" style="444" bestFit="1" customWidth="1"/>
    <col min="40" max="40" width="10.7265625" style="444" bestFit="1" customWidth="1"/>
    <col min="41" max="16384" width="9.269531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v>346490</v>
      </c>
      <c r="E19" s="575">
        <f t="shared" si="7"/>
        <v>1420</v>
      </c>
      <c r="F19" s="567">
        <v>4154021</v>
      </c>
      <c r="G19" s="449">
        <f t="shared" si="34"/>
        <v>446</v>
      </c>
      <c r="H19" s="426">
        <v>18069838</v>
      </c>
      <c r="I19" s="449">
        <f t="shared" si="35"/>
        <v>424</v>
      </c>
      <c r="J19" s="426">
        <v>29834896</v>
      </c>
      <c r="K19" s="449">
        <f t="shared" si="36"/>
        <v>522</v>
      </c>
      <c r="L19" s="426">
        <v>24641432</v>
      </c>
      <c r="M19" s="449">
        <f t="shared" si="37"/>
        <v>942</v>
      </c>
      <c r="N19" s="297">
        <f t="shared" si="38"/>
        <v>3754</v>
      </c>
      <c r="O19" s="445">
        <f t="shared" si="40"/>
        <v>0</v>
      </c>
      <c r="P19" s="561">
        <v>19425.27</v>
      </c>
      <c r="Q19" s="446">
        <f>(P19-P18)*1000</f>
        <v>3851.9999999989523</v>
      </c>
      <c r="R19" s="588">
        <f>N19-Q19</f>
        <v>-97.999999998952262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v>347720</v>
      </c>
      <c r="E20" s="575">
        <f t="shared" si="7"/>
        <v>1230</v>
      </c>
      <c r="F20" s="567">
        <v>4154458</v>
      </c>
      <c r="G20" s="449">
        <f t="shared" si="34"/>
        <v>437</v>
      </c>
      <c r="H20" s="426">
        <v>18070274</v>
      </c>
      <c r="I20" s="449">
        <f t="shared" si="35"/>
        <v>436</v>
      </c>
      <c r="J20" s="426">
        <v>29835892</v>
      </c>
      <c r="K20" s="449">
        <f t="shared" si="36"/>
        <v>996</v>
      </c>
      <c r="L20" s="426">
        <v>24642410</v>
      </c>
      <c r="M20" s="449">
        <f t="shared" si="37"/>
        <v>978</v>
      </c>
      <c r="N20" s="297">
        <f t="shared" si="38"/>
        <v>4077</v>
      </c>
      <c r="O20" s="445">
        <f t="shared" si="40"/>
        <v>0</v>
      </c>
      <c r="P20" s="561">
        <v>19429.454000000002</v>
      </c>
      <c r="Q20" s="446">
        <f>(P20-P19)*1000</f>
        <v>4184.0000000011059</v>
      </c>
      <c r="R20" s="588">
        <f>N20-Q20</f>
        <v>-107.00000000110595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v>349110</v>
      </c>
      <c r="E21" s="575">
        <f t="shared" si="7"/>
        <v>1390</v>
      </c>
      <c r="F21" s="567">
        <v>4154902</v>
      </c>
      <c r="G21" s="449">
        <f t="shared" si="34"/>
        <v>444</v>
      </c>
      <c r="H21" s="426">
        <v>18070712</v>
      </c>
      <c r="I21" s="449">
        <f t="shared" si="35"/>
        <v>438</v>
      </c>
      <c r="J21" s="426">
        <v>29837454</v>
      </c>
      <c r="K21" s="449">
        <f t="shared" si="36"/>
        <v>1562</v>
      </c>
      <c r="L21" s="426">
        <v>24643362</v>
      </c>
      <c r="M21" s="449">
        <f t="shared" si="37"/>
        <v>952</v>
      </c>
      <c r="N21" s="297">
        <f t="shared" si="38"/>
        <v>4786</v>
      </c>
      <c r="O21" s="445">
        <f t="shared" si="40"/>
        <v>0</v>
      </c>
      <c r="P21" s="561">
        <v>19433.772000000001</v>
      </c>
      <c r="Q21" s="446">
        <f t="shared" si="1"/>
        <v>4317.9999999993015</v>
      </c>
      <c r="R21" s="588">
        <f t="shared" ref="R21:R31" si="43">N21-Q21</f>
        <v>468.00000000069849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v>33489</v>
      </c>
      <c r="X21" s="428">
        <f t="shared" si="39"/>
        <v>5</v>
      </c>
      <c r="Y21" s="426">
        <v>998162</v>
      </c>
      <c r="Z21" s="428">
        <f t="shared" si="33"/>
        <v>1262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5</v>
      </c>
      <c r="AF21" s="451">
        <f t="shared" si="4"/>
        <v>1262</v>
      </c>
      <c r="AG21" s="443">
        <f t="shared" si="41"/>
        <v>252.4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v>349110</v>
      </c>
      <c r="E22" s="575">
        <f t="shared" ref="E22" si="44">D22-D21</f>
        <v>0</v>
      </c>
      <c r="F22" s="567">
        <v>4154902</v>
      </c>
      <c r="G22" s="449">
        <f t="shared" ref="G22" si="45">F22-F21</f>
        <v>0</v>
      </c>
      <c r="H22" s="426">
        <f t="shared" si="19"/>
        <v>18070712</v>
      </c>
      <c r="I22" s="449">
        <f t="shared" si="35"/>
        <v>0</v>
      </c>
      <c r="J22" s="426">
        <f t="shared" si="21"/>
        <v>29837454</v>
      </c>
      <c r="K22" s="449">
        <f t="shared" ref="K22" si="46">J22-J21</f>
        <v>0</v>
      </c>
      <c r="L22" s="426">
        <f t="shared" si="23"/>
        <v>24643362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19433.772000000001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33489</v>
      </c>
      <c r="X22" s="428">
        <f t="shared" si="39"/>
        <v>0</v>
      </c>
      <c r="Y22" s="426">
        <f t="shared" si="11"/>
        <v>998162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349110</v>
      </c>
      <c r="E23" s="575">
        <f t="shared" si="7"/>
        <v>0</v>
      </c>
      <c r="F23" s="567">
        <f t="shared" si="17"/>
        <v>4154902</v>
      </c>
      <c r="G23" s="449">
        <f t="shared" si="34"/>
        <v>0</v>
      </c>
      <c r="H23" s="426">
        <f t="shared" si="19"/>
        <v>18070712</v>
      </c>
      <c r="I23" s="449">
        <f t="shared" si="35"/>
        <v>0</v>
      </c>
      <c r="J23" s="426">
        <f t="shared" si="21"/>
        <v>29837454</v>
      </c>
      <c r="K23" s="449">
        <f t="shared" si="36"/>
        <v>0</v>
      </c>
      <c r="L23" s="426">
        <f t="shared" si="23"/>
        <v>24643362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19433.772000000001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33489</v>
      </c>
      <c r="X23" s="428">
        <f t="shared" si="39"/>
        <v>0</v>
      </c>
      <c r="Y23" s="426">
        <f t="shared" si="11"/>
        <v>998162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v>349980</v>
      </c>
      <c r="E24" s="575">
        <f t="shared" si="7"/>
        <v>870</v>
      </c>
      <c r="F24" s="567">
        <v>4155323</v>
      </c>
      <c r="G24" s="449">
        <f t="shared" si="34"/>
        <v>421</v>
      </c>
      <c r="H24" s="426">
        <v>18071122</v>
      </c>
      <c r="I24" s="591">
        <f t="shared" si="35"/>
        <v>410</v>
      </c>
      <c r="J24" s="426">
        <v>29838320</v>
      </c>
      <c r="K24" s="449">
        <f t="shared" si="36"/>
        <v>866</v>
      </c>
      <c r="L24" s="426">
        <v>24644212</v>
      </c>
      <c r="M24" s="449">
        <f t="shared" si="37"/>
        <v>850</v>
      </c>
      <c r="N24" s="297">
        <f t="shared" si="38"/>
        <v>3417</v>
      </c>
      <c r="O24" s="445">
        <f t="shared" si="40"/>
        <v>0</v>
      </c>
      <c r="P24" s="561">
        <v>19437.236000000001</v>
      </c>
      <c r="Q24" s="446">
        <f t="shared" si="1"/>
        <v>3463.9999999999418</v>
      </c>
      <c r="R24" s="588">
        <f t="shared" si="43"/>
        <v>-46.999999999941792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33489</v>
      </c>
      <c r="X24" s="428">
        <f t="shared" si="39"/>
        <v>0</v>
      </c>
      <c r="Y24" s="426">
        <f t="shared" si="11"/>
        <v>998162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v>350830</v>
      </c>
      <c r="E25" s="575">
        <f t="shared" si="7"/>
        <v>850</v>
      </c>
      <c r="F25" s="567">
        <v>4155771</v>
      </c>
      <c r="G25" s="449">
        <f t="shared" si="34"/>
        <v>448</v>
      </c>
      <c r="H25" s="426">
        <v>18071562</v>
      </c>
      <c r="I25" s="449">
        <f t="shared" si="35"/>
        <v>440</v>
      </c>
      <c r="J25" s="426">
        <v>29838900</v>
      </c>
      <c r="K25" s="449">
        <f t="shared" si="36"/>
        <v>580</v>
      </c>
      <c r="L25" s="426">
        <v>24645222</v>
      </c>
      <c r="M25" s="449">
        <f t="shared" si="37"/>
        <v>1010</v>
      </c>
      <c r="N25" s="297">
        <f t="shared" si="38"/>
        <v>3328</v>
      </c>
      <c r="O25" s="445">
        <f t="shared" si="40"/>
        <v>0</v>
      </c>
      <c r="P25" s="561">
        <v>19440.462</v>
      </c>
      <c r="Q25" s="446">
        <f t="shared" si="1"/>
        <v>3225.9999999987485</v>
      </c>
      <c r="R25" s="588">
        <f t="shared" si="43"/>
        <v>102.00000000125146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33489</v>
      </c>
      <c r="X25" s="428">
        <f t="shared" si="39"/>
        <v>0</v>
      </c>
      <c r="Y25" s="426">
        <f t="shared" si="11"/>
        <v>998162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v>351690</v>
      </c>
      <c r="E26" s="575">
        <f t="shared" si="7"/>
        <v>860</v>
      </c>
      <c r="F26" s="567">
        <v>4156249</v>
      </c>
      <c r="G26" s="449">
        <f t="shared" si="34"/>
        <v>478</v>
      </c>
      <c r="H26" s="426">
        <v>18072026</v>
      </c>
      <c r="I26" s="449">
        <f t="shared" si="35"/>
        <v>464</v>
      </c>
      <c r="J26" s="426">
        <v>29839480</v>
      </c>
      <c r="K26" s="449">
        <f t="shared" si="36"/>
        <v>580</v>
      </c>
      <c r="L26" s="426">
        <v>24646270</v>
      </c>
      <c r="M26" s="449">
        <f t="shared" si="37"/>
        <v>1048</v>
      </c>
      <c r="N26" s="297">
        <f t="shared" si="38"/>
        <v>3430</v>
      </c>
      <c r="O26" s="445">
        <f t="shared" si="40"/>
        <v>0</v>
      </c>
      <c r="P26" s="561">
        <v>19443.999</v>
      </c>
      <c r="Q26" s="446">
        <f t="shared" si="1"/>
        <v>3537.0000000002619</v>
      </c>
      <c r="R26" s="588">
        <f t="shared" si="43"/>
        <v>-107.00000000026193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33489</v>
      </c>
      <c r="X26" s="428">
        <f t="shared" si="39"/>
        <v>0</v>
      </c>
      <c r="Y26" s="426">
        <f t="shared" si="11"/>
        <v>998162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v>352500</v>
      </c>
      <c r="E27" s="575">
        <f t="shared" si="7"/>
        <v>810</v>
      </c>
      <c r="F27" s="567">
        <v>4156725</v>
      </c>
      <c r="G27" s="449">
        <f t="shared" si="34"/>
        <v>476</v>
      </c>
      <c r="H27" s="426">
        <v>18072480</v>
      </c>
      <c r="I27" s="449">
        <f t="shared" si="35"/>
        <v>454</v>
      </c>
      <c r="J27" s="426">
        <v>29840122</v>
      </c>
      <c r="K27" s="449">
        <f t="shared" si="36"/>
        <v>642</v>
      </c>
      <c r="L27" s="426">
        <v>24647222</v>
      </c>
      <c r="M27" s="449">
        <f t="shared" si="37"/>
        <v>952</v>
      </c>
      <c r="N27" s="297">
        <f t="shared" si="38"/>
        <v>3334</v>
      </c>
      <c r="O27" s="445">
        <f t="shared" si="40"/>
        <v>0</v>
      </c>
      <c r="P27" s="561">
        <v>19447.420999999998</v>
      </c>
      <c r="Q27" s="446">
        <f t="shared" si="1"/>
        <v>3421.9999999986612</v>
      </c>
      <c r="R27" s="588">
        <f t="shared" si="43"/>
        <v>-87.999999998661224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33489</v>
      </c>
      <c r="X27" s="428">
        <f t="shared" si="39"/>
        <v>0</v>
      </c>
      <c r="Y27" s="426">
        <f t="shared" si="11"/>
        <v>998162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v>353170</v>
      </c>
      <c r="E28" s="575">
        <f t="shared" si="7"/>
        <v>670</v>
      </c>
      <c r="F28" s="567">
        <v>4157128</v>
      </c>
      <c r="G28" s="449">
        <f>F28-F27</f>
        <v>403</v>
      </c>
      <c r="H28" s="426">
        <v>18072858</v>
      </c>
      <c r="I28" s="449">
        <f t="shared" si="35"/>
        <v>378</v>
      </c>
      <c r="J28" s="426">
        <v>29840602</v>
      </c>
      <c r="K28" s="449">
        <f t="shared" si="36"/>
        <v>480</v>
      </c>
      <c r="L28" s="426">
        <v>24647974</v>
      </c>
      <c r="M28" s="449">
        <f t="shared" si="37"/>
        <v>752</v>
      </c>
      <c r="N28" s="297">
        <f t="shared" si="38"/>
        <v>2683</v>
      </c>
      <c r="O28" s="445">
        <f t="shared" si="40"/>
        <v>0</v>
      </c>
      <c r="P28" s="561">
        <v>19449.949000000001</v>
      </c>
      <c r="Q28" s="446">
        <f t="shared" si="1"/>
        <v>2528.0000000020664</v>
      </c>
      <c r="R28" s="588">
        <f>N28-Q28</f>
        <v>154.99999999793363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33489</v>
      </c>
      <c r="X28" s="428">
        <f t="shared" si="39"/>
        <v>0</v>
      </c>
      <c r="Y28" s="426">
        <f t="shared" si="11"/>
        <v>998162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353170</v>
      </c>
      <c r="E29" s="575">
        <f t="shared" si="7"/>
        <v>0</v>
      </c>
      <c r="F29" s="567">
        <f t="shared" si="17"/>
        <v>4157128</v>
      </c>
      <c r="G29" s="449">
        <f>F29-F28</f>
        <v>0</v>
      </c>
      <c r="H29" s="426">
        <f t="shared" si="19"/>
        <v>18072858</v>
      </c>
      <c r="I29" s="449">
        <f>H29-H28</f>
        <v>0</v>
      </c>
      <c r="J29" s="426">
        <f t="shared" si="21"/>
        <v>29840602</v>
      </c>
      <c r="K29" s="449">
        <f>J29-J28</f>
        <v>0</v>
      </c>
      <c r="L29" s="426">
        <f t="shared" si="23"/>
        <v>24647974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19449.949000000001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33489</v>
      </c>
      <c r="X29" s="428">
        <f>W29-W28</f>
        <v>0</v>
      </c>
      <c r="Y29" s="426">
        <f t="shared" si="11"/>
        <v>998162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353170</v>
      </c>
      <c r="E30" s="575">
        <f t="shared" si="7"/>
        <v>0</v>
      </c>
      <c r="F30" s="567">
        <f t="shared" si="17"/>
        <v>4157128</v>
      </c>
      <c r="G30" s="449">
        <f t="shared" si="34"/>
        <v>0</v>
      </c>
      <c r="H30" s="426">
        <f t="shared" si="19"/>
        <v>18072858</v>
      </c>
      <c r="I30" s="449">
        <f t="shared" si="35"/>
        <v>0</v>
      </c>
      <c r="J30" s="426">
        <f t="shared" si="21"/>
        <v>29840602</v>
      </c>
      <c r="K30" s="449">
        <f t="shared" si="36"/>
        <v>0</v>
      </c>
      <c r="L30" s="426">
        <f t="shared" si="23"/>
        <v>24647974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19449.949000000001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33489</v>
      </c>
      <c r="X30" s="428">
        <f t="shared" si="39"/>
        <v>0</v>
      </c>
      <c r="Y30" s="426">
        <f t="shared" si="11"/>
        <v>998162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v>353820</v>
      </c>
      <c r="E31" s="575">
        <f t="shared" si="7"/>
        <v>650</v>
      </c>
      <c r="F31" s="567">
        <v>4157517</v>
      </c>
      <c r="G31" s="449">
        <f t="shared" si="34"/>
        <v>389</v>
      </c>
      <c r="H31" s="426">
        <v>18073246</v>
      </c>
      <c r="I31" s="449">
        <f t="shared" si="35"/>
        <v>388</v>
      </c>
      <c r="J31" s="426">
        <v>29841030</v>
      </c>
      <c r="K31" s="449">
        <f t="shared" si="36"/>
        <v>428</v>
      </c>
      <c r="L31" s="426">
        <v>24648774</v>
      </c>
      <c r="M31" s="449">
        <f t="shared" si="37"/>
        <v>800</v>
      </c>
      <c r="N31" s="297">
        <f t="shared" si="38"/>
        <v>2655</v>
      </c>
      <c r="O31" s="445">
        <f t="shared" si="40"/>
        <v>0</v>
      </c>
      <c r="P31" s="561">
        <v>19452.683000000001</v>
      </c>
      <c r="Q31" s="446">
        <f t="shared" si="1"/>
        <v>2734.0000000003783</v>
      </c>
      <c r="R31" s="588">
        <f t="shared" si="43"/>
        <v>-79.00000000037835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33489</v>
      </c>
      <c r="X31" s="448">
        <f t="shared" si="39"/>
        <v>0</v>
      </c>
      <c r="Y31" s="426">
        <f t="shared" si="11"/>
        <v>998162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v>354490</v>
      </c>
      <c r="E32" s="575">
        <f t="shared" si="7"/>
        <v>670</v>
      </c>
      <c r="F32" s="567">
        <v>4157935</v>
      </c>
      <c r="G32" s="449">
        <f t="shared" si="34"/>
        <v>418</v>
      </c>
      <c r="H32" s="426">
        <v>18073668</v>
      </c>
      <c r="I32" s="449">
        <f t="shared" si="35"/>
        <v>422</v>
      </c>
      <c r="J32" s="426">
        <v>29841690</v>
      </c>
      <c r="K32" s="449">
        <f t="shared" si="36"/>
        <v>660</v>
      </c>
      <c r="L32" s="426">
        <v>24649526</v>
      </c>
      <c r="M32" s="449">
        <f t="shared" ref="M32:M34" si="53">L32-L31</f>
        <v>752</v>
      </c>
      <c r="N32" s="297">
        <f t="shared" ref="N32:N34" si="54">M32+K32+I32+G32+E32</f>
        <v>2922</v>
      </c>
      <c r="O32" s="445">
        <f t="shared" ref="O32:O34" si="55">IF(B32&gt;0,N32/B32,0)</f>
        <v>0</v>
      </c>
      <c r="P32" s="561">
        <v>19455.41</v>
      </c>
      <c r="Q32" s="446">
        <f t="shared" ref="Q32:Q34" si="56">(P32-P31)*1000</f>
        <v>2726.9999999989523</v>
      </c>
      <c r="R32" s="588">
        <f t="shared" ref="R32:R34" si="57">N32-Q32</f>
        <v>195.00000000104774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33489</v>
      </c>
      <c r="X32" s="448">
        <f t="shared" ref="X32:X34" si="58">W32-W31</f>
        <v>0</v>
      </c>
      <c r="Y32" s="426">
        <f t="shared" si="11"/>
        <v>998162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354490</v>
      </c>
      <c r="E33" s="575">
        <f t="shared" si="7"/>
        <v>0</v>
      </c>
      <c r="F33" s="567">
        <f t="shared" si="17"/>
        <v>4157935</v>
      </c>
      <c r="G33" s="449">
        <f t="shared" si="34"/>
        <v>0</v>
      </c>
      <c r="H33" s="426">
        <f t="shared" si="19"/>
        <v>18073668</v>
      </c>
      <c r="I33" s="449">
        <f t="shared" si="35"/>
        <v>0</v>
      </c>
      <c r="J33" s="426">
        <f t="shared" si="21"/>
        <v>29841690</v>
      </c>
      <c r="K33" s="449">
        <f t="shared" si="36"/>
        <v>0</v>
      </c>
      <c r="L33" s="426">
        <f t="shared" si="23"/>
        <v>24649526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19455.41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33489</v>
      </c>
      <c r="X33" s="448">
        <f t="shared" si="58"/>
        <v>0</v>
      </c>
      <c r="Y33" s="426">
        <f t="shared" si="11"/>
        <v>998162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354490</v>
      </c>
      <c r="E34" s="575">
        <f t="shared" si="7"/>
        <v>0</v>
      </c>
      <c r="F34" s="567">
        <f t="shared" si="17"/>
        <v>4157935</v>
      </c>
      <c r="G34" s="449">
        <f t="shared" si="34"/>
        <v>0</v>
      </c>
      <c r="H34" s="426">
        <f t="shared" si="19"/>
        <v>18073668</v>
      </c>
      <c r="I34" s="449">
        <f t="shared" si="35"/>
        <v>0</v>
      </c>
      <c r="J34" s="426">
        <f t="shared" si="21"/>
        <v>29841690</v>
      </c>
      <c r="K34" s="449">
        <f t="shared" si="36"/>
        <v>0</v>
      </c>
      <c r="L34" s="426">
        <f t="shared" si="23"/>
        <v>24649526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19455.41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33489</v>
      </c>
      <c r="X34" s="448">
        <f t="shared" si="58"/>
        <v>0</v>
      </c>
      <c r="Y34" s="426">
        <f t="shared" si="11"/>
        <v>998162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N1" zoomScale="90" zoomScaleNormal="90" workbookViewId="0">
      <pane ySplit="1" topLeftCell="A3" activePane="bottomLeft" state="frozen"/>
      <selection activeCell="K1" sqref="K1"/>
      <selection pane="bottomLeft" activeCell="AH33" sqref="AH33"/>
    </sheetView>
  </sheetViews>
  <sheetFormatPr defaultColWidth="9.26953125" defaultRowHeight="14.5"/>
  <cols>
    <col min="1" max="1" width="11.7265625" style="41" bestFit="1" customWidth="1"/>
    <col min="2" max="2" width="14.26953125" style="42" bestFit="1" customWidth="1"/>
    <col min="3" max="3" width="15.7265625" style="42" customWidth="1"/>
    <col min="4" max="4" width="15.26953125" style="42" bestFit="1" customWidth="1"/>
    <col min="5" max="5" width="12.453125" style="42" bestFit="1" customWidth="1"/>
    <col min="6" max="6" width="8.453125" style="42" bestFit="1" customWidth="1"/>
    <col min="7" max="7" width="8.7265625" style="42" bestFit="1" customWidth="1"/>
    <col min="8" max="8" width="12.54296875" style="42" bestFit="1" customWidth="1"/>
    <col min="9" max="9" width="18.2695312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26953125" style="42" bestFit="1" customWidth="1"/>
    <col min="17" max="17" width="7.7265625" style="42" customWidth="1"/>
    <col min="18" max="18" width="6.2695312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26953125" style="42" customWidth="1"/>
    <col min="26" max="26" width="15.2695312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06" customWidth="1"/>
    <col min="38" max="38" width="11.26953125" style="306" bestFit="1" customWidth="1"/>
    <col min="39" max="39" width="11.453125" style="306" bestFit="1" customWidth="1"/>
    <col min="40" max="40" width="8.453125" style="71" customWidth="1"/>
    <col min="41" max="41" width="8.26953125" style="71" customWidth="1"/>
    <col min="42" max="45" width="9.26953125" style="71"/>
    <col min="46" max="46" width="10.26953125" style="71" customWidth="1"/>
    <col min="47" max="47" width="10.26953125" style="71" bestFit="1" customWidth="1"/>
    <col min="48" max="49" width="9.26953125" style="42"/>
    <col min="50" max="50" width="9.26953125" style="298"/>
    <col min="51" max="16384" width="9.26953125" style="42"/>
  </cols>
  <sheetData>
    <row r="1" spans="1:52" ht="29.5" thickBot="1">
      <c r="F1" s="616" t="s">
        <v>2</v>
      </c>
      <c r="G1" s="617"/>
      <c r="H1" s="617"/>
      <c r="I1" s="618"/>
      <c r="J1" s="271">
        <f>J36</f>
        <v>66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v>245</v>
      </c>
      <c r="C20" s="535">
        <v>251</v>
      </c>
      <c r="D20" s="45">
        <f>C19-C20</f>
        <v>4</v>
      </c>
      <c r="E20" s="45">
        <f t="shared" si="9"/>
        <v>33.520000000000003</v>
      </c>
      <c r="F20" s="535">
        <v>2266</v>
      </c>
      <c r="G20" s="52">
        <f t="shared" si="0"/>
        <v>2</v>
      </c>
      <c r="H20" s="535">
        <v>45303</v>
      </c>
      <c r="I20" s="380">
        <f t="shared" si="1"/>
        <v>164</v>
      </c>
      <c r="J20" s="66">
        <f t="shared" si="11"/>
        <v>82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2</v>
      </c>
      <c r="V20" s="62">
        <f t="shared" si="16"/>
        <v>164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164</v>
      </c>
      <c r="AJ20" s="303">
        <f>-tanks!AW21</f>
        <v>164</v>
      </c>
      <c r="AK20" s="303">
        <f t="shared" si="25"/>
        <v>0</v>
      </c>
      <c r="AL20" s="303">
        <f t="shared" si="8"/>
        <v>2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v>240</v>
      </c>
      <c r="C21" s="535">
        <v>246.5</v>
      </c>
      <c r="D21" s="45">
        <f t="shared" ref="D21:D32" si="49">C20-C21</f>
        <v>4.5</v>
      </c>
      <c r="E21" s="45">
        <f t="shared" si="9"/>
        <v>37.71</v>
      </c>
      <c r="F21" s="535">
        <v>2268</v>
      </c>
      <c r="G21" s="52">
        <f t="shared" si="0"/>
        <v>2</v>
      </c>
      <c r="H21" s="535">
        <v>45415</v>
      </c>
      <c r="I21" s="380">
        <f t="shared" si="1"/>
        <v>112</v>
      </c>
      <c r="J21" s="66">
        <f t="shared" si="11"/>
        <v>56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2</v>
      </c>
      <c r="V21" s="62">
        <f t="shared" si="16"/>
        <v>112</v>
      </c>
      <c r="W21" s="384"/>
      <c r="X21" s="535">
        <f t="shared" si="18"/>
        <v>2490</v>
      </c>
      <c r="Y21" s="52">
        <f t="shared" si="19"/>
        <v>0</v>
      </c>
      <c r="Z21" s="535">
        <v>140757</v>
      </c>
      <c r="AA21" s="65">
        <f t="shared" si="6"/>
        <v>131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131</v>
      </c>
      <c r="AI21" s="303">
        <f t="shared" si="24"/>
        <v>243</v>
      </c>
      <c r="AJ21" s="303">
        <f>-tanks!AW22</f>
        <v>243</v>
      </c>
      <c r="AK21" s="303">
        <f t="shared" si="25"/>
        <v>0</v>
      </c>
      <c r="AL21" s="303">
        <f t="shared" si="8"/>
        <v>2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v>236</v>
      </c>
      <c r="C22" s="535">
        <v>242</v>
      </c>
      <c r="D22" s="45">
        <f t="shared" si="49"/>
        <v>4.5</v>
      </c>
      <c r="E22" s="45">
        <f t="shared" si="9"/>
        <v>37.71</v>
      </c>
      <c r="F22" s="535">
        <v>2268</v>
      </c>
      <c r="G22" s="52">
        <f t="shared" si="0"/>
        <v>0</v>
      </c>
      <c r="H22" s="535">
        <v>45437</v>
      </c>
      <c r="I22" s="380">
        <f t="shared" si="1"/>
        <v>22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22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140757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22</v>
      </c>
      <c r="AJ22" s="303">
        <f>-tanks!AW23</f>
        <v>22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236</v>
      </c>
      <c r="C23" s="535">
        <f t="shared" si="34"/>
        <v>242</v>
      </c>
      <c r="D23" s="45">
        <f t="shared" si="49"/>
        <v>0</v>
      </c>
      <c r="E23" s="45">
        <f t="shared" si="9"/>
        <v>0</v>
      </c>
      <c r="F23" s="535">
        <f t="shared" si="36"/>
        <v>2268</v>
      </c>
      <c r="G23" s="52">
        <f t="shared" si="0"/>
        <v>0</v>
      </c>
      <c r="H23" s="535">
        <f t="shared" si="10"/>
        <v>45437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140757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236</v>
      </c>
      <c r="C24" s="535">
        <f t="shared" si="34"/>
        <v>242</v>
      </c>
      <c r="D24" s="45">
        <f t="shared" si="49"/>
        <v>0</v>
      </c>
      <c r="E24" s="45">
        <f t="shared" si="9"/>
        <v>0</v>
      </c>
      <c r="F24" s="535">
        <f t="shared" si="36"/>
        <v>2268</v>
      </c>
      <c r="G24" s="52">
        <f t="shared" si="0"/>
        <v>0</v>
      </c>
      <c r="H24" s="535">
        <f t="shared" si="10"/>
        <v>45437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140757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v>230</v>
      </c>
      <c r="C25" s="535">
        <v>237</v>
      </c>
      <c r="D25" s="45">
        <f t="shared" si="49"/>
        <v>5</v>
      </c>
      <c r="E25" s="45">
        <f t="shared" si="9"/>
        <v>41.900000000000006</v>
      </c>
      <c r="F25" s="535">
        <v>2271</v>
      </c>
      <c r="G25" s="52">
        <f t="shared" si="0"/>
        <v>3</v>
      </c>
      <c r="H25" s="535">
        <v>45619</v>
      </c>
      <c r="I25" s="380">
        <f t="shared" si="1"/>
        <v>182</v>
      </c>
      <c r="J25" s="66">
        <f t="shared" si="11"/>
        <v>60.666666666666664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3</v>
      </c>
      <c r="V25" s="62">
        <f t="shared" si="16"/>
        <v>182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140757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182</v>
      </c>
      <c r="AJ25" s="303">
        <f>-tanks!AW26</f>
        <v>182</v>
      </c>
      <c r="AK25" s="303">
        <f t="shared" si="25"/>
        <v>0</v>
      </c>
      <c r="AL25" s="303">
        <f t="shared" si="8"/>
        <v>3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v>227</v>
      </c>
      <c r="C26" s="535">
        <v>233</v>
      </c>
      <c r="D26" s="45">
        <f t="shared" si="49"/>
        <v>4</v>
      </c>
      <c r="E26" s="45">
        <f t="shared" si="9"/>
        <v>33.520000000000003</v>
      </c>
      <c r="F26" s="535">
        <v>2272</v>
      </c>
      <c r="G26" s="52">
        <f t="shared" si="0"/>
        <v>1</v>
      </c>
      <c r="H26" s="535">
        <v>45720</v>
      </c>
      <c r="I26" s="380">
        <f t="shared" si="1"/>
        <v>101</v>
      </c>
      <c r="J26" s="66">
        <f t="shared" si="11"/>
        <v>101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1</v>
      </c>
      <c r="V26" s="62">
        <f t="shared" si="16"/>
        <v>101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140757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101</v>
      </c>
      <c r="AJ26" s="303">
        <f>-tanks!AW27</f>
        <v>101</v>
      </c>
      <c r="AK26" s="303">
        <f t="shared" si="25"/>
        <v>0</v>
      </c>
      <c r="AL26" s="303">
        <f t="shared" si="8"/>
        <v>1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v>222</v>
      </c>
      <c r="C27" s="535">
        <v>229</v>
      </c>
      <c r="D27" s="45">
        <f t="shared" si="49"/>
        <v>4</v>
      </c>
      <c r="E27" s="45">
        <f t="shared" si="9"/>
        <v>33.520000000000003</v>
      </c>
      <c r="F27" s="535">
        <v>2273</v>
      </c>
      <c r="G27" s="52">
        <f t="shared" si="0"/>
        <v>1</v>
      </c>
      <c r="H27" s="535">
        <v>45819</v>
      </c>
      <c r="I27" s="380">
        <f t="shared" si="1"/>
        <v>99</v>
      </c>
      <c r="J27" s="66">
        <f t="shared" si="11"/>
        <v>99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1</v>
      </c>
      <c r="V27" s="62">
        <f t="shared" si="16"/>
        <v>99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140757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99</v>
      </c>
      <c r="AJ27" s="303">
        <f>-tanks!AW28</f>
        <v>99</v>
      </c>
      <c r="AK27" s="303">
        <f t="shared" si="25"/>
        <v>0</v>
      </c>
      <c r="AL27" s="303">
        <f t="shared" si="8"/>
        <v>1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222</v>
      </c>
      <c r="C28" s="535">
        <f t="shared" si="34"/>
        <v>229</v>
      </c>
      <c r="D28" s="45">
        <f t="shared" si="49"/>
        <v>0</v>
      </c>
      <c r="E28" s="45">
        <f t="shared" si="9"/>
        <v>0</v>
      </c>
      <c r="F28" s="535">
        <f t="shared" si="36"/>
        <v>2273</v>
      </c>
      <c r="G28" s="52">
        <f t="shared" si="0"/>
        <v>0</v>
      </c>
      <c r="H28" s="535">
        <f t="shared" si="10"/>
        <v>45819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140757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v>219</v>
      </c>
      <c r="C29" s="535">
        <v>225</v>
      </c>
      <c r="D29" s="45">
        <f t="shared" si="49"/>
        <v>4</v>
      </c>
      <c r="E29" s="45">
        <f t="shared" si="9"/>
        <v>33.520000000000003</v>
      </c>
      <c r="F29" s="535">
        <v>2275</v>
      </c>
      <c r="G29" s="52">
        <f t="shared" si="0"/>
        <v>2</v>
      </c>
      <c r="H29" s="535">
        <v>45921</v>
      </c>
      <c r="I29" s="380">
        <f t="shared" si="1"/>
        <v>102</v>
      </c>
      <c r="J29" s="66">
        <f t="shared" si="11"/>
        <v>51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2</v>
      </c>
      <c r="V29" s="62">
        <f t="shared" si="16"/>
        <v>102</v>
      </c>
      <c r="W29" s="384"/>
      <c r="X29" s="535">
        <v>2491</v>
      </c>
      <c r="Y29" s="52">
        <f t="shared" si="19"/>
        <v>1</v>
      </c>
      <c r="Z29" s="535">
        <v>140821</v>
      </c>
      <c r="AA29" s="65">
        <f t="shared" si="6"/>
        <v>64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64</v>
      </c>
      <c r="AI29" s="303">
        <f t="shared" si="24"/>
        <v>166</v>
      </c>
      <c r="AJ29" s="303">
        <f>-tanks!AW30</f>
        <v>166</v>
      </c>
      <c r="AK29" s="303">
        <f t="shared" si="25"/>
        <v>0</v>
      </c>
      <c r="AL29" s="303">
        <f t="shared" si="8"/>
        <v>2</v>
      </c>
      <c r="AM29" s="303">
        <f t="shared" si="26"/>
        <v>1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v>216</v>
      </c>
      <c r="C30" s="535">
        <v>222</v>
      </c>
      <c r="D30" s="45">
        <f>C29-C30</f>
        <v>3</v>
      </c>
      <c r="E30" s="45">
        <f>D30*8.38</f>
        <v>25.14</v>
      </c>
      <c r="F30" s="535">
        <f t="shared" si="36"/>
        <v>2275</v>
      </c>
      <c r="G30" s="52">
        <f>F30-F29</f>
        <v>0</v>
      </c>
      <c r="H30" s="535">
        <f t="shared" si="10"/>
        <v>45921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2491</v>
      </c>
      <c r="Y30" s="52">
        <f>X30-X29</f>
        <v>0</v>
      </c>
      <c r="Z30" s="535">
        <f t="shared" si="20"/>
        <v>140821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216</v>
      </c>
      <c r="C31" s="535">
        <f t="shared" si="34"/>
        <v>222</v>
      </c>
      <c r="D31" s="45">
        <f t="shared" si="49"/>
        <v>0</v>
      </c>
      <c r="E31" s="45">
        <f t="shared" si="9"/>
        <v>0</v>
      </c>
      <c r="F31" s="535">
        <f t="shared" si="36"/>
        <v>2275</v>
      </c>
      <c r="G31" s="52">
        <f t="shared" si="0"/>
        <v>0</v>
      </c>
      <c r="H31" s="535">
        <f t="shared" si="10"/>
        <v>45921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2491</v>
      </c>
      <c r="Y31" s="52">
        <f t="shared" si="19"/>
        <v>0</v>
      </c>
      <c r="Z31" s="535">
        <f t="shared" si="20"/>
        <v>140821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v>211</v>
      </c>
      <c r="C32" s="535">
        <v>218</v>
      </c>
      <c r="D32" s="45">
        <f t="shared" si="49"/>
        <v>4</v>
      </c>
      <c r="E32" s="45">
        <f t="shared" si="9"/>
        <v>33.520000000000003</v>
      </c>
      <c r="F32" s="535">
        <f t="shared" si="36"/>
        <v>2275</v>
      </c>
      <c r="G32" s="52">
        <f t="shared" si="0"/>
        <v>0</v>
      </c>
      <c r="H32" s="535">
        <v>45952</v>
      </c>
      <c r="I32" s="380">
        <f t="shared" si="1"/>
        <v>31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31</v>
      </c>
      <c r="W32" s="384"/>
      <c r="X32" s="535">
        <f t="shared" si="18"/>
        <v>2491</v>
      </c>
      <c r="Y32" s="52">
        <f t="shared" si="19"/>
        <v>0</v>
      </c>
      <c r="Z32" s="535">
        <f t="shared" si="20"/>
        <v>140821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31</v>
      </c>
      <c r="AJ32" s="303">
        <f>-tanks!AW33</f>
        <v>31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v>207</v>
      </c>
      <c r="C33" s="535">
        <v>215</v>
      </c>
      <c r="D33" s="45">
        <f t="shared" ref="D33:D35" si="53">C32-C33</f>
        <v>3</v>
      </c>
      <c r="E33" s="45">
        <f t="shared" ref="E33:E35" si="54">D33*8.38</f>
        <v>25.14</v>
      </c>
      <c r="F33" s="535">
        <v>2278</v>
      </c>
      <c r="G33" s="52">
        <f t="shared" ref="G33:G35" si="55">F33-F32</f>
        <v>3</v>
      </c>
      <c r="H33" s="535">
        <v>46144</v>
      </c>
      <c r="I33" s="380">
        <f t="shared" ref="I33:I35" si="56">SUM(H33-H32)</f>
        <v>192</v>
      </c>
      <c r="J33" s="66">
        <f t="shared" ref="J33:J35" si="57">IF(G33&gt;0,I33/G33,0)</f>
        <v>64</v>
      </c>
      <c r="K33" s="535">
        <f t="shared" si="12"/>
        <v>2451</v>
      </c>
      <c r="L33" s="52">
        <f t="shared" ref="L33:L35" si="58">K33-K32</f>
        <v>0</v>
      </c>
      <c r="M33" s="535">
        <v>182265</v>
      </c>
      <c r="N33" s="380">
        <f t="shared" ref="N33:N35" si="59">M33-M32</f>
        <v>68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3</v>
      </c>
      <c r="V33" s="62">
        <f t="shared" ref="V33:V35" si="64">R33+N33+I33:I33</f>
        <v>260</v>
      </c>
      <c r="W33" s="384"/>
      <c r="X33" s="535">
        <f t="shared" si="18"/>
        <v>2491</v>
      </c>
      <c r="Y33" s="52">
        <f t="shared" ref="Y33:Y35" si="65">X33-X32</f>
        <v>0</v>
      </c>
      <c r="Z33" s="535">
        <f t="shared" si="20"/>
        <v>140821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260</v>
      </c>
      <c r="AJ33" s="303">
        <f>-tanks!AW34</f>
        <v>260</v>
      </c>
      <c r="AK33" s="303">
        <f t="shared" ref="AK33:AK35" si="73">SUM(AJ33-AI33)</f>
        <v>0</v>
      </c>
      <c r="AL33" s="303">
        <f t="shared" ref="AL33:AL35" si="74">S33+L33+G33</f>
        <v>3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v>207</v>
      </c>
      <c r="C34" s="535">
        <v>215</v>
      </c>
      <c r="D34" s="45">
        <f t="shared" si="53"/>
        <v>0</v>
      </c>
      <c r="E34" s="45">
        <f t="shared" si="54"/>
        <v>0</v>
      </c>
      <c r="F34" s="535">
        <v>2278</v>
      </c>
      <c r="G34" s="52">
        <f t="shared" si="55"/>
        <v>0</v>
      </c>
      <c r="H34" s="535">
        <v>46144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v>182265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2491</v>
      </c>
      <c r="Y34" s="52">
        <f t="shared" si="65"/>
        <v>0</v>
      </c>
      <c r="Z34" s="535">
        <f t="shared" si="20"/>
        <v>140821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207</v>
      </c>
      <c r="C35" s="535">
        <f t="shared" si="34"/>
        <v>215</v>
      </c>
      <c r="D35" s="45">
        <f t="shared" si="53"/>
        <v>0</v>
      </c>
      <c r="E35" s="45">
        <f t="shared" si="54"/>
        <v>0</v>
      </c>
      <c r="F35" s="535">
        <f t="shared" si="36"/>
        <v>2278</v>
      </c>
      <c r="G35" s="52">
        <f t="shared" si="55"/>
        <v>0</v>
      </c>
      <c r="H35" s="535">
        <f t="shared" si="10"/>
        <v>46144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182265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2491</v>
      </c>
      <c r="Y35" s="52">
        <f t="shared" si="65"/>
        <v>0</v>
      </c>
      <c r="Z35" s="535">
        <f t="shared" si="20"/>
        <v>140821</v>
      </c>
      <c r="AA35" s="65">
        <f t="shared" si="66"/>
        <v>0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66</v>
      </c>
      <c r="U36" s="70">
        <f>SUM(U5:U35)</f>
        <v>23</v>
      </c>
      <c r="V36" s="62">
        <f>SUM(V5:V35)</f>
        <v>1738</v>
      </c>
      <c r="AE36" s="71" t="s">
        <v>379</v>
      </c>
      <c r="AG36" s="329"/>
      <c r="AH36" s="62">
        <f>SUM(AH5:AH35)</f>
        <v>280</v>
      </c>
      <c r="AL36" s="62">
        <f>SUM(AL5:AL35)</f>
        <v>23</v>
      </c>
      <c r="AM36" s="62">
        <f>SUM(AM5:AM35)</f>
        <v>3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75.565217391304344</v>
      </c>
      <c r="AH37" s="62">
        <f>AF37+AA37</f>
        <v>0</v>
      </c>
      <c r="AI37" s="306">
        <f>SUM(AI5:AI35)</f>
        <v>2018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zoomScale="90" zoomScaleNormal="90" workbookViewId="0">
      <pane ySplit="3" topLeftCell="A10" activePane="bottomLeft" state="frozen"/>
      <selection pane="bottomLeft" activeCell="G35" sqref="G35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17" customWidth="1"/>
    <col min="7" max="7" width="10.26953125" style="1" customWidth="1"/>
    <col min="8" max="8" width="10.7265625" style="1" bestFit="1" customWidth="1"/>
    <col min="9" max="9" width="9.26953125" style="1" customWidth="1"/>
    <col min="10" max="10" width="14.453125" style="317" customWidth="1"/>
    <col min="11" max="11" width="13.54296875" style="1" customWidth="1"/>
    <col min="12" max="12" width="13.26953125" style="1" customWidth="1"/>
    <col min="13" max="13" width="10.7265625" style="465" customWidth="1"/>
    <col min="14" max="14" width="10.7265625" style="467" customWidth="1"/>
    <col min="15" max="15" width="11.26953125" style="465" customWidth="1"/>
    <col min="16" max="16" width="11.26953125" style="467" customWidth="1"/>
    <col min="17" max="17" width="17.26953125" style="465" customWidth="1"/>
    <col min="18" max="19" width="10.7265625" style="465" customWidth="1"/>
    <col min="20" max="20" width="13.26953125" style="390" customWidth="1"/>
    <col min="21" max="21" width="8.7265625" style="392" customWidth="1"/>
    <col min="22" max="22" width="13.26953125" style="307" customWidth="1"/>
    <col min="23" max="23" width="9.7265625" style="307" bestFit="1" customWidth="1"/>
    <col min="24" max="27" width="9.7265625" style="307" customWidth="1"/>
    <col min="28" max="28" width="14.453125" style="307" customWidth="1"/>
    <col min="29" max="32" width="9.7265625" style="307" customWidth="1"/>
    <col min="33" max="33" width="11.26953125" style="307" customWidth="1"/>
    <col min="34" max="36" width="9.7265625" style="307" customWidth="1"/>
    <col min="37" max="37" width="7.453125" style="307" customWidth="1"/>
    <col min="38" max="39" width="8.7265625" style="307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26953125" bestFit="1" customWidth="1"/>
    <col min="49" max="49" width="7.7265625" bestFit="1" customWidth="1"/>
    <col min="50" max="50" width="9.2695312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26953125" bestFit="1" customWidth="1"/>
    <col min="57" max="57" width="12.453125" bestFit="1" customWidth="1"/>
    <col min="58" max="58" width="12.7265625" bestFit="1" customWidth="1"/>
    <col min="59" max="59" width="9.26953125" bestFit="1" customWidth="1"/>
  </cols>
  <sheetData>
    <row r="1" spans="1:65" s="343" customFormat="1" ht="15" thickBot="1">
      <c r="B1" s="344"/>
      <c r="C1" s="344"/>
      <c r="D1" s="399">
        <f>SUM(G21:G33)</f>
        <v>8188876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v>118</v>
      </c>
      <c r="AU21" s="408">
        <f t="shared" si="43"/>
        <v>1.1000000000000001</v>
      </c>
      <c r="AV21" s="201">
        <v>98</v>
      </c>
      <c r="AW21" s="5">
        <v>2.9</v>
      </c>
      <c r="AX21" s="201">
        <v>95</v>
      </c>
      <c r="AY21" s="409">
        <f>AS21*AT21</f>
        <v>106.2</v>
      </c>
      <c r="AZ21" s="409">
        <f>AU21*AV21</f>
        <v>107.80000000000001</v>
      </c>
      <c r="BA21" s="409">
        <f>AW21*AX21</f>
        <v>275.5</v>
      </c>
      <c r="BB21" s="21">
        <f t="shared" ref="BB21:BD33" si="48">AY21-AY20</f>
        <v>16.200000000000003</v>
      </c>
      <c r="BC21" s="21">
        <f t="shared" si="27"/>
        <v>1.1000000000000085</v>
      </c>
      <c r="BD21" s="21">
        <f t="shared" si="27"/>
        <v>-20.300000000000011</v>
      </c>
      <c r="BE21" s="24">
        <f t="shared" si="28"/>
        <v>-3</v>
      </c>
      <c r="BF21" s="96">
        <f t="shared" si="29"/>
        <v>3</v>
      </c>
      <c r="BG21" s="82">
        <f t="shared" si="4"/>
        <v>-3</v>
      </c>
    </row>
    <row r="22" spans="1:61" ht="1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28.5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118</v>
      </c>
      <c r="AU22" s="408">
        <f t="shared" si="43"/>
        <v>1.1000000000000001</v>
      </c>
      <c r="AV22" s="201">
        <v>95</v>
      </c>
      <c r="AW22" s="5">
        <v>2.9</v>
      </c>
      <c r="AX22" s="201">
        <f t="shared" si="36"/>
        <v>95</v>
      </c>
      <c r="AY22" s="409">
        <f t="shared" si="37"/>
        <v>106.2</v>
      </c>
      <c r="AZ22" s="409">
        <f t="shared" si="38"/>
        <v>104.50000000000001</v>
      </c>
      <c r="BA22" s="409">
        <f t="shared" si="39"/>
        <v>275.5</v>
      </c>
      <c r="BB22" s="21">
        <f>AY22-AY21</f>
        <v>0</v>
      </c>
      <c r="BC22" s="21">
        <f t="shared" si="48"/>
        <v>-3.2999999999999972</v>
      </c>
      <c r="BD22" s="21">
        <f t="shared" si="48"/>
        <v>0</v>
      </c>
      <c r="BE22" s="24">
        <f t="shared" si="28"/>
        <v>-3.2999999999999972</v>
      </c>
      <c r="BF22" s="96">
        <f t="shared" si="29"/>
        <v>3.2999999999999972</v>
      </c>
      <c r="BG22" s="82">
        <f t="shared" si="4"/>
        <v>-3.2999999999999972</v>
      </c>
    </row>
    <row r="23" spans="1:61" ht="1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118</v>
      </c>
      <c r="AU23" s="408">
        <f t="shared" si="43"/>
        <v>1.1000000000000001</v>
      </c>
      <c r="AV23" s="201">
        <v>95</v>
      </c>
      <c r="AW23" s="5">
        <v>2.9</v>
      </c>
      <c r="AX23" s="201">
        <v>93</v>
      </c>
      <c r="AY23" s="409">
        <f t="shared" si="37"/>
        <v>106.2</v>
      </c>
      <c r="AZ23" s="409">
        <f t="shared" si="38"/>
        <v>104.50000000000001</v>
      </c>
      <c r="BA23" s="409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-5.8000000000000114</v>
      </c>
      <c r="BE23" s="24">
        <f t="shared" si="28"/>
        <v>-5.8000000000000114</v>
      </c>
      <c r="BF23" s="96">
        <f t="shared" si="29"/>
        <v>5.8000000000000114</v>
      </c>
      <c r="BG23" s="82">
        <f t="shared" si="4"/>
        <v>-5.8000000000000114</v>
      </c>
    </row>
    <row r="24" spans="1:61" ht="1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118</v>
      </c>
      <c r="AU24" s="408">
        <f t="shared" si="43"/>
        <v>1.1000000000000001</v>
      </c>
      <c r="AV24" s="201">
        <f t="shared" si="35"/>
        <v>95</v>
      </c>
      <c r="AW24" s="5">
        <v>2.9</v>
      </c>
      <c r="AX24" s="201">
        <f t="shared" si="36"/>
        <v>93</v>
      </c>
      <c r="AY24" s="409">
        <f t="shared" si="37"/>
        <v>106.2</v>
      </c>
      <c r="AZ24" s="409">
        <f t="shared" si="38"/>
        <v>104.50000000000001</v>
      </c>
      <c r="BA24" s="409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27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118</v>
      </c>
      <c r="AU25" s="408">
        <f t="shared" si="43"/>
        <v>1.1000000000000001</v>
      </c>
      <c r="AV25" s="201">
        <f t="shared" si="35"/>
        <v>95</v>
      </c>
      <c r="AW25" s="5">
        <v>2.9</v>
      </c>
      <c r="AX25" s="201">
        <f t="shared" si="36"/>
        <v>93</v>
      </c>
      <c r="AY25" s="409">
        <f t="shared" si="37"/>
        <v>106.2</v>
      </c>
      <c r="AZ25" s="409">
        <f t="shared" si="38"/>
        <v>104.50000000000001</v>
      </c>
      <c r="BA25" s="409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629889</v>
      </c>
      <c r="H26" s="5">
        <f>G26-G25</f>
        <v>35</v>
      </c>
      <c r="I26" s="5">
        <f t="shared" si="10"/>
        <v>35</v>
      </c>
      <c r="J26" s="319">
        <f t="shared" si="0"/>
        <v>6.9124423963133639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v>5189</v>
      </c>
      <c r="U26" s="5">
        <f t="shared" si="3"/>
        <v>6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27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118</v>
      </c>
      <c r="AU26" s="408">
        <f t="shared" si="43"/>
        <v>1.1000000000000001</v>
      </c>
      <c r="AV26" s="201">
        <f t="shared" si="35"/>
        <v>95</v>
      </c>
      <c r="AW26" s="5">
        <v>2.9</v>
      </c>
      <c r="AX26" s="201">
        <f t="shared" si="36"/>
        <v>93</v>
      </c>
      <c r="AY26" s="409">
        <f t="shared" si="37"/>
        <v>106.2</v>
      </c>
      <c r="AZ26" s="409">
        <f t="shared" si="38"/>
        <v>104.50000000000001</v>
      </c>
      <c r="BA26" s="409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35</v>
      </c>
      <c r="BG26" s="82">
        <f t="shared" si="4"/>
        <v>0</v>
      </c>
    </row>
    <row r="27" spans="1:61" ht="1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5189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27.5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118</v>
      </c>
      <c r="AU27" s="408">
        <f t="shared" si="43"/>
        <v>1.1000000000000001</v>
      </c>
      <c r="AV27" s="201">
        <f t="shared" si="35"/>
        <v>95</v>
      </c>
      <c r="AW27" s="5">
        <v>2.9</v>
      </c>
      <c r="AX27" s="201">
        <f t="shared" si="36"/>
        <v>93</v>
      </c>
      <c r="AY27" s="409">
        <f t="shared" si="37"/>
        <v>106.2</v>
      </c>
      <c r="AZ27" s="409">
        <f t="shared" si="38"/>
        <v>104.50000000000001</v>
      </c>
      <c r="BA27" s="409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v>5190</v>
      </c>
      <c r="U28" s="5">
        <f t="shared" si="3"/>
        <v>1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27.5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v>109</v>
      </c>
      <c r="AU28" s="408">
        <f t="shared" si="43"/>
        <v>1.1000000000000001</v>
      </c>
      <c r="AV28" s="201">
        <v>86</v>
      </c>
      <c r="AW28" s="5">
        <v>2.9</v>
      </c>
      <c r="AX28" s="201">
        <v>87</v>
      </c>
      <c r="AY28" s="409">
        <f t="shared" si="37"/>
        <v>98.100000000000009</v>
      </c>
      <c r="AZ28" s="409">
        <f t="shared" si="38"/>
        <v>94.600000000000009</v>
      </c>
      <c r="BA28" s="409">
        <f t="shared" si="39"/>
        <v>252.29999999999998</v>
      </c>
      <c r="BB28" s="21">
        <f t="shared" si="48"/>
        <v>-8.0999999999999943</v>
      </c>
      <c r="BC28" s="21">
        <f t="shared" si="48"/>
        <v>-9.9000000000000057</v>
      </c>
      <c r="BD28" s="21">
        <f t="shared" si="48"/>
        <v>-17.400000000000006</v>
      </c>
      <c r="BE28" s="24">
        <f t="shared" si="28"/>
        <v>-35.400000000000006</v>
      </c>
      <c r="BF28" s="96">
        <f t="shared" si="29"/>
        <v>35.400000000000006</v>
      </c>
      <c r="BG28" s="82">
        <f t="shared" si="4"/>
        <v>-35.400000000000006</v>
      </c>
    </row>
    <row r="29" spans="1:61" ht="1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v>629959</v>
      </c>
      <c r="H29" s="5">
        <f t="shared" si="9"/>
        <v>70</v>
      </c>
      <c r="I29" s="5">
        <f t="shared" si="10"/>
        <v>70</v>
      </c>
      <c r="J29" s="319">
        <f t="shared" si="0"/>
        <v>3.4562211981566819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5190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27.5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v>130</v>
      </c>
      <c r="AU29" s="408">
        <f t="shared" si="43"/>
        <v>1.1000000000000001</v>
      </c>
      <c r="AV29" s="201">
        <v>84</v>
      </c>
      <c r="AW29" s="5">
        <v>2.9</v>
      </c>
      <c r="AX29" s="201">
        <v>86</v>
      </c>
      <c r="AY29" s="409">
        <f t="shared" si="37"/>
        <v>117</v>
      </c>
      <c r="AZ29" s="409">
        <f t="shared" si="38"/>
        <v>92.4</v>
      </c>
      <c r="BA29" s="409">
        <f t="shared" si="39"/>
        <v>249.4</v>
      </c>
      <c r="BB29" s="21">
        <f t="shared" si="48"/>
        <v>18.899999999999991</v>
      </c>
      <c r="BC29" s="21">
        <f t="shared" si="48"/>
        <v>-2.2000000000000028</v>
      </c>
      <c r="BD29" s="21">
        <f t="shared" si="48"/>
        <v>-2.8999999999999773</v>
      </c>
      <c r="BE29" s="24">
        <f t="shared" si="28"/>
        <v>13.800000000000011</v>
      </c>
      <c r="BF29" s="96">
        <f t="shared" si="29"/>
        <v>56.199999999999989</v>
      </c>
      <c r="BG29" s="82">
        <f t="shared" si="4"/>
        <v>13.800000000000011</v>
      </c>
    </row>
    <row r="30" spans="1:61" ht="1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629959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5190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29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130</v>
      </c>
      <c r="AU30" s="408">
        <f t="shared" si="43"/>
        <v>1.1000000000000001</v>
      </c>
      <c r="AV30" s="201">
        <v>83</v>
      </c>
      <c r="AW30" s="5">
        <v>2.9</v>
      </c>
      <c r="AX30" s="201">
        <v>84</v>
      </c>
      <c r="AY30" s="409">
        <f t="shared" si="37"/>
        <v>117</v>
      </c>
      <c r="AZ30" s="409">
        <f t="shared" si="38"/>
        <v>91.300000000000011</v>
      </c>
      <c r="BA30" s="409">
        <f t="shared" si="39"/>
        <v>243.6</v>
      </c>
      <c r="BB30" s="21">
        <f t="shared" si="48"/>
        <v>0</v>
      </c>
      <c r="BC30" s="21">
        <f t="shared" si="48"/>
        <v>-1.0999999999999943</v>
      </c>
      <c r="BD30" s="21">
        <f t="shared" si="48"/>
        <v>-5.8000000000000114</v>
      </c>
      <c r="BE30" s="24">
        <f t="shared" si="28"/>
        <v>-6.9000000000000057</v>
      </c>
      <c r="BF30" s="96">
        <f t="shared" si="29"/>
        <v>6.9000000000000057</v>
      </c>
      <c r="BG30" s="82">
        <f t="shared" si="4"/>
        <v>-6.9000000000000057</v>
      </c>
    </row>
    <row r="31" spans="1:61" ht="1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629959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5190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29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130</v>
      </c>
      <c r="AU31" s="408">
        <f t="shared" si="43"/>
        <v>1.1000000000000001</v>
      </c>
      <c r="AV31" s="201">
        <f t="shared" si="35"/>
        <v>83</v>
      </c>
      <c r="AW31" s="5">
        <v>2.9</v>
      </c>
      <c r="AX31" s="201">
        <f t="shared" si="36"/>
        <v>84</v>
      </c>
      <c r="AY31" s="409">
        <f t="shared" si="37"/>
        <v>117</v>
      </c>
      <c r="AZ31" s="409">
        <f>AU31*AV31</f>
        <v>91.300000000000011</v>
      </c>
      <c r="BA31" s="409">
        <f t="shared" si="39"/>
        <v>243.6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629959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5190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130</v>
      </c>
      <c r="AU32" s="408">
        <f t="shared" si="43"/>
        <v>1.1000000000000001</v>
      </c>
      <c r="AV32" s="201">
        <f t="shared" si="35"/>
        <v>83</v>
      </c>
      <c r="AW32" s="5">
        <v>2.9</v>
      </c>
      <c r="AX32" s="201">
        <f t="shared" si="36"/>
        <v>84</v>
      </c>
      <c r="AY32" s="409">
        <f t="shared" si="37"/>
        <v>117</v>
      </c>
      <c r="AZ32" s="409">
        <f t="shared" si="38"/>
        <v>91.300000000000011</v>
      </c>
      <c r="BA32" s="409">
        <f t="shared" si="39"/>
        <v>243.6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v>630103</v>
      </c>
      <c r="H33" s="5">
        <f t="shared" si="9"/>
        <v>144</v>
      </c>
      <c r="I33" s="5">
        <f t="shared" si="10"/>
        <v>144</v>
      </c>
      <c r="J33" s="319">
        <f t="shared" si="0"/>
        <v>1.6801075268817205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5190</v>
      </c>
      <c r="U33" s="5">
        <f t="shared" si="3"/>
        <v>0</v>
      </c>
      <c r="V33" s="5">
        <v>498</v>
      </c>
      <c r="W33" s="309">
        <f t="shared" si="14"/>
        <v>1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v>225</v>
      </c>
      <c r="AC33" s="5">
        <f t="shared" si="32"/>
        <v>730</v>
      </c>
      <c r="AD33" s="83">
        <f t="shared" si="33"/>
        <v>0</v>
      </c>
      <c r="AE33" s="5">
        <v>248.42</v>
      </c>
      <c r="AF33" s="83">
        <f>AE33-AE32</f>
        <v>4.0199999999999818</v>
      </c>
      <c r="AG33" s="5">
        <f t="shared" si="20"/>
        <v>2247.41</v>
      </c>
      <c r="AH33" s="83">
        <f t="shared" si="21"/>
        <v>0</v>
      </c>
      <c r="AI33" s="83">
        <f t="shared" si="22"/>
        <v>4.0199999999999818</v>
      </c>
      <c r="AJ33" s="311">
        <f t="shared" si="23"/>
        <v>0</v>
      </c>
      <c r="AK33" s="312">
        <f t="shared" si="34"/>
        <v>0</v>
      </c>
      <c r="AL33" s="312">
        <f t="shared" si="24"/>
        <v>-1</v>
      </c>
      <c r="AM33" s="312">
        <f>'General information '!D32</f>
        <v>29.5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v>200</v>
      </c>
      <c r="AU33" s="408">
        <f t="shared" si="43"/>
        <v>1.1000000000000001</v>
      </c>
      <c r="AV33" s="201">
        <v>79</v>
      </c>
      <c r="AW33" s="5">
        <v>2.9</v>
      </c>
      <c r="AX33" s="201">
        <v>81</v>
      </c>
      <c r="AY33" s="409">
        <f t="shared" si="37"/>
        <v>180</v>
      </c>
      <c r="AZ33" s="409">
        <f t="shared" si="38"/>
        <v>86.9</v>
      </c>
      <c r="BA33" s="409">
        <f t="shared" si="39"/>
        <v>234.9</v>
      </c>
      <c r="BB33" s="21">
        <f t="shared" si="48"/>
        <v>63</v>
      </c>
      <c r="BC33" s="21">
        <f t="shared" si="48"/>
        <v>-4.4000000000000057</v>
      </c>
      <c r="BD33" s="21">
        <f t="shared" si="48"/>
        <v>-8.6999999999999886</v>
      </c>
      <c r="BE33" s="24">
        <f t="shared" si="28"/>
        <v>49.900000000000006</v>
      </c>
      <c r="BF33" s="96">
        <f t="shared" si="29"/>
        <v>94.1</v>
      </c>
      <c r="BG33" s="82">
        <f t="shared" si="4"/>
        <v>49.900000000000006</v>
      </c>
    </row>
    <row r="34" spans="1:59" ht="1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630103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5190</v>
      </c>
      <c r="U34" s="5">
        <f t="shared" ref="U34:U36" si="59">SUM(T34-T33)</f>
        <v>0</v>
      </c>
      <c r="V34" s="5">
        <v>498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225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248.42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29.5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200</v>
      </c>
      <c r="AU34" s="408">
        <f t="shared" si="43"/>
        <v>1.1000000000000001</v>
      </c>
      <c r="AV34" s="201">
        <f t="shared" si="35"/>
        <v>79</v>
      </c>
      <c r="AW34" s="5">
        <v>2.9</v>
      </c>
      <c r="AX34" s="201">
        <f t="shared" si="36"/>
        <v>81</v>
      </c>
      <c r="AY34" s="409">
        <f t="shared" ref="AY34:AY36" si="71">AS34*AT34</f>
        <v>180</v>
      </c>
      <c r="AZ34" s="409">
        <f t="shared" ref="AZ34:AZ36" si="72">AU34*AV34</f>
        <v>86.9</v>
      </c>
      <c r="BA34" s="409">
        <f t="shared" ref="BA34:BA36" si="73">AW34*AX34</f>
        <v>234.9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630103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5190</v>
      </c>
      <c r="U35" s="5">
        <f t="shared" si="59"/>
        <v>0</v>
      </c>
      <c r="V35" s="5">
        <f>V34</f>
        <v>498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225</v>
      </c>
      <c r="AC35" s="5">
        <f t="shared" si="32"/>
        <v>730</v>
      </c>
      <c r="AD35" s="83">
        <f t="shared" si="63"/>
        <v>0</v>
      </c>
      <c r="AE35" s="5">
        <f t="shared" si="18"/>
        <v>248.42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200</v>
      </c>
      <c r="AU35" s="408">
        <f t="shared" si="43"/>
        <v>1.1000000000000001</v>
      </c>
      <c r="AV35" s="201">
        <f t="shared" si="35"/>
        <v>79</v>
      </c>
      <c r="AW35" s="5">
        <v>2.9</v>
      </c>
      <c r="AX35" s="201">
        <f t="shared" si="36"/>
        <v>81</v>
      </c>
      <c r="AY35" s="409">
        <f t="shared" si="71"/>
        <v>180</v>
      </c>
      <c r="AZ35" s="409">
        <f t="shared" si="72"/>
        <v>86.9</v>
      </c>
      <c r="BA35" s="409">
        <f t="shared" si="73"/>
        <v>234.9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630103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5190</v>
      </c>
      <c r="U36" s="5">
        <f t="shared" si="59"/>
        <v>0</v>
      </c>
      <c r="V36" s="5">
        <f>V35</f>
        <v>498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225</v>
      </c>
      <c r="AC36" s="5">
        <f t="shared" si="32"/>
        <v>730</v>
      </c>
      <c r="AD36" s="83">
        <f t="shared" si="63"/>
        <v>0</v>
      </c>
      <c r="AE36" s="5">
        <f t="shared" si="18"/>
        <v>248.42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200</v>
      </c>
      <c r="AU36" s="408">
        <f t="shared" si="43"/>
        <v>1.1000000000000001</v>
      </c>
      <c r="AV36" s="201">
        <f t="shared" si="35"/>
        <v>79</v>
      </c>
      <c r="AW36" s="5">
        <v>2.9</v>
      </c>
      <c r="AX36" s="201">
        <f t="shared" si="36"/>
        <v>81</v>
      </c>
      <c r="AY36" s="409">
        <f t="shared" si="71"/>
        <v>180</v>
      </c>
      <c r="AZ36" s="409">
        <f t="shared" si="72"/>
        <v>86.9</v>
      </c>
      <c r="BA36" s="409">
        <f t="shared" si="73"/>
        <v>234.9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298</v>
      </c>
      <c r="I37" s="395">
        <f>SUM(I6:I36)</f>
        <v>298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-1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298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298</v>
      </c>
      <c r="H39" s="1">
        <f>SUM(H38+C38)</f>
        <v>7500</v>
      </c>
      <c r="K39" s="1">
        <f>SUM(H39/G39)</f>
        <v>25.167785234899331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70" zoomScaleNormal="70" workbookViewId="0">
      <pane ySplit="1" topLeftCell="A18" activePane="bottomLeft" state="frozen"/>
      <selection pane="bottomLeft" activeCell="Q31" sqref="Q31"/>
    </sheetView>
  </sheetViews>
  <sheetFormatPr defaultRowHeight="14.5"/>
  <cols>
    <col min="1" max="1" width="10.26953125" customWidth="1"/>
    <col min="2" max="2" width="10.54296875" bestFit="1" customWidth="1"/>
    <col min="3" max="3" width="7.7265625" customWidth="1"/>
    <col min="4" max="4" width="10.7265625" customWidth="1"/>
    <col min="5" max="5" width="10.7265625" bestFit="1" customWidth="1"/>
    <col min="6" max="6" width="8.7265625" customWidth="1"/>
    <col min="7" max="7" width="3.453125" bestFit="1" customWidth="1"/>
    <col min="8" max="8" width="8.8164062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customWidth="1"/>
    <col min="15" max="15" width="6.26953125" bestFit="1" customWidth="1"/>
    <col min="16" max="16" width="8.81640625" bestFit="1" customWidth="1"/>
    <col min="17" max="17" width="7.7265625" bestFit="1" customWidth="1"/>
    <col min="18" max="18" width="9.26953125" bestFit="1" customWidth="1"/>
    <col min="19" max="19" width="8.7265625" bestFit="1" customWidth="1"/>
    <col min="20" max="21" width="10.7265625" bestFit="1" customWidth="1"/>
    <col min="22" max="22" width="8.7265625" bestFit="1" customWidth="1"/>
    <col min="23" max="23" width="3.26953125" bestFit="1" customWidth="1"/>
    <col min="24" max="24" width="12" customWidth="1"/>
    <col min="25" max="25" width="10.54296875" customWidth="1"/>
    <col min="26" max="26" width="8" bestFit="1" customWidth="1"/>
    <col min="27" max="27" width="11.7265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8" s="20" customFormat="1" ht="4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33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" thickBot="1">
      <c r="A14" s="4">
        <f>ELEC!C15</f>
        <v>44785</v>
      </c>
      <c r="B14" s="500">
        <f t="shared" si="25"/>
        <v>701</v>
      </c>
      <c r="C14" s="276">
        <f t="shared" si="11"/>
        <v>0</v>
      </c>
      <c r="D14" s="501">
        <f t="shared" si="26"/>
        <v>732886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" thickBot="1">
      <c r="A15" s="4">
        <f>ELEC!C16</f>
        <v>44786</v>
      </c>
      <c r="B15" s="500">
        <f t="shared" si="25"/>
        <v>701</v>
      </c>
      <c r="C15" s="276">
        <f t="shared" si="11"/>
        <v>0</v>
      </c>
      <c r="D15" s="501">
        <f t="shared" si="26"/>
        <v>732886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" thickBot="1">
      <c r="A16" s="4">
        <f>ELEC!C17</f>
        <v>44787</v>
      </c>
      <c r="B16" s="500">
        <f t="shared" si="25"/>
        <v>701</v>
      </c>
      <c r="C16" s="276">
        <f t="shared" si="11"/>
        <v>0</v>
      </c>
      <c r="D16" s="501">
        <f t="shared" si="26"/>
        <v>732886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" thickBot="1">
      <c r="A17" s="4">
        <f>ELEC!C18</f>
        <v>44788</v>
      </c>
      <c r="B17" s="500">
        <f t="shared" si="25"/>
        <v>701</v>
      </c>
      <c r="C17" s="276">
        <f t="shared" si="11"/>
        <v>0</v>
      </c>
      <c r="D17" s="501">
        <f t="shared" si="26"/>
        <v>732886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3076.0000000009313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791.71308016901617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" thickBot="1">
      <c r="A18" s="4">
        <f>ELEC!C19</f>
        <v>44789</v>
      </c>
      <c r="B18" s="500">
        <v>712</v>
      </c>
      <c r="C18" s="276">
        <f t="shared" si="11"/>
        <v>11</v>
      </c>
      <c r="D18" s="501">
        <f t="shared" si="26"/>
        <v>733821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v>118</v>
      </c>
      <c r="K18" s="276">
        <f t="shared" si="2"/>
        <v>1</v>
      </c>
      <c r="L18" s="501">
        <f t="shared" si="30"/>
        <v>386441</v>
      </c>
      <c r="M18" s="276">
        <f t="shared" si="3"/>
        <v>250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12</v>
      </c>
      <c r="AA18" s="276">
        <f t="shared" si="20"/>
        <v>1185</v>
      </c>
      <c r="AB18" s="276">
        <f t="shared" si="21"/>
        <v>585</v>
      </c>
      <c r="AC18" s="276">
        <f t="shared" si="22"/>
        <v>98.75</v>
      </c>
      <c r="AD18" s="73">
        <f>ELEC!Q19</f>
        <v>3851.9999999989523</v>
      </c>
      <c r="AE18" s="73">
        <f t="shared" si="27"/>
        <v>320.99999999991269</v>
      </c>
      <c r="AF18" s="387">
        <f t="shared" si="28"/>
        <v>0.20062499999994543</v>
      </c>
      <c r="AG18" s="387">
        <f t="shared" si="28"/>
        <v>1.2539062499996589E-4</v>
      </c>
      <c r="AH18" s="388">
        <f t="shared" si="23"/>
        <v>98.749874609374999</v>
      </c>
      <c r="AI18" s="73">
        <f t="shared" si="29"/>
        <v>991.44303797441398</v>
      </c>
      <c r="AJ18" s="278">
        <f t="shared" si="9"/>
        <v>0.25738396624472576</v>
      </c>
      <c r="AK18" s="278">
        <f t="shared" si="10"/>
        <v>82.620253164534503</v>
      </c>
      <c r="AL18">
        <f t="shared" si="24"/>
        <v>1</v>
      </c>
    </row>
    <row r="19" spans="1:38" ht="15" thickBot="1">
      <c r="A19" s="4">
        <f>ELEC!C20</f>
        <v>44790</v>
      </c>
      <c r="B19" s="500">
        <v>730</v>
      </c>
      <c r="C19" s="276">
        <f t="shared" si="11"/>
        <v>18</v>
      </c>
      <c r="D19" s="501">
        <f t="shared" si="26"/>
        <v>735351</v>
      </c>
      <c r="E19" s="276">
        <f t="shared" si="12"/>
        <v>1530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122</v>
      </c>
      <c r="K19" s="276">
        <f t="shared" si="2"/>
        <v>4</v>
      </c>
      <c r="L19" s="501">
        <f t="shared" si="30"/>
        <v>387441</v>
      </c>
      <c r="M19" s="276">
        <f t="shared" si="3"/>
        <v>1000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22</v>
      </c>
      <c r="AA19" s="276">
        <f t="shared" si="20"/>
        <v>2530</v>
      </c>
      <c r="AB19" s="276">
        <f t="shared" si="21"/>
        <v>585</v>
      </c>
      <c r="AC19" s="276">
        <f t="shared" si="22"/>
        <v>115</v>
      </c>
      <c r="AD19" s="73">
        <f>ELEC!Q20</f>
        <v>4184.0000000011059</v>
      </c>
      <c r="AE19" s="73">
        <f t="shared" si="27"/>
        <v>190.18181818186846</v>
      </c>
      <c r="AF19" s="387">
        <f t="shared" si="28"/>
        <v>0.11886363636366779</v>
      </c>
      <c r="AG19" s="387">
        <f t="shared" si="28"/>
        <v>7.428977272729237E-5</v>
      </c>
      <c r="AH19" s="388">
        <f t="shared" si="23"/>
        <v>114.99992571022727</v>
      </c>
      <c r="AI19" s="73">
        <f t="shared" si="29"/>
        <v>1076.8945147682173</v>
      </c>
      <c r="AJ19" s="278">
        <f t="shared" si="9"/>
        <v>0.25738396624472576</v>
      </c>
      <c r="AK19" s="278">
        <f t="shared" si="10"/>
        <v>48.949750671282601</v>
      </c>
      <c r="AL19">
        <f t="shared" si="24"/>
        <v>1</v>
      </c>
    </row>
    <row r="20" spans="1:38" ht="15" thickBot="1">
      <c r="A20" s="4">
        <f>ELEC!C21</f>
        <v>44791</v>
      </c>
      <c r="B20" s="500">
        <v>737</v>
      </c>
      <c r="C20" s="276">
        <f>B20-B19</f>
        <v>7</v>
      </c>
      <c r="D20" s="501">
        <f t="shared" si="26"/>
        <v>735946</v>
      </c>
      <c r="E20" s="276">
        <f t="shared" si="12"/>
        <v>595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v>125</v>
      </c>
      <c r="K20" s="276">
        <f t="shared" si="2"/>
        <v>3</v>
      </c>
      <c r="L20" s="501">
        <f t="shared" si="30"/>
        <v>388191</v>
      </c>
      <c r="M20" s="276">
        <f t="shared" si="3"/>
        <v>750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10</v>
      </c>
      <c r="AA20" s="276">
        <f t="shared" si="20"/>
        <v>1345</v>
      </c>
      <c r="AB20" s="276">
        <f t="shared" si="21"/>
        <v>585</v>
      </c>
      <c r="AC20" s="276">
        <f t="shared" si="22"/>
        <v>134.5</v>
      </c>
      <c r="AD20" s="73">
        <f>ELEC!Q21</f>
        <v>4317.9999999993015</v>
      </c>
      <c r="AE20" s="73">
        <f t="shared" si="27"/>
        <v>431.79999999993015</v>
      </c>
      <c r="AF20" s="387">
        <f t="shared" si="28"/>
        <v>0.26987499999995634</v>
      </c>
      <c r="AG20" s="387">
        <f t="shared" si="28"/>
        <v>1.6867187499997272E-4</v>
      </c>
      <c r="AH20" s="388">
        <f t="shared" si="23"/>
        <v>134.499831328125</v>
      </c>
      <c r="AI20" s="73">
        <f>AD20*AJ20</f>
        <v>1111.3839662445459</v>
      </c>
      <c r="AJ20" s="278">
        <f t="shared" si="9"/>
        <v>0.25738396624472576</v>
      </c>
      <c r="AK20" s="278">
        <f t="shared" si="10"/>
        <v>111.1383966244546</v>
      </c>
      <c r="AL20">
        <f t="shared" si="24"/>
        <v>1</v>
      </c>
    </row>
    <row r="21" spans="1:38" ht="15" thickBot="1">
      <c r="A21" s="4">
        <f>ELEC!C22</f>
        <v>44792</v>
      </c>
      <c r="B21" s="500">
        <f t="shared" si="25"/>
        <v>737</v>
      </c>
      <c r="C21" s="276">
        <f>B21-B20</f>
        <v>0</v>
      </c>
      <c r="D21" s="501">
        <f t="shared" si="26"/>
        <v>735946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125</v>
      </c>
      <c r="K21" s="276">
        <f t="shared" si="2"/>
        <v>0</v>
      </c>
      <c r="L21" s="501">
        <f t="shared" si="30"/>
        <v>388191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" thickBot="1">
      <c r="A22" s="4">
        <f>ELEC!C23</f>
        <v>44793</v>
      </c>
      <c r="B22" s="500">
        <f t="shared" si="25"/>
        <v>737</v>
      </c>
      <c r="C22" s="276">
        <f t="shared" si="11"/>
        <v>0</v>
      </c>
      <c r="D22" s="501">
        <f t="shared" si="26"/>
        <v>735946</v>
      </c>
      <c r="E22" s="276">
        <f t="shared" si="12"/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125</v>
      </c>
      <c r="K22" s="276">
        <f t="shared" si="2"/>
        <v>0</v>
      </c>
      <c r="L22" s="501">
        <f t="shared" si="30"/>
        <v>388191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" thickBot="1">
      <c r="A23" s="4">
        <f>ELEC!C24</f>
        <v>44794</v>
      </c>
      <c r="B23" s="500">
        <v>747</v>
      </c>
      <c r="C23" s="276">
        <f t="shared" si="11"/>
        <v>10</v>
      </c>
      <c r="D23" s="501">
        <f t="shared" si="26"/>
        <v>736796</v>
      </c>
      <c r="E23" s="276">
        <f t="shared" si="12"/>
        <v>850</v>
      </c>
      <c r="F23" s="276">
        <f t="shared" si="0"/>
        <v>85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125</v>
      </c>
      <c r="K23" s="276">
        <f t="shared" si="2"/>
        <v>0</v>
      </c>
      <c r="L23" s="501">
        <f t="shared" si="30"/>
        <v>388191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10</v>
      </c>
      <c r="AA23" s="276">
        <f t="shared" si="20"/>
        <v>850</v>
      </c>
      <c r="AB23" s="276">
        <f t="shared" si="21"/>
        <v>585</v>
      </c>
      <c r="AC23" s="276">
        <f t="shared" si="22"/>
        <v>85</v>
      </c>
      <c r="AD23" s="73">
        <f>ELEC!Q24</f>
        <v>3463.9999999999418</v>
      </c>
      <c r="AE23" s="73">
        <f t="shared" si="27"/>
        <v>346.39999999999418</v>
      </c>
      <c r="AF23" s="387">
        <f t="shared" si="28"/>
        <v>0.21649999999999636</v>
      </c>
      <c r="AG23" s="387">
        <f t="shared" si="28"/>
        <v>1.3531249999999774E-4</v>
      </c>
      <c r="AH23" s="388">
        <f t="shared" si="23"/>
        <v>84.999864687499993</v>
      </c>
      <c r="AI23" s="73">
        <f t="shared" si="29"/>
        <v>891.57805907171507</v>
      </c>
      <c r="AJ23" s="278">
        <f t="shared" si="9"/>
        <v>0.25738396624472576</v>
      </c>
      <c r="AK23" s="278">
        <f t="shared" si="10"/>
        <v>89.157805907171507</v>
      </c>
      <c r="AL23">
        <f t="shared" si="24"/>
        <v>1</v>
      </c>
    </row>
    <row r="24" spans="1:38" ht="15" thickBot="1">
      <c r="A24" s="4">
        <f>ELEC!C25</f>
        <v>44795</v>
      </c>
      <c r="B24" s="500">
        <v>757</v>
      </c>
      <c r="C24" s="276">
        <f t="shared" si="11"/>
        <v>10</v>
      </c>
      <c r="D24" s="501">
        <f t="shared" si="26"/>
        <v>737646</v>
      </c>
      <c r="E24" s="276">
        <f t="shared" si="12"/>
        <v>850</v>
      </c>
      <c r="F24" s="276">
        <f t="shared" si="0"/>
        <v>85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125</v>
      </c>
      <c r="K24" s="276">
        <f t="shared" si="2"/>
        <v>0</v>
      </c>
      <c r="L24" s="501">
        <f t="shared" si="30"/>
        <v>388191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10</v>
      </c>
      <c r="AA24" s="276">
        <f t="shared" si="20"/>
        <v>850</v>
      </c>
      <c r="AB24" s="276">
        <f t="shared" si="21"/>
        <v>585</v>
      </c>
      <c r="AC24" s="276">
        <f t="shared" si="22"/>
        <v>85</v>
      </c>
      <c r="AD24" s="73">
        <f>ELEC!Q25</f>
        <v>3225.9999999987485</v>
      </c>
      <c r="AE24" s="73">
        <f t="shared" si="27"/>
        <v>322.59999999987485</v>
      </c>
      <c r="AF24" s="387">
        <f t="shared" si="28"/>
        <v>0.20162499999992178</v>
      </c>
      <c r="AG24" s="387">
        <f t="shared" si="28"/>
        <v>1.2601562499995112E-4</v>
      </c>
      <c r="AH24" s="388">
        <f t="shared" si="23"/>
        <v>84.999873984375</v>
      </c>
      <c r="AI24" s="73">
        <f t="shared" si="29"/>
        <v>830.32067510516322</v>
      </c>
      <c r="AJ24" s="278">
        <f t="shared" si="9"/>
        <v>0.25738396624472576</v>
      </c>
      <c r="AK24" s="278">
        <f t="shared" si="10"/>
        <v>83.032067510516328</v>
      </c>
      <c r="AL24">
        <f t="shared" si="24"/>
        <v>1</v>
      </c>
    </row>
    <row r="25" spans="1:38" ht="15" thickBot="1">
      <c r="A25" s="4">
        <f>ELEC!C26</f>
        <v>44796</v>
      </c>
      <c r="B25" s="500">
        <v>769</v>
      </c>
      <c r="C25" s="276">
        <f t="shared" si="11"/>
        <v>12</v>
      </c>
      <c r="D25" s="501">
        <f t="shared" si="26"/>
        <v>738666</v>
      </c>
      <c r="E25" s="276">
        <f t="shared" si="12"/>
        <v>1020</v>
      </c>
      <c r="F25" s="276">
        <f t="shared" si="0"/>
        <v>85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125</v>
      </c>
      <c r="K25" s="276">
        <f t="shared" si="2"/>
        <v>0</v>
      </c>
      <c r="L25" s="501">
        <f t="shared" si="30"/>
        <v>388191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12</v>
      </c>
      <c r="AA25" s="276">
        <f t="shared" si="20"/>
        <v>1020</v>
      </c>
      <c r="AB25" s="276">
        <f t="shared" si="21"/>
        <v>585</v>
      </c>
      <c r="AC25" s="276">
        <f t="shared" si="22"/>
        <v>85</v>
      </c>
      <c r="AD25" s="73">
        <f>ELEC!Q26</f>
        <v>3537.0000000002619</v>
      </c>
      <c r="AE25" s="73">
        <f t="shared" si="27"/>
        <v>294.75000000002183</v>
      </c>
      <c r="AF25" s="387">
        <f t="shared" si="28"/>
        <v>0.18421875000001364</v>
      </c>
      <c r="AG25" s="387">
        <f t="shared" si="28"/>
        <v>1.1513671875000853E-4</v>
      </c>
      <c r="AH25" s="388">
        <f t="shared" si="23"/>
        <v>84.999884863281252</v>
      </c>
      <c r="AI25" s="73">
        <f t="shared" si="29"/>
        <v>910.36708860766248</v>
      </c>
      <c r="AJ25" s="278">
        <f t="shared" si="9"/>
        <v>0.25738396624472576</v>
      </c>
      <c r="AK25" s="278">
        <f t="shared" si="10"/>
        <v>75.863924050638545</v>
      </c>
      <c r="AL25">
        <f t="shared" si="24"/>
        <v>1</v>
      </c>
    </row>
    <row r="26" spans="1:38" ht="15" thickBot="1">
      <c r="A26" s="4">
        <f>ELEC!C27</f>
        <v>44797</v>
      </c>
      <c r="B26" s="500">
        <v>780</v>
      </c>
      <c r="C26" s="276">
        <f>B26-B25</f>
        <v>11</v>
      </c>
      <c r="D26" s="501">
        <f t="shared" si="26"/>
        <v>739601</v>
      </c>
      <c r="E26" s="276">
        <f t="shared" si="12"/>
        <v>935</v>
      </c>
      <c r="F26" s="276">
        <f t="shared" si="0"/>
        <v>85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125</v>
      </c>
      <c r="K26" s="276">
        <f t="shared" si="2"/>
        <v>0</v>
      </c>
      <c r="L26" s="501">
        <f t="shared" si="30"/>
        <v>388191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11</v>
      </c>
      <c r="AA26" s="276">
        <f t="shared" si="20"/>
        <v>935</v>
      </c>
      <c r="AB26" s="276">
        <f t="shared" si="21"/>
        <v>585</v>
      </c>
      <c r="AC26" s="276">
        <f t="shared" si="22"/>
        <v>85</v>
      </c>
      <c r="AD26" s="73">
        <f>ELEC!Q27</f>
        <v>3421.9999999986612</v>
      </c>
      <c r="AE26" s="73">
        <f t="shared" si="27"/>
        <v>311.09090909078736</v>
      </c>
      <c r="AF26" s="387">
        <f t="shared" si="28"/>
        <v>0.1944318181817421</v>
      </c>
      <c r="AG26" s="387">
        <f t="shared" si="28"/>
        <v>1.2151988636358881E-4</v>
      </c>
      <c r="AH26" s="388">
        <f t="shared" si="23"/>
        <v>84.999878480113637</v>
      </c>
      <c r="AI26" s="73">
        <f t="shared" si="29"/>
        <v>880.76793248910701</v>
      </c>
      <c r="AJ26" s="278">
        <f t="shared" si="9"/>
        <v>0.25738396624472576</v>
      </c>
      <c r="AK26" s="278">
        <f t="shared" si="10"/>
        <v>80.069812044464271</v>
      </c>
      <c r="AL26">
        <f t="shared" si="24"/>
        <v>1</v>
      </c>
    </row>
    <row r="27" spans="1:38" ht="15" thickBot="1">
      <c r="A27" s="4">
        <f>ELEC!C28</f>
        <v>44798</v>
      </c>
      <c r="B27" s="500">
        <v>789</v>
      </c>
      <c r="C27" s="276">
        <f>B27-B26</f>
        <v>9</v>
      </c>
      <c r="D27" s="501">
        <f t="shared" si="26"/>
        <v>740366</v>
      </c>
      <c r="E27" s="276">
        <f t="shared" si="12"/>
        <v>765</v>
      </c>
      <c r="F27" s="276">
        <f t="shared" si="0"/>
        <v>85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125</v>
      </c>
      <c r="K27" s="276">
        <f t="shared" si="2"/>
        <v>0</v>
      </c>
      <c r="L27" s="501">
        <f t="shared" si="30"/>
        <v>388191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9</v>
      </c>
      <c r="AA27" s="276">
        <f t="shared" si="20"/>
        <v>765</v>
      </c>
      <c r="AB27" s="276">
        <f t="shared" si="21"/>
        <v>585</v>
      </c>
      <c r="AC27" s="276">
        <f t="shared" si="22"/>
        <v>85</v>
      </c>
      <c r="AD27" s="73">
        <f>ELEC!Q28</f>
        <v>2528.0000000020664</v>
      </c>
      <c r="AE27" s="73">
        <f t="shared" si="27"/>
        <v>280.8888888891185</v>
      </c>
      <c r="AF27" s="387">
        <f t="shared" si="28"/>
        <v>0.17555555555569907</v>
      </c>
      <c r="AG27" s="387">
        <f t="shared" si="28"/>
        <v>1.0972222222231193E-4</v>
      </c>
      <c r="AH27" s="388">
        <f t="shared" si="23"/>
        <v>84.99989027777778</v>
      </c>
      <c r="AI27" s="73">
        <f t="shared" si="29"/>
        <v>650.66666666719857</v>
      </c>
      <c r="AJ27" s="278">
        <f t="shared" si="9"/>
        <v>0.25738396624472576</v>
      </c>
      <c r="AK27" s="278">
        <f t="shared" si="10"/>
        <v>72.296296296355393</v>
      </c>
      <c r="AL27">
        <f t="shared" si="24"/>
        <v>1</v>
      </c>
    </row>
    <row r="28" spans="1:38" ht="15" thickBot="1">
      <c r="A28" s="4">
        <f>ELEC!C29</f>
        <v>44799</v>
      </c>
      <c r="B28" s="500">
        <f t="shared" si="25"/>
        <v>789</v>
      </c>
      <c r="C28" s="276">
        <f t="shared" si="11"/>
        <v>0</v>
      </c>
      <c r="D28" s="501">
        <f t="shared" si="26"/>
        <v>740366</v>
      </c>
      <c r="E28" s="276">
        <f t="shared" si="12"/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125</v>
      </c>
      <c r="K28" s="276">
        <f t="shared" si="2"/>
        <v>0</v>
      </c>
      <c r="L28" s="501">
        <f t="shared" si="30"/>
        <v>388191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" thickBot="1">
      <c r="A29" s="4">
        <f>ELEC!C30</f>
        <v>44800</v>
      </c>
      <c r="B29" s="500">
        <f t="shared" si="25"/>
        <v>789</v>
      </c>
      <c r="C29" s="276">
        <f t="shared" si="11"/>
        <v>0</v>
      </c>
      <c r="D29" s="501">
        <f t="shared" si="26"/>
        <v>740366</v>
      </c>
      <c r="E29" s="276">
        <f t="shared" si="12"/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125</v>
      </c>
      <c r="K29" s="276">
        <f t="shared" si="2"/>
        <v>0</v>
      </c>
      <c r="L29" s="501">
        <f t="shared" si="30"/>
        <v>388191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" thickBot="1">
      <c r="A30" s="4">
        <f>ELEC!C31</f>
        <v>44801</v>
      </c>
      <c r="B30" s="500">
        <v>799</v>
      </c>
      <c r="C30" s="276">
        <f t="shared" si="11"/>
        <v>10</v>
      </c>
      <c r="D30" s="501">
        <f t="shared" si="26"/>
        <v>741216</v>
      </c>
      <c r="E30" s="276">
        <f t="shared" si="12"/>
        <v>850</v>
      </c>
      <c r="F30" s="276">
        <f t="shared" si="0"/>
        <v>85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125</v>
      </c>
      <c r="K30" s="276">
        <f t="shared" si="2"/>
        <v>0</v>
      </c>
      <c r="L30" s="501">
        <f t="shared" si="30"/>
        <v>388191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10</v>
      </c>
      <c r="AA30" s="276">
        <f t="shared" si="20"/>
        <v>850</v>
      </c>
      <c r="AB30" s="276">
        <f t="shared" si="21"/>
        <v>585</v>
      </c>
      <c r="AC30" s="276">
        <f t="shared" si="22"/>
        <v>85</v>
      </c>
      <c r="AD30" s="73">
        <f>ELEC!Q31</f>
        <v>2734.0000000003783</v>
      </c>
      <c r="AE30" s="73">
        <f t="shared" si="27"/>
        <v>273.40000000003783</v>
      </c>
      <c r="AF30" s="387">
        <f t="shared" si="28"/>
        <v>0.17087500000002365</v>
      </c>
      <c r="AG30" s="387">
        <f t="shared" si="28"/>
        <v>1.0679687500001478E-4</v>
      </c>
      <c r="AH30" s="388">
        <f t="shared" si="23"/>
        <v>84.999893203124998</v>
      </c>
      <c r="AI30" s="73">
        <f t="shared" si="29"/>
        <v>703.68776371317756</v>
      </c>
      <c r="AJ30" s="278">
        <f t="shared" si="9"/>
        <v>0.25738396624472576</v>
      </c>
      <c r="AK30" s="278">
        <f t="shared" si="10"/>
        <v>70.36877637131775</v>
      </c>
      <c r="AL30">
        <f t="shared" si="24"/>
        <v>1</v>
      </c>
    </row>
    <row r="31" spans="1:38" ht="15" thickBot="1">
      <c r="A31" s="4">
        <f>ELEC!C32</f>
        <v>44802</v>
      </c>
      <c r="B31" s="500">
        <v>809</v>
      </c>
      <c r="C31" s="276">
        <f t="shared" ref="C31:C33" si="34">B31-B30</f>
        <v>10</v>
      </c>
      <c r="D31" s="501">
        <f t="shared" si="26"/>
        <v>742066</v>
      </c>
      <c r="E31" s="276">
        <f t="shared" si="12"/>
        <v>850</v>
      </c>
      <c r="F31" s="276">
        <f t="shared" ref="F31:F33" si="35">IF(C31&gt;0,E31/C31,0)</f>
        <v>85</v>
      </c>
      <c r="G31" s="323"/>
      <c r="H31" s="260">
        <f t="shared" si="13"/>
        <v>12231</v>
      </c>
      <c r="I31" s="276" t="str">
        <f t="shared" ref="I31:I33" si="36">IF(B31-H31&lt;=0,"ok","oil change")</f>
        <v>ok</v>
      </c>
      <c r="J31" s="500">
        <f t="shared" si="14"/>
        <v>125</v>
      </c>
      <c r="K31" s="276">
        <f t="shared" si="2"/>
        <v>0</v>
      </c>
      <c r="L31" s="501">
        <f t="shared" si="30"/>
        <v>388191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7">IF(J31-P31&lt;=0,"ok","oil change")</f>
        <v>ok</v>
      </c>
      <c r="R31" s="500">
        <f t="shared" si="17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0">C31+K31+S31</f>
        <v>10</v>
      </c>
      <c r="AA31" s="276">
        <f t="shared" ref="AA31:AA33" si="41">U31+M31+E31</f>
        <v>850</v>
      </c>
      <c r="AB31" s="276">
        <f t="shared" ref="AB31:AB33" si="42">V31+N31+F31</f>
        <v>585</v>
      </c>
      <c r="AC31" s="276">
        <f t="shared" ref="AC31:AC33" si="43">IF(Z31&gt;0,AA31/Z31,0)</f>
        <v>85</v>
      </c>
      <c r="AD31" s="73">
        <f>ELEC!Q32</f>
        <v>2726.9999999989523</v>
      </c>
      <c r="AE31" s="73">
        <f t="shared" ref="AE31:AE33" si="44">SUM(AD31/Z31)</f>
        <v>272.69999999989523</v>
      </c>
      <c r="AF31" s="387">
        <f t="shared" ref="AF31:AF33" si="45">SUM(AE31/1600)</f>
        <v>0.17043749999993452</v>
      </c>
      <c r="AG31" s="387">
        <f t="shared" ref="AG31:AG33" si="46">SUM(AF31/1600)</f>
        <v>1.0652343749995907E-4</v>
      </c>
      <c r="AH31" s="475">
        <f t="shared" ref="AH31:AH33" si="47">SUM(AC31-AG31)</f>
        <v>84.999893476562505</v>
      </c>
      <c r="AI31" s="73">
        <f t="shared" ref="AI31:AI33" si="48">AD31*AJ31</f>
        <v>701.88607594909752</v>
      </c>
      <c r="AJ31" s="278">
        <f t="shared" si="9"/>
        <v>0.25738396624472576</v>
      </c>
      <c r="AK31" s="278">
        <f t="shared" ref="AK31:AK33" si="49">AI31/Z31</f>
        <v>70.188607594909755</v>
      </c>
      <c r="AL31">
        <f t="shared" ref="AL31:AL33" si="50">IF(Z31=0,0,1)</f>
        <v>1</v>
      </c>
    </row>
    <row r="32" spans="1:38" ht="15" thickBot="1">
      <c r="A32" s="4">
        <f>ELEC!C33</f>
        <v>44803</v>
      </c>
      <c r="B32" s="500">
        <f t="shared" si="25"/>
        <v>809</v>
      </c>
      <c r="C32" s="276">
        <f t="shared" si="34"/>
        <v>0</v>
      </c>
      <c r="D32" s="501">
        <f t="shared" si="26"/>
        <v>742066</v>
      </c>
      <c r="E32" s="276">
        <f t="shared" si="12"/>
        <v>0</v>
      </c>
      <c r="F32" s="276">
        <f t="shared" si="35"/>
        <v>0</v>
      </c>
      <c r="G32" s="323"/>
      <c r="H32" s="260">
        <f t="shared" si="13"/>
        <v>12231</v>
      </c>
      <c r="I32" s="276" t="str">
        <f t="shared" si="36"/>
        <v>ok</v>
      </c>
      <c r="J32" s="500">
        <f t="shared" si="14"/>
        <v>125</v>
      </c>
      <c r="K32" s="276">
        <f t="shared" si="2"/>
        <v>0</v>
      </c>
      <c r="L32" s="501">
        <f t="shared" si="30"/>
        <v>388191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7"/>
        <v>ok</v>
      </c>
      <c r="R32" s="500">
        <f t="shared" si="17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44804</v>
      </c>
      <c r="B33" s="500">
        <f t="shared" si="25"/>
        <v>809</v>
      </c>
      <c r="C33" s="276">
        <f t="shared" si="34"/>
        <v>0</v>
      </c>
      <c r="D33" s="501">
        <f t="shared" si="26"/>
        <v>742066</v>
      </c>
      <c r="E33" s="276">
        <f t="shared" si="12"/>
        <v>0</v>
      </c>
      <c r="F33" s="276">
        <f t="shared" si="35"/>
        <v>0</v>
      </c>
      <c r="G33" s="323"/>
      <c r="H33" s="260">
        <f t="shared" si="13"/>
        <v>12231</v>
      </c>
      <c r="I33" s="276" t="str">
        <f t="shared" si="36"/>
        <v>ok</v>
      </c>
      <c r="J33" s="500">
        <f t="shared" si="14"/>
        <v>125</v>
      </c>
      <c r="K33" s="276">
        <f t="shared" si="2"/>
        <v>0</v>
      </c>
      <c r="L33" s="501">
        <f t="shared" si="30"/>
        <v>388191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7"/>
        <v>ok</v>
      </c>
      <c r="R33" s="500">
        <f t="shared" si="17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191</v>
      </c>
      <c r="V34" s="40"/>
      <c r="X34">
        <v>341</v>
      </c>
      <c r="Z34" s="404">
        <f>SUM(Z3:Z33)</f>
        <v>191</v>
      </c>
      <c r="AF34" s="387">
        <f>SUM(AE34/1600)</f>
        <v>0</v>
      </c>
      <c r="AL34">
        <f>SUM(AL3:AL33)</f>
        <v>17</v>
      </c>
    </row>
    <row r="35" spans="1:38">
      <c r="C35" s="40">
        <f>SUM(C3:C33)</f>
        <v>183</v>
      </c>
      <c r="K35" s="40">
        <f>SUM(K3:K33)</f>
        <v>8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" thickBot="1">
      <c r="D40" s="260">
        <v>193</v>
      </c>
      <c r="T40">
        <v>10</v>
      </c>
    </row>
    <row r="41" spans="1:38" ht="15" thickBot="1">
      <c r="D41" s="500">
        <f>193+10</f>
        <v>203</v>
      </c>
      <c r="T41">
        <v>0</v>
      </c>
    </row>
    <row r="42" spans="1:38" ht="15" thickBot="1">
      <c r="D42" s="500">
        <f>203+10</f>
        <v>213</v>
      </c>
      <c r="I42">
        <f>266-79</f>
        <v>187</v>
      </c>
      <c r="T42">
        <v>0</v>
      </c>
    </row>
    <row r="43" spans="1:38" ht="1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" thickBot="1">
      <c r="D44" s="500">
        <f t="shared" si="51"/>
        <v>213</v>
      </c>
      <c r="T44">
        <v>9</v>
      </c>
    </row>
    <row r="45" spans="1:38" ht="15" thickBot="1">
      <c r="D45" s="500">
        <f>213+8</f>
        <v>221</v>
      </c>
      <c r="T45">
        <v>10</v>
      </c>
    </row>
    <row r="46" spans="1:38" ht="15" thickBot="1">
      <c r="D46" s="500">
        <f>221+9</f>
        <v>230</v>
      </c>
      <c r="T46">
        <v>9</v>
      </c>
    </row>
    <row r="47" spans="1:38" ht="15" thickBot="1">
      <c r="D47" s="500">
        <f>230+10</f>
        <v>240</v>
      </c>
      <c r="T47">
        <v>9</v>
      </c>
    </row>
    <row r="48" spans="1:38" ht="15" thickBot="1">
      <c r="D48" s="500">
        <f>240+9</f>
        <v>249</v>
      </c>
    </row>
    <row r="49" spans="4:4" ht="1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21" zoomScale="85" zoomScaleNormal="85" workbookViewId="0">
      <pane xSplit="1" topLeftCell="AO1" activePane="topRight" state="frozen"/>
      <selection pane="topRight" activeCell="AU23" sqref="AU23"/>
    </sheetView>
  </sheetViews>
  <sheetFormatPr defaultRowHeight="14.5"/>
  <cols>
    <col min="1" max="1" width="30" customWidth="1"/>
    <col min="8" max="8" width="7" bestFit="1" customWidth="1"/>
    <col min="9" max="9" width="8.7265625" bestFit="1" customWidth="1"/>
    <col min="10" max="10" width="6.7265625" bestFit="1" customWidth="1"/>
    <col min="11" max="11" width="8.7265625" bestFit="1" customWidth="1"/>
    <col min="12" max="12" width="6.7265625" bestFit="1" customWidth="1"/>
    <col min="13" max="13" width="8.7265625" bestFit="1" customWidth="1"/>
    <col min="14" max="14" width="6.7265625" bestFit="1" customWidth="1"/>
    <col min="15" max="15" width="8.7265625" bestFit="1" customWidth="1"/>
    <col min="16" max="16" width="6.7265625" bestFit="1" customWidth="1"/>
    <col min="17" max="17" width="8.7265625" bestFit="1" customWidth="1"/>
    <col min="18" max="18" width="6.7265625" bestFit="1" customWidth="1"/>
    <col min="19" max="19" width="8.7265625" bestFit="1" customWidth="1"/>
    <col min="20" max="20" width="7.7265625" bestFit="1" customWidth="1"/>
    <col min="21" max="21" width="8.7265625" bestFit="1" customWidth="1"/>
    <col min="22" max="22" width="7.7265625" bestFit="1" customWidth="1"/>
    <col min="23" max="23" width="8.7265625" bestFit="1" customWidth="1"/>
    <col min="24" max="24" width="4.7265625" style="417" bestFit="1" customWidth="1"/>
    <col min="25" max="25" width="10" bestFit="1" customWidth="1"/>
    <col min="26" max="26" width="6.7265625" bestFit="1" customWidth="1"/>
    <col min="27" max="27" width="8.7265625" bestFit="1" customWidth="1"/>
    <col min="28" max="28" width="6.7265625" bestFit="1" customWidth="1"/>
    <col min="29" max="29" width="8.7265625" bestFit="1" customWidth="1"/>
    <col min="30" max="30" width="6.7265625" bestFit="1" customWidth="1"/>
    <col min="31" max="31" width="8.7265625" bestFit="1" customWidth="1"/>
    <col min="32" max="32" width="6.7265625" bestFit="1" customWidth="1"/>
    <col min="33" max="33" width="8.7265625" bestFit="1" customWidth="1"/>
    <col min="34" max="34" width="7" bestFit="1" customWidth="1"/>
    <col min="35" max="35" width="7.26953125" bestFit="1" customWidth="1"/>
    <col min="36" max="36" width="7" bestFit="1" customWidth="1"/>
    <col min="37" max="37" width="7.26953125" bestFit="1" customWidth="1"/>
    <col min="38" max="38" width="7" bestFit="1" customWidth="1"/>
    <col min="39" max="39" width="8.7265625" customWidth="1"/>
    <col min="40" max="40" width="4.7265625" style="472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6" max="46" width="12.26953125" bestFit="1" customWidth="1"/>
    <col min="47" max="47" width="11.26953125" bestFit="1" customWidth="1"/>
    <col min="48" max="48" width="9.26953125" style="290" customWidth="1"/>
    <col min="49" max="49" width="14.2695312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7265625" bestFit="1" customWidth="1"/>
    <col min="54" max="54" width="13.26953125" customWidth="1"/>
    <col min="55" max="56" width="9.2695312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  <col min="63" max="63" width="27.5429687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732.74193548384937</v>
      </c>
      <c r="AT16" s="340">
        <v>10921</v>
      </c>
      <c r="AU16" s="546">
        <v>1.0249999999999999</v>
      </c>
      <c r="AV16" s="485">
        <f t="shared" ref="AV16:AV21" si="45">IF(AT16&gt;0,AU16,AV15)</f>
        <v>1.0249999999999999</v>
      </c>
      <c r="AW16" s="279">
        <f>-SUM('B5'!AI15)</f>
        <v>-24</v>
      </c>
      <c r="AX16" s="279">
        <f t="shared" si="17"/>
        <v>756.74193548384937</v>
      </c>
      <c r="AY16" s="37">
        <f t="shared" si="37"/>
        <v>732.74193548384937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252.2473118279498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1.0249999999999999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1.0249999999999999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1.0249999999999999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1.0249999999999999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991.44303797441398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245</v>
      </c>
      <c r="C21" s="203">
        <f t="shared" si="18"/>
        <v>5271.4516129032254</v>
      </c>
      <c r="D21">
        <f t="shared" si="19"/>
        <v>245</v>
      </c>
      <c r="E21" s="203">
        <f t="shared" si="18"/>
        <v>5271.4516129032254</v>
      </c>
      <c r="F21">
        <f t="shared" si="20"/>
        <v>245</v>
      </c>
      <c r="G21" s="203">
        <f t="shared" si="1"/>
        <v>5271.4516129032254</v>
      </c>
      <c r="H21" s="203">
        <f t="shared" si="21"/>
        <v>245</v>
      </c>
      <c r="I21" s="203">
        <f t="shared" si="2"/>
        <v>5271.4516129032254</v>
      </c>
      <c r="J21" s="203">
        <f t="shared" si="22"/>
        <v>245</v>
      </c>
      <c r="K21" s="203">
        <f t="shared" si="3"/>
        <v>5271.4516129032254</v>
      </c>
      <c r="L21" s="203">
        <f t="shared" si="23"/>
        <v>245</v>
      </c>
      <c r="M21" s="203">
        <f t="shared" si="4"/>
        <v>5271.4516129032254</v>
      </c>
      <c r="N21" s="203">
        <f t="shared" si="24"/>
        <v>245</v>
      </c>
      <c r="O21" s="203">
        <f t="shared" si="5"/>
        <v>5271.4516129032254</v>
      </c>
      <c r="P21" s="203">
        <f t="shared" si="25"/>
        <v>245</v>
      </c>
      <c r="Q21" s="203">
        <f t="shared" si="6"/>
        <v>5271.4516129032254</v>
      </c>
      <c r="R21" s="203">
        <f t="shared" si="26"/>
        <v>245</v>
      </c>
      <c r="S21" s="203">
        <f t="shared" si="7"/>
        <v>5271.4516129032254</v>
      </c>
      <c r="T21" s="203">
        <f t="shared" si="27"/>
        <v>245</v>
      </c>
      <c r="U21" s="203">
        <f t="shared" si="8"/>
        <v>5271.4516129032254</v>
      </c>
      <c r="V21" s="203">
        <f t="shared" si="28"/>
        <v>245</v>
      </c>
      <c r="W21" s="203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3">
        <f>'B5'!C20</f>
        <v>251</v>
      </c>
      <c r="AA21" s="203">
        <f t="shared" si="30"/>
        <v>2510</v>
      </c>
      <c r="AB21" s="203">
        <f t="shared" si="31"/>
        <v>251</v>
      </c>
      <c r="AC21" s="203">
        <f t="shared" si="30"/>
        <v>2510</v>
      </c>
      <c r="AD21" s="203">
        <f t="shared" si="32"/>
        <v>251</v>
      </c>
      <c r="AE21" s="203">
        <f t="shared" si="11"/>
        <v>2510</v>
      </c>
      <c r="AF21" s="203">
        <f t="shared" si="33"/>
        <v>251</v>
      </c>
      <c r="AG21" s="203">
        <f t="shared" si="12"/>
        <v>2510</v>
      </c>
      <c r="AH21" s="203">
        <f t="shared" si="34"/>
        <v>251</v>
      </c>
      <c r="AI21" s="203">
        <f t="shared" si="13"/>
        <v>2510</v>
      </c>
      <c r="AJ21" s="203">
        <f t="shared" si="35"/>
        <v>251</v>
      </c>
      <c r="AK21" s="203">
        <f t="shared" si="14"/>
        <v>2510</v>
      </c>
      <c r="AL21" s="203">
        <f t="shared" si="36"/>
        <v>251</v>
      </c>
      <c r="AM21" s="203">
        <f t="shared" si="15"/>
        <v>2510</v>
      </c>
      <c r="AN21" s="35">
        <f t="shared" si="16"/>
        <v>0.89642857142857146</v>
      </c>
      <c r="AO21" s="36">
        <f t="shared" si="39"/>
        <v>17570</v>
      </c>
      <c r="AQ21" s="223">
        <f t="shared" si="40"/>
        <v>0.81269191934963414</v>
      </c>
      <c r="AR21" s="38">
        <f t="shared" si="41"/>
        <v>75555.967741935485</v>
      </c>
      <c r="AS21" s="197">
        <f>SUM(AR21-AR20-AT21)</f>
        <v>-1226.7096774193487</v>
      </c>
      <c r="AT21" s="340"/>
      <c r="AU21" s="546"/>
      <c r="AV21" s="485">
        <f t="shared" si="45"/>
        <v>1.0249999999999999</v>
      </c>
      <c r="AW21" s="279">
        <f>-SUM('B5'!AI20)</f>
        <v>-164</v>
      </c>
      <c r="AX21" s="279">
        <f t="shared" si="17"/>
        <v>-1062.7096774193487</v>
      </c>
      <c r="AY21" s="37">
        <f t="shared" si="37"/>
        <v>-1226.7096774193487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1076.8945147682173</v>
      </c>
      <c r="BF21" s="14"/>
      <c r="BG21" s="14" t="e">
        <f>#REF!-BE21</f>
        <v>#REF!</v>
      </c>
      <c r="BH21" s="11"/>
      <c r="BI21">
        <v>8</v>
      </c>
      <c r="BJ21">
        <f t="shared" si="46"/>
        <v>-132.83870967741859</v>
      </c>
      <c r="BK21" s="536">
        <f>GEN!AF18</f>
        <v>0.20062499999994543</v>
      </c>
    </row>
    <row r="22" spans="1:64">
      <c r="A22" s="425">
        <f>ELEC!C20</f>
        <v>44790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39"/>
        <v>17255</v>
      </c>
      <c r="AQ22" s="223">
        <f t="shared" si="40"/>
        <v>0.79657503114081207</v>
      </c>
      <c r="AR22" s="38">
        <f t="shared" si="41"/>
        <v>74057.580645161303</v>
      </c>
      <c r="AS22" s="197">
        <f t="shared" si="47"/>
        <v>-1498.3870967741823</v>
      </c>
      <c r="AT22" s="340"/>
      <c r="AU22" s="546"/>
      <c r="AV22" s="485">
        <f t="shared" si="43"/>
        <v>1.0249999999999999</v>
      </c>
      <c r="AW22" s="279">
        <f>-SUM('B5'!AI21)</f>
        <v>-243</v>
      </c>
      <c r="AX22" s="279">
        <f>-SUM(AW22-AS22)</f>
        <v>-1255.3870967741823</v>
      </c>
      <c r="AY22" s="37">
        <f t="shared" si="37"/>
        <v>-1498.3870967741823</v>
      </c>
      <c r="AZ22" s="100">
        <f>ELEC!A20</f>
        <v>0</v>
      </c>
      <c r="BA22" s="118">
        <f>'General information '!D21</f>
        <v>28.5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1111.3839662445459</v>
      </c>
      <c r="BF22" s="14"/>
      <c r="BG22" s="14" t="e">
        <f>#REF!-BE22</f>
        <v>#REF!</v>
      </c>
      <c r="BH22" s="11"/>
      <c r="BI22">
        <v>9</v>
      </c>
      <c r="BJ22">
        <f t="shared" si="46"/>
        <v>-139.48745519713137</v>
      </c>
      <c r="BK22" s="536">
        <f>GEN!AF19</f>
        <v>0.11886363636366779</v>
      </c>
    </row>
    <row r="23" spans="1:64">
      <c r="A23" s="425">
        <f>ELEC!C21</f>
        <v>44791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0.78300388262602905</v>
      </c>
      <c r="AR23" s="38">
        <f t="shared" si="41"/>
        <v>72795.870967741925</v>
      </c>
      <c r="AS23" s="197">
        <f t="shared" si="47"/>
        <v>-1261.7096774193778</v>
      </c>
      <c r="AT23" s="340"/>
      <c r="AU23" s="546"/>
      <c r="AV23" s="485">
        <f t="shared" si="43"/>
        <v>1.0249999999999999</v>
      </c>
      <c r="AW23" s="279">
        <f>-SUM('B5'!AI22)</f>
        <v>-22</v>
      </c>
      <c r="AX23" s="279">
        <f t="shared" si="17"/>
        <v>-1239.7096774193778</v>
      </c>
      <c r="AY23" s="37">
        <f t="shared" si="37"/>
        <v>-1261.7096774193778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0.61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-123.97096774193778</v>
      </c>
      <c r="BK23" s="536">
        <f>GEN!AF20</f>
        <v>0.26987499999995634</v>
      </c>
    </row>
    <row r="24" spans="1:64">
      <c r="A24" s="425">
        <f>ELEC!C22</f>
        <v>44792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0.78300388262602905</v>
      </c>
      <c r="AR24" s="38">
        <f t="shared" si="41"/>
        <v>72795.870967741925</v>
      </c>
      <c r="AS24" s="197">
        <f t="shared" si="47"/>
        <v>0</v>
      </c>
      <c r="AT24" s="340"/>
      <c r="AU24" s="546"/>
      <c r="AV24" s="485">
        <f t="shared" si="43"/>
        <v>1.0249999999999999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0.78300388262602905</v>
      </c>
      <c r="AR25" s="38">
        <f t="shared" si="41"/>
        <v>72795.870967741925</v>
      </c>
      <c r="AS25" s="197">
        <f t="shared" si="47"/>
        <v>0</v>
      </c>
      <c r="AT25" s="340"/>
      <c r="AU25" s="547"/>
      <c r="AV25" s="485">
        <f t="shared" si="43"/>
        <v>1.0249999999999999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27</v>
      </c>
      <c r="BB25" s="378">
        <f>SUM('General information '!E24)</f>
        <v>0.64</v>
      </c>
      <c r="BC25" s="3">
        <f t="shared" si="44"/>
        <v>0</v>
      </c>
      <c r="BD25" s="102">
        <v>19222</v>
      </c>
      <c r="BE25" s="14">
        <f>(305/1185)*ELEC!Q24</f>
        <v>891.57805907171507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230</v>
      </c>
      <c r="C26" s="203">
        <f t="shared" si="18"/>
        <v>4948.7096774193551</v>
      </c>
      <c r="D26">
        <f t="shared" si="19"/>
        <v>230</v>
      </c>
      <c r="E26" s="203">
        <f t="shared" si="18"/>
        <v>4948.7096774193551</v>
      </c>
      <c r="F26">
        <f t="shared" si="20"/>
        <v>230</v>
      </c>
      <c r="G26" s="203">
        <f t="shared" si="1"/>
        <v>4948.7096774193551</v>
      </c>
      <c r="H26" s="203">
        <f t="shared" si="21"/>
        <v>230</v>
      </c>
      <c r="I26" s="203">
        <f t="shared" si="2"/>
        <v>4948.7096774193551</v>
      </c>
      <c r="J26" s="203">
        <f t="shared" si="22"/>
        <v>230</v>
      </c>
      <c r="K26" s="203">
        <f t="shared" si="3"/>
        <v>4948.7096774193551</v>
      </c>
      <c r="L26" s="203">
        <f t="shared" si="23"/>
        <v>230</v>
      </c>
      <c r="M26" s="203">
        <f t="shared" si="4"/>
        <v>4948.7096774193551</v>
      </c>
      <c r="N26" s="203">
        <f t="shared" si="24"/>
        <v>230</v>
      </c>
      <c r="O26" s="203">
        <f t="shared" si="5"/>
        <v>4948.7096774193551</v>
      </c>
      <c r="P26" s="203">
        <f t="shared" si="25"/>
        <v>230</v>
      </c>
      <c r="Q26" s="203">
        <f t="shared" si="6"/>
        <v>4948.7096774193551</v>
      </c>
      <c r="R26" s="203">
        <f t="shared" si="26"/>
        <v>230</v>
      </c>
      <c r="S26" s="203">
        <f t="shared" si="7"/>
        <v>4948.7096774193551</v>
      </c>
      <c r="T26" s="203">
        <f t="shared" si="27"/>
        <v>230</v>
      </c>
      <c r="U26" s="203">
        <f t="shared" si="8"/>
        <v>4948.7096774193551</v>
      </c>
      <c r="V26" s="203">
        <f t="shared" si="28"/>
        <v>230</v>
      </c>
      <c r="W26" s="203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3">
        <f>'B5'!C25</f>
        <v>237</v>
      </c>
      <c r="AA26" s="203">
        <f t="shared" si="30"/>
        <v>2370</v>
      </c>
      <c r="AB26" s="203">
        <f t="shared" si="31"/>
        <v>237</v>
      </c>
      <c r="AC26" s="203">
        <f t="shared" si="30"/>
        <v>2370</v>
      </c>
      <c r="AD26" s="203">
        <f t="shared" si="32"/>
        <v>237</v>
      </c>
      <c r="AE26" s="203">
        <f t="shared" si="11"/>
        <v>2370</v>
      </c>
      <c r="AF26" s="203">
        <f t="shared" si="33"/>
        <v>237</v>
      </c>
      <c r="AG26" s="203">
        <f t="shared" si="12"/>
        <v>2370</v>
      </c>
      <c r="AH26" s="203">
        <f t="shared" si="34"/>
        <v>237</v>
      </c>
      <c r="AI26" s="203">
        <f t="shared" si="13"/>
        <v>2370</v>
      </c>
      <c r="AJ26" s="203">
        <f t="shared" si="35"/>
        <v>237</v>
      </c>
      <c r="AK26" s="203">
        <f t="shared" si="14"/>
        <v>2370</v>
      </c>
      <c r="AL26" s="203">
        <f t="shared" si="36"/>
        <v>237</v>
      </c>
      <c r="AM26" s="203">
        <f t="shared" si="15"/>
        <v>2370</v>
      </c>
      <c r="AN26" s="35">
        <f t="shared" si="16"/>
        <v>0.84642857142857142</v>
      </c>
      <c r="AO26" s="36">
        <f t="shared" si="39"/>
        <v>16590</v>
      </c>
      <c r="AQ26" s="223">
        <f t="shared" si="40"/>
        <v>0.76396478919665389</v>
      </c>
      <c r="AR26" s="38">
        <f t="shared" si="41"/>
        <v>71025.806451612909</v>
      </c>
      <c r="AS26" s="197">
        <f t="shared" si="47"/>
        <v>-1770.0645161290158</v>
      </c>
      <c r="AT26" s="340"/>
      <c r="AU26" s="546"/>
      <c r="AV26" s="485">
        <f t="shared" si="43"/>
        <v>1.0249999999999999</v>
      </c>
      <c r="AW26" s="279">
        <f>-SUM('B5'!AI25)</f>
        <v>-182</v>
      </c>
      <c r="AX26" s="279">
        <f t="shared" si="17"/>
        <v>-1588.0645161290158</v>
      </c>
      <c r="AY26" s="37">
        <f t="shared" si="37"/>
        <v>-1770.0645161290158</v>
      </c>
      <c r="AZ26" s="100">
        <f>ELEC!A24</f>
        <v>0</v>
      </c>
      <c r="BA26" s="118">
        <f>'General information '!D25</f>
        <v>27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830.32067510516322</v>
      </c>
      <c r="BF26" s="14"/>
      <c r="BG26" s="14" t="e">
        <f>#REF!-BE26</f>
        <v>#REF!</v>
      </c>
      <c r="BH26" s="11"/>
      <c r="BI26">
        <v>13</v>
      </c>
      <c r="BJ26">
        <f t="shared" si="46"/>
        <v>-122.15880893300121</v>
      </c>
      <c r="BK26" s="536"/>
    </row>
    <row r="27" spans="1:64">
      <c r="A27" s="425">
        <f>ELEC!C25</f>
        <v>44795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-990.03225806451519</v>
      </c>
      <c r="AT27" s="340"/>
      <c r="AU27" s="546"/>
      <c r="AV27" s="485">
        <v>0</v>
      </c>
      <c r="AW27" s="279">
        <f>-SUM('B5'!AI26)</f>
        <v>-101</v>
      </c>
      <c r="AX27" s="279">
        <f t="shared" si="17"/>
        <v>-889.03225806451519</v>
      </c>
      <c r="AY27" s="37">
        <f t="shared" si="37"/>
        <v>-990.03225806451519</v>
      </c>
      <c r="AZ27" s="100">
        <f>ELEC!A25</f>
        <v>0</v>
      </c>
      <c r="BA27" s="118">
        <f>'General information '!D26</f>
        <v>27.5</v>
      </c>
      <c r="BB27" s="378">
        <f>SUM('General information '!E26)</f>
        <v>0.64</v>
      </c>
      <c r="BC27" s="3">
        <f t="shared" si="44"/>
        <v>0</v>
      </c>
      <c r="BD27" s="102">
        <v>19222</v>
      </c>
      <c r="BE27" s="14">
        <f>(305/1185)*ELEC!Q26</f>
        <v>910.36708860766248</v>
      </c>
      <c r="BF27" s="14"/>
      <c r="BG27" s="14" t="e">
        <f>#REF!-BE27</f>
        <v>#REF!</v>
      </c>
      <c r="BH27" s="11"/>
      <c r="BI27">
        <v>14</v>
      </c>
      <c r="BJ27">
        <f t="shared" si="46"/>
        <v>-63.502304147465374</v>
      </c>
      <c r="BK27" s="536">
        <f>GEN!AF24</f>
        <v>0.20162499999992178</v>
      </c>
    </row>
    <row r="28" spans="1:64">
      <c r="A28" s="425">
        <f>ELEC!C26</f>
        <v>44796</v>
      </c>
      <c r="B28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203">
        <f>'B5'!C27</f>
        <v>229</v>
      </c>
      <c r="AA28" s="203">
        <f t="shared" si="30"/>
        <v>2290</v>
      </c>
      <c r="AB28" s="203">
        <f t="shared" si="31"/>
        <v>229</v>
      </c>
      <c r="AC28" s="203">
        <f t="shared" si="30"/>
        <v>2290</v>
      </c>
      <c r="AD28" s="203">
        <f t="shared" si="32"/>
        <v>229</v>
      </c>
      <c r="AE28" s="203">
        <f t="shared" si="11"/>
        <v>2290</v>
      </c>
      <c r="AF28" s="203">
        <f t="shared" si="33"/>
        <v>229</v>
      </c>
      <c r="AG28" s="203">
        <f t="shared" si="12"/>
        <v>2290</v>
      </c>
      <c r="AH28" s="203">
        <f t="shared" si="34"/>
        <v>229</v>
      </c>
      <c r="AI28" s="203">
        <f t="shared" si="13"/>
        <v>2290</v>
      </c>
      <c r="AJ28" s="203">
        <f t="shared" si="35"/>
        <v>229</v>
      </c>
      <c r="AK28" s="203">
        <f t="shared" si="14"/>
        <v>2290</v>
      </c>
      <c r="AL28" s="203">
        <f t="shared" si="36"/>
        <v>229</v>
      </c>
      <c r="AM28" s="203">
        <f t="shared" si="15"/>
        <v>2290</v>
      </c>
      <c r="AN28" s="35">
        <f t="shared" si="16"/>
        <v>0.81785714285714284</v>
      </c>
      <c r="AO28" s="36">
        <f t="shared" si="39"/>
        <v>16030</v>
      </c>
      <c r="AQ28" s="223">
        <f t="shared" si="40"/>
        <v>0.73757542322011593</v>
      </c>
      <c r="AR28" s="38">
        <f t="shared" si="41"/>
        <v>68572.387096774182</v>
      </c>
      <c r="AS28" s="197">
        <f t="shared" si="47"/>
        <v>-1463.3870967742114</v>
      </c>
      <c r="AT28" s="340"/>
      <c r="AU28" s="547"/>
      <c r="AV28" s="485">
        <f t="shared" si="43"/>
        <v>0</v>
      </c>
      <c r="AW28" s="279">
        <f>-SUM('B5'!AI27)</f>
        <v>-99</v>
      </c>
      <c r="AX28" s="279">
        <f t="shared" si="17"/>
        <v>-1364.3870967742114</v>
      </c>
      <c r="AY28" s="37">
        <f t="shared" si="37"/>
        <v>-1463.3870967742114</v>
      </c>
      <c r="AZ28" s="100">
        <f>ELEC!A26</f>
        <v>0</v>
      </c>
      <c r="BA28" s="118">
        <f>'General information '!D27</f>
        <v>27.5</v>
      </c>
      <c r="BB28" s="378">
        <f>SUM('General information '!E27)</f>
        <v>0.63</v>
      </c>
      <c r="BC28" s="3">
        <f t="shared" si="44"/>
        <v>0</v>
      </c>
      <c r="BD28" s="102">
        <v>19222</v>
      </c>
      <c r="BE28" s="14">
        <f>(305/1185)*ELEC!Q27</f>
        <v>880.76793248910701</v>
      </c>
      <c r="BF28" s="14"/>
      <c r="BG28" s="14" t="e">
        <f>#REF!-BE28</f>
        <v>#REF!</v>
      </c>
      <c r="BH28" s="11"/>
      <c r="BI28">
        <v>15</v>
      </c>
      <c r="BJ28">
        <f t="shared" si="46"/>
        <v>-90.959139784947425</v>
      </c>
      <c r="BK28" s="536">
        <f>GEN!AF25</f>
        <v>0.18421875000001364</v>
      </c>
    </row>
    <row r="29" spans="1:64">
      <c r="A29" s="425">
        <f>ELEC!C27</f>
        <v>44797</v>
      </c>
      <c r="B29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203">
        <f>'B5'!C28</f>
        <v>229</v>
      </c>
      <c r="AA29" s="203">
        <f t="shared" si="30"/>
        <v>2290</v>
      </c>
      <c r="AB29" s="203">
        <f t="shared" si="31"/>
        <v>229</v>
      </c>
      <c r="AC29" s="203">
        <f t="shared" si="30"/>
        <v>2290</v>
      </c>
      <c r="AD29" s="203">
        <f t="shared" si="32"/>
        <v>229</v>
      </c>
      <c r="AE29" s="203">
        <f t="shared" si="11"/>
        <v>2290</v>
      </c>
      <c r="AF29" s="203">
        <f t="shared" si="33"/>
        <v>229</v>
      </c>
      <c r="AG29" s="203">
        <f t="shared" si="12"/>
        <v>2290</v>
      </c>
      <c r="AH29" s="203">
        <f t="shared" si="34"/>
        <v>229</v>
      </c>
      <c r="AI29" s="203">
        <f t="shared" si="13"/>
        <v>2290</v>
      </c>
      <c r="AJ29" s="203">
        <f t="shared" si="35"/>
        <v>229</v>
      </c>
      <c r="AK29" s="203">
        <f t="shared" si="14"/>
        <v>2290</v>
      </c>
      <c r="AL29" s="203">
        <f t="shared" si="36"/>
        <v>229</v>
      </c>
      <c r="AM29" s="203">
        <f t="shared" si="15"/>
        <v>2290</v>
      </c>
      <c r="AN29" s="35">
        <f t="shared" si="16"/>
        <v>0.81785714285714284</v>
      </c>
      <c r="AO29" s="36">
        <f t="shared" si="39"/>
        <v>16030</v>
      </c>
      <c r="AQ29" s="223">
        <f t="shared" si="40"/>
        <v>0.73757542322011593</v>
      </c>
      <c r="AR29" s="38">
        <f t="shared" si="41"/>
        <v>68572.387096774182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27.5</v>
      </c>
      <c r="BB29" s="378">
        <f>SUM('General information '!E28)</f>
        <v>0.64</v>
      </c>
      <c r="BC29" s="3">
        <f t="shared" si="44"/>
        <v>0</v>
      </c>
      <c r="BD29" s="102">
        <v>19222</v>
      </c>
      <c r="BE29" s="14">
        <f>(305/1185)*ELEC!Q28</f>
        <v>650.66666666719857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>
        <f>GEN!AF26</f>
        <v>0.1944318181817421</v>
      </c>
    </row>
    <row r="30" spans="1:64">
      <c r="A30" s="425">
        <f>ELEC!C28</f>
        <v>44798</v>
      </c>
      <c r="B30">
        <f>'B5'!B29</f>
        <v>219</v>
      </c>
      <c r="C30" s="203">
        <f t="shared" si="18"/>
        <v>4712.0322580645161</v>
      </c>
      <c r="D30">
        <f>SUM(B30)</f>
        <v>219</v>
      </c>
      <c r="E30" s="203">
        <f t="shared" si="18"/>
        <v>4712.0322580645161</v>
      </c>
      <c r="F30">
        <f>SUM(D30)</f>
        <v>219</v>
      </c>
      <c r="G30" s="203">
        <f t="shared" si="1"/>
        <v>4712.0322580645161</v>
      </c>
      <c r="H30" s="203">
        <f>SUM(F30)</f>
        <v>219</v>
      </c>
      <c r="I30" s="203">
        <f t="shared" si="2"/>
        <v>4712.0322580645161</v>
      </c>
      <c r="J30" s="203">
        <f>SUM(H30)</f>
        <v>219</v>
      </c>
      <c r="K30" s="203">
        <f t="shared" si="3"/>
        <v>4712.0322580645161</v>
      </c>
      <c r="L30" s="203">
        <f>SUM(J30)</f>
        <v>219</v>
      </c>
      <c r="M30" s="203">
        <f t="shared" si="4"/>
        <v>4712.0322580645161</v>
      </c>
      <c r="N30" s="203">
        <f>SUM(L30)</f>
        <v>219</v>
      </c>
      <c r="O30" s="203">
        <f t="shared" si="5"/>
        <v>4712.0322580645161</v>
      </c>
      <c r="P30" s="203">
        <f>SUM(N30)</f>
        <v>219</v>
      </c>
      <c r="Q30" s="203">
        <f t="shared" si="6"/>
        <v>4712.0322580645161</v>
      </c>
      <c r="R30" s="203">
        <f>SUM(P30)</f>
        <v>219</v>
      </c>
      <c r="S30" s="203">
        <f t="shared" si="7"/>
        <v>4712.0322580645161</v>
      </c>
      <c r="T30" s="203">
        <f>SUM(R30)</f>
        <v>219</v>
      </c>
      <c r="U30" s="203">
        <f t="shared" si="8"/>
        <v>4712.0322580645161</v>
      </c>
      <c r="V30" s="203">
        <f>SUM(T30)</f>
        <v>219</v>
      </c>
      <c r="W30" s="203">
        <f t="shared" si="9"/>
        <v>4712.0322580645161</v>
      </c>
      <c r="X30" s="35">
        <f>SUM(Y30/73370)</f>
        <v>0.70645161290322578</v>
      </c>
      <c r="Y30" s="36">
        <f>SUM(C30+E30+G30+I30+K30+M30+O30+Q30+S30+U30+W30)</f>
        <v>51832.354838709674</v>
      </c>
      <c r="Z30" s="203">
        <f>'B5'!C29</f>
        <v>225</v>
      </c>
      <c r="AA30" s="203">
        <f t="shared" si="30"/>
        <v>2250</v>
      </c>
      <c r="AB30" s="203">
        <f>SUM(Z30)</f>
        <v>225</v>
      </c>
      <c r="AC30" s="203">
        <f t="shared" si="30"/>
        <v>2250</v>
      </c>
      <c r="AD30" s="203">
        <f>SUM(AB30)</f>
        <v>225</v>
      </c>
      <c r="AE30" s="203">
        <f t="shared" si="11"/>
        <v>2250</v>
      </c>
      <c r="AF30" s="203">
        <f>SUM(AD30)</f>
        <v>225</v>
      </c>
      <c r="AG30" s="203">
        <f t="shared" si="12"/>
        <v>2250</v>
      </c>
      <c r="AH30" s="203">
        <f>SUM(AF30)</f>
        <v>225</v>
      </c>
      <c r="AI30" s="203">
        <f t="shared" si="13"/>
        <v>2250</v>
      </c>
      <c r="AJ30" s="203">
        <f>SUM(AH30)</f>
        <v>225</v>
      </c>
      <c r="AK30" s="203">
        <f t="shared" si="14"/>
        <v>2250</v>
      </c>
      <c r="AL30" s="203">
        <f>SUM(AJ30)</f>
        <v>225</v>
      </c>
      <c r="AM30" s="203">
        <f t="shared" si="15"/>
        <v>2250</v>
      </c>
      <c r="AN30" s="35">
        <f>SUM(AO30/19600)</f>
        <v>0.8035714285714286</v>
      </c>
      <c r="AO30" s="36">
        <f>SUM(AA30+AC30+AE30+AG30+AI30+AK30+AM30)</f>
        <v>15750</v>
      </c>
      <c r="AQ30" s="223">
        <f t="shared" si="40"/>
        <v>0.72692647992588644</v>
      </c>
      <c r="AR30" s="38">
        <f t="shared" si="41"/>
        <v>67582.354838709667</v>
      </c>
      <c r="AS30" s="197">
        <f>SUM(AR30-AR29-AT30)</f>
        <v>-990.03225806451519</v>
      </c>
      <c r="AT30" s="340"/>
      <c r="AU30" s="547"/>
      <c r="AV30" s="485">
        <f t="shared" si="43"/>
        <v>0</v>
      </c>
      <c r="AW30" s="279">
        <f>-SUM('B5'!AI29)</f>
        <v>-166</v>
      </c>
      <c r="AX30" s="279">
        <f t="shared" si="17"/>
        <v>-824.03225806451519</v>
      </c>
      <c r="AY30" s="37">
        <f t="shared" si="37"/>
        <v>-990.03225806451519</v>
      </c>
      <c r="AZ30" s="100">
        <f>ELEC!A28</f>
        <v>0</v>
      </c>
      <c r="BA30" s="118">
        <f>'General information '!D29</f>
        <v>29</v>
      </c>
      <c r="BB30" s="378">
        <f>SUM('General information '!E29)</f>
        <v>0.59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-48.472485768500896</v>
      </c>
      <c r="BK30" s="536">
        <f>GEN!AF27</f>
        <v>0.17555555555569907</v>
      </c>
    </row>
    <row r="31" spans="1:64">
      <c r="A31" s="425">
        <f>ELEC!C29</f>
        <v>44799</v>
      </c>
      <c r="B31">
        <f>'B5'!B30</f>
        <v>216</v>
      </c>
      <c r="C31" s="203">
        <f t="shared" si="18"/>
        <v>4647.4838709677415</v>
      </c>
      <c r="D31">
        <f>SUM(B31)</f>
        <v>216</v>
      </c>
      <c r="E31" s="203">
        <f t="shared" si="18"/>
        <v>4647.4838709677415</v>
      </c>
      <c r="F31">
        <f>SUM(D31)</f>
        <v>216</v>
      </c>
      <c r="G31" s="203">
        <f t="shared" si="1"/>
        <v>4647.4838709677415</v>
      </c>
      <c r="H31" s="203">
        <f>SUM(F31)</f>
        <v>216</v>
      </c>
      <c r="I31" s="203">
        <f t="shared" si="2"/>
        <v>4647.4838709677415</v>
      </c>
      <c r="J31" s="203">
        <f>SUM(H31)</f>
        <v>216</v>
      </c>
      <c r="K31" s="203">
        <f t="shared" si="3"/>
        <v>4647.4838709677415</v>
      </c>
      <c r="L31" s="203">
        <f>SUM(J31)</f>
        <v>216</v>
      </c>
      <c r="M31" s="203">
        <f t="shared" si="4"/>
        <v>4647.4838709677415</v>
      </c>
      <c r="N31" s="203">
        <f>SUM(L31)</f>
        <v>216</v>
      </c>
      <c r="O31" s="203">
        <f t="shared" si="5"/>
        <v>4647.4838709677415</v>
      </c>
      <c r="P31" s="203">
        <f>SUM(N31)</f>
        <v>216</v>
      </c>
      <c r="Q31" s="203">
        <f t="shared" si="6"/>
        <v>4647.4838709677415</v>
      </c>
      <c r="R31" s="203">
        <f>SUM(P31)</f>
        <v>216</v>
      </c>
      <c r="S31" s="203">
        <f t="shared" si="7"/>
        <v>4647.4838709677415</v>
      </c>
      <c r="T31" s="203">
        <f>SUM(R31)</f>
        <v>216</v>
      </c>
      <c r="U31" s="203">
        <f t="shared" si="8"/>
        <v>4647.4838709677415</v>
      </c>
      <c r="V31" s="203">
        <f>SUM(T31)</f>
        <v>216</v>
      </c>
      <c r="W31" s="203">
        <f t="shared" si="9"/>
        <v>4647.4838709677415</v>
      </c>
      <c r="X31" s="35">
        <f>SUM(Y31/73370)</f>
        <v>0.6967741935483871</v>
      </c>
      <c r="Y31" s="36">
        <f>SUM(C31+E31+G31+I31+K31+M31+O31+Q31+S31+U31+W31)</f>
        <v>51122.322580645159</v>
      </c>
      <c r="Z31" s="203">
        <f>'B5'!C30</f>
        <v>222</v>
      </c>
      <c r="AA31" s="203">
        <f t="shared" si="30"/>
        <v>2220</v>
      </c>
      <c r="AB31" s="203">
        <f>SUM(Z31)</f>
        <v>222</v>
      </c>
      <c r="AC31" s="203">
        <f t="shared" si="30"/>
        <v>2220</v>
      </c>
      <c r="AD31" s="203">
        <f>SUM(AB31)</f>
        <v>222</v>
      </c>
      <c r="AE31" s="203">
        <f t="shared" si="11"/>
        <v>2220</v>
      </c>
      <c r="AF31" s="203">
        <f>SUM(AD31)</f>
        <v>222</v>
      </c>
      <c r="AG31" s="203">
        <f t="shared" si="12"/>
        <v>2220</v>
      </c>
      <c r="AH31" s="203">
        <f>SUM(AF31)</f>
        <v>222</v>
      </c>
      <c r="AI31" s="203">
        <f t="shared" si="13"/>
        <v>2220</v>
      </c>
      <c r="AJ31" s="203">
        <f>SUM(AH31)</f>
        <v>222</v>
      </c>
      <c r="AK31" s="203">
        <f t="shared" si="14"/>
        <v>2220</v>
      </c>
      <c r="AL31" s="203">
        <f>SUM(AJ31)</f>
        <v>222</v>
      </c>
      <c r="AM31" s="203">
        <f t="shared" si="15"/>
        <v>2220</v>
      </c>
      <c r="AN31" s="35">
        <f>SUM(AO31/19600)</f>
        <v>0.79285714285714282</v>
      </c>
      <c r="AO31" s="36">
        <f>SUM(AA31+AC31+AE31+AG31+AI31+AK31+AM31)</f>
        <v>15540</v>
      </c>
      <c r="AQ31" s="223">
        <f t="shared" si="40"/>
        <v>0.71703046768468481</v>
      </c>
      <c r="AR31" s="38">
        <f t="shared" si="41"/>
        <v>66662.322580645152</v>
      </c>
      <c r="AS31" s="197">
        <f t="shared" si="47"/>
        <v>-920.03225806451519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-920.03225806451519</v>
      </c>
      <c r="AY31" s="37">
        <f t="shared" si="37"/>
        <v>-920.03225806451519</v>
      </c>
      <c r="AZ31" s="100">
        <f>ELEC!A29</f>
        <v>0</v>
      </c>
      <c r="BA31" s="118">
        <f>'General information '!D30</f>
        <v>29</v>
      </c>
      <c r="BB31" s="378">
        <f>SUM('General information '!E30)</f>
        <v>0.63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-51.112903225806399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216</v>
      </c>
      <c r="C32" s="203">
        <f t="shared" si="18"/>
        <v>4647.4838709677415</v>
      </c>
      <c r="D32">
        <f>SUM(B32)</f>
        <v>216</v>
      </c>
      <c r="E32" s="203">
        <f t="shared" si="18"/>
        <v>4647.4838709677415</v>
      </c>
      <c r="F32">
        <f>SUM(D32)</f>
        <v>216</v>
      </c>
      <c r="G32" s="203">
        <f t="shared" si="1"/>
        <v>4647.4838709677415</v>
      </c>
      <c r="H32" s="203">
        <f>SUM(F32)</f>
        <v>216</v>
      </c>
      <c r="I32" s="203">
        <f t="shared" si="2"/>
        <v>4647.4838709677415</v>
      </c>
      <c r="J32" s="203">
        <f>SUM(H32)</f>
        <v>216</v>
      </c>
      <c r="K32" s="203">
        <f t="shared" si="3"/>
        <v>4647.4838709677415</v>
      </c>
      <c r="L32" s="203">
        <f>SUM(J32)</f>
        <v>216</v>
      </c>
      <c r="M32" s="203">
        <f t="shared" si="4"/>
        <v>4647.4838709677415</v>
      </c>
      <c r="N32" s="203">
        <f>SUM(L32)</f>
        <v>216</v>
      </c>
      <c r="O32" s="203">
        <f t="shared" si="5"/>
        <v>4647.4838709677415</v>
      </c>
      <c r="P32" s="203">
        <f>SUM(N32)</f>
        <v>216</v>
      </c>
      <c r="Q32" s="203">
        <f t="shared" si="6"/>
        <v>4647.4838709677415</v>
      </c>
      <c r="R32" s="203">
        <f>SUM(P32)</f>
        <v>216</v>
      </c>
      <c r="S32" s="203">
        <f t="shared" si="7"/>
        <v>4647.4838709677415</v>
      </c>
      <c r="T32" s="203">
        <f>SUM(R32)</f>
        <v>216</v>
      </c>
      <c r="U32" s="203">
        <f t="shared" si="8"/>
        <v>4647.4838709677415</v>
      </c>
      <c r="V32" s="203">
        <f>SUM(T32)</f>
        <v>216</v>
      </c>
      <c r="W32" s="203">
        <f t="shared" si="9"/>
        <v>4647.4838709677415</v>
      </c>
      <c r="X32" s="35">
        <f>SUM(Y32/73370)</f>
        <v>0.6967741935483871</v>
      </c>
      <c r="Y32" s="36">
        <f>SUM(C32+E32+G32+I32+K32+M32+O32+Q32+S32+U32+W32)</f>
        <v>51122.322580645159</v>
      </c>
      <c r="Z32" s="203">
        <f>'B5'!C31</f>
        <v>222</v>
      </c>
      <c r="AA32" s="203">
        <f t="shared" si="30"/>
        <v>2220</v>
      </c>
      <c r="AB32" s="203">
        <f>SUM(Z32)</f>
        <v>222</v>
      </c>
      <c r="AC32" s="203">
        <f t="shared" si="30"/>
        <v>2220</v>
      </c>
      <c r="AD32" s="203">
        <f>SUM(AB32)</f>
        <v>222</v>
      </c>
      <c r="AE32" s="203">
        <f t="shared" si="11"/>
        <v>2220</v>
      </c>
      <c r="AF32" s="203">
        <f>SUM(AD32)</f>
        <v>222</v>
      </c>
      <c r="AG32" s="203">
        <f t="shared" si="12"/>
        <v>2220</v>
      </c>
      <c r="AH32" s="203">
        <f>SUM(AF32)</f>
        <v>222</v>
      </c>
      <c r="AI32" s="203">
        <f t="shared" si="13"/>
        <v>2220</v>
      </c>
      <c r="AJ32" s="203">
        <f>SUM(AH32)</f>
        <v>222</v>
      </c>
      <c r="AK32" s="203">
        <f t="shared" si="14"/>
        <v>2220</v>
      </c>
      <c r="AL32" s="203">
        <f>SUM(AJ32)</f>
        <v>222</v>
      </c>
      <c r="AM32" s="203">
        <f t="shared" si="15"/>
        <v>2220</v>
      </c>
      <c r="AN32" s="35">
        <f>SUM(AO32/19600)</f>
        <v>0.79285714285714282</v>
      </c>
      <c r="AO32" s="36">
        <f>SUM(AA32+AC32+AE32+AG32+AI32+AK32+AM32)</f>
        <v>15540</v>
      </c>
      <c r="AQ32" s="223">
        <f t="shared" si="40"/>
        <v>0.71703046768468481</v>
      </c>
      <c r="AR32" s="38">
        <f t="shared" si="41"/>
        <v>66662.322580645152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703.68776371317756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211</v>
      </c>
      <c r="C33" s="203">
        <f t="shared" si="18"/>
        <v>4539.9032258064517</v>
      </c>
      <c r="D33">
        <f>SUM(B33)</f>
        <v>211</v>
      </c>
      <c r="E33" s="203">
        <f t="shared" si="18"/>
        <v>4539.9032258064517</v>
      </c>
      <c r="F33">
        <f>SUM(D33)</f>
        <v>211</v>
      </c>
      <c r="G33" s="203">
        <f t="shared" si="1"/>
        <v>4539.9032258064517</v>
      </c>
      <c r="H33" s="203">
        <f>SUM(F33)</f>
        <v>211</v>
      </c>
      <c r="I33" s="203">
        <f t="shared" si="2"/>
        <v>4539.9032258064517</v>
      </c>
      <c r="J33" s="203">
        <f>SUM(H33)</f>
        <v>211</v>
      </c>
      <c r="K33" s="203">
        <f t="shared" si="3"/>
        <v>4539.9032258064517</v>
      </c>
      <c r="L33" s="203">
        <f>SUM(J33)</f>
        <v>211</v>
      </c>
      <c r="M33" s="203">
        <f t="shared" si="4"/>
        <v>4539.9032258064517</v>
      </c>
      <c r="N33" s="203">
        <f>SUM(L33)</f>
        <v>211</v>
      </c>
      <c r="O33" s="203">
        <f t="shared" si="5"/>
        <v>4539.9032258064517</v>
      </c>
      <c r="P33" s="203">
        <f>SUM(N33)</f>
        <v>211</v>
      </c>
      <c r="Q33" s="203">
        <f t="shared" si="6"/>
        <v>4539.9032258064517</v>
      </c>
      <c r="R33" s="203">
        <f>SUM(P33)</f>
        <v>211</v>
      </c>
      <c r="S33" s="203">
        <f t="shared" si="7"/>
        <v>4539.9032258064517</v>
      </c>
      <c r="T33" s="203">
        <f>SUM(R33)</f>
        <v>211</v>
      </c>
      <c r="U33" s="203">
        <f t="shared" si="8"/>
        <v>4539.9032258064517</v>
      </c>
      <c r="V33" s="203">
        <f>SUM(T33)</f>
        <v>211</v>
      </c>
      <c r="W33" s="203">
        <f t="shared" si="9"/>
        <v>4539.9032258064517</v>
      </c>
      <c r="X33" s="35">
        <f>SUM(Y33/73370)</f>
        <v>0.68064516129032271</v>
      </c>
      <c r="Y33" s="36">
        <f>SUM(C33+E33+G33+I33+K33+M33+O33+Q33+S33+U33+W33)</f>
        <v>49938.935483870977</v>
      </c>
      <c r="Z33" s="203">
        <f>'B5'!C32</f>
        <v>218</v>
      </c>
      <c r="AA33" s="203">
        <f t="shared" si="30"/>
        <v>2180</v>
      </c>
      <c r="AB33" s="203">
        <f>SUM(Z33)</f>
        <v>218</v>
      </c>
      <c r="AC33" s="203">
        <f t="shared" si="30"/>
        <v>2180</v>
      </c>
      <c r="AD33" s="203">
        <f>SUM(AB33)</f>
        <v>218</v>
      </c>
      <c r="AE33" s="203">
        <f t="shared" si="11"/>
        <v>2180</v>
      </c>
      <c r="AF33" s="203">
        <f>SUM(AD33)</f>
        <v>218</v>
      </c>
      <c r="AG33" s="203">
        <f t="shared" si="12"/>
        <v>2180</v>
      </c>
      <c r="AH33" s="203">
        <f>SUM(AF33)</f>
        <v>218</v>
      </c>
      <c r="AI33" s="203">
        <f t="shared" si="13"/>
        <v>2180</v>
      </c>
      <c r="AJ33" s="203">
        <f>SUM(AH33)</f>
        <v>218</v>
      </c>
      <c r="AK33" s="203">
        <f t="shared" si="14"/>
        <v>2180</v>
      </c>
      <c r="AL33" s="203">
        <f>SUM(AJ33)</f>
        <v>218</v>
      </c>
      <c r="AM33" s="203">
        <f t="shared" si="15"/>
        <v>2180</v>
      </c>
      <c r="AN33" s="35">
        <f>SUM(AO33/19600)</f>
        <v>0.77857142857142858</v>
      </c>
      <c r="AO33" s="36">
        <f>SUM(AA33+AC33+AE33+AG33+AI33+AK33+AM33)</f>
        <v>15260</v>
      </c>
      <c r="AQ33" s="223">
        <f t="shared" si="40"/>
        <v>0.70129004500237691</v>
      </c>
      <c r="AR33" s="38">
        <f t="shared" si="41"/>
        <v>65198.935483870977</v>
      </c>
      <c r="AS33" s="197">
        <f>SUM(AR33-AR32-AT33)</f>
        <v>-1463.387096774175</v>
      </c>
      <c r="AT33" s="340"/>
      <c r="AU33" s="546"/>
      <c r="AV33" s="485">
        <f>IF(AT33&gt;0,AU33,AV32)</f>
        <v>0</v>
      </c>
      <c r="AW33" s="279">
        <f>-SUM('B5'!AI32)</f>
        <v>-31</v>
      </c>
      <c r="AX33" s="279">
        <f t="shared" si="17"/>
        <v>-1432.387096774175</v>
      </c>
      <c r="AY33" s="37">
        <f t="shared" si="37"/>
        <v>-1463.387096774175</v>
      </c>
      <c r="AZ33" s="100">
        <f>ELEC!A31</f>
        <v>0</v>
      </c>
      <c r="BA33" s="118">
        <f>'General information '!D32</f>
        <v>29.5</v>
      </c>
      <c r="BB33" s="204">
        <f>SUM('General information '!E32)</f>
        <v>0.7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-71.619354838708745</v>
      </c>
      <c r="BK33" s="536">
        <f>GEN!AF30</f>
        <v>0.17087500000002365</v>
      </c>
    </row>
    <row r="34" spans="1:63">
      <c r="A34" s="425">
        <f>ELEC!C32</f>
        <v>44802</v>
      </c>
      <c r="B34">
        <f>'B5'!B33</f>
        <v>207</v>
      </c>
      <c r="C34" s="203">
        <f t="shared" ref="C34:C36" si="48">B34*$B$4</f>
        <v>4453.8387096774195</v>
      </c>
      <c r="D34">
        <f t="shared" ref="D34:D36" si="49">SUM(B34)</f>
        <v>207</v>
      </c>
      <c r="E34" s="203">
        <f t="shared" ref="E34:E36" si="50">D34*$B$4</f>
        <v>4453.8387096774195</v>
      </c>
      <c r="F34">
        <f t="shared" ref="F34:F36" si="51">SUM(D34)</f>
        <v>207</v>
      </c>
      <c r="G34" s="203">
        <f t="shared" ref="G34:G36" si="52">F34*$B$4</f>
        <v>4453.8387096774195</v>
      </c>
      <c r="H34" s="203">
        <f t="shared" ref="H34:H36" si="53">SUM(F34)</f>
        <v>207</v>
      </c>
      <c r="I34" s="203">
        <f t="shared" ref="I34:I36" si="54">H34*$B$4</f>
        <v>4453.8387096774195</v>
      </c>
      <c r="J34" s="203">
        <f t="shared" ref="J34:J36" si="55">SUM(H34)</f>
        <v>207</v>
      </c>
      <c r="K34" s="203">
        <f t="shared" ref="K34:K36" si="56">J34*$B$4</f>
        <v>4453.8387096774195</v>
      </c>
      <c r="L34" s="203">
        <f t="shared" ref="L34:L36" si="57">SUM(J34)</f>
        <v>207</v>
      </c>
      <c r="M34" s="203">
        <f t="shared" ref="M34:M36" si="58">L34*$B$4</f>
        <v>4453.8387096774195</v>
      </c>
      <c r="N34" s="203">
        <f t="shared" ref="N34:N36" si="59">SUM(L34)</f>
        <v>207</v>
      </c>
      <c r="O34" s="203">
        <f t="shared" ref="O34:O36" si="60">N34*$B$4</f>
        <v>4453.8387096774195</v>
      </c>
      <c r="P34" s="203">
        <f t="shared" ref="P34:P36" si="61">SUM(N34)</f>
        <v>207</v>
      </c>
      <c r="Q34" s="203">
        <f t="shared" ref="Q34:Q36" si="62">P34*$B$4</f>
        <v>4453.8387096774195</v>
      </c>
      <c r="R34" s="203">
        <f t="shared" ref="R34:R36" si="63">SUM(P34)</f>
        <v>207</v>
      </c>
      <c r="S34" s="203">
        <f t="shared" ref="S34:S36" si="64">R34*$B$4</f>
        <v>4453.8387096774195</v>
      </c>
      <c r="T34" s="203">
        <f t="shared" ref="T34:T36" si="65">SUM(R34)</f>
        <v>207</v>
      </c>
      <c r="U34" s="203">
        <f t="shared" ref="U34:U36" si="66">T34*$B$4</f>
        <v>4453.8387096774195</v>
      </c>
      <c r="V34" s="203">
        <f t="shared" ref="V34:V36" si="67">SUM(T34)</f>
        <v>207</v>
      </c>
      <c r="W34" s="203">
        <f t="shared" ref="W34:W36" si="68">V34*$B$4</f>
        <v>4453.8387096774195</v>
      </c>
      <c r="X34" s="35">
        <f t="shared" ref="X34:X36" si="69">SUM(Y34/73370)</f>
        <v>0.66774193548387084</v>
      </c>
      <c r="Y34" s="36">
        <f t="shared" ref="Y34:Y36" si="70">SUM(C34+E34+G34+I34+K34+M34+O34+Q34+S34+U34+W34)</f>
        <v>48992.225806451606</v>
      </c>
      <c r="Z34" s="203">
        <f>'B5'!C33</f>
        <v>215</v>
      </c>
      <c r="AA34" s="203">
        <f t="shared" ref="AA34:AA36" si="71">SUM(Z34*$Z$4)</f>
        <v>2150</v>
      </c>
      <c r="AB34" s="203">
        <f t="shared" ref="AB34:AB36" si="72">SUM(Z34)</f>
        <v>215</v>
      </c>
      <c r="AC34" s="203">
        <f t="shared" ref="AC34:AC36" si="73">SUM(AB34*$Z$4)</f>
        <v>2150</v>
      </c>
      <c r="AD34" s="203">
        <f t="shared" ref="AD34:AD36" si="74">SUM(AB34)</f>
        <v>215</v>
      </c>
      <c r="AE34" s="203">
        <f t="shared" ref="AE34:AE36" si="75">SUM(AD34*$Z$4)</f>
        <v>2150</v>
      </c>
      <c r="AF34" s="203">
        <f t="shared" ref="AF34:AF36" si="76">SUM(AD34)</f>
        <v>215</v>
      </c>
      <c r="AG34" s="203">
        <f t="shared" ref="AG34:AG36" si="77">SUM(AF34*$Z$4)</f>
        <v>2150</v>
      </c>
      <c r="AH34" s="203">
        <f t="shared" ref="AH34:AH36" si="78">SUM(AF34)</f>
        <v>215</v>
      </c>
      <c r="AI34" s="203">
        <f t="shared" ref="AI34:AI36" si="79">SUM(AH34*$Z$4)</f>
        <v>2150</v>
      </c>
      <c r="AJ34" s="203">
        <f t="shared" ref="AJ34:AJ36" si="80">SUM(AH34)</f>
        <v>215</v>
      </c>
      <c r="AK34" s="203">
        <f t="shared" ref="AK34:AK36" si="81">SUM(AJ34*$Z$4)</f>
        <v>2150</v>
      </c>
      <c r="AL34" s="203">
        <f t="shared" ref="AL34:AL36" si="82">SUM(AJ34)</f>
        <v>215</v>
      </c>
      <c r="AM34" s="203">
        <f t="shared" ref="AM34:AM36" si="83">SUM(AL34*$Z$4)</f>
        <v>2150</v>
      </c>
      <c r="AN34" s="35">
        <f t="shared" ref="AN34:AN36" si="84">SUM(AO34/19600)</f>
        <v>0.7678571428571429</v>
      </c>
      <c r="AO34" s="36">
        <f t="shared" ref="AO34:AO36" si="85">SUM(AA34+AC34+AE34+AG34+AI34+AK34+AM34)</f>
        <v>15050</v>
      </c>
      <c r="AQ34" s="223">
        <f t="shared" ref="AQ34:AQ36" si="86">SUM(AR34/92970)</f>
        <v>0.68884829306713569</v>
      </c>
      <c r="AR34" s="38">
        <f t="shared" si="41"/>
        <v>64042.225806451606</v>
      </c>
      <c r="AS34" s="197">
        <f t="shared" ref="AS34:AS36" si="87">SUM(AR34-AR33-AT34)</f>
        <v>-1156.7096774193706</v>
      </c>
      <c r="AT34" s="340"/>
      <c r="AU34" s="546"/>
      <c r="AV34" s="485">
        <f t="shared" ref="AV34:AV36" si="88">IF(AT34&gt;0,AU34,AV33)</f>
        <v>0</v>
      </c>
      <c r="AW34" s="279">
        <f>-SUM('B5'!AI33)</f>
        <v>-260</v>
      </c>
      <c r="AX34" s="279">
        <f t="shared" ref="AX34:AX36" si="89">-SUM(AW34-AS34)</f>
        <v>-896.70967741937056</v>
      </c>
      <c r="AY34" s="37">
        <f t="shared" ref="AY34:AY36" si="90">SUM(AX34+AW34)</f>
        <v>-1156.7096774193706</v>
      </c>
      <c r="AZ34" s="100">
        <f>ELEC!A32</f>
        <v>0</v>
      </c>
      <c r="BA34" s="118">
        <f>'General information '!D33</f>
        <v>29.5</v>
      </c>
      <c r="BB34" s="378">
        <f>SUM('General information '!E33)</f>
        <v>0.79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-42.700460829493835</v>
      </c>
      <c r="BK34" s="536">
        <f>GEN!AF31</f>
        <v>0.17043749999993452</v>
      </c>
    </row>
    <row r="35" spans="1:63">
      <c r="A35" s="425">
        <f>ELEC!C33</f>
        <v>44803</v>
      </c>
      <c r="B35">
        <f>'B5'!B34</f>
        <v>207</v>
      </c>
      <c r="C35" s="203">
        <f t="shared" si="48"/>
        <v>4453.8387096774195</v>
      </c>
      <c r="D35">
        <f t="shared" si="49"/>
        <v>207</v>
      </c>
      <c r="E35" s="203">
        <f t="shared" si="50"/>
        <v>4453.8387096774195</v>
      </c>
      <c r="F35">
        <f t="shared" si="51"/>
        <v>207</v>
      </c>
      <c r="G35" s="203">
        <f t="shared" si="52"/>
        <v>4453.8387096774195</v>
      </c>
      <c r="H35" s="203">
        <f t="shared" si="53"/>
        <v>207</v>
      </c>
      <c r="I35" s="203">
        <f t="shared" si="54"/>
        <v>4453.8387096774195</v>
      </c>
      <c r="J35" s="203">
        <f t="shared" si="55"/>
        <v>207</v>
      </c>
      <c r="K35" s="203">
        <f t="shared" si="56"/>
        <v>4453.8387096774195</v>
      </c>
      <c r="L35" s="203">
        <f t="shared" si="57"/>
        <v>207</v>
      </c>
      <c r="M35" s="203">
        <f t="shared" si="58"/>
        <v>4453.8387096774195</v>
      </c>
      <c r="N35" s="203">
        <f t="shared" si="59"/>
        <v>207</v>
      </c>
      <c r="O35" s="203">
        <f t="shared" si="60"/>
        <v>4453.8387096774195</v>
      </c>
      <c r="P35" s="203">
        <f t="shared" si="61"/>
        <v>207</v>
      </c>
      <c r="Q35" s="203">
        <f t="shared" si="62"/>
        <v>4453.8387096774195</v>
      </c>
      <c r="R35" s="203">
        <f t="shared" si="63"/>
        <v>207</v>
      </c>
      <c r="S35" s="203">
        <f t="shared" si="64"/>
        <v>4453.8387096774195</v>
      </c>
      <c r="T35" s="203">
        <f t="shared" si="65"/>
        <v>207</v>
      </c>
      <c r="U35" s="203">
        <f t="shared" si="66"/>
        <v>4453.8387096774195</v>
      </c>
      <c r="V35" s="203">
        <f t="shared" si="67"/>
        <v>207</v>
      </c>
      <c r="W35" s="203">
        <f t="shared" si="68"/>
        <v>4453.8387096774195</v>
      </c>
      <c r="X35" s="35">
        <f t="shared" si="69"/>
        <v>0.66774193548387084</v>
      </c>
      <c r="Y35" s="36">
        <f t="shared" si="70"/>
        <v>48992.225806451606</v>
      </c>
      <c r="Z35" s="203">
        <f>'B5'!C34</f>
        <v>215</v>
      </c>
      <c r="AA35" s="203">
        <f t="shared" si="71"/>
        <v>2150</v>
      </c>
      <c r="AB35" s="203">
        <f t="shared" si="72"/>
        <v>215</v>
      </c>
      <c r="AC35" s="203">
        <f t="shared" si="73"/>
        <v>2150</v>
      </c>
      <c r="AD35" s="203">
        <f t="shared" si="74"/>
        <v>215</v>
      </c>
      <c r="AE35" s="203">
        <f t="shared" si="75"/>
        <v>2150</v>
      </c>
      <c r="AF35" s="203">
        <f t="shared" si="76"/>
        <v>215</v>
      </c>
      <c r="AG35" s="203">
        <f t="shared" si="77"/>
        <v>2150</v>
      </c>
      <c r="AH35" s="203">
        <f t="shared" si="78"/>
        <v>215</v>
      </c>
      <c r="AI35" s="203">
        <f t="shared" si="79"/>
        <v>2150</v>
      </c>
      <c r="AJ35" s="203">
        <f t="shared" si="80"/>
        <v>215</v>
      </c>
      <c r="AK35" s="203">
        <f t="shared" si="81"/>
        <v>2150</v>
      </c>
      <c r="AL35" s="203">
        <f t="shared" si="82"/>
        <v>215</v>
      </c>
      <c r="AM35" s="203">
        <f t="shared" si="83"/>
        <v>2150</v>
      </c>
      <c r="AN35" s="35">
        <f t="shared" si="84"/>
        <v>0.7678571428571429</v>
      </c>
      <c r="AO35" s="36">
        <f t="shared" si="85"/>
        <v>15050</v>
      </c>
      <c r="AQ35" s="223">
        <f t="shared" si="86"/>
        <v>0.68884829306713569</v>
      </c>
      <c r="AR35" s="38">
        <f t="shared" si="41"/>
        <v>64042.225806451606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207</v>
      </c>
      <c r="C36" s="203">
        <f t="shared" si="48"/>
        <v>4453.8387096774195</v>
      </c>
      <c r="D36">
        <f t="shared" si="49"/>
        <v>207</v>
      </c>
      <c r="E36" s="203">
        <f t="shared" si="50"/>
        <v>4453.8387096774195</v>
      </c>
      <c r="F36">
        <f t="shared" si="51"/>
        <v>207</v>
      </c>
      <c r="G36" s="203">
        <f t="shared" si="52"/>
        <v>4453.8387096774195</v>
      </c>
      <c r="H36" s="203">
        <f t="shared" si="53"/>
        <v>207</v>
      </c>
      <c r="I36" s="203">
        <f t="shared" si="54"/>
        <v>4453.8387096774195</v>
      </c>
      <c r="J36" s="203">
        <f t="shared" si="55"/>
        <v>207</v>
      </c>
      <c r="K36" s="203">
        <f t="shared" si="56"/>
        <v>4453.8387096774195</v>
      </c>
      <c r="L36" s="203">
        <f t="shared" si="57"/>
        <v>207</v>
      </c>
      <c r="M36" s="203">
        <f t="shared" si="58"/>
        <v>4453.8387096774195</v>
      </c>
      <c r="N36" s="203">
        <f t="shared" si="59"/>
        <v>207</v>
      </c>
      <c r="O36" s="203">
        <f t="shared" si="60"/>
        <v>4453.8387096774195</v>
      </c>
      <c r="P36" s="203">
        <f t="shared" si="61"/>
        <v>207</v>
      </c>
      <c r="Q36" s="203">
        <f t="shared" si="62"/>
        <v>4453.8387096774195</v>
      </c>
      <c r="R36" s="203">
        <f t="shared" si="63"/>
        <v>207</v>
      </c>
      <c r="S36" s="203">
        <f t="shared" si="64"/>
        <v>4453.8387096774195</v>
      </c>
      <c r="T36" s="203">
        <f t="shared" si="65"/>
        <v>207</v>
      </c>
      <c r="U36" s="203">
        <f t="shared" si="66"/>
        <v>4453.8387096774195</v>
      </c>
      <c r="V36" s="203">
        <f t="shared" si="67"/>
        <v>207</v>
      </c>
      <c r="W36" s="203">
        <f t="shared" si="68"/>
        <v>4453.8387096774195</v>
      </c>
      <c r="X36" s="35">
        <f t="shared" si="69"/>
        <v>0.66774193548387084</v>
      </c>
      <c r="Y36" s="36">
        <f t="shared" si="70"/>
        <v>48992.225806451606</v>
      </c>
      <c r="Z36" s="203">
        <f>'B5'!C35</f>
        <v>215</v>
      </c>
      <c r="AA36" s="203">
        <f t="shared" si="71"/>
        <v>2150</v>
      </c>
      <c r="AB36" s="203">
        <f t="shared" si="72"/>
        <v>215</v>
      </c>
      <c r="AC36" s="203">
        <f t="shared" si="73"/>
        <v>2150</v>
      </c>
      <c r="AD36" s="203">
        <f t="shared" si="74"/>
        <v>215</v>
      </c>
      <c r="AE36" s="203">
        <f t="shared" si="75"/>
        <v>2150</v>
      </c>
      <c r="AF36" s="203">
        <f t="shared" si="76"/>
        <v>215</v>
      </c>
      <c r="AG36" s="203">
        <f t="shared" si="77"/>
        <v>2150</v>
      </c>
      <c r="AH36" s="203">
        <f t="shared" si="78"/>
        <v>215</v>
      </c>
      <c r="AI36" s="203">
        <f t="shared" si="79"/>
        <v>2150</v>
      </c>
      <c r="AJ36" s="203">
        <f t="shared" si="80"/>
        <v>215</v>
      </c>
      <c r="AK36" s="203">
        <f t="shared" si="81"/>
        <v>2150</v>
      </c>
      <c r="AL36" s="203">
        <f t="shared" si="82"/>
        <v>215</v>
      </c>
      <c r="AM36" s="203">
        <f t="shared" si="83"/>
        <v>2150</v>
      </c>
      <c r="AN36" s="35">
        <f t="shared" si="84"/>
        <v>0.7678571428571429</v>
      </c>
      <c r="AO36" s="36">
        <f t="shared" si="85"/>
        <v>15050</v>
      </c>
      <c r="AQ36" s="223">
        <f t="shared" si="86"/>
        <v>0.68884829306713569</v>
      </c>
      <c r="AR36" s="38">
        <f t="shared" si="41"/>
        <v>64042.225806451606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16071</v>
      </c>
      <c r="AU37" s="542">
        <f>SUM(AU6:AU36)/AS37</f>
        <v>1.0514999999999999</v>
      </c>
      <c r="AX37" s="203">
        <f>SUM(AX6:AX36)</f>
        <v>-17663.129032258061</v>
      </c>
      <c r="AY37" s="203">
        <f>SUM(AY6:AY36)</f>
        <v>-19681.129032258061</v>
      </c>
    </row>
    <row r="38" spans="1:63">
      <c r="AS38" s="206"/>
      <c r="AT38" s="82">
        <f>+AT37*AU37</f>
        <v>16898.656499999997</v>
      </c>
    </row>
    <row r="40" spans="1:63">
      <c r="AS40" s="165">
        <f>SUM(AS6:AS36)/'EDl log'!A35</f>
        <v>-4920.2822580645152</v>
      </c>
      <c r="AT40" s="203"/>
    </row>
    <row r="41" spans="1:63">
      <c r="AX41">
        <v>43309</v>
      </c>
    </row>
    <row r="42" spans="1:63">
      <c r="AR42" s="203">
        <f>AR36-22000</f>
        <v>42042.225806451606</v>
      </c>
      <c r="AU42" s="203"/>
      <c r="AX42">
        <f>AX37/AX41</f>
        <v>-0.40783968764594103</v>
      </c>
    </row>
    <row r="43" spans="1:63">
      <c r="AR43">
        <f>AR42/5500</f>
        <v>7.6440410557184739</v>
      </c>
    </row>
    <row r="44" spans="1:63">
      <c r="AR44">
        <f>AR43*2</f>
        <v>15.288082111436948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opLeftCell="F27" zoomScale="70" zoomScaleNormal="70" workbookViewId="0">
      <selection activeCell="J32" sqref="J32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26953125" customWidth="1"/>
    <col min="10" max="10" width="22" customWidth="1"/>
    <col min="11" max="11" width="11.453125" customWidth="1"/>
    <col min="12" max="12" width="15.26953125" bestFit="1" customWidth="1"/>
    <col min="13" max="13" width="19.26953125" bestFit="1" customWidth="1"/>
    <col min="14" max="14" width="15.26953125" bestFit="1" customWidth="1"/>
    <col min="15" max="15" width="13.7265625" bestFit="1" customWidth="1"/>
    <col min="16" max="16" width="12.7265625" customWidth="1"/>
    <col min="17" max="17" width="14.26953125" customWidth="1"/>
    <col min="18" max="18" width="13.453125" bestFit="1" customWidth="1"/>
    <col min="19" max="19" width="15.26953125" style="281" bestFit="1" customWidth="1"/>
    <col min="20" max="20" width="10.26953125" style="322" customWidth="1"/>
    <col min="22" max="22" width="23.26953125" bestFit="1" customWidth="1"/>
    <col min="23" max="23" width="14.7265625" bestFit="1" customWidth="1"/>
    <col min="24" max="24" width="17.7265625" customWidth="1"/>
    <col min="25" max="25" width="12.54296875" bestFit="1" customWidth="1"/>
    <col min="26" max="26" width="15.7265625" bestFit="1" customWidth="1"/>
    <col min="27" max="27" width="18.7265625" bestFit="1" customWidth="1"/>
    <col min="28" max="28" width="23.7265625" bestFit="1" customWidth="1"/>
    <col min="29" max="29" width="16.81640625" bestFit="1" customWidth="1"/>
    <col min="30" max="30" width="13.54296875" style="539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49999999999999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49999999999999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210.4695967741886</v>
      </c>
      <c r="R4" s="285">
        <f>SUM(P4:Q4)</f>
        <v>387.0411262237152</v>
      </c>
      <c r="S4" s="287">
        <f>SUM(ELEC!N4)</f>
        <v>3394</v>
      </c>
      <c r="T4" s="321">
        <f>IF(S4&gt;0,R4/S4,0)</f>
        <v>0.11403686688972163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3"/>
      <c r="AC4" s="644"/>
    </row>
    <row r="5" spans="1:32" ht="20.149999999999999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1255.1857258064451</v>
      </c>
      <c r="R5" s="285">
        <f t="shared" ref="R5:R30" si="13">SUM(P5:Q5)</f>
        <v>1409.988764377033</v>
      </c>
      <c r="S5" s="287">
        <f>SUM(ELEC!N5)</f>
        <v>4589</v>
      </c>
      <c r="T5" s="321">
        <f>IF(S5&gt;0,R5/S5,0)</f>
        <v>0.30725403451231925</v>
      </c>
      <c r="U5" s="245"/>
      <c r="V5" s="637"/>
      <c r="W5" s="638"/>
      <c r="X5" s="638"/>
      <c r="Y5" s="639"/>
      <c r="Z5" s="26" t="s">
        <v>202</v>
      </c>
      <c r="AA5" s="26">
        <v>5000</v>
      </c>
      <c r="AB5" s="645"/>
      <c r="AC5" s="646"/>
    </row>
    <row r="6" spans="1:32" ht="20.149999999999999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0"/>
      <c r="W6" s="641"/>
      <c r="X6" s="641"/>
      <c r="Y6" s="642"/>
      <c r="Z6" s="649"/>
      <c r="AA6" s="650"/>
      <c r="AB6" s="645"/>
      <c r="AC6" s="646"/>
    </row>
    <row r="7" spans="1:32" ht="20.149999999999999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1147.932725806445</v>
      </c>
      <c r="R7" s="285">
        <f t="shared" si="13"/>
        <v>1302.7357643770329</v>
      </c>
      <c r="S7" s="287">
        <f>SUM(ELEC!N7)</f>
        <v>2188</v>
      </c>
      <c r="T7" s="321">
        <f t="shared" si="16"/>
        <v>0.59540025794197116</v>
      </c>
      <c r="V7" s="632" t="s">
        <v>203</v>
      </c>
      <c r="W7" s="633"/>
      <c r="X7" s="634" t="s">
        <v>204</v>
      </c>
      <c r="Y7" s="635"/>
      <c r="Z7" s="636"/>
      <c r="AA7" s="170"/>
      <c r="AB7" s="647"/>
      <c r="AC7" s="648"/>
    </row>
    <row r="8" spans="1:32" ht="20.149999999999999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49999999999999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49999999999999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879.08791935485294</v>
      </c>
      <c r="R10" s="285">
        <f t="shared" si="13"/>
        <v>1033.8909579254409</v>
      </c>
      <c r="S10" s="287">
        <f>SUM(ELEC!N10)</f>
        <v>3848</v>
      </c>
      <c r="T10" s="321">
        <f t="shared" si="16"/>
        <v>0.26868268137355533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49999999999999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49999999999999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1345.2755322580679</v>
      </c>
      <c r="R12" s="285">
        <f t="shared" si="13"/>
        <v>1509.068288904941</v>
      </c>
      <c r="S12" s="287">
        <f>SUM(ELEC!N12)</f>
        <v>2181</v>
      </c>
      <c r="T12" s="321">
        <f t="shared" si="16"/>
        <v>0.69191576749424166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49999999999999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1103.7697258064297</v>
      </c>
      <c r="R13" s="285">
        <f t="shared" si="13"/>
        <v>1258.5727643770176</v>
      </c>
      <c r="S13" s="287">
        <f>SUM(ELEC!N13)</f>
        <v>3119</v>
      </c>
      <c r="T13" s="321">
        <f>IF(S13&gt;0,R13/S13,0)</f>
        <v>0.40351803923597873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49999999999999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-795.71414516126754</v>
      </c>
      <c r="R14" s="285">
        <f>SUM(P14:Q14)</f>
        <v>-640.91110659067965</v>
      </c>
      <c r="S14" s="287">
        <f>SUM(ELEC!N14)</f>
        <v>2990</v>
      </c>
      <c r="T14" s="321">
        <f>IF(S14&gt;0,R14/S14,0)</f>
        <v>-0.21435154066577916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49999999999999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49999999999999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49999999999999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49999999999999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1363.4902258064451</v>
      </c>
      <c r="R18" s="285">
        <f t="shared" si="13"/>
        <v>1518.293264377033</v>
      </c>
      <c r="S18" s="287">
        <f>SUM(ELEC!N18)</f>
        <v>2947</v>
      </c>
      <c r="T18" s="321">
        <f t="shared" si="16"/>
        <v>0.51519961465118191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49999999999999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1117.4392258064452</v>
      </c>
      <c r="R19" s="285">
        <f>SUM(P19:Q19)</f>
        <v>1272.2422643770331</v>
      </c>
      <c r="S19" s="287">
        <f>SUM(ELEC!N19)</f>
        <v>3754</v>
      </c>
      <c r="T19" s="321">
        <f>IF(S19&gt;0,R19/S19,0)</f>
        <v>0.3389031071862102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49999999999999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1320.0395322580525</v>
      </c>
      <c r="R20" s="285">
        <f t="shared" si="13"/>
        <v>1474.8425708286404</v>
      </c>
      <c r="S20" s="287">
        <f>SUM(ELEC!N20)</f>
        <v>4077</v>
      </c>
      <c r="T20" s="321">
        <f t="shared" si="16"/>
        <v>0.36174701271244553</v>
      </c>
      <c r="AB20" s="525"/>
    </row>
    <row r="21" spans="1:32" ht="20.149999999999999" customHeight="1">
      <c r="A21" s="163">
        <f>ELEC!C21</f>
        <v>44791</v>
      </c>
      <c r="B21" s="606">
        <v>1123908</v>
      </c>
      <c r="C21" s="254">
        <f t="shared" si="0"/>
        <v>146</v>
      </c>
      <c r="D21" s="295">
        <f t="shared" si="14"/>
        <v>143</v>
      </c>
      <c r="E21" s="295">
        <f t="shared" si="15"/>
        <v>1123905</v>
      </c>
      <c r="F21" s="606">
        <f t="shared" si="8"/>
        <v>161410</v>
      </c>
      <c r="G21" s="160">
        <f t="shared" si="1"/>
        <v>0</v>
      </c>
      <c r="H21" s="606">
        <v>560591</v>
      </c>
      <c r="I21" s="161">
        <f t="shared" si="2"/>
        <v>143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10.624212271973466</v>
      </c>
      <c r="N21" s="284">
        <f t="shared" si="19"/>
        <v>0</v>
      </c>
      <c r="O21" s="284">
        <f t="shared" si="6"/>
        <v>154.80303857058792</v>
      </c>
      <c r="P21" s="285">
        <f t="shared" si="12"/>
        <v>165.42725084256139</v>
      </c>
      <c r="Q21" s="285">
        <f>SUM(-tanks!AX23*tanks!$AU$37)</f>
        <v>1303.5547258064757</v>
      </c>
      <c r="R21" s="285">
        <f t="shared" si="13"/>
        <v>1468.9819766490371</v>
      </c>
      <c r="S21" s="287">
        <f>SUM(ELEC!N21)</f>
        <v>4786</v>
      </c>
      <c r="T21" s="321">
        <f t="shared" si="16"/>
        <v>0.30693313344108586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3"/>
      <c r="AC21" s="644"/>
    </row>
    <row r="22" spans="1:32" ht="20.149999999999999" customHeight="1">
      <c r="A22" s="163">
        <f>ELEC!C22</f>
        <v>44792</v>
      </c>
      <c r="B22" s="606">
        <f t="shared" si="7"/>
        <v>1123908</v>
      </c>
      <c r="C22" s="254">
        <f t="shared" si="0"/>
        <v>0</v>
      </c>
      <c r="D22" s="295">
        <f t="shared" si="14"/>
        <v>0</v>
      </c>
      <c r="E22" s="295">
        <f t="shared" si="15"/>
        <v>1123908</v>
      </c>
      <c r="F22" s="606">
        <f t="shared" si="8"/>
        <v>161410</v>
      </c>
      <c r="G22" s="160">
        <f t="shared" si="1"/>
        <v>0</v>
      </c>
      <c r="H22" s="606">
        <f t="shared" si="9"/>
        <v>560591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37"/>
      <c r="W22" s="638"/>
      <c r="X22" s="638"/>
      <c r="Y22" s="639"/>
      <c r="Z22" s="26" t="s">
        <v>202</v>
      </c>
      <c r="AA22" s="26">
        <v>5000</v>
      </c>
      <c r="AB22" s="645"/>
      <c r="AC22" s="646"/>
    </row>
    <row r="23" spans="1:32" ht="20.149999999999999" customHeight="1">
      <c r="A23" s="163">
        <f>ELEC!C23</f>
        <v>44793</v>
      </c>
      <c r="B23" s="606">
        <f t="shared" si="7"/>
        <v>1123908</v>
      </c>
      <c r="C23" s="254">
        <f t="shared" si="0"/>
        <v>0</v>
      </c>
      <c r="D23" s="295">
        <f t="shared" si="14"/>
        <v>0</v>
      </c>
      <c r="E23" s="295">
        <f t="shared" si="15"/>
        <v>1123908</v>
      </c>
      <c r="F23" s="606">
        <f t="shared" si="8"/>
        <v>161410</v>
      </c>
      <c r="G23" s="160">
        <f t="shared" si="1"/>
        <v>0</v>
      </c>
      <c r="H23" s="606">
        <f t="shared" si="9"/>
        <v>560591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0"/>
      <c r="W23" s="641"/>
      <c r="X23" s="641"/>
      <c r="Y23" s="642"/>
      <c r="Z23" s="649"/>
      <c r="AA23" s="650"/>
      <c r="AB23" s="645"/>
      <c r="AC23" s="646"/>
    </row>
    <row r="24" spans="1:32" ht="20.149999999999999" customHeight="1">
      <c r="A24" s="163">
        <f>ELEC!C24</f>
        <v>44794</v>
      </c>
      <c r="B24" s="606">
        <f t="shared" si="7"/>
        <v>1123908</v>
      </c>
      <c r="C24" s="254">
        <f t="shared" si="0"/>
        <v>0</v>
      </c>
      <c r="D24" s="295">
        <f t="shared" si="14"/>
        <v>0</v>
      </c>
      <c r="E24" s="295">
        <f t="shared" si="15"/>
        <v>1123908</v>
      </c>
      <c r="F24" s="606">
        <f t="shared" si="8"/>
        <v>161410</v>
      </c>
      <c r="G24" s="160">
        <f t="shared" si="1"/>
        <v>0</v>
      </c>
      <c r="H24" s="606">
        <f t="shared" si="9"/>
        <v>560591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1669.8498387096599</v>
      </c>
      <c r="R24" s="285">
        <f t="shared" si="13"/>
        <v>1824.6528772802478</v>
      </c>
      <c r="S24" s="287">
        <f>SUM(ELEC!N24)</f>
        <v>3417</v>
      </c>
      <c r="T24" s="321">
        <f t="shared" si="16"/>
        <v>0.53399264772614807</v>
      </c>
      <c r="V24" s="632" t="s">
        <v>203</v>
      </c>
      <c r="W24" s="633"/>
      <c r="X24" s="634" t="s">
        <v>204</v>
      </c>
      <c r="Y24" s="635"/>
      <c r="Z24" s="636"/>
      <c r="AA24" s="170"/>
      <c r="AB24" s="647"/>
      <c r="AC24" s="648"/>
    </row>
    <row r="25" spans="1:32" ht="20.149999999999999" customHeight="1">
      <c r="A25" s="163">
        <f>ELEC!C25</f>
        <v>44795</v>
      </c>
      <c r="B25" s="606">
        <f t="shared" si="7"/>
        <v>1123908</v>
      </c>
      <c r="C25" s="254">
        <f t="shared" si="0"/>
        <v>0</v>
      </c>
      <c r="D25" s="295">
        <f t="shared" si="14"/>
        <v>0</v>
      </c>
      <c r="E25" s="295">
        <f t="shared" si="15"/>
        <v>1123908</v>
      </c>
      <c r="F25" s="606">
        <f t="shared" si="8"/>
        <v>161410</v>
      </c>
      <c r="G25" s="160">
        <f t="shared" si="1"/>
        <v>0</v>
      </c>
      <c r="H25" s="606">
        <f t="shared" si="9"/>
        <v>560591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934.81741935483763</v>
      </c>
      <c r="R25" s="285">
        <f t="shared" si="13"/>
        <v>1089.6204579254256</v>
      </c>
      <c r="S25" s="287">
        <f>SUM(ELEC!N25)</f>
        <v>3328</v>
      </c>
      <c r="T25" s="321">
        <f t="shared" si="16"/>
        <v>0.32740999336701493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49999999999999" customHeight="1">
      <c r="A26" s="163">
        <f>ELEC!C26</f>
        <v>44796</v>
      </c>
      <c r="B26" s="606">
        <f t="shared" si="7"/>
        <v>1123908</v>
      </c>
      <c r="C26" s="254">
        <f t="shared" si="0"/>
        <v>0</v>
      </c>
      <c r="D26" s="295">
        <f t="shared" si="14"/>
        <v>0</v>
      </c>
      <c r="E26" s="295">
        <f t="shared" si="15"/>
        <v>1123908</v>
      </c>
      <c r="F26" s="606">
        <f t="shared" si="8"/>
        <v>161410</v>
      </c>
      <c r="G26" s="160">
        <f t="shared" si="1"/>
        <v>0</v>
      </c>
      <c r="H26" s="606">
        <f t="shared" si="9"/>
        <v>560591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1434.6530322580832</v>
      </c>
      <c r="R26" s="285">
        <f t="shared" si="13"/>
        <v>1589.456070828671</v>
      </c>
      <c r="S26" s="287">
        <f>SUM(ELEC!N26)</f>
        <v>3430</v>
      </c>
      <c r="T26" s="321">
        <f t="shared" si="16"/>
        <v>0.46339827137862127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5.185185185185185E-2</v>
      </c>
    </row>
    <row r="27" spans="1:32" ht="20.149999999999999" customHeight="1">
      <c r="A27" s="163">
        <f>ELEC!C27</f>
        <v>44797</v>
      </c>
      <c r="B27" s="606">
        <f t="shared" si="7"/>
        <v>1123908</v>
      </c>
      <c r="C27" s="254">
        <f t="shared" si="0"/>
        <v>0</v>
      </c>
      <c r="D27" s="295">
        <f t="shared" si="14"/>
        <v>0</v>
      </c>
      <c r="E27" s="295">
        <f t="shared" si="15"/>
        <v>1123908</v>
      </c>
      <c r="F27" s="606">
        <f t="shared" si="8"/>
        <v>161410</v>
      </c>
      <c r="G27" s="160">
        <f t="shared" si="1"/>
        <v>0</v>
      </c>
      <c r="H27" s="606">
        <f t="shared" si="9"/>
        <v>560591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3334</v>
      </c>
      <c r="T27" s="321">
        <f t="shared" si="16"/>
        <v>4.6431625246127151E-2</v>
      </c>
      <c r="V27" s="246">
        <f>W10</f>
        <v>560074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1023</v>
      </c>
      <c r="AB27" s="323">
        <f>SUM(AA27*Y27)</f>
        <v>114576</v>
      </c>
      <c r="AC27" s="244">
        <f>AC10</f>
        <v>6200000</v>
      </c>
      <c r="AD27" s="476">
        <f>SUM(I36)</f>
        <v>0.94722222222222219</v>
      </c>
    </row>
    <row r="28" spans="1:32" ht="20.149999999999999" customHeight="1">
      <c r="A28" s="163">
        <f>ELEC!C28</f>
        <v>44798</v>
      </c>
      <c r="B28" s="606">
        <f t="shared" si="7"/>
        <v>1123908</v>
      </c>
      <c r="C28" s="254">
        <f t="shared" si="0"/>
        <v>0</v>
      </c>
      <c r="D28" s="295">
        <f t="shared" si="14"/>
        <v>0</v>
      </c>
      <c r="E28" s="295">
        <f t="shared" si="15"/>
        <v>1123908</v>
      </c>
      <c r="F28" s="606">
        <f t="shared" si="8"/>
        <v>161410</v>
      </c>
      <c r="G28" s="160">
        <f t="shared" si="1"/>
        <v>0</v>
      </c>
      <c r="H28" s="606">
        <f t="shared" si="9"/>
        <v>560591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866.46991935483766</v>
      </c>
      <c r="R28" s="285">
        <f t="shared" si="13"/>
        <v>1021.2729579254255</v>
      </c>
      <c r="S28" s="287">
        <f>SUM(ELEC!N28)</f>
        <v>2683</v>
      </c>
      <c r="T28" s="321">
        <f t="shared" si="16"/>
        <v>0.3806459030657568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44799</v>
      </c>
      <c r="B29" s="606">
        <f t="shared" si="7"/>
        <v>1123908</v>
      </c>
      <c r="C29" s="254">
        <f t="shared" si="0"/>
        <v>0</v>
      </c>
      <c r="D29" s="295">
        <f t="shared" si="14"/>
        <v>0</v>
      </c>
      <c r="E29" s="295">
        <f t="shared" si="15"/>
        <v>1123908</v>
      </c>
      <c r="F29" s="606">
        <f t="shared" si="8"/>
        <v>161410</v>
      </c>
      <c r="G29" s="160">
        <f t="shared" si="1"/>
        <v>0</v>
      </c>
      <c r="H29" s="606">
        <f t="shared" si="9"/>
        <v>560591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967.41391935483762</v>
      </c>
      <c r="R29" s="285">
        <f t="shared" si="13"/>
        <v>1122.2169579254255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1079</v>
      </c>
      <c r="AB29" s="323">
        <f>SUM(AB26:AB28)</f>
        <v>119056</v>
      </c>
      <c r="AC29" s="244">
        <f>SUM(AC26:AC28)</f>
        <v>7234333</v>
      </c>
    </row>
    <row r="30" spans="1:32" ht="20.149999999999999" customHeight="1">
      <c r="A30" s="163">
        <f>ELEC!C30</f>
        <v>44800</v>
      </c>
      <c r="B30" s="606">
        <f t="shared" si="7"/>
        <v>1123908</v>
      </c>
      <c r="C30" s="254">
        <f t="shared" si="0"/>
        <v>0</v>
      </c>
      <c r="D30" s="295">
        <f t="shared" si="14"/>
        <v>0</v>
      </c>
      <c r="E30" s="295">
        <f t="shared" si="15"/>
        <v>1123908</v>
      </c>
      <c r="F30" s="606">
        <f t="shared" si="8"/>
        <v>161410</v>
      </c>
      <c r="G30" s="160">
        <f t="shared" si="1"/>
        <v>0</v>
      </c>
      <c r="H30" s="606">
        <f t="shared" si="9"/>
        <v>560591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7353389</v>
      </c>
      <c r="AC30" s="244"/>
    </row>
    <row r="31" spans="1:32" ht="20.149999999999999" customHeight="1">
      <c r="A31" s="163">
        <f>ELEC!C31</f>
        <v>44801</v>
      </c>
      <c r="B31" s="606">
        <f t="shared" si="7"/>
        <v>1123908</v>
      </c>
      <c r="C31" s="254">
        <f>SUM(B31-B30)</f>
        <v>0</v>
      </c>
      <c r="D31" s="295">
        <f t="shared" si="14"/>
        <v>0</v>
      </c>
      <c r="E31" s="295">
        <f t="shared" si="15"/>
        <v>1123908</v>
      </c>
      <c r="F31" s="606">
        <f t="shared" si="8"/>
        <v>161410</v>
      </c>
      <c r="G31" s="160">
        <f>F31-F30</f>
        <v>0</v>
      </c>
      <c r="H31" s="606">
        <f t="shared" si="9"/>
        <v>560591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1506.1550322580449</v>
      </c>
      <c r="R31" s="285">
        <f>SUM(P31:Q31)</f>
        <v>1660.9580708286328</v>
      </c>
      <c r="S31" s="287">
        <f>SUM(ELEC!N31)</f>
        <v>2655</v>
      </c>
      <c r="T31" s="321">
        <f>IF(S31&gt;0,R31/S31,0)</f>
        <v>0.62559626019910841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49999999999999" customHeight="1">
      <c r="A32" s="163">
        <f>ELEC!C32</f>
        <v>44802</v>
      </c>
      <c r="B32" s="606">
        <v>1124410</v>
      </c>
      <c r="C32" s="254">
        <f t="shared" ref="C32:C34" si="20">SUM(B32-B31)</f>
        <v>502</v>
      </c>
      <c r="D32" s="295">
        <f t="shared" ref="D32:D34" si="21">SUM(G32+I32+K32)</f>
        <v>506</v>
      </c>
      <c r="E32" s="295">
        <f t="shared" si="15"/>
        <v>1124414</v>
      </c>
      <c r="F32" s="606">
        <f t="shared" si="8"/>
        <v>161410</v>
      </c>
      <c r="G32" s="160">
        <f t="shared" ref="G32:G34" si="22">F32-F31</f>
        <v>0</v>
      </c>
      <c r="H32" s="606">
        <v>561097</v>
      </c>
      <c r="I32" s="161">
        <f t="shared" ref="I32:I34" si="23">H32-H31</f>
        <v>506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37.593366500829184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192.39640507141709</v>
      </c>
      <c r="Q32" s="285">
        <f>SUM(-tanks!AX34*tanks!$AU$37)</f>
        <v>942.89022580646804</v>
      </c>
      <c r="R32" s="285">
        <f t="shared" ref="R32:R34" si="29">SUM(P32:Q32)</f>
        <v>1135.286630877885</v>
      </c>
      <c r="S32" s="287">
        <f>SUM(ELEC!N32)</f>
        <v>2922</v>
      </c>
      <c r="T32" s="321">
        <f t="shared" ref="T32:T34" si="30">IF(S32&gt;0,R32/S32,0)</f>
        <v>0.3885306744961961</v>
      </c>
      <c r="V32" s="216" t="s">
        <v>315</v>
      </c>
      <c r="W32" s="538">
        <f>'Utility Cost '!B18</f>
        <v>191</v>
      </c>
      <c r="X32" s="222">
        <f>SUM(W32/A35)</f>
        <v>47.75</v>
      </c>
      <c r="Y32" s="250">
        <f>SUM(X32/1)</f>
        <v>47.75</v>
      </c>
      <c r="Z32" s="3"/>
      <c r="AA32" s="323"/>
      <c r="AB32" s="323"/>
      <c r="AC32" s="244"/>
    </row>
    <row r="33" spans="1:32" ht="20.149999999999999" customHeight="1">
      <c r="A33" s="163">
        <f>ELEC!C33</f>
        <v>44803</v>
      </c>
      <c r="B33" s="606">
        <f t="shared" si="7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6">
        <f t="shared" si="8"/>
        <v>161410</v>
      </c>
      <c r="G33" s="160">
        <f t="shared" si="22"/>
        <v>0</v>
      </c>
      <c r="H33" s="606">
        <f t="shared" si="9"/>
        <v>561097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808872.79</v>
      </c>
      <c r="AC33" s="244">
        <f>SUM(AC29)</f>
        <v>7234333</v>
      </c>
    </row>
    <row r="34" spans="1:32" ht="20.149999999999999" customHeight="1">
      <c r="A34" s="163">
        <f>ELEC!C34</f>
        <v>44804</v>
      </c>
      <c r="B34" s="606">
        <f t="shared" si="7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6">
        <f t="shared" si="8"/>
        <v>161410</v>
      </c>
      <c r="G34" s="160">
        <f t="shared" si="22"/>
        <v>0</v>
      </c>
      <c r="H34" s="606">
        <f t="shared" si="9"/>
        <v>561097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8162261.79</v>
      </c>
      <c r="AC34" s="244">
        <f>SUM(AC30)</f>
        <v>0</v>
      </c>
    </row>
    <row r="35" spans="1:32" ht="15" thickBot="1">
      <c r="A35" s="499">
        <f>A37-COUNTIF(C4:C34,0)</f>
        <v>4</v>
      </c>
      <c r="C35" s="173">
        <f>SUM(C4:C34)/A35</f>
        <v>270</v>
      </c>
      <c r="D35" s="173"/>
      <c r="E35" s="173"/>
      <c r="F35" s="562"/>
      <c r="G35" s="562">
        <f>SUM(G4:G34)/A35</f>
        <v>0</v>
      </c>
      <c r="H35" s="173"/>
      <c r="I35" s="173">
        <f>SUM(I4:I34)/A35</f>
        <v>255.75</v>
      </c>
      <c r="K35" s="173">
        <f>SUM(K4:K34)/A35</f>
        <v>14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" thickBot="1">
      <c r="A36" s="210"/>
      <c r="C36" s="212">
        <f>SUM(G36:K36)</f>
        <v>0.999074074074074</v>
      </c>
      <c r="G36" s="225">
        <f>IF(C35&gt;0,G35/C35,0)</f>
        <v>0</v>
      </c>
      <c r="H36" s="212"/>
      <c r="I36" s="225">
        <f>SUM(I35/C35)</f>
        <v>0.94722222222222219</v>
      </c>
      <c r="J36" s="212"/>
      <c r="K36" s="225">
        <f>SUM(K35/C35)</f>
        <v>5.185185185185185E-2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4877.8699834162517</v>
      </c>
      <c r="AC36" s="531"/>
    </row>
    <row r="37" spans="1:32" ht="1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4877.8699834162517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1"/>
      <c r="AC45" s="651"/>
      <c r="AD45" s="540"/>
      <c r="AE45" s="17"/>
      <c r="AF45" s="17"/>
    </row>
    <row r="46" spans="1:32">
      <c r="V46" s="651"/>
      <c r="W46" s="651"/>
      <c r="X46" s="651"/>
      <c r="Y46" s="651"/>
      <c r="Z46" s="506"/>
      <c r="AA46" s="506"/>
      <c r="AB46" s="651"/>
      <c r="AC46" s="651"/>
      <c r="AD46" s="540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0"/>
      <c r="AE47" s="17"/>
      <c r="AF47" s="17"/>
    </row>
    <row r="48" spans="1:32">
      <c r="V48" s="652"/>
      <c r="W48" s="652"/>
      <c r="X48" s="653"/>
      <c r="Y48" s="653"/>
      <c r="Z48" s="653"/>
      <c r="AA48" s="507"/>
      <c r="AB48" s="651"/>
      <c r="AC48" s="651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Normal="100" workbookViewId="0">
      <pane ySplit="4" topLeftCell="A17" activePane="bottomLeft" state="frozen"/>
      <selection pane="bottomLeft" activeCell="E33" sqref="E33"/>
    </sheetView>
  </sheetViews>
  <sheetFormatPr defaultRowHeight="14.5"/>
  <cols>
    <col min="1" max="1" width="11.7265625" style="460" customWidth="1"/>
    <col min="2" max="3" width="7.7265625" bestFit="1" customWidth="1"/>
    <col min="4" max="4" width="10.26953125" bestFit="1" customWidth="1"/>
    <col min="5" max="5" width="13.7265625" bestFit="1" customWidth="1"/>
    <col min="6" max="6" width="11.2695312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>
        <v>31</v>
      </c>
      <c r="C21" s="37">
        <v>26</v>
      </c>
      <c r="D21" s="26">
        <f t="shared" si="3"/>
        <v>28.5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>
        <v>30</v>
      </c>
      <c r="C22" s="37">
        <v>24</v>
      </c>
      <c r="D22" s="26">
        <f t="shared" si="3"/>
        <v>27</v>
      </c>
      <c r="E22" s="325">
        <v>0.61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>
        <v>30</v>
      </c>
      <c r="C23" s="37">
        <v>24</v>
      </c>
      <c r="D23" s="26">
        <f>(C23+B23)/2</f>
        <v>27</v>
      </c>
      <c r="E23" s="378">
        <v>0.62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>
        <v>29</v>
      </c>
      <c r="C24" s="37">
        <v>25</v>
      </c>
      <c r="D24" s="26">
        <f t="shared" si="3"/>
        <v>27</v>
      </c>
      <c r="E24" s="325">
        <v>0.64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>
        <v>30</v>
      </c>
      <c r="C25" s="37">
        <v>24</v>
      </c>
      <c r="D25" s="26">
        <f t="shared" si="3"/>
        <v>27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>
        <v>30</v>
      </c>
      <c r="C26" s="37">
        <v>25</v>
      </c>
      <c r="D26" s="26">
        <f t="shared" si="3"/>
        <v>27.5</v>
      </c>
      <c r="E26" s="378">
        <v>0.64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>
        <v>29</v>
      </c>
      <c r="C27" s="37">
        <v>26</v>
      </c>
      <c r="D27" s="26">
        <f t="shared" si="3"/>
        <v>27.5</v>
      </c>
      <c r="E27" s="378">
        <v>0.63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>
        <v>29</v>
      </c>
      <c r="C28" s="37">
        <v>26</v>
      </c>
      <c r="D28" s="26">
        <f t="shared" si="3"/>
        <v>27.5</v>
      </c>
      <c r="E28" s="325">
        <v>0.64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>
        <v>31</v>
      </c>
      <c r="C29" s="37">
        <v>27</v>
      </c>
      <c r="D29" s="26">
        <f t="shared" si="3"/>
        <v>29</v>
      </c>
      <c r="E29" s="325">
        <v>0.59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>
        <v>31</v>
      </c>
      <c r="C30" s="37">
        <v>27</v>
      </c>
      <c r="D30" s="26">
        <f t="shared" si="3"/>
        <v>29</v>
      </c>
      <c r="E30" s="327">
        <v>0.63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>
        <v>32</v>
      </c>
      <c r="C32" s="37">
        <v>27</v>
      </c>
      <c r="D32" s="26">
        <f t="shared" si="3"/>
        <v>29.5</v>
      </c>
      <c r="E32" s="325">
        <v>0.7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>
        <v>32</v>
      </c>
      <c r="C33" s="37">
        <v>27</v>
      </c>
      <c r="D33" s="26">
        <f t="shared" ref="D33:D35" si="6">(C33+B33)/2</f>
        <v>29.5</v>
      </c>
      <c r="E33" s="378">
        <v>0.79</v>
      </c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125.375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26953125" customWidth="1"/>
    <col min="2" max="2" width="19.453125" customWidth="1"/>
    <col min="3" max="3" width="18.453125" customWidth="1"/>
    <col min="4" max="4" width="18.26953125" customWidth="1"/>
    <col min="5" max="7" width="16.7265625" customWidth="1"/>
    <col min="8" max="8" width="13" customWidth="1"/>
    <col min="9" max="9" width="18.453125" customWidth="1"/>
    <col min="10" max="10" width="21.269531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-3225.9999999987485</v>
      </c>
      <c r="E6" s="3">
        <f>ELEC!Q25</f>
        <v>3225.9999999987485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3754</v>
      </c>
      <c r="D17" s="3">
        <f t="shared" si="0"/>
        <v>-97.999999998952262</v>
      </c>
      <c r="E17" s="3">
        <f>ELEC!Q19</f>
        <v>3851.9999999989523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-5.2000000000000028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4077</v>
      </c>
      <c r="D18" s="3">
        <f t="shared" si="0"/>
        <v>-107.00000000110595</v>
      </c>
      <c r="E18" s="3">
        <f>ELEC!Q20</f>
        <v>4184.0000000011059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-22.5</v>
      </c>
      <c r="J18" s="9">
        <f>'B5'!A20</f>
        <v>44789</v>
      </c>
    </row>
    <row r="19" spans="1:10">
      <c r="A19" s="3">
        <f>ELEC!T21+ELEC!X21+ELEC!AB21</f>
        <v>5</v>
      </c>
      <c r="B19" s="3">
        <f>ELEC!AF21</f>
        <v>1262</v>
      </c>
      <c r="C19" s="3">
        <f>ELEC!N21</f>
        <v>4786</v>
      </c>
      <c r="D19" s="3">
        <f t="shared" si="0"/>
        <v>468.00000000069849</v>
      </c>
      <c r="E19" s="3">
        <f>ELEC!Q21</f>
        <v>4317.9999999993015</v>
      </c>
      <c r="F19" s="3">
        <f>GEN!Z19</f>
        <v>22</v>
      </c>
      <c r="G19" s="3">
        <f>WATER!C22+WATER!H22</f>
        <v>0</v>
      </c>
      <c r="H19" s="3">
        <f>WATER!L22</f>
        <v>0</v>
      </c>
      <c r="I19" s="15">
        <f>WATER!BC22+WATER!BD22+WATER!BE23-Sheet1!G19</f>
        <v>-9.1000000000000085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-5.8000000000000114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3417</v>
      </c>
      <c r="D22" s="3">
        <f t="shared" si="0"/>
        <v>-46.999999999941792</v>
      </c>
      <c r="E22" s="3">
        <f>ELEC!Q24</f>
        <v>3463.9999999999418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3328</v>
      </c>
      <c r="D23" s="3">
        <f t="shared" si="0"/>
        <v>102.00000000125146</v>
      </c>
      <c r="E23" s="3">
        <f>ELEC!Q25</f>
        <v>3225.9999999987485</v>
      </c>
      <c r="F23" s="3">
        <f>GEN!Z23</f>
        <v>10</v>
      </c>
      <c r="G23" s="3">
        <f>WATER!C26+WATER!H26</f>
        <v>35</v>
      </c>
      <c r="H23" s="3">
        <f>WATER!L26</f>
        <v>0</v>
      </c>
      <c r="I23" s="15">
        <f>WATER!BC26+WATER!BD26+WATER!BE27-Sheet1!G23</f>
        <v>-35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3430</v>
      </c>
      <c r="D24" s="3">
        <f t="shared" si="0"/>
        <v>-107.00000000026193</v>
      </c>
      <c r="E24" s="3">
        <f>ELEC!Q26</f>
        <v>3537.0000000002619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-35.400000000000006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3334</v>
      </c>
      <c r="D25" s="3">
        <f t="shared" si="0"/>
        <v>-87.999999998661224</v>
      </c>
      <c r="E25" s="3">
        <f>ELEC!Q27</f>
        <v>3421.9999999986612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-13.5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2683</v>
      </c>
      <c r="D26" s="3">
        <f t="shared" si="0"/>
        <v>154.99999999793363</v>
      </c>
      <c r="E26" s="3">
        <f>ELEC!Q28</f>
        <v>2528.0000000020664</v>
      </c>
      <c r="F26" s="3">
        <f>GEN!Z26</f>
        <v>11</v>
      </c>
      <c r="G26" s="3">
        <f>WATER!C29+WATER!H29</f>
        <v>70</v>
      </c>
      <c r="H26" s="3">
        <f>WATER!L29</f>
        <v>0</v>
      </c>
      <c r="I26" s="15">
        <f>WATER!BC29+WATER!BD29+WATER!BE30-Sheet1!G26</f>
        <v>-81.999999999999986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-6.9000000000000057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2655</v>
      </c>
      <c r="D29" s="3">
        <f t="shared" si="0"/>
        <v>-79.00000000037835</v>
      </c>
      <c r="E29" s="3">
        <f>ELEC!Q31</f>
        <v>2734.0000000003783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49.900000000000006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144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7265625" customWidth="1"/>
    <col min="7" max="7" width="15.26953125" style="74" customWidth="1"/>
    <col min="8" max="8" width="11.26953125" bestFit="1" customWidth="1"/>
    <col min="9" max="9" width="12.26953125" customWidth="1"/>
    <col min="10" max="10" width="8.54296875" bestFit="1" customWidth="1"/>
    <col min="13" max="13" width="9.26953125" customWidth="1"/>
  </cols>
  <sheetData>
    <row r="1" spans="1:14">
      <c r="A1" s="666"/>
      <c r="B1" s="664" t="s">
        <v>119</v>
      </c>
      <c r="C1" s="664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61" t="s">
        <v>115</v>
      </c>
      <c r="I1" s="662" t="s">
        <v>116</v>
      </c>
      <c r="J1" s="661" t="s">
        <v>117</v>
      </c>
      <c r="K1" s="660" t="s">
        <v>121</v>
      </c>
      <c r="L1" s="660" t="s">
        <v>122</v>
      </c>
      <c r="M1" s="660" t="s">
        <v>123</v>
      </c>
      <c r="N1" s="660" t="s">
        <v>124</v>
      </c>
    </row>
    <row r="2" spans="1:14">
      <c r="A2" s="667"/>
      <c r="B2" s="665"/>
      <c r="C2" s="665"/>
      <c r="D2" s="668"/>
      <c r="E2" s="668"/>
      <c r="F2" s="669"/>
      <c r="G2" s="670"/>
      <c r="H2" s="661"/>
      <c r="I2" s="663"/>
      <c r="J2" s="661"/>
      <c r="K2" s="660"/>
      <c r="L2" s="660"/>
      <c r="M2" s="660"/>
      <c r="N2" s="66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164</v>
      </c>
      <c r="C20" s="76">
        <f>'B5'!AH20</f>
        <v>0</v>
      </c>
      <c r="D20" s="76">
        <f>GEN!AI18</f>
        <v>991.44303797441398</v>
      </c>
      <c r="E20" s="239">
        <f t="shared" si="0"/>
        <v>1155.443037974414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3851.9999999989523</v>
      </c>
      <c r="J20" s="79">
        <f>ELEC!R19</f>
        <v>-97.999999998952262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112</v>
      </c>
      <c r="C21" s="76">
        <f>'B5'!AH21</f>
        <v>131</v>
      </c>
      <c r="D21" s="76">
        <f>GEN!AI19</f>
        <v>1076.8945147682173</v>
      </c>
      <c r="E21" s="239">
        <f t="shared" si="0"/>
        <v>1319.8945147682173</v>
      </c>
      <c r="F21" s="75">
        <f>WATER!L21</f>
        <v>0</v>
      </c>
      <c r="G21" s="78">
        <f>WATER!BG21</f>
        <v>-3</v>
      </c>
      <c r="H21" s="79">
        <f>ELEC!AF20</f>
        <v>0</v>
      </c>
      <c r="I21" s="79">
        <f>ELEC!Q20</f>
        <v>4184.0000000011059</v>
      </c>
      <c r="J21" s="79">
        <f>ELEC!R20</f>
        <v>-107.00000000110595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22</v>
      </c>
      <c r="C22" s="76">
        <f>'B5'!AH22</f>
        <v>0</v>
      </c>
      <c r="D22" s="76">
        <f>GEN!AI20</f>
        <v>1111.3839662445459</v>
      </c>
      <c r="E22" s="239">
        <f t="shared" si="0"/>
        <v>1133.3839662445459</v>
      </c>
      <c r="F22" s="75">
        <f>WATER!L22</f>
        <v>0</v>
      </c>
      <c r="G22" s="78">
        <f>WATER!BG22</f>
        <v>-3.2999999999999972</v>
      </c>
      <c r="H22" s="79">
        <f>ELEC!AF21</f>
        <v>1262</v>
      </c>
      <c r="I22" s="79">
        <f>ELEC!Q21</f>
        <v>4317.9999999993015</v>
      </c>
      <c r="J22" s="79">
        <f>ELEC!R21</f>
        <v>468.00000000069849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-5.8000000000000114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182</v>
      </c>
      <c r="C25" s="76">
        <f>'B5'!AH25</f>
        <v>0</v>
      </c>
      <c r="D25" s="76">
        <f>GEN!AI23</f>
        <v>891.57805907171507</v>
      </c>
      <c r="E25" s="239">
        <f t="shared" si="0"/>
        <v>1073.578059071715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3463.9999999999418</v>
      </c>
      <c r="J25" s="79">
        <f>ELEC!R24</f>
        <v>-46.999999999941792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101</v>
      </c>
      <c r="C26" s="76">
        <f>'B5'!AH26</f>
        <v>0</v>
      </c>
      <c r="D26" s="76">
        <f>GEN!AI24</f>
        <v>830.32067510516322</v>
      </c>
      <c r="E26" s="239">
        <f t="shared" si="0"/>
        <v>931.32067510516322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3225.9999999987485</v>
      </c>
      <c r="J26" s="79">
        <f>ELEC!R25</f>
        <v>102.00000000125146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99</v>
      </c>
      <c r="C27" s="76">
        <f>'B5'!AH27</f>
        <v>0</v>
      </c>
      <c r="D27" s="76">
        <f>GEN!AI25</f>
        <v>910.36708860766248</v>
      </c>
      <c r="E27" s="239">
        <f t="shared" si="0"/>
        <v>1009.3670886076625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3537.0000000002619</v>
      </c>
      <c r="J27" s="79">
        <f>ELEC!R26</f>
        <v>-107.00000000026193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880.76793248910701</v>
      </c>
      <c r="E28" s="239">
        <f t="shared" si="0"/>
        <v>880.76793248910701</v>
      </c>
      <c r="F28" s="75">
        <f>WATER!L28</f>
        <v>0</v>
      </c>
      <c r="G28" s="78">
        <f>WATER!BG28</f>
        <v>-35.400000000000006</v>
      </c>
      <c r="H28" s="79">
        <f>ELEC!AF27</f>
        <v>0</v>
      </c>
      <c r="I28" s="79">
        <f>ELEC!Q27</f>
        <v>3421.9999999986612</v>
      </c>
      <c r="J28" s="79">
        <f>ELEC!R27</f>
        <v>-87.999999998661224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102</v>
      </c>
      <c r="C29" s="76">
        <f>'B5'!AH29</f>
        <v>64</v>
      </c>
      <c r="D29" s="76">
        <f>GEN!AI27</f>
        <v>650.66666666719857</v>
      </c>
      <c r="E29" s="77">
        <f t="shared" si="0"/>
        <v>816.66666666719857</v>
      </c>
      <c r="F29" s="75">
        <f>WATER!L29</f>
        <v>0</v>
      </c>
      <c r="G29" s="78">
        <f>WATER!BG29</f>
        <v>13.800000000000011</v>
      </c>
      <c r="H29" s="79">
        <f>ELEC!AF28</f>
        <v>0</v>
      </c>
      <c r="I29" s="79">
        <f>ELEC!Q28</f>
        <v>2528.0000000020664</v>
      </c>
      <c r="J29" s="79">
        <f>ELEC!R28</f>
        <v>154.99999999793363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-6.9000000000000057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31</v>
      </c>
      <c r="C32" s="76">
        <f>'B5'!AH32</f>
        <v>0</v>
      </c>
      <c r="D32" s="76">
        <f>GEN!AI30</f>
        <v>703.68776371317756</v>
      </c>
      <c r="E32" s="77">
        <f t="shared" si="0"/>
        <v>734.68776371317756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2734.0000000003783</v>
      </c>
      <c r="J32" s="79">
        <f>ELEC!R31</f>
        <v>-79.00000000037835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49.900000000000006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7265625" bestFit="1" customWidth="1"/>
    <col min="8" max="8" width="10" bestFit="1" customWidth="1"/>
    <col min="10" max="10" width="13.453125" customWidth="1"/>
    <col min="11" max="11" width="12.7265625" bestFit="1" customWidth="1"/>
    <col min="12" max="12" width="9.7265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4.5"/>
  <cols>
    <col min="1" max="1" width="14.4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64" customWidth="1"/>
    <col min="12" max="12" width="26.453125" bestFit="1" customWidth="1"/>
    <col min="14" max="14" width="14.269531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7.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4.5"/>
  <cols>
    <col min="1" max="1" width="9.26953125" style="104" customWidth="1"/>
    <col min="4" max="4" width="9.26953125" style="10" customWidth="1"/>
    <col min="5" max="5" width="9.26953125" style="104" customWidth="1"/>
    <col min="8" max="8" width="9.26953125" style="10" customWidth="1"/>
    <col min="9" max="9" width="9.26953125" style="104" customWidth="1"/>
    <col min="12" max="12" width="9.26953125" style="10" customWidth="1"/>
    <col min="13" max="13" width="9.26953125" style="104" customWidth="1"/>
    <col min="16" max="16" width="9.26953125" style="10" customWidth="1"/>
    <col min="17" max="17" width="9.26953125" style="104" customWidth="1"/>
    <col min="20" max="20" width="9.26953125" style="10" customWidth="1"/>
    <col min="21" max="21" width="9.26953125" style="104" customWidth="1"/>
    <col min="24" max="24" width="9.26953125" style="10" customWidth="1"/>
  </cols>
  <sheetData>
    <row r="1" spans="1:28" ht="19">
      <c r="A1" s="708" t="s">
        <v>161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</row>
    <row r="2" spans="1:28" ht="19.5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</row>
    <row r="3" spans="1:28" ht="19.5">
      <c r="A3" s="709" t="s">
        <v>162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9" t="s">
        <v>404</v>
      </c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</row>
    <row r="6" spans="1:28" ht="15" thickBot="1">
      <c r="A6" s="710"/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710"/>
      <c r="R6" s="710"/>
      <c r="S6" s="710"/>
      <c r="T6" s="710"/>
      <c r="U6" s="710"/>
      <c r="V6" s="710"/>
      <c r="W6" s="710"/>
      <c r="X6" s="710"/>
    </row>
    <row r="7" spans="1:28" ht="15" thickBot="1">
      <c r="A7" s="698" t="s">
        <v>163</v>
      </c>
      <c r="B7" s="699"/>
      <c r="C7" s="700" t="s">
        <v>164</v>
      </c>
      <c r="D7" s="701"/>
      <c r="E7" s="701"/>
      <c r="F7" s="701"/>
      <c r="G7" s="701"/>
      <c r="H7" s="701"/>
      <c r="I7" s="701"/>
      <c r="J7" s="701"/>
      <c r="K7" s="70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24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24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25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24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25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26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26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27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27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27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27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31</v>
      </c>
      <c r="G64" s="261">
        <f>'General information '!C21</f>
        <v>26</v>
      </c>
      <c r="H64" s="119">
        <f t="shared" si="4"/>
        <v>10.199999999999999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30</v>
      </c>
      <c r="G65" s="261">
        <f>'General information '!C22</f>
        <v>24</v>
      </c>
      <c r="H65" s="119">
        <f t="shared" si="4"/>
        <v>8.6999999999999993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30</v>
      </c>
      <c r="G66" s="261">
        <f>'General information '!C23</f>
        <v>24</v>
      </c>
      <c r="H66" s="119">
        <f t="shared" si="4"/>
        <v>8.6999999999999993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29</v>
      </c>
      <c r="G67" s="261">
        <f>'General information '!C24</f>
        <v>25</v>
      </c>
      <c r="H67" s="119">
        <f t="shared" si="4"/>
        <v>8.6999999999999993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30</v>
      </c>
      <c r="G68" s="261">
        <f>'General information '!C25</f>
        <v>24</v>
      </c>
      <c r="H68" s="119">
        <f t="shared" si="4"/>
        <v>8.6999999999999993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30</v>
      </c>
      <c r="G69" s="261">
        <f>'General information '!C26</f>
        <v>25</v>
      </c>
      <c r="H69" s="119">
        <f t="shared" si="4"/>
        <v>9.1999999999999993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29</v>
      </c>
      <c r="G70" s="261">
        <f>'General information '!C27</f>
        <v>26</v>
      </c>
      <c r="H70" s="119">
        <f t="shared" si="4"/>
        <v>9.1999999999999993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29</v>
      </c>
      <c r="G71" s="261">
        <f>'General information '!C28</f>
        <v>26</v>
      </c>
      <c r="H71" s="119">
        <f t="shared" si="4"/>
        <v>9.1999999999999993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31</v>
      </c>
      <c r="G72" s="261">
        <f>'General information '!C29</f>
        <v>27</v>
      </c>
      <c r="H72" s="119">
        <f t="shared" si="4"/>
        <v>10.7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31</v>
      </c>
      <c r="G73" s="261">
        <f>'General information '!C30</f>
        <v>27</v>
      </c>
      <c r="H73" s="119">
        <f t="shared" si="4"/>
        <v>10.7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32</v>
      </c>
      <c r="G75" s="261">
        <f>'General information '!C32</f>
        <v>27</v>
      </c>
      <c r="H75" s="119">
        <f t="shared" si="4"/>
        <v>11.2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32</v>
      </c>
      <c r="G76" s="261">
        <f>'General information '!C33</f>
        <v>27</v>
      </c>
      <c r="H76" s="119">
        <f t="shared" si="4"/>
        <v>11.2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-237.90000000000006</v>
      </c>
      <c r="G81" s="119">
        <f>SUMIF(H48:H78,"&gt;0")</f>
        <v>172.09999999999997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3" t="s">
        <v>174</v>
      </c>
      <c r="O84" s="703" t="s">
        <v>175</v>
      </c>
      <c r="P84" s="134"/>
      <c r="T84" s="134"/>
      <c r="X84" s="134"/>
    </row>
    <row r="85" spans="1:24" ht="20" thickBot="1">
      <c r="D85" s="134"/>
      <c r="I85" s="705" t="s">
        <v>182</v>
      </c>
      <c r="J85" s="706"/>
      <c r="K85" s="706"/>
      <c r="L85" s="706"/>
      <c r="N85" s="704"/>
      <c r="O85" s="704"/>
      <c r="P85" s="134"/>
      <c r="R85" s="17"/>
      <c r="S85" s="17"/>
      <c r="T85" s="140"/>
      <c r="U85" s="141"/>
      <c r="X85" s="134"/>
    </row>
    <row r="86" spans="1:24" ht="18" thickBot="1">
      <c r="D86" s="134"/>
      <c r="I86" s="707" t="s">
        <v>183</v>
      </c>
      <c r="J86" s="707"/>
      <c r="K86" s="707"/>
      <c r="L86" s="707"/>
      <c r="N86" s="142">
        <f>B43+F43+J43+N43+R43+V43+B81+F81+J81+N81+R81+V81</f>
        <v>-3632.5000000000009</v>
      </c>
      <c r="O86" s="142">
        <f>C43+G43+K43+O43+S43+W43+C81+G81+K81+O81+S81+W81</f>
        <v>513.89999999999986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H23" sqref="H23"/>
    </sheetView>
  </sheetViews>
  <sheetFormatPr defaultRowHeight="14.5"/>
  <cols>
    <col min="1" max="1" width="14.7265625" customWidth="1"/>
    <col min="2" max="2" width="12.26953125" bestFit="1" customWidth="1"/>
    <col min="3" max="3" width="10" bestFit="1" customWidth="1"/>
    <col min="4" max="4" width="17.7265625" bestFit="1" customWidth="1"/>
    <col min="5" max="5" width="15" bestFit="1" customWidth="1"/>
    <col min="6" max="6" width="17.26953125" style="174" bestFit="1" customWidth="1"/>
    <col min="7" max="7" width="19.7265625" bestFit="1" customWidth="1"/>
    <col min="8" max="8" width="17.453125" bestFit="1" customWidth="1"/>
    <col min="9" max="9" width="17.7265625" bestFit="1" customWidth="1"/>
    <col min="10" max="10" width="15.26953125" bestFit="1" customWidth="1"/>
    <col min="11" max="11" width="16.2695312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298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16071</v>
      </c>
      <c r="C8" s="466">
        <f>SUM(tanks!AU37)</f>
        <v>1.0514999999999999</v>
      </c>
      <c r="D8" s="191">
        <f>SUM(B8*C8)*D4</f>
        <v>25474724.673749994</v>
      </c>
      <c r="E8" s="192">
        <f>SUM(D8/D4/F4)</f>
        <v>545.11795161290308</v>
      </c>
      <c r="F8" s="192">
        <f>SUM(E8*F4)</f>
        <v>16898.656499999997</v>
      </c>
      <c r="G8" s="568">
        <f>E8*$G$4</f>
        <v>15808.420596774189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1079</v>
      </c>
      <c r="C10" s="181"/>
      <c r="D10" s="183">
        <f>'EDl log'!AB30</f>
        <v>7353389</v>
      </c>
      <c r="E10" s="182">
        <f>SUM(D10/D4/F4)</f>
        <v>157.35064462633071</v>
      </c>
      <c r="F10" s="182">
        <f>SUM(E10*F4)</f>
        <v>4877.8699834162517</v>
      </c>
      <c r="G10" s="478">
        <f>E10*$G$4</f>
        <v>4563.1686941635908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966.98472527149181</v>
      </c>
      <c r="F12" s="180">
        <f>SUM(F6:F10)</f>
        <v>29976.526483416248</v>
      </c>
      <c r="G12" s="179">
        <f>SUM(G6:G10)</f>
        <v>28571.58929093778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29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-51557.310709062214</v>
      </c>
      <c r="I14" s="406">
        <f>SUM(G12-I12)</f>
        <v>-22672.330429492329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125.375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191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-11.666666666666657</v>
      </c>
    </row>
    <row r="19" spans="1:10">
      <c r="A19" s="489" t="s">
        <v>412</v>
      </c>
      <c r="B19" s="491">
        <f>GEN!AL34</f>
        <v>17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11.235294117647058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4.5"/>
  <cols>
    <col min="2" max="2" width="12" bestFit="1" customWidth="1"/>
    <col min="6" max="6" width="15.26953125" bestFit="1" customWidth="1"/>
    <col min="7" max="7" width="35.26953125" bestFit="1" customWidth="1"/>
  </cols>
  <sheetData>
    <row r="1" spans="1:9" ht="1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 AbouSleiman</cp:lastModifiedBy>
  <cp:lastPrinted>2022-05-10T05:55:23Z</cp:lastPrinted>
  <dcterms:created xsi:type="dcterms:W3CDTF">2015-01-02T09:20:21Z</dcterms:created>
  <dcterms:modified xsi:type="dcterms:W3CDTF">2022-08-30T10:33:18Z</dcterms:modified>
</cp:coreProperties>
</file>