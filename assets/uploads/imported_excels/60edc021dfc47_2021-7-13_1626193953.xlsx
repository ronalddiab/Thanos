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<sst xmlns="http://schemas.openxmlformats.org/spreadsheetml/2006/main" count="313" uniqueCount="148">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</sst>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14.651999999999997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22899.99999999992</v>
      </c>
      <c r="F33" s="17">
        <f t="shared" ref="F33:BC33" si="1">SUM(F2:F32)</f>
        <v>30899.999999999924</v>
      </c>
      <c r="G33" s="17">
        <f t="shared" si="1"/>
        <v>28500.000000000189</v>
      </c>
      <c r="H33" s="17">
        <f t="shared" si="1"/>
        <v>14499.999999999955</v>
      </c>
      <c r="I33" s="17">
        <f t="shared" si="1"/>
        <v>22000.000000000247</v>
      </c>
      <c r="J33" s="17">
        <f t="shared" si="1"/>
        <v>11199.999999999874</v>
      </c>
      <c r="K33" s="17">
        <f t="shared" si="1"/>
        <v>53</v>
      </c>
      <c r="L33" s="17">
        <f t="shared" si="1"/>
        <v>26</v>
      </c>
      <c r="M33" s="17">
        <f t="shared" si="1"/>
        <v>8664.5999999999767</v>
      </c>
      <c r="N33" s="17">
        <f t="shared" si="1"/>
        <v>3370.6000000000349</v>
      </c>
      <c r="O33" s="17">
        <f t="shared" si="1"/>
        <v>3030.0000000000296</v>
      </c>
      <c r="P33" s="17">
        <f t="shared" si="1"/>
        <v>27299.99999999988</v>
      </c>
      <c r="Q33" s="17">
        <f t="shared" si="1"/>
        <v>3050.0000000000114</v>
      </c>
      <c r="R33" s="17">
        <f t="shared" si="1"/>
        <v>3019.9999999999818</v>
      </c>
      <c r="S33" s="17">
        <f t="shared" si="1"/>
        <v>3750</v>
      </c>
      <c r="T33" s="17">
        <f t="shared" si="1"/>
        <v>387</v>
      </c>
      <c r="U33" s="35">
        <f t="shared" si="1"/>
        <v>7909.9999999999682</v>
      </c>
      <c r="V33" s="35">
        <f t="shared" si="1"/>
        <v>2070.0000000000218</v>
      </c>
      <c r="W33" s="35">
        <f t="shared" si="1"/>
        <v>1639.9999999999864</v>
      </c>
      <c r="X33" s="35">
        <f t="shared" si="1"/>
        <v>1280.0000000000011</v>
      </c>
      <c r="Y33" s="35">
        <f t="shared" si="1"/>
        <v>2000</v>
      </c>
      <c r="Z33" s="35">
        <f t="shared" si="1"/>
        <v>2100.0000000000227</v>
      </c>
      <c r="AA33" s="35">
        <f t="shared" si="1"/>
        <v>2100.0000000000227</v>
      </c>
      <c r="AB33" s="35">
        <f t="shared" si="1"/>
        <v>870.00000000000455</v>
      </c>
      <c r="AC33" s="35">
        <f t="shared" si="1"/>
        <v>539.99999999996362</v>
      </c>
      <c r="AD33" s="35">
        <f t="shared" si="1"/>
        <v>270.00000000003865</v>
      </c>
      <c r="AE33" s="35">
        <f t="shared" si="1"/>
        <v>859.99999999998522</v>
      </c>
      <c r="AF33" s="17">
        <f t="shared" si="1"/>
        <v>350</v>
      </c>
      <c r="AG33" s="32">
        <f t="shared" si="1"/>
        <v>449.99999999998863</v>
      </c>
      <c r="AH33" s="32">
        <f t="shared" si="1"/>
        <v>310.00000000000227</v>
      </c>
      <c r="AI33" s="32">
        <f t="shared" si="1"/>
        <v>340.00000000000341</v>
      </c>
      <c r="AJ33" s="32">
        <f t="shared" si="1"/>
        <v>439.99999999999773</v>
      </c>
      <c r="AK33" s="32">
        <f t="shared" si="1"/>
        <v>430.00000000000682</v>
      </c>
      <c r="AL33" s="32">
        <f t="shared" si="1"/>
        <v>308</v>
      </c>
      <c r="AM33" s="32">
        <f t="shared" si="1"/>
        <v>349.99999999999432</v>
      </c>
      <c r="AN33" s="32">
        <f t="shared" si="1"/>
        <v>483</v>
      </c>
      <c r="AO33" s="32">
        <f t="shared" si="1"/>
        <v>280.00000000000114</v>
      </c>
      <c r="AP33" s="32">
        <f t="shared" si="1"/>
        <v>510</v>
      </c>
      <c r="AQ33" s="17">
        <f t="shared" si="1"/>
        <v>416.19999999999709</v>
      </c>
      <c r="AR33" s="17">
        <f t="shared" si="1"/>
        <v>110.29999999999927</v>
      </c>
      <c r="AS33" s="17">
        <f t="shared" si="1"/>
        <v>54</v>
      </c>
      <c r="AT33" s="17">
        <f t="shared" si="1"/>
        <v>410.40000000000146</v>
      </c>
      <c r="AU33" s="17">
        <f t="shared" si="1"/>
        <v>3254</v>
      </c>
      <c r="AV33" s="17">
        <f t="shared" si="1"/>
        <v>7139.9999999999864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73.260000000000005</v>
      </c>
      <c r="BC33" s="17">
        <f t="shared" si="1"/>
        <v>89</v>
      </c>
    </row>
    <row r="35" spans="5:55" x14ac:dyDescent="0.25">
      <c r="E35" s="38">
        <f>E33/E37</f>
        <v>0.23099114365833437</v>
      </c>
      <c r="G35" s="29">
        <f>G33-M36</f>
        <v>16464.800000000178</v>
      </c>
      <c r="AE35" s="35">
        <f>SUM(U33:AE33)</f>
        <v>21640.000000000015</v>
      </c>
      <c r="AG35" s="32">
        <f>SUM(AG33:AP33)</f>
        <v>3900.9999999999945</v>
      </c>
    </row>
    <row r="36" spans="5:55" x14ac:dyDescent="0.25">
      <c r="G36" s="29">
        <f>G35-633*14</f>
        <v>7602.8000000001775</v>
      </c>
      <c r="M36" s="29">
        <f>M33+N33</f>
        <v>12035.200000000012</v>
      </c>
    </row>
    <row r="37" spans="5:55" x14ac:dyDescent="0.25">
      <c r="E37" s="17">
        <f>E33+F33+G33+H33+J33-633*14</f>
        <v>99137.999999999854</v>
      </c>
      <c r="G37" s="37">
        <f>M36/E37</f>
        <v>0.12139845467933617</v>
      </c>
      <c r="M37" s="35">
        <f>AE35</f>
        <v>21640.000000000015</v>
      </c>
    </row>
    <row r="38" spans="5:55" x14ac:dyDescent="0.25">
      <c r="L38" s="27">
        <f>M38/E37</f>
        <v>3.9349190017954776E-2</v>
      </c>
      <c r="M38" s="29">
        <f>AG35</f>
        <v>3900.9999999999945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A15" sqref="A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 t="shared" si="3"/>
        <v>0</v>
      </c>
      <c r="K16" s="58"/>
      <c r="L16" s="64" t="str">
        <f t="shared" si="4"/>
        <v>0</v>
      </c>
      <c r="M16" s="58"/>
      <c r="N16" s="64" t="str">
        <f t="shared" si="5"/>
        <v/>
      </c>
      <c r="O16" s="58"/>
      <c r="P16" s="67" t="str">
        <f t="shared" si="44"/>
        <v/>
      </c>
      <c r="Q16" s="58"/>
      <c r="R16" s="67" t="str">
        <f t="shared" si="6"/>
        <v/>
      </c>
      <c r="S16" s="58"/>
      <c r="T16" s="67" t="str">
        <f t="shared" si="7"/>
        <v/>
      </c>
      <c r="U16" s="58"/>
      <c r="V16" s="67" t="str">
        <f t="shared" si="8"/>
        <v/>
      </c>
      <c r="W16" s="58"/>
      <c r="X16" s="65" t="str">
        <f t="shared" si="9"/>
        <v/>
      </c>
      <c r="Y16" s="58"/>
      <c r="Z16" s="65" t="str">
        <f t="shared" si="10"/>
        <v/>
      </c>
      <c r="AA16" s="58"/>
      <c r="AB16" s="65" t="str">
        <f t="shared" si="11"/>
        <v/>
      </c>
      <c r="AC16" s="58"/>
      <c r="AD16" s="65" t="str">
        <f t="shared" si="12"/>
        <v/>
      </c>
      <c r="AE16" s="58"/>
      <c r="AF16" s="65" t="str">
        <f t="shared" si="13"/>
        <v/>
      </c>
      <c r="AG16" s="58"/>
      <c r="AH16" s="67" t="str">
        <f t="shared" si="14"/>
        <v/>
      </c>
      <c r="AI16" s="58"/>
      <c r="AJ16" s="65" t="str">
        <f t="shared" si="15"/>
        <v/>
      </c>
      <c r="AK16" s="58"/>
      <c r="AL16" s="65" t="str">
        <f t="shared" si="15"/>
        <v/>
      </c>
      <c r="AM16" s="58"/>
      <c r="AN16" s="65" t="str">
        <f t="shared" si="15"/>
        <v/>
      </c>
      <c r="AO16" s="58"/>
      <c r="AP16" s="65" t="str">
        <f t="shared" si="15"/>
        <v/>
      </c>
      <c r="AQ16" s="58"/>
      <c r="AR16" s="65" t="str">
        <f t="shared" si="16"/>
        <v/>
      </c>
      <c r="AS16" s="58"/>
      <c r="AT16" s="65" t="str">
        <f t="shared" si="17"/>
        <v/>
      </c>
      <c r="AU16" s="58"/>
      <c r="AV16" s="65" t="str">
        <f t="shared" si="18"/>
        <v/>
      </c>
      <c r="AW16" s="58"/>
      <c r="AX16" s="65" t="str">
        <f t="shared" si="19"/>
        <v/>
      </c>
      <c r="AY16" s="58"/>
      <c r="AZ16" s="65" t="str">
        <f t="shared" si="20"/>
        <v/>
      </c>
      <c r="BA16" s="58"/>
      <c r="BB16" s="65" t="str">
        <f t="shared" si="21"/>
        <v/>
      </c>
      <c r="BC16" s="58"/>
      <c r="BD16" s="65" t="str">
        <f t="shared" si="22"/>
        <v/>
      </c>
      <c r="BE16" s="59"/>
      <c r="BF16" s="67" t="str">
        <f t="shared" si="39"/>
        <v/>
      </c>
      <c r="BG16" s="60"/>
      <c r="BH16" s="65" t="str">
        <f t="shared" si="23"/>
        <v/>
      </c>
      <c r="BI16" s="60"/>
      <c r="BJ16" s="65" t="str">
        <f t="shared" si="40"/>
        <v/>
      </c>
      <c r="BK16" s="60"/>
      <c r="BL16" s="65" t="str">
        <f t="shared" si="24"/>
        <v/>
      </c>
      <c r="BM16" s="60"/>
      <c r="BN16" s="65" t="str">
        <f t="shared" si="25"/>
        <v/>
      </c>
      <c r="BO16" s="60"/>
      <c r="BP16" s="65" t="str">
        <f t="shared" si="26"/>
        <v/>
      </c>
      <c r="BQ16" s="60"/>
      <c r="BR16" s="65" t="str">
        <f t="shared" si="27"/>
        <v/>
      </c>
      <c r="BS16" s="60"/>
      <c r="BT16" s="65" t="str">
        <f t="shared" si="42"/>
        <v/>
      </c>
      <c r="BU16" s="60"/>
      <c r="BV16" s="65" t="str">
        <f t="shared" si="29"/>
        <v/>
      </c>
      <c r="BW16" s="60"/>
      <c r="BX16" s="65" t="str">
        <f t="shared" si="30"/>
        <v/>
      </c>
      <c r="BY16" s="60"/>
      <c r="BZ16" s="67" t="str">
        <f t="shared" si="31"/>
        <v/>
      </c>
      <c r="CA16" s="60"/>
      <c r="CB16" s="67" t="str">
        <f t="shared" si="32"/>
        <v/>
      </c>
      <c r="CC16" s="60"/>
      <c r="CD16" s="67" t="str">
        <f t="shared" si="33"/>
        <v/>
      </c>
      <c r="CE16" s="60"/>
      <c r="CF16" s="67" t="str">
        <f t="shared" si="34"/>
        <v/>
      </c>
      <c r="CG16" s="60"/>
      <c r="CH16" s="67" t="str">
        <f t="shared" si="35"/>
        <v/>
      </c>
      <c r="CI16" s="60"/>
      <c r="CJ16" s="67" t="str">
        <f t="shared" si="36"/>
        <v/>
      </c>
      <c r="CK16" s="60"/>
      <c r="CL16" s="64" t="str">
        <f t="shared" si="37"/>
        <v/>
      </c>
      <c r="CM16" s="65" t="e">
        <f t="shared" si="41"/>
        <v>#VALUE!</v>
      </c>
      <c r="CN16" s="62">
        <v>0</v>
      </c>
      <c r="CO16" s="62">
        <v>0</v>
      </c>
      <c r="CP16" s="68"/>
      <c r="CQ16" s="67" t="str">
        <f t="shared" si="38"/>
        <v/>
      </c>
      <c r="CR16" s="68"/>
      <c r="CS16" s="67" t="str">
        <f t="shared" si="38"/>
        <v/>
      </c>
      <c r="CT16" s="75"/>
      <c r="CU16" s="67" t="str">
        <f t="shared" si="38"/>
        <v/>
      </c>
      <c r="CV16" s="68"/>
      <c r="CW16" s="67" t="str">
        <f t="shared" si="38"/>
        <v/>
      </c>
    </row>
    <row r="17" spans="1:101" ht="25.5" customHeight="1" thickBot="1" x14ac:dyDescent="0.45">
      <c r="A17" s="63">
        <v>44391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44392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44393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44394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44395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F32" sqref="F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-198</v>
      </c>
    </row>
    <row r="21" spans="1:20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2021-07-13T16:31:28Z</dcterms:modified>
</cp:coreProperties>
</file>