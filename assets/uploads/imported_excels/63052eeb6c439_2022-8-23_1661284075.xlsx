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24" i="7" l="1"/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<sst xmlns="http://schemas.openxmlformats.org/spreadsheetml/2006/main" count="315" uniqueCount="148">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</sst>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11200.000000000198</v>
      </c>
      <c r="F17" s="11">
        <f t="shared" si="0"/>
        <v>0.58765030286592534</v>
      </c>
      <c r="G17" s="12">
        <f>(Submetering!AX17+Submetering!AY17+Submetering!AZ17+Submetering!BA17+Submetering!BB17)</f>
        <v>16.483499999999999</v>
      </c>
      <c r="H17" s="11">
        <f t="shared" si="1"/>
        <v>0.99</v>
      </c>
      <c r="I17" s="12">
        <f>'FS Desroches Daily'!CM19</f>
        <v>125.59999999999854</v>
      </c>
      <c r="J17" s="11">
        <f t="shared" si="2"/>
        <v>10.487297712684205</v>
      </c>
      <c r="K17" s="13">
        <f>'FS Desroches Daily'!CN19</f>
        <v>32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11400.000000000033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121</v>
      </c>
      <c r="J18" s="11">
        <f t="shared" si="2"/>
        <v>10.487297712684205</v>
      </c>
      <c r="K18" s="13">
        <f>'FS Desroches Daily'!CN20</f>
        <v>32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10799.999999999587</v>
      </c>
      <c r="F19" s="11">
        <f t="shared" si="0"/>
        <v>0.58765030286592534</v>
      </c>
      <c r="G19" s="12">
        <f>(Submetering!AX19+Submetering!AY19+Submetering!AZ19+Submetering!BA19+Submetering!BB19)</f>
        <v>16.483499999999999</v>
      </c>
      <c r="H19" s="11">
        <f t="shared" si="1"/>
        <v>0.99</v>
      </c>
      <c r="I19" s="12">
        <f>'FS Desroches Daily'!CM21</f>
        <v>120.70000000000073</v>
      </c>
      <c r="J19" s="11">
        <f t="shared" si="2"/>
        <v>10.487297712684205</v>
      </c>
      <c r="K19" s="13">
        <f>'FS Desroches Daily'!CN21</f>
        <v>32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10700.000000000264</v>
      </c>
      <c r="F20" s="11">
        <f t="shared" si="0"/>
        <v>0.58765030286592534</v>
      </c>
      <c r="G20" s="12">
        <f>(Submetering!AX20+Submetering!AY20+Submetering!AZ20+Submetering!BA20+Submetering!BB20)</f>
        <v>16.483499999999999</v>
      </c>
      <c r="H20" s="11">
        <f t="shared" si="1"/>
        <v>0.99</v>
      </c>
      <c r="I20" s="12">
        <f>'FS Desroches Daily'!CM22</f>
        <v>130.5</v>
      </c>
      <c r="J20" s="11">
        <f t="shared" si="2"/>
        <v>10.487297712684205</v>
      </c>
      <c r="K20" s="13">
        <f>'FS Desroches Daily'!CN22</f>
        <v>33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10899.999999999798</v>
      </c>
      <c r="F21" s="11">
        <f t="shared" si="0"/>
        <v>0.58765030286592534</v>
      </c>
      <c r="G21" s="12">
        <f>(Submetering!AX21+Submetering!AY21+Submetering!AZ21+Submetering!BA21+Submetering!BB21)</f>
        <v>14.651999999999997</v>
      </c>
      <c r="H21" s="11">
        <f t="shared" si="1"/>
        <v>0.99</v>
      </c>
      <c r="I21" s="12">
        <f>'FS Desroches Daily'!CM23</f>
        <v>101.5</v>
      </c>
      <c r="J21" s="11">
        <f t="shared" si="2"/>
        <v>10.487297712684205</v>
      </c>
      <c r="K21" s="13">
        <f>'FS Desroches Daily'!CN23</f>
        <v>30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108.20000000000073</v>
      </c>
      <c r="J22" s="11">
        <f t="shared" si="2"/>
        <v>10.487297712684205</v>
      </c>
      <c r="K22" s="13">
        <f>'FS Desroches Daily'!CN24</f>
        <v>30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10000.000000000564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128.79999999999927</v>
      </c>
      <c r="J23" s="11">
        <f t="shared" si="2"/>
        <v>10.487297712684205</v>
      </c>
      <c r="K23" s="13">
        <f>'FS Desroches Daily'!CN25</f>
        <v>30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32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336.99599999999992</v>
      </c>
      <c r="I33" s="19" t="e">
        <f>SUM(I2:I32)</f>
        <v>#VALUE!</v>
      </c>
      <c r="K33" s="19">
        <f>SUM(K2:K32)</f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2400.0000000001796</v>
      </c>
      <c r="F17" s="32">
        <f>'FS Desroches Daily'!F19</f>
        <v>3400.0000000000696</v>
      </c>
      <c r="G17" s="31">
        <f>'FS Desroches Daily'!H19</f>
        <v>3200.0000000005357</v>
      </c>
      <c r="H17" s="32">
        <f>'FS Desroches Daily'!J19</f>
        <v>1499.9999999996128</v>
      </c>
      <c r="I17" s="31">
        <f>'FS Desroches Daily'!L19</f>
        <v>2099.9999999999909</v>
      </c>
      <c r="J17" s="32">
        <f>'FS Desroches Daily'!N19</f>
        <v>1399.9999999998458</v>
      </c>
      <c r="K17" s="13">
        <f>'FS Desroches Daily'!P19</f>
        <v>24</v>
      </c>
      <c r="L17" s="31">
        <f>'FS Desroches Daily'!R19</f>
        <v>4</v>
      </c>
      <c r="M17" s="31">
        <f>'FS Desroches Daily'!T19</f>
        <v>1.4000000000000909</v>
      </c>
      <c r="N17" s="31">
        <f>'FS Desroches Daily'!V19</f>
        <v>374.5</v>
      </c>
      <c r="O17" s="31">
        <f>'FS Desroches Daily'!X19</f>
        <v>289.99999999996362</v>
      </c>
      <c r="P17" s="31">
        <f>'FS Desroches Daily'!Z19</f>
        <v>3200.0000000005357</v>
      </c>
      <c r="Q17" s="31">
        <f>'FS Desroches Daily'!AB19</f>
        <v>250</v>
      </c>
      <c r="R17" s="31">
        <f>'FS Desroches Daily'!AD19</f>
        <v>310.00000000005912</v>
      </c>
      <c r="S17" s="31">
        <f>'FS Desroches Daily'!AF19</f>
        <v>739.99999999989541</v>
      </c>
      <c r="T17" s="31">
        <f>'FS Desroches Daily'!AH19</f>
        <v>34</v>
      </c>
      <c r="U17" s="35">
        <f>'FS Desroches Daily'!AJ19</f>
        <v>670.00000000007276</v>
      </c>
      <c r="V17" s="35">
        <f>'FS Desroches Daily'!AL19</f>
        <v>180.00000000000682</v>
      </c>
      <c r="W17" s="35">
        <f>'FS Desroches Daily'!AN19</f>
        <v>180.00000000000682</v>
      </c>
      <c r="X17" s="35">
        <f>'FS Desroches Daily'!AP19</f>
        <v>160.00000000002501</v>
      </c>
      <c r="Y17" s="35">
        <f>'FS Desroches Daily'!AR19</f>
        <v>149.99999999997726</v>
      </c>
      <c r="Z17" s="35">
        <f>'FS Desroches Daily'!AU20</f>
        <v>359.52</v>
      </c>
      <c r="AA17" s="35">
        <f>'FS Desroches Daily'!AU20</f>
        <v>359.52</v>
      </c>
      <c r="AB17" s="35">
        <f>'FS Desroches Daily'!AV19</f>
        <v>229.99999999996135</v>
      </c>
      <c r="AC17" s="35">
        <f>'FS Desroches Daily'!AZ19</f>
        <v>209.99999999997954</v>
      </c>
      <c r="AD17" s="35">
        <f>'FS Desroches Daily'!BB19</f>
        <v>109.9999999999568</v>
      </c>
      <c r="AE17" s="35">
        <f>'FS Desroches Daily'!BD19</f>
        <v>39.99999999996362</v>
      </c>
      <c r="AF17" s="31">
        <f>'FS Desroches Daily'!BF19</f>
        <v>44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66</v>
      </c>
      <c r="AR17" s="31">
        <f>'FS Desroches Daily'!CD19</f>
        <v>10.599999999998545</v>
      </c>
      <c r="AS17" s="31">
        <f>'FS Desroches Daily'!CF19</f>
        <v>5.9000000000014552</v>
      </c>
      <c r="AT17" s="31">
        <f>'FS Desroches Daily'!CH19</f>
        <v>47.299999999988358</v>
      </c>
      <c r="AU17" s="31">
        <f>'FS Desroches Daily'!CJ19</f>
        <v>294</v>
      </c>
      <c r="AV17" s="31">
        <f>'FS Desroches Daily'!CL19</f>
        <v>700.00000000004547</v>
      </c>
      <c r="AW17" s="31">
        <f>'FS Desroches Daily'!CM19</f>
        <v>125.59999999999854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32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2499.9999999999468</v>
      </c>
      <c r="F18" s="32">
        <f>'FS Desroches Daily'!F20</f>
        <v>3000.0000000001137</v>
      </c>
      <c r="G18" s="31">
        <f>'FS Desroches Daily'!H20</f>
        <v>3599.9999999996035</v>
      </c>
      <c r="H18" s="32">
        <f>'FS Desroches Daily'!J20</f>
        <v>1600.0000000002678</v>
      </c>
      <c r="I18" s="31">
        <f>'FS Desroches Daily'!L20</f>
        <v>2099.9999999999909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2</v>
      </c>
      <c r="M18" s="31">
        <f>'FS Desroches Daily'!T20</f>
        <v>1.5</v>
      </c>
      <c r="N18" s="31">
        <f>'FS Desroches Daily'!V20</f>
        <v>423.90000000002328</v>
      </c>
      <c r="O18" s="31">
        <f>'FS Desroches Daily'!X20</f>
        <v>279.99999999997272</v>
      </c>
      <c r="P18" s="31">
        <f>'FS Desroches Daily'!Z20</f>
        <v>2699.9999999999245</v>
      </c>
      <c r="Q18" s="31">
        <f>'FS Desroches Daily'!AB20</f>
        <v>379.99999999999545</v>
      </c>
      <c r="R18" s="31">
        <f>'FS Desroches Daily'!AD20</f>
        <v>299.99999999995453</v>
      </c>
      <c r="S18" s="31">
        <f>'FS Desroches Daily'!AF20</f>
        <v>680.00000000006366</v>
      </c>
      <c r="T18" s="31">
        <f>'FS Desroches Daily'!AH20</f>
        <v>36</v>
      </c>
      <c r="U18" s="35">
        <f>'FS Desroches Daily'!AJ20</f>
        <v>719.9999999999136</v>
      </c>
      <c r="V18" s="35">
        <f>'FS Desroches Daily'!AL20</f>
        <v>199.99999999998863</v>
      </c>
      <c r="W18" s="35">
        <f>'FS Desroches Daily'!AN20</f>
        <v>169.99999999995907</v>
      </c>
      <c r="X18" s="35">
        <f>'FS Desroches Daily'!AP20</f>
        <v>159.99999999996817</v>
      </c>
      <c r="Y18" s="35">
        <f>'FS Desroches Daily'!AR20</f>
        <v>139.99999999998636</v>
      </c>
      <c r="Z18" s="35">
        <f>'FS Desroches Daily'!AT20</f>
        <v>250</v>
      </c>
      <c r="AA18" s="35">
        <f>'FS Desroches Daily'!AT20</f>
        <v>250</v>
      </c>
      <c r="AB18" s="35">
        <f>'FS Desroches Daily'!AV20</f>
        <v>240.00000000000909</v>
      </c>
      <c r="AC18" s="35">
        <f>'FS Desroches Daily'!AZ20</f>
        <v>160.00000000002501</v>
      </c>
      <c r="AD18" s="35">
        <f>'FS Desroches Daily'!BB20</f>
        <v>120.00000000000455</v>
      </c>
      <c r="AE18" s="35">
        <f>'FS Desroches Daily'!BD20</f>
        <v>20.000000000038654</v>
      </c>
      <c r="AF18" s="31">
        <f>'FS Desroches Daily'!BF20</f>
        <v>48</v>
      </c>
      <c r="AG18" s="32">
        <f>'FS Desroches Daily'!BH20</f>
        <v>29.999999999972715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36</v>
      </c>
      <c r="AM18" s="32">
        <f>'FS Desroches Daily'!BT20</f>
        <v>39.999999999992042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41</v>
      </c>
      <c r="AQ18" s="31">
        <f>'FS Desroches Daily'!CB20</f>
        <v>58.5</v>
      </c>
      <c r="AR18" s="31">
        <f>'FS Desroches Daily'!CD20</f>
        <v>9.9000000000014552</v>
      </c>
      <c r="AS18" s="31">
        <f>'FS Desroches Daily'!CF20</f>
        <v>0.8999999999996362</v>
      </c>
      <c r="AT18" s="31">
        <f>'FS Desroches Daily'!CH20</f>
        <v>47.600000000005821</v>
      </c>
      <c r="AU18" s="31">
        <f>'FS Desroches Daily'!CJ20</f>
        <v>300</v>
      </c>
      <c r="AV18" s="31">
        <f>'FS Desroches Daily'!CL20</f>
        <v>799.99999999995453</v>
      </c>
      <c r="AW18" s="31">
        <f>'FS Desroches Daily'!CM20</f>
        <v>121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7.3259999999999996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32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2499.9999999999468</v>
      </c>
      <c r="F19" s="32">
        <f>'FS Desroches Daily'!F21</f>
        <v>3099.9999999998809</v>
      </c>
      <c r="G19" s="31">
        <f>'FS Desroches Daily'!H21</f>
        <v>3400.0000000000696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25</v>
      </c>
      <c r="L19" s="31">
        <f>'FS Desroches Daily'!R21</f>
        <v>2</v>
      </c>
      <c r="M19" s="31">
        <f>'FS Desroches Daily'!T21</f>
        <v>1.2999999999999545</v>
      </c>
      <c r="N19" s="31">
        <f>'FS Desroches Daily'!V21</f>
        <v>375.90000000002328</v>
      </c>
      <c r="O19" s="31">
        <f>'FS Desroches Daily'!X21</f>
        <v>280.0000000000864</v>
      </c>
      <c r="P19" s="31">
        <f>'FS Desroches Daily'!Z21</f>
        <v>2799.9999999996917</v>
      </c>
      <c r="Q19" s="31">
        <f>'FS Desroches Daily'!AB21</f>
        <v>240.00000000000909</v>
      </c>
      <c r="R19" s="31">
        <f>'FS Desroches Daily'!AD21</f>
        <v>310.00000000005912</v>
      </c>
      <c r="S19" s="31">
        <f>'FS Desroches Daily'!AF21</f>
        <v>779.99999999997272</v>
      </c>
      <c r="T19" s="31">
        <f>'FS Desroches Daily'!AH21</f>
        <v>37</v>
      </c>
      <c r="U19" s="35">
        <f>'FS Desroches Daily'!AJ21</f>
        <v>759.99999999999091</v>
      </c>
      <c r="V19" s="35">
        <f>'FS Desroches Daily'!AL21</f>
        <v>180.00000000000682</v>
      </c>
      <c r="W19" s="35">
        <f>'FS Desroches Daily'!AN21</f>
        <v>220.00000000002728</v>
      </c>
      <c r="X19" s="35">
        <f>'FS Desroches Daily'!AP21</f>
        <v>129.99999999999545</v>
      </c>
      <c r="Y19" s="35">
        <f>'FS Desroches Daily'!AR21</f>
        <v>129.99999999999545</v>
      </c>
      <c r="Z19" s="35">
        <f>'FS Desroches Daily'!AT21</f>
        <v>199.99999999998863</v>
      </c>
      <c r="AA19" s="35">
        <f>'FS Desroches Daily'!AT21</f>
        <v>199.99999999998863</v>
      </c>
      <c r="AB19" s="35">
        <f>'FS Desroches Daily'!AV21</f>
        <v>180.00000000000682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39.99999999996362</v>
      </c>
      <c r="AF19" s="31">
        <f>'FS Desroches Daily'!BF21</f>
        <v>37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49.999999999982947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32</v>
      </c>
      <c r="AM19" s="32">
        <f>'FS Desroches Daily'!BT21</f>
        <v>30.000000000001137</v>
      </c>
      <c r="AN19" s="32">
        <f>'FS Desroches Daily'!BV21</f>
        <v>31</v>
      </c>
      <c r="AO19" s="32">
        <f>'FS Desroches Daily'!BX21</f>
        <v>30.000000000001137</v>
      </c>
      <c r="AP19" s="32">
        <f>'FS Desroches Daily'!BZ21</f>
        <v>39</v>
      </c>
      <c r="AQ19" s="31">
        <f>'FS Desroches Daily'!CB21</f>
        <v>50.900000000001455</v>
      </c>
      <c r="AR19" s="31">
        <f>'FS Desroches Daily'!CD21</f>
        <v>8.5999999999985448</v>
      </c>
      <c r="AS19" s="31">
        <f>'FS Desroches Daily'!CF21</f>
        <v>6.1000000000003638</v>
      </c>
      <c r="AT19" s="31">
        <f>'FS Desroches Daily'!CH21</f>
        <v>49</v>
      </c>
      <c r="AU19" s="31">
        <f>'FS Desroches Daily'!CJ21</f>
        <v>276</v>
      </c>
      <c r="AV19" s="31">
        <f>'FS Desroches Daily'!CL21</f>
        <v>1000</v>
      </c>
      <c r="AW19" s="31">
        <f>'FS Desroches Daily'!CM21</f>
        <v>120.70000000000073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5.4944999999999995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32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2499.9999999999468</v>
      </c>
      <c r="F20" s="32">
        <f>'FS Desroches Daily'!F22</f>
        <v>2900.0000000003465</v>
      </c>
      <c r="G20" s="31">
        <f>'FS Desroches Daily'!H22</f>
        <v>3199.9999999996476</v>
      </c>
      <c r="H20" s="32">
        <f>'FS Desroches Daily'!J22</f>
        <v>1500.0000000000568</v>
      </c>
      <c r="I20" s="31">
        <f>'FS Desroches Daily'!L22</f>
        <v>2000.0000000002237</v>
      </c>
      <c r="J20" s="32">
        <f>'FS Desroches Daily'!N22</f>
        <v>1600.0000000002678</v>
      </c>
      <c r="K20" s="13">
        <f>'FS Desroches Daily'!P22</f>
        <v>20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321.5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389.99999999998636</v>
      </c>
      <c r="R20" s="31">
        <f>'FS Desroches Daily'!AD22</f>
        <v>319.99999999993634</v>
      </c>
      <c r="S20" s="31">
        <f>'FS Desroches Daily'!AF22</f>
        <v>759.99999999999091</v>
      </c>
      <c r="T20" s="31">
        <f>'FS Desroches Daily'!AH22</f>
        <v>33</v>
      </c>
      <c r="U20" s="35">
        <f>'FS Desroches Daily'!AJ22</f>
        <v>650.00000000009095</v>
      </c>
      <c r="V20" s="35">
        <f>'FS Desroches Daily'!AL22</f>
        <v>199.99999999998863</v>
      </c>
      <c r="W20" s="35">
        <f>'FS Desroches Daily'!AN22</f>
        <v>219.99999999997044</v>
      </c>
      <c r="X20" s="35">
        <f>'FS Desroches Daily'!AP22</f>
        <v>170.00000000001592</v>
      </c>
      <c r="Y20" s="35">
        <f>'FS Desroches Daily'!AR22</f>
        <v>129.99999999999545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189.99999999999773</v>
      </c>
      <c r="AC20" s="35">
        <f>'FS Desroches Daily'!AZ22</f>
        <v>159.99999999996817</v>
      </c>
      <c r="AD20" s="35">
        <f>'FS Desroches Daily'!BB22</f>
        <v>120.00000000000455</v>
      </c>
      <c r="AE20" s="35">
        <f>'FS Desroches Daily'!BD22</f>
        <v>90.000000000031832</v>
      </c>
      <c r="AF20" s="31">
        <f>'FS Desroches Daily'!BF22</f>
        <v>58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39.99999999996362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36</v>
      </c>
      <c r="AO20" s="32">
        <f>'FS Desroches Daily'!BX22</f>
        <v>39.999999999992042</v>
      </c>
      <c r="AP20" s="32">
        <f>'FS Desroches Daily'!BZ22</f>
        <v>40</v>
      </c>
      <c r="AQ20" s="31">
        <f>'FS Desroches Daily'!CB22</f>
        <v>48.900000000001455</v>
      </c>
      <c r="AR20" s="31">
        <f>'FS Desroches Daily'!CD22</f>
        <v>8.5</v>
      </c>
      <c r="AS20" s="31">
        <f>'FS Desroches Daily'!CF22</f>
        <v>4.2999999999992724</v>
      </c>
      <c r="AT20" s="31">
        <f>'FS Desroches Daily'!CH22</f>
        <v>51</v>
      </c>
      <c r="AU20" s="31">
        <f>'FS Desroches Daily'!CJ22</f>
        <v>281</v>
      </c>
      <c r="AV20" s="31">
        <f>'FS Desroches Daily'!CL22</f>
        <v>1000</v>
      </c>
      <c r="AW20" s="31">
        <f>'FS Desroches Daily'!CM22</f>
        <v>130.5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33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2200.0000000002019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1399.9999999998458</v>
      </c>
      <c r="I21" s="31">
        <f>'FS Desroches Daily'!L23</f>
        <v>2399.9999999997358</v>
      </c>
      <c r="J21" s="32">
        <f>'FS Desroches Daily'!N23</f>
        <v>1700.0000000000348</v>
      </c>
      <c r="K21" s="13">
        <f>'FS Desroches Daily'!P23</f>
        <v>12</v>
      </c>
      <c r="L21" s="31">
        <f>'FS Desroches Daily'!R23</f>
        <v>4</v>
      </c>
      <c r="M21" s="31">
        <f>'FS Desroches Daily'!T23</f>
        <v>1.5</v>
      </c>
      <c r="N21" s="31">
        <f>'FS Desroches Daily'!V23</f>
        <v>463.89999999990687</v>
      </c>
      <c r="O21" s="31">
        <f>'FS Desroches Daily'!X23</f>
        <v>329.99999999992724</v>
      </c>
      <c r="P21" s="31">
        <f>'FS Desroches Daily'!Z23</f>
        <v>3000.0000000001137</v>
      </c>
      <c r="Q21" s="31">
        <f>'FS Desroches Daily'!AB23</f>
        <v>379.99999999999545</v>
      </c>
      <c r="R21" s="31">
        <f>'FS Desroches Daily'!AD23</f>
        <v>320.00000000005002</v>
      </c>
      <c r="S21" s="31">
        <f>'FS Desroches Daily'!AF23</f>
        <v>889.99999999998636</v>
      </c>
      <c r="T21" s="31">
        <f>'FS Desroches Daily'!AH23</f>
        <v>42</v>
      </c>
      <c r="U21" s="35">
        <f>'FS Desroches Daily'!AJ23</f>
        <v>639.99999999998636</v>
      </c>
      <c r="V21" s="35">
        <f>'FS Desroches Daily'!AL23</f>
        <v>230.00000000001819</v>
      </c>
      <c r="W21" s="35">
        <f>'FS Desroches Daily'!AN23</f>
        <v>250</v>
      </c>
      <c r="X21" s="35">
        <f>'FS Desroches Daily'!AP23</f>
        <v>209.99999999997954</v>
      </c>
      <c r="Y21" s="35">
        <f>'FS Desroches Daily'!AR23</f>
        <v>150.00000000003411</v>
      </c>
      <c r="Z21" s="35">
        <f>'FS Desroches Daily'!AT23</f>
        <v>139.99999999998636</v>
      </c>
      <c r="AA21" s="35">
        <f>'FS Desroches Daily'!AT23</f>
        <v>139.99999999998636</v>
      </c>
      <c r="AB21" s="35">
        <f>'FS Desroches Daily'!AV23</f>
        <v>150.00000000003411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99.999999999965894</v>
      </c>
      <c r="AF21" s="31">
        <f>'FS Desroches Daily'!BF23</f>
        <v>30</v>
      </c>
      <c r="AG21" s="32">
        <f>'FS Desroches Daily'!BH23</f>
        <v>20.000000000010232</v>
      </c>
      <c r="AH21" s="32">
        <f>'FS Desroches Daily'!BJ23</f>
        <v>30.000000000029559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28</v>
      </c>
      <c r="AM21" s="32">
        <f>'FS Desroches Daily'!BT23</f>
        <v>30.000000000001137</v>
      </c>
      <c r="AN21" s="32">
        <f>'FS Desroches Daily'!BV23</f>
        <v>33</v>
      </c>
      <c r="AO21" s="32">
        <f>'FS Desroches Daily'!BX23</f>
        <v>39.999999999992042</v>
      </c>
      <c r="AP21" s="32">
        <f>'FS Desroches Daily'!BZ23</f>
        <v>39</v>
      </c>
      <c r="AQ21" s="31">
        <f>'FS Desroches Daily'!CB23</f>
        <v>56.400000000001455</v>
      </c>
      <c r="AR21" s="31">
        <f>'FS Desroches Daily'!CD23</f>
        <v>11.5</v>
      </c>
      <c r="AS21" s="31">
        <f>'FS Desroches Daily'!CF23</f>
        <v>5.8999999999996362</v>
      </c>
      <c r="AT21" s="31">
        <f>'FS Desroches Daily'!CH23</f>
        <v>49.19999999999709</v>
      </c>
      <c r="AU21" s="31">
        <f>'FS Desroches Daily'!CJ23</f>
        <v>281</v>
      </c>
      <c r="AV21" s="31">
        <f>'FS Desroches Daily'!CL23</f>
        <v>1000</v>
      </c>
      <c r="AW21" s="31">
        <f>'FS Desroches Daily'!CM23</f>
        <v>101.5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5.4944999999999995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3000.0000000001137</v>
      </c>
      <c r="F22" s="32">
        <f>'FS Desroches Daily'!F24</f>
        <v>3200.0000000005357</v>
      </c>
      <c r="G22" s="31">
        <f>'FS Desroches Daily'!H24</f>
        <v>3300.0000000003029</v>
      </c>
      <c r="H22" s="32">
        <f>'FS Desroches Daily'!J24</f>
        <v>1400.0000000002899</v>
      </c>
      <c r="I22" s="31">
        <f>'FS Desroches Daily'!L24</f>
        <v>2000.0000000002237</v>
      </c>
      <c r="J22" s="32">
        <f>'FS Desroches Daily'!N24</f>
        <v>1599.9999999998238</v>
      </c>
      <c r="K22" s="13">
        <f>'FS Desroches Daily'!P24</f>
        <v>31</v>
      </c>
      <c r="L22" s="31">
        <f>'FS Desroches Daily'!R24</f>
        <v>2</v>
      </c>
      <c r="M22" s="31">
        <f>'FS Desroches Daily'!T24</f>
        <v>1.2999999999999545</v>
      </c>
      <c r="N22" s="31">
        <f>'FS Desroches Daily'!V24</f>
        <v>337.20000000006985</v>
      </c>
      <c r="O22" s="31">
        <f>'FS Desroches Daily'!X24</f>
        <v>270.0000000000955</v>
      </c>
      <c r="P22" s="31">
        <f>'FS Desroches Daily'!Z24</f>
        <v>2699.9999999999245</v>
      </c>
      <c r="Q22" s="31">
        <f>'FS Desroches Daily'!AB24</f>
        <v>330.00000000004093</v>
      </c>
      <c r="R22" s="31">
        <f>'FS Desroches Daily'!AD24</f>
        <v>289.99999999996362</v>
      </c>
      <c r="S22" s="31">
        <f>'FS Desroches Daily'!AF24</f>
        <v>870.00000000000455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180.00000000000682</v>
      </c>
      <c r="W22" s="35">
        <f>'FS Desroches Daily'!AN24</f>
        <v>180.00000000000682</v>
      </c>
      <c r="X22" s="35">
        <f>'FS Desroches Daily'!AP24</f>
        <v>180.00000000000682</v>
      </c>
      <c r="Y22" s="35">
        <f>'FS Desroches Daily'!AR24</f>
        <v>129.99999999999545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120.00000000000455</v>
      </c>
      <c r="AC22" s="35">
        <f>'FS Desroches Daily'!AZ24</f>
        <v>139.99999999998636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17</v>
      </c>
      <c r="AG22" s="32">
        <f>'FS Desroches Daily'!BH24</f>
        <v>39.999999999992042</v>
      </c>
      <c r="AH22" s="32">
        <f>'FS Desroches Daily'!BJ24</f>
        <v>29.999999999972715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50.000000000011369</v>
      </c>
      <c r="AL22" s="32">
        <f>'FS Desroches Daily'!BR24</f>
        <v>36</v>
      </c>
      <c r="AM22" s="32">
        <f>'FS Desroches Daily'!BT24</f>
        <v>50.000000000011369</v>
      </c>
      <c r="AN22" s="32">
        <f>'FS Desroches Daily'!BV24</f>
        <v>35</v>
      </c>
      <c r="AO22" s="32">
        <f>'FS Desroches Daily'!BX24</f>
        <v>39.999999999992042</v>
      </c>
      <c r="AP22" s="32">
        <f>'FS Desroches Daily'!BZ24</f>
        <v>43</v>
      </c>
      <c r="AQ22" s="31">
        <f>'FS Desroches Daily'!CB24</f>
        <v>53.5</v>
      </c>
      <c r="AR22" s="31">
        <f>'FS Desroches Daily'!CD24</f>
        <v>6.9000000000014552</v>
      </c>
      <c r="AS22" s="31">
        <f>'FS Desroches Daily'!CF24</f>
        <v>2.8999999999996362</v>
      </c>
      <c r="AT22" s="31">
        <f>'FS Desroches Daily'!CH24</f>
        <v>52.80000000000291</v>
      </c>
      <c r="AU22" s="31">
        <f>'FS Desroches Daily'!CJ24</f>
        <v>281</v>
      </c>
      <c r="AV22" s="31">
        <f>'FS Desroches Daily'!CL24</f>
        <v>1000</v>
      </c>
      <c r="AW22" s="31">
        <f>'FS Desroches Daily'!CM24</f>
        <v>108.20000000000073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30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1999.9999999997797</v>
      </c>
      <c r="F23" s="32">
        <f>'FS Desroches Daily'!F25</f>
        <v>3000.0000000001137</v>
      </c>
      <c r="G23" s="31">
        <f>'FS Desroches Daily'!H25</f>
        <v>2900.0000000003465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1600.0000000002678</v>
      </c>
      <c r="K23" s="13">
        <f>'FS Desroches Daily'!P25</f>
        <v>36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434.59999999997672</v>
      </c>
      <c r="O23" s="31">
        <f>'FS Desroches Daily'!X25</f>
        <v>349.99999999990905</v>
      </c>
      <c r="P23" s="31">
        <f>'FS Desroches Daily'!Z25</f>
        <v>2900.0000000003465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879.99999999999545</v>
      </c>
      <c r="T23" s="31">
        <f>'FS Desroches Daily'!AH25</f>
        <v>42</v>
      </c>
      <c r="U23" s="35">
        <f>'FS Desroches Daily'!AJ25</f>
        <v>639.99999999998636</v>
      </c>
      <c r="V23" s="35">
        <f>'FS Desroches Daily'!AL25</f>
        <v>199.99999999998863</v>
      </c>
      <c r="W23" s="35">
        <f>'FS Desroches Daily'!AN25</f>
        <v>170.00000000001592</v>
      </c>
      <c r="X23" s="35">
        <f>'FS Desroches Daily'!AP25</f>
        <v>210.00000000003638</v>
      </c>
      <c r="Y23" s="35">
        <f>'FS Desroches Daily'!AR25</f>
        <v>159.99999999996817</v>
      </c>
      <c r="Z23" s="35">
        <f>'FS Desroches Daily'!AT25</f>
        <v>139.99999999998636</v>
      </c>
      <c r="AA23" s="35">
        <f>'FS Desroches Daily'!AT25</f>
        <v>139.99999999998636</v>
      </c>
      <c r="AB23" s="35">
        <f>'FS Desroches Daily'!AV25</f>
        <v>119.9999999999477</v>
      </c>
      <c r="AC23" s="35">
        <f>'FS Desroches Daily'!AZ25</f>
        <v>230.00000000001819</v>
      </c>
      <c r="AD23" s="35">
        <f>'FS Desroches Daily'!BB25</f>
        <v>159.99999999996817</v>
      </c>
      <c r="AE23" s="35">
        <f>'FS Desroches Daily'!BD25</f>
        <v>89.999999999974989</v>
      </c>
      <c r="AF23" s="31">
        <f>'FS Desroches Daily'!BF25</f>
        <v>76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29.999999999972715</v>
      </c>
      <c r="AK23" s="32">
        <f>'FS Desroches Daily'!BP25</f>
        <v>39.99999999996362</v>
      </c>
      <c r="AL23" s="32">
        <f>'FS Desroches Daily'!BR25</f>
        <v>32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37</v>
      </c>
      <c r="AQ23" s="31">
        <f>'FS Desroches Daily'!CB25</f>
        <v>69.5</v>
      </c>
      <c r="AR23" s="31">
        <f>'FS Desroches Daily'!CD25</f>
        <v>11.099999999998545</v>
      </c>
      <c r="AS23" s="31">
        <f>'FS Desroches Daily'!CF25</f>
        <v>2</v>
      </c>
      <c r="AT23" s="31">
        <f>'FS Desroches Daily'!CH25</f>
        <v>47.30000000000291</v>
      </c>
      <c r="AU23" s="31">
        <f>'FS Desroches Daily'!CJ25</f>
        <v>295</v>
      </c>
      <c r="AV23" s="31">
        <f>'FS Desroches Daily'!CL25</f>
        <v>1000</v>
      </c>
      <c r="AW23" s="31">
        <f>'FS Desroches Daily'!CM25</f>
        <v>128.79999999999927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30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32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50500.000000000007</v>
      </c>
      <c r="F33" s="17">
        <f t="shared" ref="F33:BC33" si="0">SUM(F2:F32)</f>
        <v>68400.00000000048</v>
      </c>
      <c r="G33" s="17">
        <f t="shared" si="0"/>
        <v>76200.000000000087</v>
      </c>
      <c r="H33" s="17">
        <f t="shared" si="0"/>
        <v>32100.000000000251</v>
      </c>
      <c r="I33" s="17">
        <f t="shared" si="0"/>
        <v>44899.999999999731</v>
      </c>
      <c r="J33" s="17">
        <f t="shared" si="0"/>
        <v>34200.00000000024</v>
      </c>
      <c r="K33" s="17">
        <f t="shared" si="0"/>
        <v>493</v>
      </c>
      <c r="L33" s="17">
        <f t="shared" si="0"/>
        <v>57</v>
      </c>
      <c r="M33" s="17">
        <f t="shared" si="0"/>
        <v>32.400000000000091</v>
      </c>
      <c r="N33" s="17">
        <f t="shared" si="0"/>
        <v>9011</v>
      </c>
      <c r="O33" s="17">
        <f t="shared" si="0"/>
        <v>6490.0000000000091</v>
      </c>
      <c r="P33" s="17">
        <f t="shared" si="0"/>
        <v>62500.000000000022</v>
      </c>
      <c r="Q33" s="17">
        <f t="shared" si="0"/>
        <v>7759.9999999999909</v>
      </c>
      <c r="R33" s="17">
        <f t="shared" si="0"/>
        <v>7050.0000000000682</v>
      </c>
      <c r="S33" s="17">
        <f t="shared" si="0"/>
        <v>17219.999999999913</v>
      </c>
      <c r="T33" s="17">
        <f t="shared" si="0"/>
        <v>747</v>
      </c>
      <c r="U33" s="35">
        <f t="shared" si="0"/>
        <v>13960.000000000036</v>
      </c>
      <c r="V33" s="35">
        <f t="shared" si="0"/>
        <v>4319.9999999999927</v>
      </c>
      <c r="W33" s="35">
        <f t="shared" si="0"/>
        <v>3780.0000000000296</v>
      </c>
      <c r="X33" s="35">
        <f t="shared" si="0"/>
        <v>3480.0000000000182</v>
      </c>
      <c r="Y33" s="35">
        <f t="shared" si="0"/>
        <v>3430.0000000000068</v>
      </c>
      <c r="Z33" s="35">
        <f t="shared" si="0"/>
        <v>3929.5199999999363</v>
      </c>
      <c r="AA33" s="35">
        <f t="shared" si="0"/>
        <v>3929.5199999999363</v>
      </c>
      <c r="AB33" s="35">
        <f t="shared" si="0"/>
        <v>3079.9999999999841</v>
      </c>
      <c r="AC33" s="35">
        <f t="shared" si="0"/>
        <v>3480.0000000000182</v>
      </c>
      <c r="AD33" s="35">
        <f t="shared" si="0"/>
        <v>2819.9999999999932</v>
      </c>
      <c r="AE33" s="35">
        <f t="shared" si="0"/>
        <v>919.99999999995907</v>
      </c>
      <c r="AF33" s="17">
        <f t="shared" si="0"/>
        <v>876</v>
      </c>
      <c r="AG33" s="32">
        <f t="shared" si="0"/>
        <v>639.99999999998636</v>
      </c>
      <c r="AH33" s="32">
        <f t="shared" si="0"/>
        <v>620.00000000000455</v>
      </c>
      <c r="AI33" s="32">
        <f t="shared" si="0"/>
        <v>919.99999999998749</v>
      </c>
      <c r="AJ33" s="32">
        <f t="shared" si="0"/>
        <v>709.99999999997954</v>
      </c>
      <c r="AK33" s="32">
        <f t="shared" si="0"/>
        <v>789.99999999996362</v>
      </c>
      <c r="AL33" s="32">
        <f t="shared" si="0"/>
        <v>678</v>
      </c>
      <c r="AM33" s="32">
        <f t="shared" si="0"/>
        <v>750</v>
      </c>
      <c r="AN33" s="32">
        <f t="shared" si="0"/>
        <v>720</v>
      </c>
      <c r="AO33" s="32">
        <f t="shared" si="0"/>
        <v>750</v>
      </c>
      <c r="AP33" s="32">
        <f t="shared" si="0"/>
        <v>840</v>
      </c>
      <c r="AQ33" s="17">
        <f t="shared" si="0"/>
        <v>1249.9000000000015</v>
      </c>
      <c r="AR33" s="17">
        <f t="shared" si="0"/>
        <v>237.70000000000073</v>
      </c>
      <c r="AS33" s="17">
        <f t="shared" si="0"/>
        <v>91.299999999999272</v>
      </c>
      <c r="AT33" s="17">
        <f t="shared" si="0"/>
        <v>1153.1999999999971</v>
      </c>
      <c r="AU33" s="17">
        <f t="shared" si="0"/>
        <v>6373</v>
      </c>
      <c r="AV33" s="17">
        <f t="shared" si="0"/>
        <v>20200.000000000044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139.19399999999996</v>
      </c>
      <c r="BC33" s="17">
        <f t="shared" si="0"/>
        <v>940</v>
      </c>
    </row>
    <row r="35" spans="5:55" x14ac:dyDescent="0.25">
      <c r="E35" s="38">
        <f>E33/E37</f>
        <v>0.19996990551916857</v>
      </c>
      <c r="G35" s="29">
        <f>G33-M36</f>
        <v>67156.600000000093</v>
      </c>
      <c r="AE35" s="35">
        <f>SUM(U33:AE33)</f>
        <v>47129.039999999914</v>
      </c>
      <c r="AG35" s="32">
        <f>SUM(AG33:AP33)</f>
        <v>7417.9999999999218</v>
      </c>
    </row>
    <row r="36" spans="5:55" x14ac:dyDescent="0.25">
      <c r="G36" s="29">
        <f>G35-633*14</f>
        <v>58294.600000000093</v>
      </c>
      <c r="M36" s="29">
        <f>M33+N33</f>
        <v>9043.4</v>
      </c>
    </row>
    <row r="37" spans="5:55" x14ac:dyDescent="0.25">
      <c r="E37" s="17">
        <f>E33+F33+G33+H33+J33-633*14</f>
        <v>252538.00000000108</v>
      </c>
      <c r="G37" s="37">
        <f>M36/E37</f>
        <v>3.5810056308357402E-2</v>
      </c>
      <c r="M37" s="35">
        <f>AE35</f>
        <v>47129.039999999914</v>
      </c>
    </row>
    <row r="38" spans="5:55" x14ac:dyDescent="0.25">
      <c r="L38" s="27">
        <f>M38/E37</f>
        <v>2.9373797210716368E-2</v>
      </c>
      <c r="M38" s="29">
        <f>AG35</f>
        <v>7417.9999999999218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2" zoomScaleNormal="82" workbookViewId="0">
      <pane ySplit="1" topLeftCell="A17" activePane="bottomLeft" state="frozen"/>
      <selection pane="bottomLeft" activeCell="CQ36" sqref="CQ3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>
        <v>3.4213</v>
      </c>
      <c r="D19" s="64">
        <f t="shared" si="50"/>
        <v>2400.0000000001796</v>
      </c>
      <c r="E19" s="58">
        <v>4.5797999999999996</v>
      </c>
      <c r="F19" s="64">
        <f t="shared" si="99"/>
        <v>3400.0000000000696</v>
      </c>
      <c r="G19" s="58">
        <v>4.5578000000000003</v>
      </c>
      <c r="H19" s="64">
        <f t="shared" si="51"/>
        <v>3200.0000000005357</v>
      </c>
      <c r="I19" s="58">
        <v>2.2759999999999998</v>
      </c>
      <c r="J19" s="64">
        <f t="shared" si="52"/>
        <v>1499.9999999996128</v>
      </c>
      <c r="K19" s="58">
        <v>3.5255999999999998</v>
      </c>
      <c r="L19" s="64">
        <f t="shared" si="53"/>
        <v>2099.9999999999909</v>
      </c>
      <c r="M19" s="58">
        <v>2.0693999999999999</v>
      </c>
      <c r="N19" s="64">
        <f t="shared" si="54"/>
        <v>1399.9999999998458</v>
      </c>
      <c r="O19" s="58">
        <v>22983</v>
      </c>
      <c r="P19" s="67">
        <f t="shared" si="55"/>
        <v>24</v>
      </c>
      <c r="Q19" s="58">
        <v>2816</v>
      </c>
      <c r="R19" s="67">
        <f t="shared" si="56"/>
        <v>4</v>
      </c>
      <c r="S19" s="58">
        <v>1456</v>
      </c>
      <c r="T19" s="67">
        <f t="shared" si="57"/>
        <v>1.4000000000000909</v>
      </c>
      <c r="U19" s="58">
        <v>584187.5</v>
      </c>
      <c r="V19" s="67">
        <f t="shared" si="58"/>
        <v>374.5</v>
      </c>
      <c r="W19" s="58">
        <v>536.63</v>
      </c>
      <c r="X19" s="65">
        <f t="shared" si="59"/>
        <v>289.99999999996362</v>
      </c>
      <c r="Y19" s="58">
        <v>4.0331000000000001</v>
      </c>
      <c r="Z19" s="65">
        <f t="shared" si="60"/>
        <v>3200.0000000005357</v>
      </c>
      <c r="AA19" s="58">
        <v>544</v>
      </c>
      <c r="AB19" s="65">
        <f t="shared" si="61"/>
        <v>250</v>
      </c>
      <c r="AC19" s="58">
        <v>537.23</v>
      </c>
      <c r="AD19" s="65">
        <f t="shared" si="62"/>
        <v>310.00000000005912</v>
      </c>
      <c r="AE19" s="58">
        <v>820.81</v>
      </c>
      <c r="AF19" s="65">
        <f t="shared" si="63"/>
        <v>739.99999999989541</v>
      </c>
      <c r="AG19" s="58">
        <v>20110</v>
      </c>
      <c r="AH19" s="67">
        <f t="shared" si="64"/>
        <v>34</v>
      </c>
      <c r="AI19" s="58">
        <v>911.57</v>
      </c>
      <c r="AJ19" s="65">
        <f t="shared" si="65"/>
        <v>670.00000000007276</v>
      </c>
      <c r="AK19" s="58">
        <v>303.37</v>
      </c>
      <c r="AL19" s="65">
        <f t="shared" si="66"/>
        <v>180.00000000000682</v>
      </c>
      <c r="AM19" s="58">
        <v>281.72000000000003</v>
      </c>
      <c r="AN19" s="65">
        <f t="shared" si="67"/>
        <v>180.00000000000682</v>
      </c>
      <c r="AO19" s="58">
        <v>271.41000000000003</v>
      </c>
      <c r="AP19" s="65">
        <f t="shared" si="68"/>
        <v>160.00000000002501</v>
      </c>
      <c r="AQ19" s="58">
        <v>326.12</v>
      </c>
      <c r="AR19" s="65">
        <f t="shared" si="69"/>
        <v>149.99999999997726</v>
      </c>
      <c r="AS19" s="58">
        <v>451.67</v>
      </c>
      <c r="AT19" s="65">
        <f t="shared" si="70"/>
        <v>210.00000000003638</v>
      </c>
      <c r="AU19" s="58">
        <v>359.28</v>
      </c>
      <c r="AV19" s="65">
        <f t="shared" si="71"/>
        <v>229.99999999996135</v>
      </c>
      <c r="AW19" s="58">
        <v>388.5</v>
      </c>
      <c r="AX19" s="65">
        <f t="shared" si="72"/>
        <v>89.999999999974989</v>
      </c>
      <c r="AY19" s="58">
        <v>423.27</v>
      </c>
      <c r="AZ19" s="65">
        <f t="shared" si="73"/>
        <v>209.99999999997954</v>
      </c>
      <c r="BA19" s="58">
        <v>441.02</v>
      </c>
      <c r="BB19" s="65">
        <f t="shared" si="74"/>
        <v>109.9999999999568</v>
      </c>
      <c r="BC19" s="58">
        <v>282.77999999999997</v>
      </c>
      <c r="BD19" s="65">
        <f t="shared" si="75"/>
        <v>39.99999999996362</v>
      </c>
      <c r="BE19" s="59">
        <v>53909</v>
      </c>
      <c r="BF19" s="67">
        <f t="shared" si="76"/>
        <v>44</v>
      </c>
      <c r="BG19" s="60">
        <v>251.11</v>
      </c>
      <c r="BH19" s="65">
        <f t="shared" si="77"/>
        <v>30.000000000001137</v>
      </c>
      <c r="BI19" s="60">
        <v>305.67</v>
      </c>
      <c r="BJ19" s="65">
        <f t="shared" si="78"/>
        <v>30.000000000029559</v>
      </c>
      <c r="BK19" s="60">
        <v>255.54</v>
      </c>
      <c r="BL19" s="65">
        <f t="shared" si="79"/>
        <v>39.999999999992042</v>
      </c>
      <c r="BM19" s="60">
        <v>240.93</v>
      </c>
      <c r="BN19" s="65">
        <f t="shared" si="80"/>
        <v>30.000000000001137</v>
      </c>
      <c r="BO19" s="60">
        <v>309.39</v>
      </c>
      <c r="BP19" s="65">
        <f t="shared" si="81"/>
        <v>39.99999999996362</v>
      </c>
      <c r="BQ19" s="60">
        <v>59172</v>
      </c>
      <c r="BR19" s="65">
        <f t="shared" si="82"/>
        <v>34</v>
      </c>
      <c r="BS19" s="60">
        <v>218.93</v>
      </c>
      <c r="BT19" s="65">
        <f t="shared" si="83"/>
        <v>30.000000000001137</v>
      </c>
      <c r="BU19" s="60">
        <v>57222</v>
      </c>
      <c r="BV19" s="65">
        <f t="shared" si="84"/>
        <v>37</v>
      </c>
      <c r="BW19" s="60">
        <v>247.02</v>
      </c>
      <c r="BX19" s="65">
        <f t="shared" si="85"/>
        <v>30.000000000001137</v>
      </c>
      <c r="BY19" s="60">
        <v>77249</v>
      </c>
      <c r="BZ19" s="67">
        <f t="shared" si="86"/>
        <v>39</v>
      </c>
      <c r="CA19" s="60">
        <v>52892.1</v>
      </c>
      <c r="CB19" s="67">
        <f t="shared" si="87"/>
        <v>66</v>
      </c>
      <c r="CC19" s="60">
        <v>16706</v>
      </c>
      <c r="CD19" s="67">
        <f t="shared" si="88"/>
        <v>10.599999999998545</v>
      </c>
      <c r="CE19" s="60">
        <v>8495.7000000000007</v>
      </c>
      <c r="CF19" s="67">
        <f t="shared" si="89"/>
        <v>5.9000000000014552</v>
      </c>
      <c r="CG19" s="60">
        <v>78786.399999999994</v>
      </c>
      <c r="CH19" s="67">
        <f t="shared" si="90"/>
        <v>47.299999999988358</v>
      </c>
      <c r="CI19" s="60">
        <v>1071412</v>
      </c>
      <c r="CJ19" s="67">
        <f t="shared" si="91"/>
        <v>294</v>
      </c>
      <c r="CK19" s="60">
        <v>1069.2</v>
      </c>
      <c r="CL19" s="64">
        <f t="shared" si="92"/>
        <v>700.00000000004547</v>
      </c>
      <c r="CM19" s="65">
        <f t="shared" si="93"/>
        <v>125.59999999999854</v>
      </c>
      <c r="CN19" s="62">
        <v>32</v>
      </c>
      <c r="CO19" s="62">
        <v>83</v>
      </c>
      <c r="CP19" s="68">
        <v>38182</v>
      </c>
      <c r="CQ19" s="67">
        <f t="shared" si="94"/>
        <v>99</v>
      </c>
      <c r="CR19" s="68">
        <v>23312.3</v>
      </c>
      <c r="CS19" s="67">
        <f t="shared" si="95"/>
        <v>26.599999999998545</v>
      </c>
      <c r="CT19" s="75">
        <v>11122</v>
      </c>
      <c r="CU19" s="67">
        <f t="shared" si="96"/>
        <v>9</v>
      </c>
      <c r="CV19" s="68">
        <v>26327</v>
      </c>
      <c r="CW19" s="67">
        <f t="shared" si="97"/>
        <v>20</v>
      </c>
      <c r="CX19" s="58">
        <v>3954.6</v>
      </c>
      <c r="CY19" s="67">
        <f t="shared" si="98"/>
        <v>11.699999999999818</v>
      </c>
    </row>
    <row r="20" spans="1:103" ht="25.5" customHeight="1" thickBot="1" x14ac:dyDescent="0.45">
      <c r="A20" s="63">
        <v>44790</v>
      </c>
      <c r="B20" s="44"/>
      <c r="C20" s="58">
        <v>3.4238</v>
      </c>
      <c r="D20" s="64">
        <f t="shared" si="50"/>
        <v>2499.9999999999468</v>
      </c>
      <c r="E20" s="58">
        <v>4.5827999999999998</v>
      </c>
      <c r="F20" s="64">
        <f t="shared" si="99"/>
        <v>3000.0000000001137</v>
      </c>
      <c r="G20" s="58">
        <v>4.5613999999999999</v>
      </c>
      <c r="H20" s="64">
        <f t="shared" si="51"/>
        <v>3599.9999999996035</v>
      </c>
      <c r="I20" s="58">
        <v>2.2776000000000001</v>
      </c>
      <c r="J20" s="64">
        <f t="shared" si="52"/>
        <v>1600.0000000002678</v>
      </c>
      <c r="K20" s="58">
        <v>3.5276999999999998</v>
      </c>
      <c r="L20" s="64">
        <f t="shared" si="53"/>
        <v>2099.9999999999909</v>
      </c>
      <c r="M20" s="58">
        <v>2.0709</v>
      </c>
      <c r="N20" s="64">
        <f t="shared" si="54"/>
        <v>1500.0000000000568</v>
      </c>
      <c r="O20" s="58">
        <v>23005</v>
      </c>
      <c r="P20" s="67">
        <f t="shared" si="55"/>
        <v>22</v>
      </c>
      <c r="Q20" s="58">
        <v>2818</v>
      </c>
      <c r="R20" s="67">
        <f t="shared" si="56"/>
        <v>2</v>
      </c>
      <c r="S20" s="58">
        <v>1457.5</v>
      </c>
      <c r="T20" s="67">
        <f t="shared" si="57"/>
        <v>1.5</v>
      </c>
      <c r="U20" s="58">
        <v>584611.4</v>
      </c>
      <c r="V20" s="67">
        <f t="shared" si="58"/>
        <v>423.90000000002328</v>
      </c>
      <c r="W20" s="58">
        <v>536.91</v>
      </c>
      <c r="X20" s="65">
        <f t="shared" si="59"/>
        <v>279.99999999997272</v>
      </c>
      <c r="Y20" s="58">
        <v>4.0358000000000001</v>
      </c>
      <c r="Z20" s="65">
        <f t="shared" si="60"/>
        <v>2699.9999999999245</v>
      </c>
      <c r="AA20" s="58">
        <v>544.38</v>
      </c>
      <c r="AB20" s="65">
        <f t="shared" si="61"/>
        <v>379.99999999999545</v>
      </c>
      <c r="AC20" s="58">
        <v>537.53</v>
      </c>
      <c r="AD20" s="65">
        <f t="shared" si="62"/>
        <v>299.99999999995453</v>
      </c>
      <c r="AE20" s="58">
        <v>821.49</v>
      </c>
      <c r="AF20" s="65">
        <f t="shared" si="63"/>
        <v>680.00000000006366</v>
      </c>
      <c r="AG20" s="58">
        <v>20146</v>
      </c>
      <c r="AH20" s="67">
        <f t="shared" si="64"/>
        <v>36</v>
      </c>
      <c r="AI20" s="58">
        <v>912.29</v>
      </c>
      <c r="AJ20" s="65">
        <f t="shared" si="65"/>
        <v>719.9999999999136</v>
      </c>
      <c r="AK20" s="58">
        <v>303.57</v>
      </c>
      <c r="AL20" s="65">
        <f t="shared" si="66"/>
        <v>199.99999999998863</v>
      </c>
      <c r="AM20" s="58">
        <v>281.89</v>
      </c>
      <c r="AN20" s="65">
        <f t="shared" si="67"/>
        <v>169.99999999995907</v>
      </c>
      <c r="AO20" s="58">
        <v>271.57</v>
      </c>
      <c r="AP20" s="65">
        <f t="shared" si="68"/>
        <v>159.99999999996817</v>
      </c>
      <c r="AQ20" s="58">
        <v>326.26</v>
      </c>
      <c r="AR20" s="65">
        <f t="shared" si="69"/>
        <v>139.99999999998636</v>
      </c>
      <c r="AS20" s="58">
        <v>451.92</v>
      </c>
      <c r="AT20" s="65">
        <f t="shared" si="70"/>
        <v>250</v>
      </c>
      <c r="AU20" s="58">
        <v>359.52</v>
      </c>
      <c r="AV20" s="65">
        <f t="shared" si="71"/>
        <v>240.00000000000909</v>
      </c>
      <c r="AW20" s="58">
        <v>388.6</v>
      </c>
      <c r="AX20" s="65">
        <f t="shared" si="72"/>
        <v>100.00000000002274</v>
      </c>
      <c r="AY20" s="58">
        <v>423.43</v>
      </c>
      <c r="AZ20" s="65">
        <f t="shared" si="73"/>
        <v>160.00000000002501</v>
      </c>
      <c r="BA20" s="58">
        <v>441.14</v>
      </c>
      <c r="BB20" s="65">
        <f t="shared" si="74"/>
        <v>120.00000000000455</v>
      </c>
      <c r="BC20" s="58">
        <v>282.8</v>
      </c>
      <c r="BD20" s="65">
        <f t="shared" si="75"/>
        <v>20.000000000038654</v>
      </c>
      <c r="BE20" s="59">
        <v>53957</v>
      </c>
      <c r="BF20" s="67">
        <f t="shared" si="76"/>
        <v>48</v>
      </c>
      <c r="BG20" s="60">
        <v>251.14</v>
      </c>
      <c r="BH20" s="65">
        <f t="shared" si="77"/>
        <v>29.999999999972715</v>
      </c>
      <c r="BI20" s="60">
        <v>305.7</v>
      </c>
      <c r="BJ20" s="65">
        <f t="shared" si="78"/>
        <v>29.999999999972715</v>
      </c>
      <c r="BK20" s="60">
        <v>255.59</v>
      </c>
      <c r="BL20" s="65">
        <f t="shared" si="79"/>
        <v>50.000000000011369</v>
      </c>
      <c r="BM20" s="60">
        <v>240.98</v>
      </c>
      <c r="BN20" s="65">
        <f t="shared" si="80"/>
        <v>49.999999999982947</v>
      </c>
      <c r="BO20" s="60">
        <v>309.43</v>
      </c>
      <c r="BP20" s="65">
        <f t="shared" si="81"/>
        <v>40.000000000020464</v>
      </c>
      <c r="BQ20" s="60">
        <v>59208</v>
      </c>
      <c r="BR20" s="65">
        <f t="shared" si="82"/>
        <v>36</v>
      </c>
      <c r="BS20" s="60">
        <v>218.97</v>
      </c>
      <c r="BT20" s="65">
        <f t="shared" si="83"/>
        <v>39.999999999992042</v>
      </c>
      <c r="BU20" s="60">
        <v>57255</v>
      </c>
      <c r="BV20" s="65">
        <f t="shared" si="84"/>
        <v>33</v>
      </c>
      <c r="BW20" s="60">
        <v>247.05</v>
      </c>
      <c r="BX20" s="65">
        <f t="shared" si="85"/>
        <v>30.000000000001137</v>
      </c>
      <c r="BY20" s="60">
        <v>77290</v>
      </c>
      <c r="BZ20" s="67">
        <f t="shared" si="86"/>
        <v>41</v>
      </c>
      <c r="CA20" s="60">
        <v>52950.6</v>
      </c>
      <c r="CB20" s="67">
        <f t="shared" si="87"/>
        <v>58.5</v>
      </c>
      <c r="CC20" s="60">
        <v>16715.900000000001</v>
      </c>
      <c r="CD20" s="67">
        <f t="shared" si="88"/>
        <v>9.9000000000014552</v>
      </c>
      <c r="CE20" s="60">
        <v>8496.6</v>
      </c>
      <c r="CF20" s="67">
        <f t="shared" si="89"/>
        <v>0.8999999999996362</v>
      </c>
      <c r="CG20" s="60">
        <v>78834</v>
      </c>
      <c r="CH20" s="67">
        <f t="shared" si="90"/>
        <v>47.600000000005821</v>
      </c>
      <c r="CI20" s="60">
        <v>1071712</v>
      </c>
      <c r="CJ20" s="67">
        <f t="shared" si="91"/>
        <v>300</v>
      </c>
      <c r="CK20" s="60">
        <v>1070</v>
      </c>
      <c r="CL20" s="64">
        <f t="shared" si="92"/>
        <v>799.99999999995453</v>
      </c>
      <c r="CM20" s="65">
        <f t="shared" si="93"/>
        <v>121</v>
      </c>
      <c r="CN20" s="62">
        <v>32</v>
      </c>
      <c r="CO20" s="62">
        <v>83</v>
      </c>
      <c r="CP20" s="68">
        <v>38283</v>
      </c>
      <c r="CQ20" s="67">
        <f t="shared" si="94"/>
        <v>101</v>
      </c>
      <c r="CR20" s="68">
        <v>23332.3</v>
      </c>
      <c r="CS20" s="67">
        <f t="shared" si="95"/>
        <v>20</v>
      </c>
      <c r="CT20" s="75">
        <v>11131</v>
      </c>
      <c r="CU20" s="67">
        <f t="shared" si="96"/>
        <v>9</v>
      </c>
      <c r="CV20" s="68">
        <v>26348</v>
      </c>
      <c r="CW20" s="67">
        <f t="shared" si="97"/>
        <v>21</v>
      </c>
      <c r="CX20" s="58">
        <v>3965.9</v>
      </c>
      <c r="CY20" s="67">
        <f t="shared" si="98"/>
        <v>11.300000000000182</v>
      </c>
    </row>
    <row r="21" spans="1:103" ht="25.5" customHeight="1" thickBot="1" x14ac:dyDescent="0.45">
      <c r="A21" s="63">
        <v>44791</v>
      </c>
      <c r="B21" s="44"/>
      <c r="C21" s="58">
        <v>3.4262999999999999</v>
      </c>
      <c r="D21" s="64">
        <f t="shared" si="50"/>
        <v>2499.9999999999468</v>
      </c>
      <c r="E21" s="58">
        <v>4.5858999999999996</v>
      </c>
      <c r="F21" s="64">
        <f t="shared" si="99"/>
        <v>3099.9999999998809</v>
      </c>
      <c r="G21" s="58">
        <v>4.5648</v>
      </c>
      <c r="H21" s="64">
        <f t="shared" si="51"/>
        <v>3400.0000000000696</v>
      </c>
      <c r="I21" s="58">
        <v>2.2789999999999999</v>
      </c>
      <c r="J21" s="64">
        <f t="shared" si="52"/>
        <v>1399.9999999998458</v>
      </c>
      <c r="K21" s="58">
        <v>3.5295999999999998</v>
      </c>
      <c r="L21" s="64">
        <f t="shared" si="53"/>
        <v>1900.0000000000127</v>
      </c>
      <c r="M21" s="58">
        <v>2.0722999999999998</v>
      </c>
      <c r="N21" s="64">
        <f t="shared" si="54"/>
        <v>1399.9999999998458</v>
      </c>
      <c r="O21" s="58">
        <v>23030</v>
      </c>
      <c r="P21" s="67">
        <f t="shared" si="55"/>
        <v>25</v>
      </c>
      <c r="Q21" s="58">
        <v>2820</v>
      </c>
      <c r="R21" s="67">
        <f t="shared" si="56"/>
        <v>2</v>
      </c>
      <c r="S21" s="58">
        <v>1458.8</v>
      </c>
      <c r="T21" s="67">
        <f t="shared" si="57"/>
        <v>1.2999999999999545</v>
      </c>
      <c r="U21" s="58">
        <v>584987.30000000005</v>
      </c>
      <c r="V21" s="67">
        <f t="shared" si="58"/>
        <v>375.90000000002328</v>
      </c>
      <c r="W21" s="58">
        <v>537.19000000000005</v>
      </c>
      <c r="X21" s="65">
        <f t="shared" si="59"/>
        <v>280.0000000000864</v>
      </c>
      <c r="Y21" s="58">
        <v>4.0385999999999997</v>
      </c>
      <c r="Z21" s="65">
        <f t="shared" si="60"/>
        <v>2799.9999999996917</v>
      </c>
      <c r="AA21" s="58">
        <v>544.62</v>
      </c>
      <c r="AB21" s="65">
        <f t="shared" si="61"/>
        <v>240.00000000000909</v>
      </c>
      <c r="AC21" s="58">
        <v>537.84</v>
      </c>
      <c r="AD21" s="65">
        <f t="shared" si="62"/>
        <v>310.00000000005912</v>
      </c>
      <c r="AE21" s="58">
        <v>822.27</v>
      </c>
      <c r="AF21" s="65">
        <f t="shared" si="63"/>
        <v>779.99999999997272</v>
      </c>
      <c r="AG21" s="58">
        <v>20183</v>
      </c>
      <c r="AH21" s="67">
        <f t="shared" si="64"/>
        <v>37</v>
      </c>
      <c r="AI21" s="58">
        <v>913.05</v>
      </c>
      <c r="AJ21" s="65">
        <f t="shared" si="65"/>
        <v>759.99999999999091</v>
      </c>
      <c r="AK21" s="58">
        <v>303.75</v>
      </c>
      <c r="AL21" s="65">
        <f t="shared" si="66"/>
        <v>180.00000000000682</v>
      </c>
      <c r="AM21" s="58">
        <v>282.11</v>
      </c>
      <c r="AN21" s="65">
        <f t="shared" si="67"/>
        <v>220.00000000002728</v>
      </c>
      <c r="AO21" s="58">
        <v>271.7</v>
      </c>
      <c r="AP21" s="65">
        <f t="shared" si="68"/>
        <v>129.99999999999545</v>
      </c>
      <c r="AQ21" s="58">
        <v>326.39</v>
      </c>
      <c r="AR21" s="65">
        <f t="shared" si="69"/>
        <v>129.99999999999545</v>
      </c>
      <c r="AS21" s="58">
        <v>452.12</v>
      </c>
      <c r="AT21" s="65">
        <f t="shared" si="70"/>
        <v>199.99999999998863</v>
      </c>
      <c r="AU21" s="58">
        <v>359.7</v>
      </c>
      <c r="AV21" s="65">
        <f t="shared" si="71"/>
        <v>180.00000000000682</v>
      </c>
      <c r="AW21" s="58">
        <v>388.72</v>
      </c>
      <c r="AX21" s="65">
        <f t="shared" si="72"/>
        <v>120.00000000000455</v>
      </c>
      <c r="AY21" s="58">
        <v>423.6</v>
      </c>
      <c r="AZ21" s="65">
        <f t="shared" si="73"/>
        <v>170.00000000001592</v>
      </c>
      <c r="BA21" s="58">
        <v>441.24</v>
      </c>
      <c r="BB21" s="65">
        <f t="shared" si="74"/>
        <v>100.00000000002274</v>
      </c>
      <c r="BC21" s="58">
        <v>282.83999999999997</v>
      </c>
      <c r="BD21" s="65">
        <f t="shared" si="75"/>
        <v>39.99999999996362</v>
      </c>
      <c r="BE21" s="59">
        <v>53994</v>
      </c>
      <c r="BF21" s="67">
        <f t="shared" si="76"/>
        <v>37</v>
      </c>
      <c r="BG21" s="60">
        <v>251.17</v>
      </c>
      <c r="BH21" s="65">
        <f t="shared" si="77"/>
        <v>30.000000000001137</v>
      </c>
      <c r="BI21" s="60">
        <v>305.73</v>
      </c>
      <c r="BJ21" s="65">
        <f t="shared" si="78"/>
        <v>30.000000000029559</v>
      </c>
      <c r="BK21" s="60">
        <v>255.64</v>
      </c>
      <c r="BL21" s="65">
        <f t="shared" si="79"/>
        <v>49.999999999982947</v>
      </c>
      <c r="BM21" s="60">
        <v>241.01</v>
      </c>
      <c r="BN21" s="65">
        <f t="shared" si="80"/>
        <v>30.000000000001137</v>
      </c>
      <c r="BO21" s="60">
        <v>309.47000000000003</v>
      </c>
      <c r="BP21" s="65">
        <f t="shared" si="81"/>
        <v>40.000000000020464</v>
      </c>
      <c r="BQ21" s="60">
        <v>59240</v>
      </c>
      <c r="BR21" s="65">
        <f t="shared" si="82"/>
        <v>32</v>
      </c>
      <c r="BS21" s="60">
        <v>219</v>
      </c>
      <c r="BT21" s="65">
        <f t="shared" si="83"/>
        <v>30.000000000001137</v>
      </c>
      <c r="BU21" s="60">
        <v>57286</v>
      </c>
      <c r="BV21" s="65">
        <f t="shared" si="84"/>
        <v>31</v>
      </c>
      <c r="BW21" s="60">
        <v>247.08</v>
      </c>
      <c r="BX21" s="65">
        <f t="shared" si="85"/>
        <v>30.000000000001137</v>
      </c>
      <c r="BY21" s="60">
        <v>77329</v>
      </c>
      <c r="BZ21" s="67">
        <f t="shared" si="86"/>
        <v>39</v>
      </c>
      <c r="CA21" s="60">
        <v>53001.5</v>
      </c>
      <c r="CB21" s="67">
        <f t="shared" si="87"/>
        <v>50.900000000001455</v>
      </c>
      <c r="CC21" s="60">
        <v>16724.5</v>
      </c>
      <c r="CD21" s="67">
        <f t="shared" si="88"/>
        <v>8.5999999999985448</v>
      </c>
      <c r="CE21" s="60">
        <v>8502.7000000000007</v>
      </c>
      <c r="CF21" s="67">
        <f t="shared" si="89"/>
        <v>6.1000000000003638</v>
      </c>
      <c r="CG21" s="60">
        <v>78883</v>
      </c>
      <c r="CH21" s="67">
        <f t="shared" si="90"/>
        <v>49</v>
      </c>
      <c r="CI21" s="60">
        <v>1071988</v>
      </c>
      <c r="CJ21" s="67">
        <f t="shared" si="91"/>
        <v>276</v>
      </c>
      <c r="CK21" s="60">
        <v>1071</v>
      </c>
      <c r="CL21" s="64">
        <f t="shared" si="92"/>
        <v>1000</v>
      </c>
      <c r="CM21" s="65">
        <f t="shared" si="93"/>
        <v>120.70000000000073</v>
      </c>
      <c r="CN21" s="62">
        <v>32</v>
      </c>
      <c r="CO21" s="62">
        <v>83</v>
      </c>
      <c r="CP21" s="68">
        <v>38380</v>
      </c>
      <c r="CQ21" s="67">
        <f t="shared" si="94"/>
        <v>97</v>
      </c>
      <c r="CR21" s="68">
        <v>23356</v>
      </c>
      <c r="CS21" s="67">
        <f t="shared" si="95"/>
        <v>23.700000000000728</v>
      </c>
      <c r="CT21" s="75">
        <v>11141</v>
      </c>
      <c r="CU21" s="67">
        <f t="shared" si="96"/>
        <v>10</v>
      </c>
      <c r="CV21" s="68">
        <v>26372</v>
      </c>
      <c r="CW21" s="67">
        <f t="shared" si="97"/>
        <v>24</v>
      </c>
      <c r="CX21" s="58">
        <v>3974.9</v>
      </c>
      <c r="CY21" s="67">
        <f t="shared" si="98"/>
        <v>9</v>
      </c>
    </row>
    <row r="22" spans="1:103" ht="25.5" customHeight="1" thickBot="1" x14ac:dyDescent="0.45">
      <c r="A22" s="63">
        <v>44792</v>
      </c>
      <c r="B22" s="44"/>
      <c r="C22" s="58">
        <v>3.4287999999999998</v>
      </c>
      <c r="D22" s="64">
        <f t="shared" si="50"/>
        <v>2499.9999999999468</v>
      </c>
      <c r="E22" s="58">
        <v>4.5888</v>
      </c>
      <c r="F22" s="64">
        <f t="shared" si="99"/>
        <v>2900.0000000003465</v>
      </c>
      <c r="G22" s="58">
        <v>4.5679999999999996</v>
      </c>
      <c r="H22" s="64">
        <f t="shared" si="51"/>
        <v>3199.9999999996476</v>
      </c>
      <c r="I22" s="58">
        <v>2.2805</v>
      </c>
      <c r="J22" s="64">
        <f t="shared" si="52"/>
        <v>1500.0000000000568</v>
      </c>
      <c r="K22" s="58">
        <v>3.5316000000000001</v>
      </c>
      <c r="L22" s="64">
        <f t="shared" si="53"/>
        <v>2000.0000000002237</v>
      </c>
      <c r="M22" s="58">
        <v>2.0739000000000001</v>
      </c>
      <c r="N22" s="64">
        <f t="shared" si="54"/>
        <v>1600.0000000002678</v>
      </c>
      <c r="O22" s="58">
        <v>23050</v>
      </c>
      <c r="P22" s="67">
        <f t="shared" si="55"/>
        <v>20</v>
      </c>
      <c r="Q22" s="58">
        <v>2823</v>
      </c>
      <c r="R22" s="67">
        <f t="shared" si="56"/>
        <v>3</v>
      </c>
      <c r="S22" s="58">
        <v>1459.9</v>
      </c>
      <c r="T22" s="67">
        <f t="shared" si="57"/>
        <v>1.1000000000001364</v>
      </c>
      <c r="U22" s="58">
        <v>585308.80000000005</v>
      </c>
      <c r="V22" s="67">
        <f t="shared" si="58"/>
        <v>321.5</v>
      </c>
      <c r="W22" s="58">
        <v>537.48</v>
      </c>
      <c r="X22" s="65">
        <f t="shared" si="59"/>
        <v>289.99999999996362</v>
      </c>
      <c r="Y22" s="58">
        <v>4.0412999999999997</v>
      </c>
      <c r="Z22" s="65">
        <f t="shared" si="60"/>
        <v>2699.9999999999245</v>
      </c>
      <c r="AA22" s="58">
        <v>545.01</v>
      </c>
      <c r="AB22" s="65">
        <f t="shared" si="61"/>
        <v>389.99999999998636</v>
      </c>
      <c r="AC22" s="58">
        <v>538.16</v>
      </c>
      <c r="AD22" s="65">
        <f t="shared" si="62"/>
        <v>319.99999999993634</v>
      </c>
      <c r="AE22" s="58">
        <v>823.03</v>
      </c>
      <c r="AF22" s="65">
        <f t="shared" si="63"/>
        <v>759.99999999999091</v>
      </c>
      <c r="AG22" s="58">
        <v>20216</v>
      </c>
      <c r="AH22" s="67">
        <f t="shared" si="64"/>
        <v>33</v>
      </c>
      <c r="AI22" s="58">
        <v>913.7</v>
      </c>
      <c r="AJ22" s="65">
        <f t="shared" si="65"/>
        <v>650.00000000009095</v>
      </c>
      <c r="AK22" s="58">
        <v>303.95</v>
      </c>
      <c r="AL22" s="65">
        <f t="shared" si="66"/>
        <v>199.99999999998863</v>
      </c>
      <c r="AM22" s="58">
        <v>282.33</v>
      </c>
      <c r="AN22" s="65">
        <f t="shared" si="67"/>
        <v>219.99999999997044</v>
      </c>
      <c r="AO22" s="58">
        <v>271.87</v>
      </c>
      <c r="AP22" s="65">
        <f t="shared" si="68"/>
        <v>170.00000000001592</v>
      </c>
      <c r="AQ22" s="58">
        <v>326.52</v>
      </c>
      <c r="AR22" s="65">
        <f t="shared" si="69"/>
        <v>129.99999999999545</v>
      </c>
      <c r="AS22" s="58">
        <v>452.24</v>
      </c>
      <c r="AT22" s="65">
        <f t="shared" si="70"/>
        <v>120.00000000000455</v>
      </c>
      <c r="AU22" s="58">
        <v>359.89</v>
      </c>
      <c r="AV22" s="65">
        <f t="shared" si="71"/>
        <v>189.99999999999773</v>
      </c>
      <c r="AW22" s="58">
        <v>388.88</v>
      </c>
      <c r="AX22" s="65">
        <f t="shared" si="72"/>
        <v>159.99999999996817</v>
      </c>
      <c r="AY22" s="58">
        <v>423.76</v>
      </c>
      <c r="AZ22" s="65">
        <f t="shared" si="73"/>
        <v>159.99999999996817</v>
      </c>
      <c r="BA22" s="58">
        <v>441.36</v>
      </c>
      <c r="BB22" s="65">
        <f t="shared" si="74"/>
        <v>120.00000000000455</v>
      </c>
      <c r="BC22" s="58">
        <v>282.93</v>
      </c>
      <c r="BD22" s="65">
        <f t="shared" si="75"/>
        <v>90.000000000031832</v>
      </c>
      <c r="BE22" s="59">
        <v>54052</v>
      </c>
      <c r="BF22" s="67">
        <f t="shared" si="76"/>
        <v>58</v>
      </c>
      <c r="BG22" s="60">
        <v>251.2</v>
      </c>
      <c r="BH22" s="65">
        <f t="shared" si="77"/>
        <v>30.000000000001137</v>
      </c>
      <c r="BI22" s="60">
        <v>305.76</v>
      </c>
      <c r="BJ22" s="65">
        <f t="shared" si="78"/>
        <v>29.999999999972715</v>
      </c>
      <c r="BK22" s="60">
        <v>255.67</v>
      </c>
      <c r="BL22" s="65">
        <f t="shared" si="79"/>
        <v>30.000000000001137</v>
      </c>
      <c r="BM22" s="60">
        <v>241.04</v>
      </c>
      <c r="BN22" s="65">
        <f t="shared" si="80"/>
        <v>30.000000000001137</v>
      </c>
      <c r="BO22" s="60">
        <v>309.51</v>
      </c>
      <c r="BP22" s="65">
        <f t="shared" si="81"/>
        <v>39.99999999996362</v>
      </c>
      <c r="BQ22" s="60">
        <v>59269</v>
      </c>
      <c r="BR22" s="65">
        <f t="shared" si="82"/>
        <v>29</v>
      </c>
      <c r="BS22" s="60">
        <v>219.04</v>
      </c>
      <c r="BT22" s="65">
        <f t="shared" si="83"/>
        <v>39.999999999992042</v>
      </c>
      <c r="BU22" s="60">
        <v>57322</v>
      </c>
      <c r="BV22" s="65">
        <f t="shared" si="84"/>
        <v>36</v>
      </c>
      <c r="BW22" s="60">
        <v>247.12</v>
      </c>
      <c r="BX22" s="65">
        <f t="shared" si="85"/>
        <v>39.999999999992042</v>
      </c>
      <c r="BY22" s="60">
        <v>77369</v>
      </c>
      <c r="BZ22" s="67">
        <f t="shared" si="86"/>
        <v>40</v>
      </c>
      <c r="CA22" s="60">
        <v>53050.400000000001</v>
      </c>
      <c r="CB22" s="67">
        <f t="shared" si="87"/>
        <v>48.900000000001455</v>
      </c>
      <c r="CC22" s="60">
        <v>16733</v>
      </c>
      <c r="CD22" s="67">
        <f t="shared" si="88"/>
        <v>8.5</v>
      </c>
      <c r="CE22" s="60">
        <v>8507</v>
      </c>
      <c r="CF22" s="67">
        <f t="shared" si="89"/>
        <v>4.2999999999992724</v>
      </c>
      <c r="CG22" s="60">
        <v>78934</v>
      </c>
      <c r="CH22" s="67">
        <f t="shared" si="90"/>
        <v>51</v>
      </c>
      <c r="CI22" s="60">
        <v>1072269</v>
      </c>
      <c r="CJ22" s="67">
        <f t="shared" si="91"/>
        <v>281</v>
      </c>
      <c r="CK22" s="60">
        <v>1072</v>
      </c>
      <c r="CL22" s="64">
        <f t="shared" si="92"/>
        <v>1000</v>
      </c>
      <c r="CM22" s="65">
        <f t="shared" si="93"/>
        <v>130.5</v>
      </c>
      <c r="CN22" s="62">
        <v>33</v>
      </c>
      <c r="CO22" s="62">
        <v>63</v>
      </c>
      <c r="CP22" s="68">
        <v>38484</v>
      </c>
      <c r="CQ22" s="67">
        <f t="shared" si="94"/>
        <v>104</v>
      </c>
      <c r="CR22" s="68">
        <v>23382.5</v>
      </c>
      <c r="CS22" s="67">
        <f t="shared" si="95"/>
        <v>26.5</v>
      </c>
      <c r="CT22" s="75">
        <v>11149</v>
      </c>
      <c r="CU22" s="67">
        <f t="shared" si="96"/>
        <v>8</v>
      </c>
      <c r="CV22" s="68">
        <v>26394</v>
      </c>
      <c r="CW22" s="67">
        <f t="shared" si="97"/>
        <v>22</v>
      </c>
      <c r="CX22" s="58">
        <v>3986.4</v>
      </c>
      <c r="CY22" s="67">
        <f t="shared" si="98"/>
        <v>11.5</v>
      </c>
    </row>
    <row r="23" spans="1:103" ht="25.5" customHeight="1" thickBot="1" x14ac:dyDescent="0.45">
      <c r="A23" s="63">
        <v>44793</v>
      </c>
      <c r="B23" s="44"/>
      <c r="C23" s="58">
        <v>3.431</v>
      </c>
      <c r="D23" s="64">
        <f t="shared" si="50"/>
        <v>2200.0000000002019</v>
      </c>
      <c r="E23" s="58">
        <v>4.5919999999999996</v>
      </c>
      <c r="F23" s="64">
        <f t="shared" si="99"/>
        <v>3199.9999999996476</v>
      </c>
      <c r="G23" s="58">
        <v>4.5713999999999997</v>
      </c>
      <c r="H23" s="64">
        <f t="shared" si="51"/>
        <v>3400.0000000000696</v>
      </c>
      <c r="I23" s="58">
        <v>2.2818999999999998</v>
      </c>
      <c r="J23" s="64">
        <f t="shared" si="52"/>
        <v>1399.9999999998458</v>
      </c>
      <c r="K23" s="58">
        <v>3.5339999999999998</v>
      </c>
      <c r="L23" s="64">
        <f t="shared" si="53"/>
        <v>2399.9999999997358</v>
      </c>
      <c r="M23" s="58">
        <v>2.0756000000000001</v>
      </c>
      <c r="N23" s="64">
        <f t="shared" si="54"/>
        <v>1700.0000000000348</v>
      </c>
      <c r="O23" s="58">
        <v>23062</v>
      </c>
      <c r="P23" s="67">
        <f t="shared" si="55"/>
        <v>12</v>
      </c>
      <c r="Q23" s="58">
        <v>2827</v>
      </c>
      <c r="R23" s="67">
        <f t="shared" si="56"/>
        <v>4</v>
      </c>
      <c r="S23" s="58">
        <v>1461.4</v>
      </c>
      <c r="T23" s="67">
        <f t="shared" si="57"/>
        <v>1.5</v>
      </c>
      <c r="U23" s="58">
        <v>585772.69999999995</v>
      </c>
      <c r="V23" s="67">
        <f t="shared" si="58"/>
        <v>463.89999999990687</v>
      </c>
      <c r="W23" s="58">
        <v>537.80999999999995</v>
      </c>
      <c r="X23" s="65">
        <f t="shared" si="59"/>
        <v>329.99999999992724</v>
      </c>
      <c r="Y23" s="58">
        <v>4.0442999999999998</v>
      </c>
      <c r="Z23" s="65">
        <f t="shared" si="60"/>
        <v>3000.0000000001137</v>
      </c>
      <c r="AA23" s="58">
        <v>545.39</v>
      </c>
      <c r="AB23" s="65">
        <f t="shared" si="61"/>
        <v>379.99999999999545</v>
      </c>
      <c r="AC23" s="58">
        <v>538.48</v>
      </c>
      <c r="AD23" s="65">
        <f t="shared" si="62"/>
        <v>320.00000000005002</v>
      </c>
      <c r="AE23" s="58">
        <v>823.92</v>
      </c>
      <c r="AF23" s="65">
        <f t="shared" si="63"/>
        <v>889.99999999998636</v>
      </c>
      <c r="AG23" s="58">
        <v>20258</v>
      </c>
      <c r="AH23" s="67">
        <f t="shared" si="64"/>
        <v>42</v>
      </c>
      <c r="AI23" s="58">
        <v>914.34</v>
      </c>
      <c r="AJ23" s="65">
        <f t="shared" si="65"/>
        <v>639.99999999998636</v>
      </c>
      <c r="AK23" s="58">
        <v>304.18</v>
      </c>
      <c r="AL23" s="65">
        <f t="shared" si="66"/>
        <v>230.00000000001819</v>
      </c>
      <c r="AM23" s="58">
        <v>282.58</v>
      </c>
      <c r="AN23" s="65">
        <f t="shared" si="67"/>
        <v>250</v>
      </c>
      <c r="AO23" s="58">
        <v>272.08</v>
      </c>
      <c r="AP23" s="65">
        <f t="shared" si="68"/>
        <v>209.99999999997954</v>
      </c>
      <c r="AQ23" s="58">
        <v>326.67</v>
      </c>
      <c r="AR23" s="65">
        <f t="shared" si="69"/>
        <v>150.00000000003411</v>
      </c>
      <c r="AS23" s="58">
        <v>452.38</v>
      </c>
      <c r="AT23" s="65">
        <f t="shared" si="70"/>
        <v>139.99999999998636</v>
      </c>
      <c r="AU23" s="58">
        <v>360.04</v>
      </c>
      <c r="AV23" s="65">
        <f t="shared" si="71"/>
        <v>150.00000000003411</v>
      </c>
      <c r="AW23" s="58">
        <v>389.02</v>
      </c>
      <c r="AX23" s="65">
        <f t="shared" si="72"/>
        <v>139.99999999998636</v>
      </c>
      <c r="AY23" s="58">
        <v>423.94</v>
      </c>
      <c r="AZ23" s="65">
        <f t="shared" si="73"/>
        <v>180.00000000000682</v>
      </c>
      <c r="BA23" s="58">
        <v>441.57</v>
      </c>
      <c r="BB23" s="65">
        <f t="shared" si="74"/>
        <v>209.99999999997954</v>
      </c>
      <c r="BC23" s="58">
        <v>283.02999999999997</v>
      </c>
      <c r="BD23" s="65">
        <f t="shared" si="75"/>
        <v>99.999999999965894</v>
      </c>
      <c r="BE23" s="59">
        <v>54082</v>
      </c>
      <c r="BF23" s="67">
        <f t="shared" si="76"/>
        <v>30</v>
      </c>
      <c r="BG23" s="60">
        <v>251.22</v>
      </c>
      <c r="BH23" s="65">
        <f t="shared" si="77"/>
        <v>20.000000000010232</v>
      </c>
      <c r="BI23" s="60">
        <v>305.79000000000002</v>
      </c>
      <c r="BJ23" s="65">
        <f t="shared" si="78"/>
        <v>30.000000000029559</v>
      </c>
      <c r="BK23" s="60">
        <v>255.71</v>
      </c>
      <c r="BL23" s="65">
        <f t="shared" si="79"/>
        <v>40.000000000020464</v>
      </c>
      <c r="BM23" s="60">
        <v>241.07</v>
      </c>
      <c r="BN23" s="65">
        <f t="shared" si="80"/>
        <v>30.000000000001137</v>
      </c>
      <c r="BO23" s="60">
        <v>309.55</v>
      </c>
      <c r="BP23" s="65">
        <f t="shared" si="81"/>
        <v>40.000000000020464</v>
      </c>
      <c r="BQ23" s="60">
        <v>59297</v>
      </c>
      <c r="BR23" s="65">
        <f t="shared" si="82"/>
        <v>28</v>
      </c>
      <c r="BS23" s="60">
        <v>219.07</v>
      </c>
      <c r="BT23" s="65">
        <f t="shared" si="83"/>
        <v>30.000000000001137</v>
      </c>
      <c r="BU23" s="60">
        <v>57355</v>
      </c>
      <c r="BV23" s="65">
        <f t="shared" si="84"/>
        <v>33</v>
      </c>
      <c r="BW23" s="60">
        <v>247.16</v>
      </c>
      <c r="BX23" s="65">
        <f t="shared" si="85"/>
        <v>39.999999999992042</v>
      </c>
      <c r="BY23" s="60">
        <v>77408</v>
      </c>
      <c r="BZ23" s="67">
        <f t="shared" si="86"/>
        <v>39</v>
      </c>
      <c r="CA23" s="60">
        <v>53106.8</v>
      </c>
      <c r="CB23" s="67">
        <f t="shared" si="87"/>
        <v>56.400000000001455</v>
      </c>
      <c r="CC23" s="60">
        <v>16744.5</v>
      </c>
      <c r="CD23" s="67">
        <f t="shared" si="88"/>
        <v>11.5</v>
      </c>
      <c r="CE23" s="60">
        <v>8512.9</v>
      </c>
      <c r="CF23" s="67">
        <f t="shared" si="89"/>
        <v>5.8999999999996362</v>
      </c>
      <c r="CG23" s="60">
        <v>78983.199999999997</v>
      </c>
      <c r="CH23" s="67">
        <f t="shared" si="90"/>
        <v>49.19999999999709</v>
      </c>
      <c r="CI23" s="60">
        <v>1072550</v>
      </c>
      <c r="CJ23" s="67">
        <f t="shared" si="91"/>
        <v>281</v>
      </c>
      <c r="CK23" s="60">
        <v>1073</v>
      </c>
      <c r="CL23" s="64">
        <f t="shared" si="92"/>
        <v>1000</v>
      </c>
      <c r="CM23" s="65">
        <f>CQ23+CS23</f>
        <v>101.5</v>
      </c>
      <c r="CN23" s="62">
        <v>30</v>
      </c>
      <c r="CO23" s="62">
        <v>57</v>
      </c>
      <c r="CP23" s="68">
        <v>38559</v>
      </c>
      <c r="CQ23" s="67">
        <f t="shared" si="94"/>
        <v>75</v>
      </c>
      <c r="CR23" s="68">
        <v>23409</v>
      </c>
      <c r="CS23" s="67">
        <f t="shared" si="95"/>
        <v>26.5</v>
      </c>
      <c r="CT23" s="75">
        <v>11159</v>
      </c>
      <c r="CU23" s="67">
        <f t="shared" si="96"/>
        <v>10</v>
      </c>
      <c r="CV23" s="68">
        <v>26416</v>
      </c>
      <c r="CW23" s="67">
        <f t="shared" si="97"/>
        <v>22</v>
      </c>
      <c r="CX23" s="58">
        <v>3998</v>
      </c>
      <c r="CY23" s="67">
        <f t="shared" si="98"/>
        <v>11.599999999999909</v>
      </c>
    </row>
    <row r="24" spans="1:103" ht="25.5" customHeight="1" thickBot="1" x14ac:dyDescent="0.45">
      <c r="A24" s="63">
        <v>44794</v>
      </c>
      <c r="B24" s="44"/>
      <c r="C24" s="58">
        <v>3.4340000000000002</v>
      </c>
      <c r="D24" s="64">
        <f t="shared" si="50"/>
        <v>3000.0000000001137</v>
      </c>
      <c r="E24" s="58">
        <v>4.5952000000000002</v>
      </c>
      <c r="F24" s="64">
        <f t="shared" si="99"/>
        <v>3200.0000000005357</v>
      </c>
      <c r="G24" s="58">
        <v>4.5747</v>
      </c>
      <c r="H24" s="64">
        <f t="shared" si="51"/>
        <v>3300.0000000003029</v>
      </c>
      <c r="I24" s="58">
        <v>2.2833000000000001</v>
      </c>
      <c r="J24" s="64">
        <f t="shared" si="52"/>
        <v>1400.0000000002899</v>
      </c>
      <c r="K24" s="58">
        <v>3.536</v>
      </c>
      <c r="L24" s="64">
        <f t="shared" si="53"/>
        <v>2000.0000000002237</v>
      </c>
      <c r="M24" s="58">
        <v>2.0771999999999999</v>
      </c>
      <c r="N24" s="64">
        <f t="shared" si="54"/>
        <v>1599.9999999998238</v>
      </c>
      <c r="O24" s="58">
        <v>23093</v>
      </c>
      <c r="P24" s="67">
        <f t="shared" si="55"/>
        <v>31</v>
      </c>
      <c r="Q24" s="58">
        <v>2829</v>
      </c>
      <c r="R24" s="67">
        <f t="shared" si="56"/>
        <v>2</v>
      </c>
      <c r="S24" s="58">
        <v>1462.7</v>
      </c>
      <c r="T24" s="67">
        <f t="shared" si="57"/>
        <v>1.2999999999999545</v>
      </c>
      <c r="U24" s="58">
        <v>586109.9</v>
      </c>
      <c r="V24" s="67">
        <f t="shared" si="58"/>
        <v>337.20000000006985</v>
      </c>
      <c r="W24" s="58">
        <v>538.08000000000004</v>
      </c>
      <c r="X24" s="65">
        <f t="shared" si="59"/>
        <v>270.0000000000955</v>
      </c>
      <c r="Y24" s="58">
        <v>4.0469999999999997</v>
      </c>
      <c r="Z24" s="65">
        <f t="shared" si="60"/>
        <v>2699.9999999999245</v>
      </c>
      <c r="AA24" s="58">
        <v>545.72</v>
      </c>
      <c r="AB24" s="65">
        <f t="shared" si="61"/>
        <v>330.00000000004093</v>
      </c>
      <c r="AC24" s="58">
        <v>538.77</v>
      </c>
      <c r="AD24" s="65">
        <f t="shared" si="62"/>
        <v>289.99999999996362</v>
      </c>
      <c r="AE24" s="58">
        <v>824.79</v>
      </c>
      <c r="AF24" s="65">
        <f t="shared" si="63"/>
        <v>870.00000000000455</v>
      </c>
      <c r="AG24" s="58">
        <v>20294</v>
      </c>
      <c r="AH24" s="67">
        <f t="shared" si="64"/>
        <v>36</v>
      </c>
      <c r="AI24" s="58">
        <v>914.85</v>
      </c>
      <c r="AJ24" s="65">
        <f t="shared" si="65"/>
        <v>509.99999999999091</v>
      </c>
      <c r="AK24" s="58">
        <v>304.36</v>
      </c>
      <c r="AL24" s="65">
        <f t="shared" si="66"/>
        <v>180.00000000000682</v>
      </c>
      <c r="AM24" s="58">
        <v>282.76</v>
      </c>
      <c r="AN24" s="65">
        <f t="shared" si="67"/>
        <v>180.00000000000682</v>
      </c>
      <c r="AO24" s="58">
        <v>272.26</v>
      </c>
      <c r="AP24" s="65">
        <f t="shared" si="68"/>
        <v>180.00000000000682</v>
      </c>
      <c r="AQ24" s="58">
        <v>326.8</v>
      </c>
      <c r="AR24" s="65">
        <f t="shared" si="69"/>
        <v>129.99999999999545</v>
      </c>
      <c r="AS24" s="58">
        <v>452.5</v>
      </c>
      <c r="AT24" s="65">
        <f t="shared" si="70"/>
        <v>120.00000000000455</v>
      </c>
      <c r="AU24" s="58">
        <v>360.16</v>
      </c>
      <c r="AV24" s="65">
        <f t="shared" si="71"/>
        <v>120.00000000000455</v>
      </c>
      <c r="AW24" s="58">
        <v>389.13</v>
      </c>
      <c r="AX24" s="65">
        <f t="shared" si="72"/>
        <v>110.00000000001364</v>
      </c>
      <c r="AY24" s="58">
        <v>424.08</v>
      </c>
      <c r="AZ24" s="65">
        <f t="shared" si="73"/>
        <v>139.99999999998636</v>
      </c>
      <c r="BA24" s="58">
        <v>441.72</v>
      </c>
      <c r="BB24" s="65">
        <f t="shared" si="74"/>
        <v>150.00000000003411</v>
      </c>
      <c r="BC24" s="58">
        <v>283.12</v>
      </c>
      <c r="BD24" s="65">
        <f t="shared" si="75"/>
        <v>90.000000000031832</v>
      </c>
      <c r="BE24" s="59">
        <v>54099</v>
      </c>
      <c r="BF24" s="67">
        <f t="shared" si="76"/>
        <v>17</v>
      </c>
      <c r="BG24" s="60">
        <v>251.26</v>
      </c>
      <c r="BH24" s="65">
        <f t="shared" si="77"/>
        <v>39.999999999992042</v>
      </c>
      <c r="BI24" s="60">
        <v>305.82</v>
      </c>
      <c r="BJ24" s="65">
        <f t="shared" si="78"/>
        <v>29.999999999972715</v>
      </c>
      <c r="BK24" s="60">
        <v>255.74</v>
      </c>
      <c r="BL24" s="65">
        <f t="shared" si="79"/>
        <v>30.000000000001137</v>
      </c>
      <c r="BM24" s="60">
        <v>241.11</v>
      </c>
      <c r="BN24" s="65">
        <f t="shared" si="80"/>
        <v>40.000000000020464</v>
      </c>
      <c r="BO24" s="60">
        <v>309.60000000000002</v>
      </c>
      <c r="BP24" s="65">
        <f t="shared" si="81"/>
        <v>50.000000000011369</v>
      </c>
      <c r="BQ24" s="60">
        <v>59333</v>
      </c>
      <c r="BR24" s="65">
        <f t="shared" si="82"/>
        <v>36</v>
      </c>
      <c r="BS24" s="60">
        <v>219.12</v>
      </c>
      <c r="BT24" s="65">
        <f t="shared" si="83"/>
        <v>50.000000000011369</v>
      </c>
      <c r="BU24" s="60">
        <v>57390</v>
      </c>
      <c r="BV24" s="65">
        <f t="shared" si="84"/>
        <v>35</v>
      </c>
      <c r="BW24" s="60">
        <v>247.2</v>
      </c>
      <c r="BX24" s="65">
        <f t="shared" si="85"/>
        <v>39.999999999992042</v>
      </c>
      <c r="BY24" s="60">
        <v>77451</v>
      </c>
      <c r="BZ24" s="67">
        <f t="shared" si="86"/>
        <v>43</v>
      </c>
      <c r="CA24" s="60">
        <v>53160.3</v>
      </c>
      <c r="CB24" s="67">
        <f t="shared" si="87"/>
        <v>53.5</v>
      </c>
      <c r="CC24" s="60">
        <v>16751.400000000001</v>
      </c>
      <c r="CD24" s="67">
        <f t="shared" si="88"/>
        <v>6.9000000000014552</v>
      </c>
      <c r="CE24" s="60">
        <v>8515.7999999999993</v>
      </c>
      <c r="CF24" s="67">
        <f t="shared" si="89"/>
        <v>2.8999999999996362</v>
      </c>
      <c r="CG24" s="60">
        <v>79036</v>
      </c>
      <c r="CH24" s="67">
        <f t="shared" si="90"/>
        <v>52.80000000000291</v>
      </c>
      <c r="CI24" s="60">
        <v>1072831</v>
      </c>
      <c r="CJ24" s="67">
        <f t="shared" si="91"/>
        <v>281</v>
      </c>
      <c r="CK24" s="60">
        <v>1074</v>
      </c>
      <c r="CL24" s="64">
        <f t="shared" si="92"/>
        <v>1000</v>
      </c>
      <c r="CM24" s="65">
        <f t="shared" si="93"/>
        <v>108.20000000000073</v>
      </c>
      <c r="CN24" s="62">
        <v>30</v>
      </c>
      <c r="CO24" s="62">
        <v>57</v>
      </c>
      <c r="CP24" s="68">
        <v>38650</v>
      </c>
      <c r="CQ24" s="67">
        <f t="shared" si="94"/>
        <v>91</v>
      </c>
      <c r="CR24" s="68">
        <v>23426.2</v>
      </c>
      <c r="CS24" s="67">
        <f t="shared" si="95"/>
        <v>17.200000000000728</v>
      </c>
      <c r="CT24" s="75">
        <v>11168</v>
      </c>
      <c r="CU24" s="67">
        <f t="shared" si="96"/>
        <v>9</v>
      </c>
      <c r="CV24" s="68">
        <v>26434</v>
      </c>
      <c r="CW24" s="67">
        <f t="shared" si="97"/>
        <v>18</v>
      </c>
      <c r="CX24" s="58">
        <v>4009.8</v>
      </c>
      <c r="CY24" s="67">
        <f t="shared" si="98"/>
        <v>11.800000000000182</v>
      </c>
    </row>
    <row r="25" spans="1:103" ht="25.5" customHeight="1" thickBot="1" x14ac:dyDescent="0.45">
      <c r="A25" s="63">
        <v>44795</v>
      </c>
      <c r="B25" s="44"/>
      <c r="C25" s="58">
        <v>3.4359999999999999</v>
      </c>
      <c r="D25" s="64">
        <f t="shared" si="50"/>
        <v>1999.9999999997797</v>
      </c>
      <c r="E25" s="58">
        <v>4.5982000000000003</v>
      </c>
      <c r="F25" s="64">
        <f t="shared" si="99"/>
        <v>3000.0000000001137</v>
      </c>
      <c r="G25" s="58">
        <v>4.5776000000000003</v>
      </c>
      <c r="H25" s="64">
        <f t="shared" si="51"/>
        <v>2900.0000000003465</v>
      </c>
      <c r="I25" s="58">
        <v>2.2848000000000002</v>
      </c>
      <c r="J25" s="64">
        <f t="shared" si="52"/>
        <v>1500.0000000000568</v>
      </c>
      <c r="K25" s="58">
        <v>3.5379999999999998</v>
      </c>
      <c r="L25" s="64">
        <f t="shared" si="53"/>
        <v>1999.9999999997797</v>
      </c>
      <c r="M25" s="58">
        <v>2.0788000000000002</v>
      </c>
      <c r="N25" s="64">
        <f t="shared" si="54"/>
        <v>1600.0000000002678</v>
      </c>
      <c r="O25" s="58">
        <v>23129</v>
      </c>
      <c r="P25" s="67">
        <f t="shared" si="55"/>
        <v>36</v>
      </c>
      <c r="Q25" s="58">
        <v>2833</v>
      </c>
      <c r="R25" s="67">
        <f t="shared" si="56"/>
        <v>4</v>
      </c>
      <c r="S25" s="58">
        <v>1463.9</v>
      </c>
      <c r="T25" s="67">
        <f t="shared" si="57"/>
        <v>1.2000000000000455</v>
      </c>
      <c r="U25" s="58">
        <v>586544.5</v>
      </c>
      <c r="V25" s="67">
        <f t="shared" si="58"/>
        <v>434.59999999997672</v>
      </c>
      <c r="W25" s="58">
        <v>538.42999999999995</v>
      </c>
      <c r="X25" s="65">
        <f t="shared" si="59"/>
        <v>349.99999999990905</v>
      </c>
      <c r="Y25" s="58">
        <v>4.0499000000000001</v>
      </c>
      <c r="Z25" s="65">
        <f t="shared" si="60"/>
        <v>2900.0000000003465</v>
      </c>
      <c r="AA25" s="58">
        <v>546.09</v>
      </c>
      <c r="AB25" s="65">
        <f t="shared" si="61"/>
        <v>370.00000000000455</v>
      </c>
      <c r="AC25" s="58">
        <v>539.1</v>
      </c>
      <c r="AD25" s="65">
        <f t="shared" si="62"/>
        <v>330.00000000004093</v>
      </c>
      <c r="AE25" s="58">
        <v>825.67</v>
      </c>
      <c r="AF25" s="65">
        <f t="shared" si="63"/>
        <v>879.99999999999545</v>
      </c>
      <c r="AG25" s="58">
        <v>20336</v>
      </c>
      <c r="AH25" s="67">
        <f t="shared" si="64"/>
        <v>42</v>
      </c>
      <c r="AI25" s="58">
        <v>915.49</v>
      </c>
      <c r="AJ25" s="65">
        <f t="shared" si="65"/>
        <v>639.99999999998636</v>
      </c>
      <c r="AK25" s="58">
        <v>304.56</v>
      </c>
      <c r="AL25" s="65">
        <f t="shared" si="66"/>
        <v>199.99999999998863</v>
      </c>
      <c r="AM25" s="58">
        <v>282.93</v>
      </c>
      <c r="AN25" s="65">
        <f t="shared" si="67"/>
        <v>170.00000000001592</v>
      </c>
      <c r="AO25" s="58">
        <v>272.47000000000003</v>
      </c>
      <c r="AP25" s="65">
        <f t="shared" si="68"/>
        <v>210.00000000003638</v>
      </c>
      <c r="AQ25" s="58">
        <v>326.95999999999998</v>
      </c>
      <c r="AR25" s="65">
        <f t="shared" si="69"/>
        <v>159.99999999996817</v>
      </c>
      <c r="AS25" s="58">
        <v>452.64</v>
      </c>
      <c r="AT25" s="65">
        <f t="shared" si="70"/>
        <v>139.99999999998636</v>
      </c>
      <c r="AU25" s="58">
        <v>360.28</v>
      </c>
      <c r="AV25" s="65">
        <f t="shared" si="71"/>
        <v>119.9999999999477</v>
      </c>
      <c r="AW25" s="58">
        <v>389.23</v>
      </c>
      <c r="AX25" s="65">
        <f t="shared" si="72"/>
        <v>100.00000000002274</v>
      </c>
      <c r="AY25" s="58">
        <v>424.31</v>
      </c>
      <c r="AZ25" s="65">
        <f t="shared" si="73"/>
        <v>230.00000000001819</v>
      </c>
      <c r="BA25" s="58">
        <v>441.88</v>
      </c>
      <c r="BB25" s="65">
        <f t="shared" si="74"/>
        <v>159.99999999996817</v>
      </c>
      <c r="BC25" s="58">
        <v>283.20999999999998</v>
      </c>
      <c r="BD25" s="65">
        <f t="shared" si="75"/>
        <v>89.999999999974989</v>
      </c>
      <c r="BE25" s="59">
        <v>54175</v>
      </c>
      <c r="BF25" s="67">
        <f t="shared" si="76"/>
        <v>76</v>
      </c>
      <c r="BG25" s="60">
        <v>251.29</v>
      </c>
      <c r="BH25" s="65">
        <f t="shared" si="77"/>
        <v>30.000000000001137</v>
      </c>
      <c r="BI25" s="60">
        <v>305.85000000000002</v>
      </c>
      <c r="BJ25" s="65">
        <f t="shared" si="78"/>
        <v>30.000000000029559</v>
      </c>
      <c r="BK25" s="60">
        <v>255.78</v>
      </c>
      <c r="BL25" s="65">
        <f t="shared" si="79"/>
        <v>39.999999999992042</v>
      </c>
      <c r="BM25" s="60">
        <v>241.14</v>
      </c>
      <c r="BN25" s="65">
        <f t="shared" si="80"/>
        <v>29.999999999972715</v>
      </c>
      <c r="BO25" s="60">
        <v>309.64</v>
      </c>
      <c r="BP25" s="65">
        <f t="shared" si="81"/>
        <v>39.99999999996362</v>
      </c>
      <c r="BQ25" s="60">
        <v>59365</v>
      </c>
      <c r="BR25" s="65">
        <f t="shared" si="82"/>
        <v>32</v>
      </c>
      <c r="BS25" s="60">
        <v>219.16</v>
      </c>
      <c r="BT25" s="65">
        <f t="shared" si="83"/>
        <v>39.999999999992042</v>
      </c>
      <c r="BU25" s="60">
        <v>57422</v>
      </c>
      <c r="BV25" s="65">
        <f t="shared" si="84"/>
        <v>32</v>
      </c>
      <c r="BW25" s="60">
        <v>247.24</v>
      </c>
      <c r="BX25" s="65">
        <f t="shared" si="85"/>
        <v>40.000000000020464</v>
      </c>
      <c r="BY25" s="60">
        <v>77488</v>
      </c>
      <c r="BZ25" s="67">
        <f t="shared" si="86"/>
        <v>37</v>
      </c>
      <c r="CA25" s="60">
        <v>53229.8</v>
      </c>
      <c r="CB25" s="67">
        <f t="shared" si="87"/>
        <v>69.5</v>
      </c>
      <c r="CC25" s="60">
        <v>16762.5</v>
      </c>
      <c r="CD25" s="67">
        <f t="shared" si="88"/>
        <v>11.099999999998545</v>
      </c>
      <c r="CE25" s="60">
        <v>8517.7999999999993</v>
      </c>
      <c r="CF25" s="67">
        <f t="shared" si="89"/>
        <v>2</v>
      </c>
      <c r="CG25" s="60">
        <v>79083.3</v>
      </c>
      <c r="CH25" s="67">
        <f t="shared" si="90"/>
        <v>47.30000000000291</v>
      </c>
      <c r="CI25" s="60">
        <v>1073126</v>
      </c>
      <c r="CJ25" s="67">
        <f t="shared" si="91"/>
        <v>295</v>
      </c>
      <c r="CK25" s="60">
        <v>1075</v>
      </c>
      <c r="CL25" s="64">
        <f t="shared" si="92"/>
        <v>1000</v>
      </c>
      <c r="CM25" s="65">
        <f t="shared" si="93"/>
        <v>128.79999999999927</v>
      </c>
      <c r="CN25" s="62">
        <v>30</v>
      </c>
      <c r="CO25" s="62">
        <v>57</v>
      </c>
      <c r="CP25" s="68">
        <v>38755</v>
      </c>
      <c r="CQ25" s="67">
        <f t="shared" si="94"/>
        <v>105</v>
      </c>
      <c r="CR25" s="68">
        <v>23450</v>
      </c>
      <c r="CS25" s="67">
        <f t="shared" si="95"/>
        <v>23.799999999999272</v>
      </c>
      <c r="CT25" s="75">
        <v>11180</v>
      </c>
      <c r="CU25" s="67">
        <f t="shared" si="96"/>
        <v>12</v>
      </c>
      <c r="CV25" s="68">
        <v>26464</v>
      </c>
      <c r="CW25" s="67">
        <f t="shared" si="97"/>
        <v>30</v>
      </c>
      <c r="CX25" s="58">
        <v>4021.5</v>
      </c>
      <c r="CY25" s="67">
        <f t="shared" si="98"/>
        <v>11.699999999999818</v>
      </c>
    </row>
    <row r="26" spans="1:103" ht="25.5" customHeight="1" thickBot="1" x14ac:dyDescent="0.45">
      <c r="A26" s="63">
        <v>44796</v>
      </c>
      <c r="B26" s="44"/>
      <c r="C26" s="58"/>
      <c r="D26" s="64" t="str">
        <f t="shared" si="50"/>
        <v>0</v>
      </c>
      <c r="E26" s="58"/>
      <c r="F26" s="64" t="str">
        <f t="shared" si="99"/>
        <v>0</v>
      </c>
      <c r="G26" s="58"/>
      <c r="H26" s="64" t="str">
        <f t="shared" si="51"/>
        <v>0</v>
      </c>
      <c r="I26" s="58"/>
      <c r="J26" s="64" t="str">
        <f t="shared" si="52"/>
        <v>0</v>
      </c>
      <c r="K26" s="58"/>
      <c r="L26" s="64" t="str">
        <f t="shared" si="53"/>
        <v>0</v>
      </c>
      <c r="M26" s="58"/>
      <c r="N26" s="64" t="str">
        <f t="shared" si="54"/>
        <v/>
      </c>
      <c r="O26" s="58"/>
      <c r="P26" s="67" t="str">
        <f t="shared" si="55"/>
        <v/>
      </c>
      <c r="Q26" s="58"/>
      <c r="R26" s="67" t="str">
        <f t="shared" si="56"/>
        <v/>
      </c>
      <c r="S26" s="58"/>
      <c r="T26" s="67" t="str">
        <f t="shared" si="57"/>
        <v/>
      </c>
      <c r="U26" s="58"/>
      <c r="V26" s="67" t="str">
        <f t="shared" si="58"/>
        <v/>
      </c>
      <c r="W26" s="58"/>
      <c r="X26" s="65" t="str">
        <f t="shared" si="59"/>
        <v/>
      </c>
      <c r="Y26" s="58"/>
      <c r="Z26" s="65" t="str">
        <f t="shared" si="60"/>
        <v/>
      </c>
      <c r="AA26" s="58"/>
      <c r="AB26" s="65" t="str">
        <f t="shared" si="61"/>
        <v/>
      </c>
      <c r="AC26" s="58"/>
      <c r="AD26" s="65" t="str">
        <f t="shared" si="62"/>
        <v/>
      </c>
      <c r="AE26" s="58"/>
      <c r="AF26" s="65" t="str">
        <f t="shared" si="63"/>
        <v/>
      </c>
      <c r="AG26" s="58"/>
      <c r="AH26" s="67" t="str">
        <f t="shared" si="64"/>
        <v/>
      </c>
      <c r="AI26" s="58"/>
      <c r="AJ26" s="65" t="str">
        <f t="shared" si="65"/>
        <v/>
      </c>
      <c r="AK26" s="58"/>
      <c r="AL26" s="65" t="str">
        <f t="shared" si="66"/>
        <v/>
      </c>
      <c r="AM26" s="58"/>
      <c r="AN26" s="65" t="str">
        <f t="shared" si="67"/>
        <v/>
      </c>
      <c r="AO26" s="58"/>
      <c r="AP26" s="65" t="str">
        <f t="shared" si="68"/>
        <v/>
      </c>
      <c r="AQ26" s="58"/>
      <c r="AR26" s="65" t="str">
        <f t="shared" si="69"/>
        <v/>
      </c>
      <c r="AS26" s="58"/>
      <c r="AT26" s="65" t="str">
        <f t="shared" si="70"/>
        <v/>
      </c>
      <c r="AU26" s="58"/>
      <c r="AV26" s="65" t="str">
        <f t="shared" si="71"/>
        <v/>
      </c>
      <c r="AW26" s="58"/>
      <c r="AX26" s="65" t="str">
        <f t="shared" si="72"/>
        <v/>
      </c>
      <c r="AY26" s="58"/>
      <c r="AZ26" s="65" t="str">
        <f t="shared" si="73"/>
        <v/>
      </c>
      <c r="BA26" s="58"/>
      <c r="BB26" s="65" t="str">
        <f t="shared" si="74"/>
        <v/>
      </c>
      <c r="BC26" s="58"/>
      <c r="BD26" s="65" t="str">
        <f t="shared" si="75"/>
        <v/>
      </c>
      <c r="BE26" s="59"/>
      <c r="BF26" s="67" t="str">
        <f t="shared" si="76"/>
        <v/>
      </c>
      <c r="BG26" s="60"/>
      <c r="BH26" s="65" t="str">
        <f t="shared" si="77"/>
        <v/>
      </c>
      <c r="BI26" s="60"/>
      <c r="BJ26" s="65" t="str">
        <f t="shared" si="78"/>
        <v/>
      </c>
      <c r="BK26" s="60"/>
      <c r="BL26" s="65" t="str">
        <f t="shared" si="79"/>
        <v/>
      </c>
      <c r="BM26" s="60"/>
      <c r="BN26" s="65" t="str">
        <f t="shared" si="80"/>
        <v/>
      </c>
      <c r="BO26" s="60"/>
      <c r="BP26" s="65" t="str">
        <f t="shared" si="81"/>
        <v/>
      </c>
      <c r="BQ26" s="60"/>
      <c r="BR26" s="65" t="str">
        <f t="shared" si="82"/>
        <v/>
      </c>
      <c r="BS26" s="60"/>
      <c r="BT26" s="65" t="str">
        <f t="shared" si="83"/>
        <v/>
      </c>
      <c r="BU26" s="60"/>
      <c r="BV26" s="65" t="str">
        <f t="shared" si="84"/>
        <v/>
      </c>
      <c r="BW26" s="60"/>
      <c r="BX26" s="65" t="str">
        <f t="shared" si="85"/>
        <v/>
      </c>
      <c r="BY26" s="60"/>
      <c r="BZ26" s="67" t="str">
        <f t="shared" si="86"/>
        <v/>
      </c>
      <c r="CA26" s="60"/>
      <c r="CB26" s="67" t="str">
        <f t="shared" si="87"/>
        <v/>
      </c>
      <c r="CC26" s="60"/>
      <c r="CD26" s="67" t="str">
        <f t="shared" si="88"/>
        <v/>
      </c>
      <c r="CE26" s="60"/>
      <c r="CF26" s="67" t="str">
        <f t="shared" si="89"/>
        <v/>
      </c>
      <c r="CG26" s="60"/>
      <c r="CH26" s="67" t="str">
        <f t="shared" si="90"/>
        <v/>
      </c>
      <c r="CI26" s="60"/>
      <c r="CJ26" s="67" t="str">
        <f t="shared" si="91"/>
        <v/>
      </c>
      <c r="CK26" s="60"/>
      <c r="CL26" s="64" t="str">
        <f t="shared" si="92"/>
        <v/>
      </c>
      <c r="CM26" s="65" t="e">
        <f t="shared" si="93"/>
        <v>#VALUE!</v>
      </c>
      <c r="CN26" s="62">
        <v>32</v>
      </c>
      <c r="CO26" s="62">
        <v>81</v>
      </c>
      <c r="CP26" s="68"/>
      <c r="CQ26" s="67" t="str">
        <f t="shared" si="94"/>
        <v/>
      </c>
      <c r="CR26" s="68"/>
      <c r="CS26" s="67" t="str">
        <f t="shared" si="95"/>
        <v/>
      </c>
      <c r="CT26" s="75"/>
      <c r="CU26" s="67" t="str">
        <f t="shared" si="96"/>
        <v/>
      </c>
      <c r="CV26" s="68"/>
      <c r="CW26" s="67" t="str">
        <f t="shared" si="97"/>
        <v/>
      </c>
      <c r="CX26" s="58"/>
      <c r="CY26" s="67" t="str">
        <f t="shared" si="98"/>
        <v/>
      </c>
    </row>
    <row r="27" spans="1:103" ht="25.5" customHeight="1" thickBot="1" x14ac:dyDescent="0.45">
      <c r="A27" s="63">
        <v>44797</v>
      </c>
      <c r="B27" s="44"/>
      <c r="C27" s="58"/>
      <c r="D27" s="64">
        <f t="shared" si="50"/>
        <v>0</v>
      </c>
      <c r="E27" s="58"/>
      <c r="F27" s="64">
        <f t="shared" si="99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44798</v>
      </c>
      <c r="B28" s="44"/>
      <c r="C28" s="58"/>
      <c r="D28" s="64">
        <f t="shared" si="50"/>
        <v>0</v>
      </c>
      <c r="E28" s="58"/>
      <c r="F28" s="64">
        <f t="shared" si="99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7" zoomScaleNormal="100" workbookViewId="0">
      <selection activeCell="D30" sqref="D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>
        <v>0</v>
      </c>
      <c r="C23" s="40">
        <v>32</v>
      </c>
      <c r="D23" s="40">
        <v>83</v>
      </c>
      <c r="E23" s="41">
        <v>0</v>
      </c>
      <c r="F23" s="41">
        <v>6834</v>
      </c>
      <c r="G23" s="41">
        <v>20</v>
      </c>
      <c r="H23" s="41">
        <v>2212</v>
      </c>
      <c r="I23" s="41">
        <v>84</v>
      </c>
      <c r="J23" s="41">
        <v>899</v>
      </c>
      <c r="K23" s="42">
        <v>0</v>
      </c>
      <c r="L23" s="42">
        <v>55</v>
      </c>
      <c r="M23" s="42">
        <v>1881</v>
      </c>
      <c r="N23" s="39">
        <v>39</v>
      </c>
      <c r="O23" s="39">
        <v>80</v>
      </c>
      <c r="P23" s="39">
        <v>80</v>
      </c>
      <c r="Q23" s="39">
        <v>5315</v>
      </c>
      <c r="R23" s="77">
        <v>65</v>
      </c>
      <c r="S23" s="77">
        <v>231</v>
      </c>
      <c r="T23">
        <f t="shared" si="1"/>
        <v>0</v>
      </c>
    </row>
    <row r="24" spans="1:20" x14ac:dyDescent="0.25">
      <c r="A24" s="73">
        <v>44790</v>
      </c>
      <c r="B24" s="40">
        <v>0</v>
      </c>
      <c r="C24" s="40">
        <v>32</v>
      </c>
      <c r="D24" s="40">
        <v>83</v>
      </c>
      <c r="E24" s="41">
        <v>0</v>
      </c>
      <c r="F24" s="41">
        <v>6834</v>
      </c>
      <c r="G24" s="41">
        <v>10</v>
      </c>
      <c r="H24" s="41">
        <v>2212</v>
      </c>
      <c r="I24" s="41">
        <v>84</v>
      </c>
      <c r="J24" s="41">
        <v>902</v>
      </c>
      <c r="K24" s="42">
        <v>0</v>
      </c>
      <c r="L24" s="42">
        <v>53</v>
      </c>
      <c r="M24" s="42">
        <v>1883</v>
      </c>
      <c r="N24" s="39">
        <v>30</v>
      </c>
      <c r="O24" s="39">
        <v>80</v>
      </c>
      <c r="P24" s="39">
        <v>80</v>
      </c>
      <c r="Q24" s="39">
        <v>5319</v>
      </c>
      <c r="R24" s="77">
        <v>65</v>
      </c>
      <c r="S24" s="77">
        <v>231</v>
      </c>
      <c r="T24">
        <f t="shared" si="1"/>
        <v>0</v>
      </c>
    </row>
    <row r="25" spans="1:20" x14ac:dyDescent="0.25">
      <c r="A25" s="73">
        <v>44791</v>
      </c>
      <c r="B25" s="40">
        <v>0</v>
      </c>
      <c r="C25" s="40">
        <v>31</v>
      </c>
      <c r="D25" s="40">
        <v>83</v>
      </c>
      <c r="E25" s="41">
        <v>0</v>
      </c>
      <c r="F25" s="41">
        <v>6834</v>
      </c>
      <c r="G25" s="41">
        <v>0</v>
      </c>
      <c r="H25" s="41">
        <v>2212</v>
      </c>
      <c r="I25" s="41">
        <v>84</v>
      </c>
      <c r="J25" s="41">
        <v>906</v>
      </c>
      <c r="K25" s="42">
        <v>0</v>
      </c>
      <c r="L25" s="42">
        <v>53</v>
      </c>
      <c r="M25" s="42">
        <v>1883</v>
      </c>
      <c r="N25" s="39">
        <v>29</v>
      </c>
      <c r="O25" s="39">
        <v>80</v>
      </c>
      <c r="P25" s="39">
        <v>80</v>
      </c>
      <c r="Q25" s="39">
        <v>5322</v>
      </c>
      <c r="R25" s="77">
        <v>65</v>
      </c>
      <c r="S25" s="77">
        <v>231</v>
      </c>
      <c r="T25">
        <f t="shared" si="1"/>
        <v>0</v>
      </c>
    </row>
    <row r="26" spans="1:20" x14ac:dyDescent="0.25">
      <c r="A26" s="73">
        <v>44792</v>
      </c>
      <c r="B26" s="40">
        <v>0</v>
      </c>
      <c r="C26" s="40">
        <v>33</v>
      </c>
      <c r="D26" s="40">
        <v>63</v>
      </c>
      <c r="E26" s="41">
        <v>0</v>
      </c>
      <c r="F26" s="41">
        <v>6834</v>
      </c>
      <c r="G26" s="41">
        <v>0</v>
      </c>
      <c r="H26" s="41">
        <v>2212</v>
      </c>
      <c r="I26" s="41">
        <v>73</v>
      </c>
      <c r="J26" s="41">
        <v>909</v>
      </c>
      <c r="K26" s="42">
        <v>0</v>
      </c>
      <c r="L26" s="42">
        <v>50</v>
      </c>
      <c r="M26" s="42">
        <v>1885</v>
      </c>
      <c r="N26" s="39">
        <v>25</v>
      </c>
      <c r="O26" s="39">
        <v>80</v>
      </c>
      <c r="P26" s="39">
        <v>80</v>
      </c>
      <c r="Q26" s="39">
        <v>5326</v>
      </c>
      <c r="R26" s="77">
        <v>65</v>
      </c>
      <c r="S26" s="77">
        <v>231</v>
      </c>
      <c r="T26">
        <f t="shared" si="1"/>
        <v>0</v>
      </c>
    </row>
    <row r="27" spans="1:20" x14ac:dyDescent="0.25">
      <c r="A27" s="73">
        <v>44793</v>
      </c>
      <c r="B27" s="40">
        <v>0</v>
      </c>
      <c r="C27" s="40">
        <v>30</v>
      </c>
      <c r="D27" s="40">
        <v>57</v>
      </c>
      <c r="E27" s="41">
        <v>0</v>
      </c>
      <c r="F27" s="41">
        <v>6834</v>
      </c>
      <c r="G27" s="41">
        <v>0</v>
      </c>
      <c r="H27" s="41">
        <v>2212</v>
      </c>
      <c r="I27" s="41">
        <v>55</v>
      </c>
      <c r="J27" s="41">
        <v>912</v>
      </c>
      <c r="K27" s="42">
        <v>0</v>
      </c>
      <c r="L27" s="42">
        <v>45</v>
      </c>
      <c r="M27" s="42">
        <v>1887</v>
      </c>
      <c r="N27" s="39">
        <v>20</v>
      </c>
      <c r="O27" s="39">
        <v>80</v>
      </c>
      <c r="P27" s="39">
        <v>80</v>
      </c>
      <c r="Q27" s="39">
        <v>5330</v>
      </c>
      <c r="R27" s="77">
        <v>65</v>
      </c>
      <c r="S27" s="77">
        <v>231</v>
      </c>
      <c r="T27">
        <f t="shared" si="1"/>
        <v>0</v>
      </c>
    </row>
    <row r="28" spans="1:20" x14ac:dyDescent="0.25">
      <c r="A28" s="73">
        <v>44794</v>
      </c>
      <c r="B28" s="40">
        <v>0</v>
      </c>
      <c r="C28" s="40">
        <v>30</v>
      </c>
      <c r="D28" s="40">
        <v>57</v>
      </c>
      <c r="E28" s="41">
        <v>0</v>
      </c>
      <c r="F28" s="41">
        <v>6834</v>
      </c>
      <c r="G28" s="41">
        <v>0</v>
      </c>
      <c r="H28" s="41">
        <v>2212</v>
      </c>
      <c r="I28" s="41">
        <v>45</v>
      </c>
      <c r="J28" s="41">
        <v>915</v>
      </c>
      <c r="K28" s="42">
        <v>0</v>
      </c>
      <c r="L28" s="42">
        <v>45</v>
      </c>
      <c r="M28" s="42">
        <v>1889</v>
      </c>
      <c r="N28" s="39">
        <v>15</v>
      </c>
      <c r="O28" s="39">
        <v>80</v>
      </c>
      <c r="P28" s="39">
        <v>80</v>
      </c>
      <c r="Q28" s="39">
        <v>5333</v>
      </c>
      <c r="R28" s="77">
        <v>65</v>
      </c>
      <c r="S28" s="77">
        <v>231</v>
      </c>
      <c r="T28">
        <f t="shared" si="1"/>
        <v>0</v>
      </c>
    </row>
    <row r="29" spans="1:20" x14ac:dyDescent="0.25">
      <c r="A29" s="73">
        <v>44795</v>
      </c>
      <c r="B29" s="40">
        <v>0</v>
      </c>
      <c r="C29" s="40">
        <v>30</v>
      </c>
      <c r="D29" s="40">
        <v>57</v>
      </c>
      <c r="E29" s="41">
        <v>0</v>
      </c>
      <c r="F29" s="41">
        <v>6834</v>
      </c>
      <c r="G29" s="41">
        <v>0</v>
      </c>
      <c r="H29" s="41">
        <v>2212</v>
      </c>
      <c r="I29" s="41">
        <v>25</v>
      </c>
      <c r="J29" s="41">
        <v>918</v>
      </c>
      <c r="K29" s="42">
        <v>0</v>
      </c>
      <c r="L29" s="42">
        <v>40</v>
      </c>
      <c r="M29" s="42">
        <v>1890</v>
      </c>
      <c r="N29" s="39">
        <v>15</v>
      </c>
      <c r="O29" s="39">
        <v>80</v>
      </c>
      <c r="P29" s="39">
        <v>80</v>
      </c>
      <c r="Q29" s="39">
        <v>5336</v>
      </c>
      <c r="R29" s="77">
        <v>65</v>
      </c>
      <c r="S29" s="77">
        <v>231</v>
      </c>
      <c r="T29">
        <f t="shared" si="1"/>
        <v>0</v>
      </c>
    </row>
    <row r="30" spans="1:20" x14ac:dyDescent="0.25">
      <c r="A30" s="73">
        <v>44796</v>
      </c>
      <c r="B30" s="40"/>
      <c r="C30" s="40">
        <v>32</v>
      </c>
      <c r="D30" s="40">
        <v>81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-231</v>
      </c>
    </row>
    <row r="31" spans="1:20" x14ac:dyDescent="0.25">
      <c r="A31" s="73">
        <v>44797</v>
      </c>
      <c r="B31" s="40"/>
      <c r="C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2022-08-23T19:05:10Z</dcterms:modified>
</cp:coreProperties>
</file>