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showInkAnnotation="0" codeName="ThisWorkbook" defaultThemeVersion="124226"/>
  <bookViews>
    <workbookView xWindow="4695" yWindow="7425" windowWidth="24105" windowHeight="1185" tabRatio="604"/>
  </bookViews>
  <sheets>
    <sheet name="TOTAL" sheetId="13" r:id="rId1"/>
    <sheet name="Consommation du 01.09 au 30.09" sheetId="10" r:id="rId2"/>
    <sheet name="Suivi Gaz" sheetId="4" r:id="rId3"/>
    <sheet name="Suivi EAU-ELEC" sheetId="6" r:id="rId4"/>
    <sheet name="Feuil1" sheetId="8" state="hidden" r:id="rId5"/>
  </sheets>
  <definedNames>
    <definedName name="_xlnm.Print_Area" localSheetId="1">'Consommation du 01.09 au 30.09'!$A$1:$AE$49</definedName>
    <definedName name="_xlnm.Print_Area" localSheetId="3">'Suivi EAU-ELEC'!$A$1:$I$47</definedName>
  </definedNames>
  <calcPr calcId="145621"/>
</workbook>
</file>

<file path=xl/calcChain.xml><?xml version="1.0" encoding="utf-8"?>
<calcChain xmlns="http://schemas.openxmlformats.org/spreadsheetml/2006/main">
  <c r="G22" i="6" l="1"/>
  <c r="E22" i="6"/>
  <c r="C22" i="6"/>
  <c r="G21" i="6"/>
  <c r="E21" i="6"/>
  <c r="C21" i="6"/>
  <c r="G17" i="4"/>
  <c r="E17" i="4"/>
  <c r="C17" i="4"/>
  <c r="G16" i="4"/>
  <c r="E16" i="4"/>
  <c r="C16" i="4"/>
  <c r="I17" i="6" l="1"/>
  <c r="I18" i="6"/>
  <c r="I19" i="6"/>
  <c r="I20" i="6"/>
  <c r="G15" i="4"/>
  <c r="E15" i="4"/>
  <c r="C15" i="4"/>
  <c r="G14" i="4"/>
  <c r="E14" i="4"/>
  <c r="C14" i="4"/>
  <c r="G13" i="4"/>
  <c r="E13" i="4"/>
  <c r="C13" i="4"/>
  <c r="G12" i="4"/>
  <c r="E12" i="4"/>
  <c r="C12" i="4"/>
  <c r="G20" i="6"/>
  <c r="E20" i="6"/>
  <c r="C20" i="6"/>
  <c r="G19" i="6"/>
  <c r="E19" i="6"/>
  <c r="C19" i="6"/>
  <c r="G18" i="6"/>
  <c r="E18" i="6"/>
  <c r="C18" i="6"/>
  <c r="G17" i="6"/>
  <c r="E17" i="6"/>
  <c r="C17" i="6"/>
  <c r="G16" i="6"/>
  <c r="E16" i="6"/>
  <c r="C16" i="6"/>
  <c r="G15" i="6" l="1"/>
  <c r="E15" i="6"/>
  <c r="C15" i="6"/>
  <c r="G14" i="6"/>
  <c r="E14" i="6"/>
  <c r="C14" i="6"/>
  <c r="G13" i="6"/>
  <c r="E13" i="6"/>
  <c r="C13" i="6"/>
  <c r="G12" i="6"/>
  <c r="E12" i="6"/>
  <c r="C12" i="6"/>
  <c r="G11" i="6"/>
  <c r="E11" i="6"/>
  <c r="C11" i="6"/>
  <c r="G10" i="6"/>
  <c r="E10" i="6"/>
  <c r="C10" i="6"/>
  <c r="G9" i="6"/>
  <c r="E9" i="6"/>
  <c r="C9" i="6"/>
  <c r="AC43" i="4"/>
  <c r="Z43" i="4"/>
  <c r="W43" i="4"/>
  <c r="T43" i="4"/>
  <c r="Q43" i="4"/>
  <c r="G43" i="4"/>
  <c r="G5" i="4"/>
  <c r="G6" i="4"/>
  <c r="G7" i="4"/>
  <c r="G8" i="4"/>
  <c r="G9" i="4"/>
  <c r="G10" i="4"/>
  <c r="G11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E5" i="4"/>
  <c r="E6" i="4"/>
  <c r="E7" i="4"/>
  <c r="E8" i="4"/>
  <c r="E9" i="4"/>
  <c r="E10" i="4"/>
  <c r="E11" i="4"/>
  <c r="E43" i="4" s="1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C5" i="4"/>
  <c r="C6" i="4"/>
  <c r="C7" i="4"/>
  <c r="C8" i="4"/>
  <c r="C9" i="4"/>
  <c r="C10" i="4"/>
  <c r="C11" i="4"/>
  <c r="C43" i="4" s="1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G4" i="4"/>
  <c r="E4" i="4"/>
  <c r="C4" i="4"/>
  <c r="E47" i="6" l="1"/>
  <c r="C47" i="6"/>
  <c r="E46" i="6"/>
  <c r="C46" i="6"/>
  <c r="E45" i="6"/>
  <c r="C45" i="6"/>
  <c r="E44" i="6" l="1"/>
  <c r="C44" i="6"/>
  <c r="E43" i="6" l="1"/>
  <c r="C43" i="6"/>
  <c r="E42" i="6"/>
  <c r="C42" i="6"/>
  <c r="E41" i="6"/>
  <c r="C41" i="6"/>
  <c r="E40" i="6"/>
  <c r="C40" i="6"/>
  <c r="E39" i="6"/>
  <c r="C39" i="6"/>
  <c r="E38" i="6"/>
  <c r="C38" i="6"/>
  <c r="E37" i="6"/>
  <c r="C37" i="6"/>
  <c r="E36" i="6"/>
  <c r="C36" i="6"/>
  <c r="E35" i="6"/>
  <c r="C35" i="6"/>
  <c r="E34" i="6"/>
  <c r="C34" i="6"/>
  <c r="E33" i="6"/>
  <c r="C33" i="6"/>
  <c r="E32" i="6"/>
  <c r="C32" i="6"/>
  <c r="E31" i="6" l="1"/>
  <c r="C31" i="6"/>
  <c r="E30" i="6" l="1"/>
  <c r="C30" i="6"/>
  <c r="E29" i="6" l="1"/>
  <c r="C29" i="6"/>
  <c r="E28" i="6" l="1"/>
  <c r="C28" i="6"/>
  <c r="E27" i="6" l="1"/>
  <c r="C27" i="6"/>
  <c r="E26" i="6"/>
  <c r="C26" i="6"/>
  <c r="E25" i="6"/>
  <c r="C25" i="6"/>
  <c r="E24" i="6"/>
  <c r="C24" i="6"/>
  <c r="E23" i="6"/>
  <c r="C23" i="6"/>
  <c r="J11" i="10" l="1"/>
  <c r="K11" i="10"/>
  <c r="J12" i="10"/>
  <c r="K12" i="10"/>
  <c r="J13" i="10"/>
  <c r="K13" i="10"/>
  <c r="J14" i="10"/>
  <c r="K14" i="10"/>
  <c r="J15" i="10"/>
  <c r="K15" i="10"/>
  <c r="J16" i="10"/>
  <c r="K16" i="10"/>
  <c r="J17" i="10"/>
  <c r="K17" i="10"/>
  <c r="J18" i="10"/>
  <c r="K18" i="10"/>
  <c r="J19" i="10"/>
  <c r="K19" i="10"/>
  <c r="J20" i="10"/>
  <c r="K20" i="10"/>
  <c r="J21" i="10"/>
  <c r="K21" i="10"/>
  <c r="J22" i="10"/>
  <c r="K22" i="10"/>
  <c r="J23" i="10"/>
  <c r="K23" i="10"/>
  <c r="J24" i="10"/>
  <c r="K24" i="10"/>
  <c r="J25" i="10"/>
  <c r="K25" i="10"/>
  <c r="J26" i="10"/>
  <c r="K26" i="10"/>
  <c r="J27" i="10"/>
  <c r="K27" i="10"/>
  <c r="J28" i="10"/>
  <c r="K28" i="10"/>
  <c r="J29" i="10"/>
  <c r="K29" i="10"/>
  <c r="J30" i="10"/>
  <c r="K30" i="10"/>
  <c r="J31" i="10"/>
  <c r="K31" i="10"/>
  <c r="J32" i="10"/>
  <c r="K32" i="10"/>
  <c r="J33" i="10"/>
  <c r="K33" i="10"/>
  <c r="J34" i="10"/>
  <c r="K34" i="10"/>
  <c r="J35" i="10"/>
  <c r="K35" i="10"/>
  <c r="J36" i="10"/>
  <c r="K36" i="10"/>
  <c r="J37" i="10"/>
  <c r="K37" i="10"/>
  <c r="J38" i="10"/>
  <c r="K38" i="10"/>
  <c r="J39" i="10"/>
  <c r="K39" i="10"/>
  <c r="J40" i="10"/>
  <c r="K4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J10" i="10"/>
  <c r="K10" i="10"/>
  <c r="D10" i="10"/>
  <c r="C48" i="6" l="1"/>
  <c r="Y32" i="10"/>
  <c r="Y33" i="10"/>
  <c r="I20" i="4" l="1"/>
  <c r="J41" i="10" l="1"/>
  <c r="K41" i="10"/>
  <c r="M3" i="13" l="1"/>
  <c r="M4" i="13"/>
  <c r="M5" i="13"/>
  <c r="M6" i="13"/>
  <c r="M7" i="13"/>
  <c r="M8" i="13"/>
  <c r="M9" i="13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M24" i="13"/>
  <c r="M25" i="13"/>
  <c r="M26" i="13"/>
  <c r="M27" i="13"/>
  <c r="M28" i="13"/>
  <c r="M29" i="13"/>
  <c r="M30" i="13"/>
  <c r="M31" i="13"/>
  <c r="M2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B3" i="13"/>
  <c r="B4" i="13" s="1"/>
  <c r="B5" i="13" s="1"/>
  <c r="B6" i="13" s="1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L11" i="10" l="1"/>
  <c r="L31" i="10"/>
  <c r="L32" i="10"/>
  <c r="L33" i="10"/>
  <c r="L34" i="10"/>
  <c r="L35" i="10"/>
  <c r="L36" i="10"/>
  <c r="L37" i="10"/>
  <c r="Y14" i="10"/>
  <c r="I6" i="13" s="1"/>
  <c r="Y15" i="10"/>
  <c r="Y16" i="10"/>
  <c r="I8" i="13" s="1"/>
  <c r="Y17" i="10"/>
  <c r="I9" i="13" s="1"/>
  <c r="Y18" i="10"/>
  <c r="I10" i="13" s="1"/>
  <c r="Y19" i="10"/>
  <c r="I11" i="13" s="1"/>
  <c r="Y20" i="10"/>
  <c r="I12" i="13" s="1"/>
  <c r="Y21" i="10"/>
  <c r="I13" i="13" s="1"/>
  <c r="Y22" i="10"/>
  <c r="I14" i="13" s="1"/>
  <c r="Y23" i="10"/>
  <c r="Y24" i="10"/>
  <c r="I16" i="13" s="1"/>
  <c r="Y25" i="10"/>
  <c r="Y26" i="10"/>
  <c r="I18" i="13" s="1"/>
  <c r="Y27" i="10"/>
  <c r="I19" i="13" s="1"/>
  <c r="Y28" i="10"/>
  <c r="Y29" i="10"/>
  <c r="I21" i="13" s="1"/>
  <c r="Y30" i="10"/>
  <c r="Y31" i="10"/>
  <c r="I23" i="13" s="1"/>
  <c r="I24" i="13"/>
  <c r="Y34" i="10"/>
  <c r="I26" i="13" s="1"/>
  <c r="Y35" i="10"/>
  <c r="I27" i="13" s="1"/>
  <c r="Y36" i="10"/>
  <c r="I28" i="13" s="1"/>
  <c r="Y37" i="10"/>
  <c r="I29" i="13" s="1"/>
  <c r="Y38" i="10"/>
  <c r="I30" i="13" s="1"/>
  <c r="Y39" i="10"/>
  <c r="I31" i="13" s="1"/>
  <c r="Y40" i="10"/>
  <c r="K3" i="13"/>
  <c r="B11" i="10"/>
  <c r="B12" i="10" s="1"/>
  <c r="K6" i="13"/>
  <c r="F25" i="10"/>
  <c r="G48" i="6"/>
  <c r="F28" i="10"/>
  <c r="F30" i="10"/>
  <c r="F32" i="10"/>
  <c r="F36" i="10"/>
  <c r="F38" i="10"/>
  <c r="F37" i="10"/>
  <c r="D41" i="10"/>
  <c r="G46" i="10" s="1"/>
  <c r="J46" i="10" s="1"/>
  <c r="L46" i="10" s="1"/>
  <c r="A10" i="6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I9" i="6"/>
  <c r="I10" i="6"/>
  <c r="I11" i="6"/>
  <c r="I12" i="6"/>
  <c r="I13" i="6"/>
  <c r="I14" i="6"/>
  <c r="I15" i="6"/>
  <c r="I16" i="6"/>
  <c r="L10" i="10" s="1"/>
  <c r="L12" i="10"/>
  <c r="L13" i="10"/>
  <c r="L14" i="10"/>
  <c r="L15" i="10"/>
  <c r="L16" i="10"/>
  <c r="L17" i="10"/>
  <c r="L18" i="10"/>
  <c r="L19" i="10"/>
  <c r="L20" i="10"/>
  <c r="L21" i="10"/>
  <c r="L22" i="10"/>
  <c r="L23" i="10"/>
  <c r="L24" i="10"/>
  <c r="L25" i="10"/>
  <c r="L26" i="10"/>
  <c r="L27" i="10"/>
  <c r="L28" i="10"/>
  <c r="L29" i="10"/>
  <c r="L30" i="10"/>
  <c r="L38" i="10"/>
  <c r="L39" i="10"/>
  <c r="L40" i="10"/>
  <c r="J4" i="4"/>
  <c r="K4" i="4" s="1"/>
  <c r="L4" i="4" s="1"/>
  <c r="N4" i="4" s="1"/>
  <c r="O4" i="4" s="1"/>
  <c r="P4" i="4" s="1"/>
  <c r="M4" i="4"/>
  <c r="AC4" i="4"/>
  <c r="AD4" i="4"/>
  <c r="AE4" i="4"/>
  <c r="J5" i="4"/>
  <c r="K5" i="4" s="1"/>
  <c r="M5" i="4"/>
  <c r="AC5" i="4"/>
  <c r="AD5" i="4"/>
  <c r="AE5" i="4"/>
  <c r="J6" i="4"/>
  <c r="K6" i="4" s="1"/>
  <c r="M6" i="4"/>
  <c r="AC6" i="4"/>
  <c r="AD6" i="4"/>
  <c r="AE6" i="4"/>
  <c r="J7" i="4"/>
  <c r="K7" i="4"/>
  <c r="M7" i="4"/>
  <c r="AC7" i="4"/>
  <c r="AD7" i="4"/>
  <c r="AE7" i="4"/>
  <c r="I8" i="4"/>
  <c r="J8" i="4"/>
  <c r="K8" i="4" s="1"/>
  <c r="M8" i="4"/>
  <c r="AD8" i="4"/>
  <c r="AE8" i="4"/>
  <c r="J9" i="4"/>
  <c r="K9" i="4" s="1"/>
  <c r="M9" i="4"/>
  <c r="AC9" i="4"/>
  <c r="AD9" i="4"/>
  <c r="AE9" i="4"/>
  <c r="J10" i="4"/>
  <c r="K10" i="4" s="1"/>
  <c r="M10" i="4"/>
  <c r="AC10" i="4"/>
  <c r="AD10" i="4"/>
  <c r="AE10" i="4"/>
  <c r="J11" i="4"/>
  <c r="K11" i="4" s="1"/>
  <c r="M11" i="4"/>
  <c r="AC11" i="4"/>
  <c r="AD11" i="4"/>
  <c r="AE11" i="4"/>
  <c r="J12" i="4"/>
  <c r="K12" i="4" s="1"/>
  <c r="M12" i="4"/>
  <c r="AC12" i="4"/>
  <c r="AD12" i="4"/>
  <c r="AE12" i="4"/>
  <c r="J13" i="4"/>
  <c r="K13" i="4" s="1"/>
  <c r="M13" i="4"/>
  <c r="AC13" i="4"/>
  <c r="I13" i="4"/>
  <c r="AD13" i="4"/>
  <c r="AE13" i="4"/>
  <c r="J14" i="4"/>
  <c r="K14" i="4" s="1"/>
  <c r="L13" i="4" s="1"/>
  <c r="N13" i="4" s="1"/>
  <c r="O13" i="4" s="1"/>
  <c r="U12" i="10" s="1"/>
  <c r="M14" i="4"/>
  <c r="AC14" i="4"/>
  <c r="AD14" i="4"/>
  <c r="AE14" i="4"/>
  <c r="J15" i="4"/>
  <c r="K15" i="4" s="1"/>
  <c r="M15" i="4"/>
  <c r="AC15" i="4"/>
  <c r="AD15" i="4"/>
  <c r="AE15" i="4"/>
  <c r="J16" i="4"/>
  <c r="K16" i="4" s="1"/>
  <c r="M16" i="4"/>
  <c r="AC16" i="4"/>
  <c r="AD16" i="4"/>
  <c r="AE16" i="4"/>
  <c r="J17" i="4"/>
  <c r="K17" i="4" s="1"/>
  <c r="M17" i="4"/>
  <c r="AC17" i="4"/>
  <c r="AD17" i="4"/>
  <c r="AE17" i="4"/>
  <c r="J18" i="4"/>
  <c r="K18" i="4" s="1"/>
  <c r="M18" i="4"/>
  <c r="AC18" i="4"/>
  <c r="AD18" i="4"/>
  <c r="AE18" i="4"/>
  <c r="J19" i="4"/>
  <c r="K19" i="4" s="1"/>
  <c r="M19" i="4"/>
  <c r="AC19" i="4"/>
  <c r="AD19" i="4"/>
  <c r="AE19" i="4"/>
  <c r="J20" i="4"/>
  <c r="K20" i="4" s="1"/>
  <c r="M20" i="4"/>
  <c r="AC20" i="4"/>
  <c r="AD20" i="4"/>
  <c r="AE20" i="4"/>
  <c r="J21" i="4"/>
  <c r="K21" i="4" s="1"/>
  <c r="M21" i="4"/>
  <c r="AC21" i="4"/>
  <c r="AD21" i="4"/>
  <c r="AE21" i="4"/>
  <c r="J22" i="4"/>
  <c r="K22" i="4" s="1"/>
  <c r="M22" i="4"/>
  <c r="AC22" i="4"/>
  <c r="AD22" i="4"/>
  <c r="AE22" i="4"/>
  <c r="J23" i="4"/>
  <c r="K23" i="4" s="1"/>
  <c r="M23" i="4"/>
  <c r="AC23" i="4"/>
  <c r="AD23" i="4"/>
  <c r="AE23" i="4"/>
  <c r="J24" i="4"/>
  <c r="K24" i="4" s="1"/>
  <c r="M24" i="4"/>
  <c r="AC24" i="4"/>
  <c r="AD24" i="4"/>
  <c r="AE24" i="4"/>
  <c r="J25" i="4"/>
  <c r="K25" i="4" s="1"/>
  <c r="M25" i="4"/>
  <c r="AC25" i="4"/>
  <c r="I25" i="4" s="1"/>
  <c r="AD25" i="4"/>
  <c r="AE25" i="4"/>
  <c r="J26" i="4"/>
  <c r="K26" i="4" s="1"/>
  <c r="M26" i="4"/>
  <c r="AC26" i="4"/>
  <c r="AD26" i="4"/>
  <c r="AE26" i="4"/>
  <c r="J27" i="4"/>
  <c r="K27" i="4" s="1"/>
  <c r="M27" i="4"/>
  <c r="AC27" i="4"/>
  <c r="AD27" i="4"/>
  <c r="AE27" i="4"/>
  <c r="J28" i="4"/>
  <c r="K28" i="4" s="1"/>
  <c r="M28" i="4"/>
  <c r="AC28" i="4"/>
  <c r="AD28" i="4"/>
  <c r="AE28" i="4"/>
  <c r="J29" i="4"/>
  <c r="K29" i="4" s="1"/>
  <c r="M29" i="4"/>
  <c r="AC29" i="4"/>
  <c r="AD29" i="4"/>
  <c r="AE29" i="4"/>
  <c r="J30" i="4"/>
  <c r="K30" i="4" s="1"/>
  <c r="M30" i="4"/>
  <c r="AC30" i="4"/>
  <c r="AD30" i="4"/>
  <c r="AE30" i="4"/>
  <c r="J31" i="4"/>
  <c r="K31" i="4" s="1"/>
  <c r="M31" i="4"/>
  <c r="AC31" i="4"/>
  <c r="AD31" i="4"/>
  <c r="AE31" i="4"/>
  <c r="J32" i="4"/>
  <c r="K32" i="4" s="1"/>
  <c r="M32" i="4"/>
  <c r="AC32" i="4"/>
  <c r="AD32" i="4"/>
  <c r="AE32" i="4"/>
  <c r="J33" i="4"/>
  <c r="K33" i="4" s="1"/>
  <c r="M33" i="4"/>
  <c r="AC33" i="4"/>
  <c r="AD33" i="4"/>
  <c r="AE33" i="4"/>
  <c r="J34" i="4"/>
  <c r="K34" i="4" s="1"/>
  <c r="M34" i="4"/>
  <c r="AC34" i="4"/>
  <c r="AD34" i="4"/>
  <c r="AE34" i="4"/>
  <c r="J35" i="4"/>
  <c r="K35" i="4" s="1"/>
  <c r="M35" i="4"/>
  <c r="AC35" i="4"/>
  <c r="AD35" i="4"/>
  <c r="AE35" i="4"/>
  <c r="J36" i="4"/>
  <c r="K36" i="4" s="1"/>
  <c r="M36" i="4"/>
  <c r="AC36" i="4"/>
  <c r="AD36" i="4"/>
  <c r="AE36" i="4"/>
  <c r="J37" i="4"/>
  <c r="K37" i="4" s="1"/>
  <c r="M37" i="4"/>
  <c r="AC37" i="4"/>
  <c r="AD37" i="4"/>
  <c r="AE37" i="4"/>
  <c r="J38" i="4"/>
  <c r="K38" i="4" s="1"/>
  <c r="M38" i="4"/>
  <c r="AC38" i="4"/>
  <c r="AD38" i="4"/>
  <c r="AE38" i="4"/>
  <c r="J39" i="4"/>
  <c r="K39" i="4" s="1"/>
  <c r="M39" i="4"/>
  <c r="AC39" i="4"/>
  <c r="AD39" i="4"/>
  <c r="AE39" i="4"/>
  <c r="J40" i="4"/>
  <c r="K40" i="4" s="1"/>
  <c r="M40" i="4"/>
  <c r="AC40" i="4"/>
  <c r="I40" i="4" s="1"/>
  <c r="AD40" i="4"/>
  <c r="AE40" i="4"/>
  <c r="J41" i="4"/>
  <c r="K41" i="4" s="1"/>
  <c r="M41" i="4"/>
  <c r="AC41" i="4"/>
  <c r="AD41" i="4"/>
  <c r="AE41" i="4"/>
  <c r="J42" i="4"/>
  <c r="K42" i="4" s="1"/>
  <c r="M42" i="4"/>
  <c r="AC42" i="4"/>
  <c r="AD42" i="4"/>
  <c r="AE42" i="4"/>
  <c r="Q44" i="4"/>
  <c r="Y10" i="10"/>
  <c r="I2" i="13" s="1"/>
  <c r="Y11" i="10"/>
  <c r="I3" i="13" s="1"/>
  <c r="Y12" i="10"/>
  <c r="I4" i="13" s="1"/>
  <c r="Y13" i="10"/>
  <c r="I5" i="13" s="1"/>
  <c r="Q41" i="10"/>
  <c r="S41" i="10"/>
  <c r="I26" i="4"/>
  <c r="I24" i="4"/>
  <c r="I34" i="4"/>
  <c r="I23" i="4"/>
  <c r="I9" i="4"/>
  <c r="I7" i="4"/>
  <c r="I12" i="4"/>
  <c r="I11" i="4"/>
  <c r="F26" i="10"/>
  <c r="F29" i="10"/>
  <c r="F31" i="10"/>
  <c r="F35" i="10"/>
  <c r="K2" i="13"/>
  <c r="F27" i="10"/>
  <c r="F33" i="10"/>
  <c r="F10" i="10"/>
  <c r="K7" i="13"/>
  <c r="Z17" i="10"/>
  <c r="E48" i="6"/>
  <c r="K14" i="13"/>
  <c r="K16" i="13"/>
  <c r="L26" i="4" l="1"/>
  <c r="N26" i="4" s="1"/>
  <c r="O26" i="4" s="1"/>
  <c r="U25" i="10" s="1"/>
  <c r="Z11" i="10"/>
  <c r="O13" i="10"/>
  <c r="O11" i="10"/>
  <c r="O12" i="10"/>
  <c r="O40" i="10"/>
  <c r="O38" i="10"/>
  <c r="O36" i="10"/>
  <c r="O37" i="10"/>
  <c r="L39" i="4"/>
  <c r="N39" i="4" s="1"/>
  <c r="O39" i="4" s="1"/>
  <c r="U38" i="10" s="1"/>
  <c r="G30" i="13" s="1"/>
  <c r="O34" i="10"/>
  <c r="O35" i="10"/>
  <c r="Z36" i="10"/>
  <c r="Z31" i="10"/>
  <c r="O32" i="10"/>
  <c r="O33" i="10"/>
  <c r="O31" i="10"/>
  <c r="O26" i="10"/>
  <c r="O27" i="10"/>
  <c r="O30" i="10"/>
  <c r="O24" i="10"/>
  <c r="M25" i="10"/>
  <c r="E17" i="13" s="1"/>
  <c r="O28" i="10"/>
  <c r="O29" i="10"/>
  <c r="O22" i="10"/>
  <c r="M23" i="10"/>
  <c r="E15" i="13" s="1"/>
  <c r="O19" i="10"/>
  <c r="I7" i="13"/>
  <c r="Y41" i="10"/>
  <c r="O14" i="10"/>
  <c r="O15" i="10"/>
  <c r="M16" i="10"/>
  <c r="E8" i="13" s="1"/>
  <c r="M14" i="10"/>
  <c r="E6" i="13" s="1"/>
  <c r="Z10" i="10"/>
  <c r="Z15" i="10"/>
  <c r="Z37" i="10"/>
  <c r="M21" i="10"/>
  <c r="E13" i="13" s="1"/>
  <c r="O21" i="10"/>
  <c r="M20" i="10"/>
  <c r="E12" i="13" s="1"/>
  <c r="O20" i="10"/>
  <c r="M17" i="10"/>
  <c r="E9" i="13" s="1"/>
  <c r="O17" i="10"/>
  <c r="L8" i="4"/>
  <c r="N8" i="4" s="1"/>
  <c r="O8" i="4" s="1"/>
  <c r="P8" i="4" s="1"/>
  <c r="L9" i="4"/>
  <c r="N9" i="4" s="1"/>
  <c r="O9" i="4" s="1"/>
  <c r="P9" i="4" s="1"/>
  <c r="Z29" i="10"/>
  <c r="L6" i="4"/>
  <c r="N6" i="4" s="1"/>
  <c r="O6" i="4" s="1"/>
  <c r="P6" i="4" s="1"/>
  <c r="L5" i="4"/>
  <c r="N5" i="4" s="1"/>
  <c r="O5" i="4" s="1"/>
  <c r="P5" i="4" s="1"/>
  <c r="I19" i="4"/>
  <c r="M30" i="10"/>
  <c r="E22" i="13" s="1"/>
  <c r="I4" i="4"/>
  <c r="I41" i="4"/>
  <c r="L25" i="4"/>
  <c r="N25" i="4" s="1"/>
  <c r="O25" i="4" s="1"/>
  <c r="U24" i="10" s="1"/>
  <c r="I21" i="4"/>
  <c r="I18" i="4"/>
  <c r="I15" i="4"/>
  <c r="M40" i="10"/>
  <c r="I6" i="4"/>
  <c r="Z38" i="10"/>
  <c r="L36" i="4"/>
  <c r="N36" i="4" s="1"/>
  <c r="O36" i="4" s="1"/>
  <c r="L24" i="4"/>
  <c r="N24" i="4" s="1"/>
  <c r="O24" i="4" s="1"/>
  <c r="L21" i="4"/>
  <c r="N21" i="4" s="1"/>
  <c r="O21" i="4" s="1"/>
  <c r="I17" i="4"/>
  <c r="L7" i="4"/>
  <c r="N7" i="4" s="1"/>
  <c r="O7" i="4" s="1"/>
  <c r="P7" i="4" s="1"/>
  <c r="L40" i="4"/>
  <c r="N40" i="4" s="1"/>
  <c r="O40" i="4" s="1"/>
  <c r="U39" i="10" s="1"/>
  <c r="I14" i="4"/>
  <c r="I10" i="4"/>
  <c r="I27" i="4"/>
  <c r="Z34" i="10"/>
  <c r="L23" i="4"/>
  <c r="N23" i="4" s="1"/>
  <c r="O23" i="4" s="1"/>
  <c r="U22" i="10" s="1"/>
  <c r="L17" i="4"/>
  <c r="N17" i="4" s="1"/>
  <c r="O17" i="4" s="1"/>
  <c r="L12" i="4"/>
  <c r="N12" i="4" s="1"/>
  <c r="O12" i="4" s="1"/>
  <c r="K48" i="4"/>
  <c r="L48" i="4" s="1"/>
  <c r="M48" i="4" s="1"/>
  <c r="I5" i="4"/>
  <c r="Z20" i="10"/>
  <c r="Z27" i="10"/>
  <c r="Z22" i="10"/>
  <c r="Z19" i="10"/>
  <c r="Z18" i="10"/>
  <c r="M19" i="10"/>
  <c r="E11" i="13" s="1"/>
  <c r="O18" i="10"/>
  <c r="Z13" i="10"/>
  <c r="M11" i="10"/>
  <c r="E3" i="13" s="1"/>
  <c r="O10" i="10"/>
  <c r="Z35" i="10"/>
  <c r="Z21" i="10"/>
  <c r="Z23" i="10"/>
  <c r="I15" i="13"/>
  <c r="Z12" i="10"/>
  <c r="Z16" i="10"/>
  <c r="Z14" i="10"/>
  <c r="Z26" i="10"/>
  <c r="F22" i="10"/>
  <c r="M24" i="10"/>
  <c r="E16" i="13" s="1"/>
  <c r="F17" i="10"/>
  <c r="K9" i="13"/>
  <c r="F21" i="10"/>
  <c r="K13" i="13"/>
  <c r="F13" i="10"/>
  <c r="K5" i="13"/>
  <c r="F20" i="10"/>
  <c r="K12" i="13"/>
  <c r="F14" i="10"/>
  <c r="M13" i="10"/>
  <c r="E5" i="13" s="1"/>
  <c r="F19" i="10"/>
  <c r="K11" i="13"/>
  <c r="F16" i="10"/>
  <c r="K8" i="13"/>
  <c r="F15" i="10"/>
  <c r="G44" i="10"/>
  <c r="J44" i="10" s="1"/>
  <c r="F18" i="10"/>
  <c r="K10" i="13"/>
  <c r="F11" i="10"/>
  <c r="F12" i="10"/>
  <c r="K4" i="13"/>
  <c r="P13" i="4"/>
  <c r="L15" i="4"/>
  <c r="N15" i="4" s="1"/>
  <c r="O15" i="4" s="1"/>
  <c r="U14" i="10" s="1"/>
  <c r="L19" i="4"/>
  <c r="N19" i="4" s="1"/>
  <c r="O19" i="4" s="1"/>
  <c r="U18" i="10" s="1"/>
  <c r="Z40" i="10"/>
  <c r="I48" i="6"/>
  <c r="F39" i="10"/>
  <c r="K31" i="13"/>
  <c r="F24" i="10"/>
  <c r="F40" i="10"/>
  <c r="L37" i="4"/>
  <c r="N37" i="4" s="1"/>
  <c r="O37" i="4" s="1"/>
  <c r="L38" i="4"/>
  <c r="N38" i="4" s="1"/>
  <c r="O38" i="4" s="1"/>
  <c r="L34" i="4"/>
  <c r="N34" i="4" s="1"/>
  <c r="O34" i="4" s="1"/>
  <c r="U33" i="10" s="1"/>
  <c r="L35" i="4"/>
  <c r="N35" i="4" s="1"/>
  <c r="O35" i="4" s="1"/>
  <c r="L30" i="4"/>
  <c r="N30" i="4" s="1"/>
  <c r="O30" i="4" s="1"/>
  <c r="U29" i="10" s="1"/>
  <c r="L31" i="4"/>
  <c r="N31" i="4" s="1"/>
  <c r="O31" i="4" s="1"/>
  <c r="U30" i="10" s="1"/>
  <c r="L33" i="4"/>
  <c r="N33" i="4" s="1"/>
  <c r="O33" i="4" s="1"/>
  <c r="L32" i="4"/>
  <c r="N32" i="4" s="1"/>
  <c r="O32" i="4" s="1"/>
  <c r="U31" i="10" s="1"/>
  <c r="L28" i="4"/>
  <c r="N28" i="4" s="1"/>
  <c r="O28" i="4" s="1"/>
  <c r="U27" i="10" s="1"/>
  <c r="L29" i="4"/>
  <c r="N29" i="4" s="1"/>
  <c r="O29" i="4" s="1"/>
  <c r="U28" i="10" s="1"/>
  <c r="L27" i="4"/>
  <c r="N27" i="4" s="1"/>
  <c r="O27" i="4" s="1"/>
  <c r="U26" i="10" s="1"/>
  <c r="W25" i="10"/>
  <c r="G17" i="13"/>
  <c r="Z32" i="10"/>
  <c r="Z33" i="10"/>
  <c r="I25" i="13"/>
  <c r="Z28" i="10"/>
  <c r="I20" i="13"/>
  <c r="Z25" i="10"/>
  <c r="I17" i="13"/>
  <c r="Z30" i="10"/>
  <c r="I22" i="13"/>
  <c r="Z24" i="10"/>
  <c r="P26" i="4"/>
  <c r="B13" i="10"/>
  <c r="M10" i="10"/>
  <c r="E2" i="13" s="1"/>
  <c r="I35" i="4"/>
  <c r="I33" i="4"/>
  <c r="I32" i="4"/>
  <c r="I31" i="4"/>
  <c r="I30" i="4"/>
  <c r="I29" i="4"/>
  <c r="I28" i="4"/>
  <c r="L41" i="4"/>
  <c r="N41" i="4" s="1"/>
  <c r="O41" i="4" s="1"/>
  <c r="I39" i="4"/>
  <c r="I36" i="4"/>
  <c r="L11" i="4"/>
  <c r="N11" i="4" s="1"/>
  <c r="AC44" i="4"/>
  <c r="I42" i="4"/>
  <c r="I37" i="4"/>
  <c r="L10" i="4"/>
  <c r="N10" i="4" s="1"/>
  <c r="O10" i="4" s="1"/>
  <c r="M28" i="10"/>
  <c r="E20" i="13" s="1"/>
  <c r="L42" i="4"/>
  <c r="N42" i="4" s="1"/>
  <c r="O42" i="4" s="1"/>
  <c r="P42" i="4" s="1"/>
  <c r="I38" i="4"/>
  <c r="I22" i="4"/>
  <c r="L22" i="4"/>
  <c r="N22" i="4" s="1"/>
  <c r="O22" i="4" s="1"/>
  <c r="U21" i="10" s="1"/>
  <c r="L14" i="4"/>
  <c r="N14" i="4" s="1"/>
  <c r="O14" i="4" s="1"/>
  <c r="U13" i="10" s="1"/>
  <c r="F34" i="10"/>
  <c r="D5" i="6"/>
  <c r="L20" i="4"/>
  <c r="N20" i="4" s="1"/>
  <c r="O20" i="4" s="1"/>
  <c r="U19" i="10" s="1"/>
  <c r="L18" i="4"/>
  <c r="N18" i="4" s="1"/>
  <c r="O18" i="4" s="1"/>
  <c r="U17" i="10" s="1"/>
  <c r="L16" i="4"/>
  <c r="N16" i="4" s="1"/>
  <c r="O16" i="4" s="1"/>
  <c r="U15" i="10" s="1"/>
  <c r="Z39" i="10"/>
  <c r="M32" i="10"/>
  <c r="E24" i="13" s="1"/>
  <c r="I16" i="4"/>
  <c r="M31" i="10"/>
  <c r="E23" i="13" s="1"/>
  <c r="M26" i="10"/>
  <c r="E18" i="13" s="1"/>
  <c r="M34" i="10"/>
  <c r="E26" i="13" s="1"/>
  <c r="M27" i="10"/>
  <c r="E19" i="13" s="1"/>
  <c r="M22" i="10"/>
  <c r="E14" i="13" s="1"/>
  <c r="M36" i="10"/>
  <c r="E28" i="13" s="1"/>
  <c r="I43" i="4" l="1"/>
  <c r="N43" i="4"/>
  <c r="P39" i="4"/>
  <c r="U40" i="10"/>
  <c r="U32" i="10"/>
  <c r="G24" i="13" s="1"/>
  <c r="O24" i="13" s="1"/>
  <c r="U36" i="10"/>
  <c r="G28" i="13" s="1"/>
  <c r="O28" i="13" s="1"/>
  <c r="P38" i="4"/>
  <c r="U37" i="10"/>
  <c r="G29" i="13" s="1"/>
  <c r="U34" i="10"/>
  <c r="G26" i="13" s="1"/>
  <c r="O26" i="13" s="1"/>
  <c r="U35" i="10"/>
  <c r="W35" i="10" s="1"/>
  <c r="AJ35" i="10" s="1"/>
  <c r="AK35" i="10" s="1"/>
  <c r="P24" i="4"/>
  <c r="U23" i="10"/>
  <c r="G15" i="13" s="1"/>
  <c r="P17" i="4"/>
  <c r="U16" i="10"/>
  <c r="G8" i="13" s="1"/>
  <c r="O8" i="13" s="1"/>
  <c r="U20" i="10"/>
  <c r="W20" i="10" s="1"/>
  <c r="AJ20" i="10" s="1"/>
  <c r="AK20" i="10" s="1"/>
  <c r="P12" i="4"/>
  <c r="U11" i="10"/>
  <c r="O25" i="10"/>
  <c r="AJ25" i="10" s="1"/>
  <c r="AK25" i="10" s="1"/>
  <c r="M37" i="10"/>
  <c r="E29" i="13" s="1"/>
  <c r="M33" i="10"/>
  <c r="E25" i="13" s="1"/>
  <c r="O23" i="10"/>
  <c r="M38" i="10"/>
  <c r="E30" i="13" s="1"/>
  <c r="O30" i="13" s="1"/>
  <c r="M35" i="10"/>
  <c r="E27" i="13" s="1"/>
  <c r="P33" i="4"/>
  <c r="Z41" i="10"/>
  <c r="O16" i="10"/>
  <c r="L41" i="10"/>
  <c r="G45" i="10" s="1"/>
  <c r="J45" i="10" s="1"/>
  <c r="W23" i="10"/>
  <c r="P25" i="4"/>
  <c r="M39" i="10"/>
  <c r="E31" i="13" s="1"/>
  <c r="O39" i="10"/>
  <c r="W38" i="10"/>
  <c r="AJ38" i="10" s="1"/>
  <c r="AK38" i="10" s="1"/>
  <c r="P37" i="4"/>
  <c r="P36" i="4"/>
  <c r="P35" i="4"/>
  <c r="M29" i="10"/>
  <c r="E21" i="13" s="1"/>
  <c r="P31" i="4"/>
  <c r="P23" i="4"/>
  <c r="P21" i="4"/>
  <c r="W29" i="10"/>
  <c r="AJ29" i="10" s="1"/>
  <c r="AK29" i="10" s="1"/>
  <c r="P40" i="4"/>
  <c r="W39" i="10"/>
  <c r="G25" i="13"/>
  <c r="P28" i="4"/>
  <c r="G19" i="13"/>
  <c r="O19" i="13" s="1"/>
  <c r="M18" i="10"/>
  <c r="E10" i="13" s="1"/>
  <c r="M12" i="10"/>
  <c r="E4" i="13" s="1"/>
  <c r="O17" i="13"/>
  <c r="F23" i="10"/>
  <c r="F41" i="10" s="1"/>
  <c r="K15" i="13"/>
  <c r="P19" i="4"/>
  <c r="P15" i="4"/>
  <c r="G14" i="13"/>
  <c r="O14" i="13" s="1"/>
  <c r="W22" i="10"/>
  <c r="AJ22" i="10" s="1"/>
  <c r="AK22" i="10" s="1"/>
  <c r="G4" i="13"/>
  <c r="W12" i="10"/>
  <c r="AJ12" i="10" s="1"/>
  <c r="AK12" i="10" s="1"/>
  <c r="P34" i="4"/>
  <c r="P30" i="4"/>
  <c r="P32" i="4"/>
  <c r="P29" i="4"/>
  <c r="W31" i="10"/>
  <c r="AJ31" i="10" s="1"/>
  <c r="AK31" i="10" s="1"/>
  <c r="G23" i="13"/>
  <c r="O23" i="13" s="1"/>
  <c r="W30" i="10"/>
  <c r="AJ30" i="10" s="1"/>
  <c r="AK30" i="10" s="1"/>
  <c r="G22" i="13"/>
  <c r="O22" i="13" s="1"/>
  <c r="W28" i="10"/>
  <c r="AJ28" i="10" s="1"/>
  <c r="AK28" i="10" s="1"/>
  <c r="G20" i="13"/>
  <c r="O20" i="13" s="1"/>
  <c r="P27" i="4"/>
  <c r="G16" i="13"/>
  <c r="O16" i="13" s="1"/>
  <c r="W24" i="10"/>
  <c r="AJ24" i="10" s="1"/>
  <c r="AK24" i="10" s="1"/>
  <c r="P41" i="4"/>
  <c r="P16" i="4"/>
  <c r="P20" i="4"/>
  <c r="P22" i="4"/>
  <c r="B14" i="10"/>
  <c r="G43" i="10"/>
  <c r="J43" i="10" s="1"/>
  <c r="P10" i="4"/>
  <c r="P18" i="4"/>
  <c r="P14" i="4"/>
  <c r="M15" i="10"/>
  <c r="O11" i="4"/>
  <c r="U10" i="10" s="1"/>
  <c r="G2" i="13" s="1"/>
  <c r="O2" i="13" s="1"/>
  <c r="O25" i="13" l="1"/>
  <c r="W16" i="10"/>
  <c r="AJ16" i="10" s="1"/>
  <c r="AK16" i="10" s="1"/>
  <c r="O15" i="13"/>
  <c r="W34" i="10"/>
  <c r="AJ34" i="10" s="1"/>
  <c r="AK34" i="10" s="1"/>
  <c r="G27" i="13"/>
  <c r="O27" i="13" s="1"/>
  <c r="W36" i="10"/>
  <c r="AJ36" i="10" s="1"/>
  <c r="AK36" i="10" s="1"/>
  <c r="W32" i="10"/>
  <c r="AJ32" i="10" s="1"/>
  <c r="AK32" i="10" s="1"/>
  <c r="O29" i="13"/>
  <c r="G12" i="13"/>
  <c r="O12" i="13" s="1"/>
  <c r="AJ23" i="10"/>
  <c r="AK23" i="10" s="1"/>
  <c r="O41" i="10"/>
  <c r="M41" i="10"/>
  <c r="U41" i="10"/>
  <c r="AJ39" i="10"/>
  <c r="AK39" i="10" s="1"/>
  <c r="G31" i="13"/>
  <c r="O31" i="13" s="1"/>
  <c r="W27" i="10"/>
  <c r="AJ27" i="10" s="1"/>
  <c r="AK27" i="10" s="1"/>
  <c r="O4" i="13"/>
  <c r="W33" i="10"/>
  <c r="AJ33" i="10" s="1"/>
  <c r="AK33" i="10" s="1"/>
  <c r="G21" i="13"/>
  <c r="O21" i="13" s="1"/>
  <c r="W37" i="10"/>
  <c r="AJ37" i="10" s="1"/>
  <c r="AK37" i="10" s="1"/>
  <c r="L43" i="10"/>
  <c r="E7" i="13"/>
  <c r="G10" i="13"/>
  <c r="O10" i="13" s="1"/>
  <c r="W18" i="10"/>
  <c r="AJ18" i="10" s="1"/>
  <c r="AK18" i="10" s="1"/>
  <c r="W17" i="10"/>
  <c r="AJ17" i="10" s="1"/>
  <c r="AK17" i="10" s="1"/>
  <c r="G9" i="13"/>
  <c r="O9" i="13" s="1"/>
  <c r="W19" i="10"/>
  <c r="AJ19" i="10" s="1"/>
  <c r="AK19" i="10" s="1"/>
  <c r="G11" i="13"/>
  <c r="O11" i="13" s="1"/>
  <c r="G6" i="13"/>
  <c r="O6" i="13" s="1"/>
  <c r="W14" i="10"/>
  <c r="W15" i="10"/>
  <c r="AJ15" i="10" s="1"/>
  <c r="AK15" i="10" s="1"/>
  <c r="G7" i="13"/>
  <c r="W21" i="10"/>
  <c r="AJ21" i="10" s="1"/>
  <c r="AK21" i="10" s="1"/>
  <c r="G13" i="13"/>
  <c r="O13" i="13" s="1"/>
  <c r="W13" i="10"/>
  <c r="AJ13" i="10" s="1"/>
  <c r="AK13" i="10" s="1"/>
  <c r="G5" i="13"/>
  <c r="O5" i="13" s="1"/>
  <c r="W40" i="10"/>
  <c r="AJ40" i="10" s="1"/>
  <c r="AK40" i="10" s="1"/>
  <c r="W26" i="10"/>
  <c r="AJ26" i="10" s="1"/>
  <c r="AK26" i="10" s="1"/>
  <c r="G18" i="13"/>
  <c r="O18" i="13" s="1"/>
  <c r="P11" i="4"/>
  <c r="B15" i="10"/>
  <c r="K47" i="4"/>
  <c r="O43" i="4"/>
  <c r="P43" i="4" s="1"/>
  <c r="W10" i="10"/>
  <c r="AJ14" i="10" l="1"/>
  <c r="AK14" i="10" s="1"/>
  <c r="O7" i="13"/>
  <c r="W11" i="10"/>
  <c r="AJ11" i="10" s="1"/>
  <c r="AK11" i="10" s="1"/>
  <c r="G3" i="13"/>
  <c r="O3" i="13" s="1"/>
  <c r="M47" i="4"/>
  <c r="L47" i="4"/>
  <c r="AJ10" i="10"/>
  <c r="B16" i="10"/>
  <c r="G47" i="10"/>
  <c r="J47" i="10" s="1"/>
  <c r="L47" i="10" s="1"/>
  <c r="W41" i="10" l="1"/>
  <c r="O33" i="13"/>
  <c r="AK10" i="10"/>
  <c r="AK41" i="10" s="1"/>
  <c r="AJ41" i="10"/>
  <c r="B17" i="10"/>
  <c r="B18" i="10" l="1"/>
  <c r="B19" i="10" l="1"/>
  <c r="B20" i="10" l="1"/>
  <c r="B21" i="10" l="1"/>
  <c r="B22" i="10" l="1"/>
  <c r="B23" i="10" l="1"/>
  <c r="B24" i="10" l="1"/>
  <c r="B25" i="10" l="1"/>
  <c r="B26" i="10" l="1"/>
  <c r="B27" i="10" l="1"/>
  <c r="B28" i="10" l="1"/>
  <c r="B29" i="10" l="1"/>
  <c r="B30" i="10" l="1"/>
  <c r="B31" i="10" l="1"/>
  <c r="B32" i="10" l="1"/>
  <c r="B33" i="10" l="1"/>
  <c r="B34" i="10" l="1"/>
  <c r="B35" i="10" l="1"/>
  <c r="B36" i="10" l="1"/>
  <c r="B37" i="10" l="1"/>
  <c r="B38" i="10" l="1"/>
  <c r="B39" i="10" l="1"/>
  <c r="B40" i="10" l="1"/>
</calcChain>
</file>

<file path=xl/sharedStrings.xml><?xml version="1.0" encoding="utf-8"?>
<sst xmlns="http://schemas.openxmlformats.org/spreadsheetml/2006/main" count="150" uniqueCount="86">
  <si>
    <t xml:space="preserve"> </t>
  </si>
  <si>
    <t>Date</t>
  </si>
  <si>
    <t>total</t>
  </si>
  <si>
    <t>Cons Eau/Hotel</t>
  </si>
  <si>
    <t>Cons Elec/Villa</t>
  </si>
  <si>
    <t>Cons Elec/RIAD</t>
  </si>
  <si>
    <t>creuse 81</t>
  </si>
  <si>
    <t>pleine 82</t>
  </si>
  <si>
    <t>pointe 83</t>
  </si>
  <si>
    <t>ELECTRICITE /        Kw/h</t>
  </si>
  <si>
    <t>EAU HOTEL M3</t>
  </si>
  <si>
    <t>Consommation du jour en DH</t>
  </si>
  <si>
    <t>GAZ  Kg</t>
  </si>
  <si>
    <t>cons C1</t>
  </si>
  <si>
    <t>cons C2</t>
  </si>
  <si>
    <t>cons C3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</si>
  <si>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</si>
  <si>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</si>
  <si>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</si>
  <si>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</si>
  <si>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</si>
  <si>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</si>
  <si>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</si>
  <si>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</si>
  <si>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</si>
  <si>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</si>
  <si>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</si>
  <si>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</si>
  <si>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</si>
  <si>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</si>
  <si>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 xml:space="preserve">total livraison 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</si>
  <si>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</si>
  <si>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</si>
  <si>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</si>
  <si>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</si>
  <si>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</si>
  <si>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</si>
  <si>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</si>
  <si>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>GAZ en Kg</t>
  </si>
  <si>
    <t>Compteur</t>
  </si>
  <si>
    <t xml:space="preserve">Consommation </t>
  </si>
  <si>
    <t>Eau m3</t>
  </si>
  <si>
    <t>Electricité Kw/h</t>
  </si>
  <si>
    <t>Compteur H.Creuse</t>
  </si>
  <si>
    <t>Compteur H.Pleine</t>
  </si>
  <si>
    <t>Consommation H.Pleine</t>
  </si>
  <si>
    <t>Compteur H.Pointe</t>
  </si>
  <si>
    <t>Consommation  H.Pointe</t>
  </si>
  <si>
    <t>Consommation  H.Creuse</t>
  </si>
  <si>
    <t>Relvé C1</t>
  </si>
  <si>
    <t>Relvé C2</t>
  </si>
  <si>
    <t>Relvé C3</t>
  </si>
  <si>
    <t>Relvé C4</t>
  </si>
  <si>
    <t>Température Piscine Adulte à  7h00 °C</t>
  </si>
  <si>
    <t>Température Piscine famille  à  07h00 ° C</t>
  </si>
  <si>
    <t>Température Piscine famille  à  15h00 ° C</t>
  </si>
  <si>
    <t>Température Piscine Adulte  à  15h00 °C</t>
  </si>
  <si>
    <t xml:space="preserve">suivi Gaz </t>
  </si>
  <si>
    <t xml:space="preserve">Suivi  Compteur  d'Eau- électricité RADEEMA -  </t>
  </si>
  <si>
    <t xml:space="preserve">                           </t>
  </si>
  <si>
    <t xml:space="preserve">                    </t>
  </si>
  <si>
    <t>Consommation/Chambre</t>
  </si>
  <si>
    <t>Consommation totale du jour</t>
  </si>
  <si>
    <t>% Occupation</t>
  </si>
  <si>
    <t>Total Occupation</t>
  </si>
  <si>
    <t>consommation du jour  en DH</t>
  </si>
  <si>
    <t>consommation  eau choud en            Mwh</t>
  </si>
  <si>
    <t>Compteur AVEO         Mwh</t>
  </si>
  <si>
    <r>
      <t xml:space="preserve">Température moyenne du jour </t>
    </r>
    <r>
      <rPr>
        <b/>
        <sz val="22"/>
        <rFont val="Times New Roman"/>
        <family val="1"/>
      </rPr>
      <t>°</t>
    </r>
    <r>
      <rPr>
        <b/>
        <sz val="14"/>
        <rFont val="Times New Roman"/>
        <family val="1"/>
      </rPr>
      <t>C</t>
    </r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</si>
  <si>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</si>
  <si>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</si>
  <si>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</si>
  <si>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</si>
  <si>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</si>
  <si>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</si>
  <si>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</si>
  <si>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</si>
  <si>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Heating Kwh</t>
  </si>
  <si>
    <t>District Energy Heating $/Kwh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</si>
  <si>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</si>
  <si>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</si>
  <si>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</si>
  <si>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</si>
  <si>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</si>
  <si>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Marrakech</t>
  </si>
  <si>
    <t>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</si>
</sst>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\ _€_-;\-* #,##0\ _€_-;_-* &quot;-&quot;\ _€_-;_-@_-"/>
    <numFmt numFmtId="165" formatCode="[$-40C]d\-mmm;@"/>
  </numFmts>
  <fonts count="32" x14ac:knownFonts="1">
    <font>
      <sz val="10"/>
      <name val="Arial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36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sz val="18"/>
      <name val="Arial"/>
      <family val="2"/>
    </font>
    <font>
      <b/>
      <sz val="14"/>
      <name val="Times New Roman"/>
      <family val="1"/>
    </font>
    <font>
      <sz val="14"/>
      <name val="Times New Roman"/>
      <family val="1"/>
    </font>
    <font>
      <b/>
      <sz val="14"/>
      <color indexed="12"/>
      <name val="Times New Roman"/>
      <family val="1"/>
    </font>
    <font>
      <b/>
      <sz val="12"/>
      <name val="Times New Roman"/>
      <family val="1"/>
    </font>
    <font>
      <b/>
      <sz val="22"/>
      <name val="Times New Roman"/>
      <family val="1"/>
    </font>
    <font>
      <b/>
      <sz val="16"/>
      <color indexed="9"/>
      <name val="Times New Roman"/>
      <family val="1"/>
    </font>
    <font>
      <b/>
      <sz val="15"/>
      <name val="Times New Roman"/>
      <family val="1"/>
    </font>
    <font>
      <b/>
      <sz val="14"/>
      <color indexed="52"/>
      <name val="Times New Roman"/>
      <family val="1"/>
    </font>
    <font>
      <b/>
      <sz val="14"/>
      <color indexed="9"/>
      <name val="Times New Roman"/>
      <family val="1"/>
    </font>
    <font>
      <b/>
      <sz val="18"/>
      <color indexed="9"/>
      <name val="Times New Roman"/>
      <family val="1"/>
    </font>
    <font>
      <b/>
      <sz val="20"/>
      <color indexed="10"/>
      <name val="Times New Roman"/>
      <family val="1"/>
    </font>
    <font>
      <b/>
      <sz val="20"/>
      <name val="Times New Roman"/>
      <family val="1"/>
    </font>
    <font>
      <shadow/>
      <sz val="36"/>
      <color rgb="FF0000FF"/>
      <name val="Monotype Corsiva"/>
      <family val="4"/>
    </font>
    <font>
      <b/>
      <sz val="11"/>
      <color rgb="FF000000"/>
      <name val="Calibri"/>
      <family val="2"/>
    </font>
    <font>
      <b/>
      <sz val="11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5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5" fillId="0" borderId="0"/>
    <xf numFmtId="0" fontId="14" fillId="0" borderId="0"/>
  </cellStyleXfs>
  <cellXfs count="314">
    <xf numFmtId="0" fontId="0" fillId="0" borderId="0" xfId="0"/>
    <xf numFmtId="0" fontId="3" fillId="2" borderId="0" xfId="0" applyFont="1" applyFill="1" applyBorder="1" applyAlignment="1" applyProtection="1">
      <alignment horizontal="center" vertical="center" wrapText="1"/>
    </xf>
    <xf numFmtId="0" fontId="1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1" fillId="2" borderId="0" xfId="0" applyFont="1" applyFill="1" applyAlignment="1" applyProtection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 applyProtection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0" xfId="0" applyFont="1" applyFill="1" applyBorder="1" applyAlignment="1" applyProtection="1">
      <alignment vertical="center"/>
    </xf>
    <xf numFmtId="14" fontId="10" fillId="0" borderId="0" xfId="0" applyNumberFormat="1" applyFont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horizontal="center" vertical="center"/>
    </xf>
    <xf numFmtId="0" fontId="10" fillId="0" borderId="0" xfId="0" applyFont="1" applyAlignment="1"/>
    <xf numFmtId="0" fontId="13" fillId="0" borderId="2" xfId="0" applyFont="1" applyBorder="1" applyAlignment="1">
      <alignment horizontal="center" vertical="center"/>
    </xf>
    <xf numFmtId="165" fontId="13" fillId="0" borderId="2" xfId="0" applyNumberFormat="1" applyFont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horizontal="center" vertical="center"/>
    </xf>
    <xf numFmtId="0" fontId="12" fillId="6" borderId="6" xfId="0" applyFont="1" applyFill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14" fontId="0" fillId="0" borderId="0" xfId="0" applyNumberFormat="1" applyAlignment="1">
      <alignment horizontal="center"/>
    </xf>
    <xf numFmtId="0" fontId="0" fillId="0" borderId="9" xfId="0" applyBorder="1" applyAlignment="1"/>
    <xf numFmtId="0" fontId="8" fillId="7" borderId="10" xfId="0" applyFont="1" applyFill="1" applyBorder="1" applyAlignment="1">
      <alignment horizontal="center" vertical="center" wrapText="1"/>
    </xf>
    <xf numFmtId="0" fontId="8" fillId="8" borderId="10" xfId="0" applyFont="1" applyFill="1" applyBorder="1" applyAlignment="1">
      <alignment horizontal="center" vertical="center" wrapText="1"/>
    </xf>
    <xf numFmtId="0" fontId="12" fillId="6" borderId="11" xfId="0" applyFont="1" applyFill="1" applyBorder="1" applyAlignment="1">
      <alignment horizontal="center" vertical="center"/>
    </xf>
    <xf numFmtId="0" fontId="12" fillId="6" borderId="12" xfId="0" applyFont="1" applyFill="1" applyBorder="1" applyAlignment="1">
      <alignment horizontal="center" vertical="center"/>
    </xf>
    <xf numFmtId="0" fontId="12" fillId="6" borderId="13" xfId="0" applyFont="1" applyFill="1" applyBorder="1" applyAlignment="1">
      <alignment horizontal="center" vertical="center"/>
    </xf>
    <xf numFmtId="14" fontId="15" fillId="0" borderId="10" xfId="0" applyNumberFormat="1" applyFont="1" applyBorder="1" applyAlignment="1">
      <alignment horizontal="center"/>
    </xf>
    <xf numFmtId="0" fontId="15" fillId="8" borderId="10" xfId="0" applyFont="1" applyFill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7" borderId="10" xfId="0" applyFont="1" applyFill="1" applyBorder="1" applyAlignment="1">
      <alignment horizontal="center" vertical="center" wrapText="1"/>
    </xf>
    <xf numFmtId="14" fontId="15" fillId="0" borderId="0" xfId="0" applyNumberFormat="1" applyFont="1" applyBorder="1" applyAlignment="1">
      <alignment horizontal="center"/>
    </xf>
    <xf numFmtId="2" fontId="4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14" fontId="10" fillId="0" borderId="17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6" borderId="18" xfId="0" applyFont="1" applyFill="1" applyBorder="1" applyAlignment="1">
      <alignment horizontal="center" vertical="center"/>
    </xf>
    <xf numFmtId="0" fontId="10" fillId="6" borderId="19" xfId="0" applyFont="1" applyFill="1" applyBorder="1" applyAlignment="1">
      <alignment horizontal="center" vertical="center"/>
    </xf>
    <xf numFmtId="0" fontId="12" fillId="9" borderId="19" xfId="0" applyFont="1" applyFill="1" applyBorder="1" applyAlignment="1">
      <alignment horizontal="center" vertical="center"/>
    </xf>
    <xf numFmtId="0" fontId="0" fillId="0" borderId="0" xfId="0" applyBorder="1"/>
    <xf numFmtId="0" fontId="15" fillId="0" borderId="0" xfId="0" applyFont="1" applyBorder="1" applyAlignment="1">
      <alignment horizontal="center" vertical="center" wrapText="1"/>
    </xf>
    <xf numFmtId="1" fontId="4" fillId="10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2" fontId="4" fillId="5" borderId="21" xfId="0" applyNumberFormat="1" applyFont="1" applyFill="1" applyBorder="1" applyAlignment="1">
      <alignment horizontal="center" vertical="center"/>
    </xf>
    <xf numFmtId="2" fontId="4" fillId="7" borderId="21" xfId="0" applyNumberFormat="1" applyFont="1" applyFill="1" applyBorder="1" applyAlignment="1">
      <alignment horizontal="center" vertical="center"/>
    </xf>
    <xf numFmtId="0" fontId="4" fillId="11" borderId="22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2" fontId="9" fillId="0" borderId="0" xfId="0" applyNumberFormat="1" applyFont="1" applyFill="1" applyBorder="1" applyAlignment="1">
      <alignment horizontal="center" vertical="center"/>
    </xf>
    <xf numFmtId="2" fontId="4" fillId="18" borderId="23" xfId="0" applyNumberFormat="1" applyFont="1" applyFill="1" applyBorder="1" applyAlignment="1">
      <alignment horizontal="center" vertical="center"/>
    </xf>
    <xf numFmtId="2" fontId="4" fillId="18" borderId="22" xfId="0" applyNumberFormat="1" applyFont="1" applyFill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 wrapText="1"/>
    </xf>
    <xf numFmtId="2" fontId="4" fillId="0" borderId="18" xfId="0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29" fillId="0" borderId="0" xfId="0" applyFont="1"/>
    <xf numFmtId="0" fontId="2" fillId="0" borderId="0" xfId="0" applyFont="1" applyAlignment="1">
      <alignment vertical="center"/>
    </xf>
    <xf numFmtId="0" fontId="18" fillId="2" borderId="0" xfId="0" applyFont="1" applyFill="1" applyBorder="1" applyAlignment="1">
      <alignment horizontal="center" vertical="center"/>
    </xf>
    <xf numFmtId="0" fontId="17" fillId="2" borderId="0" xfId="0" applyFont="1" applyFill="1" applyBorder="1" applyAlignment="1" applyProtection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8" fillId="2" borderId="0" xfId="0" applyFont="1" applyFill="1" applyBorder="1" applyAlignment="1" applyProtection="1">
      <alignment horizontal="center" vertical="center"/>
    </xf>
    <xf numFmtId="0" fontId="19" fillId="2" borderId="0" xfId="0" applyFont="1" applyFill="1" applyBorder="1" applyAlignment="1" applyProtection="1">
      <alignment horizontal="center" vertical="center"/>
    </xf>
    <xf numFmtId="0" fontId="4" fillId="19" borderId="2" xfId="0" applyFont="1" applyFill="1" applyBorder="1" applyAlignment="1">
      <alignment horizontal="center" vertical="center"/>
    </xf>
    <xf numFmtId="10" fontId="4" fillId="12" borderId="2" xfId="0" applyNumberFormat="1" applyFont="1" applyFill="1" applyBorder="1" applyAlignment="1">
      <alignment horizontal="center" vertical="center"/>
    </xf>
    <xf numFmtId="0" fontId="4" fillId="20" borderId="2" xfId="0" applyFont="1" applyFill="1" applyBorder="1" applyAlignment="1">
      <alignment horizontal="center" vertical="center"/>
    </xf>
    <xf numFmtId="0" fontId="4" fillId="20" borderId="30" xfId="0" applyFont="1" applyFill="1" applyBorder="1" applyAlignment="1">
      <alignment horizontal="center" vertical="center"/>
    </xf>
    <xf numFmtId="164" fontId="4" fillId="10" borderId="30" xfId="1" applyNumberFormat="1" applyFont="1" applyFill="1" applyBorder="1" applyAlignment="1" applyProtection="1">
      <alignment horizontal="center" vertical="center"/>
      <protection hidden="1"/>
    </xf>
    <xf numFmtId="0" fontId="4" fillId="21" borderId="2" xfId="0" applyFont="1" applyFill="1" applyBorder="1" applyAlignment="1">
      <alignment horizontal="center" vertical="center"/>
    </xf>
    <xf numFmtId="0" fontId="4" fillId="11" borderId="31" xfId="0" applyNumberFormat="1" applyFont="1" applyFill="1" applyBorder="1" applyAlignment="1">
      <alignment horizontal="center" vertical="center"/>
    </xf>
    <xf numFmtId="0" fontId="4" fillId="2" borderId="14" xfId="0" applyFont="1" applyFill="1" applyBorder="1" applyAlignment="1" applyProtection="1">
      <alignment horizontal="center" vertical="center"/>
      <protection locked="0"/>
    </xf>
    <xf numFmtId="0" fontId="17" fillId="2" borderId="0" xfId="0" applyFont="1" applyFill="1" applyBorder="1" applyAlignment="1">
      <alignment horizontal="center" vertical="center"/>
    </xf>
    <xf numFmtId="0" fontId="17" fillId="2" borderId="0" xfId="0" applyFont="1" applyFill="1" applyBorder="1" applyAlignment="1">
      <alignment vertical="center"/>
    </xf>
    <xf numFmtId="0" fontId="17" fillId="2" borderId="0" xfId="0" applyFont="1" applyFill="1" applyBorder="1" applyAlignment="1" applyProtection="1">
      <alignment vertical="center"/>
    </xf>
    <xf numFmtId="0" fontId="17" fillId="10" borderId="5" xfId="0" applyFont="1" applyFill="1" applyBorder="1" applyAlignment="1" applyProtection="1">
      <alignment vertical="center"/>
    </xf>
    <xf numFmtId="0" fontId="17" fillId="2" borderId="0" xfId="0" applyFont="1" applyFill="1" applyBorder="1" applyAlignment="1" applyProtection="1">
      <alignment horizontal="center" vertical="center" wrapText="1"/>
    </xf>
    <xf numFmtId="0" fontId="17" fillId="10" borderId="33" xfId="0" applyFont="1" applyFill="1" applyBorder="1" applyAlignment="1" applyProtection="1">
      <alignment horizontal="center" vertical="center"/>
    </xf>
    <xf numFmtId="14" fontId="19" fillId="13" borderId="19" xfId="0" applyNumberFormat="1" applyFont="1" applyFill="1" applyBorder="1" applyAlignment="1" applyProtection="1">
      <alignment horizontal="center" vertical="center"/>
    </xf>
    <xf numFmtId="14" fontId="19" fillId="2" borderId="0" xfId="0" applyNumberFormat="1" applyFont="1" applyFill="1" applyBorder="1" applyAlignment="1" applyProtection="1">
      <alignment horizontal="center" vertical="center"/>
    </xf>
    <xf numFmtId="164" fontId="4" fillId="10" borderId="36" xfId="1" applyNumberFormat="1" applyFont="1" applyFill="1" applyBorder="1" applyAlignment="1" applyProtection="1">
      <alignment horizontal="center" vertical="center"/>
      <protection hidden="1"/>
    </xf>
    <xf numFmtId="164" fontId="4" fillId="10" borderId="11" xfId="1" applyNumberFormat="1" applyFont="1" applyFill="1" applyBorder="1" applyAlignment="1" applyProtection="1">
      <alignment horizontal="center" vertical="center"/>
      <protection hidden="1"/>
    </xf>
    <xf numFmtId="0" fontId="4" fillId="2" borderId="16" xfId="0" applyFont="1" applyFill="1" applyBorder="1" applyAlignment="1">
      <alignment horizontal="center" vertical="center"/>
    </xf>
    <xf numFmtId="0" fontId="17" fillId="2" borderId="25" xfId="0" applyFont="1" applyFill="1" applyBorder="1" applyAlignment="1" applyProtection="1">
      <alignment horizontal="center" vertical="center"/>
    </xf>
    <xf numFmtId="14" fontId="19" fillId="2" borderId="25" xfId="0" applyNumberFormat="1" applyFont="1" applyFill="1" applyBorder="1" applyAlignment="1" applyProtection="1">
      <alignment horizontal="center" vertical="center"/>
    </xf>
    <xf numFmtId="0" fontId="17" fillId="2" borderId="0" xfId="0" quotePrefix="1" applyFont="1" applyFill="1" applyBorder="1" applyAlignment="1" applyProtection="1">
      <alignment horizontal="center" vertical="center"/>
    </xf>
    <xf numFmtId="14" fontId="24" fillId="15" borderId="19" xfId="0" applyNumberFormat="1" applyFont="1" applyFill="1" applyBorder="1" applyAlignment="1" applyProtection="1">
      <alignment horizontal="center" vertical="center"/>
    </xf>
    <xf numFmtId="14" fontId="24" fillId="2" borderId="0" xfId="0" applyNumberFormat="1" applyFont="1" applyFill="1" applyBorder="1" applyAlignment="1" applyProtection="1">
      <alignment horizontal="center" vertical="center"/>
    </xf>
    <xf numFmtId="0" fontId="25" fillId="2" borderId="0" xfId="0" applyFont="1" applyFill="1" applyBorder="1" applyAlignment="1">
      <alignment horizontal="center" vertical="center"/>
    </xf>
    <xf numFmtId="0" fontId="26" fillId="2" borderId="0" xfId="0" applyFont="1" applyFill="1" applyBorder="1" applyAlignment="1">
      <alignment horizontal="center" vertical="center"/>
    </xf>
    <xf numFmtId="2" fontId="26" fillId="14" borderId="33" xfId="0" applyNumberFormat="1" applyFont="1" applyFill="1" applyBorder="1" applyAlignment="1">
      <alignment horizontal="center" vertical="center"/>
    </xf>
    <xf numFmtId="0" fontId="26" fillId="14" borderId="33" xfId="0" applyFont="1" applyFill="1" applyBorder="1" applyAlignment="1">
      <alignment horizontal="center" vertical="center"/>
    </xf>
    <xf numFmtId="1" fontId="4" fillId="22" borderId="26" xfId="0" applyNumberFormat="1" applyFont="1" applyFill="1" applyBorder="1" applyAlignment="1">
      <alignment horizontal="center" vertical="center"/>
    </xf>
    <xf numFmtId="0" fontId="17" fillId="23" borderId="18" xfId="0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 wrapText="1"/>
    </xf>
    <xf numFmtId="0" fontId="17" fillId="20" borderId="19" xfId="0" applyFont="1" applyFill="1" applyBorder="1" applyAlignment="1">
      <alignment horizontal="center" vertical="center"/>
    </xf>
    <xf numFmtId="0" fontId="17" fillId="10" borderId="17" xfId="0" applyFont="1" applyFill="1" applyBorder="1" applyAlignment="1">
      <alignment horizontal="center" vertical="center" wrapText="1"/>
    </xf>
    <xf numFmtId="0" fontId="17" fillId="0" borderId="34" xfId="0" applyFont="1" applyFill="1" applyBorder="1" applyAlignment="1">
      <alignment horizontal="center" vertical="center" wrapText="1"/>
    </xf>
    <xf numFmtId="0" fontId="17" fillId="10" borderId="5" xfId="0" applyFont="1" applyFill="1" applyBorder="1" applyAlignment="1">
      <alignment horizontal="center" vertical="center" wrapText="1"/>
    </xf>
    <xf numFmtId="0" fontId="17" fillId="10" borderId="18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>
      <alignment horizontal="center" vertical="center" wrapText="1"/>
    </xf>
    <xf numFmtId="164" fontId="17" fillId="2" borderId="0" xfId="0" applyNumberFormat="1" applyFont="1" applyFill="1" applyBorder="1" applyAlignment="1">
      <alignment horizontal="center" vertical="center" wrapText="1"/>
    </xf>
    <xf numFmtId="10" fontId="17" fillId="23" borderId="33" xfId="0" applyNumberFormat="1" applyFont="1" applyFill="1" applyBorder="1" applyAlignment="1">
      <alignment horizontal="center" vertical="center"/>
    </xf>
    <xf numFmtId="0" fontId="17" fillId="10" borderId="19" xfId="0" applyFont="1" applyFill="1" applyBorder="1" applyAlignment="1">
      <alignment horizontal="center" vertical="center" wrapText="1"/>
    </xf>
    <xf numFmtId="0" fontId="17" fillId="10" borderId="35" xfId="0" applyFont="1" applyFill="1" applyBorder="1" applyAlignment="1">
      <alignment horizontal="center" vertical="center" wrapText="1"/>
    </xf>
    <xf numFmtId="0" fontId="17" fillId="0" borderId="33" xfId="0" applyFont="1" applyFill="1" applyBorder="1" applyAlignment="1">
      <alignment horizontal="center" vertical="center" wrapText="1"/>
    </xf>
    <xf numFmtId="0" fontId="17" fillId="10" borderId="33" xfId="0" applyFont="1" applyFill="1" applyBorder="1" applyAlignment="1">
      <alignment horizontal="center" vertical="center" wrapText="1"/>
    </xf>
    <xf numFmtId="0" fontId="17" fillId="3" borderId="5" xfId="0" applyFont="1" applyFill="1" applyBorder="1" applyAlignment="1">
      <alignment horizontal="center" vertical="center" wrapText="1"/>
    </xf>
    <xf numFmtId="0" fontId="17" fillId="7" borderId="19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 applyProtection="1">
      <alignment vertical="center"/>
    </xf>
    <xf numFmtId="0" fontId="18" fillId="0" borderId="0" xfId="0" applyFont="1" applyFill="1" applyAlignment="1">
      <alignment horizontal="center" vertical="center" wrapText="1"/>
    </xf>
    <xf numFmtId="2" fontId="26" fillId="0" borderId="19" xfId="0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23" fillId="0" borderId="19" xfId="0" applyFont="1" applyFill="1" applyBorder="1" applyAlignment="1">
      <alignment horizontal="center" vertical="center" wrapText="1"/>
    </xf>
    <xf numFmtId="2" fontId="23" fillId="0" borderId="11" xfId="0" applyNumberFormat="1" applyFont="1" applyFill="1" applyBorder="1" applyAlignment="1">
      <alignment horizontal="center" vertical="center" wrapText="1"/>
    </xf>
    <xf numFmtId="2" fontId="23" fillId="0" borderId="2" xfId="0" applyNumberFormat="1" applyFont="1" applyFill="1" applyBorder="1" applyAlignment="1">
      <alignment horizontal="center" vertical="center"/>
    </xf>
    <xf numFmtId="2" fontId="23" fillId="0" borderId="2" xfId="0" applyNumberFormat="1" applyFont="1" applyFill="1" applyBorder="1" applyAlignment="1">
      <alignment horizontal="center" vertical="center" wrapText="1"/>
    </xf>
    <xf numFmtId="2" fontId="23" fillId="0" borderId="37" xfId="0" applyNumberFormat="1" applyFont="1" applyFill="1" applyBorder="1" applyAlignment="1">
      <alignment horizontal="center" vertical="center" wrapText="1"/>
    </xf>
    <xf numFmtId="0" fontId="17" fillId="23" borderId="38" xfId="0" applyFont="1" applyFill="1" applyBorder="1" applyAlignment="1">
      <alignment horizontal="center" vertical="center"/>
    </xf>
    <xf numFmtId="10" fontId="4" fillId="12" borderId="18" xfId="0" applyNumberFormat="1" applyFont="1" applyFill="1" applyBorder="1" applyAlignment="1">
      <alignment horizontal="center" vertical="center"/>
    </xf>
    <xf numFmtId="0" fontId="4" fillId="19" borderId="19" xfId="0" applyFont="1" applyFill="1" applyBorder="1" applyAlignment="1">
      <alignment horizontal="center" vertical="center"/>
    </xf>
    <xf numFmtId="0" fontId="4" fillId="21" borderId="39" xfId="0" applyFont="1" applyFill="1" applyBorder="1" applyAlignment="1">
      <alignment horizontal="center" vertical="center"/>
    </xf>
    <xf numFmtId="0" fontId="12" fillId="24" borderId="40" xfId="0" applyFont="1" applyFill="1" applyBorder="1" applyAlignment="1">
      <alignment vertical="center"/>
    </xf>
    <xf numFmtId="0" fontId="13" fillId="0" borderId="11" xfId="0" applyFont="1" applyBorder="1" applyAlignment="1">
      <alignment horizontal="center" vertical="center"/>
    </xf>
    <xf numFmtId="0" fontId="13" fillId="24" borderId="2" xfId="0" applyFont="1" applyFill="1" applyBorder="1" applyAlignment="1">
      <alignment horizontal="center" vertical="center"/>
    </xf>
    <xf numFmtId="0" fontId="12" fillId="24" borderId="2" xfId="0" applyFont="1" applyFill="1" applyBorder="1" applyAlignment="1">
      <alignment vertical="center"/>
    </xf>
    <xf numFmtId="2" fontId="4" fillId="18" borderId="19" xfId="0" applyNumberFormat="1" applyFont="1" applyFill="1" applyBorder="1" applyAlignment="1">
      <alignment horizontal="center" vertical="center"/>
    </xf>
    <xf numFmtId="0" fontId="4" fillId="23" borderId="19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2" borderId="20" xfId="0" applyFont="1" applyFill="1" applyBorder="1" applyAlignment="1">
      <alignment horizontal="center" vertical="center"/>
    </xf>
    <xf numFmtId="2" fontId="4" fillId="0" borderId="42" xfId="0" applyNumberFormat="1" applyFont="1" applyFill="1" applyBorder="1" applyAlignment="1">
      <alignment horizontal="center" vertical="center"/>
    </xf>
    <xf numFmtId="0" fontId="18" fillId="2" borderId="4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23" fillId="18" borderId="2" xfId="0" applyFont="1" applyFill="1" applyBorder="1" applyAlignment="1">
      <alignment horizontal="center" vertical="center" wrapText="1"/>
    </xf>
    <xf numFmtId="0" fontId="4" fillId="2" borderId="41" xfId="0" applyFont="1" applyFill="1" applyBorder="1" applyAlignment="1">
      <alignment horizontal="center" vertical="center"/>
    </xf>
    <xf numFmtId="0" fontId="4" fillId="2" borderId="16" xfId="0" applyFont="1" applyFill="1" applyBorder="1" applyAlignment="1" applyProtection="1">
      <alignment horizontal="center" vertical="center"/>
      <protection locked="0"/>
    </xf>
    <xf numFmtId="0" fontId="4" fillId="2" borderId="44" xfId="0" applyFont="1" applyFill="1" applyBorder="1" applyAlignment="1">
      <alignment horizontal="center" vertical="center"/>
    </xf>
    <xf numFmtId="0" fontId="17" fillId="2" borderId="45" xfId="0" applyFont="1" applyFill="1" applyBorder="1" applyAlignment="1" applyProtection="1">
      <alignment horizontal="center" vertical="center"/>
    </xf>
    <xf numFmtId="0" fontId="23" fillId="18" borderId="12" xfId="0" applyFont="1" applyFill="1" applyBorder="1" applyAlignment="1">
      <alignment horizontal="center" vertical="center" wrapText="1"/>
    </xf>
    <xf numFmtId="0" fontId="30" fillId="0" borderId="47" xfId="0" applyFont="1" applyFill="1" applyBorder="1"/>
    <xf numFmtId="0" fontId="30" fillId="0" borderId="47" xfId="0" applyFont="1" applyFill="1" applyBorder="1" applyAlignment="1">
      <alignment wrapText="1"/>
    </xf>
    <xf numFmtId="2" fontId="31" fillId="0" borderId="47" xfId="0" applyNumberFormat="1" applyFont="1" applyFill="1" applyBorder="1" applyAlignment="1">
      <alignment wrapText="1"/>
    </xf>
    <xf numFmtId="0" fontId="5" fillId="0" borderId="0" xfId="0" applyFont="1" applyFill="1" applyBorder="1"/>
    <xf numFmtId="0" fontId="0" fillId="0" borderId="0" xfId="0" applyFont="1" applyFill="1" applyBorder="1"/>
    <xf numFmtId="1" fontId="0" fillId="0" borderId="0" xfId="0" applyNumberFormat="1" applyFont="1" applyFill="1" applyBorder="1"/>
    <xf numFmtId="2" fontId="0" fillId="0" borderId="0" xfId="0" applyNumberFormat="1" applyFont="1" applyFill="1" applyBorder="1"/>
    <xf numFmtId="0" fontId="2" fillId="0" borderId="26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6" fillId="13" borderId="26" xfId="0" applyFont="1" applyFill="1" applyBorder="1" applyAlignment="1">
      <alignment horizontal="center" vertical="center"/>
    </xf>
    <xf numFmtId="0" fontId="6" fillId="13" borderId="38" xfId="0" applyFont="1" applyFill="1" applyBorder="1" applyAlignment="1">
      <alignment horizontal="center" vertical="center"/>
    </xf>
    <xf numFmtId="0" fontId="1" fillId="0" borderId="0" xfId="0" applyFont="1" applyFill="1" applyBorder="1" applyAlignment="1" applyProtection="1">
      <alignment horizontal="center" vertical="center" wrapText="1"/>
    </xf>
    <xf numFmtId="0" fontId="2" fillId="2" borderId="0" xfId="0" applyFont="1" applyFill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2" borderId="47" xfId="0" applyFont="1" applyFill="1" applyBorder="1" applyAlignment="1" applyProtection="1">
      <alignment horizontal="center" vertical="center"/>
    </xf>
    <xf numFmtId="0" fontId="18" fillId="2" borderId="0" xfId="0" applyFont="1" applyFill="1" applyBorder="1" applyAlignment="1" applyProtection="1">
      <alignment horizontal="center" vertical="center"/>
    </xf>
    <xf numFmtId="0" fontId="19" fillId="13" borderId="19" xfId="0" applyFont="1" applyFill="1" applyBorder="1" applyAlignment="1" applyProtection="1">
      <alignment horizontal="center" vertical="center"/>
    </xf>
    <xf numFmtId="0" fontId="20" fillId="11" borderId="5" xfId="0" applyFont="1" applyFill="1" applyBorder="1" applyAlignment="1" applyProtection="1">
      <alignment horizontal="center" vertical="center" wrapText="1"/>
    </xf>
    <xf numFmtId="0" fontId="20" fillId="11" borderId="34" xfId="0" applyFont="1" applyFill="1" applyBorder="1" applyAlignment="1" applyProtection="1">
      <alignment horizontal="center" vertical="center" wrapText="1"/>
    </xf>
    <xf numFmtId="0" fontId="20" fillId="5" borderId="6" xfId="0" applyFont="1" applyFill="1" applyBorder="1" applyAlignment="1" applyProtection="1">
      <alignment horizontal="center" vertical="center" wrapText="1"/>
    </xf>
    <xf numFmtId="0" fontId="20" fillId="5" borderId="43" xfId="0" applyFont="1" applyFill="1" applyBorder="1" applyAlignment="1" applyProtection="1">
      <alignment horizontal="center" vertical="center" wrapText="1"/>
    </xf>
    <xf numFmtId="0" fontId="20" fillId="5" borderId="17" xfId="0" applyFont="1" applyFill="1" applyBorder="1" applyAlignment="1" applyProtection="1">
      <alignment horizontal="center" vertical="center" wrapText="1"/>
    </xf>
    <xf numFmtId="0" fontId="20" fillId="5" borderId="9" xfId="0" applyFont="1" applyFill="1" applyBorder="1" applyAlignment="1" applyProtection="1">
      <alignment horizontal="center" vertical="center" wrapText="1"/>
    </xf>
    <xf numFmtId="0" fontId="20" fillId="5" borderId="0" xfId="0" applyFont="1" applyFill="1" applyBorder="1" applyAlignment="1" applyProtection="1">
      <alignment horizontal="center" vertical="center" wrapText="1"/>
    </xf>
    <xf numFmtId="0" fontId="20" fillId="5" borderId="48" xfId="0" applyFont="1" applyFill="1" applyBorder="1" applyAlignment="1" applyProtection="1">
      <alignment horizontal="center" vertical="center" wrapText="1"/>
    </xf>
    <xf numFmtId="0" fontId="17" fillId="10" borderId="18" xfId="0" applyFont="1" applyFill="1" applyBorder="1" applyAlignment="1" applyProtection="1">
      <alignment horizontal="center" vertical="center"/>
    </xf>
    <xf numFmtId="0" fontId="17" fillId="21" borderId="5" xfId="0" applyFont="1" applyFill="1" applyBorder="1" applyAlignment="1">
      <alignment horizontal="center" vertical="center" wrapText="1"/>
    </xf>
    <xf numFmtId="0" fontId="17" fillId="21" borderId="33" xfId="0" applyFont="1" applyFill="1" applyBorder="1" applyAlignment="1">
      <alignment horizontal="center" vertical="center" wrapText="1"/>
    </xf>
    <xf numFmtId="0" fontId="17" fillId="20" borderId="5" xfId="0" applyFont="1" applyFill="1" applyBorder="1" applyAlignment="1">
      <alignment horizontal="center" vertical="center" wrapText="1"/>
    </xf>
    <xf numFmtId="0" fontId="17" fillId="20" borderId="33" xfId="0" applyFont="1" applyFill="1" applyBorder="1" applyAlignment="1">
      <alignment horizontal="center" vertical="center" wrapText="1"/>
    </xf>
    <xf numFmtId="2" fontId="4" fillId="5" borderId="7" xfId="0" applyNumberFormat="1" applyFont="1" applyFill="1" applyBorder="1" applyAlignment="1">
      <alignment horizontal="center" vertical="center"/>
    </xf>
    <xf numFmtId="2" fontId="4" fillId="5" borderId="49" xfId="0" applyNumberFormat="1" applyFont="1" applyFill="1" applyBorder="1" applyAlignment="1">
      <alignment horizontal="center" vertical="center"/>
    </xf>
    <xf numFmtId="2" fontId="4" fillId="5" borderId="8" xfId="0" applyNumberFormat="1" applyFont="1" applyFill="1" applyBorder="1" applyAlignment="1">
      <alignment horizontal="center" vertical="center"/>
    </xf>
    <xf numFmtId="0" fontId="17" fillId="5" borderId="5" xfId="0" applyFont="1" applyFill="1" applyBorder="1" applyAlignment="1" applyProtection="1">
      <alignment horizontal="center" vertical="center" wrapText="1"/>
    </xf>
    <xf numFmtId="0" fontId="18" fillId="5" borderId="34" xfId="0" applyFont="1" applyFill="1" applyBorder="1" applyAlignment="1">
      <alignment horizontal="center" vertical="center" wrapText="1"/>
    </xf>
    <xf numFmtId="0" fontId="17" fillId="12" borderId="5" xfId="0" applyFont="1" applyFill="1" applyBorder="1" applyAlignment="1" applyProtection="1">
      <alignment horizontal="center" vertical="center" wrapText="1"/>
    </xf>
    <xf numFmtId="0" fontId="18" fillId="12" borderId="33" xfId="0" applyFont="1" applyFill="1" applyBorder="1" applyAlignment="1">
      <alignment horizontal="center" vertical="center" wrapText="1"/>
    </xf>
    <xf numFmtId="0" fontId="17" fillId="7" borderId="19" xfId="0" applyFont="1" applyFill="1" applyBorder="1" applyAlignment="1" applyProtection="1">
      <alignment horizontal="center" vertical="center"/>
    </xf>
    <xf numFmtId="0" fontId="18" fillId="7" borderId="5" xfId="0" applyFont="1" applyFill="1" applyBorder="1" applyAlignment="1">
      <alignment horizontal="center" vertical="center"/>
    </xf>
    <xf numFmtId="0" fontId="17" fillId="18" borderId="6" xfId="0" applyFont="1" applyFill="1" applyBorder="1" applyAlignment="1">
      <alignment horizontal="center" vertical="center" wrapText="1"/>
    </xf>
    <xf numFmtId="0" fontId="17" fillId="18" borderId="46" xfId="0" applyFont="1" applyFill="1" applyBorder="1" applyAlignment="1">
      <alignment horizontal="center" vertical="center" wrapText="1"/>
    </xf>
    <xf numFmtId="0" fontId="4" fillId="18" borderId="5" xfId="0" applyFont="1" applyFill="1" applyBorder="1" applyAlignment="1">
      <alignment horizontal="center" vertical="center" wrapText="1"/>
    </xf>
    <xf numFmtId="0" fontId="4" fillId="18" borderId="34" xfId="0" applyFont="1" applyFill="1" applyBorder="1" applyAlignment="1">
      <alignment horizontal="center" vertical="center" wrapText="1"/>
    </xf>
    <xf numFmtId="0" fontId="4" fillId="18" borderId="17" xfId="0" applyFont="1" applyFill="1" applyBorder="1" applyAlignment="1">
      <alignment horizontal="center" vertical="center" wrapText="1"/>
    </xf>
    <xf numFmtId="0" fontId="4" fillId="18" borderId="35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 applyProtection="1">
      <alignment horizontal="center" vertical="center" wrapText="1"/>
    </xf>
    <xf numFmtId="0" fontId="17" fillId="11" borderId="5" xfId="0" applyFont="1" applyFill="1" applyBorder="1" applyAlignment="1" applyProtection="1">
      <alignment horizontal="center" vertical="center" wrapText="1"/>
    </xf>
    <xf numFmtId="0" fontId="18" fillId="11" borderId="33" xfId="0" applyFont="1" applyFill="1" applyBorder="1" applyAlignment="1">
      <alignment horizontal="center" vertical="center" wrapText="1"/>
    </xf>
    <xf numFmtId="0" fontId="18" fillId="5" borderId="33" xfId="0" applyFont="1" applyFill="1" applyBorder="1" applyAlignment="1">
      <alignment horizontal="center" vertical="center" wrapText="1"/>
    </xf>
    <xf numFmtId="2" fontId="4" fillId="5" borderId="3" xfId="0" applyNumberFormat="1" applyFont="1" applyFill="1" applyBorder="1" applyAlignment="1">
      <alignment horizontal="center" vertical="center"/>
    </xf>
    <xf numFmtId="2" fontId="4" fillId="5" borderId="27" xfId="0" applyNumberFormat="1" applyFont="1" applyFill="1" applyBorder="1" applyAlignment="1">
      <alignment horizontal="center" vertical="center"/>
    </xf>
    <xf numFmtId="2" fontId="4" fillId="5" borderId="4" xfId="0" applyNumberFormat="1" applyFont="1" applyFill="1" applyBorder="1" applyAlignment="1">
      <alignment horizontal="center" vertical="center"/>
    </xf>
    <xf numFmtId="2" fontId="4" fillId="5" borderId="50" xfId="0" applyNumberFormat="1" applyFont="1" applyFill="1" applyBorder="1" applyAlignment="1">
      <alignment horizontal="center" vertical="center"/>
    </xf>
    <xf numFmtId="2" fontId="4" fillId="5" borderId="28" xfId="0" applyNumberFormat="1" applyFont="1" applyFill="1" applyBorder="1" applyAlignment="1">
      <alignment horizontal="center" vertical="center"/>
    </xf>
    <xf numFmtId="2" fontId="4" fillId="5" borderId="51" xfId="0" applyNumberFormat="1" applyFont="1" applyFill="1" applyBorder="1" applyAlignment="1">
      <alignment horizontal="center" vertical="center"/>
    </xf>
    <xf numFmtId="2" fontId="4" fillId="5" borderId="29" xfId="0" applyNumberFormat="1" applyFont="1" applyFill="1" applyBorder="1" applyAlignment="1">
      <alignment horizontal="center" vertical="center"/>
    </xf>
    <xf numFmtId="2" fontId="4" fillId="5" borderId="12" xfId="0" applyNumberFormat="1" applyFont="1" applyFill="1" applyBorder="1" applyAlignment="1">
      <alignment horizontal="center" vertical="center"/>
    </xf>
    <xf numFmtId="2" fontId="4" fillId="5" borderId="13" xfId="0" applyNumberFormat="1" applyFont="1" applyFill="1" applyBorder="1" applyAlignment="1">
      <alignment horizontal="center" vertical="center"/>
    </xf>
    <xf numFmtId="2" fontId="4" fillId="5" borderId="24" xfId="0" applyNumberFormat="1" applyFont="1" applyFill="1" applyBorder="1" applyAlignment="1">
      <alignment horizontal="center" vertical="center"/>
    </xf>
    <xf numFmtId="2" fontId="4" fillId="5" borderId="32" xfId="0" applyNumberFormat="1" applyFont="1" applyFill="1" applyBorder="1" applyAlignment="1">
      <alignment horizontal="center" vertical="center"/>
    </xf>
    <xf numFmtId="2" fontId="4" fillId="5" borderId="52" xfId="0" applyNumberFormat="1" applyFont="1" applyFill="1" applyBorder="1" applyAlignment="1">
      <alignment horizontal="center" vertical="center"/>
    </xf>
    <xf numFmtId="2" fontId="22" fillId="14" borderId="46" xfId="0" applyNumberFormat="1" applyFont="1" applyFill="1" applyBorder="1" applyAlignment="1">
      <alignment horizontal="center" vertical="center"/>
    </xf>
    <xf numFmtId="0" fontId="22" fillId="14" borderId="47" xfId="0" applyFont="1" applyFill="1" applyBorder="1" applyAlignment="1">
      <alignment horizontal="center" vertical="center"/>
    </xf>
    <xf numFmtId="0" fontId="22" fillId="14" borderId="35" xfId="0" applyFont="1" applyFill="1" applyBorder="1" applyAlignment="1">
      <alignment horizontal="center" vertical="center"/>
    </xf>
    <xf numFmtId="0" fontId="25" fillId="0" borderId="0" xfId="0" applyFont="1" applyFill="1" applyBorder="1" applyAlignment="1">
      <alignment horizontal="center" vertical="center"/>
    </xf>
    <xf numFmtId="0" fontId="17" fillId="10" borderId="6" xfId="0" applyFont="1" applyFill="1" applyBorder="1" applyAlignment="1">
      <alignment horizontal="center" vertical="center" wrapText="1"/>
    </xf>
    <xf numFmtId="0" fontId="17" fillId="10" borderId="43" xfId="0" applyFont="1" applyFill="1" applyBorder="1" applyAlignment="1">
      <alignment horizontal="center" vertical="center" wrapText="1"/>
    </xf>
    <xf numFmtId="0" fontId="17" fillId="10" borderId="17" xfId="0" applyFont="1" applyFill="1" applyBorder="1" applyAlignment="1">
      <alignment horizontal="center" vertical="center" wrapText="1"/>
    </xf>
    <xf numFmtId="0" fontId="17" fillId="10" borderId="9" xfId="0" applyFont="1" applyFill="1" applyBorder="1" applyAlignment="1">
      <alignment horizontal="center" vertical="center" wrapText="1"/>
    </xf>
    <xf numFmtId="0" fontId="17" fillId="10" borderId="0" xfId="0" applyFont="1" applyFill="1" applyBorder="1" applyAlignment="1">
      <alignment horizontal="center" vertical="center" wrapText="1"/>
    </xf>
    <xf numFmtId="0" fontId="17" fillId="10" borderId="48" xfId="0" applyFont="1" applyFill="1" applyBorder="1" applyAlignment="1">
      <alignment horizontal="center" vertical="center" wrapText="1"/>
    </xf>
    <xf numFmtId="0" fontId="17" fillId="10" borderId="26" xfId="0" applyFont="1" applyFill="1" applyBorder="1" applyAlignment="1">
      <alignment horizontal="center" vertical="center" wrapText="1"/>
    </xf>
    <xf numFmtId="0" fontId="17" fillId="10" borderId="38" xfId="0" applyFont="1" applyFill="1" applyBorder="1" applyAlignment="1">
      <alignment horizontal="center" vertical="center" wrapText="1"/>
    </xf>
    <xf numFmtId="0" fontId="17" fillId="10" borderId="18" xfId="0" applyFont="1" applyFill="1" applyBorder="1" applyAlignment="1">
      <alignment horizontal="center" vertical="center" wrapText="1"/>
    </xf>
    <xf numFmtId="2" fontId="17" fillId="10" borderId="26" xfId="0" applyNumberFormat="1" applyFont="1" applyFill="1" applyBorder="1" applyAlignment="1">
      <alignment horizontal="center" vertical="center" wrapText="1"/>
    </xf>
    <xf numFmtId="2" fontId="17" fillId="10" borderId="18" xfId="0" applyNumberFormat="1" applyFont="1" applyFill="1" applyBorder="1" applyAlignment="1">
      <alignment horizontal="center" vertical="center" wrapText="1"/>
    </xf>
    <xf numFmtId="2" fontId="27" fillId="10" borderId="6" xfId="0" applyNumberFormat="1" applyFont="1" applyFill="1" applyBorder="1" applyAlignment="1" applyProtection="1">
      <alignment horizontal="center" vertical="center" wrapText="1"/>
    </xf>
    <xf numFmtId="2" fontId="27" fillId="10" borderId="43" xfId="0" applyNumberFormat="1" applyFont="1" applyFill="1" applyBorder="1" applyAlignment="1" applyProtection="1">
      <alignment horizontal="center" vertical="center" wrapText="1"/>
    </xf>
    <xf numFmtId="2" fontId="27" fillId="10" borderId="17" xfId="0" applyNumberFormat="1" applyFont="1" applyFill="1" applyBorder="1" applyAlignment="1" applyProtection="1">
      <alignment horizontal="center" vertical="center" wrapText="1"/>
    </xf>
    <xf numFmtId="2" fontId="27" fillId="10" borderId="9" xfId="0" applyNumberFormat="1" applyFont="1" applyFill="1" applyBorder="1" applyAlignment="1" applyProtection="1">
      <alignment horizontal="center" vertical="center" wrapText="1"/>
    </xf>
    <xf numFmtId="2" fontId="27" fillId="10" borderId="0" xfId="0" applyNumberFormat="1" applyFont="1" applyFill="1" applyBorder="1" applyAlignment="1" applyProtection="1">
      <alignment horizontal="center" vertical="center" wrapText="1"/>
    </xf>
    <xf numFmtId="2" fontId="27" fillId="10" borderId="48" xfId="0" applyNumberFormat="1" applyFont="1" applyFill="1" applyBorder="1" applyAlignment="1" applyProtection="1">
      <alignment horizontal="center" vertical="center" wrapText="1"/>
    </xf>
    <xf numFmtId="2" fontId="27" fillId="10" borderId="46" xfId="0" applyNumberFormat="1" applyFont="1" applyFill="1" applyBorder="1" applyAlignment="1" applyProtection="1">
      <alignment horizontal="center" vertical="center" wrapText="1"/>
    </xf>
    <xf numFmtId="2" fontId="27" fillId="10" borderId="47" xfId="0" applyNumberFormat="1" applyFont="1" applyFill="1" applyBorder="1" applyAlignment="1" applyProtection="1">
      <alignment horizontal="center" vertical="center" wrapText="1"/>
    </xf>
    <xf numFmtId="2" fontId="27" fillId="10" borderId="35" xfId="0" applyNumberFormat="1" applyFont="1" applyFill="1" applyBorder="1" applyAlignment="1" applyProtection="1">
      <alignment horizontal="center" vertical="center" wrapText="1"/>
    </xf>
    <xf numFmtId="0" fontId="17" fillId="10" borderId="46" xfId="0" applyFont="1" applyFill="1" applyBorder="1" applyAlignment="1">
      <alignment horizontal="center" vertical="center" wrapText="1"/>
    </xf>
    <xf numFmtId="0" fontId="17" fillId="10" borderId="47" xfId="0" applyFont="1" applyFill="1" applyBorder="1" applyAlignment="1">
      <alignment horizontal="center" vertical="center" wrapText="1"/>
    </xf>
    <xf numFmtId="0" fontId="17" fillId="10" borderId="35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7" fillId="3" borderId="26" xfId="0" applyFont="1" applyFill="1" applyBorder="1" applyAlignment="1">
      <alignment horizontal="center" vertical="center" wrapText="1"/>
    </xf>
    <xf numFmtId="0" fontId="17" fillId="3" borderId="38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  <xf numFmtId="2" fontId="17" fillId="3" borderId="26" xfId="0" applyNumberFormat="1" applyFont="1" applyFill="1" applyBorder="1" applyAlignment="1">
      <alignment horizontal="center" vertical="center" wrapText="1"/>
    </xf>
    <xf numFmtId="2" fontId="17" fillId="3" borderId="18" xfId="0" applyNumberFormat="1" applyFont="1" applyFill="1" applyBorder="1" applyAlignment="1">
      <alignment horizontal="center" vertical="center" wrapText="1"/>
    </xf>
    <xf numFmtId="2" fontId="27" fillId="3" borderId="26" xfId="0" applyNumberFormat="1" applyFont="1" applyFill="1" applyBorder="1" applyAlignment="1" applyProtection="1">
      <alignment horizontal="center" vertical="center" wrapText="1"/>
    </xf>
    <xf numFmtId="2" fontId="27" fillId="3" borderId="38" xfId="0" applyNumberFormat="1" applyFont="1" applyFill="1" applyBorder="1" applyAlignment="1" applyProtection="1">
      <alignment horizontal="center" vertical="center" wrapText="1"/>
    </xf>
    <xf numFmtId="2" fontId="27" fillId="3" borderId="18" xfId="0" applyNumberFormat="1" applyFont="1" applyFill="1" applyBorder="1" applyAlignment="1" applyProtection="1">
      <alignment horizontal="center" vertical="center" wrapText="1"/>
    </xf>
    <xf numFmtId="0" fontId="17" fillId="7" borderId="26" xfId="0" applyFont="1" applyFill="1" applyBorder="1" applyAlignment="1">
      <alignment horizontal="center" vertical="center" wrapText="1"/>
    </xf>
    <xf numFmtId="0" fontId="17" fillId="7" borderId="38" xfId="0" applyFont="1" applyFill="1" applyBorder="1" applyAlignment="1">
      <alignment horizontal="center" vertical="center" wrapText="1"/>
    </xf>
    <xf numFmtId="0" fontId="17" fillId="7" borderId="18" xfId="0" applyFont="1" applyFill="1" applyBorder="1" applyAlignment="1">
      <alignment horizontal="center" vertical="center" wrapText="1"/>
    </xf>
    <xf numFmtId="2" fontId="17" fillId="7" borderId="26" xfId="0" applyNumberFormat="1" applyFont="1" applyFill="1" applyBorder="1" applyAlignment="1">
      <alignment horizontal="center" vertical="center" wrapText="1"/>
    </xf>
    <xf numFmtId="2" fontId="17" fillId="7" borderId="38" xfId="0" applyNumberFormat="1" applyFont="1" applyFill="1" applyBorder="1" applyAlignment="1">
      <alignment horizontal="center" vertical="center" wrapText="1"/>
    </xf>
    <xf numFmtId="2" fontId="17" fillId="7" borderId="18" xfId="0" applyNumberFormat="1" applyFont="1" applyFill="1" applyBorder="1" applyAlignment="1">
      <alignment horizontal="center" vertical="center" wrapText="1"/>
    </xf>
    <xf numFmtId="2" fontId="28" fillId="7" borderId="26" xfId="0" applyNumberFormat="1" applyFont="1" applyFill="1" applyBorder="1" applyAlignment="1" applyProtection="1">
      <alignment horizontal="center" vertical="center" wrapText="1"/>
    </xf>
    <xf numFmtId="2" fontId="28" fillId="7" borderId="38" xfId="0" applyNumberFormat="1" applyFont="1" applyFill="1" applyBorder="1" applyAlignment="1" applyProtection="1">
      <alignment horizontal="center" vertical="center" wrapText="1"/>
    </xf>
    <xf numFmtId="2" fontId="28" fillId="7" borderId="18" xfId="0" applyNumberFormat="1" applyFont="1" applyFill="1" applyBorder="1" applyAlignment="1" applyProtection="1">
      <alignment horizontal="center" vertical="center" wrapText="1"/>
    </xf>
    <xf numFmtId="14" fontId="10" fillId="0" borderId="47" xfId="0" applyNumberFormat="1" applyFont="1" applyBorder="1" applyAlignment="1">
      <alignment horizontal="center" vertical="center"/>
    </xf>
    <xf numFmtId="14" fontId="10" fillId="0" borderId="35" xfId="0" applyNumberFormat="1" applyFont="1" applyBorder="1" applyAlignment="1">
      <alignment horizontal="center" vertical="center"/>
    </xf>
    <xf numFmtId="0" fontId="11" fillId="17" borderId="46" xfId="0" applyFont="1" applyFill="1" applyBorder="1" applyAlignment="1">
      <alignment horizontal="center" vertical="center"/>
    </xf>
    <xf numFmtId="0" fontId="11" fillId="17" borderId="47" xfId="0" applyFont="1" applyFill="1" applyBorder="1" applyAlignment="1">
      <alignment horizontal="center" vertical="center"/>
    </xf>
    <xf numFmtId="0" fontId="11" fillId="17" borderId="35" xfId="0" applyFont="1" applyFill="1" applyBorder="1" applyAlignment="1">
      <alignment horizontal="center" vertical="center"/>
    </xf>
    <xf numFmtId="0" fontId="10" fillId="0" borderId="46" xfId="0" applyFont="1" applyBorder="1" applyAlignment="1">
      <alignment horizontal="center"/>
    </xf>
    <xf numFmtId="0" fontId="10" fillId="0" borderId="47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49" xfId="0" applyFont="1" applyBorder="1" applyAlignment="1">
      <alignment horizontal="center"/>
    </xf>
    <xf numFmtId="0" fontId="10" fillId="0" borderId="38" xfId="0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3" fillId="0" borderId="7" xfId="0" applyFont="1" applyBorder="1" applyAlignment="1">
      <alignment horizontal="center" vertical="center"/>
    </xf>
    <xf numFmtId="0" fontId="13" fillId="0" borderId="49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2" fillId="16" borderId="41" xfId="0" applyFont="1" applyFill="1" applyBorder="1" applyAlignment="1">
      <alignment horizontal="center" vertical="center"/>
    </xf>
    <xf numFmtId="0" fontId="12" fillId="16" borderId="53" xfId="0" applyFont="1" applyFill="1" applyBorder="1" applyAlignment="1">
      <alignment horizontal="center" vertical="center"/>
    </xf>
    <xf numFmtId="0" fontId="12" fillId="16" borderId="40" xfId="0" applyFont="1" applyFill="1" applyBorder="1" applyAlignment="1">
      <alignment horizontal="center" vertical="center"/>
    </xf>
    <xf numFmtId="0" fontId="12" fillId="16" borderId="54" xfId="0" applyFont="1" applyFill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 wrapText="1"/>
    </xf>
    <xf numFmtId="0" fontId="1" fillId="13" borderId="6" xfId="0" applyFont="1" applyFill="1" applyBorder="1" applyAlignment="1">
      <alignment horizontal="center" vertical="center" wrapText="1"/>
    </xf>
    <xf numFmtId="0" fontId="1" fillId="13" borderId="43" xfId="0" applyFont="1" applyFill="1" applyBorder="1" applyAlignment="1">
      <alignment horizontal="center" vertical="center" wrapText="1"/>
    </xf>
    <xf numFmtId="0" fontId="1" fillId="13" borderId="17" xfId="0" applyFont="1" applyFill="1" applyBorder="1" applyAlignment="1">
      <alignment horizontal="center" vertical="center" wrapText="1"/>
    </xf>
    <xf numFmtId="0" fontId="1" fillId="13" borderId="9" xfId="0" applyFont="1" applyFill="1" applyBorder="1" applyAlignment="1">
      <alignment horizontal="center" vertical="center" wrapText="1"/>
    </xf>
    <xf numFmtId="0" fontId="1" fillId="13" borderId="0" xfId="0" applyFont="1" applyFill="1" applyBorder="1" applyAlignment="1">
      <alignment horizontal="center" vertical="center" wrapText="1"/>
    </xf>
    <xf numFmtId="0" fontId="1" fillId="13" borderId="48" xfId="0" applyFont="1" applyFill="1" applyBorder="1" applyAlignment="1">
      <alignment horizontal="center" vertical="center" wrapText="1"/>
    </xf>
    <xf numFmtId="0" fontId="1" fillId="13" borderId="46" xfId="0" applyFont="1" applyFill="1" applyBorder="1" applyAlignment="1">
      <alignment horizontal="center" vertical="center" wrapText="1"/>
    </xf>
    <xf numFmtId="0" fontId="1" fillId="13" borderId="47" xfId="0" applyFont="1" applyFill="1" applyBorder="1" applyAlignment="1">
      <alignment horizontal="center" vertical="center" wrapText="1"/>
    </xf>
    <xf numFmtId="0" fontId="1" fillId="13" borderId="35" xfId="0" applyFont="1" applyFill="1" applyBorder="1" applyAlignment="1">
      <alignment horizontal="center" vertical="center" wrapText="1"/>
    </xf>
    <xf numFmtId="0" fontId="1" fillId="0" borderId="43" xfId="0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48" xfId="0" applyFont="1" applyFill="1" applyBorder="1" applyAlignment="1">
      <alignment horizontal="center" vertical="center"/>
    </xf>
    <xf numFmtId="0" fontId="1" fillId="0" borderId="47" xfId="0" applyFont="1" applyFill="1" applyBorder="1" applyAlignment="1">
      <alignment horizontal="center" vertical="center"/>
    </xf>
    <xf numFmtId="0" fontId="1" fillId="0" borderId="35" xfId="0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horizontal="center"/>
    </xf>
    <xf numFmtId="0" fontId="8" fillId="7" borderId="10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5" xfId="0" applyBorder="1" applyAlignment="1">
      <alignment horizontal="center"/>
    </xf>
  </cellXfs>
  <cellStyles count="3">
    <cellStyle name="Normal" xfId="0" builtinId="0"/>
    <cellStyle name="Normal 2" xfId="1"/>
    <cellStyle name="Normal 3" xfId="2"/>
  </cellStyles>
  <dxfs count="77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Eau en m3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793869226970314E-2"/>
          <c:y val="0.10320026356974787"/>
          <c:w val="0.92537354342610589"/>
          <c:h val="0.68260228189298988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EAU-ELEC'!$B$7:$C$7</c:f>
              <c:strCache>
                <c:ptCount val="1"/>
                <c:pt idx="0">
                  <c:v>Eau m3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44075</c:v>
                </c:pt>
                <c:pt idx="1">
                  <c:v>44076</c:v>
                </c:pt>
                <c:pt idx="2">
                  <c:v>44077</c:v>
                </c:pt>
                <c:pt idx="3">
                  <c:v>44078</c:v>
                </c:pt>
                <c:pt idx="4">
                  <c:v>44079</c:v>
                </c:pt>
                <c:pt idx="5">
                  <c:v>44080</c:v>
                </c:pt>
                <c:pt idx="6">
                  <c:v>44081</c:v>
                </c:pt>
                <c:pt idx="7">
                  <c:v>44082</c:v>
                </c:pt>
                <c:pt idx="8">
                  <c:v>44083</c:v>
                </c:pt>
                <c:pt idx="9">
                  <c:v>44084</c:v>
                </c:pt>
                <c:pt idx="10">
                  <c:v>44085</c:v>
                </c:pt>
                <c:pt idx="11">
                  <c:v>44086</c:v>
                </c:pt>
                <c:pt idx="12">
                  <c:v>44087</c:v>
                </c:pt>
                <c:pt idx="13">
                  <c:v>44088</c:v>
                </c:pt>
                <c:pt idx="14">
                  <c:v>44089</c:v>
                </c:pt>
                <c:pt idx="15">
                  <c:v>44090</c:v>
                </c:pt>
                <c:pt idx="16">
                  <c:v>44091</c:v>
                </c:pt>
                <c:pt idx="17">
                  <c:v>44092</c:v>
                </c:pt>
                <c:pt idx="18">
                  <c:v>44093</c:v>
                </c:pt>
                <c:pt idx="19">
                  <c:v>44094</c:v>
                </c:pt>
                <c:pt idx="20">
                  <c:v>44095</c:v>
                </c:pt>
                <c:pt idx="21">
                  <c:v>44096</c:v>
                </c:pt>
                <c:pt idx="22">
                  <c:v>44097</c:v>
                </c:pt>
                <c:pt idx="23">
                  <c:v>44098</c:v>
                </c:pt>
                <c:pt idx="24">
                  <c:v>44099</c:v>
                </c:pt>
                <c:pt idx="25">
                  <c:v>44100</c:v>
                </c:pt>
                <c:pt idx="26">
                  <c:v>44101</c:v>
                </c:pt>
                <c:pt idx="27">
                  <c:v>44102</c:v>
                </c:pt>
                <c:pt idx="28">
                  <c:v>44103</c:v>
                </c:pt>
                <c:pt idx="29">
                  <c:v>44104</c:v>
                </c:pt>
                <c:pt idx="30">
                  <c:v>44105</c:v>
                </c:pt>
              </c:numCache>
            </c:numRef>
          </c:cat>
          <c:val>
            <c:numRef>
              <c:f>'Suivi EAU-ELEC'!$C$16:$C$46</c:f>
              <c:numCache>
                <c:formatCode>General</c:formatCode>
                <c:ptCount val="31"/>
                <c:pt idx="0">
                  <c:v>90</c:v>
                </c:pt>
                <c:pt idx="1">
                  <c:v>80</c:v>
                </c:pt>
                <c:pt idx="2">
                  <c:v>90</c:v>
                </c:pt>
                <c:pt idx="3">
                  <c:v>80</c:v>
                </c:pt>
                <c:pt idx="4">
                  <c:v>90</c:v>
                </c:pt>
                <c:pt idx="5">
                  <c:v>80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F8F-43DE-9A93-D4B7EFE4E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697728"/>
        <c:axId val="174889600"/>
      </c:lineChart>
      <c:dateAx>
        <c:axId val="160697728"/>
        <c:scaling>
          <c:orientation val="minMax"/>
        </c:scaling>
        <c:delete val="0"/>
        <c:axPos val="b"/>
        <c:numFmt formatCode="dd/mm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889600"/>
        <c:crosses val="autoZero"/>
        <c:auto val="1"/>
        <c:lblOffset val="100"/>
        <c:baseTimeUnit val="days"/>
      </c:dateAx>
      <c:valAx>
        <c:axId val="1748896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697728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Electricité en Kw/h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EAU-ELEC'!$E$8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44075</c:v>
                </c:pt>
                <c:pt idx="1">
                  <c:v>44076</c:v>
                </c:pt>
                <c:pt idx="2">
                  <c:v>44077</c:v>
                </c:pt>
                <c:pt idx="3">
                  <c:v>44078</c:v>
                </c:pt>
                <c:pt idx="4">
                  <c:v>44079</c:v>
                </c:pt>
                <c:pt idx="5">
                  <c:v>44080</c:v>
                </c:pt>
                <c:pt idx="6">
                  <c:v>44081</c:v>
                </c:pt>
                <c:pt idx="7">
                  <c:v>44082</c:v>
                </c:pt>
                <c:pt idx="8">
                  <c:v>44083</c:v>
                </c:pt>
                <c:pt idx="9">
                  <c:v>44084</c:v>
                </c:pt>
                <c:pt idx="10">
                  <c:v>44085</c:v>
                </c:pt>
                <c:pt idx="11">
                  <c:v>44086</c:v>
                </c:pt>
                <c:pt idx="12">
                  <c:v>44087</c:v>
                </c:pt>
                <c:pt idx="13">
                  <c:v>44088</c:v>
                </c:pt>
                <c:pt idx="14">
                  <c:v>44089</c:v>
                </c:pt>
                <c:pt idx="15">
                  <c:v>44090</c:v>
                </c:pt>
                <c:pt idx="16">
                  <c:v>44091</c:v>
                </c:pt>
                <c:pt idx="17">
                  <c:v>44092</c:v>
                </c:pt>
                <c:pt idx="18">
                  <c:v>44093</c:v>
                </c:pt>
                <c:pt idx="19">
                  <c:v>44094</c:v>
                </c:pt>
                <c:pt idx="20">
                  <c:v>44095</c:v>
                </c:pt>
                <c:pt idx="21">
                  <c:v>44096</c:v>
                </c:pt>
                <c:pt idx="22">
                  <c:v>44097</c:v>
                </c:pt>
                <c:pt idx="23">
                  <c:v>44098</c:v>
                </c:pt>
                <c:pt idx="24">
                  <c:v>44099</c:v>
                </c:pt>
                <c:pt idx="25">
                  <c:v>44100</c:v>
                </c:pt>
                <c:pt idx="26">
                  <c:v>44101</c:v>
                </c:pt>
                <c:pt idx="27">
                  <c:v>44102</c:v>
                </c:pt>
                <c:pt idx="28">
                  <c:v>44103</c:v>
                </c:pt>
                <c:pt idx="29">
                  <c:v>44104</c:v>
                </c:pt>
                <c:pt idx="30">
                  <c:v>44105</c:v>
                </c:pt>
              </c:numCache>
            </c:numRef>
          </c:cat>
          <c:val>
            <c:numRef>
              <c:f>'Suivi EAU-ELEC'!$E$16:$E$46</c:f>
              <c:numCache>
                <c:formatCode>General</c:formatCode>
                <c:ptCount val="31"/>
                <c:pt idx="0">
                  <c:v>980</c:v>
                </c:pt>
                <c:pt idx="1">
                  <c:v>1015</c:v>
                </c:pt>
                <c:pt idx="2">
                  <c:v>996</c:v>
                </c:pt>
                <c:pt idx="3">
                  <c:v>1003</c:v>
                </c:pt>
                <c:pt idx="4">
                  <c:v>1042</c:v>
                </c:pt>
                <c:pt idx="5">
                  <c:v>1022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73C-4CEE-A179-530DD629C8E2}"/>
            </c:ext>
          </c:extLst>
        </c:ser>
        <c:ser>
          <c:idx val="1"/>
          <c:order val="1"/>
          <c:tx>
            <c:strRef>
              <c:f>'Suivi EAU-ELEC'!$G$8</c:f>
              <c:strCache>
                <c:ptCount val="1"/>
                <c:pt idx="0">
                  <c:v>Consommation H.Pleine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44075</c:v>
                </c:pt>
                <c:pt idx="1">
                  <c:v>44076</c:v>
                </c:pt>
                <c:pt idx="2">
                  <c:v>44077</c:v>
                </c:pt>
                <c:pt idx="3">
                  <c:v>44078</c:v>
                </c:pt>
                <c:pt idx="4">
                  <c:v>44079</c:v>
                </c:pt>
                <c:pt idx="5">
                  <c:v>44080</c:v>
                </c:pt>
                <c:pt idx="6">
                  <c:v>44081</c:v>
                </c:pt>
                <c:pt idx="7">
                  <c:v>44082</c:v>
                </c:pt>
                <c:pt idx="8">
                  <c:v>44083</c:v>
                </c:pt>
                <c:pt idx="9">
                  <c:v>44084</c:v>
                </c:pt>
                <c:pt idx="10">
                  <c:v>44085</c:v>
                </c:pt>
                <c:pt idx="11">
                  <c:v>44086</c:v>
                </c:pt>
                <c:pt idx="12">
                  <c:v>44087</c:v>
                </c:pt>
                <c:pt idx="13">
                  <c:v>44088</c:v>
                </c:pt>
                <c:pt idx="14">
                  <c:v>44089</c:v>
                </c:pt>
                <c:pt idx="15">
                  <c:v>44090</c:v>
                </c:pt>
                <c:pt idx="16">
                  <c:v>44091</c:v>
                </c:pt>
                <c:pt idx="17">
                  <c:v>44092</c:v>
                </c:pt>
                <c:pt idx="18">
                  <c:v>44093</c:v>
                </c:pt>
                <c:pt idx="19">
                  <c:v>44094</c:v>
                </c:pt>
                <c:pt idx="20">
                  <c:v>44095</c:v>
                </c:pt>
                <c:pt idx="21">
                  <c:v>44096</c:v>
                </c:pt>
                <c:pt idx="22">
                  <c:v>44097</c:v>
                </c:pt>
                <c:pt idx="23">
                  <c:v>44098</c:v>
                </c:pt>
                <c:pt idx="24">
                  <c:v>44099</c:v>
                </c:pt>
                <c:pt idx="25">
                  <c:v>44100</c:v>
                </c:pt>
                <c:pt idx="26">
                  <c:v>44101</c:v>
                </c:pt>
                <c:pt idx="27">
                  <c:v>44102</c:v>
                </c:pt>
                <c:pt idx="28">
                  <c:v>44103</c:v>
                </c:pt>
                <c:pt idx="29">
                  <c:v>44104</c:v>
                </c:pt>
                <c:pt idx="30">
                  <c:v>44105</c:v>
                </c:pt>
              </c:numCache>
            </c:numRef>
          </c:cat>
          <c:val>
            <c:numRef>
              <c:f>'Suivi EAU-ELEC'!$G$16:$G$46</c:f>
              <c:numCache>
                <c:formatCode>General</c:formatCode>
                <c:ptCount val="31"/>
                <c:pt idx="0">
                  <c:v>1741</c:v>
                </c:pt>
                <c:pt idx="1">
                  <c:v>1757</c:v>
                </c:pt>
                <c:pt idx="2">
                  <c:v>1637</c:v>
                </c:pt>
                <c:pt idx="3">
                  <c:v>1765</c:v>
                </c:pt>
                <c:pt idx="4">
                  <c:v>1752</c:v>
                </c:pt>
                <c:pt idx="5">
                  <c:v>1611</c:v>
                </c:pt>
                <c:pt idx="6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673C-4CEE-A179-530DD629C8E2}"/>
            </c:ext>
          </c:extLst>
        </c:ser>
        <c:ser>
          <c:idx val="2"/>
          <c:order val="2"/>
          <c:tx>
            <c:strRef>
              <c:f>'Suivi EAU-ELEC'!$I$8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44075</c:v>
                </c:pt>
                <c:pt idx="1">
                  <c:v>44076</c:v>
                </c:pt>
                <c:pt idx="2">
                  <c:v>44077</c:v>
                </c:pt>
                <c:pt idx="3">
                  <c:v>44078</c:v>
                </c:pt>
                <c:pt idx="4">
                  <c:v>44079</c:v>
                </c:pt>
                <c:pt idx="5">
                  <c:v>44080</c:v>
                </c:pt>
                <c:pt idx="6">
                  <c:v>44081</c:v>
                </c:pt>
                <c:pt idx="7">
                  <c:v>44082</c:v>
                </c:pt>
                <c:pt idx="8">
                  <c:v>44083</c:v>
                </c:pt>
                <c:pt idx="9">
                  <c:v>44084</c:v>
                </c:pt>
                <c:pt idx="10">
                  <c:v>44085</c:v>
                </c:pt>
                <c:pt idx="11">
                  <c:v>44086</c:v>
                </c:pt>
                <c:pt idx="12">
                  <c:v>44087</c:v>
                </c:pt>
                <c:pt idx="13">
                  <c:v>44088</c:v>
                </c:pt>
                <c:pt idx="14">
                  <c:v>44089</c:v>
                </c:pt>
                <c:pt idx="15">
                  <c:v>44090</c:v>
                </c:pt>
                <c:pt idx="16">
                  <c:v>44091</c:v>
                </c:pt>
                <c:pt idx="17">
                  <c:v>44092</c:v>
                </c:pt>
                <c:pt idx="18">
                  <c:v>44093</c:v>
                </c:pt>
                <c:pt idx="19">
                  <c:v>44094</c:v>
                </c:pt>
                <c:pt idx="20">
                  <c:v>44095</c:v>
                </c:pt>
                <c:pt idx="21">
                  <c:v>44096</c:v>
                </c:pt>
                <c:pt idx="22">
                  <c:v>44097</c:v>
                </c:pt>
                <c:pt idx="23">
                  <c:v>44098</c:v>
                </c:pt>
                <c:pt idx="24">
                  <c:v>44099</c:v>
                </c:pt>
                <c:pt idx="25">
                  <c:v>44100</c:v>
                </c:pt>
                <c:pt idx="26">
                  <c:v>44101</c:v>
                </c:pt>
                <c:pt idx="27">
                  <c:v>44102</c:v>
                </c:pt>
                <c:pt idx="28">
                  <c:v>44103</c:v>
                </c:pt>
                <c:pt idx="29">
                  <c:v>44104</c:v>
                </c:pt>
                <c:pt idx="30">
                  <c:v>44105</c:v>
                </c:pt>
              </c:numCache>
            </c:numRef>
          </c:cat>
          <c:val>
            <c:numRef>
              <c:f>'Suivi EAU-ELEC'!$I$16:$I$46</c:f>
              <c:numCache>
                <c:formatCode>General</c:formatCode>
                <c:ptCount val="31"/>
                <c:pt idx="0">
                  <c:v>599</c:v>
                </c:pt>
                <c:pt idx="1">
                  <c:v>651</c:v>
                </c:pt>
                <c:pt idx="2">
                  <c:v>552</c:v>
                </c:pt>
                <c:pt idx="3">
                  <c:v>661</c:v>
                </c:pt>
                <c:pt idx="4">
                  <c:v>670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673C-4CEE-A179-530DD629C8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919936"/>
        <c:axId val="160921472"/>
      </c:lineChart>
      <c:dateAx>
        <c:axId val="160919936"/>
        <c:scaling>
          <c:orientation val="minMax"/>
        </c:scaling>
        <c:delete val="0"/>
        <c:axPos val="b"/>
        <c:numFmt formatCode="dd/mm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921472"/>
        <c:crosses val="autoZero"/>
        <c:auto val="1"/>
        <c:lblOffset val="100"/>
        <c:baseTimeUnit val="days"/>
      </c:dateAx>
      <c:valAx>
        <c:axId val="160921472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919936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Gaz en  Kg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Gaz'!$O$3</c:f>
              <c:strCache>
                <c:ptCount val="1"/>
                <c:pt idx="0">
                  <c:v>cons./jen Kg</c:v>
                </c:pt>
              </c:strCache>
            </c:strRef>
          </c:tx>
          <c:cat>
            <c:numRef>
              <c:f>'Suivi Gaz'!$A$10:$A$42</c:f>
              <c:numCache>
                <c:formatCode>[$-40C]d\-mmm;@</c:formatCode>
                <c:ptCount val="33"/>
                <c:pt idx="0">
                  <c:v>44074</c:v>
                </c:pt>
                <c:pt idx="1">
                  <c:v>44075</c:v>
                </c:pt>
                <c:pt idx="2">
                  <c:v>44076</c:v>
                </c:pt>
                <c:pt idx="3">
                  <c:v>44077</c:v>
                </c:pt>
                <c:pt idx="4">
                  <c:v>44078</c:v>
                </c:pt>
                <c:pt idx="5">
                  <c:v>44079</c:v>
                </c:pt>
                <c:pt idx="6">
                  <c:v>44080</c:v>
                </c:pt>
                <c:pt idx="7">
                  <c:v>44081</c:v>
                </c:pt>
                <c:pt idx="8">
                  <c:v>44082</c:v>
                </c:pt>
                <c:pt idx="9">
                  <c:v>44083</c:v>
                </c:pt>
                <c:pt idx="10">
                  <c:v>44084</c:v>
                </c:pt>
                <c:pt idx="11">
                  <c:v>44085</c:v>
                </c:pt>
                <c:pt idx="12">
                  <c:v>44086</c:v>
                </c:pt>
                <c:pt idx="13">
                  <c:v>44087</c:v>
                </c:pt>
                <c:pt idx="14">
                  <c:v>44088</c:v>
                </c:pt>
                <c:pt idx="15">
                  <c:v>44089</c:v>
                </c:pt>
                <c:pt idx="16">
                  <c:v>44090</c:v>
                </c:pt>
                <c:pt idx="17">
                  <c:v>44091</c:v>
                </c:pt>
                <c:pt idx="18">
                  <c:v>44092</c:v>
                </c:pt>
                <c:pt idx="19">
                  <c:v>44093</c:v>
                </c:pt>
                <c:pt idx="20">
                  <c:v>44094</c:v>
                </c:pt>
                <c:pt idx="21">
                  <c:v>44095</c:v>
                </c:pt>
                <c:pt idx="22">
                  <c:v>44096</c:v>
                </c:pt>
                <c:pt idx="23">
                  <c:v>44097</c:v>
                </c:pt>
                <c:pt idx="24">
                  <c:v>44098</c:v>
                </c:pt>
                <c:pt idx="25">
                  <c:v>44099</c:v>
                </c:pt>
                <c:pt idx="26">
                  <c:v>44100</c:v>
                </c:pt>
                <c:pt idx="27">
                  <c:v>44101</c:v>
                </c:pt>
                <c:pt idx="28">
                  <c:v>44102</c:v>
                </c:pt>
                <c:pt idx="29">
                  <c:v>44103</c:v>
                </c:pt>
                <c:pt idx="30">
                  <c:v>44104</c:v>
                </c:pt>
                <c:pt idx="31">
                  <c:v>44105</c:v>
                </c:pt>
                <c:pt idx="32">
                  <c:v>44106</c:v>
                </c:pt>
              </c:numCache>
            </c:numRef>
          </c:cat>
          <c:val>
            <c:numRef>
              <c:f>'Suivi Gaz'!$O$10:$O$42</c:f>
              <c:numCache>
                <c:formatCode>General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F1F-4C6D-B2A1-AA149547F9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938240"/>
        <c:axId val="162144256"/>
      </c:lineChart>
      <c:dateAx>
        <c:axId val="160938240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144256"/>
        <c:crosses val="autoZero"/>
        <c:auto val="1"/>
        <c:lblOffset val="100"/>
        <c:baseTimeUnit val="days"/>
      </c:dateAx>
      <c:valAx>
        <c:axId val="162144256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938240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1104900</xdr:colOff>
      <xdr:row>3</xdr:row>
      <xdr:rowOff>57150</xdr:rowOff>
    </xdr:from>
    <xdr:to>
      <xdr:col>32</xdr:col>
      <xdr:colOff>904875</xdr:colOff>
      <xdr:row>4</xdr:row>
      <xdr:rowOff>323850</xdr:rowOff>
    </xdr:to>
    <xdr:sp macro="" textlink="">
      <xdr:nvSpPr>
        <xdr:cNvPr id="58746317" name="WordArt 12"/>
        <xdr:cNvSpPr>
          <a:spLocks noChangeArrowheads="1" noChangeShapeType="1"/>
        </xdr:cNvSpPr>
      </xdr:nvSpPr>
      <xdr:spPr bwMode="auto">
        <a:xfrm>
          <a:off x="1362075" y="1895475"/>
          <a:ext cx="26108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400050</xdr:colOff>
      <xdr:row>1</xdr:row>
      <xdr:rowOff>190500</xdr:rowOff>
    </xdr:from>
    <xdr:to>
      <xdr:col>25</xdr:col>
      <xdr:colOff>76199</xdr:colOff>
      <xdr:row>1</xdr:row>
      <xdr:rowOff>1455061</xdr:rowOff>
    </xdr:to>
    <xdr:sp macro="" textlink="">
      <xdr:nvSpPr>
        <xdr:cNvPr id="3" name="WordArt 1"/>
        <xdr:cNvSpPr>
          <a:spLocks noChangeArrowheads="1" noChangeShapeType="1" noTextEdit="1"/>
        </xdr:cNvSpPr>
      </xdr:nvSpPr>
      <xdr:spPr bwMode="auto">
        <a:xfrm>
          <a:off x="8782050" y="352425"/>
          <a:ext cx="10344149" cy="1264561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186"/>
            </a:avLst>
          </a:prstTxWarp>
        </a:bodyPr>
        <a:lstStyle/>
        <a:p>
          <a:pPr algn="ctr" rtl="0"/>
          <a:r>
            <a:rPr lang="fr-FR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FF"/>
              </a:solidFill>
              <a:effectLst>
                <a:outerShdw dist="45791" dir="2021404" algn="ctr" rotWithShape="0">
                  <a:srgbClr val="B2B2B2">
                    <a:alpha val="80000"/>
                  </a:srgbClr>
                </a:outerShdw>
              </a:effectLst>
              <a:latin typeface="Monotype Corsiva"/>
            </a:rPr>
            <a:t>Consommations mensuels </a:t>
          </a:r>
        </a:p>
      </xdr:txBody>
    </xdr:sp>
    <xdr:clientData/>
  </xdr:twoCellAnchor>
  <xdr:twoCellAnchor editAs="oneCell">
    <xdr:from>
      <xdr:col>0</xdr:col>
      <xdr:colOff>0</xdr:colOff>
      <xdr:row>1</xdr:row>
      <xdr:rowOff>38100</xdr:rowOff>
    </xdr:from>
    <xdr:to>
      <xdr:col>3</xdr:col>
      <xdr:colOff>1028700</xdr:colOff>
      <xdr:row>1</xdr:row>
      <xdr:rowOff>1581150</xdr:rowOff>
    </xdr:to>
    <xdr:pic>
      <xdr:nvPicPr>
        <xdr:cNvPr id="58746319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6225"/>
          <a:ext cx="2695575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29</xdr:col>
      <xdr:colOff>76200</xdr:colOff>
      <xdr:row>1</xdr:row>
      <xdr:rowOff>38100</xdr:rowOff>
    </xdr:from>
    <xdr:to>
      <xdr:col>30</xdr:col>
      <xdr:colOff>1524000</xdr:colOff>
      <xdr:row>1</xdr:row>
      <xdr:rowOff>1619250</xdr:rowOff>
    </xdr:to>
    <xdr:pic>
      <xdr:nvPicPr>
        <xdr:cNvPr id="58746320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55175" y="276225"/>
          <a:ext cx="2762250" cy="158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619125</xdr:colOff>
      <xdr:row>1</xdr:row>
      <xdr:rowOff>0</xdr:rowOff>
    </xdr:to>
    <xdr:pic>
      <xdr:nvPicPr>
        <xdr:cNvPr id="58753254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505075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0</xdr:colOff>
      <xdr:row>0</xdr:row>
      <xdr:rowOff>0</xdr:rowOff>
    </xdr:from>
    <xdr:to>
      <xdr:col>28</xdr:col>
      <xdr:colOff>990600</xdr:colOff>
      <xdr:row>1</xdr:row>
      <xdr:rowOff>0</xdr:rowOff>
    </xdr:to>
    <xdr:pic>
      <xdr:nvPicPr>
        <xdr:cNvPr id="58753255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35875" y="0"/>
          <a:ext cx="2209800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180975</xdr:colOff>
      <xdr:row>7</xdr:row>
      <xdr:rowOff>295275</xdr:rowOff>
    </xdr:from>
    <xdr:to>
      <xdr:col>20</xdr:col>
      <xdr:colOff>9525</xdr:colOff>
      <xdr:row>28</xdr:row>
      <xdr:rowOff>247650</xdr:rowOff>
    </xdr:to>
    <xdr:graphicFrame macro="">
      <xdr:nvGraphicFramePr>
        <xdr:cNvPr id="59275330" name="Graphique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104775</xdr:colOff>
      <xdr:row>30</xdr:row>
      <xdr:rowOff>0</xdr:rowOff>
    </xdr:from>
    <xdr:to>
      <xdr:col>19</xdr:col>
      <xdr:colOff>695325</xdr:colOff>
      <xdr:row>52</xdr:row>
      <xdr:rowOff>123825</xdr:rowOff>
    </xdr:to>
    <xdr:graphicFrame macro="">
      <xdr:nvGraphicFramePr>
        <xdr:cNvPr id="59275331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53</xdr:row>
      <xdr:rowOff>66675</xdr:rowOff>
    </xdr:from>
    <xdr:to>
      <xdr:col>19</xdr:col>
      <xdr:colOff>590550</xdr:colOff>
      <xdr:row>91</xdr:row>
      <xdr:rowOff>38100</xdr:rowOff>
    </xdr:to>
    <xdr:graphicFrame macro="">
      <xdr:nvGraphicFramePr>
        <xdr:cNvPr id="59275332" name="Graphique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0</xdr:row>
      <xdr:rowOff>0</xdr:rowOff>
    </xdr:from>
    <xdr:to>
      <xdr:col>8</xdr:col>
      <xdr:colOff>1047750</xdr:colOff>
      <xdr:row>2</xdr:row>
      <xdr:rowOff>552450</xdr:rowOff>
    </xdr:to>
    <xdr:pic>
      <xdr:nvPicPr>
        <xdr:cNvPr id="59275333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91475" y="0"/>
          <a:ext cx="21621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1047750</xdr:colOff>
      <xdr:row>2</xdr:row>
      <xdr:rowOff>552450</xdr:rowOff>
    </xdr:to>
    <xdr:pic>
      <xdr:nvPicPr>
        <xdr:cNvPr id="59275334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1621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"/>
  <sheetViews>
    <sheetView tabSelected="1" workbookViewId="0">
      <selection activeCell="A8" sqref="A8:XFD8"/>
    </sheetView>
  </sheetViews>
  <sheetFormatPr defaultRowHeight="12.75" x14ac:dyDescent="0.2"/>
  <cols>
    <col min="1" max="1" width="23" style="159" customWidth="1"/>
    <col min="2" max="2" width="11.5703125" style="159" customWidth="1"/>
    <col min="3" max="3" width="11.5703125" style="159"/>
    <col min="4" max="4" width="13.42578125" style="159" customWidth="1"/>
    <col min="5" max="6" width="12.5703125" style="159" customWidth="1"/>
    <col min="7" max="13" width="11.5703125" style="159"/>
    <col min="14" max="15" width="11.5703125" style="159" customWidth="1"/>
  </cols>
  <sheetData>
    <row r="1" spans="1:15" ht="60.75" thickBot="1" x14ac:dyDescent="0.3">
      <c r="A1" s="155" t="s">
        <v>69</v>
      </c>
      <c r="B1" s="155" t="s">
        <v>70</v>
      </c>
      <c r="C1" s="155" t="s">
        <v>71</v>
      </c>
      <c r="D1" s="155" t="s">
        <v>72</v>
      </c>
      <c r="E1" s="156" t="s">
        <v>73</v>
      </c>
      <c r="F1" s="156" t="s">
        <v>74</v>
      </c>
      <c r="G1" s="156" t="s">
        <v>75</v>
      </c>
      <c r="H1" s="156" t="s">
        <v>76</v>
      </c>
      <c r="I1" s="157" t="s">
        <v>77</v>
      </c>
      <c r="J1" s="157" t="s">
        <v>78</v>
      </c>
      <c r="K1" s="156" t="s">
        <v>79</v>
      </c>
      <c r="L1" s="156" t="s">
        <v>80</v>
      </c>
      <c r="M1" s="156" t="s">
        <v>81</v>
      </c>
      <c r="N1" s="156" t="s">
        <v>82</v>
      </c>
      <c r="O1" s="156" t="s">
        <v>83</v>
      </c>
    </row>
    <row r="2" spans="1:15" x14ac:dyDescent="0.2">
      <c r="A2" s="158" t="s">
        <v>84</v>
      </c>
      <c r="B2" s="159">
        <v>1</v>
      </c>
      <c r="C2" s="159">
        <v>9</v>
      </c>
      <c r="D2" s="160">
        <v>2020</v>
      </c>
      <c r="E2" s="161">
        <f>'Consommation du 01.09 au 30.09'!M10</f>
        <v>3320</v>
      </c>
      <c r="F2" s="161">
        <v>0.99</v>
      </c>
      <c r="G2" s="161">
        <f>'Consommation du 01.09 au 30.09'!U10</f>
        <v>0</v>
      </c>
      <c r="H2" s="161">
        <v>7.8338000000000001</v>
      </c>
      <c r="I2" s="161">
        <f>'Consommation du 01.09 au 30.09'!Y10*1000</f>
        <v>0</v>
      </c>
      <c r="J2" s="161">
        <v>0.53</v>
      </c>
      <c r="K2" s="161">
        <f>'Consommation du 01.09 au 30.09'!D10</f>
        <v>90</v>
      </c>
      <c r="L2" s="161">
        <v>12.67</v>
      </c>
      <c r="M2" s="160">
        <f>'Consommation du 01.09 au 30.09'!AC10</f>
        <v>0</v>
      </c>
      <c r="N2" s="160">
        <v>0</v>
      </c>
      <c r="O2" s="161">
        <f>E2*F2+G2*H2+I2*J2+K2*L2</f>
        <v>4427.1000000000004</v>
      </c>
    </row>
    <row r="3" spans="1:15" x14ac:dyDescent="0.2">
      <c r="A3" s="158" t="s">
        <v>84</v>
      </c>
      <c r="B3" s="159">
        <f>B2+1</f>
        <v>2</v>
      </c>
      <c r="C3" s="159">
        <v>9</v>
      </c>
      <c r="D3" s="160">
        <v>2020</v>
      </c>
      <c r="E3" s="161">
        <f>'Consommation du 01.09 au 30.09'!M11</f>
        <v>3423</v>
      </c>
      <c r="F3" s="161">
        <v>0.99</v>
      </c>
      <c r="G3" s="161">
        <f>'Consommation du 01.09 au 30.09'!U11</f>
        <v>0</v>
      </c>
      <c r="H3" s="161">
        <v>7.8338000000000001</v>
      </c>
      <c r="I3" s="161">
        <f>'Consommation du 01.09 au 30.09'!Y11*1000</f>
        <v>0</v>
      </c>
      <c r="J3" s="161">
        <v>0.53</v>
      </c>
      <c r="K3" s="161">
        <f>'Consommation du 01.09 au 30.09'!D11</f>
        <v>80</v>
      </c>
      <c r="L3" s="161">
        <v>12.67</v>
      </c>
      <c r="M3" s="160">
        <f>'Consommation du 01.09 au 30.09'!AC11</f>
        <v>0</v>
      </c>
      <c r="N3" s="160">
        <v>0</v>
      </c>
      <c r="O3" s="161">
        <f t="shared" ref="O3:O31" si="0">E3*F3+G3*H3+I3*J3+K3*L3</f>
        <v>4402.37</v>
      </c>
    </row>
    <row r="4" spans="1:15" x14ac:dyDescent="0.2">
      <c r="A4" s="158" t="s">
        <v>84</v>
      </c>
      <c r="B4" s="159">
        <f t="shared" ref="B4:B31" si="1">B3+1</f>
        <v>3</v>
      </c>
      <c r="C4" s="159">
        <v>9</v>
      </c>
      <c r="D4" s="160">
        <v>2020</v>
      </c>
      <c r="E4" s="161">
        <f>'Consommation du 01.09 au 30.09'!M12</f>
        <v>3185</v>
      </c>
      <c r="F4" s="161">
        <v>0.99</v>
      </c>
      <c r="G4" s="161">
        <f>'Consommation du 01.09 au 30.09'!U12</f>
        <v>0</v>
      </c>
      <c r="H4" s="161">
        <v>7.8338000000000001</v>
      </c>
      <c r="I4" s="161">
        <f>'Consommation du 01.09 au 30.09'!Y12*1000</f>
        <v>0</v>
      </c>
      <c r="J4" s="161">
        <v>0.53</v>
      </c>
      <c r="K4" s="161">
        <f>'Consommation du 01.09 au 30.09'!D12</f>
        <v>90</v>
      </c>
      <c r="L4" s="161">
        <v>12.67</v>
      </c>
      <c r="M4" s="160">
        <f>'Consommation du 01.09 au 30.09'!AC12</f>
        <v>0</v>
      </c>
      <c r="N4" s="160">
        <v>0</v>
      </c>
      <c r="O4" s="161">
        <f t="shared" si="0"/>
        <v>4293.45</v>
      </c>
    </row>
    <row r="5" spans="1:15" x14ac:dyDescent="0.2">
      <c r="A5" s="158" t="s">
        <v>84</v>
      </c>
      <c r="B5" s="159">
        <f t="shared" si="1"/>
        <v>4</v>
      </c>
      <c r="C5" s="159">
        <v>9</v>
      </c>
      <c r="D5" s="160">
        <v>2020</v>
      </c>
      <c r="E5" s="161">
        <f>'Consommation du 01.09 au 30.09'!M13</f>
        <v>3429</v>
      </c>
      <c r="F5" s="161">
        <v>0.99</v>
      </c>
      <c r="G5" s="161">
        <f>'Consommation du 01.09 au 30.09'!U13</f>
        <v>0</v>
      </c>
      <c r="H5" s="161">
        <v>7.8338000000000001</v>
      </c>
      <c r="I5" s="161">
        <f>'Consommation du 01.09 au 30.09'!Y13*1000</f>
        <v>0</v>
      </c>
      <c r="J5" s="161">
        <v>0.53</v>
      </c>
      <c r="K5" s="161">
        <f>'Consommation du 01.09 au 30.09'!D13</f>
        <v>80</v>
      </c>
      <c r="L5" s="161">
        <v>12.67</v>
      </c>
      <c r="M5" s="160">
        <f>'Consommation du 01.09 au 30.09'!AC13</f>
        <v>0</v>
      </c>
      <c r="N5" s="160">
        <v>0</v>
      </c>
      <c r="O5" s="161">
        <f t="shared" si="0"/>
        <v>4408.3100000000004</v>
      </c>
    </row>
    <row r="6" spans="1:15" x14ac:dyDescent="0.2">
      <c r="A6" s="158" t="s">
        <v>84</v>
      </c>
      <c r="B6" s="159">
        <f t="shared" si="1"/>
        <v>5</v>
      </c>
      <c r="C6" s="159">
        <v>9</v>
      </c>
      <c r="D6" s="160">
        <v>2020</v>
      </c>
      <c r="E6" s="161">
        <f>'Consommation du 01.09 au 30.09'!M14</f>
        <v>3464</v>
      </c>
      <c r="F6" s="161">
        <v>0.99</v>
      </c>
      <c r="G6" s="161">
        <f>'Consommation du 01.09 au 30.09'!U14</f>
        <v>0</v>
      </c>
      <c r="H6" s="161">
        <v>7.8338000000000001</v>
      </c>
      <c r="I6" s="161">
        <f>'Consommation du 01.09 au 30.09'!Y14*1000</f>
        <v>0</v>
      </c>
      <c r="J6" s="161">
        <v>0.53</v>
      </c>
      <c r="K6" s="161">
        <f>'Consommation du 01.09 au 30.09'!D14</f>
        <v>90</v>
      </c>
      <c r="L6" s="161">
        <v>12.67</v>
      </c>
      <c r="M6" s="160">
        <f>'Consommation du 01.09 au 30.09'!AC14</f>
        <v>0</v>
      </c>
      <c r="N6" s="160">
        <v>0</v>
      </c>
      <c r="O6" s="161">
        <f t="shared" si="0"/>
        <v>4569.66</v>
      </c>
    </row>
    <row r="7" spans="1:15" x14ac:dyDescent="0.2">
      <c r="A7" s="158" t="s">
        <v>84</v>
      </c>
      <c r="B7" s="159">
        <f t="shared" si="1"/>
        <v>6</v>
      </c>
      <c r="C7" s="159">
        <v>9</v>
      </c>
      <c r="D7" s="160">
        <v>2020</v>
      </c>
      <c r="E7" s="161">
        <f>'Consommation du 01.09 au 30.09'!M15</f>
        <v>2633</v>
      </c>
      <c r="F7" s="161">
        <v>0.99</v>
      </c>
      <c r="G7" s="161">
        <f>'Consommation du 01.09 au 30.09'!U15</f>
        <v>0</v>
      </c>
      <c r="H7" s="161">
        <v>7.8338000000000001</v>
      </c>
      <c r="I7" s="161">
        <f>'Consommation du 01.09 au 30.09'!Y15*1000</f>
        <v>0</v>
      </c>
      <c r="J7" s="161">
        <v>0.53</v>
      </c>
      <c r="K7" s="161">
        <f>'Consommation du 01.09 au 30.09'!D15</f>
        <v>80</v>
      </c>
      <c r="L7" s="161">
        <v>12.67</v>
      </c>
      <c r="M7" s="160">
        <f>'Consommation du 01.09 au 30.09'!AC15</f>
        <v>0</v>
      </c>
      <c r="N7" s="160">
        <v>0</v>
      </c>
      <c r="O7" s="161">
        <f t="shared" si="0"/>
        <v>3620.27</v>
      </c>
    </row>
    <row r="8" spans="1:15" x14ac:dyDescent="0.2">
      <c r="A8" s="158" t="s">
        <v>84</v>
      </c>
      <c r="B8" s="159">
        <f t="shared" si="1"/>
        <v>7</v>
      </c>
      <c r="C8" s="159">
        <v>9</v>
      </c>
      <c r="D8" s="160">
        <v>2020</v>
      </c>
      <c r="E8" s="161">
        <f>'Consommation du 01.09 au 30.09'!M16</f>
        <v>0</v>
      </c>
      <c r="F8" s="161">
        <v>0.99</v>
      </c>
      <c r="G8" s="161">
        <f>'Consommation du 01.09 au 30.09'!U16</f>
        <v>0</v>
      </c>
      <c r="H8" s="161">
        <v>7.8338000000000001</v>
      </c>
      <c r="I8" s="161">
        <f>'Consommation du 01.09 au 30.09'!Y16*1000</f>
        <v>0</v>
      </c>
      <c r="J8" s="161">
        <v>0.53</v>
      </c>
      <c r="K8" s="161">
        <f>'Consommation du 01.09 au 30.09'!D16</f>
        <v>0</v>
      </c>
      <c r="L8" s="161">
        <v>12.67</v>
      </c>
      <c r="M8" s="160">
        <f>'Consommation du 01.09 au 30.09'!AC16</f>
        <v>0</v>
      </c>
      <c r="N8" s="160"/>
      <c r="O8" s="161">
        <f t="shared" si="0"/>
        <v>0</v>
      </c>
    </row>
    <row r="9" spans="1:15" x14ac:dyDescent="0.2">
      <c r="A9" s="158" t="s">
        <v>84</v>
      </c>
      <c r="B9" s="159">
        <f t="shared" si="1"/>
        <v>8</v>
      </c>
      <c r="C9" s="159">
        <v>9</v>
      </c>
      <c r="D9" s="160">
        <v>2020</v>
      </c>
      <c r="E9" s="161">
        <f>'Consommation du 01.09 au 30.09'!M17</f>
        <v>0</v>
      </c>
      <c r="F9" s="161">
        <v>0.99</v>
      </c>
      <c r="G9" s="161">
        <f>'Consommation du 01.09 au 30.09'!U17</f>
        <v>0</v>
      </c>
      <c r="H9" s="161">
        <v>7.8338000000000001</v>
      </c>
      <c r="I9" s="161">
        <f>'Consommation du 01.09 au 30.09'!Y17*1000</f>
        <v>0</v>
      </c>
      <c r="J9" s="161">
        <v>0.53</v>
      </c>
      <c r="K9" s="161">
        <f>'Consommation du 01.09 au 30.09'!D17</f>
        <v>0</v>
      </c>
      <c r="L9" s="161">
        <v>12.67</v>
      </c>
      <c r="M9" s="160">
        <f>'Consommation du 01.09 au 30.09'!AC17</f>
        <v>0</v>
      </c>
      <c r="N9" s="160"/>
      <c r="O9" s="161">
        <f t="shared" si="0"/>
        <v>0</v>
      </c>
    </row>
    <row r="10" spans="1:15" x14ac:dyDescent="0.2">
      <c r="A10" s="158" t="s">
        <v>84</v>
      </c>
      <c r="B10" s="159">
        <f t="shared" si="1"/>
        <v>9</v>
      </c>
      <c r="C10" s="159">
        <v>9</v>
      </c>
      <c r="D10" s="160">
        <v>2020</v>
      </c>
      <c r="E10" s="161">
        <f>'Consommation du 01.09 au 30.09'!M18</f>
        <v>0</v>
      </c>
      <c r="F10" s="161">
        <v>0.99</v>
      </c>
      <c r="G10" s="161">
        <f>'Consommation du 01.09 au 30.09'!U18</f>
        <v>0</v>
      </c>
      <c r="H10" s="161">
        <v>7.8338000000000001</v>
      </c>
      <c r="I10" s="161">
        <f>'Consommation du 01.09 au 30.09'!Y18*1000</f>
        <v>0</v>
      </c>
      <c r="J10" s="161">
        <v>0.53</v>
      </c>
      <c r="K10" s="161">
        <f>'Consommation du 01.09 au 30.09'!D18</f>
        <v>0</v>
      </c>
      <c r="L10" s="161">
        <v>12.67</v>
      </c>
      <c r="M10" s="160">
        <f>'Consommation du 01.09 au 30.09'!AC18</f>
        <v>0</v>
      </c>
      <c r="N10" s="160"/>
      <c r="O10" s="161">
        <f t="shared" si="0"/>
        <v>0</v>
      </c>
    </row>
    <row r="11" spans="1:15" x14ac:dyDescent="0.2">
      <c r="A11" s="158" t="s">
        <v>84</v>
      </c>
      <c r="B11" s="159">
        <f t="shared" si="1"/>
        <v>10</v>
      </c>
      <c r="C11" s="159">
        <v>9</v>
      </c>
      <c r="D11" s="160">
        <v>2020</v>
      </c>
      <c r="E11" s="161">
        <f>'Consommation du 01.09 au 30.09'!M19</f>
        <v>0</v>
      </c>
      <c r="F11" s="161">
        <v>0.99</v>
      </c>
      <c r="G11" s="161">
        <f>'Consommation du 01.09 au 30.09'!U19</f>
        <v>0</v>
      </c>
      <c r="H11" s="161">
        <v>7.8338000000000001</v>
      </c>
      <c r="I11" s="161">
        <f>'Consommation du 01.09 au 30.09'!Y19*1000</f>
        <v>0</v>
      </c>
      <c r="J11" s="161">
        <v>0.53</v>
      </c>
      <c r="K11" s="161">
        <f>'Consommation du 01.09 au 30.09'!D19</f>
        <v>0</v>
      </c>
      <c r="L11" s="161">
        <v>12.67</v>
      </c>
      <c r="M11" s="160">
        <f>'Consommation du 01.09 au 30.09'!AC19</f>
        <v>0</v>
      </c>
      <c r="N11" s="160"/>
      <c r="O11" s="161">
        <f t="shared" si="0"/>
        <v>0</v>
      </c>
    </row>
    <row r="12" spans="1:15" x14ac:dyDescent="0.2">
      <c r="A12" s="158" t="s">
        <v>84</v>
      </c>
      <c r="B12" s="159">
        <f t="shared" si="1"/>
        <v>11</v>
      </c>
      <c r="C12" s="159">
        <v>9</v>
      </c>
      <c r="D12" s="160">
        <v>2020</v>
      </c>
      <c r="E12" s="161">
        <f>'Consommation du 01.09 au 30.09'!M20</f>
        <v>0</v>
      </c>
      <c r="F12" s="161">
        <v>0.99</v>
      </c>
      <c r="G12" s="161">
        <f>'Consommation du 01.09 au 30.09'!U20</f>
        <v>0</v>
      </c>
      <c r="H12" s="161">
        <v>7.8338000000000001</v>
      </c>
      <c r="I12" s="161">
        <f>'Consommation du 01.09 au 30.09'!Y20*1000</f>
        <v>0</v>
      </c>
      <c r="J12" s="161">
        <v>0.53</v>
      </c>
      <c r="K12" s="161">
        <f>'Consommation du 01.09 au 30.09'!D20</f>
        <v>0</v>
      </c>
      <c r="L12" s="161">
        <v>12.67</v>
      </c>
      <c r="M12" s="160">
        <f>'Consommation du 01.09 au 30.09'!AC20</f>
        <v>0</v>
      </c>
      <c r="N12" s="160"/>
      <c r="O12" s="161">
        <f t="shared" si="0"/>
        <v>0</v>
      </c>
    </row>
    <row r="13" spans="1:15" x14ac:dyDescent="0.2">
      <c r="A13" s="158" t="s">
        <v>84</v>
      </c>
      <c r="B13" s="159">
        <f t="shared" si="1"/>
        <v>12</v>
      </c>
      <c r="C13" s="159">
        <v>9</v>
      </c>
      <c r="D13" s="160">
        <v>2020</v>
      </c>
      <c r="E13" s="161">
        <f>'Consommation du 01.09 au 30.09'!M21</f>
        <v>0</v>
      </c>
      <c r="F13" s="161">
        <v>0.99</v>
      </c>
      <c r="G13" s="161">
        <f>'Consommation du 01.09 au 30.09'!U21</f>
        <v>0</v>
      </c>
      <c r="H13" s="161">
        <v>7.8338000000000001</v>
      </c>
      <c r="I13" s="161">
        <f>'Consommation du 01.09 au 30.09'!Y21*1000</f>
        <v>0</v>
      </c>
      <c r="J13" s="161">
        <v>0.53</v>
      </c>
      <c r="K13" s="161">
        <f>'Consommation du 01.09 au 30.09'!D21</f>
        <v>0</v>
      </c>
      <c r="L13" s="161">
        <v>12.67</v>
      </c>
      <c r="M13" s="160">
        <f>'Consommation du 01.09 au 30.09'!AC21</f>
        <v>0</v>
      </c>
      <c r="N13" s="160"/>
      <c r="O13" s="161">
        <f t="shared" si="0"/>
        <v>0</v>
      </c>
    </row>
    <row r="14" spans="1:15" x14ac:dyDescent="0.2">
      <c r="A14" s="158" t="s">
        <v>84</v>
      </c>
      <c r="B14" s="159">
        <f t="shared" si="1"/>
        <v>13</v>
      </c>
      <c r="C14" s="159">
        <v>9</v>
      </c>
      <c r="D14" s="160">
        <v>2020</v>
      </c>
      <c r="E14" s="161">
        <f>'Consommation du 01.09 au 30.09'!M22</f>
        <v>0</v>
      </c>
      <c r="F14" s="161">
        <v>0.99</v>
      </c>
      <c r="G14" s="161">
        <f>'Consommation du 01.09 au 30.09'!U22</f>
        <v>0</v>
      </c>
      <c r="H14" s="161">
        <v>7.8338000000000001</v>
      </c>
      <c r="I14" s="161">
        <f>'Consommation du 01.09 au 30.09'!Y22*1000</f>
        <v>0</v>
      </c>
      <c r="J14" s="161">
        <v>0.53</v>
      </c>
      <c r="K14" s="161">
        <f>'Consommation du 01.09 au 30.09'!D22</f>
        <v>0</v>
      </c>
      <c r="L14" s="161">
        <v>12.67</v>
      </c>
      <c r="M14" s="160">
        <f>'Consommation du 01.09 au 30.09'!AC22</f>
        <v>0</v>
      </c>
      <c r="N14" s="160"/>
      <c r="O14" s="161">
        <f t="shared" si="0"/>
        <v>0</v>
      </c>
    </row>
    <row r="15" spans="1:15" x14ac:dyDescent="0.2">
      <c r="A15" s="158" t="s">
        <v>84</v>
      </c>
      <c r="B15" s="159">
        <f t="shared" si="1"/>
        <v>14</v>
      </c>
      <c r="C15" s="159">
        <v>9</v>
      </c>
      <c r="D15" s="160">
        <v>2020</v>
      </c>
      <c r="E15" s="161">
        <f>'Consommation du 01.09 au 30.09'!M23</f>
        <v>0</v>
      </c>
      <c r="F15" s="161">
        <v>0.99</v>
      </c>
      <c r="G15" s="161">
        <f>'Consommation du 01.09 au 30.09'!U23</f>
        <v>0</v>
      </c>
      <c r="H15" s="161">
        <v>7.8338000000000001</v>
      </c>
      <c r="I15" s="161">
        <f>'Consommation du 01.09 au 30.09'!Y23*1000</f>
        <v>0</v>
      </c>
      <c r="J15" s="161">
        <v>0.53</v>
      </c>
      <c r="K15" s="161">
        <f>'Consommation du 01.09 au 30.09'!D23</f>
        <v>0</v>
      </c>
      <c r="L15" s="161">
        <v>12.67</v>
      </c>
      <c r="M15" s="160">
        <f>'Consommation du 01.09 au 30.09'!AC23</f>
        <v>0</v>
      </c>
      <c r="N15" s="160"/>
      <c r="O15" s="161">
        <f t="shared" si="0"/>
        <v>0</v>
      </c>
    </row>
    <row r="16" spans="1:15" x14ac:dyDescent="0.2">
      <c r="A16" s="158" t="s">
        <v>84</v>
      </c>
      <c r="B16" s="159">
        <f t="shared" si="1"/>
        <v>15</v>
      </c>
      <c r="C16" s="159">
        <v>9</v>
      </c>
      <c r="D16" s="160">
        <v>2020</v>
      </c>
      <c r="E16" s="161">
        <f>'Consommation du 01.09 au 30.09'!M24</f>
        <v>0</v>
      </c>
      <c r="F16" s="161">
        <v>0.99</v>
      </c>
      <c r="G16" s="161">
        <f>'Consommation du 01.09 au 30.09'!U24</f>
        <v>0</v>
      </c>
      <c r="H16" s="161">
        <v>7.8338000000000001</v>
      </c>
      <c r="I16" s="161">
        <f>'Consommation du 01.09 au 30.09'!Y24*1000</f>
        <v>0</v>
      </c>
      <c r="J16" s="161">
        <v>0.53</v>
      </c>
      <c r="K16" s="161">
        <f>'Consommation du 01.09 au 30.09'!D24</f>
        <v>0</v>
      </c>
      <c r="L16" s="161">
        <v>12.67</v>
      </c>
      <c r="M16" s="160">
        <f>'Consommation du 01.09 au 30.09'!AC24</f>
        <v>0</v>
      </c>
      <c r="N16" s="160"/>
      <c r="O16" s="161">
        <f t="shared" si="0"/>
        <v>0</v>
      </c>
    </row>
    <row r="17" spans="1:15" x14ac:dyDescent="0.2">
      <c r="A17" s="158" t="s">
        <v>84</v>
      </c>
      <c r="B17" s="159">
        <f t="shared" si="1"/>
        <v>16</v>
      </c>
      <c r="C17" s="159">
        <v>9</v>
      </c>
      <c r="D17" s="160">
        <v>2020</v>
      </c>
      <c r="E17" s="161">
        <f>'Consommation du 01.09 au 30.09'!M25</f>
        <v>0</v>
      </c>
      <c r="F17" s="161">
        <v>0.99</v>
      </c>
      <c r="G17" s="161">
        <f>'Consommation du 01.09 au 30.09'!U25</f>
        <v>0</v>
      </c>
      <c r="H17" s="161">
        <v>7.8338000000000001</v>
      </c>
      <c r="I17" s="161">
        <f>'Consommation du 01.09 au 30.09'!Y25*1000</f>
        <v>0</v>
      </c>
      <c r="J17" s="161">
        <v>0.53</v>
      </c>
      <c r="K17" s="161">
        <f>'Consommation du 01.09 au 30.09'!D25</f>
        <v>0</v>
      </c>
      <c r="L17" s="161">
        <v>12.67</v>
      </c>
      <c r="M17" s="160">
        <f>'Consommation du 01.09 au 30.09'!AC25</f>
        <v>0</v>
      </c>
      <c r="N17" s="160"/>
      <c r="O17" s="161">
        <f t="shared" si="0"/>
        <v>0</v>
      </c>
    </row>
    <row r="18" spans="1:15" x14ac:dyDescent="0.2">
      <c r="A18" s="158" t="s">
        <v>84</v>
      </c>
      <c r="B18" s="159">
        <f t="shared" si="1"/>
        <v>17</v>
      </c>
      <c r="C18" s="159">
        <v>9</v>
      </c>
      <c r="D18" s="160">
        <v>2020</v>
      </c>
      <c r="E18" s="161">
        <f>'Consommation du 01.09 au 30.09'!M26</f>
        <v>0</v>
      </c>
      <c r="F18" s="161">
        <v>0.99</v>
      </c>
      <c r="G18" s="161">
        <f>'Consommation du 01.09 au 30.09'!U26</f>
        <v>0</v>
      </c>
      <c r="H18" s="161">
        <v>7.8338000000000001</v>
      </c>
      <c r="I18" s="161">
        <f>'Consommation du 01.09 au 30.09'!Y26*1000</f>
        <v>0</v>
      </c>
      <c r="J18" s="161">
        <v>0.53</v>
      </c>
      <c r="K18" s="161">
        <f>'Consommation du 01.09 au 30.09'!D26</f>
        <v>0</v>
      </c>
      <c r="L18" s="161">
        <v>12.67</v>
      </c>
      <c r="M18" s="160">
        <f>'Consommation du 01.09 au 30.09'!AC26</f>
        <v>0</v>
      </c>
      <c r="N18" s="160"/>
      <c r="O18" s="161">
        <f t="shared" si="0"/>
        <v>0</v>
      </c>
    </row>
    <row r="19" spans="1:15" x14ac:dyDescent="0.2">
      <c r="A19" s="158" t="s">
        <v>84</v>
      </c>
      <c r="B19" s="159">
        <f t="shared" si="1"/>
        <v>18</v>
      </c>
      <c r="C19" s="159">
        <v>9</v>
      </c>
      <c r="D19" s="160">
        <v>2020</v>
      </c>
      <c r="E19" s="161">
        <f>'Consommation du 01.09 au 30.09'!M27</f>
        <v>0</v>
      </c>
      <c r="F19" s="161">
        <v>0.99</v>
      </c>
      <c r="G19" s="161">
        <f>'Consommation du 01.09 au 30.09'!U27</f>
        <v>0</v>
      </c>
      <c r="H19" s="161">
        <v>7.8338000000000001</v>
      </c>
      <c r="I19" s="161">
        <f>'Consommation du 01.09 au 30.09'!Y27*1000</f>
        <v>0</v>
      </c>
      <c r="J19" s="161">
        <v>0.53</v>
      </c>
      <c r="K19" s="161">
        <f>'Consommation du 01.09 au 30.09'!D27</f>
        <v>0</v>
      </c>
      <c r="L19" s="161">
        <v>12.67</v>
      </c>
      <c r="M19" s="160">
        <f>'Consommation du 01.09 au 30.09'!AC27</f>
        <v>0</v>
      </c>
      <c r="N19" s="160"/>
      <c r="O19" s="161">
        <f t="shared" si="0"/>
        <v>0</v>
      </c>
    </row>
    <row r="20" spans="1:15" x14ac:dyDescent="0.2">
      <c r="A20" s="158" t="s">
        <v>84</v>
      </c>
      <c r="B20" s="159">
        <f t="shared" si="1"/>
        <v>19</v>
      </c>
      <c r="C20" s="159">
        <v>9</v>
      </c>
      <c r="D20" s="160">
        <v>2020</v>
      </c>
      <c r="E20" s="161">
        <f>'Consommation du 01.09 au 30.09'!M28</f>
        <v>0</v>
      </c>
      <c r="F20" s="161">
        <v>0.99</v>
      </c>
      <c r="G20" s="161">
        <f>'Consommation du 01.09 au 30.09'!U28</f>
        <v>0</v>
      </c>
      <c r="H20" s="161">
        <v>7.8338000000000001</v>
      </c>
      <c r="I20" s="161">
        <f>'Consommation du 01.09 au 30.09'!Y28*1000</f>
        <v>0</v>
      </c>
      <c r="J20" s="161">
        <v>0.53</v>
      </c>
      <c r="K20" s="161">
        <f>'Consommation du 01.09 au 30.09'!D28</f>
        <v>0</v>
      </c>
      <c r="L20" s="161">
        <v>12.67</v>
      </c>
      <c r="M20" s="160">
        <f>'Consommation du 01.09 au 30.09'!AC28</f>
        <v>0</v>
      </c>
      <c r="N20" s="160"/>
      <c r="O20" s="161">
        <f t="shared" si="0"/>
        <v>0</v>
      </c>
    </row>
    <row r="21" spans="1:15" x14ac:dyDescent="0.2">
      <c r="A21" s="158" t="s">
        <v>84</v>
      </c>
      <c r="B21" s="159">
        <f t="shared" si="1"/>
        <v>20</v>
      </c>
      <c r="C21" s="159">
        <v>9</v>
      </c>
      <c r="D21" s="160">
        <v>2020</v>
      </c>
      <c r="E21" s="161">
        <f>'Consommation du 01.09 au 30.09'!M29</f>
        <v>0</v>
      </c>
      <c r="F21" s="161">
        <v>0.99</v>
      </c>
      <c r="G21" s="161">
        <f>'Consommation du 01.09 au 30.09'!U29</f>
        <v>0</v>
      </c>
      <c r="H21" s="161">
        <v>7.8338000000000001</v>
      </c>
      <c r="I21" s="161">
        <f>'Consommation du 01.09 au 30.09'!Y29*1000</f>
        <v>0</v>
      </c>
      <c r="J21" s="161">
        <v>0.53</v>
      </c>
      <c r="K21" s="161">
        <f>'Consommation du 01.09 au 30.09'!D29</f>
        <v>0</v>
      </c>
      <c r="L21" s="161">
        <v>12.67</v>
      </c>
      <c r="M21" s="160">
        <f>'Consommation du 01.09 au 30.09'!AC29</f>
        <v>0</v>
      </c>
      <c r="N21" s="160"/>
      <c r="O21" s="161">
        <f t="shared" si="0"/>
        <v>0</v>
      </c>
    </row>
    <row r="22" spans="1:15" x14ac:dyDescent="0.2">
      <c r="A22" s="158" t="s">
        <v>84</v>
      </c>
      <c r="B22" s="159">
        <f t="shared" si="1"/>
        <v>21</v>
      </c>
      <c r="C22" s="159">
        <v>9</v>
      </c>
      <c r="D22" s="160">
        <v>2020</v>
      </c>
      <c r="E22" s="161">
        <f>'Consommation du 01.09 au 30.09'!M30</f>
        <v>0</v>
      </c>
      <c r="F22" s="161">
        <v>0.99</v>
      </c>
      <c r="G22" s="161">
        <f>'Consommation du 01.09 au 30.09'!U30</f>
        <v>0</v>
      </c>
      <c r="H22" s="161">
        <v>7.8338000000000001</v>
      </c>
      <c r="I22" s="161">
        <f>'Consommation du 01.09 au 30.09'!Y30*1000</f>
        <v>0</v>
      </c>
      <c r="J22" s="161">
        <v>0.53</v>
      </c>
      <c r="K22" s="161">
        <f>'Consommation du 01.09 au 30.09'!D30</f>
        <v>0</v>
      </c>
      <c r="L22" s="161">
        <v>12.67</v>
      </c>
      <c r="M22" s="160">
        <f>'Consommation du 01.09 au 30.09'!AC30</f>
        <v>0</v>
      </c>
      <c r="N22" s="160"/>
      <c r="O22" s="161">
        <f t="shared" si="0"/>
        <v>0</v>
      </c>
    </row>
    <row r="23" spans="1:15" x14ac:dyDescent="0.2">
      <c r="A23" s="158" t="s">
        <v>84</v>
      </c>
      <c r="B23" s="159">
        <f t="shared" si="1"/>
        <v>22</v>
      </c>
      <c r="C23" s="159">
        <v>9</v>
      </c>
      <c r="D23" s="160">
        <v>2020</v>
      </c>
      <c r="E23" s="161">
        <f>'Consommation du 01.09 au 30.09'!M31</f>
        <v>0</v>
      </c>
      <c r="F23" s="161">
        <v>0.99</v>
      </c>
      <c r="G23" s="161">
        <f>'Consommation du 01.09 au 30.09'!U31</f>
        <v>0</v>
      </c>
      <c r="H23" s="161">
        <v>7.8338000000000001</v>
      </c>
      <c r="I23" s="161">
        <f>'Consommation du 01.09 au 30.09'!Y31*1000</f>
        <v>0</v>
      </c>
      <c r="J23" s="161">
        <v>0.53</v>
      </c>
      <c r="K23" s="161">
        <f>'Consommation du 01.09 au 30.09'!D31</f>
        <v>0</v>
      </c>
      <c r="L23" s="161">
        <v>12.67</v>
      </c>
      <c r="M23" s="160">
        <f>'Consommation du 01.09 au 30.09'!AC31</f>
        <v>0</v>
      </c>
      <c r="N23" s="160"/>
      <c r="O23" s="161">
        <f t="shared" si="0"/>
        <v>0</v>
      </c>
    </row>
    <row r="24" spans="1:15" x14ac:dyDescent="0.2">
      <c r="A24" s="158" t="s">
        <v>84</v>
      </c>
      <c r="B24" s="159">
        <f t="shared" si="1"/>
        <v>23</v>
      </c>
      <c r="C24" s="159">
        <v>9</v>
      </c>
      <c r="D24" s="160">
        <v>2020</v>
      </c>
      <c r="E24" s="161">
        <f>'Consommation du 01.09 au 30.09'!M32</f>
        <v>0</v>
      </c>
      <c r="F24" s="161">
        <v>0.99</v>
      </c>
      <c r="G24" s="161">
        <f>'Consommation du 01.09 au 30.09'!U32</f>
        <v>0</v>
      </c>
      <c r="H24" s="161">
        <v>7.8338000000000001</v>
      </c>
      <c r="I24" s="161">
        <f>'Consommation du 01.09 au 30.09'!Y32*1000</f>
        <v>0</v>
      </c>
      <c r="J24" s="161">
        <v>0.53</v>
      </c>
      <c r="K24" s="161">
        <f>'Consommation du 01.09 au 30.09'!D32</f>
        <v>0</v>
      </c>
      <c r="L24" s="161">
        <v>12.67</v>
      </c>
      <c r="M24" s="160">
        <f>'Consommation du 01.09 au 30.09'!AC32</f>
        <v>0</v>
      </c>
      <c r="N24" s="160"/>
      <c r="O24" s="161">
        <f t="shared" si="0"/>
        <v>0</v>
      </c>
    </row>
    <row r="25" spans="1:15" x14ac:dyDescent="0.2">
      <c r="A25" s="158" t="s">
        <v>84</v>
      </c>
      <c r="B25" s="159">
        <f t="shared" si="1"/>
        <v>24</v>
      </c>
      <c r="C25" s="159">
        <v>9</v>
      </c>
      <c r="D25" s="160">
        <v>2020</v>
      </c>
      <c r="E25" s="161">
        <f>'Consommation du 01.09 au 30.09'!M33</f>
        <v>0</v>
      </c>
      <c r="F25" s="161">
        <v>0.99</v>
      </c>
      <c r="G25" s="161">
        <f>'Consommation du 01.09 au 30.09'!U33</f>
        <v>0</v>
      </c>
      <c r="H25" s="161">
        <v>7.8338000000000001</v>
      </c>
      <c r="I25" s="161">
        <f>'Consommation du 01.09 au 30.09'!Y33*1000</f>
        <v>0</v>
      </c>
      <c r="J25" s="161">
        <v>0.53</v>
      </c>
      <c r="K25" s="161">
        <f>'Consommation du 01.09 au 30.09'!D33</f>
        <v>0</v>
      </c>
      <c r="L25" s="161">
        <v>12.67</v>
      </c>
      <c r="M25" s="160">
        <f>'Consommation du 01.09 au 30.09'!AC33</f>
        <v>0</v>
      </c>
      <c r="N25" s="160"/>
      <c r="O25" s="161">
        <f t="shared" si="0"/>
        <v>0</v>
      </c>
    </row>
    <row r="26" spans="1:15" x14ac:dyDescent="0.2">
      <c r="A26" s="158" t="s">
        <v>84</v>
      </c>
      <c r="B26" s="159">
        <f>B25+1</f>
        <v>25</v>
      </c>
      <c r="C26" s="159">
        <v>9</v>
      </c>
      <c r="D26" s="160">
        <v>2020</v>
      </c>
      <c r="E26" s="161">
        <f>'Consommation du 01.09 au 30.09'!M34</f>
        <v>0</v>
      </c>
      <c r="F26" s="161">
        <v>0.99</v>
      </c>
      <c r="G26" s="161">
        <f>'Consommation du 01.09 au 30.09'!U34</f>
        <v>0</v>
      </c>
      <c r="H26" s="161">
        <v>7.8338000000000001</v>
      </c>
      <c r="I26" s="161">
        <f>'Consommation du 01.09 au 30.09'!Y34*1000</f>
        <v>0</v>
      </c>
      <c r="J26" s="161">
        <v>0.53</v>
      </c>
      <c r="K26" s="161">
        <f>'Consommation du 01.09 au 30.09'!D34</f>
        <v>0</v>
      </c>
      <c r="L26" s="161">
        <v>12.67</v>
      </c>
      <c r="M26" s="160">
        <f>'Consommation du 01.09 au 30.09'!AC34</f>
        <v>0</v>
      </c>
      <c r="N26" s="160"/>
      <c r="O26" s="161">
        <f t="shared" si="0"/>
        <v>0</v>
      </c>
    </row>
    <row r="27" spans="1:15" x14ac:dyDescent="0.2">
      <c r="A27" s="158" t="s">
        <v>84</v>
      </c>
      <c r="B27" s="159">
        <f t="shared" si="1"/>
        <v>26</v>
      </c>
      <c r="C27" s="159">
        <v>9</v>
      </c>
      <c r="D27" s="160">
        <v>2020</v>
      </c>
      <c r="E27" s="161">
        <f>'Consommation du 01.09 au 30.09'!M35</f>
        <v>0</v>
      </c>
      <c r="F27" s="161">
        <v>0.99</v>
      </c>
      <c r="G27" s="161">
        <f>'Consommation du 01.09 au 30.09'!U35</f>
        <v>0</v>
      </c>
      <c r="H27" s="161">
        <v>7.8338000000000001</v>
      </c>
      <c r="I27" s="161">
        <f>'Consommation du 01.09 au 30.09'!Y35*1000</f>
        <v>0</v>
      </c>
      <c r="J27" s="161">
        <v>0.53</v>
      </c>
      <c r="K27" s="161">
        <f>'Consommation du 01.09 au 30.09'!D35</f>
        <v>0</v>
      </c>
      <c r="L27" s="161">
        <v>12.67</v>
      </c>
      <c r="M27" s="160">
        <f>'Consommation du 01.09 au 30.09'!AC35</f>
        <v>0</v>
      </c>
      <c r="N27" s="160"/>
      <c r="O27" s="161">
        <f t="shared" si="0"/>
        <v>0</v>
      </c>
    </row>
    <row r="28" spans="1:15" x14ac:dyDescent="0.2">
      <c r="A28" s="158" t="s">
        <v>84</v>
      </c>
      <c r="B28" s="159">
        <f t="shared" si="1"/>
        <v>27</v>
      </c>
      <c r="C28" s="159">
        <v>9</v>
      </c>
      <c r="D28" s="160">
        <v>2020</v>
      </c>
      <c r="E28" s="161">
        <f>'Consommation du 01.09 au 30.09'!M36</f>
        <v>0</v>
      </c>
      <c r="F28" s="161">
        <v>0.99</v>
      </c>
      <c r="G28" s="161">
        <f>'Consommation du 01.09 au 30.09'!U36</f>
        <v>0</v>
      </c>
      <c r="H28" s="161">
        <v>7.8338000000000001</v>
      </c>
      <c r="I28" s="161">
        <f>'Consommation du 01.09 au 30.09'!Y36*1000</f>
        <v>0</v>
      </c>
      <c r="J28" s="161">
        <v>0.53</v>
      </c>
      <c r="K28" s="161">
        <f>'Consommation du 01.09 au 30.09'!D36</f>
        <v>0</v>
      </c>
      <c r="L28" s="161">
        <v>12.67</v>
      </c>
      <c r="M28" s="160">
        <f>'Consommation du 01.09 au 30.09'!AC36</f>
        <v>0</v>
      </c>
      <c r="N28" s="160"/>
      <c r="O28" s="161">
        <f t="shared" si="0"/>
        <v>0</v>
      </c>
    </row>
    <row r="29" spans="1:15" x14ac:dyDescent="0.2">
      <c r="A29" s="158" t="s">
        <v>84</v>
      </c>
      <c r="B29" s="159">
        <f t="shared" si="1"/>
        <v>28</v>
      </c>
      <c r="C29" s="159">
        <v>9</v>
      </c>
      <c r="D29" s="160">
        <v>2020</v>
      </c>
      <c r="E29" s="161">
        <f>'Consommation du 01.09 au 30.09'!M37</f>
        <v>0</v>
      </c>
      <c r="F29" s="161">
        <v>0.99</v>
      </c>
      <c r="G29" s="161">
        <f>'Consommation du 01.09 au 30.09'!U37</f>
        <v>0</v>
      </c>
      <c r="H29" s="161">
        <v>7.8338000000000001</v>
      </c>
      <c r="I29" s="161">
        <f>'Consommation du 01.09 au 30.09'!Y37*1000</f>
        <v>0</v>
      </c>
      <c r="J29" s="161">
        <v>0.53</v>
      </c>
      <c r="K29" s="161">
        <f>'Consommation du 01.09 au 30.09'!D37</f>
        <v>0</v>
      </c>
      <c r="L29" s="161">
        <v>12.67</v>
      </c>
      <c r="M29" s="160">
        <f>'Consommation du 01.09 au 30.09'!AC37</f>
        <v>0</v>
      </c>
      <c r="N29" s="160"/>
      <c r="O29" s="161">
        <f t="shared" si="0"/>
        <v>0</v>
      </c>
    </row>
    <row r="30" spans="1:15" x14ac:dyDescent="0.2">
      <c r="A30" s="158" t="s">
        <v>84</v>
      </c>
      <c r="B30" s="159">
        <f t="shared" si="1"/>
        <v>29</v>
      </c>
      <c r="C30" s="159">
        <v>9</v>
      </c>
      <c r="D30" s="160">
        <v>2020</v>
      </c>
      <c r="E30" s="161">
        <f>'Consommation du 01.09 au 30.09'!M38</f>
        <v>0</v>
      </c>
      <c r="F30" s="161">
        <v>0.99</v>
      </c>
      <c r="G30" s="161">
        <f>'Consommation du 01.09 au 30.09'!U38</f>
        <v>0</v>
      </c>
      <c r="H30" s="161">
        <v>7.8338000000000001</v>
      </c>
      <c r="I30" s="161">
        <f>'Consommation du 01.09 au 30.09'!Y38*1000</f>
        <v>0</v>
      </c>
      <c r="J30" s="161">
        <v>0.53</v>
      </c>
      <c r="K30" s="161">
        <f>'Consommation du 01.09 au 30.09'!D38</f>
        <v>0</v>
      </c>
      <c r="L30" s="161">
        <v>12.67</v>
      </c>
      <c r="M30" s="160">
        <f>'Consommation du 01.09 au 30.09'!AC38</f>
        <v>0</v>
      </c>
      <c r="N30" s="160"/>
      <c r="O30" s="161">
        <f t="shared" si="0"/>
        <v>0</v>
      </c>
    </row>
    <row r="31" spans="1:15" x14ac:dyDescent="0.2">
      <c r="A31" s="158" t="s">
        <v>84</v>
      </c>
      <c r="B31" s="159">
        <f t="shared" si="1"/>
        <v>30</v>
      </c>
      <c r="C31" s="159">
        <v>9</v>
      </c>
      <c r="D31" s="160">
        <v>2020</v>
      </c>
      <c r="E31" s="161">
        <f>'Consommation du 01.09 au 30.09'!M39</f>
        <v>0</v>
      </c>
      <c r="F31" s="161">
        <v>0.99</v>
      </c>
      <c r="G31" s="161">
        <f>'Consommation du 01.09 au 30.09'!U39</f>
        <v>0</v>
      </c>
      <c r="H31" s="161">
        <v>7.8338000000000001</v>
      </c>
      <c r="I31" s="161">
        <f>'Consommation du 01.09 au 30.09'!Y39*1000</f>
        <v>0</v>
      </c>
      <c r="J31" s="161">
        <v>0.53</v>
      </c>
      <c r="K31" s="161">
        <f>'Consommation du 01.09 au 30.09'!D39</f>
        <v>0</v>
      </c>
      <c r="L31" s="161">
        <v>12.67</v>
      </c>
      <c r="M31" s="160">
        <f>'Consommation du 01.09 au 30.09'!AC39</f>
        <v>0</v>
      </c>
      <c r="N31" s="160"/>
      <c r="O31" s="161">
        <f t="shared" si="0"/>
        <v>0</v>
      </c>
    </row>
    <row r="32" spans="1:15" x14ac:dyDescent="0.2">
      <c r="A32" s="158"/>
      <c r="D32" s="160"/>
      <c r="E32" s="161"/>
      <c r="F32" s="161"/>
      <c r="G32" s="161"/>
      <c r="H32" s="161"/>
      <c r="I32" s="161"/>
      <c r="J32" s="161"/>
      <c r="K32" s="161"/>
      <c r="L32" s="161"/>
      <c r="M32" s="160"/>
      <c r="N32" s="160"/>
      <c r="O32" s="161"/>
    </row>
    <row r="33" spans="4:15" x14ac:dyDescent="0.2">
      <c r="D33" s="161"/>
      <c r="E33" s="161"/>
      <c r="F33" s="161"/>
      <c r="G33" s="161"/>
      <c r="H33" s="161"/>
      <c r="I33" s="161"/>
      <c r="J33" s="161"/>
      <c r="K33" s="161"/>
      <c r="L33" s="161"/>
      <c r="M33" s="161"/>
      <c r="N33" s="161"/>
      <c r="O33" s="161">
        <f>SUM(O2:O32)</f>
        <v>25721.160000000003</v>
      </c>
    </row>
    <row r="34" spans="4:15" x14ac:dyDescent="0.2">
      <c r="D34" s="161"/>
      <c r="E34" s="161"/>
      <c r="F34" s="161"/>
      <c r="G34" s="161"/>
      <c r="H34" s="161"/>
      <c r="I34" s="161"/>
      <c r="J34" s="161"/>
      <c r="K34" s="161"/>
      <c r="L34" s="161"/>
      <c r="M34" s="161"/>
      <c r="N34" s="161"/>
    </row>
    <row r="35" spans="4:15" x14ac:dyDescent="0.2">
      <c r="D35" s="161"/>
      <c r="E35" s="161"/>
      <c r="F35" s="161"/>
      <c r="G35" s="161"/>
      <c r="H35" s="161"/>
      <c r="I35" s="161"/>
      <c r="J35" s="161"/>
      <c r="K35" s="161"/>
      <c r="L35" s="161"/>
      <c r="M35" s="161"/>
      <c r="N35" s="161"/>
    </row>
    <row r="36" spans="4:15" x14ac:dyDescent="0.2">
      <c r="D36" s="161"/>
      <c r="E36" s="161"/>
      <c r="F36" s="161"/>
      <c r="G36" s="161"/>
      <c r="H36" s="161"/>
      <c r="I36" s="161"/>
      <c r="J36" s="161"/>
      <c r="K36" s="161"/>
      <c r="L36" s="161"/>
      <c r="M36" s="161"/>
      <c r="N36" s="161"/>
    </row>
    <row r="37" spans="4:15" x14ac:dyDescent="0.2">
      <c r="D37" s="161"/>
      <c r="E37" s="161"/>
      <c r="F37" s="161"/>
      <c r="G37" s="161"/>
      <c r="H37" s="161"/>
      <c r="I37" s="161"/>
      <c r="J37" s="161"/>
      <c r="K37" s="161"/>
      <c r="L37" s="161"/>
      <c r="M37" s="161"/>
      <c r="N37" s="161"/>
    </row>
    <row r="38" spans="4:15" x14ac:dyDescent="0.2">
      <c r="D38" s="161"/>
      <c r="E38" s="161"/>
      <c r="F38" s="161"/>
      <c r="G38" s="161"/>
      <c r="H38" s="161"/>
      <c r="I38" s="161"/>
      <c r="J38" s="161"/>
      <c r="K38" s="161"/>
      <c r="L38" s="161"/>
      <c r="M38" s="161"/>
      <c r="N38" s="161"/>
    </row>
    <row r="39" spans="4:15" x14ac:dyDescent="0.2">
      <c r="D39" s="161"/>
      <c r="E39" s="161"/>
      <c r="F39" s="161"/>
      <c r="G39" s="161"/>
      <c r="H39" s="161"/>
      <c r="I39" s="161"/>
      <c r="J39" s="161"/>
      <c r="K39" s="161"/>
      <c r="L39" s="161"/>
      <c r="M39" s="161"/>
      <c r="N39" s="16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29"/>
  </sheetPr>
  <dimension ref="A1:IV112"/>
  <sheetViews>
    <sheetView view="pageBreakPreview" zoomScale="60" zoomScaleNormal="60" workbookViewId="0">
      <selection activeCell="X14" sqref="X14:X16"/>
    </sheetView>
  </sheetViews>
  <sheetFormatPr defaultColWidth="11.42578125" defaultRowHeight="18" x14ac:dyDescent="0.2"/>
  <cols>
    <col min="1" max="1" width="3.85546875" style="5" customWidth="1"/>
    <col min="2" max="2" width="19.42578125" style="5" customWidth="1"/>
    <col min="3" max="3" width="1.7109375" style="5" customWidth="1"/>
    <col min="4" max="4" width="18.42578125" style="5" customWidth="1"/>
    <col min="5" max="5" width="1.7109375" style="5" hidden="1" customWidth="1"/>
    <col min="6" max="6" width="13.28515625" style="5" customWidth="1"/>
    <col min="7" max="7" width="14.28515625" style="5" customWidth="1"/>
    <col min="8" max="8" width="12.85546875" style="5" hidden="1" customWidth="1"/>
    <col min="9" max="9" width="1.7109375" style="5" customWidth="1"/>
    <col min="10" max="12" width="17.85546875" style="5" customWidth="1"/>
    <col min="13" max="13" width="22" style="5" customWidth="1"/>
    <col min="14" max="14" width="1.5703125" style="5" customWidth="1"/>
    <col min="15" max="15" width="22.140625" style="5" customWidth="1"/>
    <col min="16" max="16" width="1.28515625" style="5" hidden="1" customWidth="1"/>
    <col min="17" max="17" width="16" style="5" hidden="1" customWidth="1"/>
    <col min="18" max="18" width="1" style="5" customWidth="1"/>
    <col min="19" max="19" width="14.42578125" style="5" hidden="1" customWidth="1"/>
    <col min="20" max="20" width="1.7109375" style="5" customWidth="1"/>
    <col min="21" max="21" width="22.42578125" style="5" customWidth="1"/>
    <col min="22" max="22" width="1.28515625" style="5" customWidth="1"/>
    <col min="23" max="26" width="24" style="5" customWidth="1"/>
    <col min="27" max="27" width="2.28515625" style="7" customWidth="1"/>
    <col min="28" max="28" width="18.85546875" style="5" customWidth="1"/>
    <col min="29" max="29" width="18.5703125" style="5" customWidth="1"/>
    <col min="30" max="30" width="19.7109375" style="5" customWidth="1"/>
    <col min="31" max="31" width="24.5703125" style="5" customWidth="1"/>
    <col min="32" max="33" width="20" style="5" customWidth="1"/>
    <col min="34" max="34" width="20.85546875" style="5" customWidth="1"/>
    <col min="35" max="35" width="21.42578125" style="5" customWidth="1"/>
    <col min="36" max="36" width="21.140625" style="5" customWidth="1"/>
    <col min="37" max="37" width="22.28515625" style="5" customWidth="1"/>
    <col min="38" max="16384" width="11.42578125" style="5"/>
  </cols>
  <sheetData>
    <row r="1" spans="1:40" ht="18.75" thickBot="1" x14ac:dyDescent="0.25"/>
    <row r="2" spans="1:40" ht="129" customHeight="1" thickBot="1" x14ac:dyDescent="0.75">
      <c r="A2" s="162"/>
      <c r="B2" s="163"/>
      <c r="C2" s="163"/>
      <c r="D2" s="163"/>
      <c r="E2" s="163"/>
      <c r="F2" s="164"/>
      <c r="G2" s="165"/>
      <c r="H2" s="166"/>
      <c r="I2" s="166"/>
      <c r="J2" s="166"/>
      <c r="K2" s="166"/>
      <c r="L2" s="166"/>
      <c r="M2" s="166"/>
      <c r="N2" s="166"/>
      <c r="O2" s="166"/>
      <c r="P2" s="166"/>
      <c r="Q2" s="166"/>
      <c r="R2" s="166"/>
      <c r="S2" s="166"/>
      <c r="T2" s="166"/>
      <c r="U2" s="166"/>
      <c r="V2" s="166"/>
      <c r="W2" s="166"/>
      <c r="X2" s="166"/>
      <c r="Y2" s="166"/>
      <c r="Z2" s="166"/>
      <c r="AA2" s="166"/>
      <c r="AB2" s="166"/>
      <c r="AC2" s="166"/>
      <c r="AD2" s="162"/>
      <c r="AE2" s="164"/>
      <c r="AF2" s="71"/>
      <c r="AH2" s="62"/>
      <c r="AJ2" s="70"/>
    </row>
    <row r="3" spans="1:40" ht="1.5" customHeight="1" x14ac:dyDescent="0.2"/>
    <row r="4" spans="1:40" ht="39" hidden="1" customHeight="1" x14ac:dyDescent="0.2">
      <c r="A4" s="167"/>
      <c r="B4" s="167"/>
      <c r="C4" s="167"/>
      <c r="D4" s="3"/>
      <c r="E4" s="3"/>
      <c r="F4" s="3"/>
      <c r="G4" s="3"/>
      <c r="H4" s="3"/>
      <c r="I4" s="3"/>
      <c r="J4" s="3"/>
      <c r="K4" s="2" t="s">
        <v>0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spans="1:40" ht="37.5" hidden="1" customHeight="1" x14ac:dyDescent="0.2">
      <c r="A5" s="167"/>
      <c r="B5" s="167"/>
      <c r="C5" s="167"/>
      <c r="D5" s="3"/>
      <c r="E5" s="3"/>
      <c r="F5" s="3"/>
      <c r="G5" s="3"/>
      <c r="H5" s="3"/>
      <c r="I5" s="3"/>
      <c r="J5" s="3"/>
      <c r="K5" s="168"/>
      <c r="L5" s="168"/>
      <c r="M5" s="168"/>
      <c r="N5" s="168"/>
      <c r="O5" s="168"/>
      <c r="P5" s="168"/>
      <c r="Q5" s="168"/>
      <c r="R5" s="168"/>
      <c r="S5" s="168"/>
      <c r="T5" s="168"/>
      <c r="U5" s="168"/>
      <c r="V5" s="168"/>
      <c r="W5" s="168"/>
      <c r="X5" s="168"/>
      <c r="Y5" s="168"/>
      <c r="Z5" s="168"/>
      <c r="AA5" s="168"/>
      <c r="AB5" s="6"/>
      <c r="AC5" s="6"/>
      <c r="AE5" s="69"/>
    </row>
    <row r="6" spans="1:40" s="7" customFormat="1" ht="51" customHeight="1" thickBot="1" x14ac:dyDescent="0.25">
      <c r="A6" s="1"/>
      <c r="B6" s="1"/>
      <c r="C6" s="1"/>
      <c r="D6" s="3"/>
      <c r="E6" s="3"/>
      <c r="F6" s="3"/>
      <c r="G6" s="3"/>
      <c r="H6" s="3"/>
      <c r="I6" s="3"/>
      <c r="J6" s="3"/>
      <c r="K6" s="168"/>
      <c r="L6" s="168"/>
      <c r="M6" s="168"/>
      <c r="N6" s="168"/>
      <c r="O6" s="168"/>
      <c r="P6" s="168"/>
      <c r="Q6" s="168"/>
      <c r="R6" s="168"/>
      <c r="S6" s="168"/>
      <c r="T6" s="168"/>
      <c r="U6" s="168"/>
      <c r="V6" s="168"/>
      <c r="W6" s="168"/>
      <c r="X6" s="168"/>
      <c r="Y6" s="168"/>
      <c r="Z6" s="168"/>
      <c r="AA6" s="168"/>
      <c r="AB6" s="6"/>
      <c r="AC6" s="6"/>
      <c r="AI6" s="3"/>
      <c r="AJ6" s="3"/>
      <c r="AK6" s="3"/>
    </row>
    <row r="7" spans="1:40" s="7" customFormat="1" ht="3.75" hidden="1" customHeight="1" thickBot="1" x14ac:dyDescent="0.25">
      <c r="A7" s="6"/>
      <c r="B7" s="6"/>
      <c r="C7" s="6"/>
      <c r="D7" s="169"/>
      <c r="E7" s="169"/>
      <c r="F7" s="169"/>
      <c r="G7" s="169"/>
      <c r="H7" s="169"/>
      <c r="I7" s="169"/>
      <c r="J7" s="169"/>
      <c r="K7" s="169"/>
      <c r="L7" s="169"/>
      <c r="M7" s="170"/>
      <c r="N7" s="169"/>
      <c r="O7" s="169"/>
      <c r="P7" s="169"/>
      <c r="Q7" s="169"/>
      <c r="R7" s="169"/>
      <c r="S7" s="169"/>
      <c r="T7" s="169"/>
      <c r="U7" s="169"/>
      <c r="V7" s="169"/>
      <c r="W7" s="169"/>
      <c r="X7" s="169"/>
      <c r="Y7" s="169"/>
      <c r="Z7" s="169"/>
      <c r="AA7" s="169"/>
      <c r="AB7" s="8"/>
      <c r="AC7" s="8"/>
      <c r="AI7" s="3"/>
      <c r="AJ7" s="72"/>
      <c r="AK7" s="72"/>
      <c r="AL7" s="75"/>
    </row>
    <row r="8" spans="1:40" ht="2.25" customHeight="1" thickBot="1" x14ac:dyDescent="0.25">
      <c r="A8" s="171"/>
      <c r="B8" s="172" t="s">
        <v>1</v>
      </c>
      <c r="C8" s="77"/>
      <c r="D8" s="173" t="s">
        <v>3</v>
      </c>
      <c r="E8" s="73"/>
      <c r="F8" s="175" t="s">
        <v>11</v>
      </c>
      <c r="G8" s="176"/>
      <c r="H8" s="177"/>
      <c r="I8" s="73"/>
      <c r="J8" s="89"/>
      <c r="K8" s="89"/>
      <c r="L8" s="89"/>
      <c r="M8" s="181" t="s">
        <v>2</v>
      </c>
      <c r="N8" s="73"/>
      <c r="O8" s="189" t="s">
        <v>11</v>
      </c>
      <c r="P8" s="73"/>
      <c r="Q8" s="189" t="s">
        <v>4</v>
      </c>
      <c r="R8" s="73"/>
      <c r="S8" s="189" t="s">
        <v>5</v>
      </c>
      <c r="T8" s="73"/>
      <c r="U8" s="193" t="s">
        <v>38</v>
      </c>
      <c r="V8" s="73"/>
      <c r="W8" s="189" t="s">
        <v>11</v>
      </c>
      <c r="X8" s="195" t="s">
        <v>67</v>
      </c>
      <c r="Y8" s="197" t="s">
        <v>66</v>
      </c>
      <c r="Z8" s="199" t="s">
        <v>65</v>
      </c>
      <c r="AA8" s="201"/>
      <c r="AB8" s="202" t="s">
        <v>68</v>
      </c>
      <c r="AC8" s="189" t="s">
        <v>64</v>
      </c>
      <c r="AD8" s="191" t="s">
        <v>63</v>
      </c>
      <c r="AE8" s="182" t="s">
        <v>53</v>
      </c>
      <c r="AF8" s="182" t="s">
        <v>56</v>
      </c>
      <c r="AG8" s="184" t="s">
        <v>54</v>
      </c>
      <c r="AH8" s="184" t="s">
        <v>55</v>
      </c>
      <c r="AI8" s="62"/>
      <c r="AJ8" s="126"/>
      <c r="AK8" s="126"/>
      <c r="AL8" s="74"/>
    </row>
    <row r="9" spans="1:40" ht="77.25" customHeight="1" thickBot="1" x14ac:dyDescent="0.25">
      <c r="A9" s="171"/>
      <c r="B9" s="172"/>
      <c r="C9" s="77"/>
      <c r="D9" s="174"/>
      <c r="E9" s="73"/>
      <c r="F9" s="178"/>
      <c r="G9" s="179"/>
      <c r="H9" s="180"/>
      <c r="I9" s="153"/>
      <c r="J9" s="91" t="s">
        <v>6</v>
      </c>
      <c r="K9" s="91" t="s">
        <v>7</v>
      </c>
      <c r="L9" s="91" t="s">
        <v>8</v>
      </c>
      <c r="M9" s="181"/>
      <c r="N9" s="73"/>
      <c r="O9" s="190"/>
      <c r="P9" s="73"/>
      <c r="Q9" s="190"/>
      <c r="R9" s="73"/>
      <c r="S9" s="190"/>
      <c r="T9" s="73"/>
      <c r="U9" s="194"/>
      <c r="V9" s="73"/>
      <c r="W9" s="190"/>
      <c r="X9" s="196"/>
      <c r="Y9" s="198"/>
      <c r="Z9" s="200"/>
      <c r="AA9" s="201"/>
      <c r="AB9" s="203"/>
      <c r="AC9" s="204"/>
      <c r="AD9" s="192"/>
      <c r="AE9" s="183"/>
      <c r="AF9" s="183"/>
      <c r="AG9" s="185"/>
      <c r="AH9" s="185"/>
      <c r="AI9" s="44"/>
      <c r="AJ9" s="127" t="s">
        <v>62</v>
      </c>
      <c r="AK9" s="68" t="s">
        <v>61</v>
      </c>
      <c r="AL9" s="75"/>
      <c r="AM9" s="7"/>
      <c r="AN9" s="7"/>
    </row>
    <row r="10" spans="1:40" ht="32.25" customHeight="1" thickBot="1" x14ac:dyDescent="0.25">
      <c r="A10" s="76"/>
      <c r="B10" s="92">
        <v>44075</v>
      </c>
      <c r="C10" s="93"/>
      <c r="D10" s="148">
        <f>'Suivi EAU-ELEC'!C16</f>
        <v>90</v>
      </c>
      <c r="E10" s="152"/>
      <c r="F10" s="186">
        <f t="shared" ref="F10:F40" si="0">D10*12.67</f>
        <v>1140.3</v>
      </c>
      <c r="G10" s="187"/>
      <c r="H10" s="188"/>
      <c r="I10" s="143"/>
      <c r="J10" s="94">
        <f>'Suivi EAU-ELEC'!E16</f>
        <v>980</v>
      </c>
      <c r="K10" s="95">
        <f>'Suivi EAU-ELEC'!G16</f>
        <v>1741</v>
      </c>
      <c r="L10" s="95">
        <f>'Suivi EAU-ELEC'!I16</f>
        <v>599</v>
      </c>
      <c r="M10" s="82">
        <f>L10+K10+J10</f>
        <v>3320</v>
      </c>
      <c r="N10" s="58"/>
      <c r="O10" s="59">
        <f>J10*0.99+K10*0.99+L10*0.99</f>
        <v>3286.8</v>
      </c>
      <c r="P10" s="57"/>
      <c r="Q10" s="55"/>
      <c r="R10" s="56"/>
      <c r="S10" s="55"/>
      <c r="T10" s="96"/>
      <c r="U10" s="60">
        <f>'Suivi Gaz'!O11</f>
        <v>0</v>
      </c>
      <c r="V10" s="58"/>
      <c r="W10" s="59">
        <f>U10*7.8338</f>
        <v>0</v>
      </c>
      <c r="X10" s="65">
        <v>17028.62</v>
      </c>
      <c r="Y10" s="154">
        <f t="shared" ref="Y10:Y40" si="1">IF(X11&lt;X10,0,X11-X10)</f>
        <v>0</v>
      </c>
      <c r="Z10" s="64">
        <f>Y10*0.53*1000</f>
        <v>0</v>
      </c>
      <c r="AA10" s="58"/>
      <c r="AB10" s="84">
        <v>34</v>
      </c>
      <c r="AC10" s="78">
        <v>0</v>
      </c>
      <c r="AD10" s="79">
        <v>0</v>
      </c>
      <c r="AE10" s="83" t="s">
        <v>85</v>
      </c>
      <c r="AF10" s="83" t="s">
        <v>85</v>
      </c>
      <c r="AG10" s="80" t="s">
        <v>85</v>
      </c>
      <c r="AH10" s="81" t="s">
        <v>85</v>
      </c>
      <c r="AI10" s="146"/>
      <c r="AJ10" s="128">
        <f t="shared" ref="AJ10:AJ40" si="2">(F10+O10+W10+Z10)</f>
        <v>4427.1000000000004</v>
      </c>
      <c r="AK10" s="129" t="e">
        <f t="shared" ref="AK10:AK40" si="3">AJ10/AC10</f>
        <v>#DIV/0!</v>
      </c>
      <c r="AL10" s="75"/>
      <c r="AM10" s="7"/>
      <c r="AN10" s="7"/>
    </row>
    <row r="11" spans="1:40" ht="32.25" customHeight="1" thickBot="1" x14ac:dyDescent="0.25">
      <c r="A11" s="76"/>
      <c r="B11" s="92">
        <f>(B10+1)</f>
        <v>44076</v>
      </c>
      <c r="C11" s="93"/>
      <c r="D11" s="148">
        <f>'Suivi EAU-ELEC'!C17</f>
        <v>80</v>
      </c>
      <c r="E11" s="96"/>
      <c r="F11" s="186">
        <f t="shared" si="0"/>
        <v>1013.6</v>
      </c>
      <c r="G11" s="187"/>
      <c r="H11" s="188"/>
      <c r="I11" s="143"/>
      <c r="J11" s="94">
        <f>'Suivi EAU-ELEC'!E17</f>
        <v>1015</v>
      </c>
      <c r="K11" s="95">
        <f>'Suivi EAU-ELEC'!G17</f>
        <v>1757</v>
      </c>
      <c r="L11" s="95">
        <f>'Suivi EAU-ELEC'!I17</f>
        <v>651</v>
      </c>
      <c r="M11" s="82">
        <f t="shared" ref="M11:M40" si="4">L11+K11+J11</f>
        <v>3423</v>
      </c>
      <c r="N11" s="58"/>
      <c r="O11" s="59">
        <f t="shared" ref="O11:O40" si="5">J11*0.99+K11*0.99+L11*0.99</f>
        <v>3388.7700000000004</v>
      </c>
      <c r="P11" s="57"/>
      <c r="Q11" s="55"/>
      <c r="R11" s="56"/>
      <c r="S11" s="55"/>
      <c r="T11" s="96"/>
      <c r="U11" s="60">
        <f>'Suivi Gaz'!O12</f>
        <v>0</v>
      </c>
      <c r="V11" s="58"/>
      <c r="W11" s="59">
        <f t="shared" ref="W11:W40" si="6">U11*7.8338</f>
        <v>0</v>
      </c>
      <c r="X11" s="65">
        <v>17028.62</v>
      </c>
      <c r="Y11" s="149">
        <f t="shared" si="1"/>
        <v>0</v>
      </c>
      <c r="Z11" s="64">
        <f t="shared" ref="Z11:Z40" si="7">Y11*0.53*1000</f>
        <v>0</v>
      </c>
      <c r="AA11" s="58"/>
      <c r="AB11" s="84">
        <v>30</v>
      </c>
      <c r="AC11" s="78">
        <v>0</v>
      </c>
      <c r="AD11" s="79">
        <v>0</v>
      </c>
      <c r="AE11" s="83" t="s">
        <v>85</v>
      </c>
      <c r="AF11" s="83" t="s">
        <v>85</v>
      </c>
      <c r="AG11" s="80" t="s">
        <v>85</v>
      </c>
      <c r="AH11" s="81" t="s">
        <v>85</v>
      </c>
      <c r="AI11" s="146"/>
      <c r="AJ11" s="130">
        <f t="shared" si="2"/>
        <v>4402.3700000000008</v>
      </c>
      <c r="AK11" s="129" t="e">
        <f t="shared" si="3"/>
        <v>#DIV/0!</v>
      </c>
      <c r="AL11" s="75"/>
      <c r="AM11" s="7"/>
      <c r="AN11" s="7"/>
    </row>
    <row r="12" spans="1:40" s="7" customFormat="1" ht="32.25" customHeight="1" thickBot="1" x14ac:dyDescent="0.25">
      <c r="A12" s="73"/>
      <c r="B12" s="92">
        <f t="shared" ref="B12:B40" si="8">(B11+1)</f>
        <v>44077</v>
      </c>
      <c r="C12" s="93"/>
      <c r="D12" s="148">
        <f>'Suivi EAU-ELEC'!C18</f>
        <v>90</v>
      </c>
      <c r="E12" s="96"/>
      <c r="F12" s="186">
        <f t="shared" si="0"/>
        <v>1140.3</v>
      </c>
      <c r="G12" s="187"/>
      <c r="H12" s="188"/>
      <c r="I12" s="143"/>
      <c r="J12" s="94">
        <f>'Suivi EAU-ELEC'!E18</f>
        <v>996</v>
      </c>
      <c r="K12" s="95">
        <f>'Suivi EAU-ELEC'!G18</f>
        <v>1637</v>
      </c>
      <c r="L12" s="95">
        <f>'Suivi EAU-ELEC'!I18</f>
        <v>552</v>
      </c>
      <c r="M12" s="82">
        <f t="shared" si="4"/>
        <v>3185</v>
      </c>
      <c r="N12" s="58"/>
      <c r="O12" s="59">
        <f t="shared" si="5"/>
        <v>3153.15</v>
      </c>
      <c r="P12" s="57"/>
      <c r="Q12" s="55"/>
      <c r="R12" s="56"/>
      <c r="S12" s="55"/>
      <c r="T12" s="96"/>
      <c r="U12" s="60">
        <f>'Suivi Gaz'!O13</f>
        <v>0</v>
      </c>
      <c r="V12" s="58"/>
      <c r="W12" s="59">
        <f t="shared" si="6"/>
        <v>0</v>
      </c>
      <c r="X12" s="65">
        <v>17028.62</v>
      </c>
      <c r="Y12" s="149">
        <f t="shared" si="1"/>
        <v>0</v>
      </c>
      <c r="Z12" s="64">
        <f t="shared" si="7"/>
        <v>0</v>
      </c>
      <c r="AA12" s="58"/>
      <c r="AB12" s="84">
        <v>34</v>
      </c>
      <c r="AC12" s="78">
        <v>0</v>
      </c>
      <c r="AD12" s="79">
        <v>0</v>
      </c>
      <c r="AE12" s="83" t="s">
        <v>85</v>
      </c>
      <c r="AF12" s="83" t="s">
        <v>85</v>
      </c>
      <c r="AG12" s="80" t="s">
        <v>85</v>
      </c>
      <c r="AH12" s="81" t="s">
        <v>85</v>
      </c>
      <c r="AI12" s="44"/>
      <c r="AJ12" s="130">
        <f t="shared" si="2"/>
        <v>4293.45</v>
      </c>
      <c r="AK12" s="129" t="e">
        <f t="shared" si="3"/>
        <v>#DIV/0!</v>
      </c>
      <c r="AL12" s="75"/>
    </row>
    <row r="13" spans="1:40" ht="32.25" customHeight="1" thickBot="1" x14ac:dyDescent="0.25">
      <c r="A13" s="73"/>
      <c r="B13" s="92">
        <f t="shared" si="8"/>
        <v>44078</v>
      </c>
      <c r="C13" s="93"/>
      <c r="D13" s="148">
        <f>'Suivi EAU-ELEC'!C19</f>
        <v>80</v>
      </c>
      <c r="E13" s="96"/>
      <c r="F13" s="205">
        <f t="shared" si="0"/>
        <v>1013.6</v>
      </c>
      <c r="G13" s="206"/>
      <c r="H13" s="207"/>
      <c r="I13" s="143"/>
      <c r="J13" s="94">
        <f>'Suivi EAU-ELEC'!E19</f>
        <v>1003</v>
      </c>
      <c r="K13" s="95">
        <f>'Suivi EAU-ELEC'!G19</f>
        <v>1765</v>
      </c>
      <c r="L13" s="95">
        <f>'Suivi EAU-ELEC'!I19</f>
        <v>661</v>
      </c>
      <c r="M13" s="82">
        <f t="shared" si="4"/>
        <v>3429</v>
      </c>
      <c r="N13" s="58"/>
      <c r="O13" s="59">
        <f t="shared" si="5"/>
        <v>3394.7099999999996</v>
      </c>
      <c r="P13" s="57"/>
      <c r="Q13" s="55"/>
      <c r="R13" s="56"/>
      <c r="S13" s="55"/>
      <c r="T13" s="96"/>
      <c r="U13" s="60">
        <f>'Suivi Gaz'!O14</f>
        <v>0</v>
      </c>
      <c r="V13" s="58"/>
      <c r="W13" s="59">
        <f t="shared" si="6"/>
        <v>0</v>
      </c>
      <c r="X13" s="65">
        <v>17028.62</v>
      </c>
      <c r="Y13" s="149">
        <f t="shared" si="1"/>
        <v>0</v>
      </c>
      <c r="Z13" s="64">
        <f t="shared" si="7"/>
        <v>0</v>
      </c>
      <c r="AA13" s="58"/>
      <c r="AB13" s="84">
        <v>32</v>
      </c>
      <c r="AC13" s="78">
        <v>0</v>
      </c>
      <c r="AD13" s="79">
        <v>0</v>
      </c>
      <c r="AE13" s="83" t="s">
        <v>85</v>
      </c>
      <c r="AF13" s="83" t="s">
        <v>85</v>
      </c>
      <c r="AG13" s="80" t="s">
        <v>85</v>
      </c>
      <c r="AH13" s="81" t="s">
        <v>85</v>
      </c>
      <c r="AI13" s="44"/>
      <c r="AJ13" s="130">
        <f t="shared" si="2"/>
        <v>4408.3099999999995</v>
      </c>
      <c r="AK13" s="129" t="e">
        <f t="shared" si="3"/>
        <v>#DIV/0!</v>
      </c>
      <c r="AL13" s="74"/>
    </row>
    <row r="14" spans="1:40" ht="32.25" customHeight="1" thickBot="1" x14ac:dyDescent="0.25">
      <c r="A14" s="73"/>
      <c r="B14" s="92">
        <f t="shared" si="8"/>
        <v>44079</v>
      </c>
      <c r="C14" s="93"/>
      <c r="D14" s="148">
        <f>'Suivi EAU-ELEC'!C20</f>
        <v>90</v>
      </c>
      <c r="E14" s="96"/>
      <c r="F14" s="186">
        <f t="shared" si="0"/>
        <v>1140.3</v>
      </c>
      <c r="G14" s="187"/>
      <c r="H14" s="188"/>
      <c r="I14" s="143"/>
      <c r="J14" s="94">
        <f>'Suivi EAU-ELEC'!E20</f>
        <v>1042</v>
      </c>
      <c r="K14" s="95">
        <f>'Suivi EAU-ELEC'!G20</f>
        <v>1752</v>
      </c>
      <c r="L14" s="95">
        <f>'Suivi EAU-ELEC'!I20</f>
        <v>670</v>
      </c>
      <c r="M14" s="82">
        <f t="shared" si="4"/>
        <v>3464</v>
      </c>
      <c r="N14" s="58"/>
      <c r="O14" s="59">
        <f t="shared" si="5"/>
        <v>3429.3599999999997</v>
      </c>
      <c r="P14" s="57"/>
      <c r="Q14" s="55"/>
      <c r="R14" s="56"/>
      <c r="S14" s="55"/>
      <c r="T14" s="96"/>
      <c r="U14" s="60">
        <f>'Suivi Gaz'!O15</f>
        <v>0</v>
      </c>
      <c r="V14" s="58"/>
      <c r="W14" s="59">
        <f t="shared" si="6"/>
        <v>0</v>
      </c>
      <c r="X14" s="65">
        <v>17028.62</v>
      </c>
      <c r="Y14" s="149">
        <f t="shared" si="1"/>
        <v>0</v>
      </c>
      <c r="Z14" s="64">
        <f t="shared" si="7"/>
        <v>0</v>
      </c>
      <c r="AA14" s="58"/>
      <c r="AB14" s="61">
        <v>35</v>
      </c>
      <c r="AC14" s="78">
        <v>0</v>
      </c>
      <c r="AD14" s="79">
        <v>0</v>
      </c>
      <c r="AE14" s="83" t="s">
        <v>85</v>
      </c>
      <c r="AF14" s="83" t="s">
        <v>85</v>
      </c>
      <c r="AG14" s="80" t="s">
        <v>85</v>
      </c>
      <c r="AH14" s="81" t="s">
        <v>85</v>
      </c>
      <c r="AI14" s="44"/>
      <c r="AJ14" s="130">
        <f t="shared" si="2"/>
        <v>4569.66</v>
      </c>
      <c r="AK14" s="129" t="e">
        <f t="shared" si="3"/>
        <v>#DIV/0!</v>
      </c>
      <c r="AL14" s="74"/>
    </row>
    <row r="15" spans="1:40" ht="32.25" customHeight="1" thickBot="1" x14ac:dyDescent="0.25">
      <c r="A15" s="73"/>
      <c r="B15" s="92">
        <f t="shared" si="8"/>
        <v>44080</v>
      </c>
      <c r="C15" s="93"/>
      <c r="D15" s="148">
        <f>'Suivi EAU-ELEC'!C21</f>
        <v>80</v>
      </c>
      <c r="E15" s="96"/>
      <c r="F15" s="208">
        <f t="shared" si="0"/>
        <v>1013.6</v>
      </c>
      <c r="G15" s="209"/>
      <c r="H15" s="210"/>
      <c r="I15" s="145"/>
      <c r="J15" s="94">
        <f>'Suivi EAU-ELEC'!E21</f>
        <v>1022</v>
      </c>
      <c r="K15" s="95">
        <f>'Suivi EAU-ELEC'!G21</f>
        <v>1611</v>
      </c>
      <c r="L15" s="95">
        <f>'Suivi EAU-ELEC'!I21</f>
        <v>0</v>
      </c>
      <c r="M15" s="82">
        <f t="shared" si="4"/>
        <v>2633</v>
      </c>
      <c r="N15" s="58"/>
      <c r="O15" s="59">
        <f t="shared" si="5"/>
        <v>2606.67</v>
      </c>
      <c r="P15" s="57"/>
      <c r="Q15" s="55"/>
      <c r="R15" s="56"/>
      <c r="S15" s="55"/>
      <c r="T15" s="96"/>
      <c r="U15" s="60">
        <f>'Suivi Gaz'!O16</f>
        <v>0</v>
      </c>
      <c r="V15" s="58"/>
      <c r="W15" s="59">
        <f t="shared" si="6"/>
        <v>0</v>
      </c>
      <c r="X15" s="65">
        <v>17028.62</v>
      </c>
      <c r="Y15" s="149">
        <f t="shared" si="1"/>
        <v>0</v>
      </c>
      <c r="Z15" s="64">
        <f t="shared" si="7"/>
        <v>0</v>
      </c>
      <c r="AA15" s="58"/>
      <c r="AB15" s="61">
        <v>36</v>
      </c>
      <c r="AC15" s="78">
        <v>0</v>
      </c>
      <c r="AD15" s="79">
        <v>0</v>
      </c>
      <c r="AE15" s="83" t="s">
        <v>85</v>
      </c>
      <c r="AF15" s="83" t="s">
        <v>85</v>
      </c>
      <c r="AG15" s="80" t="s">
        <v>85</v>
      </c>
      <c r="AH15" s="81" t="s">
        <v>85</v>
      </c>
      <c r="AI15" s="44"/>
      <c r="AJ15" s="130">
        <f t="shared" si="2"/>
        <v>3620.27</v>
      </c>
      <c r="AK15" s="129" t="e">
        <f t="shared" si="3"/>
        <v>#DIV/0!</v>
      </c>
      <c r="AL15" s="74"/>
    </row>
    <row r="16" spans="1:40" ht="32.25" customHeight="1" thickBot="1" x14ac:dyDescent="0.25">
      <c r="A16" s="73"/>
      <c r="B16" s="92">
        <f t="shared" si="8"/>
        <v>44081</v>
      </c>
      <c r="C16" s="93"/>
      <c r="D16" s="148">
        <f>'Suivi EAU-ELEC'!C22</f>
        <v>0</v>
      </c>
      <c r="E16" s="96"/>
      <c r="F16" s="205">
        <f t="shared" si="0"/>
        <v>0</v>
      </c>
      <c r="G16" s="206"/>
      <c r="H16" s="207"/>
      <c r="I16" s="142"/>
      <c r="J16" s="94">
        <f>'Suivi EAU-ELEC'!E22</f>
        <v>0</v>
      </c>
      <c r="K16" s="95">
        <f>'Suivi EAU-ELEC'!G22</f>
        <v>0</v>
      </c>
      <c r="L16" s="95">
        <f>'Suivi EAU-ELEC'!I22</f>
        <v>0</v>
      </c>
      <c r="M16" s="82">
        <f t="shared" si="4"/>
        <v>0</v>
      </c>
      <c r="N16" s="58"/>
      <c r="O16" s="59">
        <f t="shared" si="5"/>
        <v>0</v>
      </c>
      <c r="P16" s="57"/>
      <c r="Q16" s="55"/>
      <c r="R16" s="56"/>
      <c r="S16" s="55"/>
      <c r="T16" s="96"/>
      <c r="U16" s="60">
        <f>'Suivi Gaz'!O17</f>
        <v>0</v>
      </c>
      <c r="V16" s="58"/>
      <c r="W16" s="59">
        <f t="shared" si="6"/>
        <v>0</v>
      </c>
      <c r="X16" s="65">
        <v>17028.62</v>
      </c>
      <c r="Y16" s="149">
        <f t="shared" si="1"/>
        <v>0</v>
      </c>
      <c r="Z16" s="64">
        <f t="shared" si="7"/>
        <v>0</v>
      </c>
      <c r="AA16" s="58"/>
      <c r="AB16" s="61"/>
      <c r="AC16" s="78"/>
      <c r="AD16" s="79"/>
      <c r="AE16" s="83"/>
      <c r="AF16" s="83"/>
      <c r="AG16" s="80"/>
      <c r="AH16" s="81"/>
      <c r="AI16" s="44"/>
      <c r="AJ16" s="130">
        <f t="shared" si="2"/>
        <v>0</v>
      </c>
      <c r="AK16" s="129" t="e">
        <f t="shared" si="3"/>
        <v>#DIV/0!</v>
      </c>
      <c r="AL16" s="74"/>
    </row>
    <row r="17" spans="1:256" ht="32.25" customHeight="1" thickBot="1" x14ac:dyDescent="0.25">
      <c r="A17" s="73"/>
      <c r="B17" s="92">
        <f t="shared" si="8"/>
        <v>44082</v>
      </c>
      <c r="C17" s="93"/>
      <c r="D17" s="148">
        <f>'Suivi EAU-ELEC'!C23</f>
        <v>0</v>
      </c>
      <c r="E17" s="96"/>
      <c r="F17" s="186">
        <f t="shared" si="0"/>
        <v>0</v>
      </c>
      <c r="G17" s="187"/>
      <c r="H17" s="188"/>
      <c r="I17" s="143"/>
      <c r="J17" s="94">
        <f>'Suivi EAU-ELEC'!E23</f>
        <v>0</v>
      </c>
      <c r="K17" s="95">
        <f>'Suivi EAU-ELEC'!G23</f>
        <v>0</v>
      </c>
      <c r="L17" s="95">
        <f>'Suivi EAU-ELEC'!I23</f>
        <v>0</v>
      </c>
      <c r="M17" s="82">
        <f t="shared" si="4"/>
        <v>0</v>
      </c>
      <c r="N17" s="58"/>
      <c r="O17" s="59">
        <f t="shared" si="5"/>
        <v>0</v>
      </c>
      <c r="P17" s="57"/>
      <c r="Q17" s="55"/>
      <c r="R17" s="56"/>
      <c r="S17" s="55"/>
      <c r="T17" s="96"/>
      <c r="U17" s="60">
        <f>'Suivi Gaz'!O18</f>
        <v>0</v>
      </c>
      <c r="V17" s="58"/>
      <c r="W17" s="59">
        <f t="shared" si="6"/>
        <v>0</v>
      </c>
      <c r="X17" s="65"/>
      <c r="Y17" s="149">
        <f t="shared" si="1"/>
        <v>0</v>
      </c>
      <c r="Z17" s="64">
        <f t="shared" si="7"/>
        <v>0</v>
      </c>
      <c r="AA17" s="67"/>
      <c r="AB17" s="61"/>
      <c r="AC17" s="78"/>
      <c r="AD17" s="79"/>
      <c r="AE17" s="83"/>
      <c r="AF17" s="83"/>
      <c r="AG17" s="80"/>
      <c r="AH17" s="81"/>
      <c r="AI17" s="44"/>
      <c r="AJ17" s="130">
        <f t="shared" si="2"/>
        <v>0</v>
      </c>
      <c r="AK17" s="129" t="e">
        <f t="shared" si="3"/>
        <v>#DIV/0!</v>
      </c>
      <c r="AL17" s="74"/>
    </row>
    <row r="18" spans="1:256" ht="32.25" customHeight="1" thickBot="1" x14ac:dyDescent="0.25">
      <c r="A18" s="73"/>
      <c r="B18" s="92">
        <f t="shared" si="8"/>
        <v>44083</v>
      </c>
      <c r="C18" s="93"/>
      <c r="D18" s="148">
        <f>'Suivi EAU-ELEC'!C24</f>
        <v>0</v>
      </c>
      <c r="E18" s="96"/>
      <c r="F18" s="208">
        <f t="shared" si="0"/>
        <v>0</v>
      </c>
      <c r="G18" s="209"/>
      <c r="H18" s="210"/>
      <c r="I18" s="143"/>
      <c r="J18" s="94">
        <f>'Suivi EAU-ELEC'!E24</f>
        <v>0</v>
      </c>
      <c r="K18" s="95">
        <f>'Suivi EAU-ELEC'!G24</f>
        <v>0</v>
      </c>
      <c r="L18" s="95">
        <f>'Suivi EAU-ELEC'!I24</f>
        <v>0</v>
      </c>
      <c r="M18" s="82">
        <f t="shared" si="4"/>
        <v>0</v>
      </c>
      <c r="N18" s="58"/>
      <c r="O18" s="59">
        <f t="shared" si="5"/>
        <v>0</v>
      </c>
      <c r="P18" s="57"/>
      <c r="Q18" s="55"/>
      <c r="R18" s="56"/>
      <c r="S18" s="55"/>
      <c r="T18" s="96"/>
      <c r="U18" s="60">
        <f>'Suivi Gaz'!O19</f>
        <v>0</v>
      </c>
      <c r="V18" s="58"/>
      <c r="W18" s="59">
        <f t="shared" si="6"/>
        <v>0</v>
      </c>
      <c r="X18" s="65"/>
      <c r="Y18" s="149">
        <f t="shared" si="1"/>
        <v>0</v>
      </c>
      <c r="Z18" s="64">
        <f t="shared" si="7"/>
        <v>0</v>
      </c>
      <c r="AA18" s="67"/>
      <c r="AB18" s="61"/>
      <c r="AC18" s="78"/>
      <c r="AD18" s="79"/>
      <c r="AE18" s="83"/>
      <c r="AF18" s="83"/>
      <c r="AG18" s="80"/>
      <c r="AH18" s="81"/>
      <c r="AI18" s="44"/>
      <c r="AJ18" s="130">
        <f t="shared" si="2"/>
        <v>0</v>
      </c>
      <c r="AK18" s="129" t="e">
        <f t="shared" si="3"/>
        <v>#DIV/0!</v>
      </c>
      <c r="AL18" s="74"/>
    </row>
    <row r="19" spans="1:256" ht="32.25" customHeight="1" thickBot="1" x14ac:dyDescent="0.25">
      <c r="A19" s="73"/>
      <c r="B19" s="92">
        <f t="shared" si="8"/>
        <v>44084</v>
      </c>
      <c r="C19" s="93"/>
      <c r="D19" s="148">
        <f>'Suivi EAU-ELEC'!C25</f>
        <v>0</v>
      </c>
      <c r="E19" s="96"/>
      <c r="F19" s="186">
        <f t="shared" si="0"/>
        <v>0</v>
      </c>
      <c r="G19" s="187"/>
      <c r="H19" s="188"/>
      <c r="I19" s="143"/>
      <c r="J19" s="94">
        <f>'Suivi EAU-ELEC'!E25</f>
        <v>0</v>
      </c>
      <c r="K19" s="95">
        <f>'Suivi EAU-ELEC'!G25</f>
        <v>0</v>
      </c>
      <c r="L19" s="95">
        <f>'Suivi EAU-ELEC'!I25</f>
        <v>0</v>
      </c>
      <c r="M19" s="82">
        <f t="shared" si="4"/>
        <v>0</v>
      </c>
      <c r="N19" s="58"/>
      <c r="O19" s="59">
        <f t="shared" si="5"/>
        <v>0</v>
      </c>
      <c r="P19" s="57"/>
      <c r="Q19" s="55"/>
      <c r="R19" s="56"/>
      <c r="S19" s="55"/>
      <c r="T19" s="96"/>
      <c r="U19" s="60">
        <f>'Suivi Gaz'!O20</f>
        <v>0</v>
      </c>
      <c r="V19" s="58"/>
      <c r="W19" s="59">
        <f t="shared" si="6"/>
        <v>0</v>
      </c>
      <c r="X19" s="65"/>
      <c r="Y19" s="149">
        <f t="shared" si="1"/>
        <v>0</v>
      </c>
      <c r="Z19" s="64">
        <f t="shared" si="7"/>
        <v>0</v>
      </c>
      <c r="AA19" s="67"/>
      <c r="AB19" s="61"/>
      <c r="AC19" s="78"/>
      <c r="AD19" s="79"/>
      <c r="AE19" s="83"/>
      <c r="AF19" s="83"/>
      <c r="AG19" s="80"/>
      <c r="AH19" s="81"/>
      <c r="AI19" s="44"/>
      <c r="AJ19" s="130">
        <f t="shared" si="2"/>
        <v>0</v>
      </c>
      <c r="AK19" s="129" t="e">
        <f t="shared" si="3"/>
        <v>#DIV/0!</v>
      </c>
      <c r="AL19" s="74"/>
    </row>
    <row r="20" spans="1:256" ht="32.25" customHeight="1" thickBot="1" x14ac:dyDescent="0.25">
      <c r="A20" s="73"/>
      <c r="B20" s="92">
        <f t="shared" si="8"/>
        <v>44085</v>
      </c>
      <c r="C20" s="93"/>
      <c r="D20" s="148">
        <f>'Suivi EAU-ELEC'!C26</f>
        <v>0</v>
      </c>
      <c r="E20" s="96"/>
      <c r="F20" s="205">
        <f t="shared" si="0"/>
        <v>0</v>
      </c>
      <c r="G20" s="206"/>
      <c r="H20" s="207"/>
      <c r="I20" s="143"/>
      <c r="J20" s="94">
        <f>'Suivi EAU-ELEC'!E26</f>
        <v>0</v>
      </c>
      <c r="K20" s="95">
        <f>'Suivi EAU-ELEC'!G26</f>
        <v>0</v>
      </c>
      <c r="L20" s="95">
        <f>'Suivi EAU-ELEC'!I26</f>
        <v>0</v>
      </c>
      <c r="M20" s="82">
        <f t="shared" si="4"/>
        <v>0</v>
      </c>
      <c r="N20" s="58"/>
      <c r="O20" s="59">
        <f t="shared" si="5"/>
        <v>0</v>
      </c>
      <c r="P20" s="57"/>
      <c r="Q20" s="55"/>
      <c r="R20" s="56"/>
      <c r="S20" s="55"/>
      <c r="T20" s="96"/>
      <c r="U20" s="60">
        <f>'Suivi Gaz'!O21</f>
        <v>0</v>
      </c>
      <c r="V20" s="58"/>
      <c r="W20" s="59">
        <f t="shared" si="6"/>
        <v>0</v>
      </c>
      <c r="X20" s="65"/>
      <c r="Y20" s="149">
        <f t="shared" si="1"/>
        <v>0</v>
      </c>
      <c r="Z20" s="64">
        <f t="shared" si="7"/>
        <v>0</v>
      </c>
      <c r="AA20" s="67">
        <v>14</v>
      </c>
      <c r="AB20" s="61"/>
      <c r="AC20" s="78"/>
      <c r="AD20" s="79"/>
      <c r="AE20" s="83"/>
      <c r="AF20" s="83"/>
      <c r="AG20" s="80"/>
      <c r="AH20" s="81"/>
      <c r="AI20" s="44"/>
      <c r="AJ20" s="130">
        <f t="shared" si="2"/>
        <v>0</v>
      </c>
      <c r="AK20" s="129" t="e">
        <f t="shared" si="3"/>
        <v>#DIV/0!</v>
      </c>
      <c r="AL20" s="74"/>
    </row>
    <row r="21" spans="1:256" ht="32.25" customHeight="1" thickBot="1" x14ac:dyDescent="0.25">
      <c r="A21" s="73"/>
      <c r="B21" s="92">
        <f t="shared" si="8"/>
        <v>44086</v>
      </c>
      <c r="C21" s="93"/>
      <c r="D21" s="148">
        <f>'Suivi EAU-ELEC'!C27</f>
        <v>0</v>
      </c>
      <c r="E21" s="96"/>
      <c r="F21" s="186">
        <f t="shared" si="0"/>
        <v>0</v>
      </c>
      <c r="G21" s="187"/>
      <c r="H21" s="188"/>
      <c r="I21" s="143"/>
      <c r="J21" s="94">
        <f>'Suivi EAU-ELEC'!E27</f>
        <v>0</v>
      </c>
      <c r="K21" s="95">
        <f>'Suivi EAU-ELEC'!G27</f>
        <v>0</v>
      </c>
      <c r="L21" s="95">
        <f>'Suivi EAU-ELEC'!I27</f>
        <v>0</v>
      </c>
      <c r="M21" s="82">
        <f t="shared" si="4"/>
        <v>0</v>
      </c>
      <c r="N21" s="58"/>
      <c r="O21" s="59">
        <f t="shared" si="5"/>
        <v>0</v>
      </c>
      <c r="P21" s="57"/>
      <c r="Q21" s="55"/>
      <c r="R21" s="56"/>
      <c r="S21" s="55"/>
      <c r="T21" s="96"/>
      <c r="U21" s="60">
        <f>'Suivi Gaz'!O22</f>
        <v>0</v>
      </c>
      <c r="V21" s="58"/>
      <c r="W21" s="59">
        <f t="shared" si="6"/>
        <v>0</v>
      </c>
      <c r="X21" s="65"/>
      <c r="Y21" s="149">
        <f t="shared" si="1"/>
        <v>0</v>
      </c>
      <c r="Z21" s="64">
        <f t="shared" si="7"/>
        <v>0</v>
      </c>
      <c r="AA21" s="67">
        <v>14</v>
      </c>
      <c r="AB21" s="61"/>
      <c r="AC21" s="78"/>
      <c r="AD21" s="79"/>
      <c r="AE21" s="83"/>
      <c r="AF21" s="83"/>
      <c r="AG21" s="80"/>
      <c r="AH21" s="81"/>
      <c r="AI21" s="44"/>
      <c r="AJ21" s="130">
        <f t="shared" si="2"/>
        <v>0</v>
      </c>
      <c r="AK21" s="129" t="e">
        <f>AJ21/AC21</f>
        <v>#DIV/0!</v>
      </c>
      <c r="AL21" s="74"/>
    </row>
    <row r="22" spans="1:256" ht="32.25" customHeight="1" thickBot="1" x14ac:dyDescent="0.25">
      <c r="A22" s="73"/>
      <c r="B22" s="92">
        <f t="shared" si="8"/>
        <v>44087</v>
      </c>
      <c r="C22" s="93"/>
      <c r="D22" s="148">
        <f>'Suivi EAU-ELEC'!C28</f>
        <v>0</v>
      </c>
      <c r="E22" s="96"/>
      <c r="F22" s="208">
        <f t="shared" si="0"/>
        <v>0</v>
      </c>
      <c r="G22" s="209"/>
      <c r="H22" s="210"/>
      <c r="I22" s="143"/>
      <c r="J22" s="94">
        <f>'Suivi EAU-ELEC'!E28</f>
        <v>0</v>
      </c>
      <c r="K22" s="95">
        <f>'Suivi EAU-ELEC'!G28</f>
        <v>0</v>
      </c>
      <c r="L22" s="95">
        <f>'Suivi EAU-ELEC'!I28</f>
        <v>0</v>
      </c>
      <c r="M22" s="82">
        <f t="shared" si="4"/>
        <v>0</v>
      </c>
      <c r="N22" s="58"/>
      <c r="O22" s="59">
        <f t="shared" si="5"/>
        <v>0</v>
      </c>
      <c r="P22" s="57"/>
      <c r="Q22" s="55"/>
      <c r="R22" s="56"/>
      <c r="S22" s="55"/>
      <c r="T22" s="96"/>
      <c r="U22" s="60">
        <f>'Suivi Gaz'!O23</f>
        <v>0</v>
      </c>
      <c r="V22" s="58"/>
      <c r="W22" s="59">
        <f t="shared" si="6"/>
        <v>0</v>
      </c>
      <c r="X22" s="65"/>
      <c r="Y22" s="149">
        <f t="shared" si="1"/>
        <v>0</v>
      </c>
      <c r="Z22" s="64">
        <f t="shared" si="7"/>
        <v>0</v>
      </c>
      <c r="AA22" s="58"/>
      <c r="AB22" s="61"/>
      <c r="AC22" s="78"/>
      <c r="AD22" s="79"/>
      <c r="AE22" s="83"/>
      <c r="AF22" s="83"/>
      <c r="AG22" s="80"/>
      <c r="AH22" s="81"/>
      <c r="AI22" s="44"/>
      <c r="AJ22" s="130">
        <f t="shared" si="2"/>
        <v>0</v>
      </c>
      <c r="AK22" s="129" t="e">
        <f t="shared" si="3"/>
        <v>#DIV/0!</v>
      </c>
      <c r="AL22" s="74"/>
    </row>
    <row r="23" spans="1:256" ht="32.25" customHeight="1" thickBot="1" x14ac:dyDescent="0.25">
      <c r="A23" s="73"/>
      <c r="B23" s="92">
        <f t="shared" si="8"/>
        <v>44088</v>
      </c>
      <c r="C23" s="93"/>
      <c r="D23" s="148">
        <f>'Suivi EAU-ELEC'!C29</f>
        <v>0</v>
      </c>
      <c r="E23" s="96"/>
      <c r="F23" s="186">
        <f t="shared" si="0"/>
        <v>0</v>
      </c>
      <c r="G23" s="187"/>
      <c r="H23" s="188"/>
      <c r="I23" s="143"/>
      <c r="J23" s="94">
        <f>'Suivi EAU-ELEC'!E29</f>
        <v>0</v>
      </c>
      <c r="K23" s="95">
        <f>'Suivi EAU-ELEC'!G29</f>
        <v>0</v>
      </c>
      <c r="L23" s="95">
        <f>'Suivi EAU-ELEC'!I29</f>
        <v>0</v>
      </c>
      <c r="M23" s="82">
        <f t="shared" si="4"/>
        <v>0</v>
      </c>
      <c r="N23" s="58"/>
      <c r="O23" s="59">
        <f t="shared" si="5"/>
        <v>0</v>
      </c>
      <c r="P23" s="57"/>
      <c r="Q23" s="55"/>
      <c r="R23" s="56"/>
      <c r="S23" s="55"/>
      <c r="T23" s="96"/>
      <c r="U23" s="60">
        <f>'Suivi Gaz'!O24</f>
        <v>0</v>
      </c>
      <c r="V23" s="58"/>
      <c r="W23" s="59">
        <f t="shared" si="6"/>
        <v>0</v>
      </c>
      <c r="X23" s="65"/>
      <c r="Y23" s="149">
        <f t="shared" si="1"/>
        <v>0</v>
      </c>
      <c r="Z23" s="64">
        <f t="shared" si="7"/>
        <v>0</v>
      </c>
      <c r="AA23" s="58"/>
      <c r="AB23" s="61"/>
      <c r="AC23" s="78"/>
      <c r="AD23" s="79"/>
      <c r="AE23" s="83"/>
      <c r="AF23" s="83"/>
      <c r="AG23" s="80"/>
      <c r="AH23" s="81"/>
      <c r="AI23" s="44"/>
      <c r="AJ23" s="130">
        <f t="shared" si="2"/>
        <v>0</v>
      </c>
      <c r="AK23" s="129" t="e">
        <f t="shared" si="3"/>
        <v>#DIV/0!</v>
      </c>
      <c r="AL23" s="74"/>
    </row>
    <row r="24" spans="1:256" ht="32.25" customHeight="1" thickBot="1" x14ac:dyDescent="0.25">
      <c r="A24" s="73"/>
      <c r="B24" s="92">
        <f t="shared" si="8"/>
        <v>44089</v>
      </c>
      <c r="C24" s="93"/>
      <c r="D24" s="148">
        <f>'Suivi EAU-ELEC'!C30</f>
        <v>0</v>
      </c>
      <c r="E24" s="96"/>
      <c r="F24" s="186">
        <f t="shared" si="0"/>
        <v>0</v>
      </c>
      <c r="G24" s="187"/>
      <c r="H24" s="188"/>
      <c r="I24" s="143"/>
      <c r="J24" s="94">
        <f>'Suivi EAU-ELEC'!E30</f>
        <v>0</v>
      </c>
      <c r="K24" s="95">
        <f>'Suivi EAU-ELEC'!G30</f>
        <v>0</v>
      </c>
      <c r="L24" s="95">
        <f>'Suivi EAU-ELEC'!I30</f>
        <v>0</v>
      </c>
      <c r="M24" s="82">
        <f t="shared" si="4"/>
        <v>0</v>
      </c>
      <c r="N24" s="58"/>
      <c r="O24" s="59">
        <f t="shared" si="5"/>
        <v>0</v>
      </c>
      <c r="P24" s="57"/>
      <c r="Q24" s="55"/>
      <c r="R24" s="56"/>
      <c r="S24" s="55"/>
      <c r="T24" s="96"/>
      <c r="U24" s="60">
        <f>'Suivi Gaz'!O25</f>
        <v>0</v>
      </c>
      <c r="V24" s="58"/>
      <c r="W24" s="59">
        <f t="shared" si="6"/>
        <v>0</v>
      </c>
      <c r="X24" s="65"/>
      <c r="Y24" s="149">
        <f t="shared" si="1"/>
        <v>0</v>
      </c>
      <c r="Z24" s="64">
        <f t="shared" si="7"/>
        <v>0</v>
      </c>
      <c r="AA24" s="58"/>
      <c r="AB24" s="61"/>
      <c r="AC24" s="78"/>
      <c r="AD24" s="79"/>
      <c r="AE24" s="83"/>
      <c r="AF24" s="83"/>
      <c r="AG24" s="80"/>
      <c r="AH24" s="81"/>
      <c r="AJ24" s="130">
        <f>(F24+O24+W24+Z24)</f>
        <v>0</v>
      </c>
      <c r="AK24" s="129" t="e">
        <f t="shared" si="3"/>
        <v>#DIV/0!</v>
      </c>
      <c r="AL24" s="74"/>
    </row>
    <row r="25" spans="1:256" ht="32.25" customHeight="1" thickBot="1" x14ac:dyDescent="0.25">
      <c r="A25" s="73"/>
      <c r="B25" s="92">
        <f t="shared" si="8"/>
        <v>44090</v>
      </c>
      <c r="C25" s="93"/>
      <c r="D25" s="148">
        <f>'Suivi EAU-ELEC'!C31</f>
        <v>0</v>
      </c>
      <c r="E25" s="96"/>
      <c r="F25" s="186">
        <f t="shared" si="0"/>
        <v>0</v>
      </c>
      <c r="G25" s="187"/>
      <c r="H25" s="188"/>
      <c r="I25" s="143"/>
      <c r="J25" s="94">
        <f>'Suivi EAU-ELEC'!E31</f>
        <v>0</v>
      </c>
      <c r="K25" s="95">
        <f>'Suivi EAU-ELEC'!G31</f>
        <v>0</v>
      </c>
      <c r="L25" s="95">
        <f>'Suivi EAU-ELEC'!I31</f>
        <v>0</v>
      </c>
      <c r="M25" s="82">
        <f t="shared" si="4"/>
        <v>0</v>
      </c>
      <c r="N25" s="58"/>
      <c r="O25" s="59">
        <f t="shared" si="5"/>
        <v>0</v>
      </c>
      <c r="P25" s="57"/>
      <c r="Q25" s="55"/>
      <c r="R25" s="56"/>
      <c r="S25" s="55"/>
      <c r="T25" s="96"/>
      <c r="U25" s="60">
        <f>'Suivi Gaz'!O26</f>
        <v>0</v>
      </c>
      <c r="V25" s="58"/>
      <c r="W25" s="59">
        <f t="shared" si="6"/>
        <v>0</v>
      </c>
      <c r="X25" s="65"/>
      <c r="Y25" s="149">
        <f t="shared" si="1"/>
        <v>0</v>
      </c>
      <c r="Z25" s="64">
        <f t="shared" si="7"/>
        <v>0</v>
      </c>
      <c r="AA25" s="58"/>
      <c r="AB25" s="61"/>
      <c r="AC25" s="78"/>
      <c r="AD25" s="79"/>
      <c r="AE25" s="83"/>
      <c r="AF25" s="83"/>
      <c r="AG25" s="80"/>
      <c r="AH25" s="81"/>
      <c r="AI25" s="44"/>
      <c r="AJ25" s="130">
        <f>(F25+O25+W25+Z25)</f>
        <v>0</v>
      </c>
      <c r="AK25" s="129" t="e">
        <f t="shared" si="3"/>
        <v>#DIV/0!</v>
      </c>
      <c r="AL25" s="74"/>
    </row>
    <row r="26" spans="1:256" ht="32.25" customHeight="1" thickBot="1" x14ac:dyDescent="0.25">
      <c r="A26" s="73"/>
      <c r="B26" s="92">
        <f t="shared" si="8"/>
        <v>44091</v>
      </c>
      <c r="C26" s="93"/>
      <c r="D26" s="148">
        <f>'Suivi EAU-ELEC'!C32</f>
        <v>0</v>
      </c>
      <c r="E26" s="151"/>
      <c r="F26" s="186">
        <f t="shared" si="0"/>
        <v>0</v>
      </c>
      <c r="G26" s="187"/>
      <c r="H26" s="188"/>
      <c r="I26" s="143"/>
      <c r="J26" s="94">
        <f>'Suivi EAU-ELEC'!E32</f>
        <v>0</v>
      </c>
      <c r="K26" s="95">
        <f>'Suivi EAU-ELEC'!G32</f>
        <v>0</v>
      </c>
      <c r="L26" s="95">
        <f>'Suivi EAU-ELEC'!I32</f>
        <v>0</v>
      </c>
      <c r="M26" s="82">
        <f t="shared" si="4"/>
        <v>0</v>
      </c>
      <c r="N26" s="58"/>
      <c r="O26" s="59">
        <f t="shared" si="5"/>
        <v>0</v>
      </c>
      <c r="P26" s="57"/>
      <c r="Q26" s="55"/>
      <c r="R26" s="56"/>
      <c r="S26" s="55"/>
      <c r="T26" s="96"/>
      <c r="U26" s="60">
        <f>'Suivi Gaz'!O27</f>
        <v>0</v>
      </c>
      <c r="V26" s="85"/>
      <c r="W26" s="59">
        <f t="shared" si="6"/>
        <v>0</v>
      </c>
      <c r="X26" s="65"/>
      <c r="Y26" s="149">
        <f t="shared" si="1"/>
        <v>0</v>
      </c>
      <c r="Z26" s="64">
        <f t="shared" si="7"/>
        <v>0</v>
      </c>
      <c r="AA26" s="85"/>
      <c r="AB26" s="61"/>
      <c r="AC26" s="78"/>
      <c r="AD26" s="79"/>
      <c r="AE26" s="83"/>
      <c r="AF26" s="83"/>
      <c r="AG26" s="80"/>
      <c r="AH26" s="81"/>
      <c r="AI26" s="44"/>
      <c r="AJ26" s="130">
        <f>(F26+O26+W26+Z26)</f>
        <v>0</v>
      </c>
      <c r="AK26" s="129" t="e">
        <f t="shared" si="3"/>
        <v>#DIV/0!</v>
      </c>
      <c r="AL26" s="74"/>
    </row>
    <row r="27" spans="1:256" ht="32.25" customHeight="1" thickBot="1" x14ac:dyDescent="0.25">
      <c r="A27" s="73"/>
      <c r="B27" s="92">
        <f t="shared" si="8"/>
        <v>44092</v>
      </c>
      <c r="C27" s="93"/>
      <c r="D27" s="148">
        <f>'Suivi EAU-ELEC'!C33</f>
        <v>0</v>
      </c>
      <c r="E27" s="151"/>
      <c r="F27" s="186">
        <f t="shared" si="0"/>
        <v>0</v>
      </c>
      <c r="G27" s="187"/>
      <c r="H27" s="188"/>
      <c r="I27" s="143"/>
      <c r="J27" s="94">
        <f>'Suivi EAU-ELEC'!E33</f>
        <v>0</v>
      </c>
      <c r="K27" s="95">
        <f>'Suivi EAU-ELEC'!G33</f>
        <v>0</v>
      </c>
      <c r="L27" s="95">
        <f>'Suivi EAU-ELEC'!I33</f>
        <v>0</v>
      </c>
      <c r="M27" s="82">
        <f t="shared" si="4"/>
        <v>0</v>
      </c>
      <c r="N27" s="58"/>
      <c r="O27" s="59">
        <f t="shared" si="5"/>
        <v>0</v>
      </c>
      <c r="P27" s="57"/>
      <c r="Q27" s="55"/>
      <c r="R27" s="56"/>
      <c r="S27" s="55"/>
      <c r="T27" s="96"/>
      <c r="U27" s="60">
        <f>'Suivi Gaz'!O28</f>
        <v>0</v>
      </c>
      <c r="V27" s="85"/>
      <c r="W27" s="59">
        <f t="shared" si="6"/>
        <v>0</v>
      </c>
      <c r="X27" s="65"/>
      <c r="Y27" s="149">
        <f t="shared" si="1"/>
        <v>0</v>
      </c>
      <c r="Z27" s="64">
        <f t="shared" si="7"/>
        <v>0</v>
      </c>
      <c r="AA27" s="85"/>
      <c r="AB27" s="61"/>
      <c r="AC27" s="78"/>
      <c r="AD27" s="79"/>
      <c r="AE27" s="83"/>
      <c r="AF27" s="83"/>
      <c r="AG27" s="80"/>
      <c r="AH27" s="81"/>
      <c r="AI27" s="44"/>
      <c r="AJ27" s="130">
        <f t="shared" si="2"/>
        <v>0</v>
      </c>
      <c r="AK27" s="129" t="e">
        <f t="shared" si="3"/>
        <v>#DIV/0!</v>
      </c>
      <c r="AL27" s="74"/>
    </row>
    <row r="28" spans="1:256" ht="32.25" customHeight="1" thickBot="1" x14ac:dyDescent="0.25">
      <c r="A28" s="73"/>
      <c r="B28" s="92">
        <f t="shared" si="8"/>
        <v>44093</v>
      </c>
      <c r="C28" s="93"/>
      <c r="D28" s="148">
        <f>'Suivi EAU-ELEC'!C34</f>
        <v>0</v>
      </c>
      <c r="E28" s="151"/>
      <c r="F28" s="205">
        <f t="shared" si="0"/>
        <v>0</v>
      </c>
      <c r="G28" s="206"/>
      <c r="H28" s="207"/>
      <c r="I28" s="144"/>
      <c r="J28" s="94">
        <f>'Suivi EAU-ELEC'!E34</f>
        <v>0</v>
      </c>
      <c r="K28" s="95">
        <f>'Suivi EAU-ELEC'!G34</f>
        <v>0</v>
      </c>
      <c r="L28" s="95">
        <f>'Suivi EAU-ELEC'!I34</f>
        <v>0</v>
      </c>
      <c r="M28" s="82">
        <f t="shared" si="4"/>
        <v>0</v>
      </c>
      <c r="N28" s="58"/>
      <c r="O28" s="59">
        <f t="shared" si="5"/>
        <v>0</v>
      </c>
      <c r="P28" s="57"/>
      <c r="Q28" s="55"/>
      <c r="R28" s="56"/>
      <c r="S28" s="55"/>
      <c r="T28" s="96"/>
      <c r="U28" s="60">
        <f>'Suivi Gaz'!O29</f>
        <v>0</v>
      </c>
      <c r="V28" s="85"/>
      <c r="W28" s="59">
        <f t="shared" si="6"/>
        <v>0</v>
      </c>
      <c r="X28" s="65"/>
      <c r="Y28" s="149">
        <f t="shared" si="1"/>
        <v>0</v>
      </c>
      <c r="Z28" s="64">
        <f t="shared" si="7"/>
        <v>0</v>
      </c>
      <c r="AA28" s="85"/>
      <c r="AB28" s="61"/>
      <c r="AC28" s="78"/>
      <c r="AD28" s="79"/>
      <c r="AE28" s="83"/>
      <c r="AF28" s="83"/>
      <c r="AG28" s="80"/>
      <c r="AH28" s="81"/>
      <c r="AI28" s="44"/>
      <c r="AJ28" s="130">
        <f>(F28+O28+W28+Z28)</f>
        <v>0</v>
      </c>
      <c r="AK28" s="129" t="e">
        <f t="shared" si="3"/>
        <v>#DIV/0!</v>
      </c>
      <c r="AL28" s="74"/>
    </row>
    <row r="29" spans="1:256" ht="32.25" customHeight="1" thickBot="1" x14ac:dyDescent="0.25">
      <c r="A29" s="73"/>
      <c r="B29" s="92">
        <f t="shared" si="8"/>
        <v>44094</v>
      </c>
      <c r="C29" s="93"/>
      <c r="D29" s="148">
        <f>'Suivi EAU-ELEC'!C35</f>
        <v>0</v>
      </c>
      <c r="E29" s="151"/>
      <c r="F29" s="186">
        <f t="shared" si="0"/>
        <v>0</v>
      </c>
      <c r="G29" s="187"/>
      <c r="H29" s="188"/>
      <c r="I29" s="144"/>
      <c r="J29" s="94">
        <f>'Suivi EAU-ELEC'!E35</f>
        <v>0</v>
      </c>
      <c r="K29" s="95">
        <f>'Suivi EAU-ELEC'!G35</f>
        <v>0</v>
      </c>
      <c r="L29" s="95">
        <f>'Suivi EAU-ELEC'!I35</f>
        <v>0</v>
      </c>
      <c r="M29" s="82">
        <f t="shared" si="4"/>
        <v>0</v>
      </c>
      <c r="N29" s="58"/>
      <c r="O29" s="59">
        <f t="shared" si="5"/>
        <v>0</v>
      </c>
      <c r="P29" s="57"/>
      <c r="Q29" s="55"/>
      <c r="R29" s="56"/>
      <c r="S29" s="55"/>
      <c r="T29" s="96"/>
      <c r="U29" s="60">
        <f>'Suivi Gaz'!O30</f>
        <v>0</v>
      </c>
      <c r="V29" s="85"/>
      <c r="W29" s="59">
        <f t="shared" si="6"/>
        <v>0</v>
      </c>
      <c r="X29" s="65"/>
      <c r="Y29" s="149">
        <f t="shared" si="1"/>
        <v>0</v>
      </c>
      <c r="Z29" s="64">
        <f t="shared" si="7"/>
        <v>0</v>
      </c>
      <c r="AA29" s="85"/>
      <c r="AB29" s="61"/>
      <c r="AC29" s="78"/>
      <c r="AD29" s="79"/>
      <c r="AE29" s="83"/>
      <c r="AF29" s="83"/>
      <c r="AG29" s="80"/>
      <c r="AH29" s="81"/>
      <c r="AI29" s="44"/>
      <c r="AJ29" s="130">
        <f t="shared" si="2"/>
        <v>0</v>
      </c>
      <c r="AK29" s="129" t="e">
        <f t="shared" si="3"/>
        <v>#DIV/0!</v>
      </c>
      <c r="AL29" s="74"/>
    </row>
    <row r="30" spans="1:256" s="66" customFormat="1" ht="32.25" customHeight="1" thickBot="1" x14ac:dyDescent="0.25">
      <c r="A30" s="97"/>
      <c r="B30" s="92">
        <f t="shared" si="8"/>
        <v>44095</v>
      </c>
      <c r="C30" s="98"/>
      <c r="D30" s="148">
        <f>'Suivi EAU-ELEC'!C36</f>
        <v>0</v>
      </c>
      <c r="E30" s="151"/>
      <c r="F30" s="205">
        <f t="shared" si="0"/>
        <v>0</v>
      </c>
      <c r="G30" s="206"/>
      <c r="H30" s="207"/>
      <c r="I30" s="144"/>
      <c r="J30" s="94">
        <f>'Suivi EAU-ELEC'!E36</f>
        <v>0</v>
      </c>
      <c r="K30" s="95">
        <f>'Suivi EAU-ELEC'!G36</f>
        <v>0</v>
      </c>
      <c r="L30" s="95">
        <f>'Suivi EAU-ELEC'!I36</f>
        <v>0</v>
      </c>
      <c r="M30" s="82">
        <f t="shared" si="4"/>
        <v>0</v>
      </c>
      <c r="N30" s="58"/>
      <c r="O30" s="59">
        <f t="shared" si="5"/>
        <v>0</v>
      </c>
      <c r="P30" s="57"/>
      <c r="Q30" s="55"/>
      <c r="R30" s="56"/>
      <c r="S30" s="55"/>
      <c r="T30" s="96"/>
      <c r="U30" s="60">
        <f>'Suivi Gaz'!O31</f>
        <v>0</v>
      </c>
      <c r="V30" s="85"/>
      <c r="W30" s="59">
        <f t="shared" si="6"/>
        <v>0</v>
      </c>
      <c r="X30" s="65"/>
      <c r="Y30" s="149">
        <f t="shared" si="1"/>
        <v>0</v>
      </c>
      <c r="Z30" s="64">
        <f t="shared" si="7"/>
        <v>0</v>
      </c>
      <c r="AA30" s="85"/>
      <c r="AB30" s="61"/>
      <c r="AC30" s="78"/>
      <c r="AD30" s="79"/>
      <c r="AE30" s="83"/>
      <c r="AF30" s="83"/>
      <c r="AG30" s="80"/>
      <c r="AH30" s="81"/>
      <c r="AI30" s="44"/>
      <c r="AJ30" s="130">
        <f t="shared" si="2"/>
        <v>0</v>
      </c>
      <c r="AK30" s="129" t="e">
        <f t="shared" si="3"/>
        <v>#DIV/0!</v>
      </c>
      <c r="AL30" s="74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</row>
    <row r="31" spans="1:256" ht="32.25" customHeight="1" thickBot="1" x14ac:dyDescent="0.25">
      <c r="A31" s="73"/>
      <c r="B31" s="92">
        <f t="shared" si="8"/>
        <v>44096</v>
      </c>
      <c r="C31" s="93"/>
      <c r="D31" s="148">
        <f>'Suivi EAU-ELEC'!C37</f>
        <v>0</v>
      </c>
      <c r="E31" s="96"/>
      <c r="F31" s="186">
        <f t="shared" si="0"/>
        <v>0</v>
      </c>
      <c r="G31" s="187"/>
      <c r="H31" s="188"/>
      <c r="I31" s="145"/>
      <c r="J31" s="94">
        <f>'Suivi EAU-ELEC'!E37</f>
        <v>0</v>
      </c>
      <c r="K31" s="95">
        <f>'Suivi EAU-ELEC'!G37</f>
        <v>0</v>
      </c>
      <c r="L31" s="95">
        <f>'Suivi EAU-ELEC'!I37</f>
        <v>0</v>
      </c>
      <c r="M31" s="82">
        <f t="shared" si="4"/>
        <v>0</v>
      </c>
      <c r="N31" s="58"/>
      <c r="O31" s="59">
        <f t="shared" si="5"/>
        <v>0</v>
      </c>
      <c r="P31" s="57"/>
      <c r="Q31" s="55"/>
      <c r="R31" s="56"/>
      <c r="S31" s="55"/>
      <c r="T31" s="96"/>
      <c r="U31" s="60">
        <f>'Suivi Gaz'!O32</f>
        <v>0</v>
      </c>
      <c r="V31" s="58"/>
      <c r="W31" s="59">
        <f t="shared" si="6"/>
        <v>0</v>
      </c>
      <c r="X31" s="65"/>
      <c r="Y31" s="149">
        <f>IF(X33&lt;X31,0,X33-X31)</f>
        <v>0</v>
      </c>
      <c r="Z31" s="64">
        <f t="shared" si="7"/>
        <v>0</v>
      </c>
      <c r="AA31" s="58"/>
      <c r="AB31" s="61"/>
      <c r="AC31" s="78"/>
      <c r="AD31" s="79"/>
      <c r="AE31" s="83"/>
      <c r="AF31" s="83"/>
      <c r="AG31" s="80"/>
      <c r="AH31" s="81"/>
      <c r="AI31" s="44"/>
      <c r="AJ31" s="130">
        <f t="shared" si="2"/>
        <v>0</v>
      </c>
      <c r="AK31" s="129" t="e">
        <f t="shared" si="3"/>
        <v>#DIV/0!</v>
      </c>
      <c r="AL31" s="74"/>
    </row>
    <row r="32" spans="1:256" ht="32.25" customHeight="1" thickBot="1" x14ac:dyDescent="0.25">
      <c r="A32" s="73"/>
      <c r="B32" s="92">
        <f t="shared" si="8"/>
        <v>44097</v>
      </c>
      <c r="C32" s="93"/>
      <c r="D32" s="148">
        <f>'Suivi EAU-ELEC'!C38</f>
        <v>0</v>
      </c>
      <c r="E32" s="96"/>
      <c r="F32" s="186">
        <f t="shared" si="0"/>
        <v>0</v>
      </c>
      <c r="G32" s="187"/>
      <c r="H32" s="188"/>
      <c r="I32" s="142"/>
      <c r="J32" s="94">
        <f>'Suivi EAU-ELEC'!E38</f>
        <v>0</v>
      </c>
      <c r="K32" s="95">
        <f>'Suivi EAU-ELEC'!G38</f>
        <v>0</v>
      </c>
      <c r="L32" s="95">
        <f>'Suivi EAU-ELEC'!I38</f>
        <v>0</v>
      </c>
      <c r="M32" s="82">
        <f t="shared" si="4"/>
        <v>0</v>
      </c>
      <c r="N32" s="58"/>
      <c r="O32" s="59">
        <f t="shared" si="5"/>
        <v>0</v>
      </c>
      <c r="P32" s="57"/>
      <c r="Q32" s="55"/>
      <c r="R32" s="56"/>
      <c r="S32" s="55"/>
      <c r="T32" s="96"/>
      <c r="U32" s="60">
        <f>'Suivi Gaz'!O33</f>
        <v>0</v>
      </c>
      <c r="V32" s="58"/>
      <c r="W32" s="59">
        <f t="shared" si="6"/>
        <v>0</v>
      </c>
      <c r="X32" s="65"/>
      <c r="Y32" s="149">
        <f t="shared" ref="Y32:Y33" si="9">IF(X34&lt;X32,0,X34-X32)</f>
        <v>0</v>
      </c>
      <c r="Z32" s="64">
        <f t="shared" si="7"/>
        <v>0</v>
      </c>
      <c r="AA32" s="58"/>
      <c r="AB32" s="61"/>
      <c r="AC32" s="78"/>
      <c r="AD32" s="79"/>
      <c r="AE32" s="83"/>
      <c r="AF32" s="83"/>
      <c r="AG32" s="80"/>
      <c r="AH32" s="81"/>
      <c r="AI32" s="44"/>
      <c r="AJ32" s="130">
        <f t="shared" si="2"/>
        <v>0</v>
      </c>
      <c r="AK32" s="129" t="e">
        <f t="shared" si="3"/>
        <v>#DIV/0!</v>
      </c>
      <c r="AL32" s="74"/>
    </row>
    <row r="33" spans="1:38" ht="32.25" customHeight="1" thickBot="1" x14ac:dyDescent="0.25">
      <c r="A33" s="73"/>
      <c r="B33" s="92">
        <f t="shared" si="8"/>
        <v>44098</v>
      </c>
      <c r="C33" s="93"/>
      <c r="D33" s="148">
        <f>'Suivi EAU-ELEC'!C39</f>
        <v>0</v>
      </c>
      <c r="E33" s="96"/>
      <c r="F33" s="186">
        <f t="shared" si="0"/>
        <v>0</v>
      </c>
      <c r="G33" s="187"/>
      <c r="H33" s="188"/>
      <c r="I33" s="143"/>
      <c r="J33" s="94">
        <f>'Suivi EAU-ELEC'!E39</f>
        <v>0</v>
      </c>
      <c r="K33" s="95">
        <f>'Suivi EAU-ELEC'!G39</f>
        <v>0</v>
      </c>
      <c r="L33" s="95">
        <f>'Suivi EAU-ELEC'!I39</f>
        <v>0</v>
      </c>
      <c r="M33" s="82">
        <f t="shared" si="4"/>
        <v>0</v>
      </c>
      <c r="N33" s="58"/>
      <c r="O33" s="59">
        <f t="shared" si="5"/>
        <v>0</v>
      </c>
      <c r="P33" s="57"/>
      <c r="Q33" s="55"/>
      <c r="R33" s="56"/>
      <c r="S33" s="55"/>
      <c r="T33" s="96"/>
      <c r="U33" s="60">
        <f>'Suivi Gaz'!O34</f>
        <v>0</v>
      </c>
      <c r="V33" s="58"/>
      <c r="W33" s="59">
        <f t="shared" si="6"/>
        <v>0</v>
      </c>
      <c r="X33" s="65"/>
      <c r="Y33" s="149">
        <f t="shared" si="9"/>
        <v>0</v>
      </c>
      <c r="Z33" s="64">
        <f t="shared" si="7"/>
        <v>0</v>
      </c>
      <c r="AA33" s="58"/>
      <c r="AB33" s="61"/>
      <c r="AC33" s="78"/>
      <c r="AD33" s="79"/>
      <c r="AE33" s="83"/>
      <c r="AF33" s="83"/>
      <c r="AG33" s="80"/>
      <c r="AH33" s="81"/>
      <c r="AI33" s="44"/>
      <c r="AJ33" s="130">
        <f t="shared" si="2"/>
        <v>0</v>
      </c>
      <c r="AK33" s="129" t="e">
        <f t="shared" si="3"/>
        <v>#DIV/0!</v>
      </c>
      <c r="AL33" s="74"/>
    </row>
    <row r="34" spans="1:38" ht="32.25" customHeight="1" thickBot="1" x14ac:dyDescent="0.25">
      <c r="A34" s="99"/>
      <c r="B34" s="92">
        <f t="shared" si="8"/>
        <v>44099</v>
      </c>
      <c r="C34" s="93"/>
      <c r="D34" s="148">
        <f>'Suivi EAU-ELEC'!C40</f>
        <v>0</v>
      </c>
      <c r="E34" s="96"/>
      <c r="F34" s="186">
        <f t="shared" si="0"/>
        <v>0</v>
      </c>
      <c r="G34" s="187"/>
      <c r="H34" s="188"/>
      <c r="I34" s="143"/>
      <c r="J34" s="94">
        <f>'Suivi EAU-ELEC'!E40</f>
        <v>0</v>
      </c>
      <c r="K34" s="95">
        <f>'Suivi EAU-ELEC'!G40</f>
        <v>0</v>
      </c>
      <c r="L34" s="95">
        <f>'Suivi EAU-ELEC'!I40</f>
        <v>0</v>
      </c>
      <c r="M34" s="82">
        <f t="shared" si="4"/>
        <v>0</v>
      </c>
      <c r="N34" s="58"/>
      <c r="O34" s="59">
        <f t="shared" si="5"/>
        <v>0</v>
      </c>
      <c r="P34" s="57"/>
      <c r="Q34" s="55"/>
      <c r="R34" s="56"/>
      <c r="S34" s="55"/>
      <c r="T34" s="96"/>
      <c r="U34" s="60">
        <f>'Suivi Gaz'!O35</f>
        <v>0</v>
      </c>
      <c r="V34" s="58"/>
      <c r="W34" s="59">
        <f t="shared" si="6"/>
        <v>0</v>
      </c>
      <c r="X34" s="65"/>
      <c r="Y34" s="149">
        <f t="shared" si="1"/>
        <v>0</v>
      </c>
      <c r="Z34" s="64">
        <f t="shared" si="7"/>
        <v>0</v>
      </c>
      <c r="AA34" s="58"/>
      <c r="AB34" s="61"/>
      <c r="AC34" s="78"/>
      <c r="AD34" s="79"/>
      <c r="AE34" s="83"/>
      <c r="AF34" s="83"/>
      <c r="AG34" s="80"/>
      <c r="AH34" s="81"/>
      <c r="AI34" s="44"/>
      <c r="AJ34" s="130">
        <f t="shared" si="2"/>
        <v>0</v>
      </c>
      <c r="AK34" s="129" t="e">
        <f t="shared" si="3"/>
        <v>#DIV/0!</v>
      </c>
      <c r="AL34" s="74"/>
    </row>
    <row r="35" spans="1:38" ht="32.25" customHeight="1" thickBot="1" x14ac:dyDescent="0.25">
      <c r="A35" s="73"/>
      <c r="B35" s="92">
        <f t="shared" si="8"/>
        <v>44100</v>
      </c>
      <c r="C35" s="93"/>
      <c r="D35" s="148">
        <f>'Suivi EAU-ELEC'!C41</f>
        <v>0</v>
      </c>
      <c r="E35" s="96"/>
      <c r="F35" s="208">
        <f t="shared" si="0"/>
        <v>0</v>
      </c>
      <c r="G35" s="209"/>
      <c r="H35" s="210"/>
      <c r="I35" s="143"/>
      <c r="J35" s="94">
        <f>'Suivi EAU-ELEC'!E41</f>
        <v>0</v>
      </c>
      <c r="K35" s="95">
        <f>'Suivi EAU-ELEC'!G41</f>
        <v>0</v>
      </c>
      <c r="L35" s="95">
        <f>'Suivi EAU-ELEC'!I41</f>
        <v>0</v>
      </c>
      <c r="M35" s="82">
        <f t="shared" si="4"/>
        <v>0</v>
      </c>
      <c r="N35" s="58"/>
      <c r="O35" s="59">
        <f t="shared" si="5"/>
        <v>0</v>
      </c>
      <c r="P35" s="57"/>
      <c r="Q35" s="55"/>
      <c r="R35" s="56"/>
      <c r="S35" s="55"/>
      <c r="T35" s="96"/>
      <c r="U35" s="60">
        <f>'Suivi Gaz'!O36</f>
        <v>0</v>
      </c>
      <c r="V35" s="58"/>
      <c r="W35" s="59">
        <f t="shared" si="6"/>
        <v>0</v>
      </c>
      <c r="X35" s="65"/>
      <c r="Y35" s="149">
        <f t="shared" si="1"/>
        <v>0</v>
      </c>
      <c r="Z35" s="64">
        <f t="shared" si="7"/>
        <v>0</v>
      </c>
      <c r="AA35" s="58"/>
      <c r="AB35" s="61"/>
      <c r="AC35" s="78"/>
      <c r="AD35" s="79"/>
      <c r="AE35" s="83"/>
      <c r="AF35" s="83"/>
      <c r="AG35" s="80"/>
      <c r="AH35" s="81"/>
      <c r="AI35" s="44"/>
      <c r="AJ35" s="130">
        <f t="shared" si="2"/>
        <v>0</v>
      </c>
      <c r="AK35" s="129" t="e">
        <f t="shared" si="3"/>
        <v>#DIV/0!</v>
      </c>
      <c r="AL35" s="74"/>
    </row>
    <row r="36" spans="1:38" ht="32.25" customHeight="1" thickBot="1" x14ac:dyDescent="0.25">
      <c r="A36" s="73"/>
      <c r="B36" s="92">
        <f t="shared" si="8"/>
        <v>44101</v>
      </c>
      <c r="C36" s="93"/>
      <c r="D36" s="148">
        <f>'Suivi EAU-ELEC'!C42</f>
        <v>0</v>
      </c>
      <c r="E36" s="96"/>
      <c r="F36" s="211">
        <f t="shared" si="0"/>
        <v>0</v>
      </c>
      <c r="G36" s="212"/>
      <c r="H36" s="213"/>
      <c r="I36" s="143"/>
      <c r="J36" s="94">
        <f>'Suivi EAU-ELEC'!E42</f>
        <v>0</v>
      </c>
      <c r="K36" s="95">
        <f>'Suivi EAU-ELEC'!G42</f>
        <v>0</v>
      </c>
      <c r="L36" s="95">
        <f>'Suivi EAU-ELEC'!I42</f>
        <v>0</v>
      </c>
      <c r="M36" s="82">
        <f t="shared" si="4"/>
        <v>0</v>
      </c>
      <c r="N36" s="58"/>
      <c r="O36" s="59">
        <f t="shared" si="5"/>
        <v>0</v>
      </c>
      <c r="P36" s="57"/>
      <c r="Q36" s="55"/>
      <c r="R36" s="56"/>
      <c r="S36" s="55"/>
      <c r="T36" s="96"/>
      <c r="U36" s="60">
        <f>'Suivi Gaz'!O37</f>
        <v>0</v>
      </c>
      <c r="V36" s="58"/>
      <c r="W36" s="59">
        <f t="shared" si="6"/>
        <v>0</v>
      </c>
      <c r="X36" s="65"/>
      <c r="Y36" s="149">
        <f t="shared" si="1"/>
        <v>0</v>
      </c>
      <c r="Z36" s="64">
        <f t="shared" si="7"/>
        <v>0</v>
      </c>
      <c r="AA36" s="58"/>
      <c r="AB36" s="61"/>
      <c r="AC36" s="78"/>
      <c r="AD36" s="79"/>
      <c r="AE36" s="83"/>
      <c r="AF36" s="83"/>
      <c r="AG36" s="80"/>
      <c r="AH36" s="81"/>
      <c r="AI36" s="44"/>
      <c r="AJ36" s="130">
        <f t="shared" si="2"/>
        <v>0</v>
      </c>
      <c r="AK36" s="129" t="e">
        <f t="shared" si="3"/>
        <v>#DIV/0!</v>
      </c>
      <c r="AL36" s="74"/>
    </row>
    <row r="37" spans="1:38" ht="32.25" customHeight="1" thickBot="1" x14ac:dyDescent="0.25">
      <c r="A37" s="73"/>
      <c r="B37" s="92">
        <f t="shared" si="8"/>
        <v>44102</v>
      </c>
      <c r="C37" s="93"/>
      <c r="D37" s="148">
        <f>'Suivi EAU-ELEC'!C43</f>
        <v>0</v>
      </c>
      <c r="E37" s="96"/>
      <c r="F37" s="214">
        <f t="shared" si="0"/>
        <v>0</v>
      </c>
      <c r="G37" s="215"/>
      <c r="H37" s="216"/>
      <c r="I37" s="143"/>
      <c r="J37" s="94">
        <f>'Suivi EAU-ELEC'!E43</f>
        <v>0</v>
      </c>
      <c r="K37" s="95">
        <f>'Suivi EAU-ELEC'!G43</f>
        <v>0</v>
      </c>
      <c r="L37" s="95">
        <f>'Suivi EAU-ELEC'!I43</f>
        <v>0</v>
      </c>
      <c r="M37" s="82">
        <f t="shared" si="4"/>
        <v>0</v>
      </c>
      <c r="N37" s="58"/>
      <c r="O37" s="59">
        <f t="shared" si="5"/>
        <v>0</v>
      </c>
      <c r="P37" s="57"/>
      <c r="Q37" s="55"/>
      <c r="R37" s="56"/>
      <c r="S37" s="55"/>
      <c r="T37" s="96"/>
      <c r="U37" s="60">
        <f>'Suivi Gaz'!O38</f>
        <v>0</v>
      </c>
      <c r="V37" s="58"/>
      <c r="W37" s="59">
        <f t="shared" si="6"/>
        <v>0</v>
      </c>
      <c r="X37" s="65"/>
      <c r="Y37" s="149">
        <f t="shared" si="1"/>
        <v>0</v>
      </c>
      <c r="Z37" s="64">
        <f t="shared" si="7"/>
        <v>0</v>
      </c>
      <c r="AA37" s="58"/>
      <c r="AB37" s="61"/>
      <c r="AC37" s="78"/>
      <c r="AD37" s="79"/>
      <c r="AE37" s="83"/>
      <c r="AF37" s="83"/>
      <c r="AG37" s="80"/>
      <c r="AH37" s="81"/>
      <c r="AI37" s="44"/>
      <c r="AJ37" s="130">
        <f t="shared" si="2"/>
        <v>0</v>
      </c>
      <c r="AK37" s="129" t="e">
        <f t="shared" si="3"/>
        <v>#DIV/0!</v>
      </c>
      <c r="AL37" s="74"/>
    </row>
    <row r="38" spans="1:38" ht="32.25" customHeight="1" thickBot="1" x14ac:dyDescent="0.25">
      <c r="A38" s="73"/>
      <c r="B38" s="92">
        <f t="shared" si="8"/>
        <v>44103</v>
      </c>
      <c r="C38" s="93"/>
      <c r="D38" s="148">
        <f>'Suivi EAU-ELEC'!C44</f>
        <v>0</v>
      </c>
      <c r="E38" s="96"/>
      <c r="F38" s="205">
        <f t="shared" si="0"/>
        <v>0</v>
      </c>
      <c r="G38" s="206"/>
      <c r="H38" s="207"/>
      <c r="I38" s="143"/>
      <c r="J38" s="94">
        <f>'Suivi EAU-ELEC'!E44</f>
        <v>0</v>
      </c>
      <c r="K38" s="95">
        <f>'Suivi EAU-ELEC'!G44</f>
        <v>0</v>
      </c>
      <c r="L38" s="95">
        <f>'Suivi EAU-ELEC'!I44</f>
        <v>0</v>
      </c>
      <c r="M38" s="82">
        <f t="shared" si="4"/>
        <v>0</v>
      </c>
      <c r="N38" s="58"/>
      <c r="O38" s="59">
        <f t="shared" si="5"/>
        <v>0</v>
      </c>
      <c r="P38" s="57"/>
      <c r="Q38" s="55"/>
      <c r="R38" s="56"/>
      <c r="S38" s="55"/>
      <c r="T38" s="96"/>
      <c r="U38" s="60">
        <f>'Suivi Gaz'!O39</f>
        <v>0</v>
      </c>
      <c r="V38" s="58"/>
      <c r="W38" s="59">
        <f t="shared" si="6"/>
        <v>0</v>
      </c>
      <c r="X38" s="65"/>
      <c r="Y38" s="149">
        <f t="shared" si="1"/>
        <v>0</v>
      </c>
      <c r="Z38" s="64">
        <f t="shared" si="7"/>
        <v>0</v>
      </c>
      <c r="AA38" s="58"/>
      <c r="AB38" s="61"/>
      <c r="AC38" s="78"/>
      <c r="AD38" s="79"/>
      <c r="AE38" s="83"/>
      <c r="AF38" s="83"/>
      <c r="AG38" s="80"/>
      <c r="AH38" s="81"/>
      <c r="AI38" s="44"/>
      <c r="AJ38" s="130">
        <f t="shared" si="2"/>
        <v>0</v>
      </c>
      <c r="AK38" s="129" t="e">
        <f t="shared" si="3"/>
        <v>#DIV/0!</v>
      </c>
      <c r="AL38" s="74"/>
    </row>
    <row r="39" spans="1:38" ht="32.25" customHeight="1" thickBot="1" x14ac:dyDescent="0.25">
      <c r="A39" s="73"/>
      <c r="B39" s="92">
        <f t="shared" si="8"/>
        <v>44104</v>
      </c>
      <c r="C39" s="93"/>
      <c r="D39" s="148">
        <f>'Suivi EAU-ELEC'!C45</f>
        <v>0</v>
      </c>
      <c r="E39" s="96"/>
      <c r="F39" s="186">
        <f t="shared" si="0"/>
        <v>0</v>
      </c>
      <c r="G39" s="187"/>
      <c r="H39" s="188"/>
      <c r="I39" s="143"/>
      <c r="J39" s="94">
        <f>'Suivi EAU-ELEC'!E45</f>
        <v>0</v>
      </c>
      <c r="K39" s="95">
        <f>'Suivi EAU-ELEC'!G45</f>
        <v>0</v>
      </c>
      <c r="L39" s="95">
        <f>'Suivi EAU-ELEC'!I45</f>
        <v>0</v>
      </c>
      <c r="M39" s="82">
        <f t="shared" si="4"/>
        <v>0</v>
      </c>
      <c r="N39" s="58"/>
      <c r="O39" s="59">
        <f t="shared" si="5"/>
        <v>0</v>
      </c>
      <c r="P39" s="57"/>
      <c r="Q39" s="55"/>
      <c r="R39" s="56"/>
      <c r="S39" s="55"/>
      <c r="T39" s="96"/>
      <c r="U39" s="60">
        <f>'Suivi Gaz'!O40</f>
        <v>0</v>
      </c>
      <c r="V39" s="58"/>
      <c r="W39" s="59">
        <f t="shared" si="6"/>
        <v>0</v>
      </c>
      <c r="X39" s="65"/>
      <c r="Y39" s="149">
        <f t="shared" si="1"/>
        <v>0</v>
      </c>
      <c r="Z39" s="64">
        <f t="shared" si="7"/>
        <v>0</v>
      </c>
      <c r="AA39" s="58"/>
      <c r="AB39" s="61"/>
      <c r="AC39" s="78"/>
      <c r="AD39" s="79"/>
      <c r="AE39" s="83"/>
      <c r="AF39" s="83"/>
      <c r="AG39" s="80"/>
      <c r="AH39" s="81"/>
      <c r="AI39" s="44"/>
      <c r="AJ39" s="130">
        <f t="shared" si="2"/>
        <v>0</v>
      </c>
      <c r="AK39" s="129" t="e">
        <f t="shared" si="3"/>
        <v>#DIV/0!</v>
      </c>
      <c r="AL39" s="74"/>
    </row>
    <row r="40" spans="1:38" ht="32.25" customHeight="1" thickBot="1" x14ac:dyDescent="0.25">
      <c r="A40" s="73"/>
      <c r="B40" s="92">
        <f t="shared" si="8"/>
        <v>44105</v>
      </c>
      <c r="C40" s="93"/>
      <c r="D40" s="148">
        <f>'Suivi EAU-ELEC'!C46</f>
        <v>0</v>
      </c>
      <c r="E40" s="150"/>
      <c r="F40" s="208">
        <f t="shared" si="0"/>
        <v>0</v>
      </c>
      <c r="G40" s="209"/>
      <c r="H40" s="210"/>
      <c r="I40" s="143"/>
      <c r="J40" s="94">
        <f>'Suivi EAU-ELEC'!E46</f>
        <v>0</v>
      </c>
      <c r="K40" s="95">
        <f>'Suivi EAU-ELEC'!G46</f>
        <v>0</v>
      </c>
      <c r="L40" s="95">
        <f>'Suivi EAU-ELEC'!I46</f>
        <v>0</v>
      </c>
      <c r="M40" s="82">
        <f t="shared" si="4"/>
        <v>0</v>
      </c>
      <c r="N40" s="58"/>
      <c r="O40" s="59">
        <f t="shared" si="5"/>
        <v>0</v>
      </c>
      <c r="P40" s="57"/>
      <c r="Q40" s="55"/>
      <c r="R40" s="56"/>
      <c r="S40" s="55"/>
      <c r="T40" s="96"/>
      <c r="U40" s="60">
        <f>'Suivi Gaz'!O41</f>
        <v>0</v>
      </c>
      <c r="V40" s="58"/>
      <c r="W40" s="59">
        <f t="shared" si="6"/>
        <v>0</v>
      </c>
      <c r="X40" s="65"/>
      <c r="Y40" s="149">
        <f t="shared" si="1"/>
        <v>0</v>
      </c>
      <c r="Z40" s="64">
        <f t="shared" si="7"/>
        <v>0</v>
      </c>
      <c r="AA40" s="58"/>
      <c r="AB40" s="84"/>
      <c r="AC40" s="78"/>
      <c r="AD40" s="79"/>
      <c r="AE40" s="83"/>
      <c r="AF40" s="83"/>
      <c r="AG40" s="80"/>
      <c r="AH40" s="81"/>
      <c r="AI40" s="44"/>
      <c r="AJ40" s="131">
        <f t="shared" si="2"/>
        <v>0</v>
      </c>
      <c r="AK40" s="129" t="e">
        <f t="shared" si="3"/>
        <v>#DIV/0!</v>
      </c>
      <c r="AL40" s="74"/>
    </row>
    <row r="41" spans="1:38" ht="44.25" customHeight="1" thickBot="1" x14ac:dyDescent="0.25">
      <c r="A41" s="73"/>
      <c r="B41" s="100"/>
      <c r="C41" s="101"/>
      <c r="D41" s="148">
        <f>'Suivi EAU-ELEC'!C46</f>
        <v>0</v>
      </c>
      <c r="E41" s="102"/>
      <c r="F41" s="217">
        <f>SUM(F10:H40)</f>
        <v>6461.7000000000007</v>
      </c>
      <c r="G41" s="218"/>
      <c r="H41" s="219"/>
      <c r="I41" s="102"/>
      <c r="J41" s="104">
        <f>SUM(J10:J40)</f>
        <v>6058</v>
      </c>
      <c r="K41" s="104">
        <f>SUM(K10:K40)</f>
        <v>10263</v>
      </c>
      <c r="L41" s="104">
        <f>SUM(L10:L40)</f>
        <v>3133</v>
      </c>
      <c r="M41" s="104">
        <f>SUM(M10:M40)</f>
        <v>19454</v>
      </c>
      <c r="N41" s="103"/>
      <c r="O41" s="104">
        <f>SUM(O10:O40)</f>
        <v>19259.46</v>
      </c>
      <c r="P41" s="103"/>
      <c r="Q41" s="105">
        <f>SUM(Q10:Q40)</f>
        <v>0</v>
      </c>
      <c r="R41" s="103"/>
      <c r="S41" s="105">
        <f>SUM(S10:S40)</f>
        <v>0</v>
      </c>
      <c r="T41" s="103"/>
      <c r="U41" s="104">
        <f>SUM(U10:U40)</f>
        <v>0</v>
      </c>
      <c r="V41" s="58"/>
      <c r="W41" s="104">
        <f>SUM(W10:W40)</f>
        <v>0</v>
      </c>
      <c r="X41" s="140"/>
      <c r="Y41" s="104">
        <f>SUM(Y10:Y40)</f>
        <v>0</v>
      </c>
      <c r="Z41" s="104">
        <f>SUM(Z10:Z40)</f>
        <v>0</v>
      </c>
      <c r="AA41" s="102"/>
      <c r="AB41" s="106"/>
      <c r="AC41" s="134"/>
      <c r="AD41" s="133"/>
      <c r="AE41" s="135"/>
      <c r="AF41" s="132"/>
      <c r="AG41" s="141"/>
      <c r="AH41" s="107"/>
      <c r="AI41" s="63"/>
      <c r="AJ41" s="125">
        <f>SUM(AJ10:AJ38)</f>
        <v>25721.160000000003</v>
      </c>
      <c r="AK41" s="125" t="e">
        <f>SUM(AK10:AK38)</f>
        <v>#DIV/0!</v>
      </c>
      <c r="AL41" s="74"/>
    </row>
    <row r="42" spans="1:38" s="7" customFormat="1" ht="30.75" customHeight="1" thickBot="1" x14ac:dyDescent="0.25">
      <c r="A42" s="86"/>
      <c r="B42" s="86"/>
      <c r="C42" s="86"/>
      <c r="D42" s="86"/>
      <c r="E42" s="86"/>
      <c r="F42" s="220"/>
      <c r="G42" s="220"/>
      <c r="H42" s="220"/>
      <c r="I42" s="86"/>
      <c r="J42" s="75"/>
      <c r="K42" s="75"/>
      <c r="L42" s="75"/>
      <c r="M42" s="102"/>
      <c r="N42" s="102"/>
      <c r="O42" s="86"/>
      <c r="P42" s="102"/>
      <c r="Q42" s="86"/>
      <c r="R42" s="102"/>
      <c r="S42" s="86"/>
      <c r="T42" s="102"/>
      <c r="U42" s="86"/>
      <c r="V42" s="102"/>
      <c r="W42" s="86"/>
      <c r="X42" s="72"/>
      <c r="Y42" s="147"/>
      <c r="Z42" s="86"/>
      <c r="AA42" s="86"/>
      <c r="AB42" s="86"/>
      <c r="AC42" s="86"/>
      <c r="AD42" s="108"/>
      <c r="AE42" s="75"/>
      <c r="AF42" s="75"/>
      <c r="AG42" s="75"/>
      <c r="AH42" s="109"/>
      <c r="AI42" s="45"/>
      <c r="AJ42" s="45"/>
      <c r="AK42" s="45"/>
    </row>
    <row r="43" spans="1:38" s="10" customFormat="1" ht="36.75" customHeight="1" thickBot="1" x14ac:dyDescent="0.25">
      <c r="A43" s="221" t="s">
        <v>9</v>
      </c>
      <c r="B43" s="222"/>
      <c r="C43" s="223"/>
      <c r="D43" s="110" t="s">
        <v>6</v>
      </c>
      <c r="E43" s="111"/>
      <c r="F43" s="112">
        <v>0.64895000000000003</v>
      </c>
      <c r="G43" s="227">
        <f>J41</f>
        <v>6058</v>
      </c>
      <c r="H43" s="228"/>
      <c r="I43" s="229"/>
      <c r="J43" s="230">
        <f>G43*F43</f>
        <v>3931.3391000000001</v>
      </c>
      <c r="K43" s="231"/>
      <c r="L43" s="232">
        <f>J43+J44+J45</f>
        <v>16915.554970000001</v>
      </c>
      <c r="M43" s="233"/>
      <c r="N43" s="233"/>
      <c r="O43" s="233"/>
      <c r="P43" s="233"/>
      <c r="Q43" s="233"/>
      <c r="R43" s="233"/>
      <c r="S43" s="233"/>
      <c r="T43" s="233"/>
      <c r="U43" s="234"/>
      <c r="V43" s="90"/>
      <c r="W43" s="90"/>
      <c r="X43" s="86"/>
      <c r="Y43" s="90"/>
      <c r="Z43" s="90"/>
      <c r="AA43" s="114"/>
      <c r="AB43" s="90"/>
      <c r="AC43" s="115"/>
      <c r="AD43" s="90"/>
      <c r="AE43" s="108"/>
      <c r="AF43" s="108"/>
      <c r="AG43" s="75"/>
      <c r="AH43" s="116"/>
      <c r="AJ43" s="46"/>
      <c r="AK43" s="46"/>
    </row>
    <row r="44" spans="1:38" s="10" customFormat="1" ht="36.75" customHeight="1" thickBot="1" x14ac:dyDescent="0.25">
      <c r="A44" s="224"/>
      <c r="B44" s="225"/>
      <c r="C44" s="226"/>
      <c r="D44" s="113" t="s">
        <v>7</v>
      </c>
      <c r="E44" s="111"/>
      <c r="F44" s="117">
        <v>0.88605</v>
      </c>
      <c r="G44" s="227">
        <f>K41</f>
        <v>10263</v>
      </c>
      <c r="H44" s="228"/>
      <c r="I44" s="229"/>
      <c r="J44" s="230">
        <f>G44*F44</f>
        <v>9093.5311500000007</v>
      </c>
      <c r="K44" s="231"/>
      <c r="L44" s="235"/>
      <c r="M44" s="236"/>
      <c r="N44" s="236"/>
      <c r="O44" s="236"/>
      <c r="P44" s="236"/>
      <c r="Q44" s="236"/>
      <c r="R44" s="236"/>
      <c r="S44" s="236"/>
      <c r="T44" s="236"/>
      <c r="U44" s="237"/>
      <c r="V44" s="90"/>
      <c r="W44" s="90"/>
      <c r="X44" s="90"/>
      <c r="Y44" s="90"/>
      <c r="Z44" s="90"/>
      <c r="AA44" s="114"/>
      <c r="AB44" s="90"/>
      <c r="AC44" s="114"/>
      <c r="AD44" s="90"/>
      <c r="AE44" s="90"/>
      <c r="AF44" s="114"/>
      <c r="AG44" s="90"/>
      <c r="AH44" s="75"/>
      <c r="AK44" s="46"/>
    </row>
    <row r="45" spans="1:38" s="10" customFormat="1" ht="36.75" customHeight="1" thickBot="1" x14ac:dyDescent="0.25">
      <c r="A45" s="224"/>
      <c r="B45" s="225"/>
      <c r="C45" s="226"/>
      <c r="D45" s="118" t="s">
        <v>8</v>
      </c>
      <c r="E45" s="119"/>
      <c r="F45" s="120">
        <v>1.2418400000000001</v>
      </c>
      <c r="G45" s="241">
        <f>L41</f>
        <v>3133</v>
      </c>
      <c r="H45" s="242"/>
      <c r="I45" s="243"/>
      <c r="J45" s="230">
        <f>G45*F45</f>
        <v>3890.6847200000002</v>
      </c>
      <c r="K45" s="231"/>
      <c r="L45" s="238"/>
      <c r="M45" s="239"/>
      <c r="N45" s="239"/>
      <c r="O45" s="239"/>
      <c r="P45" s="239"/>
      <c r="Q45" s="239"/>
      <c r="R45" s="239"/>
      <c r="S45" s="239"/>
      <c r="T45" s="239"/>
      <c r="U45" s="240"/>
      <c r="V45" s="90"/>
      <c r="W45" s="90"/>
      <c r="X45" s="90"/>
      <c r="Y45" s="90"/>
      <c r="Z45" s="90"/>
      <c r="AA45" s="114"/>
      <c r="AB45" s="90"/>
      <c r="AC45" s="114"/>
      <c r="AD45" s="90"/>
      <c r="AE45" s="90"/>
      <c r="AF45" s="114" t="s">
        <v>60</v>
      </c>
      <c r="AG45" s="90"/>
      <c r="AH45" s="108"/>
      <c r="AK45" s="46"/>
    </row>
    <row r="46" spans="1:38" s="11" customFormat="1" ht="59.25" customHeight="1" thickBot="1" x14ac:dyDescent="0.25">
      <c r="A46" s="245" t="s">
        <v>10</v>
      </c>
      <c r="B46" s="246"/>
      <c r="C46" s="246"/>
      <c r="D46" s="247"/>
      <c r="E46" s="111"/>
      <c r="F46" s="121">
        <v>12.67</v>
      </c>
      <c r="G46" s="245">
        <f>D41</f>
        <v>0</v>
      </c>
      <c r="H46" s="246"/>
      <c r="I46" s="247"/>
      <c r="J46" s="248">
        <f>G46*F46</f>
        <v>0</v>
      </c>
      <c r="K46" s="249"/>
      <c r="L46" s="250">
        <f>J46</f>
        <v>0</v>
      </c>
      <c r="M46" s="251"/>
      <c r="N46" s="251"/>
      <c r="O46" s="251"/>
      <c r="P46" s="251"/>
      <c r="Q46" s="251"/>
      <c r="R46" s="251"/>
      <c r="S46" s="251"/>
      <c r="T46" s="251"/>
      <c r="U46" s="252"/>
      <c r="V46" s="90"/>
      <c r="W46" s="90"/>
      <c r="X46" s="90"/>
      <c r="Y46" s="90"/>
      <c r="Z46" s="90"/>
      <c r="AA46" s="114"/>
      <c r="AB46" s="90"/>
      <c r="AC46" s="114"/>
      <c r="AD46" s="90"/>
      <c r="AE46" s="90"/>
      <c r="AF46" s="114" t="s">
        <v>59</v>
      </c>
      <c r="AG46" s="90"/>
      <c r="AH46" s="90"/>
      <c r="AK46" s="47"/>
    </row>
    <row r="47" spans="1:38" s="11" customFormat="1" ht="69.75" customHeight="1" thickBot="1" x14ac:dyDescent="0.25">
      <c r="A47" s="253" t="s">
        <v>12</v>
      </c>
      <c r="B47" s="254"/>
      <c r="C47" s="254"/>
      <c r="D47" s="255"/>
      <c r="E47" s="111"/>
      <c r="F47" s="122">
        <v>7.8338000000000001</v>
      </c>
      <c r="G47" s="256">
        <f>U41</f>
        <v>0</v>
      </c>
      <c r="H47" s="257"/>
      <c r="I47" s="258"/>
      <c r="J47" s="256">
        <f>G47*F47</f>
        <v>0</v>
      </c>
      <c r="K47" s="258"/>
      <c r="L47" s="259">
        <f>J47</f>
        <v>0</v>
      </c>
      <c r="M47" s="260"/>
      <c r="N47" s="260"/>
      <c r="O47" s="260"/>
      <c r="P47" s="260"/>
      <c r="Q47" s="260"/>
      <c r="R47" s="260"/>
      <c r="S47" s="260"/>
      <c r="T47" s="260"/>
      <c r="U47" s="261"/>
      <c r="V47" s="90"/>
      <c r="W47" s="90"/>
      <c r="X47" s="90"/>
      <c r="Y47" s="90"/>
      <c r="Z47" s="90"/>
      <c r="AA47" s="114"/>
      <c r="AB47" s="90"/>
      <c r="AC47" s="114"/>
      <c r="AD47" s="88"/>
      <c r="AE47" s="90"/>
      <c r="AF47" s="114"/>
      <c r="AG47" s="90"/>
      <c r="AH47" s="90"/>
      <c r="AI47" s="124"/>
      <c r="AK47" s="47"/>
    </row>
    <row r="48" spans="1:38" s="9" customFormat="1" ht="27" customHeight="1" x14ac:dyDescent="0.2">
      <c r="A48" s="86"/>
      <c r="B48" s="86"/>
      <c r="C48" s="86"/>
      <c r="D48" s="86"/>
      <c r="E48" s="87"/>
      <c r="F48" s="87"/>
      <c r="G48" s="86"/>
      <c r="H48" s="86"/>
      <c r="I48" s="86"/>
      <c r="J48" s="86"/>
      <c r="K48" s="86"/>
      <c r="L48" s="73"/>
      <c r="M48" s="73"/>
      <c r="N48" s="73"/>
      <c r="O48" s="73"/>
      <c r="P48" s="73"/>
      <c r="Q48" s="73"/>
      <c r="R48" s="88"/>
      <c r="S48" s="88"/>
      <c r="T48" s="88"/>
      <c r="U48" s="88"/>
      <c r="V48" s="123"/>
      <c r="W48" s="88"/>
      <c r="X48" s="88"/>
      <c r="Y48" s="88"/>
      <c r="Z48" s="88"/>
      <c r="AA48" s="86"/>
      <c r="AB48" s="88"/>
      <c r="AC48" s="86"/>
      <c r="AD48" s="72"/>
      <c r="AE48" s="88"/>
      <c r="AF48" s="86"/>
      <c r="AG48" s="88"/>
      <c r="AH48" s="90"/>
      <c r="AK48" s="45"/>
    </row>
    <row r="49" spans="1:37" s="7" customFormat="1" ht="18.75" x14ac:dyDescent="0.2">
      <c r="A49" s="75"/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5"/>
      <c r="AE49" s="72"/>
      <c r="AF49" s="72"/>
      <c r="AG49" s="72"/>
      <c r="AH49" s="90"/>
      <c r="AK49" s="3"/>
    </row>
    <row r="50" spans="1:37" s="7" customFormat="1" x14ac:dyDescent="0.2">
      <c r="AD50" s="5"/>
      <c r="AH50" s="13"/>
      <c r="AK50" s="3"/>
    </row>
    <row r="51" spans="1:37" ht="18.75" customHeight="1" x14ac:dyDescent="0.2">
      <c r="AH51" s="3"/>
      <c r="AK51" s="62"/>
    </row>
    <row r="52" spans="1:37" x14ac:dyDescent="0.2">
      <c r="AH52" s="7"/>
      <c r="AK52" s="62"/>
    </row>
    <row r="53" spans="1:37" x14ac:dyDescent="0.2">
      <c r="AK53" s="62"/>
    </row>
    <row r="54" spans="1:37" x14ac:dyDescent="0.2">
      <c r="AK54" s="62"/>
    </row>
    <row r="55" spans="1:37" ht="39" customHeight="1" x14ac:dyDescent="0.2">
      <c r="B55" s="244"/>
      <c r="C55" s="244"/>
      <c r="D55" s="244"/>
      <c r="E55" s="244"/>
      <c r="F55" s="244"/>
      <c r="G55" s="244"/>
      <c r="H55" s="244"/>
      <c r="I55" s="244"/>
      <c r="J55" s="244"/>
      <c r="K55" s="244"/>
      <c r="L55" s="244"/>
      <c r="M55" s="244"/>
      <c r="N55" s="244"/>
      <c r="O55" s="244"/>
      <c r="P55" s="244"/>
      <c r="Q55" s="244"/>
      <c r="R55" s="244"/>
      <c r="S55" s="244"/>
      <c r="T55" s="244"/>
      <c r="U55" s="244"/>
      <c r="V55" s="244"/>
      <c r="W55" s="244"/>
      <c r="X55" s="244"/>
      <c r="Y55" s="244"/>
      <c r="Z55" s="244"/>
      <c r="AA55" s="244"/>
      <c r="AK55" s="62"/>
    </row>
    <row r="56" spans="1:37" x14ac:dyDescent="0.2">
      <c r="AK56" s="62"/>
    </row>
    <row r="57" spans="1:37" x14ac:dyDescent="0.2">
      <c r="AK57" s="62"/>
    </row>
    <row r="58" spans="1:37" x14ac:dyDescent="0.2">
      <c r="AK58" s="62"/>
    </row>
    <row r="59" spans="1:37" x14ac:dyDescent="0.2">
      <c r="AK59" s="62"/>
    </row>
    <row r="60" spans="1:37" x14ac:dyDescent="0.2">
      <c r="AK60" s="62"/>
    </row>
    <row r="61" spans="1:37" x14ac:dyDescent="0.2">
      <c r="AK61" s="62"/>
    </row>
    <row r="62" spans="1:37" x14ac:dyDescent="0.2">
      <c r="AK62" s="62"/>
    </row>
    <row r="63" spans="1:37" x14ac:dyDescent="0.2">
      <c r="AK63" s="62"/>
    </row>
    <row r="64" spans="1:37" x14ac:dyDescent="0.2">
      <c r="AK64" s="62"/>
    </row>
    <row r="65" spans="37:37" x14ac:dyDescent="0.2">
      <c r="AK65" s="62"/>
    </row>
    <row r="66" spans="37:37" x14ac:dyDescent="0.2">
      <c r="AK66" s="62"/>
    </row>
    <row r="67" spans="37:37" x14ac:dyDescent="0.2">
      <c r="AK67" s="62"/>
    </row>
    <row r="68" spans="37:37" x14ac:dyDescent="0.2">
      <c r="AK68" s="62"/>
    </row>
    <row r="69" spans="37:37" x14ac:dyDescent="0.2">
      <c r="AK69" s="62"/>
    </row>
    <row r="70" spans="37:37" x14ac:dyDescent="0.2">
      <c r="AK70" s="62"/>
    </row>
    <row r="71" spans="37:37" x14ac:dyDescent="0.2">
      <c r="AK71" s="62"/>
    </row>
    <row r="72" spans="37:37" x14ac:dyDescent="0.2">
      <c r="AK72" s="62"/>
    </row>
    <row r="73" spans="37:37" x14ac:dyDescent="0.2">
      <c r="AK73" s="62"/>
    </row>
    <row r="74" spans="37:37" x14ac:dyDescent="0.2">
      <c r="AK74" s="62"/>
    </row>
    <row r="75" spans="37:37" x14ac:dyDescent="0.2">
      <c r="AK75" s="62"/>
    </row>
    <row r="76" spans="37:37" x14ac:dyDescent="0.2">
      <c r="AK76" s="62"/>
    </row>
    <row r="77" spans="37:37" x14ac:dyDescent="0.2">
      <c r="AK77" s="62"/>
    </row>
    <row r="78" spans="37:37" x14ac:dyDescent="0.2">
      <c r="AK78" s="62"/>
    </row>
    <row r="79" spans="37:37" x14ac:dyDescent="0.2">
      <c r="AK79" s="62"/>
    </row>
    <row r="80" spans="37:37" x14ac:dyDescent="0.2">
      <c r="AK80" s="62"/>
    </row>
    <row r="81" spans="37:37" x14ac:dyDescent="0.2">
      <c r="AK81" s="62"/>
    </row>
    <row r="82" spans="37:37" x14ac:dyDescent="0.2">
      <c r="AK82" s="62"/>
    </row>
    <row r="83" spans="37:37" x14ac:dyDescent="0.2">
      <c r="AK83" s="62"/>
    </row>
    <row r="84" spans="37:37" x14ac:dyDescent="0.2">
      <c r="AK84" s="62"/>
    </row>
    <row r="85" spans="37:37" x14ac:dyDescent="0.2">
      <c r="AK85" s="62"/>
    </row>
    <row r="86" spans="37:37" x14ac:dyDescent="0.2">
      <c r="AK86" s="62"/>
    </row>
    <row r="87" spans="37:37" x14ac:dyDescent="0.2">
      <c r="AK87" s="62"/>
    </row>
    <row r="88" spans="37:37" x14ac:dyDescent="0.2">
      <c r="AK88" s="62"/>
    </row>
    <row r="89" spans="37:37" x14ac:dyDescent="0.2">
      <c r="AK89" s="62"/>
    </row>
    <row r="90" spans="37:37" x14ac:dyDescent="0.2">
      <c r="AK90" s="62"/>
    </row>
    <row r="91" spans="37:37" x14ac:dyDescent="0.2">
      <c r="AK91" s="62"/>
    </row>
    <row r="92" spans="37:37" x14ac:dyDescent="0.2">
      <c r="AK92" s="62"/>
    </row>
    <row r="93" spans="37:37" x14ac:dyDescent="0.2">
      <c r="AK93" s="62"/>
    </row>
    <row r="94" spans="37:37" x14ac:dyDescent="0.2">
      <c r="AK94" s="62"/>
    </row>
    <row r="95" spans="37:37" x14ac:dyDescent="0.2">
      <c r="AK95" s="62"/>
    </row>
    <row r="96" spans="37:37" x14ac:dyDescent="0.2">
      <c r="AK96" s="62"/>
    </row>
    <row r="97" spans="37:37" x14ac:dyDescent="0.2">
      <c r="AK97" s="62"/>
    </row>
    <row r="98" spans="37:37" x14ac:dyDescent="0.2">
      <c r="AK98" s="62"/>
    </row>
    <row r="99" spans="37:37" x14ac:dyDescent="0.2">
      <c r="AK99" s="62"/>
    </row>
    <row r="100" spans="37:37" x14ac:dyDescent="0.2">
      <c r="AK100" s="62"/>
    </row>
    <row r="101" spans="37:37" x14ac:dyDescent="0.2">
      <c r="AK101" s="62"/>
    </row>
    <row r="102" spans="37:37" x14ac:dyDescent="0.2">
      <c r="AK102" s="62"/>
    </row>
    <row r="103" spans="37:37" x14ac:dyDescent="0.2">
      <c r="AK103" s="62"/>
    </row>
    <row r="104" spans="37:37" x14ac:dyDescent="0.2">
      <c r="AK104" s="62"/>
    </row>
    <row r="105" spans="37:37" x14ac:dyDescent="0.2">
      <c r="AK105" s="62"/>
    </row>
    <row r="106" spans="37:37" x14ac:dyDescent="0.2">
      <c r="AK106" s="62"/>
    </row>
    <row r="107" spans="37:37" x14ac:dyDescent="0.2">
      <c r="AK107" s="62"/>
    </row>
    <row r="108" spans="37:37" x14ac:dyDescent="0.2">
      <c r="AK108" s="62"/>
    </row>
    <row r="109" spans="37:37" x14ac:dyDescent="0.2">
      <c r="AK109" s="62"/>
    </row>
    <row r="110" spans="37:37" x14ac:dyDescent="0.2">
      <c r="AK110" s="62"/>
    </row>
    <row r="111" spans="37:37" x14ac:dyDescent="0.2">
      <c r="AK111" s="62"/>
    </row>
    <row r="112" spans="37:37" x14ac:dyDescent="0.2">
      <c r="AK112" s="62"/>
    </row>
  </sheetData>
  <mergeCells count="77">
    <mergeCell ref="B55:AA55"/>
    <mergeCell ref="A46:D46"/>
    <mergeCell ref="G46:I46"/>
    <mergeCell ref="J46:K46"/>
    <mergeCell ref="L46:U46"/>
    <mergeCell ref="A47:D47"/>
    <mergeCell ref="G47:I47"/>
    <mergeCell ref="J47:K47"/>
    <mergeCell ref="L47:U47"/>
    <mergeCell ref="A43:C45"/>
    <mergeCell ref="G43:I43"/>
    <mergeCell ref="J43:K43"/>
    <mergeCell ref="L43:U45"/>
    <mergeCell ref="G44:I44"/>
    <mergeCell ref="J44:K44"/>
    <mergeCell ref="G45:I45"/>
    <mergeCell ref="J45:K45"/>
    <mergeCell ref="F38:H38"/>
    <mergeCell ref="F39:H39"/>
    <mergeCell ref="F40:H40"/>
    <mergeCell ref="F41:H41"/>
    <mergeCell ref="F42:H42"/>
    <mergeCell ref="F33:H33"/>
    <mergeCell ref="F34:H34"/>
    <mergeCell ref="F35:H35"/>
    <mergeCell ref="F36:H36"/>
    <mergeCell ref="F37:H37"/>
    <mergeCell ref="F28:H28"/>
    <mergeCell ref="F29:H29"/>
    <mergeCell ref="F30:H30"/>
    <mergeCell ref="F31:H31"/>
    <mergeCell ref="F32:H32"/>
    <mergeCell ref="F23:H23"/>
    <mergeCell ref="F24:H24"/>
    <mergeCell ref="F25:H25"/>
    <mergeCell ref="F26:H26"/>
    <mergeCell ref="F27:H27"/>
    <mergeCell ref="F18:H18"/>
    <mergeCell ref="F19:H19"/>
    <mergeCell ref="F20:H20"/>
    <mergeCell ref="F21:H21"/>
    <mergeCell ref="F22:H22"/>
    <mergeCell ref="F13:H13"/>
    <mergeCell ref="F14:H14"/>
    <mergeCell ref="F15:H15"/>
    <mergeCell ref="F16:H16"/>
    <mergeCell ref="F17:H17"/>
    <mergeCell ref="F12:H12"/>
    <mergeCell ref="Z8:Z9"/>
    <mergeCell ref="AA8:AA9"/>
    <mergeCell ref="AB8:AB9"/>
    <mergeCell ref="AC8:AC9"/>
    <mergeCell ref="AF8:AF9"/>
    <mergeCell ref="AG8:AG9"/>
    <mergeCell ref="AH8:AH9"/>
    <mergeCell ref="F10:H10"/>
    <mergeCell ref="F11:H11"/>
    <mergeCell ref="O8:O9"/>
    <mergeCell ref="AD8:AD9"/>
    <mergeCell ref="AE8:AE9"/>
    <mergeCell ref="Q8:Q9"/>
    <mergeCell ref="S8:S9"/>
    <mergeCell ref="U8:U9"/>
    <mergeCell ref="W8:W9"/>
    <mergeCell ref="X8:X9"/>
    <mergeCell ref="Y8:Y9"/>
    <mergeCell ref="A8:A9"/>
    <mergeCell ref="B8:B9"/>
    <mergeCell ref="D8:D9"/>
    <mergeCell ref="F8:H9"/>
    <mergeCell ref="M8:M9"/>
    <mergeCell ref="A2:F2"/>
    <mergeCell ref="G2:AC2"/>
    <mergeCell ref="AD2:AE2"/>
    <mergeCell ref="A4:C5"/>
    <mergeCell ref="K5:AA7"/>
    <mergeCell ref="D7:J7"/>
  </mergeCells>
  <printOptions gridLines="1"/>
  <pageMargins left="1.73" right="0.19685039370078741" top="0.2" bottom="0.2" header="0.15748031496062992" footer="0.23622047244094491"/>
  <pageSetup paperSize="9" scale="32" fitToHeight="4" orientation="landscape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8"/>
  <sheetViews>
    <sheetView zoomScale="80" zoomScaleNormal="80" zoomScaleSheetLayoutView="70" workbookViewId="0">
      <pane xSplit="1" ySplit="3" topLeftCell="B7" activePane="bottomRight" state="frozen"/>
      <selection pane="topRight" activeCell="B1" sqref="B1"/>
      <selection pane="bottomLeft" activeCell="A4" sqref="A4"/>
      <selection pane="bottomRight" activeCell="E18" sqref="E18"/>
    </sheetView>
  </sheetViews>
  <sheetFormatPr defaultColWidth="11.42578125" defaultRowHeight="15" x14ac:dyDescent="0.3"/>
  <cols>
    <col min="1" max="1" width="18.7109375" style="14" customWidth="1"/>
    <col min="2" max="3" width="9.5703125" style="15" customWidth="1"/>
    <col min="4" max="4" width="9.85546875" style="15" customWidth="1"/>
    <col min="5" max="5" width="8.85546875" style="15" customWidth="1"/>
    <col min="6" max="6" width="11.42578125" style="15" customWidth="1"/>
    <col min="7" max="7" width="8.85546875" style="15" customWidth="1"/>
    <col min="8" max="9" width="9.85546875" style="15" customWidth="1"/>
    <col min="10" max="10" width="16.140625" style="15" customWidth="1"/>
    <col min="11" max="11" width="17.28515625" style="15" customWidth="1"/>
    <col min="12" max="12" width="14.28515625" style="15" customWidth="1"/>
    <col min="13" max="13" width="16.28515625" style="15" customWidth="1"/>
    <col min="14" max="14" width="14.140625" style="15" customWidth="1"/>
    <col min="15" max="15" width="14.42578125" style="15" customWidth="1"/>
    <col min="16" max="16" width="15.85546875" style="15" customWidth="1"/>
    <col min="17" max="17" width="11.28515625" style="15" customWidth="1"/>
    <col min="18" max="18" width="8.42578125" style="15" customWidth="1"/>
    <col min="19" max="19" width="9.85546875" style="15" customWidth="1"/>
    <col min="20" max="20" width="11.28515625" style="15" customWidth="1"/>
    <col min="21" max="21" width="8.42578125" style="15" customWidth="1"/>
    <col min="22" max="22" width="9.85546875" style="15" customWidth="1"/>
    <col min="23" max="23" width="11.28515625" style="15" customWidth="1"/>
    <col min="24" max="24" width="8.42578125" style="15" customWidth="1"/>
    <col min="25" max="25" width="9.85546875" style="15" customWidth="1"/>
    <col min="26" max="26" width="11.28515625" style="15" customWidth="1"/>
    <col min="27" max="27" width="8.42578125" style="15" customWidth="1"/>
    <col min="28" max="28" width="9.85546875" style="15" customWidth="1"/>
    <col min="29" max="29" width="15.28515625" style="16" customWidth="1"/>
    <col min="30" max="30" width="20.140625" style="15" customWidth="1"/>
    <col min="31" max="31" width="24.5703125" style="15" customWidth="1"/>
    <col min="32" max="16384" width="11.42578125" style="15"/>
  </cols>
  <sheetData>
    <row r="1" spans="1:31" ht="62.25" customHeight="1" thickBot="1" x14ac:dyDescent="0.35">
      <c r="A1" s="262"/>
      <c r="B1" s="262"/>
      <c r="C1" s="263"/>
      <c r="D1" s="264" t="s">
        <v>57</v>
      </c>
      <c r="E1" s="265"/>
      <c r="F1" s="265"/>
      <c r="G1" s="265"/>
      <c r="H1" s="265"/>
      <c r="I1" s="265"/>
      <c r="J1" s="265"/>
      <c r="K1" s="265"/>
      <c r="L1" s="265"/>
      <c r="M1" s="265"/>
      <c r="N1" s="265"/>
      <c r="O1" s="265"/>
      <c r="P1" s="265"/>
      <c r="Q1" s="265"/>
      <c r="R1" s="265"/>
      <c r="S1" s="265"/>
      <c r="T1" s="265"/>
      <c r="U1" s="265"/>
      <c r="V1" s="265"/>
      <c r="W1" s="265"/>
      <c r="X1" s="265"/>
      <c r="Y1" s="265"/>
      <c r="Z1" s="266"/>
      <c r="AA1" s="267"/>
      <c r="AB1" s="268"/>
      <c r="AC1" s="268"/>
    </row>
    <row r="2" spans="1:31" ht="41.25" customHeight="1" thickBot="1" x14ac:dyDescent="0.4">
      <c r="A2" s="48"/>
      <c r="B2" s="271"/>
      <c r="C2" s="271"/>
      <c r="D2" s="271"/>
      <c r="E2" s="271"/>
      <c r="F2" s="271"/>
      <c r="G2" s="271"/>
      <c r="H2" s="271"/>
      <c r="I2" s="271"/>
      <c r="J2" s="271"/>
      <c r="K2" s="271"/>
      <c r="L2" s="271"/>
      <c r="M2" s="271"/>
      <c r="N2" s="271"/>
      <c r="O2" s="271"/>
      <c r="P2" s="272"/>
      <c r="Q2" s="269">
        <v>803</v>
      </c>
      <c r="R2" s="270"/>
      <c r="S2" s="270"/>
      <c r="T2" s="270">
        <v>519</v>
      </c>
      <c r="U2" s="270"/>
      <c r="V2" s="270"/>
      <c r="W2" s="270">
        <v>800</v>
      </c>
      <c r="X2" s="270"/>
      <c r="Y2" s="270"/>
      <c r="Z2" s="270">
        <v>802</v>
      </c>
      <c r="AA2" s="270"/>
      <c r="AB2" s="273"/>
      <c r="AC2" s="17"/>
    </row>
    <row r="3" spans="1:31" ht="50.25" customHeight="1" thickBot="1" x14ac:dyDescent="0.35">
      <c r="B3" s="22" t="s">
        <v>49</v>
      </c>
      <c r="C3" s="23" t="s">
        <v>13</v>
      </c>
      <c r="D3" s="22" t="s">
        <v>50</v>
      </c>
      <c r="E3" s="23" t="s">
        <v>14</v>
      </c>
      <c r="F3" s="22" t="s">
        <v>51</v>
      </c>
      <c r="G3" s="23" t="s">
        <v>15</v>
      </c>
      <c r="H3" s="22" t="s">
        <v>52</v>
      </c>
      <c r="I3" s="23" t="s">
        <v>16</v>
      </c>
      <c r="J3" s="24" t="s">
        <v>17</v>
      </c>
      <c r="K3" s="24" t="s">
        <v>18</v>
      </c>
      <c r="L3" s="24" t="s">
        <v>19</v>
      </c>
      <c r="M3" s="24" t="s">
        <v>20</v>
      </c>
      <c r="N3" s="24" t="s">
        <v>21</v>
      </c>
      <c r="O3" s="25" t="s">
        <v>22</v>
      </c>
      <c r="P3" s="25" t="s">
        <v>23</v>
      </c>
      <c r="Q3" s="36" t="s">
        <v>24</v>
      </c>
      <c r="R3" s="36" t="s">
        <v>25</v>
      </c>
      <c r="S3" s="36" t="s">
        <v>26</v>
      </c>
      <c r="T3" s="37" t="s">
        <v>27</v>
      </c>
      <c r="U3" s="37" t="s">
        <v>25</v>
      </c>
      <c r="V3" s="37" t="s">
        <v>26</v>
      </c>
      <c r="W3" s="37" t="s">
        <v>28</v>
      </c>
      <c r="X3" s="37" t="s">
        <v>25</v>
      </c>
      <c r="Y3" s="37" t="s">
        <v>26</v>
      </c>
      <c r="Z3" s="37" t="s">
        <v>29</v>
      </c>
      <c r="AA3" s="37" t="s">
        <v>25</v>
      </c>
      <c r="AB3" s="38" t="s">
        <v>26</v>
      </c>
      <c r="AC3" s="52" t="s">
        <v>30</v>
      </c>
      <c r="AD3" s="51" t="s">
        <v>31</v>
      </c>
      <c r="AE3" s="50" t="s">
        <v>32</v>
      </c>
    </row>
    <row r="4" spans="1:31" ht="32.25" customHeight="1" x14ac:dyDescent="0.3">
      <c r="A4" s="19">
        <v>44068</v>
      </c>
      <c r="B4" s="20">
        <v>75</v>
      </c>
      <c r="C4" s="18">
        <f t="shared" ref="C4:C42" si="0">IF(AC4&gt;0,((B4-R4)+(S4-B5)),IF(B5=0, ,(B4-B5)))</f>
        <v>0</v>
      </c>
      <c r="D4" s="20">
        <v>77</v>
      </c>
      <c r="E4" s="18">
        <f t="shared" ref="E4:E42" si="1">IF(AC4&gt;0,((D4-U4)+(V4-D5)),IF(D5=0, ,(D4-D5)))</f>
        <v>0</v>
      </c>
      <c r="F4" s="20">
        <v>72</v>
      </c>
      <c r="G4" s="18">
        <f t="shared" ref="G4:G42" si="2">IF(AC4&gt;0,((F4-X4)+(Y4-F5)),IF(F5=0, ,(F4-F5)))</f>
        <v>0</v>
      </c>
      <c r="H4" s="20">
        <v>75</v>
      </c>
      <c r="I4" s="18">
        <f t="shared" ref="I4:I17" si="3">IF(AC4&gt;0,((H4-AA4)+(AB4-H5)),IF(H5=0, ,(H4-H5)))</f>
        <v>0</v>
      </c>
      <c r="J4" s="18">
        <f t="shared" ref="J4:J11" si="4">B4+D4+F4+H4</f>
        <v>299</v>
      </c>
      <c r="K4" s="18">
        <f t="shared" ref="K4:K11" si="5">J4/4</f>
        <v>74.75</v>
      </c>
      <c r="L4" s="18">
        <f t="shared" ref="L4:L16" si="6">IF(AC4&gt;0,((K4-AD4)+(AE4-K5)),IF(K5=0, ,(K4-K5)))</f>
        <v>0</v>
      </c>
      <c r="M4" s="18">
        <f t="shared" ref="M4:M42" si="7">7000*4</f>
        <v>28000</v>
      </c>
      <c r="N4" s="18">
        <f t="shared" ref="N4:N15" si="8">L4*M4/100</f>
        <v>0</v>
      </c>
      <c r="O4" s="18">
        <f t="shared" ref="O4:O15" si="9">N4*0.53</f>
        <v>0</v>
      </c>
      <c r="P4" s="21">
        <f t="shared" ref="P4:P8" si="10">O4*7.8338</f>
        <v>0</v>
      </c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>
        <f>Q4+T4+W4+Z4</f>
        <v>0</v>
      </c>
      <c r="AD4" s="49">
        <f t="shared" ref="AD4:AD9" si="11">(R4+U4+X4+AA4)/4</f>
        <v>0</v>
      </c>
      <c r="AE4" s="49">
        <f t="shared" ref="AE4:AE9" si="12">(S4+V4+Y4+AB4)/4</f>
        <v>0</v>
      </c>
    </row>
    <row r="5" spans="1:31" ht="32.25" customHeight="1" x14ac:dyDescent="0.3">
      <c r="A5" s="19">
        <f>(A4+1)</f>
        <v>44069</v>
      </c>
      <c r="B5" s="20">
        <v>75</v>
      </c>
      <c r="C5" s="18">
        <f t="shared" si="0"/>
        <v>0</v>
      </c>
      <c r="D5" s="20">
        <v>77</v>
      </c>
      <c r="E5" s="18">
        <f t="shared" si="1"/>
        <v>0</v>
      </c>
      <c r="F5" s="20">
        <v>72</v>
      </c>
      <c r="G5" s="18">
        <f t="shared" si="2"/>
        <v>0</v>
      </c>
      <c r="H5" s="20">
        <v>75</v>
      </c>
      <c r="I5" s="18">
        <f t="shared" si="3"/>
        <v>0</v>
      </c>
      <c r="J5" s="18">
        <f t="shared" si="4"/>
        <v>299</v>
      </c>
      <c r="K5" s="18">
        <f t="shared" si="5"/>
        <v>74.75</v>
      </c>
      <c r="L5" s="18">
        <f t="shared" si="6"/>
        <v>0</v>
      </c>
      <c r="M5" s="18">
        <f t="shared" si="7"/>
        <v>28000</v>
      </c>
      <c r="N5" s="18">
        <f t="shared" si="8"/>
        <v>0</v>
      </c>
      <c r="O5" s="18">
        <f t="shared" si="9"/>
        <v>0</v>
      </c>
      <c r="P5" s="21">
        <f t="shared" si="10"/>
        <v>0</v>
      </c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>
        <f>Q5+T5+W5+Z5</f>
        <v>0</v>
      </c>
      <c r="AD5" s="49">
        <f t="shared" si="11"/>
        <v>0</v>
      </c>
      <c r="AE5" s="49">
        <f t="shared" si="12"/>
        <v>0</v>
      </c>
    </row>
    <row r="6" spans="1:31" ht="32.25" customHeight="1" x14ac:dyDescent="0.3">
      <c r="A6" s="19">
        <f t="shared" ref="A6:A42" si="13">(A5+1)</f>
        <v>44070</v>
      </c>
      <c r="B6" s="20">
        <v>75</v>
      </c>
      <c r="C6" s="18">
        <f t="shared" si="0"/>
        <v>0</v>
      </c>
      <c r="D6" s="20">
        <v>77</v>
      </c>
      <c r="E6" s="18">
        <f t="shared" si="1"/>
        <v>0</v>
      </c>
      <c r="F6" s="20">
        <v>72</v>
      </c>
      <c r="G6" s="18">
        <f t="shared" si="2"/>
        <v>0</v>
      </c>
      <c r="H6" s="20">
        <v>75</v>
      </c>
      <c r="I6" s="18">
        <f t="shared" si="3"/>
        <v>0</v>
      </c>
      <c r="J6" s="18">
        <f t="shared" si="4"/>
        <v>299</v>
      </c>
      <c r="K6" s="18">
        <f t="shared" si="5"/>
        <v>74.75</v>
      </c>
      <c r="L6" s="18">
        <f t="shared" si="6"/>
        <v>0</v>
      </c>
      <c r="M6" s="18">
        <f t="shared" si="7"/>
        <v>28000</v>
      </c>
      <c r="N6" s="18">
        <f t="shared" si="8"/>
        <v>0</v>
      </c>
      <c r="O6" s="18">
        <f t="shared" si="9"/>
        <v>0</v>
      </c>
      <c r="P6" s="21">
        <f t="shared" si="10"/>
        <v>0</v>
      </c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>
        <f>Q6+T6+W6+Z6</f>
        <v>0</v>
      </c>
      <c r="AD6" s="49">
        <f t="shared" si="11"/>
        <v>0</v>
      </c>
      <c r="AE6" s="49">
        <f t="shared" si="12"/>
        <v>0</v>
      </c>
    </row>
    <row r="7" spans="1:31" ht="32.25" customHeight="1" x14ac:dyDescent="0.3">
      <c r="A7" s="19">
        <f t="shared" si="13"/>
        <v>44071</v>
      </c>
      <c r="B7" s="20">
        <v>75</v>
      </c>
      <c r="C7" s="18">
        <f t="shared" si="0"/>
        <v>0</v>
      </c>
      <c r="D7" s="20">
        <v>77</v>
      </c>
      <c r="E7" s="18">
        <f t="shared" si="1"/>
        <v>0</v>
      </c>
      <c r="F7" s="20">
        <v>72</v>
      </c>
      <c r="G7" s="18">
        <f t="shared" si="2"/>
        <v>0</v>
      </c>
      <c r="H7" s="20">
        <v>75</v>
      </c>
      <c r="I7" s="18">
        <f t="shared" si="3"/>
        <v>0</v>
      </c>
      <c r="J7" s="18">
        <f t="shared" si="4"/>
        <v>299</v>
      </c>
      <c r="K7" s="18">
        <f t="shared" si="5"/>
        <v>74.75</v>
      </c>
      <c r="L7" s="18">
        <f t="shared" si="6"/>
        <v>0</v>
      </c>
      <c r="M7" s="18">
        <f t="shared" si="7"/>
        <v>28000</v>
      </c>
      <c r="N7" s="18">
        <f t="shared" si="8"/>
        <v>0</v>
      </c>
      <c r="O7" s="18">
        <f t="shared" si="9"/>
        <v>0</v>
      </c>
      <c r="P7" s="21">
        <f t="shared" si="10"/>
        <v>0</v>
      </c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>
        <f>Q7+T7+W7+Z7</f>
        <v>0</v>
      </c>
      <c r="AD7" s="49">
        <f t="shared" si="11"/>
        <v>0</v>
      </c>
      <c r="AE7" s="49">
        <f t="shared" si="12"/>
        <v>0</v>
      </c>
    </row>
    <row r="8" spans="1:31" ht="32.25" customHeight="1" x14ac:dyDescent="0.3">
      <c r="A8" s="19">
        <f t="shared" si="13"/>
        <v>44072</v>
      </c>
      <c r="B8" s="20">
        <v>75</v>
      </c>
      <c r="C8" s="18">
        <f t="shared" si="0"/>
        <v>0</v>
      </c>
      <c r="D8" s="20">
        <v>77</v>
      </c>
      <c r="E8" s="18">
        <f t="shared" si="1"/>
        <v>0</v>
      </c>
      <c r="F8" s="20">
        <v>72</v>
      </c>
      <c r="G8" s="18">
        <f t="shared" si="2"/>
        <v>0</v>
      </c>
      <c r="H8" s="20">
        <v>75</v>
      </c>
      <c r="I8" s="18">
        <f t="shared" si="3"/>
        <v>0</v>
      </c>
      <c r="J8" s="18">
        <f t="shared" si="4"/>
        <v>299</v>
      </c>
      <c r="K8" s="18">
        <f t="shared" si="5"/>
        <v>74.75</v>
      </c>
      <c r="L8" s="18">
        <f t="shared" si="6"/>
        <v>0</v>
      </c>
      <c r="M8" s="18">
        <f t="shared" si="7"/>
        <v>28000</v>
      </c>
      <c r="N8" s="18">
        <f t="shared" si="8"/>
        <v>0</v>
      </c>
      <c r="O8" s="18">
        <f t="shared" si="9"/>
        <v>0</v>
      </c>
      <c r="P8" s="21">
        <f t="shared" si="10"/>
        <v>0</v>
      </c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>
        <v>0</v>
      </c>
      <c r="AD8" s="49">
        <f t="shared" si="11"/>
        <v>0</v>
      </c>
      <c r="AE8" s="49">
        <f t="shared" si="12"/>
        <v>0</v>
      </c>
    </row>
    <row r="9" spans="1:31" ht="32.25" customHeight="1" x14ac:dyDescent="0.3">
      <c r="A9" s="19">
        <f t="shared" si="13"/>
        <v>44073</v>
      </c>
      <c r="B9" s="20">
        <v>75</v>
      </c>
      <c r="C9" s="18">
        <f t="shared" si="0"/>
        <v>0</v>
      </c>
      <c r="D9" s="20">
        <v>77</v>
      </c>
      <c r="E9" s="18">
        <f t="shared" si="1"/>
        <v>0</v>
      </c>
      <c r="F9" s="20">
        <v>72</v>
      </c>
      <c r="G9" s="18">
        <f t="shared" si="2"/>
        <v>0</v>
      </c>
      <c r="H9" s="20">
        <v>75</v>
      </c>
      <c r="I9" s="18">
        <f t="shared" si="3"/>
        <v>0</v>
      </c>
      <c r="J9" s="18">
        <f t="shared" si="4"/>
        <v>299</v>
      </c>
      <c r="K9" s="18">
        <f t="shared" si="5"/>
        <v>74.75</v>
      </c>
      <c r="L9" s="18">
        <f t="shared" si="6"/>
        <v>0</v>
      </c>
      <c r="M9" s="18">
        <f t="shared" si="7"/>
        <v>28000</v>
      </c>
      <c r="N9" s="18">
        <f t="shared" si="8"/>
        <v>0</v>
      </c>
      <c r="O9" s="18">
        <f t="shared" si="9"/>
        <v>0</v>
      </c>
      <c r="P9" s="21">
        <f>O9*7.8338</f>
        <v>0</v>
      </c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>
        <f>Q9+T9+W9+Z9</f>
        <v>0</v>
      </c>
      <c r="AD9" s="49">
        <f t="shared" si="11"/>
        <v>0</v>
      </c>
      <c r="AE9" s="49">
        <f t="shared" si="12"/>
        <v>0</v>
      </c>
    </row>
    <row r="10" spans="1:31" ht="32.25" customHeight="1" x14ac:dyDescent="0.3">
      <c r="A10" s="19">
        <f t="shared" si="13"/>
        <v>44074</v>
      </c>
      <c r="B10" s="20">
        <v>75</v>
      </c>
      <c r="C10" s="18">
        <f t="shared" si="0"/>
        <v>0</v>
      </c>
      <c r="D10" s="20">
        <v>77</v>
      </c>
      <c r="E10" s="18">
        <f t="shared" si="1"/>
        <v>0</v>
      </c>
      <c r="F10" s="20">
        <v>72</v>
      </c>
      <c r="G10" s="18">
        <f t="shared" si="2"/>
        <v>0</v>
      </c>
      <c r="H10" s="20">
        <v>75</v>
      </c>
      <c r="I10" s="18">
        <f t="shared" si="3"/>
        <v>0</v>
      </c>
      <c r="J10" s="18">
        <f t="shared" si="4"/>
        <v>299</v>
      </c>
      <c r="K10" s="18">
        <f t="shared" si="5"/>
        <v>74.75</v>
      </c>
      <c r="L10" s="18">
        <f t="shared" si="6"/>
        <v>0</v>
      </c>
      <c r="M10" s="18">
        <f t="shared" si="7"/>
        <v>28000</v>
      </c>
      <c r="N10" s="18">
        <f t="shared" si="8"/>
        <v>0</v>
      </c>
      <c r="O10" s="18">
        <f t="shared" si="9"/>
        <v>0</v>
      </c>
      <c r="P10" s="21">
        <f t="shared" ref="P10:P42" si="14">O10*7.8338</f>
        <v>0</v>
      </c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>
        <f>Q10+T10+W10+Z10</f>
        <v>0</v>
      </c>
      <c r="AD10" s="49">
        <f>(R10+U10+X10+AA10)/4</f>
        <v>0</v>
      </c>
      <c r="AE10" s="49">
        <f>(S10+V10+Y10+AB10)/4</f>
        <v>0</v>
      </c>
    </row>
    <row r="11" spans="1:31" ht="32.25" customHeight="1" x14ac:dyDescent="0.3">
      <c r="A11" s="19">
        <f t="shared" si="13"/>
        <v>44075</v>
      </c>
      <c r="B11" s="20">
        <v>75</v>
      </c>
      <c r="C11" s="18">
        <f t="shared" si="0"/>
        <v>0</v>
      </c>
      <c r="D11" s="20">
        <v>77</v>
      </c>
      <c r="E11" s="18">
        <f t="shared" si="1"/>
        <v>0</v>
      </c>
      <c r="F11" s="20">
        <v>72</v>
      </c>
      <c r="G11" s="18">
        <f t="shared" si="2"/>
        <v>0</v>
      </c>
      <c r="H11" s="20">
        <v>75</v>
      </c>
      <c r="I11" s="18">
        <f t="shared" si="3"/>
        <v>0</v>
      </c>
      <c r="J11" s="18">
        <f t="shared" si="4"/>
        <v>299</v>
      </c>
      <c r="K11" s="18">
        <f t="shared" si="5"/>
        <v>74.75</v>
      </c>
      <c r="L11" s="18">
        <f t="shared" si="6"/>
        <v>0</v>
      </c>
      <c r="M11" s="18">
        <f t="shared" si="7"/>
        <v>28000</v>
      </c>
      <c r="N11" s="18">
        <f t="shared" si="8"/>
        <v>0</v>
      </c>
      <c r="O11" s="18">
        <f t="shared" si="9"/>
        <v>0</v>
      </c>
      <c r="P11" s="21">
        <f t="shared" si="14"/>
        <v>0</v>
      </c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>
        <f>Q11+T11+W11+Z11</f>
        <v>0</v>
      </c>
      <c r="AD11" s="49">
        <f t="shared" ref="AD11:AE13" si="15">(R11+U11+X11+AA11)/4</f>
        <v>0</v>
      </c>
      <c r="AE11" s="49">
        <f t="shared" si="15"/>
        <v>0</v>
      </c>
    </row>
    <row r="12" spans="1:31" ht="32.25" customHeight="1" x14ac:dyDescent="0.3">
      <c r="A12" s="19">
        <f t="shared" si="13"/>
        <v>44076</v>
      </c>
      <c r="B12" s="20">
        <v>75</v>
      </c>
      <c r="C12" s="18">
        <f t="shared" ref="C12:C15" si="16">IF(AC12&gt;0,((B12-R12)+(S12-B13)),IF(B13=0, ,(B12-B13)))</f>
        <v>0</v>
      </c>
      <c r="D12" s="20">
        <v>77</v>
      </c>
      <c r="E12" s="18">
        <f t="shared" ref="E12:E15" si="17">IF(AC12&gt;0,((D12-U12)+(V12-D13)),IF(D13=0, ,(D12-D13)))</f>
        <v>0</v>
      </c>
      <c r="F12" s="20">
        <v>72</v>
      </c>
      <c r="G12" s="18">
        <f t="shared" ref="G12:G15" si="18">IF(AC12&gt;0,((F12-X12)+(Y12-F13)),IF(F13=0, ,(F12-F13)))</f>
        <v>0</v>
      </c>
      <c r="H12" s="20">
        <v>75</v>
      </c>
      <c r="I12" s="18">
        <f t="shared" si="3"/>
        <v>0</v>
      </c>
      <c r="J12" s="18">
        <f t="shared" ref="J12:J42" si="19">B12+D12+F12+H12</f>
        <v>299</v>
      </c>
      <c r="K12" s="18">
        <f t="shared" ref="K12:K42" si="20">J12/4</f>
        <v>74.75</v>
      </c>
      <c r="L12" s="18">
        <f t="shared" si="6"/>
        <v>0</v>
      </c>
      <c r="M12" s="18">
        <f t="shared" si="7"/>
        <v>28000</v>
      </c>
      <c r="N12" s="18">
        <f t="shared" si="8"/>
        <v>0</v>
      </c>
      <c r="O12" s="18">
        <f t="shared" si="9"/>
        <v>0</v>
      </c>
      <c r="P12" s="21">
        <f t="shared" si="14"/>
        <v>0</v>
      </c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>
        <f t="shared" ref="AC12:AC42" si="21">Q12+T12+W12+Z12</f>
        <v>0</v>
      </c>
      <c r="AD12" s="49">
        <f t="shared" si="15"/>
        <v>0</v>
      </c>
      <c r="AE12" s="49">
        <f t="shared" si="15"/>
        <v>0</v>
      </c>
    </row>
    <row r="13" spans="1:31" ht="32.25" customHeight="1" x14ac:dyDescent="0.3">
      <c r="A13" s="19">
        <f t="shared" si="13"/>
        <v>44077</v>
      </c>
      <c r="B13" s="20">
        <v>75</v>
      </c>
      <c r="C13" s="18">
        <f t="shared" si="16"/>
        <v>0</v>
      </c>
      <c r="D13" s="20">
        <v>77</v>
      </c>
      <c r="E13" s="18">
        <f t="shared" si="17"/>
        <v>0</v>
      </c>
      <c r="F13" s="20">
        <v>72</v>
      </c>
      <c r="G13" s="18">
        <f t="shared" si="18"/>
        <v>0</v>
      </c>
      <c r="H13" s="20">
        <v>75</v>
      </c>
      <c r="I13" s="18">
        <f t="shared" si="3"/>
        <v>0</v>
      </c>
      <c r="J13" s="18">
        <f t="shared" si="19"/>
        <v>299</v>
      </c>
      <c r="K13" s="18">
        <f t="shared" si="20"/>
        <v>74.75</v>
      </c>
      <c r="L13" s="18">
        <f t="shared" si="6"/>
        <v>0</v>
      </c>
      <c r="M13" s="18">
        <f t="shared" si="7"/>
        <v>28000</v>
      </c>
      <c r="N13" s="18">
        <f t="shared" si="8"/>
        <v>0</v>
      </c>
      <c r="O13" s="18">
        <f t="shared" si="9"/>
        <v>0</v>
      </c>
      <c r="P13" s="21">
        <f t="shared" si="14"/>
        <v>0</v>
      </c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>
        <f t="shared" si="21"/>
        <v>0</v>
      </c>
      <c r="AD13" s="49">
        <f t="shared" si="15"/>
        <v>0</v>
      </c>
      <c r="AE13" s="49">
        <f t="shared" si="15"/>
        <v>0</v>
      </c>
    </row>
    <row r="14" spans="1:31" ht="32.25" customHeight="1" x14ac:dyDescent="0.3">
      <c r="A14" s="19">
        <f t="shared" si="13"/>
        <v>44078</v>
      </c>
      <c r="B14" s="20">
        <v>75</v>
      </c>
      <c r="C14" s="18">
        <f t="shared" si="16"/>
        <v>0</v>
      </c>
      <c r="D14" s="20">
        <v>77</v>
      </c>
      <c r="E14" s="18">
        <f t="shared" si="17"/>
        <v>0</v>
      </c>
      <c r="F14" s="20">
        <v>72</v>
      </c>
      <c r="G14" s="18">
        <f t="shared" si="18"/>
        <v>0</v>
      </c>
      <c r="H14" s="20">
        <v>75</v>
      </c>
      <c r="I14" s="18">
        <f t="shared" si="3"/>
        <v>0</v>
      </c>
      <c r="J14" s="18">
        <f t="shared" si="19"/>
        <v>299</v>
      </c>
      <c r="K14" s="18">
        <f t="shared" si="20"/>
        <v>74.75</v>
      </c>
      <c r="L14" s="18">
        <f t="shared" si="6"/>
        <v>0</v>
      </c>
      <c r="M14" s="18">
        <f t="shared" si="7"/>
        <v>28000</v>
      </c>
      <c r="N14" s="18">
        <f t="shared" si="8"/>
        <v>0</v>
      </c>
      <c r="O14" s="18">
        <f t="shared" si="9"/>
        <v>0</v>
      </c>
      <c r="P14" s="21">
        <f t="shared" si="14"/>
        <v>0</v>
      </c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>
        <f t="shared" si="21"/>
        <v>0</v>
      </c>
      <c r="AD14" s="49">
        <f t="shared" ref="AD14:AD42" si="22">(R14+U14+X14+AA14)/4</f>
        <v>0</v>
      </c>
      <c r="AE14" s="49">
        <f t="shared" ref="AE14:AE42" si="23">(S14+V14+Y14+AB14)/4</f>
        <v>0</v>
      </c>
    </row>
    <row r="15" spans="1:31" ht="32.25" customHeight="1" x14ac:dyDescent="0.3">
      <c r="A15" s="19">
        <f t="shared" si="13"/>
        <v>44079</v>
      </c>
      <c r="B15" s="20">
        <v>75</v>
      </c>
      <c r="C15" s="18">
        <f t="shared" si="16"/>
        <v>0</v>
      </c>
      <c r="D15" s="20">
        <v>77</v>
      </c>
      <c r="E15" s="18">
        <f t="shared" si="17"/>
        <v>0</v>
      </c>
      <c r="F15" s="20">
        <v>72</v>
      </c>
      <c r="G15" s="18">
        <f t="shared" si="18"/>
        <v>0</v>
      </c>
      <c r="H15" s="20">
        <v>75</v>
      </c>
      <c r="I15" s="18">
        <f t="shared" si="3"/>
        <v>0</v>
      </c>
      <c r="J15" s="18">
        <f t="shared" si="19"/>
        <v>299</v>
      </c>
      <c r="K15" s="18">
        <f t="shared" si="20"/>
        <v>74.75</v>
      </c>
      <c r="L15" s="18">
        <f t="shared" si="6"/>
        <v>0</v>
      </c>
      <c r="M15" s="18">
        <f t="shared" si="7"/>
        <v>28000</v>
      </c>
      <c r="N15" s="18">
        <f t="shared" si="8"/>
        <v>0</v>
      </c>
      <c r="O15" s="18">
        <f t="shared" si="9"/>
        <v>0</v>
      </c>
      <c r="P15" s="21">
        <f t="shared" si="14"/>
        <v>0</v>
      </c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>
        <f t="shared" si="21"/>
        <v>0</v>
      </c>
      <c r="AD15" s="49">
        <f t="shared" si="22"/>
        <v>0</v>
      </c>
      <c r="AE15" s="49">
        <f t="shared" si="23"/>
        <v>0</v>
      </c>
    </row>
    <row r="16" spans="1:31" ht="32.25" customHeight="1" x14ac:dyDescent="0.3">
      <c r="A16" s="19">
        <f t="shared" si="13"/>
        <v>44080</v>
      </c>
      <c r="B16" s="20">
        <v>75</v>
      </c>
      <c r="C16" s="18">
        <f t="shared" ref="C16:C17" si="24">IF(AC16&gt;0,((B16-R16)+(S16-B17)),IF(B17=0, ,(B16-B17)))</f>
        <v>0</v>
      </c>
      <c r="D16" s="20">
        <v>77</v>
      </c>
      <c r="E16" s="18">
        <f t="shared" ref="E16:E17" si="25">IF(AC16&gt;0,((D16-U16)+(V16-D17)),IF(D17=0, ,(D16-D17)))</f>
        <v>0</v>
      </c>
      <c r="F16" s="20">
        <v>72</v>
      </c>
      <c r="G16" s="18">
        <f t="shared" ref="G16:G17" si="26">IF(AC16&gt;0,((F16-X16)+(Y16-F17)),IF(F17=0, ,(F16-F17)))</f>
        <v>0</v>
      </c>
      <c r="H16" s="20">
        <v>75</v>
      </c>
      <c r="I16" s="18">
        <f t="shared" si="3"/>
        <v>0</v>
      </c>
      <c r="J16" s="18">
        <f t="shared" si="19"/>
        <v>299</v>
      </c>
      <c r="K16" s="18">
        <f t="shared" si="20"/>
        <v>74.75</v>
      </c>
      <c r="L16" s="18">
        <f t="shared" si="6"/>
        <v>0</v>
      </c>
      <c r="M16" s="18">
        <f t="shared" si="7"/>
        <v>28000</v>
      </c>
      <c r="N16" s="18">
        <f t="shared" ref="N16:N42" si="27">L16*M16/100</f>
        <v>0</v>
      </c>
      <c r="O16" s="18">
        <f t="shared" ref="O16:O42" si="28">N16*0.53</f>
        <v>0</v>
      </c>
      <c r="P16" s="21">
        <f t="shared" si="14"/>
        <v>0</v>
      </c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>
        <f t="shared" si="21"/>
        <v>0</v>
      </c>
      <c r="AD16" s="49">
        <f t="shared" si="22"/>
        <v>0</v>
      </c>
      <c r="AE16" s="49">
        <f t="shared" si="23"/>
        <v>0</v>
      </c>
    </row>
    <row r="17" spans="1:31" ht="32.25" customHeight="1" x14ac:dyDescent="0.3">
      <c r="A17" s="19">
        <f t="shared" si="13"/>
        <v>44081</v>
      </c>
      <c r="B17" s="20">
        <v>75</v>
      </c>
      <c r="C17" s="18">
        <f t="shared" si="24"/>
        <v>0</v>
      </c>
      <c r="D17" s="20">
        <v>77</v>
      </c>
      <c r="E17" s="18">
        <f t="shared" si="25"/>
        <v>0</v>
      </c>
      <c r="F17" s="20">
        <v>72</v>
      </c>
      <c r="G17" s="18">
        <f t="shared" si="26"/>
        <v>0</v>
      </c>
      <c r="H17" s="20">
        <v>75</v>
      </c>
      <c r="I17" s="18">
        <f t="shared" si="3"/>
        <v>0</v>
      </c>
      <c r="J17" s="18">
        <f t="shared" si="19"/>
        <v>299</v>
      </c>
      <c r="K17" s="18">
        <f t="shared" si="20"/>
        <v>74.75</v>
      </c>
      <c r="L17" s="18">
        <f t="shared" ref="L17:L42" si="29">IF(AC17&gt;0,((K17-AD17)+(AE17-K18)),IF(K18=0, ,(K17-K18)))</f>
        <v>0</v>
      </c>
      <c r="M17" s="18">
        <f t="shared" si="7"/>
        <v>28000</v>
      </c>
      <c r="N17" s="18">
        <f t="shared" si="27"/>
        <v>0</v>
      </c>
      <c r="O17" s="18">
        <f t="shared" si="28"/>
        <v>0</v>
      </c>
      <c r="P17" s="21">
        <f t="shared" si="14"/>
        <v>0</v>
      </c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>
        <f t="shared" si="21"/>
        <v>0</v>
      </c>
      <c r="AD17" s="49">
        <f t="shared" si="22"/>
        <v>0</v>
      </c>
      <c r="AE17" s="49">
        <f t="shared" si="23"/>
        <v>0</v>
      </c>
    </row>
    <row r="18" spans="1:31" ht="32.25" customHeight="1" x14ac:dyDescent="0.3">
      <c r="A18" s="19">
        <f t="shared" si="13"/>
        <v>44082</v>
      </c>
      <c r="B18" s="20"/>
      <c r="C18" s="18">
        <f t="shared" si="0"/>
        <v>0</v>
      </c>
      <c r="D18" s="20"/>
      <c r="E18" s="18">
        <f t="shared" si="1"/>
        <v>0</v>
      </c>
      <c r="F18" s="20"/>
      <c r="G18" s="18">
        <f t="shared" si="2"/>
        <v>0</v>
      </c>
      <c r="H18" s="20"/>
      <c r="I18" s="18">
        <f t="shared" ref="I18:I42" si="30">IF(AC18&gt;0,((H18-AA18)+(AB18-H19)),IF(H19=0, ,(H18-H19)))</f>
        <v>0</v>
      </c>
      <c r="J18" s="18">
        <f t="shared" si="19"/>
        <v>0</v>
      </c>
      <c r="K18" s="18">
        <f t="shared" si="20"/>
        <v>0</v>
      </c>
      <c r="L18" s="18">
        <f t="shared" si="29"/>
        <v>0</v>
      </c>
      <c r="M18" s="18">
        <f t="shared" si="7"/>
        <v>28000</v>
      </c>
      <c r="N18" s="18">
        <f t="shared" si="27"/>
        <v>0</v>
      </c>
      <c r="O18" s="18">
        <f t="shared" si="28"/>
        <v>0</v>
      </c>
      <c r="P18" s="21">
        <f t="shared" si="14"/>
        <v>0</v>
      </c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>
        <f t="shared" si="21"/>
        <v>0</v>
      </c>
      <c r="AD18" s="49">
        <f t="shared" si="22"/>
        <v>0</v>
      </c>
      <c r="AE18" s="49">
        <f t="shared" si="23"/>
        <v>0</v>
      </c>
    </row>
    <row r="19" spans="1:31" ht="32.25" customHeight="1" x14ac:dyDescent="0.3">
      <c r="A19" s="19">
        <f t="shared" si="13"/>
        <v>44083</v>
      </c>
      <c r="B19" s="20"/>
      <c r="C19" s="18">
        <f t="shared" si="0"/>
        <v>0</v>
      </c>
      <c r="D19" s="20"/>
      <c r="E19" s="18">
        <f t="shared" si="1"/>
        <v>0</v>
      </c>
      <c r="F19" s="20"/>
      <c r="G19" s="18">
        <f t="shared" si="2"/>
        <v>0</v>
      </c>
      <c r="H19" s="20"/>
      <c r="I19" s="18">
        <f t="shared" si="30"/>
        <v>0</v>
      </c>
      <c r="J19" s="18">
        <f t="shared" si="19"/>
        <v>0</v>
      </c>
      <c r="K19" s="18">
        <f t="shared" si="20"/>
        <v>0</v>
      </c>
      <c r="L19" s="18">
        <f t="shared" si="29"/>
        <v>0</v>
      </c>
      <c r="M19" s="18">
        <f t="shared" si="7"/>
        <v>28000</v>
      </c>
      <c r="N19" s="18">
        <f t="shared" si="27"/>
        <v>0</v>
      </c>
      <c r="O19" s="18">
        <f t="shared" si="28"/>
        <v>0</v>
      </c>
      <c r="P19" s="21">
        <f t="shared" si="14"/>
        <v>0</v>
      </c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>
        <f t="shared" si="21"/>
        <v>0</v>
      </c>
      <c r="AD19" s="49">
        <f t="shared" si="22"/>
        <v>0</v>
      </c>
      <c r="AE19" s="49">
        <f t="shared" si="23"/>
        <v>0</v>
      </c>
    </row>
    <row r="20" spans="1:31" ht="32.25" customHeight="1" x14ac:dyDescent="0.3">
      <c r="A20" s="19">
        <f t="shared" si="13"/>
        <v>44084</v>
      </c>
      <c r="B20" s="20"/>
      <c r="C20" s="18">
        <f t="shared" si="0"/>
        <v>0</v>
      </c>
      <c r="D20" s="20"/>
      <c r="E20" s="18">
        <f t="shared" si="1"/>
        <v>0</v>
      </c>
      <c r="F20" s="20"/>
      <c r="G20" s="18">
        <f t="shared" si="2"/>
        <v>0</v>
      </c>
      <c r="H20" s="20"/>
      <c r="I20" s="18">
        <f t="shared" si="30"/>
        <v>0</v>
      </c>
      <c r="J20" s="18">
        <f t="shared" si="19"/>
        <v>0</v>
      </c>
      <c r="K20" s="18">
        <f t="shared" si="20"/>
        <v>0</v>
      </c>
      <c r="L20" s="18">
        <f t="shared" si="29"/>
        <v>0</v>
      </c>
      <c r="M20" s="18">
        <f t="shared" si="7"/>
        <v>28000</v>
      </c>
      <c r="N20" s="18">
        <f t="shared" si="27"/>
        <v>0</v>
      </c>
      <c r="O20" s="18">
        <f t="shared" si="28"/>
        <v>0</v>
      </c>
      <c r="P20" s="21">
        <f t="shared" si="14"/>
        <v>0</v>
      </c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>
        <f t="shared" si="21"/>
        <v>0</v>
      </c>
      <c r="AD20" s="49">
        <f t="shared" si="22"/>
        <v>0</v>
      </c>
      <c r="AE20" s="49">
        <f t="shared" si="23"/>
        <v>0</v>
      </c>
    </row>
    <row r="21" spans="1:31" ht="32.25" customHeight="1" x14ac:dyDescent="0.3">
      <c r="A21" s="19">
        <f t="shared" si="13"/>
        <v>44085</v>
      </c>
      <c r="B21" s="20"/>
      <c r="C21" s="18">
        <f t="shared" si="0"/>
        <v>0</v>
      </c>
      <c r="D21" s="20"/>
      <c r="E21" s="18">
        <f t="shared" si="1"/>
        <v>0</v>
      </c>
      <c r="F21" s="20"/>
      <c r="G21" s="18">
        <f t="shared" si="2"/>
        <v>0</v>
      </c>
      <c r="H21" s="20"/>
      <c r="I21" s="18">
        <f t="shared" si="30"/>
        <v>0</v>
      </c>
      <c r="J21" s="18">
        <f t="shared" si="19"/>
        <v>0</v>
      </c>
      <c r="K21" s="18">
        <f t="shared" si="20"/>
        <v>0</v>
      </c>
      <c r="L21" s="18">
        <f t="shared" si="29"/>
        <v>0</v>
      </c>
      <c r="M21" s="18">
        <f t="shared" si="7"/>
        <v>28000</v>
      </c>
      <c r="N21" s="18">
        <f t="shared" si="27"/>
        <v>0</v>
      </c>
      <c r="O21" s="18">
        <f t="shared" si="28"/>
        <v>0</v>
      </c>
      <c r="P21" s="21">
        <f t="shared" si="14"/>
        <v>0</v>
      </c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>
        <f t="shared" si="21"/>
        <v>0</v>
      </c>
      <c r="AD21" s="49">
        <f t="shared" si="22"/>
        <v>0</v>
      </c>
      <c r="AE21" s="49">
        <f t="shared" si="23"/>
        <v>0</v>
      </c>
    </row>
    <row r="22" spans="1:31" ht="32.25" customHeight="1" x14ac:dyDescent="0.3">
      <c r="A22" s="19">
        <f t="shared" si="13"/>
        <v>44086</v>
      </c>
      <c r="B22" s="20"/>
      <c r="C22" s="18">
        <f t="shared" si="0"/>
        <v>0</v>
      </c>
      <c r="D22" s="20"/>
      <c r="E22" s="18">
        <f t="shared" si="1"/>
        <v>0</v>
      </c>
      <c r="F22" s="20"/>
      <c r="G22" s="18">
        <f t="shared" si="2"/>
        <v>0</v>
      </c>
      <c r="H22" s="20"/>
      <c r="I22" s="18">
        <f t="shared" si="30"/>
        <v>0</v>
      </c>
      <c r="J22" s="18">
        <f t="shared" si="19"/>
        <v>0</v>
      </c>
      <c r="K22" s="18">
        <f t="shared" si="20"/>
        <v>0</v>
      </c>
      <c r="L22" s="18">
        <f t="shared" si="29"/>
        <v>0</v>
      </c>
      <c r="M22" s="18">
        <f t="shared" si="7"/>
        <v>28000</v>
      </c>
      <c r="N22" s="18">
        <f t="shared" si="27"/>
        <v>0</v>
      </c>
      <c r="O22" s="18">
        <f t="shared" si="28"/>
        <v>0</v>
      </c>
      <c r="P22" s="21">
        <f t="shared" si="14"/>
        <v>0</v>
      </c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>
        <f t="shared" si="21"/>
        <v>0</v>
      </c>
      <c r="AD22" s="49">
        <f t="shared" si="22"/>
        <v>0</v>
      </c>
      <c r="AE22" s="49">
        <f t="shared" si="23"/>
        <v>0</v>
      </c>
    </row>
    <row r="23" spans="1:31" ht="32.25" customHeight="1" x14ac:dyDescent="0.3">
      <c r="A23" s="19">
        <f t="shared" si="13"/>
        <v>44087</v>
      </c>
      <c r="B23" s="20"/>
      <c r="C23" s="18">
        <f t="shared" si="0"/>
        <v>0</v>
      </c>
      <c r="D23" s="20"/>
      <c r="E23" s="18">
        <f t="shared" si="1"/>
        <v>0</v>
      </c>
      <c r="F23" s="20"/>
      <c r="G23" s="18">
        <f t="shared" si="2"/>
        <v>0</v>
      </c>
      <c r="H23" s="20"/>
      <c r="I23" s="18">
        <f t="shared" si="30"/>
        <v>0</v>
      </c>
      <c r="J23" s="18">
        <f t="shared" si="19"/>
        <v>0</v>
      </c>
      <c r="K23" s="18">
        <f t="shared" si="20"/>
        <v>0</v>
      </c>
      <c r="L23" s="18">
        <f t="shared" si="29"/>
        <v>0</v>
      </c>
      <c r="M23" s="18">
        <f t="shared" si="7"/>
        <v>28000</v>
      </c>
      <c r="N23" s="18">
        <f t="shared" si="27"/>
        <v>0</v>
      </c>
      <c r="O23" s="18">
        <f t="shared" si="28"/>
        <v>0</v>
      </c>
      <c r="P23" s="21">
        <f t="shared" si="14"/>
        <v>0</v>
      </c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>
        <f t="shared" si="21"/>
        <v>0</v>
      </c>
      <c r="AD23" s="49">
        <f t="shared" si="22"/>
        <v>0</v>
      </c>
      <c r="AE23" s="49">
        <f t="shared" si="23"/>
        <v>0</v>
      </c>
    </row>
    <row r="24" spans="1:31" ht="32.25" customHeight="1" x14ac:dyDescent="0.3">
      <c r="A24" s="19">
        <f t="shared" si="13"/>
        <v>44088</v>
      </c>
      <c r="B24" s="20"/>
      <c r="C24" s="18">
        <f t="shared" si="0"/>
        <v>0</v>
      </c>
      <c r="D24" s="20"/>
      <c r="E24" s="18">
        <f t="shared" si="1"/>
        <v>0</v>
      </c>
      <c r="F24" s="20"/>
      <c r="G24" s="18">
        <f t="shared" si="2"/>
        <v>0</v>
      </c>
      <c r="H24" s="20"/>
      <c r="I24" s="18">
        <f t="shared" si="30"/>
        <v>0</v>
      </c>
      <c r="J24" s="18">
        <f t="shared" si="19"/>
        <v>0</v>
      </c>
      <c r="K24" s="18">
        <f t="shared" si="20"/>
        <v>0</v>
      </c>
      <c r="L24" s="18">
        <f t="shared" si="29"/>
        <v>0</v>
      </c>
      <c r="M24" s="18">
        <f t="shared" si="7"/>
        <v>28000</v>
      </c>
      <c r="N24" s="18">
        <f t="shared" si="27"/>
        <v>0</v>
      </c>
      <c r="O24" s="18">
        <f t="shared" si="28"/>
        <v>0</v>
      </c>
      <c r="P24" s="21">
        <f t="shared" si="14"/>
        <v>0</v>
      </c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>
        <f t="shared" si="21"/>
        <v>0</v>
      </c>
      <c r="AD24" s="49">
        <f t="shared" si="22"/>
        <v>0</v>
      </c>
      <c r="AE24" s="49">
        <f t="shared" si="23"/>
        <v>0</v>
      </c>
    </row>
    <row r="25" spans="1:31" ht="32.25" customHeight="1" x14ac:dyDescent="0.3">
      <c r="A25" s="19">
        <f t="shared" si="13"/>
        <v>44089</v>
      </c>
      <c r="B25" s="20"/>
      <c r="C25" s="18">
        <f t="shared" si="0"/>
        <v>0</v>
      </c>
      <c r="D25" s="20"/>
      <c r="E25" s="18">
        <f t="shared" si="1"/>
        <v>0</v>
      </c>
      <c r="F25" s="20"/>
      <c r="G25" s="18">
        <f t="shared" si="2"/>
        <v>0</v>
      </c>
      <c r="H25" s="20"/>
      <c r="I25" s="18">
        <f t="shared" si="30"/>
        <v>0</v>
      </c>
      <c r="J25" s="18">
        <f t="shared" si="19"/>
        <v>0</v>
      </c>
      <c r="K25" s="18">
        <f t="shared" si="20"/>
        <v>0</v>
      </c>
      <c r="L25" s="18">
        <f t="shared" si="29"/>
        <v>0</v>
      </c>
      <c r="M25" s="18">
        <f t="shared" si="7"/>
        <v>28000</v>
      </c>
      <c r="N25" s="18">
        <f t="shared" si="27"/>
        <v>0</v>
      </c>
      <c r="O25" s="18">
        <f t="shared" si="28"/>
        <v>0</v>
      </c>
      <c r="P25" s="21">
        <f t="shared" si="14"/>
        <v>0</v>
      </c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>
        <f t="shared" si="21"/>
        <v>0</v>
      </c>
      <c r="AD25" s="49">
        <f t="shared" si="22"/>
        <v>0</v>
      </c>
      <c r="AE25" s="49">
        <f t="shared" si="23"/>
        <v>0</v>
      </c>
    </row>
    <row r="26" spans="1:31" ht="32.25" customHeight="1" x14ac:dyDescent="0.3">
      <c r="A26" s="19">
        <f t="shared" si="13"/>
        <v>44090</v>
      </c>
      <c r="B26" s="20"/>
      <c r="C26" s="18">
        <f t="shared" si="0"/>
        <v>0</v>
      </c>
      <c r="D26" s="20"/>
      <c r="E26" s="18">
        <f t="shared" si="1"/>
        <v>0</v>
      </c>
      <c r="F26" s="20"/>
      <c r="G26" s="18">
        <f t="shared" si="2"/>
        <v>0</v>
      </c>
      <c r="H26" s="20"/>
      <c r="I26" s="18">
        <f t="shared" si="30"/>
        <v>0</v>
      </c>
      <c r="J26" s="18">
        <f t="shared" si="19"/>
        <v>0</v>
      </c>
      <c r="K26" s="18">
        <f t="shared" si="20"/>
        <v>0</v>
      </c>
      <c r="L26" s="18">
        <f t="shared" si="29"/>
        <v>0</v>
      </c>
      <c r="M26" s="18">
        <f t="shared" si="7"/>
        <v>28000</v>
      </c>
      <c r="N26" s="18">
        <f t="shared" si="27"/>
        <v>0</v>
      </c>
      <c r="O26" s="18">
        <f t="shared" si="28"/>
        <v>0</v>
      </c>
      <c r="P26" s="21">
        <f t="shared" si="14"/>
        <v>0</v>
      </c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>
        <f t="shared" si="21"/>
        <v>0</v>
      </c>
      <c r="AD26" s="49">
        <f t="shared" si="22"/>
        <v>0</v>
      </c>
      <c r="AE26" s="49">
        <f t="shared" si="23"/>
        <v>0</v>
      </c>
    </row>
    <row r="27" spans="1:31" ht="32.25" customHeight="1" x14ac:dyDescent="0.3">
      <c r="A27" s="19">
        <f t="shared" si="13"/>
        <v>44091</v>
      </c>
      <c r="B27" s="20"/>
      <c r="C27" s="18">
        <f t="shared" si="0"/>
        <v>0</v>
      </c>
      <c r="D27" s="20"/>
      <c r="E27" s="18">
        <f t="shared" si="1"/>
        <v>0</v>
      </c>
      <c r="F27" s="20"/>
      <c r="G27" s="18">
        <f t="shared" si="2"/>
        <v>0</v>
      </c>
      <c r="H27" s="20"/>
      <c r="I27" s="18">
        <f t="shared" si="30"/>
        <v>0</v>
      </c>
      <c r="J27" s="18">
        <f t="shared" si="19"/>
        <v>0</v>
      </c>
      <c r="K27" s="18">
        <f t="shared" si="20"/>
        <v>0</v>
      </c>
      <c r="L27" s="18">
        <f t="shared" si="29"/>
        <v>0</v>
      </c>
      <c r="M27" s="18">
        <f t="shared" si="7"/>
        <v>28000</v>
      </c>
      <c r="N27" s="18">
        <f t="shared" si="27"/>
        <v>0</v>
      </c>
      <c r="O27" s="18">
        <f t="shared" si="28"/>
        <v>0</v>
      </c>
      <c r="P27" s="21">
        <f t="shared" si="14"/>
        <v>0</v>
      </c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>
        <f t="shared" si="21"/>
        <v>0</v>
      </c>
      <c r="AD27" s="49">
        <f t="shared" si="22"/>
        <v>0</v>
      </c>
      <c r="AE27" s="49">
        <f t="shared" si="23"/>
        <v>0</v>
      </c>
    </row>
    <row r="28" spans="1:31" ht="32.25" customHeight="1" x14ac:dyDescent="0.3">
      <c r="A28" s="19">
        <f t="shared" si="13"/>
        <v>44092</v>
      </c>
      <c r="B28" s="20"/>
      <c r="C28" s="18">
        <f t="shared" si="0"/>
        <v>0</v>
      </c>
      <c r="D28" s="20"/>
      <c r="E28" s="18">
        <f t="shared" si="1"/>
        <v>0</v>
      </c>
      <c r="F28" s="20"/>
      <c r="G28" s="18">
        <f t="shared" si="2"/>
        <v>0</v>
      </c>
      <c r="H28" s="20"/>
      <c r="I28" s="18">
        <f t="shared" si="30"/>
        <v>0</v>
      </c>
      <c r="J28" s="18">
        <f t="shared" si="19"/>
        <v>0</v>
      </c>
      <c r="K28" s="18">
        <f t="shared" si="20"/>
        <v>0</v>
      </c>
      <c r="L28" s="18">
        <f t="shared" si="29"/>
        <v>0</v>
      </c>
      <c r="M28" s="18">
        <f t="shared" si="7"/>
        <v>28000</v>
      </c>
      <c r="N28" s="18">
        <f t="shared" si="27"/>
        <v>0</v>
      </c>
      <c r="O28" s="18">
        <f t="shared" si="28"/>
        <v>0</v>
      </c>
      <c r="P28" s="21">
        <f t="shared" si="14"/>
        <v>0</v>
      </c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>
        <f t="shared" si="21"/>
        <v>0</v>
      </c>
      <c r="AD28" s="49">
        <f t="shared" si="22"/>
        <v>0</v>
      </c>
      <c r="AE28" s="49">
        <f t="shared" si="23"/>
        <v>0</v>
      </c>
    </row>
    <row r="29" spans="1:31" ht="32.25" customHeight="1" x14ac:dyDescent="0.3">
      <c r="A29" s="19">
        <f t="shared" si="13"/>
        <v>44093</v>
      </c>
      <c r="B29" s="20"/>
      <c r="C29" s="18">
        <f t="shared" si="0"/>
        <v>0</v>
      </c>
      <c r="D29" s="20"/>
      <c r="E29" s="18">
        <f t="shared" si="1"/>
        <v>0</v>
      </c>
      <c r="F29" s="20"/>
      <c r="G29" s="18">
        <f t="shared" si="2"/>
        <v>0</v>
      </c>
      <c r="H29" s="20"/>
      <c r="I29" s="18">
        <f t="shared" si="30"/>
        <v>0</v>
      </c>
      <c r="J29" s="18">
        <f t="shared" si="19"/>
        <v>0</v>
      </c>
      <c r="K29" s="18">
        <f t="shared" si="20"/>
        <v>0</v>
      </c>
      <c r="L29" s="18">
        <f t="shared" si="29"/>
        <v>0</v>
      </c>
      <c r="M29" s="18">
        <f t="shared" si="7"/>
        <v>28000</v>
      </c>
      <c r="N29" s="18">
        <f t="shared" si="27"/>
        <v>0</v>
      </c>
      <c r="O29" s="18">
        <f t="shared" si="28"/>
        <v>0</v>
      </c>
      <c r="P29" s="21">
        <f t="shared" si="14"/>
        <v>0</v>
      </c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>
        <f t="shared" si="21"/>
        <v>0</v>
      </c>
      <c r="AD29" s="49">
        <f t="shared" si="22"/>
        <v>0</v>
      </c>
      <c r="AE29" s="49">
        <f t="shared" si="23"/>
        <v>0</v>
      </c>
    </row>
    <row r="30" spans="1:31" ht="32.25" customHeight="1" x14ac:dyDescent="0.3">
      <c r="A30" s="19">
        <f t="shared" si="13"/>
        <v>44094</v>
      </c>
      <c r="B30" s="20"/>
      <c r="C30" s="18">
        <f t="shared" si="0"/>
        <v>0</v>
      </c>
      <c r="D30" s="20"/>
      <c r="E30" s="18">
        <f t="shared" si="1"/>
        <v>0</v>
      </c>
      <c r="F30" s="20"/>
      <c r="G30" s="18">
        <f t="shared" si="2"/>
        <v>0</v>
      </c>
      <c r="H30" s="20"/>
      <c r="I30" s="18">
        <f t="shared" si="30"/>
        <v>0</v>
      </c>
      <c r="J30" s="18">
        <f t="shared" si="19"/>
        <v>0</v>
      </c>
      <c r="K30" s="18">
        <f t="shared" si="20"/>
        <v>0</v>
      </c>
      <c r="L30" s="18">
        <f t="shared" si="29"/>
        <v>0</v>
      </c>
      <c r="M30" s="18">
        <f t="shared" si="7"/>
        <v>28000</v>
      </c>
      <c r="N30" s="18">
        <f t="shared" si="27"/>
        <v>0</v>
      </c>
      <c r="O30" s="18">
        <f t="shared" si="28"/>
        <v>0</v>
      </c>
      <c r="P30" s="21">
        <f t="shared" si="14"/>
        <v>0</v>
      </c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>
        <f t="shared" si="21"/>
        <v>0</v>
      </c>
      <c r="AD30" s="49">
        <f t="shared" si="22"/>
        <v>0</v>
      </c>
      <c r="AE30" s="49">
        <f t="shared" si="23"/>
        <v>0</v>
      </c>
    </row>
    <row r="31" spans="1:31" ht="32.25" customHeight="1" x14ac:dyDescent="0.3">
      <c r="A31" s="19">
        <f t="shared" si="13"/>
        <v>44095</v>
      </c>
      <c r="B31" s="20"/>
      <c r="C31" s="18">
        <f t="shared" si="0"/>
        <v>0</v>
      </c>
      <c r="D31" s="20"/>
      <c r="E31" s="18">
        <f t="shared" si="1"/>
        <v>0</v>
      </c>
      <c r="F31" s="20"/>
      <c r="G31" s="18">
        <f t="shared" si="2"/>
        <v>0</v>
      </c>
      <c r="H31" s="20"/>
      <c r="I31" s="18">
        <f t="shared" si="30"/>
        <v>0</v>
      </c>
      <c r="J31" s="18">
        <f t="shared" si="19"/>
        <v>0</v>
      </c>
      <c r="K31" s="18">
        <f t="shared" si="20"/>
        <v>0</v>
      </c>
      <c r="L31" s="18">
        <f t="shared" si="29"/>
        <v>0</v>
      </c>
      <c r="M31" s="18">
        <f t="shared" si="7"/>
        <v>28000</v>
      </c>
      <c r="N31" s="18">
        <f t="shared" si="27"/>
        <v>0</v>
      </c>
      <c r="O31" s="18">
        <f t="shared" si="28"/>
        <v>0</v>
      </c>
      <c r="P31" s="21">
        <f t="shared" si="14"/>
        <v>0</v>
      </c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>
        <f t="shared" si="21"/>
        <v>0</v>
      </c>
      <c r="AD31" s="49">
        <f t="shared" si="22"/>
        <v>0</v>
      </c>
      <c r="AE31" s="49">
        <f t="shared" si="23"/>
        <v>0</v>
      </c>
    </row>
    <row r="32" spans="1:31" ht="32.25" customHeight="1" x14ac:dyDescent="0.3">
      <c r="A32" s="19">
        <f t="shared" si="13"/>
        <v>44096</v>
      </c>
      <c r="B32" s="20"/>
      <c r="C32" s="18">
        <f t="shared" si="0"/>
        <v>0</v>
      </c>
      <c r="D32" s="20"/>
      <c r="E32" s="18">
        <f t="shared" si="1"/>
        <v>0</v>
      </c>
      <c r="F32" s="20"/>
      <c r="G32" s="18">
        <f t="shared" si="2"/>
        <v>0</v>
      </c>
      <c r="H32" s="20"/>
      <c r="I32" s="18">
        <f t="shared" si="30"/>
        <v>0</v>
      </c>
      <c r="J32" s="18">
        <f t="shared" si="19"/>
        <v>0</v>
      </c>
      <c r="K32" s="18">
        <f t="shared" si="20"/>
        <v>0</v>
      </c>
      <c r="L32" s="18">
        <f t="shared" si="29"/>
        <v>0</v>
      </c>
      <c r="M32" s="18">
        <f t="shared" si="7"/>
        <v>28000</v>
      </c>
      <c r="N32" s="18">
        <f t="shared" si="27"/>
        <v>0</v>
      </c>
      <c r="O32" s="18">
        <f t="shared" si="28"/>
        <v>0</v>
      </c>
      <c r="P32" s="21">
        <f t="shared" si="14"/>
        <v>0</v>
      </c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>
        <f t="shared" si="21"/>
        <v>0</v>
      </c>
      <c r="AD32" s="49">
        <f t="shared" si="22"/>
        <v>0</v>
      </c>
      <c r="AE32" s="49">
        <f t="shared" si="23"/>
        <v>0</v>
      </c>
    </row>
    <row r="33" spans="1:31" ht="32.25" customHeight="1" x14ac:dyDescent="0.3">
      <c r="A33" s="19">
        <f t="shared" si="13"/>
        <v>44097</v>
      </c>
      <c r="B33" s="20"/>
      <c r="C33" s="18">
        <f t="shared" si="0"/>
        <v>0</v>
      </c>
      <c r="D33" s="20"/>
      <c r="E33" s="18">
        <f t="shared" si="1"/>
        <v>0</v>
      </c>
      <c r="F33" s="20"/>
      <c r="G33" s="18">
        <f t="shared" si="2"/>
        <v>0</v>
      </c>
      <c r="H33" s="20"/>
      <c r="I33" s="18">
        <f t="shared" si="30"/>
        <v>0</v>
      </c>
      <c r="J33" s="18">
        <f t="shared" si="19"/>
        <v>0</v>
      </c>
      <c r="K33" s="18">
        <f t="shared" si="20"/>
        <v>0</v>
      </c>
      <c r="L33" s="18">
        <f t="shared" si="29"/>
        <v>0</v>
      </c>
      <c r="M33" s="18">
        <f t="shared" si="7"/>
        <v>28000</v>
      </c>
      <c r="N33" s="18">
        <f t="shared" si="27"/>
        <v>0</v>
      </c>
      <c r="O33" s="18">
        <f t="shared" si="28"/>
        <v>0</v>
      </c>
      <c r="P33" s="21">
        <f t="shared" si="14"/>
        <v>0</v>
      </c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>
        <f t="shared" si="21"/>
        <v>0</v>
      </c>
      <c r="AD33" s="49">
        <f t="shared" si="22"/>
        <v>0</v>
      </c>
      <c r="AE33" s="49">
        <f t="shared" si="23"/>
        <v>0</v>
      </c>
    </row>
    <row r="34" spans="1:31" ht="32.25" customHeight="1" x14ac:dyDescent="0.3">
      <c r="A34" s="19">
        <f t="shared" si="13"/>
        <v>44098</v>
      </c>
      <c r="B34" s="20"/>
      <c r="C34" s="18">
        <f t="shared" si="0"/>
        <v>0</v>
      </c>
      <c r="D34" s="20"/>
      <c r="E34" s="18">
        <f t="shared" si="1"/>
        <v>0</v>
      </c>
      <c r="F34" s="20"/>
      <c r="G34" s="18">
        <f t="shared" si="2"/>
        <v>0</v>
      </c>
      <c r="H34" s="20"/>
      <c r="I34" s="18">
        <f t="shared" si="30"/>
        <v>0</v>
      </c>
      <c r="J34" s="18">
        <f t="shared" si="19"/>
        <v>0</v>
      </c>
      <c r="K34" s="18">
        <f t="shared" si="20"/>
        <v>0</v>
      </c>
      <c r="L34" s="18">
        <f t="shared" si="29"/>
        <v>0</v>
      </c>
      <c r="M34" s="18">
        <f t="shared" si="7"/>
        <v>28000</v>
      </c>
      <c r="N34" s="18">
        <f t="shared" si="27"/>
        <v>0</v>
      </c>
      <c r="O34" s="18">
        <f t="shared" si="28"/>
        <v>0</v>
      </c>
      <c r="P34" s="21">
        <f t="shared" si="14"/>
        <v>0</v>
      </c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>
        <f t="shared" si="21"/>
        <v>0</v>
      </c>
      <c r="AD34" s="49">
        <f t="shared" si="22"/>
        <v>0</v>
      </c>
      <c r="AE34" s="49">
        <f t="shared" si="23"/>
        <v>0</v>
      </c>
    </row>
    <row r="35" spans="1:31" ht="32.25" customHeight="1" x14ac:dyDescent="0.3">
      <c r="A35" s="19">
        <f t="shared" si="13"/>
        <v>44099</v>
      </c>
      <c r="B35" s="20"/>
      <c r="C35" s="18">
        <f t="shared" si="0"/>
        <v>0</v>
      </c>
      <c r="D35" s="20"/>
      <c r="E35" s="18">
        <f t="shared" si="1"/>
        <v>0</v>
      </c>
      <c r="F35" s="20"/>
      <c r="G35" s="18">
        <f t="shared" si="2"/>
        <v>0</v>
      </c>
      <c r="H35" s="20"/>
      <c r="I35" s="18">
        <f t="shared" si="30"/>
        <v>0</v>
      </c>
      <c r="J35" s="18">
        <f t="shared" si="19"/>
        <v>0</v>
      </c>
      <c r="K35" s="18">
        <f t="shared" si="20"/>
        <v>0</v>
      </c>
      <c r="L35" s="18">
        <f t="shared" si="29"/>
        <v>0</v>
      </c>
      <c r="M35" s="18">
        <f t="shared" si="7"/>
        <v>28000</v>
      </c>
      <c r="N35" s="18">
        <f t="shared" si="27"/>
        <v>0</v>
      </c>
      <c r="O35" s="18">
        <f t="shared" si="28"/>
        <v>0</v>
      </c>
      <c r="P35" s="21">
        <f t="shared" si="14"/>
        <v>0</v>
      </c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>
        <f t="shared" si="21"/>
        <v>0</v>
      </c>
      <c r="AD35" s="49">
        <f t="shared" si="22"/>
        <v>0</v>
      </c>
      <c r="AE35" s="49">
        <f t="shared" si="23"/>
        <v>0</v>
      </c>
    </row>
    <row r="36" spans="1:31" ht="32.25" customHeight="1" x14ac:dyDescent="0.3">
      <c r="A36" s="19">
        <f t="shared" si="13"/>
        <v>44100</v>
      </c>
      <c r="B36" s="20"/>
      <c r="C36" s="18">
        <f t="shared" si="0"/>
        <v>0</v>
      </c>
      <c r="D36" s="20"/>
      <c r="E36" s="18">
        <f t="shared" si="1"/>
        <v>0</v>
      </c>
      <c r="F36" s="20"/>
      <c r="G36" s="18">
        <f t="shared" si="2"/>
        <v>0</v>
      </c>
      <c r="H36" s="20"/>
      <c r="I36" s="18">
        <f t="shared" si="30"/>
        <v>0</v>
      </c>
      <c r="J36" s="18">
        <f t="shared" si="19"/>
        <v>0</v>
      </c>
      <c r="K36" s="18">
        <f t="shared" si="20"/>
        <v>0</v>
      </c>
      <c r="L36" s="18">
        <f t="shared" si="29"/>
        <v>0</v>
      </c>
      <c r="M36" s="18">
        <f t="shared" si="7"/>
        <v>28000</v>
      </c>
      <c r="N36" s="18">
        <f t="shared" si="27"/>
        <v>0</v>
      </c>
      <c r="O36" s="18">
        <f t="shared" si="28"/>
        <v>0</v>
      </c>
      <c r="P36" s="21">
        <f t="shared" si="14"/>
        <v>0</v>
      </c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>
        <f t="shared" si="21"/>
        <v>0</v>
      </c>
      <c r="AD36" s="49">
        <f t="shared" si="22"/>
        <v>0</v>
      </c>
      <c r="AE36" s="49">
        <f t="shared" si="23"/>
        <v>0</v>
      </c>
    </row>
    <row r="37" spans="1:31" ht="32.25" customHeight="1" x14ac:dyDescent="0.3">
      <c r="A37" s="19">
        <f t="shared" si="13"/>
        <v>44101</v>
      </c>
      <c r="B37" s="20"/>
      <c r="C37" s="18">
        <f t="shared" si="0"/>
        <v>0</v>
      </c>
      <c r="D37" s="20"/>
      <c r="E37" s="18">
        <f t="shared" si="1"/>
        <v>0</v>
      </c>
      <c r="F37" s="20"/>
      <c r="G37" s="18">
        <f t="shared" si="2"/>
        <v>0</v>
      </c>
      <c r="H37" s="20"/>
      <c r="I37" s="18">
        <f t="shared" si="30"/>
        <v>0</v>
      </c>
      <c r="J37" s="18">
        <f t="shared" si="19"/>
        <v>0</v>
      </c>
      <c r="K37" s="18">
        <f t="shared" si="20"/>
        <v>0</v>
      </c>
      <c r="L37" s="18">
        <f t="shared" si="29"/>
        <v>0</v>
      </c>
      <c r="M37" s="18">
        <f t="shared" si="7"/>
        <v>28000</v>
      </c>
      <c r="N37" s="18">
        <f t="shared" si="27"/>
        <v>0</v>
      </c>
      <c r="O37" s="18">
        <f t="shared" si="28"/>
        <v>0</v>
      </c>
      <c r="P37" s="21">
        <f t="shared" si="14"/>
        <v>0</v>
      </c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>
        <f t="shared" si="21"/>
        <v>0</v>
      </c>
      <c r="AD37" s="49">
        <f t="shared" si="22"/>
        <v>0</v>
      </c>
      <c r="AE37" s="49">
        <f t="shared" si="23"/>
        <v>0</v>
      </c>
    </row>
    <row r="38" spans="1:31" ht="32.25" customHeight="1" x14ac:dyDescent="0.3">
      <c r="A38" s="19">
        <f t="shared" si="13"/>
        <v>44102</v>
      </c>
      <c r="B38" s="20"/>
      <c r="C38" s="18">
        <f t="shared" si="0"/>
        <v>0</v>
      </c>
      <c r="D38" s="20"/>
      <c r="E38" s="18">
        <f t="shared" si="1"/>
        <v>0</v>
      </c>
      <c r="F38" s="20"/>
      <c r="G38" s="18">
        <f t="shared" si="2"/>
        <v>0</v>
      </c>
      <c r="H38" s="20"/>
      <c r="I38" s="18">
        <f t="shared" si="30"/>
        <v>0</v>
      </c>
      <c r="J38" s="18">
        <f t="shared" si="19"/>
        <v>0</v>
      </c>
      <c r="K38" s="18">
        <f t="shared" si="20"/>
        <v>0</v>
      </c>
      <c r="L38" s="18">
        <f t="shared" si="29"/>
        <v>0</v>
      </c>
      <c r="M38" s="18">
        <f t="shared" si="7"/>
        <v>28000</v>
      </c>
      <c r="N38" s="18">
        <f t="shared" si="27"/>
        <v>0</v>
      </c>
      <c r="O38" s="18">
        <f t="shared" si="28"/>
        <v>0</v>
      </c>
      <c r="P38" s="21">
        <f t="shared" si="14"/>
        <v>0</v>
      </c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>
        <f t="shared" si="21"/>
        <v>0</v>
      </c>
      <c r="AD38" s="49">
        <f t="shared" si="22"/>
        <v>0</v>
      </c>
      <c r="AE38" s="49">
        <f t="shared" si="23"/>
        <v>0</v>
      </c>
    </row>
    <row r="39" spans="1:31" ht="32.25" customHeight="1" x14ac:dyDescent="0.3">
      <c r="A39" s="19">
        <f t="shared" si="13"/>
        <v>44103</v>
      </c>
      <c r="B39" s="20"/>
      <c r="C39" s="18">
        <f t="shared" si="0"/>
        <v>0</v>
      </c>
      <c r="D39" s="20"/>
      <c r="E39" s="18">
        <f t="shared" si="1"/>
        <v>0</v>
      </c>
      <c r="F39" s="20"/>
      <c r="G39" s="18">
        <f t="shared" si="2"/>
        <v>0</v>
      </c>
      <c r="H39" s="20"/>
      <c r="I39" s="18">
        <f t="shared" si="30"/>
        <v>0</v>
      </c>
      <c r="J39" s="18">
        <f t="shared" si="19"/>
        <v>0</v>
      </c>
      <c r="K39" s="18">
        <f t="shared" si="20"/>
        <v>0</v>
      </c>
      <c r="L39" s="18">
        <f t="shared" si="29"/>
        <v>0</v>
      </c>
      <c r="M39" s="18">
        <f t="shared" si="7"/>
        <v>28000</v>
      </c>
      <c r="N39" s="18">
        <f t="shared" si="27"/>
        <v>0</v>
      </c>
      <c r="O39" s="18">
        <f t="shared" si="28"/>
        <v>0</v>
      </c>
      <c r="P39" s="21">
        <f t="shared" si="14"/>
        <v>0</v>
      </c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>
        <f t="shared" si="21"/>
        <v>0</v>
      </c>
      <c r="AD39" s="49">
        <f t="shared" si="22"/>
        <v>0</v>
      </c>
      <c r="AE39" s="49">
        <f t="shared" si="23"/>
        <v>0</v>
      </c>
    </row>
    <row r="40" spans="1:31" ht="32.25" customHeight="1" x14ac:dyDescent="0.3">
      <c r="A40" s="19">
        <f t="shared" si="13"/>
        <v>44104</v>
      </c>
      <c r="B40" s="20"/>
      <c r="C40" s="18">
        <f t="shared" si="0"/>
        <v>0</v>
      </c>
      <c r="D40" s="20"/>
      <c r="E40" s="18">
        <f t="shared" si="1"/>
        <v>0</v>
      </c>
      <c r="F40" s="20"/>
      <c r="G40" s="18">
        <f t="shared" si="2"/>
        <v>0</v>
      </c>
      <c r="H40" s="20"/>
      <c r="I40" s="18">
        <f t="shared" si="30"/>
        <v>0</v>
      </c>
      <c r="J40" s="18">
        <f t="shared" si="19"/>
        <v>0</v>
      </c>
      <c r="K40" s="18">
        <f t="shared" si="20"/>
        <v>0</v>
      </c>
      <c r="L40" s="18">
        <f t="shared" si="29"/>
        <v>0</v>
      </c>
      <c r="M40" s="18">
        <f t="shared" si="7"/>
        <v>28000</v>
      </c>
      <c r="N40" s="18">
        <f t="shared" si="27"/>
        <v>0</v>
      </c>
      <c r="O40" s="18">
        <f t="shared" si="28"/>
        <v>0</v>
      </c>
      <c r="P40" s="21">
        <f t="shared" si="14"/>
        <v>0</v>
      </c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>
        <f t="shared" si="21"/>
        <v>0</v>
      </c>
      <c r="AD40" s="49">
        <f t="shared" si="22"/>
        <v>0</v>
      </c>
      <c r="AE40" s="49">
        <f t="shared" si="23"/>
        <v>0</v>
      </c>
    </row>
    <row r="41" spans="1:31" ht="32.25" customHeight="1" x14ac:dyDescent="0.3">
      <c r="A41" s="19">
        <f t="shared" si="13"/>
        <v>44105</v>
      </c>
      <c r="B41" s="20"/>
      <c r="C41" s="18">
        <f t="shared" si="0"/>
        <v>0</v>
      </c>
      <c r="D41" s="20"/>
      <c r="E41" s="18">
        <f t="shared" si="1"/>
        <v>0</v>
      </c>
      <c r="F41" s="20"/>
      <c r="G41" s="18">
        <f t="shared" si="2"/>
        <v>0</v>
      </c>
      <c r="H41" s="20"/>
      <c r="I41" s="18">
        <f t="shared" si="30"/>
        <v>0</v>
      </c>
      <c r="J41" s="18">
        <f t="shared" si="19"/>
        <v>0</v>
      </c>
      <c r="K41" s="18">
        <f t="shared" si="20"/>
        <v>0</v>
      </c>
      <c r="L41" s="18">
        <f t="shared" si="29"/>
        <v>0</v>
      </c>
      <c r="M41" s="18">
        <f t="shared" si="7"/>
        <v>28000</v>
      </c>
      <c r="N41" s="18">
        <f t="shared" si="27"/>
        <v>0</v>
      </c>
      <c r="O41" s="18">
        <f t="shared" si="28"/>
        <v>0</v>
      </c>
      <c r="P41" s="21">
        <f t="shared" si="14"/>
        <v>0</v>
      </c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>
        <f t="shared" si="21"/>
        <v>0</v>
      </c>
      <c r="AD41" s="49">
        <f t="shared" si="22"/>
        <v>0</v>
      </c>
      <c r="AE41" s="49">
        <f t="shared" si="23"/>
        <v>0</v>
      </c>
    </row>
    <row r="42" spans="1:31" ht="32.25" customHeight="1" x14ac:dyDescent="0.3">
      <c r="A42" s="19">
        <f t="shared" si="13"/>
        <v>44106</v>
      </c>
      <c r="B42" s="20"/>
      <c r="C42" s="18">
        <f t="shared" si="0"/>
        <v>0</v>
      </c>
      <c r="D42" s="20"/>
      <c r="E42" s="18">
        <f t="shared" si="1"/>
        <v>0</v>
      </c>
      <c r="F42" s="20"/>
      <c r="G42" s="18">
        <f t="shared" si="2"/>
        <v>0</v>
      </c>
      <c r="H42" s="20"/>
      <c r="I42" s="18">
        <f t="shared" si="30"/>
        <v>0</v>
      </c>
      <c r="J42" s="18">
        <f t="shared" si="19"/>
        <v>0</v>
      </c>
      <c r="K42" s="18">
        <f t="shared" si="20"/>
        <v>0</v>
      </c>
      <c r="L42" s="18">
        <f t="shared" si="29"/>
        <v>0</v>
      </c>
      <c r="M42" s="18">
        <f t="shared" si="7"/>
        <v>28000</v>
      </c>
      <c r="N42" s="18">
        <f t="shared" si="27"/>
        <v>0</v>
      </c>
      <c r="O42" s="18">
        <f t="shared" si="28"/>
        <v>0</v>
      </c>
      <c r="P42" s="21">
        <f t="shared" si="14"/>
        <v>0</v>
      </c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>
        <f t="shared" si="21"/>
        <v>0</v>
      </c>
      <c r="AD42" s="49">
        <f t="shared" si="22"/>
        <v>0</v>
      </c>
      <c r="AE42" s="49">
        <f t="shared" si="23"/>
        <v>0</v>
      </c>
    </row>
    <row r="43" spans="1:31" ht="32.25" customHeight="1" thickBot="1" x14ac:dyDescent="0.35">
      <c r="B43" s="20"/>
      <c r="C43" s="18">
        <f>SUM(C11:C40)</f>
        <v>0</v>
      </c>
      <c r="D43" s="20"/>
      <c r="E43" s="18">
        <f>SUM(E11:E40)</f>
        <v>0</v>
      </c>
      <c r="F43" s="20"/>
      <c r="G43" s="18">
        <f>SUM(G11:G40)</f>
        <v>0</v>
      </c>
      <c r="H43" s="20"/>
      <c r="I43" s="18">
        <f>SUM(I11:I40)</f>
        <v>0</v>
      </c>
      <c r="J43" s="16"/>
      <c r="K43" s="16"/>
      <c r="L43" s="16"/>
      <c r="M43" s="16"/>
      <c r="N43" s="18">
        <f>SUM(N11:N40)</f>
        <v>0</v>
      </c>
      <c r="O43" s="18">
        <f>N43*0.53</f>
        <v>0</v>
      </c>
      <c r="P43" s="21">
        <f>O43*7.8338</f>
        <v>0</v>
      </c>
      <c r="Q43" s="277">
        <f>SUM(Q11:Q40)</f>
        <v>0</v>
      </c>
      <c r="R43" s="278"/>
      <c r="S43" s="279"/>
      <c r="T43" s="280">
        <f>SUM(T11:T40)</f>
        <v>0</v>
      </c>
      <c r="U43" s="278"/>
      <c r="V43" s="279"/>
      <c r="W43" s="280">
        <f>SUM(W11:W40)</f>
        <v>0</v>
      </c>
      <c r="X43" s="278"/>
      <c r="Y43" s="279"/>
      <c r="Z43" s="277">
        <f>SUM(Z11:Z40)</f>
        <v>0</v>
      </c>
      <c r="AA43" s="278"/>
      <c r="AB43" s="279"/>
      <c r="AC43" s="138">
        <f>SUM(AC11:AC40)</f>
        <v>0</v>
      </c>
      <c r="AD43" s="139"/>
      <c r="AE43" s="136"/>
    </row>
    <row r="44" spans="1:31" ht="35.25" customHeight="1" thickBot="1" x14ac:dyDescent="0.35">
      <c r="B44" s="281"/>
      <c r="C44" s="282"/>
      <c r="D44" s="282"/>
      <c r="E44" s="282"/>
      <c r="F44" s="282"/>
      <c r="G44" s="282"/>
      <c r="H44" s="282"/>
      <c r="I44" s="283"/>
      <c r="J44" s="16"/>
      <c r="K44" s="16"/>
      <c r="L44" s="16"/>
      <c r="M44" s="16"/>
      <c r="N44" s="16"/>
      <c r="O44" s="16"/>
      <c r="P44" s="16"/>
      <c r="Q44" s="284">
        <f>Q43+T43+W43+Z43</f>
        <v>0</v>
      </c>
      <c r="R44" s="285"/>
      <c r="S44" s="285"/>
      <c r="T44" s="285"/>
      <c r="U44" s="285"/>
      <c r="V44" s="285"/>
      <c r="W44" s="285"/>
      <c r="X44" s="285"/>
      <c r="Y44" s="285"/>
      <c r="Z44" s="285"/>
      <c r="AA44" s="285"/>
      <c r="AB44" s="286"/>
      <c r="AC44" s="137">
        <f>Q43+T43+W43+Z43</f>
        <v>0</v>
      </c>
      <c r="AD44" s="16"/>
      <c r="AE44" s="16"/>
    </row>
    <row r="45" spans="1:31" ht="7.5" customHeight="1" thickBot="1" x14ac:dyDescent="0.35"/>
    <row r="46" spans="1:31" ht="51" customHeight="1" thickBot="1" x14ac:dyDescent="0.35">
      <c r="H46" s="16"/>
      <c r="I46" s="16"/>
      <c r="J46" s="16"/>
      <c r="K46" s="26" t="s">
        <v>33</v>
      </c>
      <c r="L46" s="27" t="s">
        <v>34</v>
      </c>
      <c r="M46" s="27" t="s">
        <v>35</v>
      </c>
    </row>
    <row r="47" spans="1:31" ht="48" customHeight="1" thickBot="1" x14ac:dyDescent="0.35">
      <c r="H47" s="287" t="s">
        <v>36</v>
      </c>
      <c r="I47" s="288"/>
      <c r="J47" s="289"/>
      <c r="K47" s="28">
        <f>N43</f>
        <v>0</v>
      </c>
      <c r="L47" s="29">
        <f>O43</f>
        <v>0</v>
      </c>
      <c r="M47" s="29">
        <f>P43</f>
        <v>0</v>
      </c>
    </row>
    <row r="48" spans="1:31" ht="54.75" customHeight="1" thickBot="1" x14ac:dyDescent="0.35">
      <c r="H48" s="274" t="s">
        <v>37</v>
      </c>
      <c r="I48" s="275"/>
      <c r="J48" s="276"/>
      <c r="K48" s="26">
        <f>AC43</f>
        <v>0</v>
      </c>
      <c r="L48" s="27">
        <f>K48*0.53</f>
        <v>0</v>
      </c>
      <c r="M48" s="27">
        <f>L48*7.8338</f>
        <v>0</v>
      </c>
    </row>
  </sheetData>
  <mergeCells count="16">
    <mergeCell ref="H48:J48"/>
    <mergeCell ref="Q43:S43"/>
    <mergeCell ref="T43:V43"/>
    <mergeCell ref="W43:Y43"/>
    <mergeCell ref="Z43:AB43"/>
    <mergeCell ref="B44:I44"/>
    <mergeCell ref="Q44:AB44"/>
    <mergeCell ref="H47:J47"/>
    <mergeCell ref="A1:C1"/>
    <mergeCell ref="D1:Z1"/>
    <mergeCell ref="AA1:AC1"/>
    <mergeCell ref="Q2:S2"/>
    <mergeCell ref="B2:P2"/>
    <mergeCell ref="T2:V2"/>
    <mergeCell ref="W2:Y2"/>
    <mergeCell ref="Z2:AB2"/>
  </mergeCells>
  <phoneticPr fontId="7" type="noConversion"/>
  <pageMargins left="0.2" right="0" top="0" bottom="0" header="0" footer="0"/>
  <pageSetup paperSize="9" scale="35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1"/>
  <sheetViews>
    <sheetView zoomScaleNormal="10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B21" sqref="B21:H22"/>
    </sheetView>
  </sheetViews>
  <sheetFormatPr defaultColWidth="11.42578125" defaultRowHeight="12.75" x14ac:dyDescent="0.2"/>
  <cols>
    <col min="1" max="1" width="16.7109375" style="30" customWidth="1"/>
    <col min="2" max="2" width="16.7109375" customWidth="1"/>
    <col min="3" max="3" width="19.5703125" customWidth="1"/>
    <col min="4" max="9" width="16.7109375" customWidth="1"/>
  </cols>
  <sheetData>
    <row r="1" spans="1:20" ht="12.75" customHeight="1" x14ac:dyDescent="0.2">
      <c r="A1" s="308"/>
      <c r="B1" s="309"/>
      <c r="C1" s="291" t="s">
        <v>58</v>
      </c>
      <c r="D1" s="292"/>
      <c r="E1" s="292"/>
      <c r="F1" s="292"/>
      <c r="G1" s="293"/>
      <c r="H1" s="300"/>
      <c r="I1" s="301"/>
      <c r="J1" s="33"/>
      <c r="K1" s="31"/>
      <c r="L1" s="31"/>
    </row>
    <row r="2" spans="1:20" ht="16.5" customHeight="1" x14ac:dyDescent="0.2">
      <c r="A2" s="310"/>
      <c r="B2" s="311"/>
      <c r="C2" s="294"/>
      <c r="D2" s="295"/>
      <c r="E2" s="295"/>
      <c r="F2" s="295"/>
      <c r="G2" s="296"/>
      <c r="H2" s="302"/>
      <c r="I2" s="303"/>
      <c r="J2" s="33"/>
      <c r="K2" s="31"/>
      <c r="L2" s="31"/>
    </row>
    <row r="3" spans="1:20" ht="48" customHeight="1" thickBot="1" x14ac:dyDescent="0.25">
      <c r="A3" s="312"/>
      <c r="B3" s="313"/>
      <c r="C3" s="297"/>
      <c r="D3" s="298"/>
      <c r="E3" s="298"/>
      <c r="F3" s="298"/>
      <c r="G3" s="299"/>
      <c r="H3" s="304"/>
      <c r="I3" s="305"/>
      <c r="J3" s="33"/>
      <c r="K3" s="31"/>
      <c r="L3" s="31"/>
      <c r="M3" s="31"/>
      <c r="N3" s="31"/>
      <c r="O3" s="31"/>
      <c r="P3" s="31"/>
      <c r="Q3" s="31"/>
      <c r="R3" s="31"/>
      <c r="S3" s="31"/>
      <c r="T3" s="31"/>
    </row>
    <row r="5" spans="1:20" x14ac:dyDescent="0.2">
      <c r="D5">
        <f>SUM(C16:C45)</f>
        <v>510</v>
      </c>
    </row>
    <row r="6" spans="1:20" ht="10.5" customHeight="1" thickBot="1" x14ac:dyDescent="0.25"/>
    <row r="7" spans="1:20" ht="16.5" customHeight="1" thickTop="1" thickBot="1" x14ac:dyDescent="0.25">
      <c r="A7" s="290" t="s">
        <v>1</v>
      </c>
      <c r="B7" s="306" t="s">
        <v>41</v>
      </c>
      <c r="C7" s="306"/>
      <c r="D7" s="307" t="s">
        <v>42</v>
      </c>
      <c r="E7" s="307"/>
      <c r="F7" s="307"/>
      <c r="G7" s="307"/>
      <c r="H7" s="307"/>
      <c r="I7" s="307"/>
    </row>
    <row r="8" spans="1:20" s="12" customFormat="1" ht="28.5" customHeight="1" thickTop="1" thickBot="1" x14ac:dyDescent="0.25">
      <c r="A8" s="290"/>
      <c r="B8" s="35" t="s">
        <v>39</v>
      </c>
      <c r="C8" s="35" t="s">
        <v>40</v>
      </c>
      <c r="D8" s="34" t="s">
        <v>43</v>
      </c>
      <c r="E8" s="34" t="s">
        <v>48</v>
      </c>
      <c r="F8" s="34" t="s">
        <v>44</v>
      </c>
      <c r="G8" s="34" t="s">
        <v>45</v>
      </c>
      <c r="H8" s="34" t="s">
        <v>46</v>
      </c>
      <c r="I8" s="34" t="s">
        <v>47</v>
      </c>
    </row>
    <row r="9" spans="1:20" ht="21" thickTop="1" thickBot="1" x14ac:dyDescent="0.35">
      <c r="A9" s="39">
        <v>44068</v>
      </c>
      <c r="B9" s="40">
        <v>123937</v>
      </c>
      <c r="C9" s="41">
        <f t="shared" ref="C9:C16" si="0">IF(B10&lt;B9,0,B10-B9)*10</f>
        <v>90</v>
      </c>
      <c r="D9" s="42">
        <v>18534700</v>
      </c>
      <c r="E9" s="41">
        <f t="shared" ref="E9:E16" si="1">IF(D10&lt;D9,0,D10-D9)</f>
        <v>1006</v>
      </c>
      <c r="F9" s="42">
        <v>33300932</v>
      </c>
      <c r="G9" s="41">
        <f t="shared" ref="G9:G22" si="2">IF(F10&lt;F9,0,F10-F9)</f>
        <v>1739</v>
      </c>
      <c r="H9" s="42">
        <v>14738882</v>
      </c>
      <c r="I9" s="41">
        <f t="shared" ref="I9:I20" si="3">IF(H10&lt;H9,0,H10-H9)</f>
        <v>585</v>
      </c>
    </row>
    <row r="10" spans="1:20" ht="21" thickTop="1" thickBot="1" x14ac:dyDescent="0.35">
      <c r="A10" s="39">
        <f>(A9+1)</f>
        <v>44069</v>
      </c>
      <c r="B10" s="40">
        <v>123946</v>
      </c>
      <c r="C10" s="41">
        <f t="shared" si="0"/>
        <v>100</v>
      </c>
      <c r="D10" s="42">
        <v>18535706</v>
      </c>
      <c r="E10" s="41">
        <f t="shared" si="1"/>
        <v>1042</v>
      </c>
      <c r="F10" s="42">
        <v>33302671</v>
      </c>
      <c r="G10" s="41">
        <f t="shared" si="2"/>
        <v>1752</v>
      </c>
      <c r="H10" s="42">
        <v>14739467</v>
      </c>
      <c r="I10" s="41">
        <f t="shared" si="3"/>
        <v>670</v>
      </c>
    </row>
    <row r="11" spans="1:20" ht="21" thickTop="1" thickBot="1" x14ac:dyDescent="0.35">
      <c r="A11" s="39">
        <f t="shared" ref="A11:A47" si="4">(A10+1)</f>
        <v>44070</v>
      </c>
      <c r="B11" s="40">
        <v>123956</v>
      </c>
      <c r="C11" s="41">
        <f t="shared" si="0"/>
        <v>110</v>
      </c>
      <c r="D11" s="42">
        <v>18536748</v>
      </c>
      <c r="E11" s="41">
        <f t="shared" si="1"/>
        <v>973</v>
      </c>
      <c r="F11" s="42">
        <v>33304423</v>
      </c>
      <c r="G11" s="41">
        <f t="shared" si="2"/>
        <v>1663</v>
      </c>
      <c r="H11" s="42">
        <v>14740137</v>
      </c>
      <c r="I11" s="41">
        <f t="shared" si="3"/>
        <v>586</v>
      </c>
    </row>
    <row r="12" spans="1:20" ht="21" thickTop="1" thickBot="1" x14ac:dyDescent="0.35">
      <c r="A12" s="39">
        <f t="shared" si="4"/>
        <v>44071</v>
      </c>
      <c r="B12" s="40">
        <v>123967</v>
      </c>
      <c r="C12" s="41">
        <f t="shared" si="0"/>
        <v>110</v>
      </c>
      <c r="D12" s="42">
        <v>18537721</v>
      </c>
      <c r="E12" s="41">
        <f t="shared" si="1"/>
        <v>1022</v>
      </c>
      <c r="F12" s="42">
        <v>33306086</v>
      </c>
      <c r="G12" s="41">
        <f t="shared" si="2"/>
        <v>1611</v>
      </c>
      <c r="H12" s="42">
        <v>14740723</v>
      </c>
      <c r="I12" s="41">
        <f t="shared" si="3"/>
        <v>626</v>
      </c>
    </row>
    <row r="13" spans="1:20" ht="21" thickTop="1" thickBot="1" x14ac:dyDescent="0.35">
      <c r="A13" s="39">
        <f t="shared" si="4"/>
        <v>44072</v>
      </c>
      <c r="B13" s="40">
        <v>123978</v>
      </c>
      <c r="C13" s="41">
        <f t="shared" si="0"/>
        <v>110</v>
      </c>
      <c r="D13" s="42">
        <v>18538743</v>
      </c>
      <c r="E13" s="41">
        <f t="shared" si="1"/>
        <v>866</v>
      </c>
      <c r="F13" s="42">
        <v>33307697</v>
      </c>
      <c r="G13" s="41">
        <f t="shared" si="2"/>
        <v>1504</v>
      </c>
      <c r="H13" s="42">
        <v>14741349</v>
      </c>
      <c r="I13" s="41">
        <f t="shared" si="3"/>
        <v>542</v>
      </c>
    </row>
    <row r="14" spans="1:20" ht="21" thickTop="1" thickBot="1" x14ac:dyDescent="0.35">
      <c r="A14" s="39">
        <f t="shared" si="4"/>
        <v>44073</v>
      </c>
      <c r="B14" s="40">
        <v>123989</v>
      </c>
      <c r="C14" s="41">
        <f t="shared" si="0"/>
        <v>100</v>
      </c>
      <c r="D14" s="42">
        <v>18539609</v>
      </c>
      <c r="E14" s="41">
        <f t="shared" si="1"/>
        <v>868</v>
      </c>
      <c r="F14" s="42">
        <v>33309201</v>
      </c>
      <c r="G14" s="41">
        <f t="shared" si="2"/>
        <v>1322</v>
      </c>
      <c r="H14" s="42">
        <v>14741891</v>
      </c>
      <c r="I14" s="41">
        <f t="shared" si="3"/>
        <v>517</v>
      </c>
    </row>
    <row r="15" spans="1:20" ht="21" thickTop="1" thickBot="1" x14ac:dyDescent="0.35">
      <c r="A15" s="39">
        <f t="shared" si="4"/>
        <v>44074</v>
      </c>
      <c r="B15" s="40">
        <v>123999</v>
      </c>
      <c r="C15" s="41">
        <f t="shared" si="0"/>
        <v>100</v>
      </c>
      <c r="D15" s="42">
        <v>18540477</v>
      </c>
      <c r="E15" s="41">
        <f t="shared" si="1"/>
        <v>1081</v>
      </c>
      <c r="F15" s="42">
        <v>33310523</v>
      </c>
      <c r="G15" s="41">
        <f t="shared" si="2"/>
        <v>1668</v>
      </c>
      <c r="H15" s="42">
        <v>14742408</v>
      </c>
      <c r="I15" s="41">
        <f t="shared" si="3"/>
        <v>627</v>
      </c>
    </row>
    <row r="16" spans="1:20" ht="21" thickTop="1" thickBot="1" x14ac:dyDescent="0.35">
      <c r="A16" s="39">
        <f t="shared" si="4"/>
        <v>44075</v>
      </c>
      <c r="B16" s="40">
        <v>124009</v>
      </c>
      <c r="C16" s="41">
        <f t="shared" si="0"/>
        <v>90</v>
      </c>
      <c r="D16" s="42">
        <v>18541558</v>
      </c>
      <c r="E16" s="41">
        <f t="shared" si="1"/>
        <v>980</v>
      </c>
      <c r="F16" s="42">
        <v>33312191</v>
      </c>
      <c r="G16" s="41">
        <f t="shared" si="2"/>
        <v>1741</v>
      </c>
      <c r="H16" s="42">
        <v>14743035</v>
      </c>
      <c r="I16" s="41">
        <f t="shared" si="3"/>
        <v>599</v>
      </c>
    </row>
    <row r="17" spans="1:9" ht="21" thickTop="1" thickBot="1" x14ac:dyDescent="0.35">
      <c r="A17" s="39">
        <f t="shared" si="4"/>
        <v>44076</v>
      </c>
      <c r="B17" s="40">
        <v>124018</v>
      </c>
      <c r="C17" s="41">
        <f>IF(B18&lt;B17,0,B18-B17)*10</f>
        <v>80</v>
      </c>
      <c r="D17" s="42">
        <v>18542538</v>
      </c>
      <c r="E17" s="41">
        <f>IF(D18&lt;D17,0,D18-D17)</f>
        <v>1015</v>
      </c>
      <c r="F17" s="42">
        <v>33313932</v>
      </c>
      <c r="G17" s="41">
        <f t="shared" si="2"/>
        <v>1757</v>
      </c>
      <c r="H17" s="42">
        <v>14743634</v>
      </c>
      <c r="I17" s="41">
        <f t="shared" si="3"/>
        <v>651</v>
      </c>
    </row>
    <row r="18" spans="1:9" ht="21" thickTop="1" thickBot="1" x14ac:dyDescent="0.35">
      <c r="A18" s="39">
        <f t="shared" si="4"/>
        <v>44077</v>
      </c>
      <c r="B18" s="40">
        <v>124026</v>
      </c>
      <c r="C18" s="41">
        <f t="shared" ref="C18:C22" si="5">IF(B19&lt;B18,0,B19-B18)*10</f>
        <v>90</v>
      </c>
      <c r="D18" s="42">
        <v>18543553</v>
      </c>
      <c r="E18" s="41">
        <f t="shared" ref="E18:E22" si="6">IF(D19&lt;D18,0,D19-D18)</f>
        <v>996</v>
      </c>
      <c r="F18" s="42">
        <v>33315689</v>
      </c>
      <c r="G18" s="41">
        <f t="shared" si="2"/>
        <v>1637</v>
      </c>
      <c r="H18" s="42">
        <v>14744285</v>
      </c>
      <c r="I18" s="41">
        <f t="shared" si="3"/>
        <v>552</v>
      </c>
    </row>
    <row r="19" spans="1:9" ht="21" thickTop="1" thickBot="1" x14ac:dyDescent="0.35">
      <c r="A19" s="39">
        <f t="shared" si="4"/>
        <v>44078</v>
      </c>
      <c r="B19" s="40">
        <v>124035</v>
      </c>
      <c r="C19" s="41">
        <f t="shared" si="5"/>
        <v>80</v>
      </c>
      <c r="D19" s="42">
        <v>18544549</v>
      </c>
      <c r="E19" s="41">
        <f t="shared" si="6"/>
        <v>1003</v>
      </c>
      <c r="F19" s="42">
        <v>33317326</v>
      </c>
      <c r="G19" s="41">
        <f t="shared" si="2"/>
        <v>1765</v>
      </c>
      <c r="H19" s="42">
        <v>14744837</v>
      </c>
      <c r="I19" s="41">
        <f t="shared" si="3"/>
        <v>661</v>
      </c>
    </row>
    <row r="20" spans="1:9" ht="21" thickTop="1" thickBot="1" x14ac:dyDescent="0.35">
      <c r="A20" s="39">
        <f t="shared" si="4"/>
        <v>44079</v>
      </c>
      <c r="B20" s="40">
        <v>124043</v>
      </c>
      <c r="C20" s="41">
        <f t="shared" si="5"/>
        <v>90</v>
      </c>
      <c r="D20" s="42">
        <v>18545552</v>
      </c>
      <c r="E20" s="41">
        <f t="shared" si="6"/>
        <v>1042</v>
      </c>
      <c r="F20" s="42">
        <v>33319091</v>
      </c>
      <c r="G20" s="41">
        <f t="shared" si="2"/>
        <v>1752</v>
      </c>
      <c r="H20" s="42">
        <v>14745498</v>
      </c>
      <c r="I20" s="41">
        <f t="shared" si="3"/>
        <v>670</v>
      </c>
    </row>
    <row r="21" spans="1:9" ht="21" thickTop="1" thickBot="1" x14ac:dyDescent="0.35">
      <c r="A21" s="39">
        <f t="shared" si="4"/>
        <v>44080</v>
      </c>
      <c r="B21" s="40">
        <v>124052</v>
      </c>
      <c r="C21" s="41">
        <f t="shared" si="5"/>
        <v>80</v>
      </c>
      <c r="D21" s="42">
        <v>18546594</v>
      </c>
      <c r="E21" s="41">
        <f t="shared" si="6"/>
        <v>1022</v>
      </c>
      <c r="F21" s="42">
        <v>33320843</v>
      </c>
      <c r="G21" s="41">
        <f t="shared" si="2"/>
        <v>1611</v>
      </c>
      <c r="H21" s="42">
        <v>14746168</v>
      </c>
      <c r="I21" s="41"/>
    </row>
    <row r="22" spans="1:9" ht="21" thickTop="1" thickBot="1" x14ac:dyDescent="0.35">
      <c r="A22" s="39">
        <f t="shared" si="4"/>
        <v>44081</v>
      </c>
      <c r="B22" s="40">
        <v>124060</v>
      </c>
      <c r="C22" s="41">
        <f t="shared" si="5"/>
        <v>0</v>
      </c>
      <c r="D22" s="42">
        <v>18547616</v>
      </c>
      <c r="E22" s="41">
        <f t="shared" si="6"/>
        <v>0</v>
      </c>
      <c r="F22" s="42">
        <v>33322454</v>
      </c>
      <c r="G22" s="41">
        <f t="shared" si="2"/>
        <v>0</v>
      </c>
      <c r="H22" s="42">
        <v>14746794</v>
      </c>
      <c r="I22" s="41"/>
    </row>
    <row r="23" spans="1:9" ht="21" thickTop="1" thickBot="1" x14ac:dyDescent="0.35">
      <c r="A23" s="39">
        <f t="shared" si="4"/>
        <v>44082</v>
      </c>
      <c r="B23" s="40"/>
      <c r="C23" s="41">
        <f t="shared" ref="C21:C47" si="7">IF(B24&lt;B23,0,B24-B23)*10</f>
        <v>0</v>
      </c>
      <c r="D23" s="42"/>
      <c r="E23" s="41">
        <f t="shared" ref="E21:E47" si="8">IF(D24&lt;D23,0,D24-D23)</f>
        <v>0</v>
      </c>
      <c r="F23" s="42"/>
      <c r="G23" s="41"/>
      <c r="H23" s="42"/>
      <c r="I23" s="41"/>
    </row>
    <row r="24" spans="1:9" ht="21" thickTop="1" thickBot="1" x14ac:dyDescent="0.35">
      <c r="A24" s="39">
        <f t="shared" si="4"/>
        <v>44083</v>
      </c>
      <c r="B24" s="40"/>
      <c r="C24" s="41">
        <f t="shared" si="7"/>
        <v>0</v>
      </c>
      <c r="D24" s="42"/>
      <c r="E24" s="41">
        <f t="shared" si="8"/>
        <v>0</v>
      </c>
      <c r="F24" s="42"/>
      <c r="G24" s="41"/>
      <c r="H24" s="42"/>
      <c r="I24" s="41"/>
    </row>
    <row r="25" spans="1:9" ht="21" thickTop="1" thickBot="1" x14ac:dyDescent="0.35">
      <c r="A25" s="39">
        <f t="shared" si="4"/>
        <v>44084</v>
      </c>
      <c r="B25" s="40"/>
      <c r="C25" s="41">
        <f t="shared" si="7"/>
        <v>0</v>
      </c>
      <c r="D25" s="42"/>
      <c r="E25" s="41">
        <f t="shared" si="8"/>
        <v>0</v>
      </c>
      <c r="F25" s="42"/>
      <c r="G25" s="41"/>
      <c r="H25" s="42"/>
      <c r="I25" s="41"/>
    </row>
    <row r="26" spans="1:9" ht="21" thickTop="1" thickBot="1" x14ac:dyDescent="0.35">
      <c r="A26" s="39">
        <f t="shared" si="4"/>
        <v>44085</v>
      </c>
      <c r="B26" s="40"/>
      <c r="C26" s="41">
        <f t="shared" si="7"/>
        <v>0</v>
      </c>
      <c r="D26" s="42"/>
      <c r="E26" s="41">
        <f t="shared" si="8"/>
        <v>0</v>
      </c>
      <c r="F26" s="42"/>
      <c r="G26" s="41"/>
      <c r="H26" s="42"/>
      <c r="I26" s="41"/>
    </row>
    <row r="27" spans="1:9" ht="21" thickTop="1" thickBot="1" x14ac:dyDescent="0.35">
      <c r="A27" s="39">
        <f t="shared" si="4"/>
        <v>44086</v>
      </c>
      <c r="B27" s="40"/>
      <c r="C27" s="41">
        <f t="shared" si="7"/>
        <v>0</v>
      </c>
      <c r="D27" s="42"/>
      <c r="E27" s="41">
        <f t="shared" si="8"/>
        <v>0</v>
      </c>
      <c r="F27" s="42"/>
      <c r="G27" s="41"/>
      <c r="H27" s="42"/>
      <c r="I27" s="41"/>
    </row>
    <row r="28" spans="1:9" ht="21" thickTop="1" thickBot="1" x14ac:dyDescent="0.35">
      <c r="A28" s="39">
        <f t="shared" si="4"/>
        <v>44087</v>
      </c>
      <c r="B28" s="40"/>
      <c r="C28" s="41">
        <f t="shared" si="7"/>
        <v>0</v>
      </c>
      <c r="D28" s="42"/>
      <c r="E28" s="41">
        <f t="shared" si="8"/>
        <v>0</v>
      </c>
      <c r="F28" s="42"/>
      <c r="G28" s="41"/>
      <c r="H28" s="42"/>
      <c r="I28" s="41"/>
    </row>
    <row r="29" spans="1:9" ht="21" thickTop="1" thickBot="1" x14ac:dyDescent="0.35">
      <c r="A29" s="39">
        <f t="shared" si="4"/>
        <v>44088</v>
      </c>
      <c r="B29" s="40"/>
      <c r="C29" s="41">
        <f t="shared" si="7"/>
        <v>0</v>
      </c>
      <c r="D29" s="42"/>
      <c r="E29" s="41">
        <f t="shared" si="8"/>
        <v>0</v>
      </c>
      <c r="F29" s="42"/>
      <c r="G29" s="41"/>
      <c r="H29" s="42"/>
      <c r="I29" s="41"/>
    </row>
    <row r="30" spans="1:9" ht="21" thickTop="1" thickBot="1" x14ac:dyDescent="0.35">
      <c r="A30" s="39">
        <f t="shared" si="4"/>
        <v>44089</v>
      </c>
      <c r="B30" s="40"/>
      <c r="C30" s="41">
        <f t="shared" si="7"/>
        <v>0</v>
      </c>
      <c r="D30" s="42"/>
      <c r="E30" s="41">
        <f t="shared" si="8"/>
        <v>0</v>
      </c>
      <c r="F30" s="42"/>
      <c r="G30" s="41"/>
      <c r="H30" s="42"/>
      <c r="I30" s="41"/>
    </row>
    <row r="31" spans="1:9" ht="21" thickTop="1" thickBot="1" x14ac:dyDescent="0.35">
      <c r="A31" s="39">
        <f t="shared" si="4"/>
        <v>44090</v>
      </c>
      <c r="B31" s="40"/>
      <c r="C31" s="41">
        <f t="shared" si="7"/>
        <v>0</v>
      </c>
      <c r="D31" s="42"/>
      <c r="E31" s="41">
        <f t="shared" si="8"/>
        <v>0</v>
      </c>
      <c r="F31" s="42"/>
      <c r="G31" s="41"/>
      <c r="H31" s="42"/>
      <c r="I31" s="41"/>
    </row>
    <row r="32" spans="1:9" ht="21" thickTop="1" thickBot="1" x14ac:dyDescent="0.35">
      <c r="A32" s="39">
        <f t="shared" si="4"/>
        <v>44091</v>
      </c>
      <c r="B32" s="40"/>
      <c r="C32" s="41">
        <f t="shared" si="7"/>
        <v>0</v>
      </c>
      <c r="D32" s="42"/>
      <c r="E32" s="41">
        <f t="shared" si="8"/>
        <v>0</v>
      </c>
      <c r="F32" s="42"/>
      <c r="G32" s="41"/>
      <c r="H32" s="42"/>
      <c r="I32" s="41"/>
    </row>
    <row r="33" spans="1:9" ht="21" thickTop="1" thickBot="1" x14ac:dyDescent="0.35">
      <c r="A33" s="39">
        <f t="shared" si="4"/>
        <v>44092</v>
      </c>
      <c r="B33" s="40"/>
      <c r="C33" s="41">
        <f t="shared" si="7"/>
        <v>0</v>
      </c>
      <c r="D33" s="42"/>
      <c r="E33" s="41">
        <f t="shared" si="8"/>
        <v>0</v>
      </c>
      <c r="F33" s="42"/>
      <c r="G33" s="41"/>
      <c r="H33" s="42"/>
      <c r="I33" s="41"/>
    </row>
    <row r="34" spans="1:9" ht="21" thickTop="1" thickBot="1" x14ac:dyDescent="0.35">
      <c r="A34" s="39">
        <f t="shared" si="4"/>
        <v>44093</v>
      </c>
      <c r="B34" s="40"/>
      <c r="C34" s="41">
        <f t="shared" si="7"/>
        <v>0</v>
      </c>
      <c r="D34" s="42"/>
      <c r="E34" s="41">
        <f t="shared" si="8"/>
        <v>0</v>
      </c>
      <c r="F34" s="42"/>
      <c r="G34" s="41"/>
      <c r="H34" s="42"/>
      <c r="I34" s="41"/>
    </row>
    <row r="35" spans="1:9" ht="21" thickTop="1" thickBot="1" x14ac:dyDescent="0.35">
      <c r="A35" s="39">
        <f t="shared" si="4"/>
        <v>44094</v>
      </c>
      <c r="B35" s="40"/>
      <c r="C35" s="41">
        <f t="shared" si="7"/>
        <v>0</v>
      </c>
      <c r="D35" s="42"/>
      <c r="E35" s="41">
        <f t="shared" si="8"/>
        <v>0</v>
      </c>
      <c r="F35" s="42"/>
      <c r="G35" s="41"/>
      <c r="H35" s="42"/>
      <c r="I35" s="41"/>
    </row>
    <row r="36" spans="1:9" ht="21" thickTop="1" thickBot="1" x14ac:dyDescent="0.35">
      <c r="A36" s="39">
        <f t="shared" si="4"/>
        <v>44095</v>
      </c>
      <c r="B36" s="40"/>
      <c r="C36" s="41">
        <f t="shared" si="7"/>
        <v>0</v>
      </c>
      <c r="D36" s="42"/>
      <c r="E36" s="41">
        <f t="shared" si="8"/>
        <v>0</v>
      </c>
      <c r="F36" s="42"/>
      <c r="G36" s="41"/>
      <c r="H36" s="42"/>
      <c r="I36" s="41"/>
    </row>
    <row r="37" spans="1:9" ht="21" thickTop="1" thickBot="1" x14ac:dyDescent="0.35">
      <c r="A37" s="39">
        <f t="shared" si="4"/>
        <v>44096</v>
      </c>
      <c r="B37" s="40"/>
      <c r="C37" s="41">
        <f t="shared" si="7"/>
        <v>0</v>
      </c>
      <c r="D37" s="42"/>
      <c r="E37" s="41">
        <f t="shared" si="8"/>
        <v>0</v>
      </c>
      <c r="F37" s="42"/>
      <c r="G37" s="41"/>
      <c r="H37" s="42"/>
      <c r="I37" s="41"/>
    </row>
    <row r="38" spans="1:9" ht="21" thickTop="1" thickBot="1" x14ac:dyDescent="0.35">
      <c r="A38" s="39">
        <f t="shared" si="4"/>
        <v>44097</v>
      </c>
      <c r="B38" s="40"/>
      <c r="C38" s="41">
        <f t="shared" si="7"/>
        <v>0</v>
      </c>
      <c r="D38" s="42"/>
      <c r="E38" s="41">
        <f t="shared" si="8"/>
        <v>0</v>
      </c>
      <c r="F38" s="42"/>
      <c r="G38" s="41"/>
      <c r="H38" s="42"/>
      <c r="I38" s="41"/>
    </row>
    <row r="39" spans="1:9" ht="21" thickTop="1" thickBot="1" x14ac:dyDescent="0.35">
      <c r="A39" s="39">
        <f t="shared" si="4"/>
        <v>44098</v>
      </c>
      <c r="B39" s="40"/>
      <c r="C39" s="41">
        <f t="shared" si="7"/>
        <v>0</v>
      </c>
      <c r="D39" s="42"/>
      <c r="E39" s="41">
        <f t="shared" si="8"/>
        <v>0</v>
      </c>
      <c r="F39" s="42"/>
      <c r="G39" s="41"/>
      <c r="H39" s="42"/>
      <c r="I39" s="41"/>
    </row>
    <row r="40" spans="1:9" ht="21" thickTop="1" thickBot="1" x14ac:dyDescent="0.35">
      <c r="A40" s="39">
        <f t="shared" si="4"/>
        <v>44099</v>
      </c>
      <c r="B40" s="40"/>
      <c r="C40" s="41">
        <f t="shared" si="7"/>
        <v>0</v>
      </c>
      <c r="D40" s="42"/>
      <c r="E40" s="41">
        <f t="shared" si="8"/>
        <v>0</v>
      </c>
      <c r="F40" s="42"/>
      <c r="G40" s="41"/>
      <c r="H40" s="42"/>
      <c r="I40" s="41"/>
    </row>
    <row r="41" spans="1:9" ht="21" thickTop="1" thickBot="1" x14ac:dyDescent="0.35">
      <c r="A41" s="39">
        <f t="shared" si="4"/>
        <v>44100</v>
      </c>
      <c r="B41" s="40"/>
      <c r="C41" s="41">
        <f t="shared" si="7"/>
        <v>0</v>
      </c>
      <c r="D41" s="42"/>
      <c r="E41" s="41">
        <f t="shared" si="8"/>
        <v>0</v>
      </c>
      <c r="F41" s="42"/>
      <c r="G41" s="41"/>
      <c r="H41" s="42"/>
      <c r="I41" s="41"/>
    </row>
    <row r="42" spans="1:9" ht="21" thickTop="1" thickBot="1" x14ac:dyDescent="0.35">
      <c r="A42" s="39">
        <f t="shared" si="4"/>
        <v>44101</v>
      </c>
      <c r="B42" s="40"/>
      <c r="C42" s="41">
        <f t="shared" si="7"/>
        <v>0</v>
      </c>
      <c r="D42" s="42"/>
      <c r="E42" s="41">
        <f t="shared" si="8"/>
        <v>0</v>
      </c>
      <c r="F42" s="42"/>
      <c r="G42" s="41"/>
      <c r="H42" s="42"/>
      <c r="I42" s="41"/>
    </row>
    <row r="43" spans="1:9" ht="21" thickTop="1" thickBot="1" x14ac:dyDescent="0.35">
      <c r="A43" s="39">
        <f t="shared" si="4"/>
        <v>44102</v>
      </c>
      <c r="B43" s="40"/>
      <c r="C43" s="41">
        <f t="shared" si="7"/>
        <v>0</v>
      </c>
      <c r="D43" s="42"/>
      <c r="E43" s="41">
        <f t="shared" si="8"/>
        <v>0</v>
      </c>
      <c r="F43" s="42"/>
      <c r="G43" s="41"/>
      <c r="H43" s="42"/>
      <c r="I43" s="41"/>
    </row>
    <row r="44" spans="1:9" ht="21" thickTop="1" thickBot="1" x14ac:dyDescent="0.35">
      <c r="A44" s="39">
        <f t="shared" si="4"/>
        <v>44103</v>
      </c>
      <c r="B44" s="40"/>
      <c r="C44" s="41">
        <f t="shared" si="7"/>
        <v>0</v>
      </c>
      <c r="D44" s="42"/>
      <c r="E44" s="41">
        <f t="shared" si="8"/>
        <v>0</v>
      </c>
      <c r="F44" s="42"/>
      <c r="G44" s="41"/>
      <c r="H44" s="42"/>
      <c r="I44" s="41"/>
    </row>
    <row r="45" spans="1:9" ht="21" thickTop="1" thickBot="1" x14ac:dyDescent="0.35">
      <c r="A45" s="39">
        <f t="shared" si="4"/>
        <v>44104</v>
      </c>
      <c r="B45" s="40"/>
      <c r="C45" s="41">
        <f t="shared" si="7"/>
        <v>0</v>
      </c>
      <c r="D45" s="42"/>
      <c r="E45" s="41">
        <f t="shared" si="8"/>
        <v>0</v>
      </c>
      <c r="F45" s="42"/>
      <c r="G45" s="41"/>
      <c r="H45" s="42"/>
      <c r="I45" s="41"/>
    </row>
    <row r="46" spans="1:9" ht="21" thickTop="1" thickBot="1" x14ac:dyDescent="0.35">
      <c r="A46" s="39">
        <f t="shared" si="4"/>
        <v>44105</v>
      </c>
      <c r="B46" s="40"/>
      <c r="C46" s="41">
        <f t="shared" si="7"/>
        <v>0</v>
      </c>
      <c r="D46" s="42"/>
      <c r="E46" s="41">
        <f t="shared" si="8"/>
        <v>0</v>
      </c>
      <c r="F46" s="42"/>
      <c r="G46" s="41"/>
      <c r="H46" s="42"/>
      <c r="I46" s="41"/>
    </row>
    <row r="47" spans="1:9" ht="21" thickTop="1" thickBot="1" x14ac:dyDescent="0.35">
      <c r="A47" s="39">
        <f t="shared" si="4"/>
        <v>44106</v>
      </c>
      <c r="B47" s="40"/>
      <c r="C47" s="41">
        <f t="shared" si="7"/>
        <v>0</v>
      </c>
      <c r="D47" s="42"/>
      <c r="E47" s="41">
        <f t="shared" si="8"/>
        <v>0</v>
      </c>
      <c r="F47" s="42"/>
      <c r="G47" s="41"/>
      <c r="H47" s="42"/>
      <c r="I47" s="41"/>
    </row>
    <row r="48" spans="1:9" ht="21.75" customHeight="1" thickTop="1" thickBot="1" x14ac:dyDescent="0.35">
      <c r="A48" s="43"/>
      <c r="C48" s="41">
        <f>SUM(C16:C46)</f>
        <v>510</v>
      </c>
      <c r="E48" s="41">
        <f>SUM(E16:E45)</f>
        <v>6058</v>
      </c>
      <c r="F48" s="53"/>
      <c r="G48" s="41">
        <f>SUM(G16:G45)</f>
        <v>10263</v>
      </c>
      <c r="H48" s="53"/>
      <c r="I48" s="41">
        <f>SUM(I16:I45)</f>
        <v>3133</v>
      </c>
    </row>
    <row r="49" spans="1:8" ht="24" customHeight="1" thickTop="1" x14ac:dyDescent="0.3">
      <c r="A49" s="43"/>
      <c r="F49" s="53"/>
      <c r="G49" s="54"/>
      <c r="H49" s="53"/>
    </row>
    <row r="50" spans="1:8" ht="19.5" x14ac:dyDescent="0.2">
      <c r="A50" s="32"/>
      <c r="F50" s="53"/>
      <c r="G50" s="54"/>
      <c r="H50" s="53"/>
    </row>
    <row r="51" spans="1:8" ht="19.5" x14ac:dyDescent="0.2">
      <c r="A51" s="32"/>
      <c r="F51" s="53"/>
      <c r="G51" s="54"/>
      <c r="H51" s="53"/>
    </row>
    <row r="52" spans="1:8" ht="19.5" x14ac:dyDescent="0.2">
      <c r="F52" s="53"/>
      <c r="G52" s="54"/>
      <c r="H52" s="53"/>
    </row>
    <row r="53" spans="1:8" ht="19.5" x14ac:dyDescent="0.2">
      <c r="F53" s="53"/>
      <c r="G53" s="54"/>
      <c r="H53" s="53"/>
    </row>
    <row r="54" spans="1:8" ht="19.5" x14ac:dyDescent="0.2">
      <c r="F54" s="53"/>
      <c r="G54" s="54"/>
      <c r="H54" s="53"/>
    </row>
    <row r="55" spans="1:8" ht="19.5" x14ac:dyDescent="0.2">
      <c r="F55" s="53"/>
      <c r="G55" s="54"/>
      <c r="H55" s="53"/>
    </row>
    <row r="56" spans="1:8" ht="19.5" x14ac:dyDescent="0.2">
      <c r="F56" s="53"/>
      <c r="G56" s="54"/>
      <c r="H56" s="53"/>
    </row>
    <row r="57" spans="1:8" ht="19.5" x14ac:dyDescent="0.2">
      <c r="F57" s="53"/>
      <c r="G57" s="54"/>
      <c r="H57" s="53"/>
    </row>
    <row r="58" spans="1:8" ht="19.5" x14ac:dyDescent="0.2">
      <c r="F58" s="53"/>
      <c r="G58" s="54"/>
      <c r="H58" s="53"/>
    </row>
    <row r="59" spans="1:8" x14ac:dyDescent="0.2">
      <c r="F59" s="53"/>
      <c r="G59" s="53"/>
      <c r="H59" s="53"/>
    </row>
    <row r="60" spans="1:8" x14ac:dyDescent="0.2">
      <c r="F60" s="53"/>
      <c r="G60" s="53"/>
      <c r="H60" s="53"/>
    </row>
    <row r="61" spans="1:8" x14ac:dyDescent="0.2">
      <c r="F61" s="53"/>
      <c r="G61" s="53"/>
      <c r="H61" s="53"/>
    </row>
  </sheetData>
  <mergeCells count="6">
    <mergeCell ref="A7:A8"/>
    <mergeCell ref="C1:G3"/>
    <mergeCell ref="H1:I3"/>
    <mergeCell ref="B7:C7"/>
    <mergeCell ref="D7:I7"/>
    <mergeCell ref="A1:B3"/>
  </mergeCells>
  <phoneticPr fontId="7" type="noConversion"/>
  <conditionalFormatting sqref="C1 C4:C8 C16740:C65536">
    <cfRule type="cellIs" dxfId="76" priority="726" stopIfTrue="1" operator="lessThanOrEqual">
      <formula>0</formula>
    </cfRule>
  </conditionalFormatting>
  <conditionalFormatting sqref="C48">
    <cfRule type="cellIs" dxfId="75" priority="388" stopIfTrue="1" operator="lessThanOrEqual">
      <formula>0</formula>
    </cfRule>
  </conditionalFormatting>
  <conditionalFormatting sqref="C48">
    <cfRule type="cellIs" dxfId="74" priority="387" stopIfTrue="1" operator="lessThanOrEqual">
      <formula>0</formula>
    </cfRule>
  </conditionalFormatting>
  <conditionalFormatting sqref="C48">
    <cfRule type="cellIs" dxfId="73" priority="386" stopIfTrue="1" operator="lessThanOrEqual">
      <formula>0</formula>
    </cfRule>
  </conditionalFormatting>
  <conditionalFormatting sqref="C48">
    <cfRule type="cellIs" dxfId="72" priority="385" stopIfTrue="1" operator="lessThanOrEqual">
      <formula>0</formula>
    </cfRule>
  </conditionalFormatting>
  <conditionalFormatting sqref="E48">
    <cfRule type="cellIs" dxfId="71" priority="328" stopIfTrue="1" operator="lessThanOrEqual">
      <formula>0</formula>
    </cfRule>
  </conditionalFormatting>
  <conditionalFormatting sqref="E48">
    <cfRule type="cellIs" dxfId="70" priority="327" stopIfTrue="1" operator="lessThanOrEqual">
      <formula>0</formula>
    </cfRule>
  </conditionalFormatting>
  <conditionalFormatting sqref="E48">
    <cfRule type="cellIs" dxfId="69" priority="326" stopIfTrue="1" operator="lessThanOrEqual">
      <formula>0</formula>
    </cfRule>
  </conditionalFormatting>
  <conditionalFormatting sqref="E48">
    <cfRule type="cellIs" dxfId="68" priority="325" stopIfTrue="1" operator="lessThanOrEqual">
      <formula>0</formula>
    </cfRule>
  </conditionalFormatting>
  <conditionalFormatting sqref="G48">
    <cfRule type="cellIs" dxfId="67" priority="324" stopIfTrue="1" operator="lessThanOrEqual">
      <formula>0</formula>
    </cfRule>
  </conditionalFormatting>
  <conditionalFormatting sqref="G48">
    <cfRule type="cellIs" dxfId="66" priority="323" stopIfTrue="1" operator="lessThanOrEqual">
      <formula>0</formula>
    </cfRule>
  </conditionalFormatting>
  <conditionalFormatting sqref="G48">
    <cfRule type="cellIs" dxfId="65" priority="322" stopIfTrue="1" operator="lessThanOrEqual">
      <formula>0</formula>
    </cfRule>
  </conditionalFormatting>
  <conditionalFormatting sqref="G48">
    <cfRule type="cellIs" dxfId="64" priority="321" stopIfTrue="1" operator="lessThanOrEqual">
      <formula>0</formula>
    </cfRule>
  </conditionalFormatting>
  <conditionalFormatting sqref="I48">
    <cfRule type="cellIs" dxfId="63" priority="320" stopIfTrue="1" operator="lessThanOrEqual">
      <formula>0</formula>
    </cfRule>
  </conditionalFormatting>
  <conditionalFormatting sqref="I48">
    <cfRule type="cellIs" dxfId="62" priority="319" stopIfTrue="1" operator="lessThanOrEqual">
      <formula>0</formula>
    </cfRule>
  </conditionalFormatting>
  <conditionalFormatting sqref="I48">
    <cfRule type="cellIs" dxfId="61" priority="318" stopIfTrue="1" operator="lessThanOrEqual">
      <formula>0</formula>
    </cfRule>
  </conditionalFormatting>
  <conditionalFormatting sqref="I48">
    <cfRule type="cellIs" dxfId="60" priority="317" stopIfTrue="1" operator="lessThanOrEqual">
      <formula>0</formula>
    </cfRule>
  </conditionalFormatting>
  <conditionalFormatting sqref="C23:C27">
    <cfRule type="cellIs" dxfId="59" priority="56" stopIfTrue="1" operator="lessThanOrEqual">
      <formula>0</formula>
    </cfRule>
  </conditionalFormatting>
  <conditionalFormatting sqref="C23:C27">
    <cfRule type="cellIs" dxfId="58" priority="55" stopIfTrue="1" operator="lessThanOrEqual">
      <formula>0</formula>
    </cfRule>
  </conditionalFormatting>
  <conditionalFormatting sqref="C23:C27">
    <cfRule type="cellIs" dxfId="57" priority="54" stopIfTrue="1" operator="lessThanOrEqual">
      <formula>0</formula>
    </cfRule>
  </conditionalFormatting>
  <conditionalFormatting sqref="C23:C27">
    <cfRule type="cellIs" dxfId="56" priority="53" stopIfTrue="1" operator="lessThanOrEqual">
      <formula>0</formula>
    </cfRule>
  </conditionalFormatting>
  <conditionalFormatting sqref="C28">
    <cfRule type="cellIs" dxfId="55" priority="52" stopIfTrue="1" operator="lessThanOrEqual">
      <formula>0</formula>
    </cfRule>
  </conditionalFormatting>
  <conditionalFormatting sqref="C28">
    <cfRule type="cellIs" dxfId="54" priority="51" stopIfTrue="1" operator="lessThanOrEqual">
      <formula>0</formula>
    </cfRule>
  </conditionalFormatting>
  <conditionalFormatting sqref="C28">
    <cfRule type="cellIs" dxfId="53" priority="50" stopIfTrue="1" operator="lessThanOrEqual">
      <formula>0</formula>
    </cfRule>
  </conditionalFormatting>
  <conditionalFormatting sqref="C28">
    <cfRule type="cellIs" dxfId="52" priority="49" stopIfTrue="1" operator="lessThanOrEqual">
      <formula>0</formula>
    </cfRule>
  </conditionalFormatting>
  <conditionalFormatting sqref="C29">
    <cfRule type="cellIs" dxfId="51" priority="48" stopIfTrue="1" operator="lessThanOrEqual">
      <formula>0</formula>
    </cfRule>
  </conditionalFormatting>
  <conditionalFormatting sqref="C29">
    <cfRule type="cellIs" dxfId="50" priority="47" stopIfTrue="1" operator="lessThanOrEqual">
      <formula>0</formula>
    </cfRule>
  </conditionalFormatting>
  <conditionalFormatting sqref="C29">
    <cfRule type="cellIs" dxfId="49" priority="46" stopIfTrue="1" operator="lessThanOrEqual">
      <formula>0</formula>
    </cfRule>
  </conditionalFormatting>
  <conditionalFormatting sqref="C29">
    <cfRule type="cellIs" dxfId="48" priority="45" stopIfTrue="1" operator="lessThanOrEqual">
      <formula>0</formula>
    </cfRule>
  </conditionalFormatting>
  <conditionalFormatting sqref="C30">
    <cfRule type="cellIs" dxfId="47" priority="44" stopIfTrue="1" operator="lessThanOrEqual">
      <formula>0</formula>
    </cfRule>
  </conditionalFormatting>
  <conditionalFormatting sqref="C30">
    <cfRule type="cellIs" dxfId="46" priority="43" stopIfTrue="1" operator="lessThanOrEqual">
      <formula>0</formula>
    </cfRule>
  </conditionalFormatting>
  <conditionalFormatting sqref="C30">
    <cfRule type="cellIs" dxfId="45" priority="42" stopIfTrue="1" operator="lessThanOrEqual">
      <formula>0</formula>
    </cfRule>
  </conditionalFormatting>
  <conditionalFormatting sqref="C30">
    <cfRule type="cellIs" dxfId="44" priority="41" stopIfTrue="1" operator="lessThanOrEqual">
      <formula>0</formula>
    </cfRule>
  </conditionalFormatting>
  <conditionalFormatting sqref="C31">
    <cfRule type="cellIs" dxfId="43" priority="40" stopIfTrue="1" operator="lessThanOrEqual">
      <formula>0</formula>
    </cfRule>
  </conditionalFormatting>
  <conditionalFormatting sqref="C31">
    <cfRule type="cellIs" dxfId="42" priority="39" stopIfTrue="1" operator="lessThanOrEqual">
      <formula>0</formula>
    </cfRule>
  </conditionalFormatting>
  <conditionalFormatting sqref="C31">
    <cfRule type="cellIs" dxfId="41" priority="38" stopIfTrue="1" operator="lessThanOrEqual">
      <formula>0</formula>
    </cfRule>
  </conditionalFormatting>
  <conditionalFormatting sqref="C31">
    <cfRule type="cellIs" dxfId="40" priority="37" stopIfTrue="1" operator="lessThanOrEqual">
      <formula>0</formula>
    </cfRule>
  </conditionalFormatting>
  <conditionalFormatting sqref="C32:C43">
    <cfRule type="cellIs" dxfId="39" priority="36" stopIfTrue="1" operator="lessThanOrEqual">
      <formula>0</formula>
    </cfRule>
  </conditionalFormatting>
  <conditionalFormatting sqref="C32:C43">
    <cfRule type="cellIs" dxfId="38" priority="35" stopIfTrue="1" operator="lessThanOrEqual">
      <formula>0</formula>
    </cfRule>
  </conditionalFormatting>
  <conditionalFormatting sqref="C32:C43">
    <cfRule type="cellIs" dxfId="37" priority="34" stopIfTrue="1" operator="lessThanOrEqual">
      <formula>0</formula>
    </cfRule>
  </conditionalFormatting>
  <conditionalFormatting sqref="C32:C43">
    <cfRule type="cellIs" dxfId="36" priority="33" stopIfTrue="1" operator="lessThanOrEqual">
      <formula>0</formula>
    </cfRule>
  </conditionalFormatting>
  <conditionalFormatting sqref="C44">
    <cfRule type="cellIs" dxfId="35" priority="32" stopIfTrue="1" operator="lessThanOrEqual">
      <formula>0</formula>
    </cfRule>
  </conditionalFormatting>
  <conditionalFormatting sqref="C44">
    <cfRule type="cellIs" dxfId="34" priority="31" stopIfTrue="1" operator="lessThanOrEqual">
      <formula>0</formula>
    </cfRule>
  </conditionalFormatting>
  <conditionalFormatting sqref="C44">
    <cfRule type="cellIs" dxfId="33" priority="30" stopIfTrue="1" operator="lessThanOrEqual">
      <formula>0</formula>
    </cfRule>
  </conditionalFormatting>
  <conditionalFormatting sqref="C44">
    <cfRule type="cellIs" dxfId="32" priority="29" stopIfTrue="1" operator="lessThanOrEqual">
      <formula>0</formula>
    </cfRule>
  </conditionalFormatting>
  <conditionalFormatting sqref="C45:C47">
    <cfRule type="cellIs" dxfId="31" priority="28" stopIfTrue="1" operator="lessThanOrEqual">
      <formula>0</formula>
    </cfRule>
  </conditionalFormatting>
  <conditionalFormatting sqref="C45:C47">
    <cfRule type="cellIs" dxfId="30" priority="27" stopIfTrue="1" operator="lessThanOrEqual">
      <formula>0</formula>
    </cfRule>
  </conditionalFormatting>
  <conditionalFormatting sqref="C45:C47">
    <cfRule type="cellIs" dxfId="29" priority="26" stopIfTrue="1" operator="lessThanOrEqual">
      <formula>0</formula>
    </cfRule>
  </conditionalFormatting>
  <conditionalFormatting sqref="C45:C47">
    <cfRule type="cellIs" dxfId="28" priority="25" stopIfTrue="1" operator="lessThanOrEqual">
      <formula>0</formula>
    </cfRule>
  </conditionalFormatting>
  <conditionalFormatting sqref="C9:C12">
    <cfRule type="cellIs" dxfId="27" priority="24" stopIfTrue="1" operator="lessThanOrEqual">
      <formula>0</formula>
    </cfRule>
  </conditionalFormatting>
  <conditionalFormatting sqref="C9:C12">
    <cfRule type="cellIs" dxfId="26" priority="23" stopIfTrue="1" operator="lessThanOrEqual">
      <formula>0</formula>
    </cfRule>
  </conditionalFormatting>
  <conditionalFormatting sqref="C9:C12">
    <cfRule type="cellIs" dxfId="25" priority="22" stopIfTrue="1" operator="lessThanOrEqual">
      <formula>0</formula>
    </cfRule>
  </conditionalFormatting>
  <conditionalFormatting sqref="C9:C12">
    <cfRule type="cellIs" dxfId="24" priority="21" stopIfTrue="1" operator="lessThanOrEqual">
      <formula>0</formula>
    </cfRule>
  </conditionalFormatting>
  <conditionalFormatting sqref="C13">
    <cfRule type="cellIs" dxfId="23" priority="20" stopIfTrue="1" operator="lessThanOrEqual">
      <formula>0</formula>
    </cfRule>
  </conditionalFormatting>
  <conditionalFormatting sqref="C13">
    <cfRule type="cellIs" dxfId="22" priority="19" stopIfTrue="1" operator="lessThanOrEqual">
      <formula>0</formula>
    </cfRule>
  </conditionalFormatting>
  <conditionalFormatting sqref="C13">
    <cfRule type="cellIs" dxfId="21" priority="18" stopIfTrue="1" operator="lessThanOrEqual">
      <formula>0</formula>
    </cfRule>
  </conditionalFormatting>
  <conditionalFormatting sqref="C13">
    <cfRule type="cellIs" dxfId="20" priority="17" stopIfTrue="1" operator="lessThanOrEqual">
      <formula>0</formula>
    </cfRule>
  </conditionalFormatting>
  <conditionalFormatting sqref="C14:C15">
    <cfRule type="cellIs" dxfId="19" priority="16" stopIfTrue="1" operator="lessThanOrEqual">
      <formula>0</formula>
    </cfRule>
  </conditionalFormatting>
  <conditionalFormatting sqref="C14:C15">
    <cfRule type="cellIs" dxfId="18" priority="15" stopIfTrue="1" operator="lessThanOrEqual">
      <formula>0</formula>
    </cfRule>
  </conditionalFormatting>
  <conditionalFormatting sqref="C14:C15">
    <cfRule type="cellIs" dxfId="17" priority="14" stopIfTrue="1" operator="lessThanOrEqual">
      <formula>0</formula>
    </cfRule>
  </conditionalFormatting>
  <conditionalFormatting sqref="C14:C15">
    <cfRule type="cellIs" dxfId="16" priority="13" stopIfTrue="1" operator="lessThanOrEqual">
      <formula>0</formula>
    </cfRule>
  </conditionalFormatting>
  <conditionalFormatting sqref="C17:C20">
    <cfRule type="cellIs" dxfId="15" priority="12" stopIfTrue="1" operator="lessThanOrEqual">
      <formula>0</formula>
    </cfRule>
  </conditionalFormatting>
  <conditionalFormatting sqref="C17:C20">
    <cfRule type="cellIs" dxfId="14" priority="11" stopIfTrue="1" operator="lessThanOrEqual">
      <formula>0</formula>
    </cfRule>
  </conditionalFormatting>
  <conditionalFormatting sqref="C17:C20">
    <cfRule type="cellIs" dxfId="13" priority="10" stopIfTrue="1" operator="lessThanOrEqual">
      <formula>0</formula>
    </cfRule>
  </conditionalFormatting>
  <conditionalFormatting sqref="C17:C20">
    <cfRule type="cellIs" dxfId="12" priority="9" stopIfTrue="1" operator="lessThanOrEqual">
      <formula>0</formula>
    </cfRule>
  </conditionalFormatting>
  <conditionalFormatting sqref="C16">
    <cfRule type="cellIs" dxfId="11" priority="8" stopIfTrue="1" operator="lessThanOrEqual">
      <formula>0</formula>
    </cfRule>
  </conditionalFormatting>
  <conditionalFormatting sqref="C16">
    <cfRule type="cellIs" dxfId="10" priority="7" stopIfTrue="1" operator="lessThanOrEqual">
      <formula>0</formula>
    </cfRule>
  </conditionalFormatting>
  <conditionalFormatting sqref="C16">
    <cfRule type="cellIs" dxfId="9" priority="6" stopIfTrue="1" operator="lessThanOrEqual">
      <formula>0</formula>
    </cfRule>
  </conditionalFormatting>
  <conditionalFormatting sqref="C16">
    <cfRule type="cellIs" dxfId="8" priority="5" stopIfTrue="1" operator="lessThanOrEqual">
      <formula>0</formula>
    </cfRule>
  </conditionalFormatting>
  <conditionalFormatting sqref="C21:C22">
    <cfRule type="cellIs" dxfId="7" priority="4" stopIfTrue="1" operator="lessThanOrEqual">
      <formula>0</formula>
    </cfRule>
  </conditionalFormatting>
  <conditionalFormatting sqref="C21:C22">
    <cfRule type="cellIs" dxfId="5" priority="3" stopIfTrue="1" operator="lessThanOrEqual">
      <formula>0</formula>
    </cfRule>
  </conditionalFormatting>
  <conditionalFormatting sqref="C21:C22">
    <cfRule type="cellIs" dxfId="3" priority="2" stopIfTrue="1" operator="lessThanOrEqual">
      <formula>0</formula>
    </cfRule>
  </conditionalFormatting>
  <conditionalFormatting sqref="C21:C22">
    <cfRule type="cellIs" dxfId="1" priority="1" stopIfTrue="1" operator="lessThanOrEqual">
      <formula>0</formula>
    </cfRule>
  </conditionalFormatting>
  <pageMargins left="0.2" right="0.2" top="0.2" bottom="0.47" header="0.2" footer="0.28999999999999998"/>
  <pageSetup paperSize="9" scale="66" orientation="portrait" verticalDpi="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2578125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TOTAL</vt:lpstr>
      <vt:lpstr>Consommation du 01.09 au 30.09</vt:lpstr>
      <vt:lpstr>Suivi Gaz</vt:lpstr>
      <vt:lpstr>Suivi EAU-ELEC</vt:lpstr>
      <vt:lpstr>Feuil1</vt:lpstr>
      <vt:lpstr>'Consommation du 01.09 au 30.09'!Print_Area</vt:lpstr>
      <vt:lpstr>'Suivi EAU-ELEC'!Print_Area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Abderrahim Arjouzi</cp:lastModifiedBy>
  <cp:lastPrinted>2020-01-07T10:49:37Z</cp:lastPrinted>
  <dcterms:created xsi:type="dcterms:W3CDTF">1996-10-21T11:03:58Z</dcterms:created>
  <dcterms:modified xsi:type="dcterms:W3CDTF">2020-09-07T14:56:17Z</dcterms:modified>
</cp:coreProperties>
</file>