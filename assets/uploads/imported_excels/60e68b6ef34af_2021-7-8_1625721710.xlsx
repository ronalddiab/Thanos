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53823D38-31F5-4F94-A2AF-C525ECC2D318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G10" i="31" l="1"/>
  <c r="G11" i="31"/>
  <c r="I10" i="31"/>
  <c r="I11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<sst xmlns="http://schemas.openxmlformats.org/spreadsheetml/2006/main" count="66" uniqueCount="32">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</sst>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E35" sqref="E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0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0</v>
      </c>
      <c r="J9" s="10">
        <v>3.61E-2</v>
      </c>
      <c r="K9" s="1">
        <f>'July 2021'!I12</f>
        <v>0</v>
      </c>
      <c r="L9" s="10">
        <v>0.75</v>
      </c>
      <c r="M9" s="10">
        <f>'July 2021'!L12</f>
        <v>0</v>
      </c>
      <c r="N9" s="10">
        <v>0.56299999999999994</v>
      </c>
      <c r="O9" s="14">
        <f>'July 2021'!D12</f>
        <v>0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0</v>
      </c>
      <c r="F10" s="10">
        <v>2.9000000000000001E-2</v>
      </c>
      <c r="G10" s="1">
        <f>'July 2021'!J13</f>
        <v>0</v>
      </c>
      <c r="H10" s="10">
        <v>0.112</v>
      </c>
      <c r="I10" s="1">
        <f>'July 2021'!G13*1000</f>
        <v>0</v>
      </c>
      <c r="J10" s="10">
        <v>3.61E-2</v>
      </c>
      <c r="K10" s="1">
        <f>'July 2021'!I13</f>
        <v>0</v>
      </c>
      <c r="L10" s="10">
        <v>0.75</v>
      </c>
      <c r="M10" s="10">
        <f>'July 2021'!L13</f>
        <v>0</v>
      </c>
      <c r="N10" s="10">
        <v>0.56299999999999994</v>
      </c>
      <c r="O10" s="14">
        <f>'July 2021'!D13</f>
        <v>0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0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0</v>
      </c>
      <c r="J11" s="10">
        <v>3.61E-2</v>
      </c>
      <c r="K11" s="1">
        <f>'July 2021'!I14</f>
        <v>0</v>
      </c>
      <c r="L11" s="10">
        <v>0.75</v>
      </c>
      <c r="M11" s="10">
        <f>'July 2021'!L14</f>
        <v>0</v>
      </c>
      <c r="N11" s="10">
        <v>0.56299999999999994</v>
      </c>
      <c r="O11" s="14">
        <f>'July 2021'!D14</f>
        <v>0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0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0</v>
      </c>
      <c r="J12" s="10">
        <v>3.61E-2</v>
      </c>
      <c r="K12" s="1">
        <f>'July 2021'!I15</f>
        <v>0</v>
      </c>
      <c r="L12" s="10">
        <v>0.75</v>
      </c>
      <c r="M12" s="10">
        <f>'July 2021'!L15</f>
        <v>0</v>
      </c>
      <c r="N12" s="10">
        <v>0.56299999999999994</v>
      </c>
      <c r="O12" s="14">
        <f>'July 2021'!D15</f>
        <v>0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0</v>
      </c>
      <c r="F13" s="10">
        <v>2.9000000000000001E-2</v>
      </c>
      <c r="G13" s="1">
        <f>'July 2021'!J16</f>
        <v>0</v>
      </c>
      <c r="H13" s="10">
        <v>0.112</v>
      </c>
      <c r="I13" s="1">
        <f>'July 2021'!G16*1000</f>
        <v>0</v>
      </c>
      <c r="J13" s="10">
        <v>3.61E-2</v>
      </c>
      <c r="K13" s="1">
        <f>'July 2021'!I16</f>
        <v>0</v>
      </c>
      <c r="L13" s="10">
        <v>0.75</v>
      </c>
      <c r="M13" s="10">
        <f>'July 2021'!L16</f>
        <v>0</v>
      </c>
      <c r="N13" s="10">
        <v>0.56299999999999994</v>
      </c>
      <c r="O13" s="14">
        <f>'July 2021'!D16</f>
        <v>0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0</v>
      </c>
      <c r="F14" s="10">
        <v>2.9000000000000001E-2</v>
      </c>
      <c r="G14" s="1">
        <f>'July 2021'!J17</f>
        <v>0</v>
      </c>
      <c r="H14" s="10">
        <v>0.112</v>
      </c>
      <c r="I14" s="1">
        <f>'July 2021'!G17*1000</f>
        <v>0</v>
      </c>
      <c r="J14" s="10">
        <v>3.61E-2</v>
      </c>
      <c r="K14" s="1">
        <f>'July 2021'!I17</f>
        <v>0</v>
      </c>
      <c r="L14" s="10">
        <v>0.75</v>
      </c>
      <c r="M14" s="10">
        <f>'July 2021'!L17</f>
        <v>0</v>
      </c>
      <c r="N14" s="10">
        <v>0.56299999999999994</v>
      </c>
      <c r="O14" s="14">
        <f>'July 2021'!D17</f>
        <v>0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0</v>
      </c>
      <c r="F15" s="10">
        <v>2.9000000000000001E-2</v>
      </c>
      <c r="G15" s="1">
        <f>'July 2021'!J18</f>
        <v>0</v>
      </c>
      <c r="H15" s="10">
        <v>0.112</v>
      </c>
      <c r="I15" s="1">
        <f>'July 2021'!G18*1000</f>
        <v>0</v>
      </c>
      <c r="J15" s="10">
        <v>3.61E-2</v>
      </c>
      <c r="K15" s="1">
        <f>'July 2021'!I18</f>
        <v>0</v>
      </c>
      <c r="L15" s="10">
        <v>0.75</v>
      </c>
      <c r="M15" s="10">
        <f>'July 2021'!L18</f>
        <v>0</v>
      </c>
      <c r="N15" s="10">
        <v>0.56299999999999994</v>
      </c>
      <c r="O15" s="14">
        <f>'July 2021'!D18</f>
        <v>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0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0</v>
      </c>
      <c r="J16" s="10">
        <v>3.61E-2</v>
      </c>
      <c r="K16" s="1">
        <f>'July 2021'!I19</f>
        <v>0</v>
      </c>
      <c r="L16" s="10">
        <v>0.75</v>
      </c>
      <c r="M16" s="10">
        <f>'July 2021'!L19</f>
        <v>0</v>
      </c>
      <c r="N16" s="10">
        <v>0.56299999999999994</v>
      </c>
      <c r="O16" s="14">
        <f>'July 2021'!D19</f>
        <v>0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0</v>
      </c>
      <c r="F17" s="10">
        <v>2.9000000000000001E-2</v>
      </c>
      <c r="G17" s="1">
        <f>'July 2021'!J20</f>
        <v>0</v>
      </c>
      <c r="H17" s="10">
        <v>0.112</v>
      </c>
      <c r="I17" s="1">
        <f>'July 2021'!G21*1000</f>
        <v>0</v>
      </c>
      <c r="J17" s="10">
        <v>3.61E-2</v>
      </c>
      <c r="K17" s="1">
        <f>'July 2021'!I20</f>
        <v>0</v>
      </c>
      <c r="L17" s="10">
        <v>0.75</v>
      </c>
      <c r="M17" s="10">
        <f>'July 2021'!L20</f>
        <v>0</v>
      </c>
      <c r="N17" s="10">
        <v>0.56299999999999994</v>
      </c>
      <c r="O17" s="14">
        <f>'July 2021'!D20</f>
        <v>0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0</v>
      </c>
      <c r="F18" s="10">
        <v>2.9000000000000001E-2</v>
      </c>
      <c r="G18" s="1">
        <f>'July 2021'!J21</f>
        <v>0</v>
      </c>
      <c r="H18" s="10">
        <v>0.112</v>
      </c>
      <c r="I18" s="1">
        <f>'July 2021'!G22*1000</f>
        <v>0</v>
      </c>
      <c r="J18" s="10">
        <v>3.61E-2</v>
      </c>
      <c r="K18" s="1">
        <f>'July 2021'!I21</f>
        <v>0</v>
      </c>
      <c r="L18" s="10">
        <v>0.75</v>
      </c>
      <c r="M18" s="10">
        <f>'July 2021'!L21</f>
        <v>0</v>
      </c>
      <c r="N18" s="10">
        <v>0.56299999999999994</v>
      </c>
      <c r="O18" s="14">
        <f>'July 2021'!D21</f>
        <v>0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0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0</v>
      </c>
      <c r="J19" s="10">
        <v>3.61E-2</v>
      </c>
      <c r="K19" s="1">
        <f>'July 2021'!I22</f>
        <v>0</v>
      </c>
      <c r="L19" s="10">
        <v>0.75</v>
      </c>
      <c r="M19" s="10">
        <f>'July 2021'!L22</f>
        <v>0</v>
      </c>
      <c r="N19" s="10">
        <v>0.56299999999999994</v>
      </c>
      <c r="O19" s="14">
        <f>'July 2021'!D22</f>
        <v>0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0</v>
      </c>
      <c r="F20" s="10">
        <v>2.9000000000000001E-2</v>
      </c>
      <c r="G20" s="1">
        <f>'July 2021'!J23</f>
        <v>0</v>
      </c>
      <c r="H20" s="10">
        <v>0.112</v>
      </c>
      <c r="I20" s="1">
        <f>'July 2021'!G24*1000</f>
        <v>0</v>
      </c>
      <c r="J20" s="10">
        <v>3.61E-2</v>
      </c>
      <c r="K20" s="1">
        <f>'July 2021'!I23</f>
        <v>0</v>
      </c>
      <c r="L20" s="10">
        <v>0.75</v>
      </c>
      <c r="M20" s="10">
        <f>'July 2021'!L23</f>
        <v>0</v>
      </c>
      <c r="N20" s="10">
        <v>0.56299999999999994</v>
      </c>
      <c r="O20" s="14">
        <f>'July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0</v>
      </c>
      <c r="F21" s="10">
        <v>2.9000000000000001E-2</v>
      </c>
      <c r="G21" s="1">
        <f>'July 2021'!J23</f>
        <v>0</v>
      </c>
      <c r="H21" s="10">
        <v>0.112</v>
      </c>
      <c r="I21" s="1">
        <f>'July 2021'!G25*1000</f>
        <v>0</v>
      </c>
      <c r="J21" s="10">
        <v>3.61E-2</v>
      </c>
      <c r="K21" s="1">
        <f>'July 2021'!I23</f>
        <v>0</v>
      </c>
      <c r="L21" s="10">
        <v>0.75</v>
      </c>
      <c r="M21" s="10">
        <f>'July 2021'!L24</f>
        <v>0</v>
      </c>
      <c r="N21" s="10">
        <v>0.56299999999999994</v>
      </c>
      <c r="O21" s="14">
        <f>'July 2021'!D24</f>
        <v>0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0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0</v>
      </c>
      <c r="J22" s="10">
        <v>3.61E-2</v>
      </c>
      <c r="K22" s="1">
        <f>'July 2021'!I24</f>
        <v>0</v>
      </c>
      <c r="L22" s="10">
        <v>0.75</v>
      </c>
      <c r="M22" s="10">
        <f>'July 2021'!L25</f>
        <v>0</v>
      </c>
      <c r="N22" s="10">
        <v>0.56299999999999994</v>
      </c>
      <c r="O22" s="14">
        <f>'July 2021'!D25</f>
        <v>0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0</v>
      </c>
      <c r="J23" s="10">
        <v>3.61E-2</v>
      </c>
      <c r="K23" s="1">
        <f>'July 2021'!I26</f>
        <v>0</v>
      </c>
      <c r="L23" s="10">
        <v>0.75</v>
      </c>
      <c r="M23" s="10">
        <f>'July 2021'!L26</f>
        <v>0</v>
      </c>
      <c r="N23" s="10">
        <v>0.56299999999999994</v>
      </c>
      <c r="O23" s="14">
        <f>'July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0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0</v>
      </c>
      <c r="J24" s="10">
        <v>3.61E-2</v>
      </c>
      <c r="K24" s="1">
        <f>'July 2021'!I27</f>
        <v>0</v>
      </c>
      <c r="L24" s="10">
        <v>0.75</v>
      </c>
      <c r="M24" s="10">
        <f>'July 2021'!L27</f>
        <v>0</v>
      </c>
      <c r="N24" s="10">
        <v>0.56299999999999994</v>
      </c>
      <c r="O24" s="14">
        <f>'July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0</v>
      </c>
      <c r="F25" s="10">
        <v>2.9000000000000001E-2</v>
      </c>
      <c r="G25" s="1">
        <f>'July 2021'!J28</f>
        <v>0</v>
      </c>
      <c r="H25" s="10">
        <v>0.112</v>
      </c>
      <c r="I25" s="1">
        <f>'July 2021'!G28*1000</f>
        <v>0</v>
      </c>
      <c r="J25" s="10">
        <v>3.61E-2</v>
      </c>
      <c r="K25" s="1">
        <f>'July 2021'!I28</f>
        <v>0</v>
      </c>
      <c r="L25" s="10">
        <v>0.75</v>
      </c>
      <c r="M25" s="10">
        <f>'July 2021'!L28</f>
        <v>0</v>
      </c>
      <c r="N25" s="10">
        <v>0.56299999999999994</v>
      </c>
      <c r="O25" s="14">
        <f>'July 2021'!D28</f>
        <v>0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0</v>
      </c>
      <c r="F26" s="10">
        <v>2.9000000000000001E-2</v>
      </c>
      <c r="G26" s="1">
        <f>'July 2021'!J29</f>
        <v>0</v>
      </c>
      <c r="H26" s="10">
        <v>0.112</v>
      </c>
      <c r="I26" s="1">
        <f>'July 2021'!G29*1000</f>
        <v>0</v>
      </c>
      <c r="J26" s="10">
        <v>3.61E-2</v>
      </c>
      <c r="K26" s="1">
        <f>'July 2021'!I29</f>
        <v>0</v>
      </c>
      <c r="L26" s="10">
        <v>0.75</v>
      </c>
      <c r="M26" s="10">
        <f>'July 2021'!L29</f>
        <v>0</v>
      </c>
      <c r="N26" s="10">
        <v>0.56299999999999994</v>
      </c>
      <c r="O26" s="14">
        <f>'July 2021'!D29</f>
        <v>0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0</v>
      </c>
      <c r="F27" s="10">
        <v>2.9000000000000001E-2</v>
      </c>
      <c r="G27" s="1">
        <f>'July 2021'!J30</f>
        <v>0</v>
      </c>
      <c r="H27" s="10">
        <v>0.112</v>
      </c>
      <c r="I27" s="1">
        <f>'July 2021'!G30*1000</f>
        <v>0</v>
      </c>
      <c r="J27" s="10">
        <v>3.61E-2</v>
      </c>
      <c r="K27" s="1">
        <f>'July 2021'!I30</f>
        <v>0</v>
      </c>
      <c r="L27" s="10">
        <v>0.75</v>
      </c>
      <c r="M27" s="10">
        <f>'July 2021'!L30</f>
        <v>0</v>
      </c>
      <c r="N27" s="10">
        <v>0.56299999999999994</v>
      </c>
      <c r="O27" s="14">
        <f>'July 2021'!D30</f>
        <v>0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0</v>
      </c>
      <c r="J28" s="10">
        <v>3.61E-2</v>
      </c>
      <c r="K28" s="1">
        <f>'July 2021'!I31</f>
        <v>0</v>
      </c>
      <c r="L28" s="10">
        <v>0.75</v>
      </c>
      <c r="M28" s="10">
        <f>'July 2021'!L31</f>
        <v>0</v>
      </c>
      <c r="N28" s="10">
        <v>0.56299999999999994</v>
      </c>
      <c r="O28" s="14">
        <f>'July 2021'!D31</f>
        <v>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E21" sqref="E2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11" si="0">F7-F6</f>
        <v>81</v>
      </c>
      <c r="H6" s="5">
        <v>485919</v>
      </c>
      <c r="I6" s="3">
        <f t="shared" ref="I6:I11" si="1">H7-H6</f>
        <v>474</v>
      </c>
      <c r="J6" s="3">
        <v>0</v>
      </c>
      <c r="K6" s="4">
        <v>295047</v>
      </c>
      <c r="L6" s="9">
        <f t="shared" ref="L6:L11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/>
      <c r="E12" s="12"/>
      <c r="F12" s="28">
        <v>191268</v>
      </c>
      <c r="G12" s="8"/>
      <c r="H12" s="7">
        <v>487462</v>
      </c>
      <c r="I12" s="3"/>
      <c r="J12" s="3"/>
      <c r="K12" s="4">
        <v>296459</v>
      </c>
      <c r="L12" s="9"/>
      <c r="N12" s="1"/>
    </row>
    <row r="13" spans="1:14" x14ac:dyDescent="0.2">
      <c r="A13" t="s">
        <v>28</v>
      </c>
      <c r="B13" s="2">
        <v>9</v>
      </c>
      <c r="C13" s="11">
        <v>44386</v>
      </c>
      <c r="D13" s="7"/>
      <c r="E13" s="12"/>
      <c r="F13" s="4"/>
      <c r="G13" s="8"/>
      <c r="H13" s="16"/>
      <c r="I13" s="3"/>
      <c r="J13" s="3"/>
      <c r="K13" s="29"/>
      <c r="L13" s="9"/>
      <c r="N13" s="1"/>
    </row>
    <row r="14" spans="1:14" x14ac:dyDescent="0.2">
      <c r="B14" s="2">
        <v>10</v>
      </c>
      <c r="C14" s="11">
        <v>44387</v>
      </c>
      <c r="D14" s="7"/>
      <c r="E14" s="12"/>
      <c r="F14" s="29"/>
      <c r="G14" s="8"/>
      <c r="H14" s="16"/>
      <c r="I14" s="3"/>
      <c r="J14" s="3"/>
      <c r="K14" s="28"/>
      <c r="L14" s="9"/>
      <c r="N14" s="1"/>
    </row>
    <row r="15" spans="1:14" x14ac:dyDescent="0.2">
      <c r="B15" s="2">
        <v>11</v>
      </c>
      <c r="C15" s="11">
        <v>44388</v>
      </c>
      <c r="D15" s="7"/>
      <c r="E15" s="12"/>
      <c r="F15" s="29"/>
      <c r="G15" s="8"/>
      <c r="H15" s="31"/>
      <c r="I15" s="3"/>
      <c r="J15" s="3"/>
      <c r="K15" s="29"/>
      <c r="L15" s="9"/>
      <c r="N15" s="1"/>
    </row>
    <row r="16" spans="1:14" ht="13.5" customHeight="1" x14ac:dyDescent="0.2">
      <c r="B16" s="2">
        <v>12</v>
      </c>
      <c r="C16" s="11">
        <v>44389</v>
      </c>
      <c r="D16" s="7"/>
      <c r="E16" s="12"/>
      <c r="F16" s="29"/>
      <c r="G16" s="8"/>
      <c r="H16" s="31"/>
      <c r="I16" s="3"/>
      <c r="J16" s="3"/>
      <c r="K16" s="29"/>
      <c r="L16" s="9"/>
      <c r="N16" s="1"/>
    </row>
    <row r="17" spans="1:14" x14ac:dyDescent="0.2">
      <c r="B17" s="2">
        <v>13</v>
      </c>
      <c r="C17" s="11">
        <v>44390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44391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44392</v>
      </c>
      <c r="D19" s="7"/>
      <c r="E19" s="31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44393</v>
      </c>
      <c r="D20" s="7"/>
      <c r="E20" s="31"/>
      <c r="F20" s="29"/>
      <c r="G20" s="8"/>
      <c r="H20" s="31"/>
      <c r="I20" s="3"/>
      <c r="J20" s="25"/>
      <c r="K20" s="4"/>
      <c r="L20" s="9"/>
      <c r="N20" s="1"/>
    </row>
    <row r="21" spans="1:14" x14ac:dyDescent="0.2">
      <c r="B21" s="2">
        <v>17</v>
      </c>
      <c r="C21" s="11">
        <v>44394</v>
      </c>
      <c r="D21" s="7"/>
      <c r="E21" s="7"/>
      <c r="F21" s="29"/>
      <c r="G21" s="8"/>
      <c r="H21" s="32"/>
      <c r="I21" s="3"/>
      <c r="J21" s="33"/>
      <c r="K21" s="24"/>
      <c r="L21" s="9"/>
      <c r="N21" s="1"/>
    </row>
    <row r="22" spans="1:14" x14ac:dyDescent="0.2">
      <c r="B22" s="2">
        <v>18</v>
      </c>
      <c r="C22" s="11">
        <v>44395</v>
      </c>
      <c r="D22" s="7"/>
      <c r="E22" s="7"/>
      <c r="F22" s="4"/>
      <c r="G22" s="8"/>
      <c r="H22" s="33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44396</v>
      </c>
      <c r="D23" s="7"/>
      <c r="E23" s="31"/>
      <c r="F23" s="4"/>
      <c r="G23" s="8"/>
      <c r="H23" s="4"/>
      <c r="I23" s="3"/>
      <c r="J23" s="3"/>
      <c r="K23" s="29"/>
      <c r="L23" s="9"/>
      <c r="N23" s="1"/>
    </row>
    <row r="24" spans="1:14" ht="12" customHeight="1" x14ac:dyDescent="0.2">
      <c r="B24" s="2">
        <v>20</v>
      </c>
      <c r="C24" s="11">
        <v>44397</v>
      </c>
      <c r="D24" s="7"/>
      <c r="E24" s="31"/>
      <c r="F24" s="4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44398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44399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44400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44402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44403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44404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44405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2021-07-08T05:17:14Z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