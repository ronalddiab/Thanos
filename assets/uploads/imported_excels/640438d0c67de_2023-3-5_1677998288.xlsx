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oki.zangmo\Downloads\"/>
    </mc:Choice>
  </mc:AlternateContent>
  <bookViews>
    <workbookView xWindow="-105" yWindow="-105" windowWidth="19425" windowHeight="10425" firstSheet="2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9" l="1"/>
  <c r="C4" i="9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2" i="9"/>
  <c r="AX7" i="7"/>
  <c r="T2" i="9" s="1"/>
  <c r="AX8" i="7"/>
  <c r="T3" i="9" s="1"/>
  <c r="AX9" i="7"/>
  <c r="T4" i="9" s="1"/>
  <c r="AX10" i="7"/>
  <c r="T5" i="9" s="1"/>
  <c r="AX11" i="7"/>
  <c r="T6" i="9" s="1"/>
  <c r="AX12" i="7"/>
  <c r="T7" i="9" s="1"/>
  <c r="AX13" i="7"/>
  <c r="T8" i="9" s="1"/>
  <c r="AX14" i="7"/>
  <c r="T9" i="9" s="1"/>
  <c r="AX15" i="7"/>
  <c r="T10" i="9" s="1"/>
  <c r="AX16" i="7"/>
  <c r="T11" i="9" s="1"/>
  <c r="AX17" i="7"/>
  <c r="T12" i="9" s="1"/>
  <c r="AX18" i="7"/>
  <c r="T13" i="9" s="1"/>
  <c r="AX19" i="7"/>
  <c r="T14" i="9" s="1"/>
  <c r="AX20" i="7"/>
  <c r="T15" i="9" s="1"/>
  <c r="AX21" i="7"/>
  <c r="T16" i="9" s="1"/>
  <c r="AX22" i="7"/>
  <c r="T17" i="9" s="1"/>
  <c r="AX23" i="7"/>
  <c r="T18" i="9" s="1"/>
  <c r="AX24" i="7"/>
  <c r="T19" i="9" s="1"/>
  <c r="AX25" i="7"/>
  <c r="T20" i="9" s="1"/>
  <c r="AX26" i="7"/>
  <c r="T21" i="9" s="1"/>
  <c r="AX27" i="7"/>
  <c r="T22" i="9" s="1"/>
  <c r="AX28" i="7"/>
  <c r="T23" i="9" s="1"/>
  <c r="AX29" i="7"/>
  <c r="T24" i="9" s="1"/>
  <c r="AX30" i="7"/>
  <c r="T25" i="9" s="1"/>
  <c r="AX31" i="7"/>
  <c r="T26" i="9" s="1"/>
  <c r="AX32" i="7"/>
  <c r="T27" i="9" s="1"/>
  <c r="AX33" i="7"/>
  <c r="T28" i="9" s="1"/>
  <c r="AX34" i="7"/>
  <c r="T29" i="9" s="1"/>
  <c r="AX35" i="7"/>
  <c r="T30" i="9" s="1"/>
  <c r="AX36" i="7" l="1"/>
  <c r="T31" i="9" s="1"/>
  <c r="AX37" i="7"/>
  <c r="T32" i="9" s="1"/>
  <c r="AX38" i="7"/>
  <c r="AX39" i="7"/>
  <c r="AU15" i="7" l="1"/>
  <c r="AU16" i="7"/>
  <c r="AU17" i="7"/>
  <c r="AU18" i="7"/>
  <c r="AU19" i="7"/>
  <c r="AU20" i="7"/>
  <c r="AU21" i="7"/>
  <c r="AU22" i="7"/>
  <c r="AU23" i="7"/>
  <c r="AU24" i="7"/>
  <c r="AU25" i="7"/>
  <c r="AU26" i="7"/>
  <c r="AU27" i="7"/>
  <c r="AU28" i="7"/>
  <c r="AU29" i="7"/>
  <c r="AU30" i="7"/>
  <c r="AU31" i="7"/>
  <c r="AU32" i="7"/>
  <c r="AU33" i="7"/>
  <c r="AU34" i="7"/>
  <c r="AU35" i="7"/>
  <c r="AU36" i="7"/>
  <c r="AU37" i="7"/>
  <c r="AU8" i="7" l="1"/>
  <c r="AU9" i="7"/>
  <c r="AU10" i="7"/>
  <c r="AU11" i="7"/>
  <c r="AU12" i="7"/>
  <c r="AU13" i="7"/>
  <c r="AU14" i="7"/>
  <c r="AU7" i="7"/>
  <c r="R3" i="9" l="1"/>
  <c r="I3" i="5" s="1"/>
  <c r="R4" i="9"/>
  <c r="I4" i="5" s="1"/>
  <c r="R5" i="9"/>
  <c r="I5" i="5" s="1"/>
  <c r="R6" i="9"/>
  <c r="I6" i="5" s="1"/>
  <c r="R7" i="9"/>
  <c r="I7" i="5" s="1"/>
  <c r="R8" i="9"/>
  <c r="I8" i="5" s="1"/>
  <c r="R9" i="9"/>
  <c r="I9" i="5" s="1"/>
  <c r="R10" i="9"/>
  <c r="I10" i="5" s="1"/>
  <c r="R11" i="9"/>
  <c r="I11" i="5" s="1"/>
  <c r="R12" i="9"/>
  <c r="I12" i="5" s="1"/>
  <c r="R13" i="9"/>
  <c r="I13" i="5" s="1"/>
  <c r="R14" i="9"/>
  <c r="I14" i="5" s="1"/>
  <c r="R15" i="9"/>
  <c r="I15" i="5" s="1"/>
  <c r="R16" i="9"/>
  <c r="I16" i="5" s="1"/>
  <c r="R17" i="9"/>
  <c r="I17" i="5" s="1"/>
  <c r="R18" i="9"/>
  <c r="I18" i="5" s="1"/>
  <c r="R19" i="9"/>
  <c r="I19" i="5" s="1"/>
  <c r="R20" i="9"/>
  <c r="I20" i="5" s="1"/>
  <c r="R21" i="9"/>
  <c r="I21" i="5" s="1"/>
  <c r="R22" i="9"/>
  <c r="I22" i="5" s="1"/>
  <c r="R23" i="9"/>
  <c r="I23" i="5" s="1"/>
  <c r="R24" i="9"/>
  <c r="I24" i="5" s="1"/>
  <c r="R25" i="9"/>
  <c r="I25" i="5" s="1"/>
  <c r="R26" i="9"/>
  <c r="I26" i="5" s="1"/>
  <c r="R27" i="9"/>
  <c r="I27" i="5" s="1"/>
  <c r="R28" i="9"/>
  <c r="I28" i="5" s="1"/>
  <c r="R29" i="9"/>
  <c r="I29" i="5" s="1"/>
  <c r="R30" i="9"/>
  <c r="I30" i="5" s="1"/>
  <c r="R31" i="9"/>
  <c r="I31" i="5" s="1"/>
  <c r="R32" i="9"/>
  <c r="I32" i="5" s="1"/>
  <c r="R2" i="9"/>
  <c r="I2" i="5" s="1"/>
  <c r="AU38" i="7"/>
  <c r="AZ46" i="7" l="1"/>
  <c r="AZ47" i="7" s="1"/>
  <c r="BA39" i="7"/>
  <c r="AZ8" i="7"/>
  <c r="BA8" i="7" s="1"/>
  <c r="AZ9" i="7"/>
  <c r="BA9" i="7" s="1"/>
  <c r="AZ10" i="7"/>
  <c r="BA10" i="7" s="1"/>
  <c r="AZ11" i="7"/>
  <c r="BA11" i="7" s="1"/>
  <c r="AZ12" i="7"/>
  <c r="BA12" i="7" s="1"/>
  <c r="AZ13" i="7"/>
  <c r="BA13" i="7" s="1"/>
  <c r="AZ14" i="7"/>
  <c r="BA14" i="7" s="1"/>
  <c r="AZ15" i="7"/>
  <c r="BA15" i="7" s="1"/>
  <c r="AZ16" i="7"/>
  <c r="BA16" i="7" s="1"/>
  <c r="AZ17" i="7"/>
  <c r="BA17" i="7" s="1"/>
  <c r="S12" i="9" s="1"/>
  <c r="AZ18" i="7"/>
  <c r="BA18" i="7" s="1"/>
  <c r="S13" i="9" s="1"/>
  <c r="AZ19" i="7"/>
  <c r="BA19" i="7" s="1"/>
  <c r="AZ20" i="7"/>
  <c r="BA20" i="7" s="1"/>
  <c r="AZ21" i="7"/>
  <c r="BA21" i="7" s="1"/>
  <c r="S16" i="9" s="1"/>
  <c r="AZ22" i="7"/>
  <c r="BA22" i="7" s="1"/>
  <c r="S17" i="9" s="1"/>
  <c r="AZ23" i="7"/>
  <c r="BA23" i="7" s="1"/>
  <c r="AZ24" i="7"/>
  <c r="BA24" i="7" s="1"/>
  <c r="AZ25" i="7"/>
  <c r="BA25" i="7" s="1"/>
  <c r="S20" i="9" s="1"/>
  <c r="AZ26" i="7"/>
  <c r="BA26" i="7" s="1"/>
  <c r="S21" i="9" s="1"/>
  <c r="AZ27" i="7"/>
  <c r="BA27" i="7" s="1"/>
  <c r="AZ28" i="7"/>
  <c r="BA28" i="7" s="1"/>
  <c r="AZ29" i="7"/>
  <c r="BA29" i="7" s="1"/>
  <c r="S24" i="9" s="1"/>
  <c r="AZ30" i="7"/>
  <c r="BA30" i="7" s="1"/>
  <c r="S25" i="9" s="1"/>
  <c r="AZ31" i="7"/>
  <c r="BA31" i="7" s="1"/>
  <c r="AZ32" i="7"/>
  <c r="BA32" i="7" s="1"/>
  <c r="AZ33" i="7"/>
  <c r="BA33" i="7" s="1"/>
  <c r="S28" i="9" s="1"/>
  <c r="AZ34" i="7"/>
  <c r="BA34" i="7" s="1"/>
  <c r="S29" i="9" s="1"/>
  <c r="AZ35" i="7"/>
  <c r="BA35" i="7" s="1"/>
  <c r="AZ36" i="7"/>
  <c r="BA36" i="7" s="1"/>
  <c r="AZ37" i="7"/>
  <c r="BA37" i="7" s="1"/>
  <c r="S32" i="9" s="1"/>
  <c r="AZ38" i="7"/>
  <c r="AZ7" i="7"/>
  <c r="BA7" i="7" s="1"/>
  <c r="S31" i="9" l="1"/>
  <c r="BB36" i="7"/>
  <c r="S27" i="9"/>
  <c r="BB32" i="7"/>
  <c r="S23" i="9"/>
  <c r="BB28" i="7"/>
  <c r="S19" i="9"/>
  <c r="BB24" i="7"/>
  <c r="S15" i="9"/>
  <c r="BB20" i="7"/>
  <c r="S11" i="9"/>
  <c r="BB16" i="7"/>
  <c r="S9" i="9"/>
  <c r="BB14" i="7"/>
  <c r="S30" i="9"/>
  <c r="BB35" i="7"/>
  <c r="S26" i="9"/>
  <c r="BB31" i="7"/>
  <c r="S22" i="9"/>
  <c r="BB27" i="7"/>
  <c r="S18" i="9"/>
  <c r="BB23" i="7"/>
  <c r="S14" i="9"/>
  <c r="BB19" i="7"/>
  <c r="S10" i="9"/>
  <c r="BB15" i="7"/>
  <c r="BB34" i="7"/>
  <c r="BB30" i="7"/>
  <c r="BB26" i="7"/>
  <c r="BB22" i="7"/>
  <c r="BB18" i="7"/>
  <c r="BB37" i="7"/>
  <c r="BB33" i="7"/>
  <c r="BB29" i="7"/>
  <c r="BB25" i="7"/>
  <c r="BB21" i="7"/>
  <c r="BB17" i="7"/>
  <c r="S3" i="9"/>
  <c r="BB8" i="7"/>
  <c r="S5" i="9"/>
  <c r="BB10" i="7"/>
  <c r="S7" i="9"/>
  <c r="BB12" i="7"/>
  <c r="S2" i="9"/>
  <c r="BA38" i="7"/>
  <c r="BB38" i="7" s="1"/>
  <c r="BB7" i="7"/>
  <c r="S6" i="9"/>
  <c r="BB11" i="7"/>
  <c r="S8" i="9"/>
  <c r="BB13" i="7"/>
  <c r="S4" i="9"/>
  <c r="BB9" i="7"/>
  <c r="K32" i="5"/>
  <c r="B39" i="7" l="1"/>
  <c r="U32" i="9" l="1"/>
  <c r="Q33" i="7" l="1"/>
  <c r="U16" i="9" l="1"/>
  <c r="U17" i="9"/>
  <c r="G32" i="5" l="1"/>
  <c r="R12" i="7" l="1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R35" i="7"/>
  <c r="R36" i="7"/>
  <c r="R37" i="7"/>
  <c r="F32" i="9" s="1"/>
  <c r="X36" i="7" l="1"/>
  <c r="X37" i="7"/>
  <c r="L32" i="9" s="1"/>
  <c r="AB34" i="7" l="1"/>
  <c r="AB35" i="7"/>
  <c r="AB36" i="7"/>
  <c r="AB37" i="7"/>
  <c r="P32" i="9" s="1"/>
  <c r="P29" i="9" l="1"/>
  <c r="P30" i="9"/>
  <c r="U15" i="9"/>
  <c r="U18" i="9"/>
  <c r="U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P31" i="9"/>
  <c r="AC31" i="7" l="1"/>
  <c r="Q26" i="9" s="1"/>
  <c r="AC32" i="7"/>
  <c r="Q27" i="9" s="1"/>
  <c r="AC33" i="7"/>
  <c r="Q28" i="9" s="1"/>
  <c r="AC34" i="7"/>
  <c r="Q29" i="9" s="1"/>
  <c r="AC35" i="7"/>
  <c r="Q30" i="9" s="1"/>
  <c r="AC36" i="7"/>
  <c r="Q31" i="9" s="1"/>
  <c r="AC37" i="7"/>
  <c r="Q32" i="9" s="1"/>
  <c r="K29" i="5" l="1"/>
  <c r="U29" i="9"/>
  <c r="Q35" i="7" l="1"/>
  <c r="E30" i="9" s="1"/>
  <c r="Q34" i="7"/>
  <c r="E29" i="9" s="1"/>
  <c r="Q31" i="7"/>
  <c r="E26" i="9" s="1"/>
  <c r="E28" i="9"/>
  <c r="Q32" i="7"/>
  <c r="E27" i="9" s="1"/>
  <c r="AF34" i="7" l="1"/>
  <c r="Q37" i="7" l="1"/>
  <c r="E32" i="9" s="1"/>
  <c r="S37" i="7"/>
  <c r="G32" i="9" s="1"/>
  <c r="T37" i="7"/>
  <c r="H32" i="9" s="1"/>
  <c r="U37" i="7"/>
  <c r="I32" i="9" s="1"/>
  <c r="V37" i="7"/>
  <c r="J32" i="9" s="1"/>
  <c r="W37" i="7"/>
  <c r="K32" i="9" s="1"/>
  <c r="Y37" i="7"/>
  <c r="M32" i="9" s="1"/>
  <c r="Z37" i="7"/>
  <c r="N32" i="9" s="1"/>
  <c r="AA37" i="7"/>
  <c r="O32" i="9" s="1"/>
  <c r="E32" i="5" l="1"/>
  <c r="AN37" i="7"/>
  <c r="G31" i="5"/>
  <c r="AD37" i="7"/>
  <c r="AM37" i="7"/>
  <c r="AK37" i="7"/>
  <c r="AJ37" i="7"/>
  <c r="AP37" i="7"/>
  <c r="AH37" i="7"/>
  <c r="AO37" i="7"/>
  <c r="AG37" i="7"/>
  <c r="AR37" i="7"/>
  <c r="AF37" i="7"/>
  <c r="AL37" i="7"/>
  <c r="AQ37" i="7"/>
  <c r="AI37" i="7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30" i="5"/>
  <c r="K31" i="5"/>
  <c r="V21" i="7"/>
  <c r="U31" i="9"/>
  <c r="S7" i="7"/>
  <c r="AQ36" i="7"/>
  <c r="AA36" i="7"/>
  <c r="O31" i="9" s="1"/>
  <c r="Z36" i="7"/>
  <c r="N31" i="9" s="1"/>
  <c r="Y36" i="7"/>
  <c r="L31" i="9"/>
  <c r="W36" i="7"/>
  <c r="K31" i="9" s="1"/>
  <c r="V36" i="7"/>
  <c r="U36" i="7"/>
  <c r="I31" i="9" s="1"/>
  <c r="T36" i="7"/>
  <c r="H31" i="9" s="1"/>
  <c r="S36" i="7"/>
  <c r="Q36" i="7"/>
  <c r="E31" i="9" s="1"/>
  <c r="S8" i="7"/>
  <c r="G3" i="9" s="1"/>
  <c r="S9" i="7"/>
  <c r="S10" i="7"/>
  <c r="S11" i="7"/>
  <c r="S12" i="7"/>
  <c r="G7" i="9" s="1"/>
  <c r="Q22" i="7"/>
  <c r="K2" i="5"/>
  <c r="U3" i="9"/>
  <c r="U4" i="9"/>
  <c r="U5" i="9"/>
  <c r="U6" i="9"/>
  <c r="U7" i="9"/>
  <c r="U8" i="9"/>
  <c r="U9" i="9"/>
  <c r="U10" i="9"/>
  <c r="U11" i="9"/>
  <c r="U12" i="9"/>
  <c r="U13" i="9"/>
  <c r="U14" i="9"/>
  <c r="U20" i="9"/>
  <c r="U21" i="9"/>
  <c r="U22" i="9"/>
  <c r="U23" i="9"/>
  <c r="U24" i="9"/>
  <c r="U25" i="9"/>
  <c r="U26" i="9"/>
  <c r="U27" i="9"/>
  <c r="U28" i="9"/>
  <c r="U30" i="9"/>
  <c r="U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F8" i="9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F9" i="9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F10" i="9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F13" i="9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F16" i="9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F18" i="9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F23" i="9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F26" i="9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F27" i="9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F29" i="9"/>
  <c r="S34" i="7"/>
  <c r="T34" i="7"/>
  <c r="H29" i="9" s="1"/>
  <c r="U34" i="7"/>
  <c r="V34" i="7"/>
  <c r="W34" i="7"/>
  <c r="X34" i="7"/>
  <c r="Y34" i="7"/>
  <c r="M29" i="9" s="1"/>
  <c r="Z34" i="7"/>
  <c r="AA34" i="7"/>
  <c r="O29" i="9" s="1"/>
  <c r="AR34" i="7"/>
  <c r="S35" i="7"/>
  <c r="G30" i="9" s="1"/>
  <c r="T35" i="7"/>
  <c r="H30" i="9" s="1"/>
  <c r="U35" i="7"/>
  <c r="I30" i="9" s="1"/>
  <c r="V35" i="7"/>
  <c r="J30" i="9" s="1"/>
  <c r="W35" i="7"/>
  <c r="K30" i="9" s="1"/>
  <c r="X35" i="7"/>
  <c r="Y35" i="7"/>
  <c r="M30" i="9" s="1"/>
  <c r="Z35" i="7"/>
  <c r="N30" i="9" s="1"/>
  <c r="AA35" i="7"/>
  <c r="O30" i="9" s="1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2" i="9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X23" i="7"/>
  <c r="AC22" i="7"/>
  <c r="Q17" i="9" s="1"/>
  <c r="AC23" i="7"/>
  <c r="Q18" i="9" s="1"/>
  <c r="X22" i="7"/>
  <c r="L17" i="9" s="1"/>
  <c r="T20" i="7"/>
  <c r="H15" i="9" s="1"/>
  <c r="T21" i="7"/>
  <c r="AN36" i="7" l="1"/>
  <c r="M31" i="9"/>
  <c r="AK36" i="7"/>
  <c r="J31" i="9"/>
  <c r="AH36" i="7"/>
  <c r="G31" i="9"/>
  <c r="AG36" i="7"/>
  <c r="F31" i="9"/>
  <c r="G30" i="5"/>
  <c r="G29" i="5"/>
  <c r="AM35" i="7"/>
  <c r="L30" i="9"/>
  <c r="AG35" i="7"/>
  <c r="F30" i="9"/>
  <c r="AO34" i="7"/>
  <c r="N29" i="9"/>
  <c r="AM34" i="7"/>
  <c r="L29" i="9"/>
  <c r="AL34" i="7"/>
  <c r="K29" i="9"/>
  <c r="AK34" i="7"/>
  <c r="J29" i="9"/>
  <c r="AJ34" i="7"/>
  <c r="I29" i="9"/>
  <c r="AH34" i="7"/>
  <c r="G29" i="9"/>
  <c r="G28" i="5"/>
  <c r="AO33" i="7"/>
  <c r="N28" i="9"/>
  <c r="AN33" i="7"/>
  <c r="M28" i="9"/>
  <c r="AM33" i="7"/>
  <c r="L28" i="9"/>
  <c r="AG33" i="7"/>
  <c r="F28" i="9"/>
  <c r="G27" i="5"/>
  <c r="AO32" i="7"/>
  <c r="N27" i="9"/>
  <c r="AN32" i="7"/>
  <c r="M27" i="9"/>
  <c r="AJ32" i="7"/>
  <c r="I27" i="9"/>
  <c r="AI32" i="7"/>
  <c r="H27" i="9"/>
  <c r="G26" i="5"/>
  <c r="AL31" i="7"/>
  <c r="K26" i="9"/>
  <c r="AK31" i="7"/>
  <c r="J26" i="9"/>
  <c r="AH31" i="7"/>
  <c r="G26" i="9"/>
  <c r="G25" i="5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G24" i="5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G23" i="5"/>
  <c r="AR28" i="7"/>
  <c r="Q23" i="9"/>
  <c r="AO28" i="7"/>
  <c r="N23" i="9"/>
  <c r="AN28" i="7"/>
  <c r="M23" i="9"/>
  <c r="AL28" i="7"/>
  <c r="K23" i="9"/>
  <c r="AJ28" i="7"/>
  <c r="I23" i="9"/>
  <c r="AF28" i="7"/>
  <c r="E23" i="9"/>
  <c r="G22" i="5"/>
  <c r="AO27" i="7"/>
  <c r="N22" i="9"/>
  <c r="AK27" i="7"/>
  <c r="J22" i="9"/>
  <c r="AI27" i="7"/>
  <c r="H22" i="9"/>
  <c r="AH27" i="7"/>
  <c r="G22" i="9"/>
  <c r="AG27" i="7"/>
  <c r="F22" i="9"/>
  <c r="AF27" i="7"/>
  <c r="E22" i="9"/>
  <c r="G21" i="5"/>
  <c r="AR26" i="7"/>
  <c r="Q21" i="9"/>
  <c r="AO26" i="7"/>
  <c r="N21" i="9"/>
  <c r="AL26" i="7"/>
  <c r="K21" i="9"/>
  <c r="AK26" i="7"/>
  <c r="J21" i="9"/>
  <c r="AH26" i="7"/>
  <c r="G21" i="9"/>
  <c r="AG26" i="7"/>
  <c r="F21" i="9"/>
  <c r="G20" i="5"/>
  <c r="AR25" i="7"/>
  <c r="Q20" i="9"/>
  <c r="AL25" i="7"/>
  <c r="K20" i="9"/>
  <c r="AJ25" i="7"/>
  <c r="I20" i="9"/>
  <c r="AG25" i="7"/>
  <c r="F20" i="9"/>
  <c r="S38" i="7"/>
  <c r="G2" i="5"/>
  <c r="AO7" i="7"/>
  <c r="Z38" i="7"/>
  <c r="I2" i="9"/>
  <c r="U38" i="7"/>
  <c r="AP7" i="7"/>
  <c r="AA38" i="7"/>
  <c r="AL7" i="7"/>
  <c r="W38" i="7"/>
  <c r="AG7" i="7"/>
  <c r="R38" i="7"/>
  <c r="J2" i="9"/>
  <c r="V38" i="7"/>
  <c r="AR7" i="7"/>
  <c r="AC38" i="7"/>
  <c r="E2" i="9"/>
  <c r="Q38" i="7"/>
  <c r="M2" i="9"/>
  <c r="Y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G3" i="5"/>
  <c r="G4" i="5"/>
  <c r="G5" i="5"/>
  <c r="G19" i="5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G18" i="5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G15" i="5"/>
  <c r="AO20" i="7"/>
  <c r="N15" i="9"/>
  <c r="AL20" i="7"/>
  <c r="K15" i="9"/>
  <c r="AJ20" i="7"/>
  <c r="I15" i="9"/>
  <c r="AG20" i="7"/>
  <c r="F15" i="9"/>
  <c r="AF20" i="7"/>
  <c r="E15" i="9"/>
  <c r="G14" i="5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G12" i="5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G11" i="5"/>
  <c r="G10" i="5"/>
  <c r="G9" i="5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G8" i="5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G6" i="5"/>
  <c r="G7" i="5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O36" i="7"/>
  <c r="AI25" i="7"/>
  <c r="AJ35" i="7"/>
  <c r="AF36" i="7"/>
  <c r="AD36" i="7"/>
  <c r="AD35" i="7"/>
  <c r="AD34" i="7"/>
  <c r="AD33" i="7"/>
  <c r="AD32" i="7"/>
  <c r="AD31" i="7"/>
  <c r="AM28" i="7"/>
  <c r="G16" i="5"/>
  <c r="AG21" i="7"/>
  <c r="AN7" i="7"/>
  <c r="AL33" i="7"/>
  <c r="AL32" i="7"/>
  <c r="AG8" i="7"/>
  <c r="AO35" i="7"/>
  <c r="AF11" i="7"/>
  <c r="AJ33" i="7"/>
  <c r="AQ28" i="7"/>
  <c r="AI26" i="7"/>
  <c r="AQ24" i="7"/>
  <c r="G17" i="5"/>
  <c r="AK17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AK15" i="7"/>
  <c r="AK20" i="7"/>
  <c r="AK19" i="7"/>
  <c r="AQ19" i="7"/>
  <c r="AI9" i="7"/>
  <c r="AN20" i="7"/>
  <c r="AQ8" i="7"/>
  <c r="AR18" i="7"/>
  <c r="AJ12" i="7"/>
  <c r="AR31" i="7"/>
  <c r="AL16" i="7"/>
  <c r="AR12" i="7"/>
  <c r="AL9" i="7"/>
  <c r="AP35" i="7"/>
  <c r="AJ24" i="7"/>
  <c r="AI19" i="7"/>
  <c r="AO12" i="7"/>
  <c r="AN12" i="7"/>
  <c r="AN11" i="7"/>
  <c r="AI10" i="7"/>
  <c r="AN9" i="7"/>
  <c r="AL10" i="7"/>
  <c r="AN8" i="7"/>
  <c r="AJ8" i="7"/>
  <c r="N2" i="9"/>
  <c r="AQ7" i="7"/>
  <c r="AI7" i="7"/>
  <c r="L2" i="9"/>
  <c r="Q2" i="9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AQ33" i="7"/>
  <c r="AP32" i="7"/>
  <c r="AM32" i="7"/>
  <c r="AK33" i="7"/>
  <c r="AK32" i="7"/>
  <c r="AH32" i="7"/>
  <c r="AG31" i="7"/>
  <c r="AM31" i="7"/>
  <c r="AH30" i="7"/>
  <c r="AF31" i="7"/>
  <c r="AF30" i="7"/>
  <c r="AJ29" i="7"/>
  <c r="AD30" i="7"/>
  <c r="AQ29" i="7"/>
  <c r="AN29" i="7"/>
  <c r="AD29" i="7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G13" i="5"/>
  <c r="AD19" i="7"/>
  <c r="AO25" i="7"/>
  <c r="AH20" i="7"/>
  <c r="AD18" i="7"/>
  <c r="AF7" i="7"/>
  <c r="AO14" i="7"/>
  <c r="AD25" i="7"/>
  <c r="AD20" i="7"/>
  <c r="AD28" i="7"/>
  <c r="AD26" i="7"/>
  <c r="AR27" i="7"/>
  <c r="AH33" i="7"/>
  <c r="AM14" i="7"/>
  <c r="AN31" i="7"/>
  <c r="AF15" i="7"/>
  <c r="AM20" i="7"/>
  <c r="AM36" i="7"/>
  <c r="AH19" i="7"/>
  <c r="AH38" i="7" l="1"/>
  <c r="AJ38" i="7"/>
  <c r="AQ38" i="7"/>
  <c r="AK38" i="7"/>
  <c r="AI38" i="7"/>
  <c r="AR38" i="7"/>
  <c r="AP38" i="7"/>
  <c r="AO38" i="7"/>
  <c r="AN38" i="7"/>
  <c r="AM38" i="7"/>
  <c r="AL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<sst xmlns="http://schemas.openxmlformats.org/spreadsheetml/2006/main" count="138" uniqueCount="58">
  <si>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</si>
  <si>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</si>
  <si>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</si>
  <si>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</si>
  <si>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</si>
  <si>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</si>
  <si>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</si>
  <si>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</si>
  <si>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Total Fuel Oil  (Liters) </t>
  </si>
  <si>
    <t>Fuel Oil  $/Liter</t>
  </si>
  <si>
    <t xml:space="preserve">Room Nights </t>
  </si>
  <si>
    <t>Kuwait</t>
  </si>
  <si>
    <t>HT.02.02 - KWh</t>
  </si>
  <si>
    <t>HT.02.04 - KWh</t>
  </si>
  <si>
    <t>HT.02.07 - KWh</t>
  </si>
  <si>
    <t>HT.02.03 - KWh</t>
  </si>
  <si>
    <t>HT.02.06 - KWh</t>
  </si>
  <si>
    <t>HT.03.03 - KWh</t>
  </si>
  <si>
    <t>HT.03.07 - KWh</t>
  </si>
  <si>
    <t>HT.03.05 - KWh</t>
  </si>
  <si>
    <t>HT.03.08 - KWh</t>
  </si>
  <si>
    <t>HT.03.04 - KWh</t>
  </si>
  <si>
    <t>HT.03.06 - KWh</t>
  </si>
  <si>
    <t>HT.03.01 - KWh</t>
  </si>
  <si>
    <t>HT.03.02 - KWh</t>
  </si>
  <si>
    <t xml:space="preserve">Fuel (Liters) </t>
  </si>
  <si>
    <t>Water - m3</t>
  </si>
  <si>
    <t>Cooling Towers Water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</si>
  <si>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</si>
  <si>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</si>
  <si>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</si>
  <si>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</si>
  <si>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</si>
  <si>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</si>
  <si>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</si>
  <si>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</si>
  <si>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</si>
  <si>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</si>
  <si>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</si>
  <si>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</si>
  <si>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</si>
  <si>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</si>
  <si>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 xml:space="preserve">Room Night </t>
  </si>
  <si>
    <t>March</t>
  </si>
  <si>
    <t>Electricity - Meter No</t>
  </si>
  <si>
    <t>Electricity Consumption -KWh</t>
  </si>
  <si>
    <t>Total KWh</t>
  </si>
  <si>
    <t>Electricity Consumption - Amount</t>
  </si>
  <si>
    <t>Total Kd</t>
  </si>
  <si>
    <t>Fuel Consumption (%)</t>
  </si>
  <si>
    <t>Fuel Consumption (Liters)</t>
  </si>
  <si>
    <t>CT Water Meter Reading</t>
  </si>
  <si>
    <t>CT Consumption Cubic Meter</t>
  </si>
  <si>
    <t>Water Meter Reading</t>
  </si>
  <si>
    <t>Consumption Gallons</t>
  </si>
  <si>
    <t>Consumption Cubic Meter</t>
  </si>
  <si>
    <t>Total KD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</si>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</sst>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28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0"/>
      <color rgb="FF00B050"/>
      <name val="Arial"/>
      <family val="2"/>
    </font>
    <font>
      <sz val="11"/>
      <color rgb="FF0070C0"/>
      <name val="Calibri"/>
      <family val="2"/>
      <scheme val="minor"/>
    </font>
    <font>
      <b/>
      <i/>
      <sz val="10"/>
      <color rgb="FF0070C0"/>
      <name val="Arial"/>
      <family val="2"/>
    </font>
    <font>
      <sz val="11"/>
      <color rgb="FFFF0000"/>
      <name val="Calibri"/>
      <family val="2"/>
    </font>
    <font>
      <sz val="11"/>
      <color rgb="FF000000"/>
      <name val="Calibri"/>
      <family val="2"/>
    </font>
    <font>
      <sz val="11"/>
      <color rgb="FF4F81BD"/>
      <name val="Calibri"/>
      <family val="2"/>
    </font>
    <font>
      <sz val="11"/>
      <color rgb="FF000000"/>
      <name val="Calibri"/>
    </font>
    <font>
      <sz val="11"/>
      <color rgb="FF5B9BD5"/>
      <name val="Calibri"/>
    </font>
    <font>
      <sz val="11"/>
      <color rgb="FFFF0000"/>
      <name val="Calibri"/>
    </font>
    <font>
      <sz val="11"/>
      <color rgb="FF4472C4"/>
      <name val="Calibri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0"/>
        <bgColor theme="4" tint="0.79998168889431442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95B3D7"/>
      </top>
      <bottom/>
      <diagonal/>
    </border>
    <border>
      <left/>
      <right/>
      <top style="thin">
        <color rgb="FF9BC2E6"/>
      </top>
      <bottom/>
      <diagonal/>
    </border>
  </borders>
  <cellStyleXfs count="1">
    <xf numFmtId="0" fontId="0" fillId="0" borderId="0"/>
  </cellStyleXfs>
  <cellXfs count="110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15" fillId="0" borderId="2" xfId="0" applyFont="1" applyBorder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0" fillId="4" borderId="5" xfId="0" applyFill="1" applyBorder="1"/>
    <xf numFmtId="0" fontId="0" fillId="3" borderId="2" xfId="0" quotePrefix="1" applyFill="1" applyBorder="1"/>
    <xf numFmtId="0" fontId="0" fillId="5" borderId="2" xfId="0" quotePrefix="1" applyFill="1" applyBorder="1"/>
    <xf numFmtId="0" fontId="7" fillId="4" borderId="2" xfId="0" applyFont="1" applyFill="1" applyBorder="1"/>
    <xf numFmtId="0" fontId="7" fillId="4" borderId="2" xfId="0" quotePrefix="1" applyFont="1" applyFill="1" applyBorder="1"/>
    <xf numFmtId="0" fontId="7" fillId="6" borderId="2" xfId="0" quotePrefix="1" applyFont="1" applyFill="1" applyBorder="1"/>
    <xf numFmtId="0" fontId="7" fillId="0" borderId="2" xfId="0" quotePrefix="1" applyFont="1" applyBorder="1"/>
    <xf numFmtId="0" fontId="0" fillId="3" borderId="2" xfId="0" quotePrefix="1" applyFill="1" applyBorder="1" applyAlignment="1">
      <alignment horizontal="right"/>
    </xf>
    <xf numFmtId="0" fontId="7" fillId="4" borderId="2" xfId="0" quotePrefix="1" applyFont="1" applyFill="1" applyBorder="1" applyAlignment="1">
      <alignment horizontal="right"/>
    </xf>
    <xf numFmtId="2" fontId="2" fillId="0" borderId="2" xfId="0" applyNumberFormat="1" applyFont="1" applyBorder="1"/>
    <xf numFmtId="0" fontId="19" fillId="0" borderId="0" xfId="0" applyFont="1" applyAlignment="1">
      <alignment horizontal="center"/>
    </xf>
    <xf numFmtId="0" fontId="19" fillId="6" borderId="2" xfId="0" quotePrefix="1" applyFont="1" applyFill="1" applyBorder="1" applyAlignment="1">
      <alignment horizontal="center"/>
    </xf>
    <xf numFmtId="0" fontId="19" fillId="4" borderId="2" xfId="0" quotePrefix="1" applyFont="1" applyFill="1" applyBorder="1" applyAlignment="1">
      <alignment horizontal="center"/>
    </xf>
    <xf numFmtId="1" fontId="7" fillId="2" borderId="7" xfId="0" applyNumberFormat="1" applyFont="1" applyFill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7" borderId="11" xfId="0" applyFont="1" applyFill="1" applyBorder="1"/>
    <xf numFmtId="0" fontId="24" fillId="0" borderId="0" xfId="0" applyFont="1"/>
    <xf numFmtId="164" fontId="0" fillId="0" borderId="9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0" fontId="21" fillId="7" borderId="2" xfId="0" applyFont="1" applyFill="1" applyBorder="1" applyAlignment="1">
      <alignment horizontal="center"/>
    </xf>
    <xf numFmtId="0" fontId="24" fillId="3" borderId="10" xfId="0" applyFont="1" applyFill="1" applyBorder="1"/>
    <xf numFmtId="0" fontId="24" fillId="3" borderId="12" xfId="0" applyFont="1" applyFill="1" applyBorder="1"/>
    <xf numFmtId="0" fontId="24" fillId="3" borderId="13" xfId="0" applyFont="1" applyFill="1" applyBorder="1"/>
    <xf numFmtId="0" fontId="0" fillId="3" borderId="4" xfId="0" quotePrefix="1" applyFill="1" applyBorder="1"/>
    <xf numFmtId="0" fontId="21" fillId="0" borderId="10" xfId="0" applyFont="1" applyBorder="1"/>
    <xf numFmtId="0" fontId="23" fillId="0" borderId="3" xfId="0" applyFont="1" applyBorder="1" applyAlignment="1">
      <alignment horizontal="center" vertical="center"/>
    </xf>
    <xf numFmtId="0" fontId="21" fillId="0" borderId="14" xfId="0" applyFont="1" applyBorder="1"/>
    <xf numFmtId="0" fontId="19" fillId="4" borderId="4" xfId="0" quotePrefix="1" applyFont="1" applyFill="1" applyBorder="1" applyAlignment="1">
      <alignment horizontal="center"/>
    </xf>
    <xf numFmtId="0" fontId="7" fillId="0" borderId="4" xfId="0" quotePrefix="1" applyFont="1" applyBorder="1"/>
    <xf numFmtId="0" fontId="25" fillId="0" borderId="10" xfId="0" applyFont="1" applyBorder="1" applyAlignment="1">
      <alignment horizontal="center" vertical="center"/>
    </xf>
    <xf numFmtId="0" fontId="25" fillId="8" borderId="10" xfId="0" applyFont="1" applyFill="1" applyBorder="1" applyAlignment="1">
      <alignment horizontal="center" vertical="center"/>
    </xf>
    <xf numFmtId="0" fontId="26" fillId="0" borderId="10" xfId="0" applyFont="1" applyBorder="1"/>
    <xf numFmtId="0" fontId="0" fillId="3" borderId="10" xfId="0" quotePrefix="1" applyFill="1" applyBorder="1"/>
    <xf numFmtId="0" fontId="2" fillId="0" borderId="3" xfId="0" applyFont="1" applyBorder="1" applyAlignment="1">
      <alignment horizontal="center"/>
    </xf>
    <xf numFmtId="0" fontId="19" fillId="6" borderId="9" xfId="0" quotePrefix="1" applyFont="1" applyFill="1" applyBorder="1" applyAlignment="1">
      <alignment horizontal="center"/>
    </xf>
    <xf numFmtId="0" fontId="19" fillId="4" borderId="3" xfId="0" quotePrefix="1" applyFont="1" applyFill="1" applyBorder="1" applyAlignment="1">
      <alignment horizontal="center"/>
    </xf>
    <xf numFmtId="0" fontId="24" fillId="3" borderId="10" xfId="0" applyFont="1" applyFill="1" applyBorder="1" applyAlignment="1"/>
    <xf numFmtId="0" fontId="26" fillId="0" borderId="15" xfId="0" applyFont="1" applyBorder="1"/>
    <xf numFmtId="0" fontId="7" fillId="4" borderId="4" xfId="0" quotePrefix="1" applyFont="1" applyFill="1" applyBorder="1"/>
    <xf numFmtId="0" fontId="26" fillId="8" borderId="10" xfId="0" applyFont="1" applyFill="1" applyBorder="1" applyAlignment="1"/>
    <xf numFmtId="0" fontId="27" fillId="8" borderId="10" xfId="0" applyFont="1" applyFill="1" applyBorder="1" applyAlignment="1">
      <alignment horizontal="center"/>
    </xf>
    <xf numFmtId="0" fontId="19" fillId="6" borderId="8" xfId="0" quotePrefix="1" applyFont="1" applyFill="1" applyBorder="1" applyAlignment="1">
      <alignment horizontal="center"/>
    </xf>
    <xf numFmtId="0" fontId="27" fillId="0" borderId="1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 applyAlignment="1"/>
    <xf numFmtId="0" fontId="17" fillId="0" borderId="2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2"/>
  <sheetViews>
    <sheetView zoomScale="130" zoomScaleNormal="130" workbookViewId="0">
      <selection activeCell="C2" sqref="C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10" width="11.5703125" style="2"/>
    <col min="11" max="11" width="11.5703125" style="4"/>
  </cols>
  <sheetData>
    <row r="1" spans="1:11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44" t="s">
        <v>10</v>
      </c>
    </row>
    <row r="2" spans="1:11" s="13" customFormat="1" x14ac:dyDescent="0.25">
      <c r="A2" s="21" t="s">
        <v>11</v>
      </c>
      <c r="B2" s="11">
        <v>1</v>
      </c>
      <c r="C2" s="3">
        <v>3</v>
      </c>
      <c r="D2" s="11">
        <v>2023</v>
      </c>
      <c r="E2" s="12">
        <f>Submetering!E2+Submetering!F2+Submetering!G2+Submetering!H2+Submetering!I2+Submetering!J2+Submetering!K2+Submetering!L2+Submetering!M2+Submetering!N2+Submetering!O2+Submetering!P2+Submetering!Q2</f>
        <v>55500</v>
      </c>
      <c r="F2" s="11">
        <v>5.0000000000000001E-3</v>
      </c>
      <c r="G2" s="12">
        <f>Submetering!S2</f>
        <v>363.09</v>
      </c>
      <c r="H2" s="11">
        <v>0.44440000000000002</v>
      </c>
      <c r="I2" s="12">
        <f>Submetering!R2</f>
        <v>35.625</v>
      </c>
      <c r="J2" s="11">
        <v>0.14000000000000001</v>
      </c>
      <c r="K2" s="12">
        <f>Hotel!B7</f>
        <v>71</v>
      </c>
    </row>
    <row r="3" spans="1:11" s="15" customFormat="1" x14ac:dyDescent="0.25">
      <c r="A3" s="21" t="s">
        <v>11</v>
      </c>
      <c r="B3" s="14">
        <f>B2+1</f>
        <v>2</v>
      </c>
      <c r="C3" s="3">
        <v>3</v>
      </c>
      <c r="D3" s="11">
        <v>2023</v>
      </c>
      <c r="E3" s="12">
        <f>Submetering!E3+Submetering!F3+Submetering!G3+Submetering!H3+Submetering!I3+Submetering!J3+Submetering!K3+Submetering!L3+Submetering!M3+Submetering!N3+Submetering!O3+Submetering!P3+Submetering!Q3</f>
        <v>55620</v>
      </c>
      <c r="F3" s="11">
        <v>5.0000000000000001E-3</v>
      </c>
      <c r="G3" s="12">
        <f>Submetering!S3</f>
        <v>427.51800000000003</v>
      </c>
      <c r="H3" s="11">
        <v>0.44440000000000002</v>
      </c>
      <c r="I3" s="12">
        <f>Submetering!R3</f>
        <v>0</v>
      </c>
      <c r="J3" s="11">
        <v>0.14000000000000001</v>
      </c>
      <c r="K3" s="12">
        <f>Hotel!B8</f>
        <v>118</v>
      </c>
    </row>
    <row r="4" spans="1:11" s="15" customFormat="1" x14ac:dyDescent="0.25">
      <c r="A4" s="21" t="s">
        <v>11</v>
      </c>
      <c r="B4" s="14">
        <f t="shared" ref="B4:B32" si="0">B3+1</f>
        <v>3</v>
      </c>
      <c r="C4" s="3">
        <v>3</v>
      </c>
      <c r="D4" s="11">
        <v>2023</v>
      </c>
      <c r="E4" s="12">
        <f>Submetering!E4+Submetering!F4+Submetering!G4+Submetering!H4+Submetering!I4+Submetering!J4+Submetering!K4+Submetering!L4+Submetering!M4+Submetering!N4+Submetering!O4+Submetering!P4+Submetering!Q4</f>
        <v>55710</v>
      </c>
      <c r="F4" s="11">
        <v>5.0000000000000001E-3</v>
      </c>
      <c r="G4" s="12">
        <f>Submetering!S4</f>
        <v>412.77600000000001</v>
      </c>
      <c r="H4" s="11">
        <v>0.44440000000000002</v>
      </c>
      <c r="I4" s="12">
        <f>Submetering!R4</f>
        <v>0</v>
      </c>
      <c r="J4" s="11">
        <v>0.14000000000000001</v>
      </c>
      <c r="K4" s="12">
        <f>Hotel!B9</f>
        <v>185</v>
      </c>
    </row>
    <row r="5" spans="1:11" s="15" customFormat="1" x14ac:dyDescent="0.25">
      <c r="A5" s="21" t="s">
        <v>11</v>
      </c>
      <c r="B5" s="14">
        <f t="shared" si="0"/>
        <v>4</v>
      </c>
      <c r="C5" s="3">
        <v>3</v>
      </c>
      <c r="D5" s="11">
        <v>2023</v>
      </c>
      <c r="E5" s="12">
        <f>Submetering!E5+Submetering!F5+Submetering!G5+Submetering!H5+Submetering!I5+Submetering!J5+Submetering!K5+Submetering!L5+Submetering!M5+Submetering!N5+Submetering!O5+Submetering!P5+Submetering!Q5</f>
        <v>56600</v>
      </c>
      <c r="F5" s="11">
        <v>5.0000000000000001E-3</v>
      </c>
      <c r="G5" s="12">
        <f>Submetering!S5</f>
        <v>429.97499999999997</v>
      </c>
      <c r="H5" s="11">
        <v>0.44440000000000002</v>
      </c>
      <c r="I5" s="12">
        <f>Submetering!R5</f>
        <v>1282.5</v>
      </c>
      <c r="J5" s="11">
        <v>0.14000000000000001</v>
      </c>
      <c r="K5" s="12">
        <f>Hotel!B10</f>
        <v>119</v>
      </c>
    </row>
    <row r="6" spans="1:11" s="15" customFormat="1" x14ac:dyDescent="0.25">
      <c r="A6" s="21" t="s">
        <v>11</v>
      </c>
      <c r="B6" s="14">
        <f t="shared" si="0"/>
        <v>5</v>
      </c>
      <c r="C6" s="3">
        <v>3</v>
      </c>
      <c r="D6" s="11">
        <v>2023</v>
      </c>
      <c r="E6" s="12">
        <f>Submetering!E6+Submetering!F6+Submetering!G6+Submetering!H6+Submetering!I6+Submetering!J6+Submetering!K6+Submetering!L6+Submetering!M6+Submetering!N6+Submetering!O6+Submetering!P6+Submetering!Q6</f>
        <v>0</v>
      </c>
      <c r="F6" s="11">
        <v>5.0000000000000001E-3</v>
      </c>
      <c r="G6" s="12">
        <f>Submetering!S6</f>
        <v>0</v>
      </c>
      <c r="H6" s="11">
        <v>0.44440000000000002</v>
      </c>
      <c r="I6" s="12">
        <f>Submetering!R6</f>
        <v>0</v>
      </c>
      <c r="J6" s="11">
        <v>0.14000000000000001</v>
      </c>
      <c r="K6" s="12">
        <f>Hotel!B11</f>
        <v>0</v>
      </c>
    </row>
    <row r="7" spans="1:11" s="15" customFormat="1" x14ac:dyDescent="0.25">
      <c r="A7" s="21" t="s">
        <v>11</v>
      </c>
      <c r="B7" s="14">
        <f t="shared" si="0"/>
        <v>6</v>
      </c>
      <c r="C7" s="3">
        <v>3</v>
      </c>
      <c r="D7" s="11">
        <v>2023</v>
      </c>
      <c r="E7" s="12">
        <f>Submetering!E7+Submetering!F7+Submetering!G7+Submetering!H7+Submetering!I7+Submetering!J7+Submetering!K7+Submetering!L7+Submetering!M7+Submetering!N7+Submetering!O7+Submetering!P7+Submetering!Q7</f>
        <v>0</v>
      </c>
      <c r="F7" s="11">
        <v>5.0000000000000001E-3</v>
      </c>
      <c r="G7" s="12">
        <f>Submetering!S7</f>
        <v>0</v>
      </c>
      <c r="H7" s="11">
        <v>0.44440000000000002</v>
      </c>
      <c r="I7" s="12">
        <f>Submetering!R7</f>
        <v>0</v>
      </c>
      <c r="J7" s="11">
        <v>0.14000000000000001</v>
      </c>
      <c r="K7" s="12">
        <f>Hotel!B12</f>
        <v>0</v>
      </c>
    </row>
    <row r="8" spans="1:11" s="15" customFormat="1" x14ac:dyDescent="0.25">
      <c r="A8" s="21" t="s">
        <v>11</v>
      </c>
      <c r="B8" s="14">
        <f t="shared" si="0"/>
        <v>7</v>
      </c>
      <c r="C8" s="3">
        <v>3</v>
      </c>
      <c r="D8" s="11">
        <v>2023</v>
      </c>
      <c r="E8" s="12">
        <f>Submetering!E8+Submetering!F8+Submetering!G8+Submetering!H8+Submetering!I8+Submetering!J8+Submetering!K8+Submetering!L8+Submetering!M8+Submetering!N8+Submetering!O8+Submetering!P8+Submetering!Q8</f>
        <v>0</v>
      </c>
      <c r="F8" s="11">
        <v>5.0000000000000001E-3</v>
      </c>
      <c r="G8" s="12">
        <f>Submetering!S8</f>
        <v>0</v>
      </c>
      <c r="H8" s="11">
        <v>0.44440000000000002</v>
      </c>
      <c r="I8" s="12">
        <f>Submetering!R8</f>
        <v>0</v>
      </c>
      <c r="J8" s="11">
        <v>0.14000000000000001</v>
      </c>
      <c r="K8" s="12">
        <f>Hotel!B13</f>
        <v>0</v>
      </c>
    </row>
    <row r="9" spans="1:11" s="15" customFormat="1" x14ac:dyDescent="0.25">
      <c r="A9" s="21" t="s">
        <v>11</v>
      </c>
      <c r="B9" s="14">
        <f t="shared" si="0"/>
        <v>8</v>
      </c>
      <c r="C9" s="3">
        <v>3</v>
      </c>
      <c r="D9" s="11">
        <v>2023</v>
      </c>
      <c r="E9" s="12">
        <f>Submetering!E9+Submetering!F9+Submetering!G9+Submetering!H9+Submetering!I9+Submetering!J9+Submetering!K9+Submetering!L9+Submetering!M9+Submetering!N9+Submetering!O9+Submetering!P9+Submetering!Q9</f>
        <v>0</v>
      </c>
      <c r="F9" s="11">
        <v>5.0000000000000001E-3</v>
      </c>
      <c r="G9" s="12">
        <f>Submetering!S9</f>
        <v>0</v>
      </c>
      <c r="H9" s="11">
        <v>0.44440000000000002</v>
      </c>
      <c r="I9" s="12">
        <f>Submetering!R9</f>
        <v>0</v>
      </c>
      <c r="J9" s="11">
        <v>0.14000000000000001</v>
      </c>
      <c r="K9" s="12">
        <f>Hotel!B14</f>
        <v>0</v>
      </c>
    </row>
    <row r="10" spans="1:11" s="15" customFormat="1" x14ac:dyDescent="0.25">
      <c r="A10" s="21" t="s">
        <v>11</v>
      </c>
      <c r="B10" s="14">
        <f t="shared" si="0"/>
        <v>9</v>
      </c>
      <c r="C10" s="3">
        <v>3</v>
      </c>
      <c r="D10" s="11">
        <v>2023</v>
      </c>
      <c r="E10" s="12">
        <f>Submetering!E10+Submetering!F10+Submetering!G10+Submetering!H10+Submetering!I10+Submetering!J10+Submetering!K10+Submetering!L10+Submetering!M10+Submetering!N10+Submetering!O10+Submetering!P10+Submetering!Q10</f>
        <v>0</v>
      </c>
      <c r="F10" s="11">
        <v>5.0000000000000001E-3</v>
      </c>
      <c r="G10" s="12">
        <f>Submetering!S10</f>
        <v>0</v>
      </c>
      <c r="H10" s="11">
        <v>0.44440000000000002</v>
      </c>
      <c r="I10" s="12">
        <f>Submetering!R10</f>
        <v>0</v>
      </c>
      <c r="J10" s="11">
        <v>0.14000000000000001</v>
      </c>
      <c r="K10" s="12">
        <f>Hotel!B15</f>
        <v>0</v>
      </c>
    </row>
    <row r="11" spans="1:11" s="15" customFormat="1" x14ac:dyDescent="0.25">
      <c r="A11" s="21" t="s">
        <v>11</v>
      </c>
      <c r="B11" s="14">
        <f t="shared" si="0"/>
        <v>10</v>
      </c>
      <c r="C11" s="3">
        <v>3</v>
      </c>
      <c r="D11" s="11">
        <v>2023</v>
      </c>
      <c r="E11" s="12">
        <f>Submetering!E11+Submetering!F11+Submetering!G11+Submetering!H11+Submetering!I11+Submetering!J11+Submetering!K11+Submetering!L11+Submetering!M11+Submetering!N11+Submetering!O11+Submetering!P11+Submetering!Q11</f>
        <v>0</v>
      </c>
      <c r="F11" s="11">
        <v>5.0000000000000001E-3</v>
      </c>
      <c r="G11" s="12">
        <f>Submetering!S11</f>
        <v>0</v>
      </c>
      <c r="H11" s="11">
        <v>0.44440000000000002</v>
      </c>
      <c r="I11" s="12">
        <f>Submetering!R11</f>
        <v>0</v>
      </c>
      <c r="J11" s="11">
        <v>0.14000000000000001</v>
      </c>
      <c r="K11" s="12">
        <f>Hotel!B16</f>
        <v>0</v>
      </c>
    </row>
    <row r="12" spans="1:11" s="15" customFormat="1" x14ac:dyDescent="0.25">
      <c r="A12" s="21" t="s">
        <v>11</v>
      </c>
      <c r="B12" s="14">
        <f t="shared" si="0"/>
        <v>11</v>
      </c>
      <c r="C12" s="3">
        <v>3</v>
      </c>
      <c r="D12" s="11">
        <v>2023</v>
      </c>
      <c r="E12" s="12">
        <f>Submetering!E12+Submetering!F12+Submetering!G12+Submetering!H12+Submetering!I12+Submetering!J12+Submetering!K12+Submetering!L12+Submetering!M12+Submetering!N12+Submetering!O12+Submetering!P12+Submetering!Q12</f>
        <v>0</v>
      </c>
      <c r="F12" s="11">
        <v>5.0000000000000001E-3</v>
      </c>
      <c r="G12" s="12">
        <f>Submetering!S12</f>
        <v>0</v>
      </c>
      <c r="H12" s="11">
        <v>0.44440000000000002</v>
      </c>
      <c r="I12" s="12">
        <f>Submetering!R12</f>
        <v>0</v>
      </c>
      <c r="J12" s="11">
        <v>0.14000000000000001</v>
      </c>
      <c r="K12" s="12">
        <f>Hotel!B17</f>
        <v>0</v>
      </c>
    </row>
    <row r="13" spans="1:11" s="15" customFormat="1" x14ac:dyDescent="0.25">
      <c r="A13" s="21" t="s">
        <v>11</v>
      </c>
      <c r="B13" s="14">
        <f t="shared" si="0"/>
        <v>12</v>
      </c>
      <c r="C13" s="3">
        <v>3</v>
      </c>
      <c r="D13" s="11">
        <v>2023</v>
      </c>
      <c r="E13" s="12">
        <f>Submetering!E13+Submetering!F13+Submetering!G13+Submetering!H13+Submetering!I13+Submetering!J13+Submetering!K13+Submetering!L13+Submetering!M13+Submetering!N13+Submetering!O13+Submetering!P13+Submetering!Q13</f>
        <v>0</v>
      </c>
      <c r="F13" s="11">
        <v>5.0000000000000001E-3</v>
      </c>
      <c r="G13" s="12">
        <f>Submetering!S13</f>
        <v>0</v>
      </c>
      <c r="H13" s="11">
        <v>0.44440000000000002</v>
      </c>
      <c r="I13" s="12">
        <f>Submetering!R13</f>
        <v>0</v>
      </c>
      <c r="J13" s="11">
        <v>0.14000000000000001</v>
      </c>
      <c r="K13" s="12">
        <f>Hotel!B18</f>
        <v>0</v>
      </c>
    </row>
    <row r="14" spans="1:11" s="15" customFormat="1" x14ac:dyDescent="0.25">
      <c r="A14" s="21" t="s">
        <v>11</v>
      </c>
      <c r="B14" s="14">
        <f t="shared" si="0"/>
        <v>13</v>
      </c>
      <c r="C14" s="3">
        <v>3</v>
      </c>
      <c r="D14" s="11">
        <v>2023</v>
      </c>
      <c r="E14" s="12">
        <f>Submetering!E14+Submetering!F14+Submetering!G14+Submetering!H14+Submetering!I14+Submetering!J14+Submetering!K14+Submetering!L14+Submetering!M14+Submetering!N14+Submetering!O14+Submetering!P14+Submetering!Q14</f>
        <v>0</v>
      </c>
      <c r="F14" s="11">
        <v>5.0000000000000001E-3</v>
      </c>
      <c r="G14" s="12">
        <f>Submetering!S14</f>
        <v>0</v>
      </c>
      <c r="H14" s="11">
        <v>0.44440000000000002</v>
      </c>
      <c r="I14" s="12">
        <f>Submetering!R14</f>
        <v>0</v>
      </c>
      <c r="J14" s="11">
        <v>0.14000000000000001</v>
      </c>
      <c r="K14" s="12">
        <f>Hotel!B19</f>
        <v>0</v>
      </c>
    </row>
    <row r="15" spans="1:11" s="15" customFormat="1" x14ac:dyDescent="0.25">
      <c r="A15" s="21" t="s">
        <v>11</v>
      </c>
      <c r="B15" s="14">
        <f t="shared" si="0"/>
        <v>14</v>
      </c>
      <c r="C15" s="3">
        <v>3</v>
      </c>
      <c r="D15" s="11">
        <v>2023</v>
      </c>
      <c r="E15" s="12">
        <f>Submetering!E15+Submetering!F15+Submetering!G15+Submetering!H15+Submetering!I15+Submetering!J15+Submetering!K15+Submetering!L15+Submetering!M15+Submetering!N15+Submetering!O15+Submetering!P15+Submetering!Q15</f>
        <v>0</v>
      </c>
      <c r="F15" s="11">
        <v>5.0000000000000001E-3</v>
      </c>
      <c r="G15" s="12">
        <f>Submetering!S15</f>
        <v>0</v>
      </c>
      <c r="H15" s="11">
        <v>0.44440000000000002</v>
      </c>
      <c r="I15" s="12">
        <f>Submetering!R15</f>
        <v>0</v>
      </c>
      <c r="J15" s="11">
        <v>0.14000000000000001</v>
      </c>
      <c r="K15" s="12">
        <f>Hotel!B20</f>
        <v>0</v>
      </c>
    </row>
    <row r="16" spans="1:11" s="15" customFormat="1" x14ac:dyDescent="0.25">
      <c r="A16" s="21" t="s">
        <v>11</v>
      </c>
      <c r="B16" s="14">
        <f t="shared" si="0"/>
        <v>15</v>
      </c>
      <c r="C16" s="3">
        <v>3</v>
      </c>
      <c r="D16" s="11">
        <v>2023</v>
      </c>
      <c r="E16" s="12">
        <f>Submetering!E16+Submetering!F16+Submetering!G16+Submetering!H16+Submetering!I16+Submetering!J16+Submetering!K16+Submetering!L16+Submetering!M16+Submetering!N16+Submetering!O16+Submetering!P16+Submetering!Q16</f>
        <v>0</v>
      </c>
      <c r="F16" s="11">
        <v>5.0000000000000001E-3</v>
      </c>
      <c r="G16" s="12">
        <f>Submetering!S16</f>
        <v>0</v>
      </c>
      <c r="H16" s="11">
        <v>0.44440000000000002</v>
      </c>
      <c r="I16" s="12">
        <f>Submetering!R16</f>
        <v>0</v>
      </c>
      <c r="J16" s="11">
        <v>0.14000000000000001</v>
      </c>
      <c r="K16" s="12">
        <f>Hotel!B21</f>
        <v>0</v>
      </c>
    </row>
    <row r="17" spans="1:11" s="15" customFormat="1" x14ac:dyDescent="0.25">
      <c r="A17" s="21" t="s">
        <v>11</v>
      </c>
      <c r="B17" s="14">
        <f t="shared" si="0"/>
        <v>16</v>
      </c>
      <c r="C17" s="3">
        <v>3</v>
      </c>
      <c r="D17" s="11">
        <v>2023</v>
      </c>
      <c r="E17" s="12">
        <f>Submetering!E17+Submetering!F17+Submetering!G17+Submetering!H17+Submetering!I17+Submetering!J17+Submetering!K17+Submetering!L17+Submetering!M17+Submetering!N17+Submetering!O17+Submetering!P17+Submetering!Q17</f>
        <v>0</v>
      </c>
      <c r="F17" s="11">
        <v>5.0000000000000001E-3</v>
      </c>
      <c r="G17" s="12">
        <f>Submetering!S17</f>
        <v>0</v>
      </c>
      <c r="H17" s="11">
        <v>0.44440000000000002</v>
      </c>
      <c r="I17" s="12">
        <f>Submetering!R17</f>
        <v>0</v>
      </c>
      <c r="J17" s="11">
        <v>0.14000000000000001</v>
      </c>
      <c r="K17" s="12">
        <f>Hotel!B22</f>
        <v>0</v>
      </c>
    </row>
    <row r="18" spans="1:11" s="15" customFormat="1" x14ac:dyDescent="0.25">
      <c r="A18" s="21" t="s">
        <v>11</v>
      </c>
      <c r="B18" s="14">
        <f t="shared" si="0"/>
        <v>17</v>
      </c>
      <c r="C18" s="3">
        <v>3</v>
      </c>
      <c r="D18" s="11">
        <v>2023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Submetering!S18</f>
        <v>0</v>
      </c>
      <c r="H18" s="11">
        <v>0.44440000000000002</v>
      </c>
      <c r="I18" s="12">
        <f>Submetering!R18</f>
        <v>0</v>
      </c>
      <c r="J18" s="11">
        <v>0.14000000000000001</v>
      </c>
      <c r="K18" s="12">
        <f>Hotel!B23</f>
        <v>0</v>
      </c>
    </row>
    <row r="19" spans="1:11" s="15" customFormat="1" x14ac:dyDescent="0.25">
      <c r="A19" s="21" t="s">
        <v>11</v>
      </c>
      <c r="B19" s="14">
        <f t="shared" si="0"/>
        <v>18</v>
      </c>
      <c r="C19" s="3">
        <v>3</v>
      </c>
      <c r="D19" s="11">
        <v>2023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Submetering!S19</f>
        <v>0</v>
      </c>
      <c r="H19" s="11">
        <v>0.44440000000000002</v>
      </c>
      <c r="I19" s="12">
        <f>Submetering!R19</f>
        <v>0</v>
      </c>
      <c r="J19" s="11">
        <v>0.14000000000000001</v>
      </c>
      <c r="K19" s="12">
        <f>Hotel!B24</f>
        <v>0</v>
      </c>
    </row>
    <row r="20" spans="1:11" s="15" customFormat="1" x14ac:dyDescent="0.25">
      <c r="A20" s="21" t="s">
        <v>11</v>
      </c>
      <c r="B20" s="14">
        <f t="shared" si="0"/>
        <v>19</v>
      </c>
      <c r="C20" s="3">
        <v>3</v>
      </c>
      <c r="D20" s="11">
        <v>2023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Submetering!S20</f>
        <v>0</v>
      </c>
      <c r="H20" s="11">
        <v>0.44440000000000002</v>
      </c>
      <c r="I20" s="12">
        <f>Submetering!R20</f>
        <v>0</v>
      </c>
      <c r="J20" s="11">
        <v>0.14000000000000001</v>
      </c>
      <c r="K20" s="12">
        <f>Hotel!B25</f>
        <v>0</v>
      </c>
    </row>
    <row r="21" spans="1:11" s="15" customFormat="1" x14ac:dyDescent="0.25">
      <c r="A21" s="21" t="s">
        <v>11</v>
      </c>
      <c r="B21" s="14">
        <f t="shared" si="0"/>
        <v>20</v>
      </c>
      <c r="C21" s="3">
        <v>3</v>
      </c>
      <c r="D21" s="11">
        <v>2023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Submetering!S21</f>
        <v>0</v>
      </c>
      <c r="H21" s="11">
        <v>0.44440000000000002</v>
      </c>
      <c r="I21" s="12">
        <f>Submetering!R21</f>
        <v>0</v>
      </c>
      <c r="J21" s="11">
        <v>0.14000000000000001</v>
      </c>
      <c r="K21" s="12">
        <f>Hotel!B26</f>
        <v>0</v>
      </c>
    </row>
    <row r="22" spans="1:11" s="15" customFormat="1" x14ac:dyDescent="0.25">
      <c r="A22" s="21" t="s">
        <v>11</v>
      </c>
      <c r="B22" s="14">
        <f t="shared" si="0"/>
        <v>21</v>
      </c>
      <c r="C22" s="3">
        <v>3</v>
      </c>
      <c r="D22" s="11">
        <v>2023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Submetering!S22</f>
        <v>0</v>
      </c>
      <c r="H22" s="11">
        <v>0.44440000000000002</v>
      </c>
      <c r="I22" s="12">
        <f>Submetering!R22</f>
        <v>0</v>
      </c>
      <c r="J22" s="11">
        <v>0.14000000000000001</v>
      </c>
      <c r="K22" s="12">
        <f>Hotel!B27</f>
        <v>0</v>
      </c>
    </row>
    <row r="23" spans="1:11" s="15" customFormat="1" x14ac:dyDescent="0.25">
      <c r="A23" s="21" t="s">
        <v>11</v>
      </c>
      <c r="B23" s="14">
        <f t="shared" si="0"/>
        <v>22</v>
      </c>
      <c r="C23" s="3">
        <v>3</v>
      </c>
      <c r="D23" s="11">
        <v>2023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Submetering!S23</f>
        <v>0</v>
      </c>
      <c r="H23" s="11">
        <v>0.44440000000000002</v>
      </c>
      <c r="I23" s="12">
        <f>Submetering!R23</f>
        <v>0</v>
      </c>
      <c r="J23" s="11">
        <v>0.14000000000000001</v>
      </c>
      <c r="K23" s="12">
        <f>Hotel!B28</f>
        <v>0</v>
      </c>
    </row>
    <row r="24" spans="1:11" s="15" customFormat="1" x14ac:dyDescent="0.25">
      <c r="A24" s="21" t="s">
        <v>11</v>
      </c>
      <c r="B24" s="14">
        <f t="shared" si="0"/>
        <v>23</v>
      </c>
      <c r="C24" s="3">
        <v>3</v>
      </c>
      <c r="D24" s="11">
        <v>2023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Submetering!S24</f>
        <v>0</v>
      </c>
      <c r="H24" s="11">
        <v>0.44440000000000002</v>
      </c>
      <c r="I24" s="12">
        <f>Submetering!R24</f>
        <v>0</v>
      </c>
      <c r="J24" s="11">
        <v>0.14000000000000001</v>
      </c>
      <c r="K24" s="12">
        <f>Hotel!B29</f>
        <v>0</v>
      </c>
    </row>
    <row r="25" spans="1:11" s="15" customFormat="1" x14ac:dyDescent="0.25">
      <c r="A25" s="21" t="s">
        <v>11</v>
      </c>
      <c r="B25" s="14">
        <f t="shared" si="0"/>
        <v>24</v>
      </c>
      <c r="C25" s="3">
        <v>3</v>
      </c>
      <c r="D25" s="11">
        <v>2023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Submetering!S25</f>
        <v>0</v>
      </c>
      <c r="H25" s="11">
        <v>0.44440000000000002</v>
      </c>
      <c r="I25" s="12">
        <f>Submetering!R25</f>
        <v>0</v>
      </c>
      <c r="J25" s="11">
        <v>0.14000000000000001</v>
      </c>
      <c r="K25" s="12">
        <f>Hotel!B30</f>
        <v>0</v>
      </c>
    </row>
    <row r="26" spans="1:11" s="15" customFormat="1" x14ac:dyDescent="0.25">
      <c r="A26" s="21" t="s">
        <v>11</v>
      </c>
      <c r="B26" s="14">
        <f>B25+1</f>
        <v>25</v>
      </c>
      <c r="C26" s="3">
        <v>3</v>
      </c>
      <c r="D26" s="11">
        <v>2023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Submetering!S26</f>
        <v>0</v>
      </c>
      <c r="H26" s="11">
        <v>0.44440000000000002</v>
      </c>
      <c r="I26" s="12">
        <f>Submetering!R26</f>
        <v>0</v>
      </c>
      <c r="J26" s="11">
        <v>0.14000000000000001</v>
      </c>
      <c r="K26" s="12">
        <f>Hotel!B31</f>
        <v>0</v>
      </c>
    </row>
    <row r="27" spans="1:11" s="15" customFormat="1" x14ac:dyDescent="0.25">
      <c r="A27" s="21" t="s">
        <v>11</v>
      </c>
      <c r="B27" s="14">
        <f t="shared" si="0"/>
        <v>26</v>
      </c>
      <c r="C27" s="3">
        <v>3</v>
      </c>
      <c r="D27" s="11">
        <v>2023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Submetering!S27</f>
        <v>0</v>
      </c>
      <c r="H27" s="11">
        <v>0.44440000000000002</v>
      </c>
      <c r="I27" s="12">
        <f>Submetering!R27</f>
        <v>0</v>
      </c>
      <c r="J27" s="11">
        <v>0.14000000000000001</v>
      </c>
      <c r="K27" s="12">
        <f>Hotel!B32</f>
        <v>0</v>
      </c>
    </row>
    <row r="28" spans="1:11" s="15" customFormat="1" x14ac:dyDescent="0.25">
      <c r="A28" s="21" t="s">
        <v>11</v>
      </c>
      <c r="B28" s="14">
        <f t="shared" si="0"/>
        <v>27</v>
      </c>
      <c r="C28" s="3">
        <v>3</v>
      </c>
      <c r="D28" s="11">
        <v>2023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Submetering!S28</f>
        <v>0</v>
      </c>
      <c r="H28" s="11">
        <v>0.44440000000000002</v>
      </c>
      <c r="I28" s="12">
        <f>Submetering!R28</f>
        <v>0</v>
      </c>
      <c r="J28" s="11">
        <v>0.14000000000000001</v>
      </c>
      <c r="K28" s="12">
        <f>Hotel!B33</f>
        <v>0</v>
      </c>
    </row>
    <row r="29" spans="1:11" s="15" customFormat="1" x14ac:dyDescent="0.25">
      <c r="A29" s="21" t="s">
        <v>11</v>
      </c>
      <c r="B29" s="14">
        <f t="shared" si="0"/>
        <v>28</v>
      </c>
      <c r="C29" s="3">
        <v>3</v>
      </c>
      <c r="D29" s="11">
        <v>2023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Submetering!S29</f>
        <v>0</v>
      </c>
      <c r="H29" s="11">
        <v>0.44440000000000002</v>
      </c>
      <c r="I29" s="12">
        <f>Submetering!R29</f>
        <v>0</v>
      </c>
      <c r="J29" s="11">
        <v>0.14000000000000001</v>
      </c>
      <c r="K29" s="12">
        <f>Hotel!B34</f>
        <v>0</v>
      </c>
    </row>
    <row r="30" spans="1:11" s="15" customFormat="1" x14ac:dyDescent="0.25">
      <c r="A30" s="21" t="s">
        <v>11</v>
      </c>
      <c r="B30" s="14">
        <f t="shared" si="0"/>
        <v>29</v>
      </c>
      <c r="C30" s="3">
        <v>3</v>
      </c>
      <c r="D30" s="11">
        <v>2023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Submetering!S30</f>
        <v>0</v>
      </c>
      <c r="H30" s="11">
        <v>0.44440000000000002</v>
      </c>
      <c r="I30" s="12">
        <f>Submetering!R30</f>
        <v>0</v>
      </c>
      <c r="J30" s="11">
        <v>0.14000000000000001</v>
      </c>
      <c r="K30" s="12">
        <f>Hotel!B35</f>
        <v>0</v>
      </c>
    </row>
    <row r="31" spans="1:11" s="13" customFormat="1" x14ac:dyDescent="0.25">
      <c r="A31" s="21" t="s">
        <v>11</v>
      </c>
      <c r="B31" s="14">
        <f t="shared" si="0"/>
        <v>30</v>
      </c>
      <c r="C31" s="3">
        <v>3</v>
      </c>
      <c r="D31" s="11">
        <v>2023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Submetering!S31</f>
        <v>0</v>
      </c>
      <c r="H31" s="11">
        <v>0.44440000000000002</v>
      </c>
      <c r="I31" s="12">
        <f>Submetering!R31</f>
        <v>0</v>
      </c>
      <c r="J31" s="11">
        <v>0.14000000000000001</v>
      </c>
      <c r="K31" s="12">
        <f>Hotel!B36</f>
        <v>0</v>
      </c>
    </row>
    <row r="32" spans="1:11" x14ac:dyDescent="0.25">
      <c r="A32" s="21" t="s">
        <v>11</v>
      </c>
      <c r="B32" s="14">
        <f t="shared" si="0"/>
        <v>31</v>
      </c>
      <c r="C32" s="3">
        <v>3</v>
      </c>
      <c r="D32" s="11">
        <v>2023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Submetering!S32</f>
        <v>0</v>
      </c>
      <c r="H32" s="11">
        <v>0.44440000000000002</v>
      </c>
      <c r="I32" s="12">
        <f>Submetering!R32</f>
        <v>0</v>
      </c>
      <c r="J32" s="11">
        <v>0.14000000000000001</v>
      </c>
      <c r="K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U32"/>
  <sheetViews>
    <sheetView workbookViewId="0">
      <selection activeCell="T2" sqref="T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20" width="11.5703125" style="4"/>
    <col min="21" max="21" width="11.5703125" style="2"/>
  </cols>
  <sheetData>
    <row r="1" spans="1:21" s="1" customFormat="1" ht="45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12</v>
      </c>
      <c r="F1" s="17" t="s">
        <v>13</v>
      </c>
      <c r="G1" s="17" t="s">
        <v>14</v>
      </c>
      <c r="H1" s="17" t="s">
        <v>15</v>
      </c>
      <c r="I1" s="17" t="s">
        <v>16</v>
      </c>
      <c r="J1" s="17" t="s">
        <v>17</v>
      </c>
      <c r="K1" s="17" t="s">
        <v>18</v>
      </c>
      <c r="L1" s="17" t="s">
        <v>19</v>
      </c>
      <c r="M1" s="17" t="s">
        <v>20</v>
      </c>
      <c r="N1" s="17" t="s">
        <v>21</v>
      </c>
      <c r="O1" s="17" t="s">
        <v>22</v>
      </c>
      <c r="P1" s="17" t="s">
        <v>23</v>
      </c>
      <c r="Q1" s="17" t="s">
        <v>24</v>
      </c>
      <c r="R1" s="17" t="s">
        <v>25</v>
      </c>
      <c r="S1" s="17" t="s">
        <v>26</v>
      </c>
      <c r="T1" s="17" t="s">
        <v>27</v>
      </c>
      <c r="U1" s="18" t="s">
        <v>10</v>
      </c>
    </row>
    <row r="2" spans="1:21" x14ac:dyDescent="0.25">
      <c r="A2" s="21" t="s">
        <v>11</v>
      </c>
      <c r="B2" s="2">
        <v>1</v>
      </c>
      <c r="C2" s="3">
        <f>TOTAL!C2</f>
        <v>3</v>
      </c>
      <c r="D2" s="11">
        <v>2023</v>
      </c>
      <c r="E2" s="4">
        <f>Hotel!Q7</f>
        <v>560</v>
      </c>
      <c r="F2" s="4">
        <f>Hotel!R7</f>
        <v>1890</v>
      </c>
      <c r="G2" s="4">
        <f>Hotel!S7</f>
        <v>3130</v>
      </c>
      <c r="H2" s="4">
        <f>Hotel!T7</f>
        <v>980</v>
      </c>
      <c r="I2" s="4">
        <f>Hotel!U7</f>
        <v>5820</v>
      </c>
      <c r="J2" s="4">
        <f>Hotel!V7</f>
        <v>4200</v>
      </c>
      <c r="K2" s="4">
        <f>Hotel!W7</f>
        <v>3230</v>
      </c>
      <c r="L2" s="4">
        <f>Hotel!X7</f>
        <v>4070</v>
      </c>
      <c r="M2" s="4">
        <f>Hotel!Y7</f>
        <v>5740</v>
      </c>
      <c r="N2" s="4">
        <f>Hotel!Z7</f>
        <v>2450</v>
      </c>
      <c r="O2" s="4">
        <f>Hotel!AA7</f>
        <v>3040</v>
      </c>
      <c r="P2" s="4">
        <f>Hotel!AB7</f>
        <v>7360</v>
      </c>
      <c r="Q2" s="4">
        <f>Hotel!AC7</f>
        <v>13030</v>
      </c>
      <c r="R2" s="4">
        <f>Hotel!AU7</f>
        <v>35.625</v>
      </c>
      <c r="S2" s="4">
        <f>Hotel!BA7</f>
        <v>363.09</v>
      </c>
      <c r="T2" s="4">
        <f>Hotel!AX7</f>
        <v>137</v>
      </c>
      <c r="U2" s="4">
        <f>Hotel!B7</f>
        <v>71</v>
      </c>
    </row>
    <row r="3" spans="1:21" x14ac:dyDescent="0.25">
      <c r="A3" s="21" t="s">
        <v>11</v>
      </c>
      <c r="B3" s="2">
        <f>B2+1</f>
        <v>2</v>
      </c>
      <c r="C3" s="3">
        <f>TOTAL!C3</f>
        <v>3</v>
      </c>
      <c r="D3" s="11">
        <v>2023</v>
      </c>
      <c r="E3" s="4">
        <f>Hotel!Q8</f>
        <v>560</v>
      </c>
      <c r="F3" s="4">
        <f>Hotel!R8</f>
        <v>1890</v>
      </c>
      <c r="G3" s="4">
        <f>Hotel!S8</f>
        <v>3140</v>
      </c>
      <c r="H3" s="4">
        <f>Hotel!T8</f>
        <v>980</v>
      </c>
      <c r="I3" s="4">
        <f>Hotel!U8</f>
        <v>6060</v>
      </c>
      <c r="J3" s="4">
        <f>Hotel!V8</f>
        <v>4300</v>
      </c>
      <c r="K3" s="4">
        <f>Hotel!W8</f>
        <v>3130</v>
      </c>
      <c r="L3" s="4">
        <f>Hotel!X8</f>
        <v>4220</v>
      </c>
      <c r="M3" s="4">
        <f>Hotel!Y8</f>
        <v>5720</v>
      </c>
      <c r="N3" s="4">
        <f>Hotel!Z8</f>
        <v>2450</v>
      </c>
      <c r="O3" s="4">
        <f>Hotel!AA8</f>
        <v>3220</v>
      </c>
      <c r="P3" s="4">
        <f>Hotel!AB8</f>
        <v>7380</v>
      </c>
      <c r="Q3" s="4">
        <f>Hotel!AC8</f>
        <v>12570</v>
      </c>
      <c r="R3" s="4">
        <f>Hotel!AU8</f>
        <v>0</v>
      </c>
      <c r="S3" s="4">
        <f>Hotel!BA8</f>
        <v>427.51800000000003</v>
      </c>
      <c r="T3" s="4">
        <f>Hotel!AX8</f>
        <v>137</v>
      </c>
      <c r="U3" s="4">
        <f>Hotel!B8</f>
        <v>118</v>
      </c>
    </row>
    <row r="4" spans="1:21" x14ac:dyDescent="0.25">
      <c r="A4" s="21" t="s">
        <v>11</v>
      </c>
      <c r="B4" s="2">
        <f t="shared" ref="B4:B29" si="0">B3+1</f>
        <v>3</v>
      </c>
      <c r="C4" s="3">
        <f>TOTAL!C4</f>
        <v>3</v>
      </c>
      <c r="D4" s="11">
        <v>2023</v>
      </c>
      <c r="E4" s="4">
        <f>Hotel!Q9</f>
        <v>520</v>
      </c>
      <c r="F4" s="4">
        <f>Hotel!R9</f>
        <v>1760</v>
      </c>
      <c r="G4" s="4">
        <f>Hotel!S9</f>
        <v>3230</v>
      </c>
      <c r="H4" s="4">
        <f>Hotel!T9</f>
        <v>910</v>
      </c>
      <c r="I4" s="4">
        <f>Hotel!U9</f>
        <v>6280</v>
      </c>
      <c r="J4" s="4">
        <f>Hotel!V9</f>
        <v>4070</v>
      </c>
      <c r="K4" s="4">
        <f>Hotel!W9</f>
        <v>3150</v>
      </c>
      <c r="L4" s="4">
        <f>Hotel!X9</f>
        <v>4150</v>
      </c>
      <c r="M4" s="4">
        <f>Hotel!Y9</f>
        <v>5740</v>
      </c>
      <c r="N4" s="4">
        <f>Hotel!Z9</f>
        <v>2590</v>
      </c>
      <c r="O4" s="4">
        <f>Hotel!AA9</f>
        <v>3210</v>
      </c>
      <c r="P4" s="4">
        <f>Hotel!AB9</f>
        <v>7200</v>
      </c>
      <c r="Q4" s="4">
        <f>Hotel!AC9</f>
        <v>12900</v>
      </c>
      <c r="R4" s="4">
        <f>Hotel!AU9</f>
        <v>0</v>
      </c>
      <c r="S4" s="4">
        <f>Hotel!BA9</f>
        <v>412.77600000000001</v>
      </c>
      <c r="T4" s="4">
        <f>Hotel!AX9</f>
        <v>136</v>
      </c>
      <c r="U4" s="4">
        <f>Hotel!B9</f>
        <v>185</v>
      </c>
    </row>
    <row r="5" spans="1:21" x14ac:dyDescent="0.25">
      <c r="A5" s="21" t="s">
        <v>11</v>
      </c>
      <c r="B5" s="2">
        <f t="shared" si="0"/>
        <v>4</v>
      </c>
      <c r="C5" s="3">
        <f>TOTAL!C5</f>
        <v>3</v>
      </c>
      <c r="D5" s="11">
        <v>2023</v>
      </c>
      <c r="E5" s="4">
        <f>Hotel!Q10</f>
        <v>540</v>
      </c>
      <c r="F5" s="4">
        <f>Hotel!R10</f>
        <v>1810</v>
      </c>
      <c r="G5" s="4">
        <f>Hotel!S10</f>
        <v>3330</v>
      </c>
      <c r="H5" s="4">
        <f>Hotel!T10</f>
        <v>940</v>
      </c>
      <c r="I5" s="4">
        <f>Hotel!U10</f>
        <v>6320</v>
      </c>
      <c r="J5" s="4">
        <f>Hotel!V10</f>
        <v>4130</v>
      </c>
      <c r="K5" s="4">
        <f>Hotel!W10</f>
        <v>2790</v>
      </c>
      <c r="L5" s="4">
        <f>Hotel!X10</f>
        <v>4210</v>
      </c>
      <c r="M5" s="4">
        <f>Hotel!Y10</f>
        <v>6030</v>
      </c>
      <c r="N5" s="4">
        <f>Hotel!Z10</f>
        <v>2610</v>
      </c>
      <c r="O5" s="4">
        <f>Hotel!AA10</f>
        <v>3200</v>
      </c>
      <c r="P5" s="4">
        <f>Hotel!AB10</f>
        <v>7310</v>
      </c>
      <c r="Q5" s="4">
        <f>Hotel!AC10</f>
        <v>13380</v>
      </c>
      <c r="R5" s="4">
        <f>Hotel!AU10</f>
        <v>1282.5</v>
      </c>
      <c r="S5" s="4">
        <f>Hotel!BA10</f>
        <v>429.97499999999997</v>
      </c>
      <c r="T5" s="4">
        <f>Hotel!AX10</f>
        <v>135</v>
      </c>
      <c r="U5" s="4">
        <f>Hotel!B10</f>
        <v>119</v>
      </c>
    </row>
    <row r="6" spans="1:21" x14ac:dyDescent="0.25">
      <c r="A6" s="21" t="s">
        <v>11</v>
      </c>
      <c r="B6" s="2">
        <f t="shared" si="0"/>
        <v>5</v>
      </c>
      <c r="C6" s="3">
        <f>TOTAL!C6</f>
        <v>3</v>
      </c>
      <c r="D6" s="11">
        <v>2023</v>
      </c>
      <c r="E6" s="4" t="str">
        <f>Hotel!Q11</f>
        <v>0</v>
      </c>
      <c r="F6" s="4" t="str">
        <f>Hotel!R11</f>
        <v>0</v>
      </c>
      <c r="G6" s="4" t="str">
        <f>Hotel!S11</f>
        <v>0</v>
      </c>
      <c r="H6" s="4" t="str">
        <f>Hotel!T11</f>
        <v>0</v>
      </c>
      <c r="I6" s="4" t="str">
        <f>Hotel!U11</f>
        <v>0</v>
      </c>
      <c r="J6" s="4" t="str">
        <f>Hotel!V11</f>
        <v>0</v>
      </c>
      <c r="K6" s="4" t="str">
        <f>Hotel!W11</f>
        <v>0</v>
      </c>
      <c r="L6" s="4" t="str">
        <f>Hotel!X11</f>
        <v>0</v>
      </c>
      <c r="M6" s="4" t="str">
        <f>Hotel!Y11</f>
        <v>0</v>
      </c>
      <c r="N6" s="4" t="str">
        <f>Hotel!Z11</f>
        <v>0</v>
      </c>
      <c r="O6" s="4" t="str">
        <f>Hotel!AA11</f>
        <v>0</v>
      </c>
      <c r="P6" s="4" t="str">
        <f>Hotel!AB11</f>
        <v>0</v>
      </c>
      <c r="Q6" s="4" t="str">
        <f>Hotel!AC11</f>
        <v>0</v>
      </c>
      <c r="R6" s="4">
        <f>Hotel!AU11</f>
        <v>0</v>
      </c>
      <c r="S6" s="4">
        <f>Hotel!BA11</f>
        <v>0</v>
      </c>
      <c r="T6" s="4" t="str">
        <f>Hotel!AX11</f>
        <v>0</v>
      </c>
      <c r="U6" s="4">
        <f>Hotel!B11</f>
        <v>0</v>
      </c>
    </row>
    <row r="7" spans="1:21" x14ac:dyDescent="0.25">
      <c r="A7" s="21" t="s">
        <v>11</v>
      </c>
      <c r="B7" s="2">
        <f t="shared" si="0"/>
        <v>6</v>
      </c>
      <c r="C7" s="3">
        <f>TOTAL!C7</f>
        <v>3</v>
      </c>
      <c r="D7" s="11">
        <v>2023</v>
      </c>
      <c r="E7" s="4">
        <f>Hotel!Q12</f>
        <v>0</v>
      </c>
      <c r="F7" s="4">
        <f>Hotel!R12</f>
        <v>0</v>
      </c>
      <c r="G7" s="4">
        <f>Hotel!S12</f>
        <v>0</v>
      </c>
      <c r="H7" s="4">
        <f>Hotel!T12</f>
        <v>0</v>
      </c>
      <c r="I7" s="4">
        <f>Hotel!U12</f>
        <v>0</v>
      </c>
      <c r="J7" s="4">
        <f>Hotel!V12</f>
        <v>0</v>
      </c>
      <c r="K7" s="4">
        <f>Hotel!W12</f>
        <v>0</v>
      </c>
      <c r="L7" s="4">
        <f>Hotel!X12</f>
        <v>0</v>
      </c>
      <c r="M7" s="4">
        <f>Hotel!Y12</f>
        <v>0</v>
      </c>
      <c r="N7" s="4">
        <f>Hotel!Z12</f>
        <v>0</v>
      </c>
      <c r="O7" s="4">
        <f>Hotel!AA12</f>
        <v>0</v>
      </c>
      <c r="P7" s="4">
        <f>Hotel!AB12</f>
        <v>0</v>
      </c>
      <c r="Q7" s="4">
        <f>Hotel!AC12</f>
        <v>0</v>
      </c>
      <c r="R7" s="4">
        <f>Hotel!AU12</f>
        <v>0</v>
      </c>
      <c r="S7" s="4">
        <f>Hotel!BA12</f>
        <v>0</v>
      </c>
      <c r="T7" s="4">
        <f>Hotel!AX12</f>
        <v>0</v>
      </c>
      <c r="U7" s="4">
        <f>Hotel!B12</f>
        <v>0</v>
      </c>
    </row>
    <row r="8" spans="1:21" x14ac:dyDescent="0.25">
      <c r="A8" s="21" t="s">
        <v>11</v>
      </c>
      <c r="B8" s="2">
        <f t="shared" si="0"/>
        <v>7</v>
      </c>
      <c r="C8" s="3">
        <f>TOTAL!C8</f>
        <v>3</v>
      </c>
      <c r="D8" s="11">
        <v>2023</v>
      </c>
      <c r="E8" s="4">
        <f>Hotel!Q13</f>
        <v>0</v>
      </c>
      <c r="F8" s="4">
        <f>Hotel!R13</f>
        <v>0</v>
      </c>
      <c r="G8" s="4">
        <f>Hotel!S13</f>
        <v>0</v>
      </c>
      <c r="H8" s="4">
        <f>Hotel!T13</f>
        <v>0</v>
      </c>
      <c r="I8" s="4">
        <f>Hotel!U13</f>
        <v>0</v>
      </c>
      <c r="J8" s="4">
        <f>Hotel!V13</f>
        <v>0</v>
      </c>
      <c r="K8" s="4">
        <f>Hotel!W13</f>
        <v>0</v>
      </c>
      <c r="L8" s="4">
        <f>Hotel!X13</f>
        <v>0</v>
      </c>
      <c r="M8" s="4">
        <f>Hotel!Y13</f>
        <v>0</v>
      </c>
      <c r="N8" s="4">
        <f>Hotel!Z13</f>
        <v>0</v>
      </c>
      <c r="O8" s="4">
        <f>Hotel!AA13</f>
        <v>0</v>
      </c>
      <c r="P8" s="4">
        <f>Hotel!AB13</f>
        <v>0</v>
      </c>
      <c r="Q8" s="4">
        <f>Hotel!AC13</f>
        <v>0</v>
      </c>
      <c r="R8" s="4">
        <f>Hotel!AU13</f>
        <v>0</v>
      </c>
      <c r="S8" s="4">
        <f>Hotel!BA13</f>
        <v>0</v>
      </c>
      <c r="T8" s="4">
        <f>Hotel!AX13</f>
        <v>0</v>
      </c>
      <c r="U8" s="4">
        <f>Hotel!B13</f>
        <v>0</v>
      </c>
    </row>
    <row r="9" spans="1:21" x14ac:dyDescent="0.25">
      <c r="A9" s="21" t="s">
        <v>11</v>
      </c>
      <c r="B9" s="2">
        <f t="shared" si="0"/>
        <v>8</v>
      </c>
      <c r="C9" s="3">
        <f>TOTAL!C9</f>
        <v>3</v>
      </c>
      <c r="D9" s="11">
        <v>2023</v>
      </c>
      <c r="E9" s="4">
        <f>Hotel!Q14</f>
        <v>0</v>
      </c>
      <c r="F9" s="4">
        <f>Hotel!R14</f>
        <v>0</v>
      </c>
      <c r="G9" s="4">
        <f>Hotel!S14</f>
        <v>0</v>
      </c>
      <c r="H9" s="4">
        <f>Hotel!T14</f>
        <v>0</v>
      </c>
      <c r="I9" s="4">
        <f>Hotel!U14</f>
        <v>0</v>
      </c>
      <c r="J9" s="4">
        <f>Hotel!V14</f>
        <v>0</v>
      </c>
      <c r="K9" s="4">
        <f>Hotel!W14</f>
        <v>0</v>
      </c>
      <c r="L9" s="4">
        <f>Hotel!X14</f>
        <v>0</v>
      </c>
      <c r="M9" s="4">
        <f>Hotel!Y14</f>
        <v>0</v>
      </c>
      <c r="N9" s="4">
        <f>Hotel!Z14</f>
        <v>0</v>
      </c>
      <c r="O9" s="4">
        <f>Hotel!AA14</f>
        <v>0</v>
      </c>
      <c r="P9" s="4">
        <f>Hotel!AB14</f>
        <v>0</v>
      </c>
      <c r="Q9" s="4">
        <f>Hotel!AC14</f>
        <v>0</v>
      </c>
      <c r="R9" s="4">
        <f>Hotel!AU14</f>
        <v>0</v>
      </c>
      <c r="S9" s="4">
        <f>Hotel!BA14</f>
        <v>0</v>
      </c>
      <c r="T9" s="4">
        <f>Hotel!AX14</f>
        <v>0</v>
      </c>
      <c r="U9" s="4">
        <f>Hotel!B14</f>
        <v>0</v>
      </c>
    </row>
    <row r="10" spans="1:21" x14ac:dyDescent="0.25">
      <c r="A10" s="21" t="s">
        <v>11</v>
      </c>
      <c r="B10" s="2">
        <f t="shared" si="0"/>
        <v>9</v>
      </c>
      <c r="C10" s="3">
        <f>TOTAL!C10</f>
        <v>3</v>
      </c>
      <c r="D10" s="11">
        <v>2023</v>
      </c>
      <c r="E10" s="4">
        <f>Hotel!Q15</f>
        <v>0</v>
      </c>
      <c r="F10" s="4">
        <f>Hotel!R15</f>
        <v>0</v>
      </c>
      <c r="G10" s="4">
        <f>Hotel!S15</f>
        <v>0</v>
      </c>
      <c r="H10" s="4">
        <f>Hotel!T15</f>
        <v>0</v>
      </c>
      <c r="I10" s="4">
        <f>Hotel!U15</f>
        <v>0</v>
      </c>
      <c r="J10" s="4">
        <f>Hotel!V15</f>
        <v>0</v>
      </c>
      <c r="K10" s="4">
        <f>Hotel!W15</f>
        <v>0</v>
      </c>
      <c r="L10" s="4">
        <f>Hotel!X15</f>
        <v>0</v>
      </c>
      <c r="M10" s="4">
        <f>Hotel!Y15</f>
        <v>0</v>
      </c>
      <c r="N10" s="4">
        <f>Hotel!Z15</f>
        <v>0</v>
      </c>
      <c r="O10" s="4">
        <f>Hotel!AA15</f>
        <v>0</v>
      </c>
      <c r="P10" s="4">
        <f>Hotel!AB15</f>
        <v>0</v>
      </c>
      <c r="Q10" s="4">
        <f>Hotel!AC15</f>
        <v>0</v>
      </c>
      <c r="R10" s="4">
        <f>Hotel!AU15</f>
        <v>0</v>
      </c>
      <c r="S10" s="4">
        <f>Hotel!BA15</f>
        <v>0</v>
      </c>
      <c r="T10" s="4">
        <f>Hotel!AX15</f>
        <v>0</v>
      </c>
      <c r="U10" s="4">
        <f>Hotel!B15</f>
        <v>0</v>
      </c>
    </row>
    <row r="11" spans="1:21" x14ac:dyDescent="0.25">
      <c r="A11" s="21" t="s">
        <v>11</v>
      </c>
      <c r="B11" s="2">
        <f t="shared" si="0"/>
        <v>10</v>
      </c>
      <c r="C11" s="3">
        <f>TOTAL!C11</f>
        <v>3</v>
      </c>
      <c r="D11" s="11">
        <v>2023</v>
      </c>
      <c r="E11" s="4">
        <f>Hotel!Q16</f>
        <v>0</v>
      </c>
      <c r="F11" s="4">
        <f>Hotel!R16</f>
        <v>0</v>
      </c>
      <c r="G11" s="4">
        <f>Hotel!S16</f>
        <v>0</v>
      </c>
      <c r="H11" s="4">
        <f>Hotel!T16</f>
        <v>0</v>
      </c>
      <c r="I11" s="4">
        <f>Hotel!U16</f>
        <v>0</v>
      </c>
      <c r="J11" s="4">
        <f>Hotel!V16</f>
        <v>0</v>
      </c>
      <c r="K11" s="4">
        <f>Hotel!W16</f>
        <v>0</v>
      </c>
      <c r="L11" s="4">
        <f>Hotel!X16</f>
        <v>0</v>
      </c>
      <c r="M11" s="4">
        <f>Hotel!Y16</f>
        <v>0</v>
      </c>
      <c r="N11" s="4">
        <f>Hotel!Z16</f>
        <v>0</v>
      </c>
      <c r="O11" s="4">
        <f>Hotel!AA16</f>
        <v>0</v>
      </c>
      <c r="P11" s="4">
        <f>Hotel!AB16</f>
        <v>0</v>
      </c>
      <c r="Q11" s="4">
        <f>Hotel!AC16</f>
        <v>0</v>
      </c>
      <c r="R11" s="4">
        <f>Hotel!AU16</f>
        <v>0</v>
      </c>
      <c r="S11" s="4">
        <f>Hotel!BA16</f>
        <v>0</v>
      </c>
      <c r="T11" s="4">
        <f>Hotel!AX16</f>
        <v>0</v>
      </c>
      <c r="U11" s="4">
        <f>Hotel!B16</f>
        <v>0</v>
      </c>
    </row>
    <row r="12" spans="1:21" x14ac:dyDescent="0.25">
      <c r="A12" s="21" t="s">
        <v>11</v>
      </c>
      <c r="B12" s="2">
        <f t="shared" si="0"/>
        <v>11</v>
      </c>
      <c r="C12" s="3">
        <f>TOTAL!C12</f>
        <v>3</v>
      </c>
      <c r="D12" s="11">
        <v>2023</v>
      </c>
      <c r="E12" s="4">
        <f>Hotel!Q17</f>
        <v>0</v>
      </c>
      <c r="F12" s="4">
        <f>Hotel!R17</f>
        <v>0</v>
      </c>
      <c r="G12" s="4">
        <f>Hotel!S17</f>
        <v>0</v>
      </c>
      <c r="H12" s="4">
        <f>Hotel!T17</f>
        <v>0</v>
      </c>
      <c r="I12" s="4">
        <f>Hotel!U17</f>
        <v>0</v>
      </c>
      <c r="J12" s="4">
        <f>Hotel!V17</f>
        <v>0</v>
      </c>
      <c r="K12" s="4">
        <f>Hotel!W17</f>
        <v>0</v>
      </c>
      <c r="L12" s="4">
        <f>Hotel!X17</f>
        <v>0</v>
      </c>
      <c r="M12" s="4">
        <f>Hotel!Y17</f>
        <v>0</v>
      </c>
      <c r="N12" s="4">
        <f>Hotel!Z17</f>
        <v>0</v>
      </c>
      <c r="O12" s="4">
        <f>Hotel!AA17</f>
        <v>0</v>
      </c>
      <c r="P12" s="4">
        <f>Hotel!AB17</f>
        <v>0</v>
      </c>
      <c r="Q12" s="4">
        <f>Hotel!AC17</f>
        <v>0</v>
      </c>
      <c r="R12" s="4">
        <f>Hotel!AU17</f>
        <v>0</v>
      </c>
      <c r="S12" s="4">
        <f>Hotel!BA17</f>
        <v>0</v>
      </c>
      <c r="T12" s="4">
        <f>Hotel!AX17</f>
        <v>0</v>
      </c>
      <c r="U12" s="4">
        <f>Hotel!B17</f>
        <v>0</v>
      </c>
    </row>
    <row r="13" spans="1:21" x14ac:dyDescent="0.25">
      <c r="A13" s="21" t="s">
        <v>11</v>
      </c>
      <c r="B13" s="2">
        <f t="shared" si="0"/>
        <v>12</v>
      </c>
      <c r="C13" s="3">
        <f>TOTAL!C13</f>
        <v>3</v>
      </c>
      <c r="D13" s="11">
        <v>2023</v>
      </c>
      <c r="E13" s="4">
        <f>Hotel!Q18</f>
        <v>0</v>
      </c>
      <c r="F13" s="4">
        <f>Hotel!R18</f>
        <v>0</v>
      </c>
      <c r="G13" s="4">
        <f>Hotel!S18</f>
        <v>0</v>
      </c>
      <c r="H13" s="4">
        <f>Hotel!T18</f>
        <v>0</v>
      </c>
      <c r="I13" s="4">
        <f>Hotel!U18</f>
        <v>0</v>
      </c>
      <c r="J13" s="4">
        <f>Hotel!V18</f>
        <v>0</v>
      </c>
      <c r="K13" s="4">
        <f>Hotel!W18</f>
        <v>0</v>
      </c>
      <c r="L13" s="4">
        <f>Hotel!X18</f>
        <v>0</v>
      </c>
      <c r="M13" s="4">
        <f>Hotel!Y18</f>
        <v>0</v>
      </c>
      <c r="N13" s="4">
        <f>Hotel!Z18</f>
        <v>0</v>
      </c>
      <c r="O13" s="4">
        <f>Hotel!AA18</f>
        <v>0</v>
      </c>
      <c r="P13" s="4">
        <f>Hotel!AB18</f>
        <v>0</v>
      </c>
      <c r="Q13" s="4">
        <f>Hotel!AC18</f>
        <v>0</v>
      </c>
      <c r="R13" s="4">
        <f>Hotel!AU18</f>
        <v>0</v>
      </c>
      <c r="S13" s="4">
        <f>Hotel!BA18</f>
        <v>0</v>
      </c>
      <c r="T13" s="4">
        <f>Hotel!AX18</f>
        <v>0</v>
      </c>
      <c r="U13" s="4">
        <f>Hotel!B18</f>
        <v>0</v>
      </c>
    </row>
    <row r="14" spans="1:21" x14ac:dyDescent="0.25">
      <c r="A14" s="21" t="s">
        <v>11</v>
      </c>
      <c r="B14" s="2">
        <f t="shared" si="0"/>
        <v>13</v>
      </c>
      <c r="C14" s="3">
        <f>TOTAL!C14</f>
        <v>3</v>
      </c>
      <c r="D14" s="11">
        <v>2023</v>
      </c>
      <c r="E14" s="4">
        <f>Hotel!Q19</f>
        <v>0</v>
      </c>
      <c r="F14" s="4">
        <f>Hotel!R19</f>
        <v>0</v>
      </c>
      <c r="G14" s="4">
        <f>Hotel!S19</f>
        <v>0</v>
      </c>
      <c r="H14" s="4">
        <f>Hotel!T19</f>
        <v>0</v>
      </c>
      <c r="I14" s="4">
        <f>Hotel!U19</f>
        <v>0</v>
      </c>
      <c r="J14" s="4">
        <f>Hotel!V19</f>
        <v>0</v>
      </c>
      <c r="K14" s="4">
        <f>Hotel!W19</f>
        <v>0</v>
      </c>
      <c r="L14" s="4">
        <f>Hotel!X19</f>
        <v>0</v>
      </c>
      <c r="M14" s="4">
        <f>Hotel!Y19</f>
        <v>0</v>
      </c>
      <c r="N14" s="4">
        <f>Hotel!Z19</f>
        <v>0</v>
      </c>
      <c r="O14" s="4">
        <f>Hotel!AA19</f>
        <v>0</v>
      </c>
      <c r="P14" s="4">
        <f>Hotel!AB19</f>
        <v>0</v>
      </c>
      <c r="Q14" s="4">
        <f>Hotel!AC19</f>
        <v>0</v>
      </c>
      <c r="R14" s="4">
        <f>Hotel!AU19</f>
        <v>0</v>
      </c>
      <c r="S14" s="4">
        <f>Hotel!BA19</f>
        <v>0</v>
      </c>
      <c r="T14" s="4">
        <f>Hotel!AX19</f>
        <v>0</v>
      </c>
      <c r="U14" s="4">
        <f>Hotel!B19</f>
        <v>0</v>
      </c>
    </row>
    <row r="15" spans="1:21" x14ac:dyDescent="0.25">
      <c r="A15" s="21" t="s">
        <v>11</v>
      </c>
      <c r="B15" s="2">
        <f t="shared" si="0"/>
        <v>14</v>
      </c>
      <c r="C15" s="3">
        <f>TOTAL!C15</f>
        <v>3</v>
      </c>
      <c r="D15" s="11">
        <v>2023</v>
      </c>
      <c r="E15" s="4">
        <f>Hotel!Q20</f>
        <v>0</v>
      </c>
      <c r="F15" s="4">
        <f>Hotel!R20</f>
        <v>0</v>
      </c>
      <c r="G15" s="4">
        <f>Hotel!S20</f>
        <v>0</v>
      </c>
      <c r="H15" s="4">
        <f>Hotel!T20</f>
        <v>0</v>
      </c>
      <c r="I15" s="4">
        <f>Hotel!U20</f>
        <v>0</v>
      </c>
      <c r="J15" s="4">
        <f>Hotel!V20</f>
        <v>0</v>
      </c>
      <c r="K15" s="4">
        <f>Hotel!W20</f>
        <v>0</v>
      </c>
      <c r="L15" s="4">
        <f>Hotel!X20</f>
        <v>0</v>
      </c>
      <c r="M15" s="4">
        <f>Hotel!Y20</f>
        <v>0</v>
      </c>
      <c r="N15" s="4">
        <f>Hotel!Z20</f>
        <v>0</v>
      </c>
      <c r="O15" s="4">
        <f>Hotel!AA20</f>
        <v>0</v>
      </c>
      <c r="P15" s="4">
        <f>Hotel!AB20</f>
        <v>0</v>
      </c>
      <c r="Q15" s="4">
        <f>Hotel!AC20</f>
        <v>0</v>
      </c>
      <c r="R15" s="4">
        <f>Hotel!AU20</f>
        <v>0</v>
      </c>
      <c r="S15" s="4">
        <f>Hotel!BA20</f>
        <v>0</v>
      </c>
      <c r="T15" s="4">
        <f>Hotel!AX20</f>
        <v>0</v>
      </c>
      <c r="U15" s="4">
        <f>Hotel!B20</f>
        <v>0</v>
      </c>
    </row>
    <row r="16" spans="1:21" x14ac:dyDescent="0.25">
      <c r="A16" s="21" t="s">
        <v>11</v>
      </c>
      <c r="B16" s="2">
        <f t="shared" si="0"/>
        <v>15</v>
      </c>
      <c r="C16" s="3">
        <f>TOTAL!C16</f>
        <v>3</v>
      </c>
      <c r="D16" s="11">
        <v>2023</v>
      </c>
      <c r="E16" s="4">
        <f>Hotel!Q21</f>
        <v>0</v>
      </c>
      <c r="F16" s="4">
        <f>Hotel!R21</f>
        <v>0</v>
      </c>
      <c r="G16" s="4">
        <f>Hotel!S21</f>
        <v>0</v>
      </c>
      <c r="H16" s="4">
        <f>Hotel!T21</f>
        <v>0</v>
      </c>
      <c r="I16" s="4">
        <f>Hotel!U21</f>
        <v>0</v>
      </c>
      <c r="J16" s="4">
        <f>Hotel!V21</f>
        <v>0</v>
      </c>
      <c r="K16" s="4">
        <f>Hotel!W21</f>
        <v>0</v>
      </c>
      <c r="L16" s="4">
        <f>Hotel!X21</f>
        <v>0</v>
      </c>
      <c r="M16" s="4">
        <f>Hotel!Y21</f>
        <v>0</v>
      </c>
      <c r="N16" s="4">
        <f>Hotel!Z21</f>
        <v>0</v>
      </c>
      <c r="O16" s="4">
        <f>Hotel!AA21</f>
        <v>0</v>
      </c>
      <c r="P16" s="4">
        <f>Hotel!AB21</f>
        <v>0</v>
      </c>
      <c r="Q16" s="4">
        <f>Hotel!AC21</f>
        <v>0</v>
      </c>
      <c r="R16" s="4">
        <f>Hotel!AU21</f>
        <v>0</v>
      </c>
      <c r="S16" s="4">
        <f>Hotel!BA21</f>
        <v>0</v>
      </c>
      <c r="T16" s="4">
        <f>Hotel!AX21</f>
        <v>0</v>
      </c>
      <c r="U16" s="4">
        <f>Hotel!B21</f>
        <v>0</v>
      </c>
    </row>
    <row r="17" spans="1:21" x14ac:dyDescent="0.25">
      <c r="A17" s="21" t="s">
        <v>11</v>
      </c>
      <c r="B17" s="2">
        <f t="shared" si="0"/>
        <v>16</v>
      </c>
      <c r="C17" s="3">
        <f>TOTAL!C17</f>
        <v>3</v>
      </c>
      <c r="D17" s="11">
        <v>2023</v>
      </c>
      <c r="E17" s="4">
        <f>Hotel!Q22</f>
        <v>0</v>
      </c>
      <c r="F17" s="4">
        <f>Hotel!R22</f>
        <v>0</v>
      </c>
      <c r="G17" s="4">
        <f>Hotel!S22</f>
        <v>0</v>
      </c>
      <c r="H17" s="4">
        <f>Hotel!T22</f>
        <v>0</v>
      </c>
      <c r="I17" s="4">
        <f>Hotel!U22</f>
        <v>0</v>
      </c>
      <c r="J17" s="4">
        <f>Hotel!V22</f>
        <v>0</v>
      </c>
      <c r="K17" s="4">
        <f>Hotel!W22</f>
        <v>0</v>
      </c>
      <c r="L17" s="4">
        <f>Hotel!X22</f>
        <v>0</v>
      </c>
      <c r="M17" s="4">
        <f>Hotel!Y22</f>
        <v>0</v>
      </c>
      <c r="N17" s="4">
        <f>Hotel!Z22</f>
        <v>0</v>
      </c>
      <c r="O17" s="4">
        <f>Hotel!AA22</f>
        <v>0</v>
      </c>
      <c r="P17" s="4">
        <f>Hotel!AB22</f>
        <v>0</v>
      </c>
      <c r="Q17" s="4">
        <f>Hotel!AC22</f>
        <v>0</v>
      </c>
      <c r="R17" s="4">
        <f>Hotel!AU22</f>
        <v>0</v>
      </c>
      <c r="S17" s="4">
        <f>Hotel!BA22</f>
        <v>0</v>
      </c>
      <c r="T17" s="4">
        <f>Hotel!AX22</f>
        <v>0</v>
      </c>
      <c r="U17" s="4">
        <f>Hotel!B22</f>
        <v>0</v>
      </c>
    </row>
    <row r="18" spans="1:21" x14ac:dyDescent="0.25">
      <c r="A18" s="21" t="s">
        <v>11</v>
      </c>
      <c r="B18" s="2">
        <f t="shared" si="0"/>
        <v>17</v>
      </c>
      <c r="C18" s="3">
        <f>TOTAL!C18</f>
        <v>3</v>
      </c>
      <c r="D18" s="11">
        <v>2023</v>
      </c>
      <c r="E18" s="4">
        <f>Hotel!Q23</f>
        <v>0</v>
      </c>
      <c r="F18" s="4">
        <f>Hotel!R23</f>
        <v>0</v>
      </c>
      <c r="G18" s="4">
        <f>Hotel!S23</f>
        <v>0</v>
      </c>
      <c r="H18" s="4">
        <f>Hotel!T23</f>
        <v>0</v>
      </c>
      <c r="I18" s="4">
        <f>Hotel!U23</f>
        <v>0</v>
      </c>
      <c r="J18" s="4">
        <f>Hotel!V23</f>
        <v>0</v>
      </c>
      <c r="K18" s="4">
        <f>Hotel!W23</f>
        <v>0</v>
      </c>
      <c r="L18" s="4">
        <f>Hotel!X23</f>
        <v>0</v>
      </c>
      <c r="M18" s="4">
        <f>Hotel!Y23</f>
        <v>0</v>
      </c>
      <c r="N18" s="4">
        <f>Hotel!Z23</f>
        <v>0</v>
      </c>
      <c r="O18" s="4">
        <f>Hotel!AA23</f>
        <v>0</v>
      </c>
      <c r="P18" s="4">
        <f>Hotel!AB23</f>
        <v>0</v>
      </c>
      <c r="Q18" s="4">
        <f>Hotel!AC23</f>
        <v>0</v>
      </c>
      <c r="R18" s="4">
        <f>Hotel!AU23</f>
        <v>0</v>
      </c>
      <c r="S18" s="4">
        <f>Hotel!BA23</f>
        <v>0</v>
      </c>
      <c r="T18" s="4">
        <f>Hotel!AX23</f>
        <v>0</v>
      </c>
      <c r="U18" s="4">
        <f>Hotel!B23</f>
        <v>0</v>
      </c>
    </row>
    <row r="19" spans="1:21" x14ac:dyDescent="0.25">
      <c r="A19" s="21" t="s">
        <v>11</v>
      </c>
      <c r="B19" s="2">
        <f t="shared" si="0"/>
        <v>18</v>
      </c>
      <c r="C19" s="3">
        <f>TOTAL!C19</f>
        <v>3</v>
      </c>
      <c r="D19" s="11">
        <v>2023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Hotel!AU24</f>
        <v>0</v>
      </c>
      <c r="S19" s="4">
        <f>Hotel!BA24</f>
        <v>0</v>
      </c>
      <c r="T19" s="4">
        <f>Hotel!AX24</f>
        <v>0</v>
      </c>
      <c r="U19" s="4">
        <f>Hotel!B24</f>
        <v>0</v>
      </c>
    </row>
    <row r="20" spans="1:21" x14ac:dyDescent="0.25">
      <c r="A20" s="21" t="s">
        <v>11</v>
      </c>
      <c r="B20" s="2">
        <f t="shared" si="0"/>
        <v>19</v>
      </c>
      <c r="C20" s="3">
        <f>TOTAL!C20</f>
        <v>3</v>
      </c>
      <c r="D20" s="11">
        <v>2023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Hotel!AU25</f>
        <v>0</v>
      </c>
      <c r="S20" s="4">
        <f>Hotel!BA25</f>
        <v>0</v>
      </c>
      <c r="T20" s="4">
        <f>Hotel!AX25</f>
        <v>0</v>
      </c>
      <c r="U20" s="4">
        <f>Hotel!B25</f>
        <v>0</v>
      </c>
    </row>
    <row r="21" spans="1:21" x14ac:dyDescent="0.25">
      <c r="A21" s="21" t="s">
        <v>11</v>
      </c>
      <c r="B21" s="2">
        <f t="shared" si="0"/>
        <v>20</v>
      </c>
      <c r="C21" s="3">
        <f>TOTAL!C21</f>
        <v>3</v>
      </c>
      <c r="D21" s="11">
        <v>2023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Hotel!AU26</f>
        <v>0</v>
      </c>
      <c r="S21" s="4">
        <f>Hotel!BA26</f>
        <v>0</v>
      </c>
      <c r="T21" s="4">
        <f>Hotel!AX26</f>
        <v>0</v>
      </c>
      <c r="U21" s="4">
        <f>Hotel!B26</f>
        <v>0</v>
      </c>
    </row>
    <row r="22" spans="1:21" x14ac:dyDescent="0.25">
      <c r="A22" s="21" t="s">
        <v>11</v>
      </c>
      <c r="B22" s="2">
        <f t="shared" si="0"/>
        <v>21</v>
      </c>
      <c r="C22" s="3">
        <f>TOTAL!C22</f>
        <v>3</v>
      </c>
      <c r="D22" s="11">
        <v>2023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Hotel!AU27</f>
        <v>0</v>
      </c>
      <c r="S22" s="4">
        <f>Hotel!BA27</f>
        <v>0</v>
      </c>
      <c r="T22" s="4">
        <f>Hotel!AX27</f>
        <v>0</v>
      </c>
      <c r="U22" s="4">
        <f>Hotel!B27</f>
        <v>0</v>
      </c>
    </row>
    <row r="23" spans="1:21" x14ac:dyDescent="0.25">
      <c r="A23" s="21" t="s">
        <v>11</v>
      </c>
      <c r="B23" s="2">
        <f t="shared" si="0"/>
        <v>22</v>
      </c>
      <c r="C23" s="3">
        <f>TOTAL!C23</f>
        <v>3</v>
      </c>
      <c r="D23" s="11">
        <v>2023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Hotel!AU28</f>
        <v>0</v>
      </c>
      <c r="S23" s="4">
        <f>Hotel!BA28</f>
        <v>0</v>
      </c>
      <c r="T23" s="4">
        <f>Hotel!AX28</f>
        <v>0</v>
      </c>
      <c r="U23" s="4">
        <f>Hotel!B28</f>
        <v>0</v>
      </c>
    </row>
    <row r="24" spans="1:21" x14ac:dyDescent="0.25">
      <c r="A24" s="21" t="s">
        <v>11</v>
      </c>
      <c r="B24" s="2">
        <f t="shared" si="0"/>
        <v>23</v>
      </c>
      <c r="C24" s="3">
        <f>TOTAL!C24</f>
        <v>3</v>
      </c>
      <c r="D24" s="11">
        <v>2023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Hotel!AU29</f>
        <v>0</v>
      </c>
      <c r="S24" s="4">
        <f>Hotel!BA29</f>
        <v>0</v>
      </c>
      <c r="T24" s="4">
        <f>Hotel!AX29</f>
        <v>0</v>
      </c>
      <c r="U24" s="4">
        <f>Hotel!B29</f>
        <v>0</v>
      </c>
    </row>
    <row r="25" spans="1:21" x14ac:dyDescent="0.25">
      <c r="A25" s="21" t="s">
        <v>11</v>
      </c>
      <c r="B25" s="2">
        <f t="shared" si="0"/>
        <v>24</v>
      </c>
      <c r="C25" s="3">
        <f>TOTAL!C25</f>
        <v>3</v>
      </c>
      <c r="D25" s="11">
        <v>2023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Hotel!AU30</f>
        <v>0</v>
      </c>
      <c r="S25" s="4">
        <f>Hotel!BA30</f>
        <v>0</v>
      </c>
      <c r="T25" s="4">
        <f>Hotel!AX30</f>
        <v>0</v>
      </c>
      <c r="U25" s="4">
        <f>Hotel!B30</f>
        <v>0</v>
      </c>
    </row>
    <row r="26" spans="1:21" x14ac:dyDescent="0.25">
      <c r="A26" s="21" t="s">
        <v>11</v>
      </c>
      <c r="B26" s="2">
        <f>B25+1</f>
        <v>25</v>
      </c>
      <c r="C26" s="3">
        <f>TOTAL!C26</f>
        <v>3</v>
      </c>
      <c r="D26" s="11">
        <v>2023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Hotel!AU31</f>
        <v>0</v>
      </c>
      <c r="S26" s="4">
        <f>Hotel!BA31</f>
        <v>0</v>
      </c>
      <c r="T26" s="4">
        <f>Hotel!AX31</f>
        <v>0</v>
      </c>
      <c r="U26" s="4">
        <f>Hotel!B31</f>
        <v>0</v>
      </c>
    </row>
    <row r="27" spans="1:21" x14ac:dyDescent="0.25">
      <c r="A27" s="21" t="s">
        <v>11</v>
      </c>
      <c r="B27" s="2">
        <f t="shared" si="0"/>
        <v>26</v>
      </c>
      <c r="C27" s="3">
        <f>TOTAL!C27</f>
        <v>3</v>
      </c>
      <c r="D27" s="11">
        <v>2023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Hotel!AU32</f>
        <v>0</v>
      </c>
      <c r="S27" s="4">
        <f>Hotel!BA32</f>
        <v>0</v>
      </c>
      <c r="T27" s="4">
        <f>Hotel!AX32</f>
        <v>0</v>
      </c>
      <c r="U27" s="4">
        <f>Hotel!B32</f>
        <v>0</v>
      </c>
    </row>
    <row r="28" spans="1:21" x14ac:dyDescent="0.25">
      <c r="A28" s="21" t="s">
        <v>11</v>
      </c>
      <c r="B28" s="2">
        <f t="shared" si="0"/>
        <v>27</v>
      </c>
      <c r="C28" s="3">
        <f>TOTAL!C28</f>
        <v>3</v>
      </c>
      <c r="D28" s="11">
        <v>2023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Hotel!AU33</f>
        <v>0</v>
      </c>
      <c r="S28" s="4">
        <f>Hotel!BA33</f>
        <v>0</v>
      </c>
      <c r="T28" s="4">
        <f>Hotel!AX33</f>
        <v>0</v>
      </c>
      <c r="U28" s="4">
        <f>Hotel!B33</f>
        <v>0</v>
      </c>
    </row>
    <row r="29" spans="1:21" x14ac:dyDescent="0.25">
      <c r="A29" s="21" t="s">
        <v>11</v>
      </c>
      <c r="B29" s="2">
        <f t="shared" si="0"/>
        <v>28</v>
      </c>
      <c r="C29" s="3">
        <f>TOTAL!C29</f>
        <v>3</v>
      </c>
      <c r="D29" s="11">
        <v>2023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Hotel!AU34</f>
        <v>0</v>
      </c>
      <c r="S29" s="4">
        <f>Hotel!BA34</f>
        <v>0</v>
      </c>
      <c r="T29" s="4">
        <f>Hotel!AX34</f>
        <v>0</v>
      </c>
      <c r="U29" s="4">
        <f>Hotel!B34</f>
        <v>0</v>
      </c>
    </row>
    <row r="30" spans="1:21" x14ac:dyDescent="0.25">
      <c r="A30" s="21" t="s">
        <v>11</v>
      </c>
      <c r="B30" s="2">
        <f>B29+1</f>
        <v>29</v>
      </c>
      <c r="C30" s="3">
        <f>TOTAL!C30</f>
        <v>3</v>
      </c>
      <c r="D30" s="11">
        <v>2023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Hotel!AU35</f>
        <v>0</v>
      </c>
      <c r="S30" s="4">
        <f>Hotel!BA35</f>
        <v>0</v>
      </c>
      <c r="T30" s="4">
        <f>Hotel!AX35</f>
        <v>0</v>
      </c>
      <c r="U30" s="4">
        <f>Hotel!B35</f>
        <v>0</v>
      </c>
    </row>
    <row r="31" spans="1:21" x14ac:dyDescent="0.25">
      <c r="A31" s="21" t="s">
        <v>11</v>
      </c>
      <c r="B31" s="2">
        <f>B30+1</f>
        <v>30</v>
      </c>
      <c r="C31" s="3">
        <f>TOTAL!C31</f>
        <v>3</v>
      </c>
      <c r="D31" s="11">
        <v>2023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Hotel!AU36</f>
        <v>0</v>
      </c>
      <c r="S31" s="4">
        <f>Hotel!BA36</f>
        <v>0</v>
      </c>
      <c r="T31" s="4">
        <f>Hotel!AX36</f>
        <v>0</v>
      </c>
      <c r="U31" s="4">
        <f>Hotel!B36</f>
        <v>0</v>
      </c>
    </row>
    <row r="32" spans="1:21" x14ac:dyDescent="0.25">
      <c r="A32" s="21" t="s">
        <v>11</v>
      </c>
      <c r="B32" s="2">
        <f>B31+1</f>
        <v>31</v>
      </c>
      <c r="C32" s="3">
        <f>TOTAL!C32</f>
        <v>3</v>
      </c>
      <c r="D32" s="11">
        <v>2023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Hotel!AU37</f>
        <v>0</v>
      </c>
      <c r="S32" s="4">
        <f>Hotel!BA37</f>
        <v>0</v>
      </c>
      <c r="T32" s="4">
        <f>Hotel!AX37</f>
        <v>0</v>
      </c>
      <c r="U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BB47"/>
  <sheetViews>
    <sheetView tabSelected="1" topLeftCell="AO1" zoomScale="93" zoomScaleNormal="93" workbookViewId="0">
      <selection activeCell="AT16" sqref="AT16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0" width="8.7109375" style="2" customWidth="1"/>
    <col min="21" max="21" width="10.28515625" style="2" customWidth="1"/>
    <col min="22" max="23" width="8.7109375" style="2" customWidth="1"/>
    <col min="24" max="24" width="10.28515625" style="2" customWidth="1"/>
    <col min="25" max="26" width="8.7109375" style="2" customWidth="1"/>
    <col min="27" max="27" width="11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21" style="67" bestFit="1" customWidth="1"/>
    <col min="47" max="47" width="19.28515625" style="64" customWidth="1"/>
    <col min="48" max="48" width="7.28515625" customWidth="1"/>
    <col min="49" max="50" width="11.85546875" style="59" customWidth="1"/>
    <col min="51" max="51" width="11.85546875" style="45" customWidth="1"/>
    <col min="52" max="53" width="14.7109375" customWidth="1"/>
    <col min="54" max="54" width="10.85546875" customWidth="1"/>
  </cols>
  <sheetData>
    <row r="1" spans="1:54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54" x14ac:dyDescent="0.25">
      <c r="A2" s="23">
        <v>44985</v>
      </c>
      <c r="B2" s="48">
        <v>106</v>
      </c>
      <c r="C2" s="47">
        <v>8830450</v>
      </c>
      <c r="D2" s="51">
        <v>21231640</v>
      </c>
      <c r="E2" s="51">
        <v>4012970</v>
      </c>
      <c r="F2" s="51">
        <v>4493120</v>
      </c>
      <c r="G2" s="51">
        <v>13430070</v>
      </c>
      <c r="H2" s="51">
        <v>8032340</v>
      </c>
      <c r="I2" s="51">
        <v>6908740</v>
      </c>
      <c r="J2" s="51">
        <v>8683040</v>
      </c>
      <c r="K2" s="51">
        <v>12518220</v>
      </c>
      <c r="L2" s="51">
        <v>5461610</v>
      </c>
      <c r="M2" s="51">
        <v>9845100</v>
      </c>
      <c r="N2" s="51">
        <v>16582140</v>
      </c>
      <c r="O2" s="51">
        <v>23448280</v>
      </c>
      <c r="Q2" s="25" t="s">
        <v>28</v>
      </c>
      <c r="R2" s="25" t="s">
        <v>29</v>
      </c>
      <c r="S2" s="25" t="s">
        <v>30</v>
      </c>
      <c r="T2" s="25" t="s">
        <v>31</v>
      </c>
      <c r="U2" s="25" t="s">
        <v>32</v>
      </c>
      <c r="V2" s="25" t="s">
        <v>33</v>
      </c>
      <c r="W2" s="25" t="s">
        <v>34</v>
      </c>
      <c r="X2" s="25" t="s">
        <v>35</v>
      </c>
      <c r="Y2" s="25" t="s">
        <v>36</v>
      </c>
      <c r="Z2" s="25" t="s">
        <v>37</v>
      </c>
      <c r="AA2" s="25" t="s">
        <v>38</v>
      </c>
      <c r="AB2" s="25" t="s">
        <v>39</v>
      </c>
      <c r="AC2" s="25" t="s">
        <v>40</v>
      </c>
      <c r="AW2" s="61">
        <v>70538</v>
      </c>
      <c r="AX2" s="60"/>
      <c r="AY2" s="54">
        <v>448654</v>
      </c>
    </row>
    <row r="4" spans="1:54" ht="20.25" customHeight="1" x14ac:dyDescent="0.25">
      <c r="A4" s="26" t="s">
        <v>41</v>
      </c>
      <c r="B4" s="41" t="s">
        <v>42</v>
      </c>
      <c r="C4" s="27" t="s">
        <v>43</v>
      </c>
      <c r="D4" s="102" t="s">
        <v>44</v>
      </c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Q4" s="104" t="s">
        <v>45</v>
      </c>
      <c r="R4" s="105"/>
      <c r="S4" s="105"/>
      <c r="T4" s="105"/>
      <c r="U4" s="105"/>
      <c r="V4" s="105"/>
      <c r="W4" s="105"/>
      <c r="X4" s="105"/>
      <c r="Y4" s="105"/>
      <c r="Z4" s="105"/>
      <c r="AA4" s="105"/>
      <c r="AB4" s="105"/>
      <c r="AC4" s="106"/>
      <c r="AD4" s="28" t="s">
        <v>46</v>
      </c>
      <c r="AF4" s="107" t="s">
        <v>47</v>
      </c>
      <c r="AG4" s="107"/>
      <c r="AH4" s="107"/>
      <c r="AI4" s="107"/>
      <c r="AJ4" s="107"/>
      <c r="AK4" s="107"/>
      <c r="AL4" s="107"/>
      <c r="AM4" s="107"/>
      <c r="AN4" s="107"/>
      <c r="AO4" s="107"/>
      <c r="AP4" s="107"/>
      <c r="AQ4" s="107"/>
      <c r="AR4" s="107"/>
      <c r="AS4" s="29" t="s">
        <v>48</v>
      </c>
      <c r="AT4" s="108" t="s">
        <v>49</v>
      </c>
      <c r="AU4" s="108" t="s">
        <v>50</v>
      </c>
      <c r="AW4" s="109" t="s">
        <v>51</v>
      </c>
      <c r="AX4" s="109" t="s">
        <v>52</v>
      </c>
      <c r="AY4" s="98" t="s">
        <v>53</v>
      </c>
      <c r="AZ4" s="99" t="s">
        <v>54</v>
      </c>
      <c r="BA4" s="99" t="s">
        <v>55</v>
      </c>
      <c r="BB4" s="101" t="s">
        <v>56</v>
      </c>
    </row>
    <row r="5" spans="1:54" ht="15.75" x14ac:dyDescent="0.25">
      <c r="A5" s="30">
        <v>2023</v>
      </c>
      <c r="B5" s="42" t="s">
        <v>57</v>
      </c>
      <c r="C5" s="25" t="s">
        <v>28</v>
      </c>
      <c r="D5" s="25" t="s">
        <v>29</v>
      </c>
      <c r="E5" s="25" t="s">
        <v>30</v>
      </c>
      <c r="F5" s="25" t="s">
        <v>31</v>
      </c>
      <c r="G5" s="25" t="s">
        <v>32</v>
      </c>
      <c r="H5" s="25" t="s">
        <v>33</v>
      </c>
      <c r="I5" s="25" t="s">
        <v>34</v>
      </c>
      <c r="J5" s="25" t="s">
        <v>35</v>
      </c>
      <c r="K5" s="25" t="s">
        <v>36</v>
      </c>
      <c r="L5" s="25" t="s">
        <v>37</v>
      </c>
      <c r="M5" s="25" t="s">
        <v>38</v>
      </c>
      <c r="N5" s="25" t="s">
        <v>39</v>
      </c>
      <c r="O5" s="25" t="s">
        <v>40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T5" s="108"/>
      <c r="AU5" s="108"/>
      <c r="AW5" s="109"/>
      <c r="AX5" s="109"/>
      <c r="AY5" s="98"/>
      <c r="AZ5" s="100"/>
      <c r="BA5" s="100"/>
      <c r="BB5" s="101"/>
    </row>
    <row r="6" spans="1:54" x14ac:dyDescent="0.25">
      <c r="A6" s="20"/>
      <c r="B6" s="43"/>
      <c r="C6" s="88">
        <v>8483196</v>
      </c>
      <c r="D6" s="88">
        <v>8483193</v>
      </c>
      <c r="E6" s="88">
        <v>8483178</v>
      </c>
      <c r="F6" s="88">
        <v>8483176</v>
      </c>
      <c r="G6" s="88">
        <v>8483206</v>
      </c>
      <c r="H6" s="88">
        <v>8483170</v>
      </c>
      <c r="I6" s="88">
        <v>8483168</v>
      </c>
      <c r="J6" s="88">
        <v>8483169</v>
      </c>
      <c r="K6" s="88">
        <v>8483194</v>
      </c>
      <c r="L6" s="88">
        <v>8483199</v>
      </c>
      <c r="M6" s="88">
        <v>8483187</v>
      </c>
      <c r="N6" s="88">
        <v>8483188</v>
      </c>
      <c r="O6" s="88">
        <v>8483174</v>
      </c>
      <c r="AW6" s="61">
        <v>70538</v>
      </c>
      <c r="AX6" s="60"/>
      <c r="AY6" s="54">
        <v>448654</v>
      </c>
    </row>
    <row r="7" spans="1:54" x14ac:dyDescent="0.25">
      <c r="A7" s="23">
        <v>44986</v>
      </c>
      <c r="B7" s="62">
        <v>71</v>
      </c>
      <c r="C7" s="87">
        <v>8831010</v>
      </c>
      <c r="D7" s="87">
        <v>21233530</v>
      </c>
      <c r="E7" s="87">
        <v>4016100</v>
      </c>
      <c r="F7" s="87">
        <v>4494100</v>
      </c>
      <c r="G7" s="87">
        <v>13435890</v>
      </c>
      <c r="H7" s="87">
        <v>8036540</v>
      </c>
      <c r="I7" s="87">
        <v>6911970</v>
      </c>
      <c r="J7" s="87">
        <v>8687110</v>
      </c>
      <c r="K7" s="87">
        <v>12523960</v>
      </c>
      <c r="L7" s="87">
        <v>5464060</v>
      </c>
      <c r="M7" s="87">
        <v>9848140</v>
      </c>
      <c r="N7" s="87">
        <v>16589500</v>
      </c>
      <c r="O7" s="87">
        <v>23461310</v>
      </c>
      <c r="Q7" s="37">
        <f t="shared" ref="Q7:AC7" si="0">IF((C7-C2&lt;0), "0",C7-C2)</f>
        <v>560</v>
      </c>
      <c r="R7" s="37">
        <f t="shared" si="0"/>
        <v>1890</v>
      </c>
      <c r="S7" s="37">
        <f t="shared" si="0"/>
        <v>3130</v>
      </c>
      <c r="T7" s="37">
        <f t="shared" si="0"/>
        <v>980</v>
      </c>
      <c r="U7" s="37">
        <f t="shared" si="0"/>
        <v>5820</v>
      </c>
      <c r="V7" s="37">
        <f t="shared" si="0"/>
        <v>4200</v>
      </c>
      <c r="W7" s="37">
        <f t="shared" si="0"/>
        <v>3230</v>
      </c>
      <c r="X7" s="37">
        <f t="shared" si="0"/>
        <v>4070</v>
      </c>
      <c r="Y7" s="37">
        <f t="shared" si="0"/>
        <v>5740</v>
      </c>
      <c r="Z7" s="37">
        <f t="shared" si="0"/>
        <v>2450</v>
      </c>
      <c r="AA7" s="37">
        <f t="shared" si="0"/>
        <v>3040</v>
      </c>
      <c r="AB7" s="37">
        <f t="shared" si="0"/>
        <v>7360</v>
      </c>
      <c r="AC7" s="37">
        <f t="shared" si="0"/>
        <v>13030</v>
      </c>
      <c r="AD7" s="34">
        <f>SUM(Q7:AC7)</f>
        <v>55500</v>
      </c>
      <c r="AF7" s="20">
        <f t="shared" ref="AF7:AF36" si="1">Q7*$D$39</f>
        <v>2.8000000000000003</v>
      </c>
      <c r="AG7" s="20">
        <f t="shared" ref="AG7:AG36" si="2">R7*$D$39</f>
        <v>9.4500000000000011</v>
      </c>
      <c r="AH7" s="20">
        <f t="shared" ref="AH7:AH36" si="3">S7*$D$39</f>
        <v>15.65</v>
      </c>
      <c r="AI7" s="20">
        <f t="shared" ref="AI7:AI36" si="4">T7*$D$39</f>
        <v>4.9000000000000004</v>
      </c>
      <c r="AJ7" s="20">
        <f t="shared" ref="AJ7:AJ36" si="5">U7*$D$39</f>
        <v>29.1</v>
      </c>
      <c r="AK7" s="20">
        <f t="shared" ref="AK7:AK36" si="6">V7*$D$39</f>
        <v>21</v>
      </c>
      <c r="AL7" s="20">
        <f t="shared" ref="AL7:AL36" si="7">W7*$D$39</f>
        <v>16.149999999999999</v>
      </c>
      <c r="AM7" s="20">
        <f t="shared" ref="AM7:AM36" si="8">X7*$D$39</f>
        <v>20.350000000000001</v>
      </c>
      <c r="AN7" s="20">
        <f t="shared" ref="AN7:AN36" si="9">Y7*$D$39</f>
        <v>28.7</v>
      </c>
      <c r="AO7" s="20">
        <f t="shared" ref="AO7:AO36" si="10">Z7*$D$39</f>
        <v>12.25</v>
      </c>
      <c r="AP7" s="20">
        <f t="shared" ref="AP7:AP36" si="11">AA7*$D$39</f>
        <v>15.200000000000001</v>
      </c>
      <c r="AQ7" s="20">
        <f t="shared" ref="AQ7:AQ36" si="12">AB7*$D$39</f>
        <v>36.800000000000004</v>
      </c>
      <c r="AR7" s="20">
        <f t="shared" ref="AR7:AR36" si="13">AC7*$D$39</f>
        <v>65.150000000000006</v>
      </c>
      <c r="AS7" s="35">
        <f>SUM(AF7:AR7)</f>
        <v>277.5</v>
      </c>
      <c r="AT7" s="63">
        <v>0.2</v>
      </c>
      <c r="AU7" s="65">
        <f>AT7*$AU$43</f>
        <v>35.625</v>
      </c>
      <c r="AW7" s="90">
        <v>70675</v>
      </c>
      <c r="AX7" s="60">
        <f>(IF((AW7-AW6&lt;0),"0",AW7-AW6))</f>
        <v>137</v>
      </c>
      <c r="AY7" s="53">
        <v>449984</v>
      </c>
      <c r="AZ7" s="37">
        <f>(IF((AY7-AY6&lt;0),"0",AY7-AY6))*100</f>
        <v>133000</v>
      </c>
      <c r="BA7" s="37">
        <f>AZ7*$AZ$44*60%</f>
        <v>363.09</v>
      </c>
      <c r="BB7" s="58">
        <f>BA7*0.4444</f>
        <v>161.35719599999999</v>
      </c>
    </row>
    <row r="8" spans="1:54" x14ac:dyDescent="0.25">
      <c r="A8" s="23">
        <v>44987</v>
      </c>
      <c r="B8" s="62">
        <v>118</v>
      </c>
      <c r="C8" s="76">
        <v>8831570</v>
      </c>
      <c r="D8" s="76">
        <v>21235420</v>
      </c>
      <c r="E8" s="76">
        <v>4019240</v>
      </c>
      <c r="F8" s="76">
        <v>4495080</v>
      </c>
      <c r="G8" s="76">
        <v>13441950</v>
      </c>
      <c r="H8" s="76">
        <v>8040840</v>
      </c>
      <c r="I8" s="76">
        <v>6915100</v>
      </c>
      <c r="J8" s="76">
        <v>8691330</v>
      </c>
      <c r="K8" s="76">
        <v>12529680</v>
      </c>
      <c r="L8" s="76">
        <v>5466510</v>
      </c>
      <c r="M8" s="76">
        <v>9851360</v>
      </c>
      <c r="N8" s="76">
        <v>16596880</v>
      </c>
      <c r="O8" s="76">
        <v>23473880</v>
      </c>
      <c r="Q8" s="37">
        <f>IF((C8-C7&lt;0), "0",C8-C7)</f>
        <v>560</v>
      </c>
      <c r="R8" s="37">
        <f t="shared" ref="R8:AC8" si="14">IF((D8-D7&lt;0), "0",D8-D7)</f>
        <v>1890</v>
      </c>
      <c r="S8" s="37">
        <f t="shared" ref="S8:S35" si="15">IF((E8-E7&lt;0), "0",E8-E7)</f>
        <v>3140</v>
      </c>
      <c r="T8" s="37">
        <f t="shared" si="14"/>
        <v>980</v>
      </c>
      <c r="U8" s="37">
        <f t="shared" si="14"/>
        <v>6060</v>
      </c>
      <c r="V8" s="37">
        <f t="shared" si="14"/>
        <v>4300</v>
      </c>
      <c r="W8" s="37">
        <f t="shared" si="14"/>
        <v>3130</v>
      </c>
      <c r="X8" s="37">
        <f t="shared" si="14"/>
        <v>4220</v>
      </c>
      <c r="Y8" s="37">
        <f t="shared" si="14"/>
        <v>5720</v>
      </c>
      <c r="Z8" s="37">
        <f t="shared" si="14"/>
        <v>2450</v>
      </c>
      <c r="AA8" s="37">
        <f t="shared" si="14"/>
        <v>3220</v>
      </c>
      <c r="AB8" s="37">
        <f t="shared" si="14"/>
        <v>7380</v>
      </c>
      <c r="AC8" s="37">
        <f t="shared" si="14"/>
        <v>12570</v>
      </c>
      <c r="AD8" s="35">
        <f>SUM(Q8:AC8)</f>
        <v>55620</v>
      </c>
      <c r="AF8" s="20">
        <f t="shared" si="1"/>
        <v>2.8000000000000003</v>
      </c>
      <c r="AG8" s="20">
        <f t="shared" si="2"/>
        <v>9.4500000000000011</v>
      </c>
      <c r="AH8" s="20">
        <f t="shared" si="3"/>
        <v>15.700000000000001</v>
      </c>
      <c r="AI8" s="20">
        <f t="shared" si="4"/>
        <v>4.9000000000000004</v>
      </c>
      <c r="AJ8" s="20">
        <f t="shared" si="5"/>
        <v>30.3</v>
      </c>
      <c r="AK8" s="20">
        <f t="shared" si="6"/>
        <v>21.5</v>
      </c>
      <c r="AL8" s="20">
        <f t="shared" si="7"/>
        <v>15.65</v>
      </c>
      <c r="AM8" s="20">
        <f t="shared" si="8"/>
        <v>21.1</v>
      </c>
      <c r="AN8" s="20">
        <f t="shared" si="9"/>
        <v>28.6</v>
      </c>
      <c r="AO8" s="20">
        <f t="shared" si="10"/>
        <v>12.25</v>
      </c>
      <c r="AP8" s="20">
        <f t="shared" si="11"/>
        <v>16.100000000000001</v>
      </c>
      <c r="AQ8" s="20">
        <f t="shared" si="12"/>
        <v>36.9</v>
      </c>
      <c r="AR8" s="20">
        <f t="shared" si="13"/>
        <v>62.85</v>
      </c>
      <c r="AS8" s="35">
        <f>SUM(AF8:AR8)</f>
        <v>278.10000000000002</v>
      </c>
      <c r="AT8" s="63">
        <v>0</v>
      </c>
      <c r="AU8" s="65">
        <f t="shared" ref="AU8:AU37" si="16">AT8*$AU$43</f>
        <v>0</v>
      </c>
      <c r="AW8" s="97">
        <v>70812</v>
      </c>
      <c r="AX8" s="89">
        <f t="shared" ref="AX8:AX39" si="17">(IF((AW8-AW7&lt;0),"0",AW8-AW7))</f>
        <v>137</v>
      </c>
      <c r="AY8" s="92">
        <v>451550</v>
      </c>
      <c r="AZ8" s="37">
        <f t="shared" ref="AZ8:AZ38" si="18">(IF((AY8-AY7&lt;0),"0",AY8-AY7))*100</f>
        <v>156600</v>
      </c>
      <c r="BA8" s="37">
        <f t="shared" ref="BA8:BA39" si="19">AZ8*$AZ$44*60%</f>
        <v>427.51800000000003</v>
      </c>
      <c r="BB8" s="58">
        <f t="shared" ref="BB8:BB38" si="20">BA8*0.4444</f>
        <v>189.98899920000002</v>
      </c>
    </row>
    <row r="9" spans="1:54" x14ac:dyDescent="0.25">
      <c r="A9" s="23">
        <v>44988</v>
      </c>
      <c r="B9" s="62">
        <v>185</v>
      </c>
      <c r="C9" s="91">
        <v>8832090</v>
      </c>
      <c r="D9" s="91">
        <v>21237180</v>
      </c>
      <c r="E9" s="91">
        <v>4022470</v>
      </c>
      <c r="F9" s="91">
        <v>4495990</v>
      </c>
      <c r="G9" s="91">
        <v>13448230</v>
      </c>
      <c r="H9" s="91">
        <v>8044910</v>
      </c>
      <c r="I9" s="91">
        <v>6918250</v>
      </c>
      <c r="J9" s="91">
        <v>8695480</v>
      </c>
      <c r="K9" s="91">
        <v>12535420</v>
      </c>
      <c r="L9" s="91">
        <v>5469100</v>
      </c>
      <c r="M9" s="91">
        <v>9854570</v>
      </c>
      <c r="N9" s="91">
        <v>16604080</v>
      </c>
      <c r="O9" s="91">
        <v>23486780</v>
      </c>
      <c r="Q9" s="37">
        <f t="shared" ref="Q9:Q30" si="21">IF((C9-C8&lt;0), "0",C9-C8)</f>
        <v>520</v>
      </c>
      <c r="R9" s="37">
        <f t="shared" ref="R9:R37" si="22">IF((D9-D8&lt;0), "0",D9-D8)</f>
        <v>1760</v>
      </c>
      <c r="S9" s="37">
        <f t="shared" si="15"/>
        <v>3230</v>
      </c>
      <c r="T9" s="37">
        <f t="shared" ref="T9:T35" si="23">IF((F9-F8&lt;0), "0",F9-F8)</f>
        <v>910</v>
      </c>
      <c r="U9" s="37">
        <f t="shared" ref="U9:U35" si="24">IF((G9-G8&lt;0), "0",G9-G8)</f>
        <v>6280</v>
      </c>
      <c r="V9" s="37">
        <f t="shared" ref="V9:V35" si="25">IF((H9-H8&lt;0), "0",H9-H8)</f>
        <v>4070</v>
      </c>
      <c r="W9" s="37">
        <f t="shared" ref="W9:W35" si="26">IF((I9-I8&lt;0), "0",I9-I8)</f>
        <v>3150</v>
      </c>
      <c r="X9" s="37">
        <f t="shared" ref="X9:X37" si="27">IF((J9-J8&lt;0), "0",J9-J8)</f>
        <v>4150</v>
      </c>
      <c r="Y9" s="37">
        <f t="shared" ref="Y9:Y35" si="28">IF((K9-K8&lt;0), "0",K9-K8)</f>
        <v>5740</v>
      </c>
      <c r="Z9" s="37">
        <f t="shared" ref="Z9:Z35" si="29">IF((L9-L8&lt;0), "0",L9-L8)</f>
        <v>2590</v>
      </c>
      <c r="AA9" s="37">
        <f t="shared" ref="AA9:AA35" si="30">IF((M9-M8&lt;0), "0",M9-M8)</f>
        <v>3210</v>
      </c>
      <c r="AB9" s="37">
        <f t="shared" ref="AB9:AB37" si="31">IF((N9-N8&lt;0), "0",N9-N8)</f>
        <v>7200</v>
      </c>
      <c r="AC9" s="37">
        <f t="shared" ref="AC9:AC37" si="32">IF((O9-O8&lt;0), "0",O9-O8)</f>
        <v>12900</v>
      </c>
      <c r="AD9" s="35">
        <f t="shared" ref="AD9:AD37" si="33">SUM(Q9:AC9)</f>
        <v>55710</v>
      </c>
      <c r="AF9" s="20">
        <f t="shared" si="1"/>
        <v>2.6</v>
      </c>
      <c r="AG9" s="20">
        <f t="shared" si="2"/>
        <v>8.8000000000000007</v>
      </c>
      <c r="AH9" s="20">
        <f t="shared" si="3"/>
        <v>16.149999999999999</v>
      </c>
      <c r="AI9" s="20">
        <f t="shared" si="4"/>
        <v>4.55</v>
      </c>
      <c r="AJ9" s="20">
        <f t="shared" si="5"/>
        <v>31.400000000000002</v>
      </c>
      <c r="AK9" s="20">
        <f t="shared" si="6"/>
        <v>20.350000000000001</v>
      </c>
      <c r="AL9" s="20">
        <f t="shared" si="7"/>
        <v>15.75</v>
      </c>
      <c r="AM9" s="20">
        <f t="shared" si="8"/>
        <v>20.75</v>
      </c>
      <c r="AN9" s="20">
        <f t="shared" si="9"/>
        <v>28.7</v>
      </c>
      <c r="AO9" s="20">
        <f t="shared" si="10"/>
        <v>12.950000000000001</v>
      </c>
      <c r="AP9" s="20">
        <f t="shared" si="11"/>
        <v>16.05</v>
      </c>
      <c r="AQ9" s="20">
        <f t="shared" si="12"/>
        <v>36</v>
      </c>
      <c r="AR9" s="20">
        <f t="shared" si="13"/>
        <v>64.5</v>
      </c>
      <c r="AS9" s="35">
        <f t="shared" ref="AS9:AS33" si="34">SUM(AF9:AR9)</f>
        <v>278.54999999999995</v>
      </c>
      <c r="AT9" s="63">
        <v>0</v>
      </c>
      <c r="AU9" s="65">
        <f t="shared" si="16"/>
        <v>0</v>
      </c>
      <c r="AW9" s="95">
        <v>70948</v>
      </c>
      <c r="AX9" s="96">
        <f t="shared" si="17"/>
        <v>136</v>
      </c>
      <c r="AY9" s="94">
        <v>453062</v>
      </c>
      <c r="AZ9" s="70">
        <f t="shared" si="18"/>
        <v>151200</v>
      </c>
      <c r="BA9" s="37">
        <f t="shared" si="19"/>
        <v>412.77600000000001</v>
      </c>
      <c r="BB9" s="58">
        <f t="shared" si="20"/>
        <v>183.43765440000001</v>
      </c>
    </row>
    <row r="10" spans="1:54" x14ac:dyDescent="0.25">
      <c r="A10" s="23">
        <v>44989</v>
      </c>
      <c r="B10" s="40">
        <v>119</v>
      </c>
      <c r="C10" s="78">
        <v>8832630</v>
      </c>
      <c r="D10" s="78">
        <v>21238990</v>
      </c>
      <c r="E10" s="78">
        <v>4025800</v>
      </c>
      <c r="F10" s="78">
        <v>4496930</v>
      </c>
      <c r="G10" s="78">
        <v>13454550</v>
      </c>
      <c r="H10" s="78">
        <v>8049040</v>
      </c>
      <c r="I10" s="78">
        <v>6921040</v>
      </c>
      <c r="J10" s="78">
        <v>8699690</v>
      </c>
      <c r="K10" s="78">
        <v>12541450</v>
      </c>
      <c r="L10" s="78">
        <v>5471710</v>
      </c>
      <c r="M10" s="78">
        <v>9857770</v>
      </c>
      <c r="N10" s="78">
        <v>16611390</v>
      </c>
      <c r="O10" s="78">
        <v>23500160</v>
      </c>
      <c r="Q10" s="37">
        <f t="shared" si="21"/>
        <v>540</v>
      </c>
      <c r="R10" s="37">
        <f t="shared" si="22"/>
        <v>1810</v>
      </c>
      <c r="S10" s="37">
        <f t="shared" si="15"/>
        <v>3330</v>
      </c>
      <c r="T10" s="37">
        <f t="shared" si="23"/>
        <v>940</v>
      </c>
      <c r="U10" s="37">
        <f t="shared" si="24"/>
        <v>6320</v>
      </c>
      <c r="V10" s="37">
        <f t="shared" si="25"/>
        <v>4130</v>
      </c>
      <c r="W10" s="37">
        <f t="shared" si="26"/>
        <v>2790</v>
      </c>
      <c r="X10" s="37">
        <f t="shared" si="27"/>
        <v>4210</v>
      </c>
      <c r="Y10" s="37">
        <f t="shared" si="28"/>
        <v>6030</v>
      </c>
      <c r="Z10" s="37">
        <f t="shared" si="29"/>
        <v>2610</v>
      </c>
      <c r="AA10" s="37">
        <f t="shared" si="30"/>
        <v>3200</v>
      </c>
      <c r="AB10" s="37">
        <f t="shared" si="31"/>
        <v>7310</v>
      </c>
      <c r="AC10" s="37">
        <f t="shared" si="32"/>
        <v>13380</v>
      </c>
      <c r="AD10" s="35">
        <f t="shared" si="33"/>
        <v>56600</v>
      </c>
      <c r="AF10" s="20">
        <f t="shared" si="1"/>
        <v>2.7</v>
      </c>
      <c r="AG10" s="20">
        <f t="shared" si="2"/>
        <v>9.0500000000000007</v>
      </c>
      <c r="AH10" s="20">
        <f t="shared" si="3"/>
        <v>16.649999999999999</v>
      </c>
      <c r="AI10" s="20">
        <f t="shared" si="4"/>
        <v>4.7</v>
      </c>
      <c r="AJ10" s="20">
        <f t="shared" si="5"/>
        <v>31.6</v>
      </c>
      <c r="AK10" s="20">
        <f t="shared" si="6"/>
        <v>20.650000000000002</v>
      </c>
      <c r="AL10" s="20">
        <f t="shared" si="7"/>
        <v>13.950000000000001</v>
      </c>
      <c r="AM10" s="20">
        <f t="shared" si="8"/>
        <v>21.05</v>
      </c>
      <c r="AN10" s="20">
        <f t="shared" si="9"/>
        <v>30.150000000000002</v>
      </c>
      <c r="AO10" s="20">
        <f t="shared" si="10"/>
        <v>13.05</v>
      </c>
      <c r="AP10" s="20">
        <f t="shared" si="11"/>
        <v>16</v>
      </c>
      <c r="AQ10" s="20">
        <f t="shared" si="12"/>
        <v>36.550000000000004</v>
      </c>
      <c r="AR10" s="20">
        <f t="shared" si="13"/>
        <v>66.900000000000006</v>
      </c>
      <c r="AS10" s="35">
        <f t="shared" si="34"/>
        <v>283</v>
      </c>
      <c r="AT10" s="63">
        <v>7.2</v>
      </c>
      <c r="AU10" s="65">
        <f t="shared" si="16"/>
        <v>1282.5</v>
      </c>
      <c r="AW10" s="82">
        <v>71083</v>
      </c>
      <c r="AX10" s="60">
        <f t="shared" si="17"/>
        <v>135</v>
      </c>
      <c r="AY10" s="93">
        <v>454637</v>
      </c>
      <c r="AZ10" s="37">
        <f t="shared" si="18"/>
        <v>157500</v>
      </c>
      <c r="BA10" s="37">
        <f t="shared" si="19"/>
        <v>429.97499999999997</v>
      </c>
      <c r="BB10" s="58">
        <f t="shared" si="20"/>
        <v>191.08088999999998</v>
      </c>
    </row>
    <row r="11" spans="1:54" x14ac:dyDescent="0.25">
      <c r="A11" s="23">
        <v>44990</v>
      </c>
      <c r="B11" s="40"/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Q11" s="37" t="str">
        <f t="shared" si="21"/>
        <v>0</v>
      </c>
      <c r="R11" s="37" t="str">
        <f t="shared" si="22"/>
        <v>0</v>
      </c>
      <c r="S11" s="37" t="str">
        <f t="shared" si="15"/>
        <v>0</v>
      </c>
      <c r="T11" s="37" t="str">
        <f t="shared" si="23"/>
        <v>0</v>
      </c>
      <c r="U11" s="37" t="str">
        <f t="shared" si="24"/>
        <v>0</v>
      </c>
      <c r="V11" s="37" t="str">
        <f t="shared" si="25"/>
        <v>0</v>
      </c>
      <c r="W11" s="37" t="str">
        <f t="shared" si="26"/>
        <v>0</v>
      </c>
      <c r="X11" s="37" t="str">
        <f t="shared" si="27"/>
        <v>0</v>
      </c>
      <c r="Y11" s="37" t="str">
        <f t="shared" si="28"/>
        <v>0</v>
      </c>
      <c r="Z11" s="37" t="str">
        <f t="shared" si="29"/>
        <v>0</v>
      </c>
      <c r="AA11" s="37" t="str">
        <f t="shared" si="30"/>
        <v>0</v>
      </c>
      <c r="AB11" s="37" t="str">
        <f t="shared" si="31"/>
        <v>0</v>
      </c>
      <c r="AC11" s="37" t="str">
        <f t="shared" si="32"/>
        <v>0</v>
      </c>
      <c r="AD11" s="35">
        <f t="shared" si="33"/>
        <v>0</v>
      </c>
      <c r="AF11" s="20">
        <f t="shared" si="1"/>
        <v>0</v>
      </c>
      <c r="AG11" s="20">
        <f t="shared" si="2"/>
        <v>0</v>
      </c>
      <c r="AH11" s="20">
        <f t="shared" si="3"/>
        <v>0</v>
      </c>
      <c r="AI11" s="20">
        <f t="shared" si="4"/>
        <v>0</v>
      </c>
      <c r="AJ11" s="20">
        <f t="shared" si="5"/>
        <v>0</v>
      </c>
      <c r="AK11" s="20">
        <f t="shared" si="6"/>
        <v>0</v>
      </c>
      <c r="AL11" s="20">
        <f t="shared" si="7"/>
        <v>0</v>
      </c>
      <c r="AM11" s="20">
        <f t="shared" si="8"/>
        <v>0</v>
      </c>
      <c r="AN11" s="20">
        <f t="shared" si="9"/>
        <v>0</v>
      </c>
      <c r="AO11" s="20">
        <f t="shared" si="10"/>
        <v>0</v>
      </c>
      <c r="AP11" s="20">
        <f t="shared" si="11"/>
        <v>0</v>
      </c>
      <c r="AQ11" s="20">
        <f t="shared" si="12"/>
        <v>0</v>
      </c>
      <c r="AR11" s="20">
        <f t="shared" si="13"/>
        <v>0</v>
      </c>
      <c r="AS11" s="35">
        <f t="shared" si="34"/>
        <v>0</v>
      </c>
      <c r="AT11" s="63"/>
      <c r="AU11" s="65">
        <f t="shared" si="16"/>
        <v>0</v>
      </c>
      <c r="AW11" s="61"/>
      <c r="AX11" s="60" t="str">
        <f t="shared" si="17"/>
        <v>0</v>
      </c>
      <c r="AY11" s="53"/>
      <c r="AZ11" s="37">
        <f t="shared" si="18"/>
        <v>0</v>
      </c>
      <c r="BA11" s="37">
        <f t="shared" si="19"/>
        <v>0</v>
      </c>
      <c r="BB11" s="58">
        <f t="shared" si="20"/>
        <v>0</v>
      </c>
    </row>
    <row r="12" spans="1:54" x14ac:dyDescent="0.25">
      <c r="A12" s="23">
        <v>44991</v>
      </c>
      <c r="B12" s="40"/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Q12" s="37">
        <f t="shared" si="21"/>
        <v>0</v>
      </c>
      <c r="R12" s="37">
        <f t="shared" si="22"/>
        <v>0</v>
      </c>
      <c r="S12" s="37">
        <f t="shared" si="15"/>
        <v>0</v>
      </c>
      <c r="T12" s="37">
        <f t="shared" ref="T12:W14" si="35">IF((F12-F11&lt;0), "0",F12-F11)</f>
        <v>0</v>
      </c>
      <c r="U12" s="37">
        <f t="shared" si="35"/>
        <v>0</v>
      </c>
      <c r="V12" s="37">
        <f t="shared" si="35"/>
        <v>0</v>
      </c>
      <c r="W12" s="37">
        <f t="shared" si="35"/>
        <v>0</v>
      </c>
      <c r="X12" s="37">
        <f t="shared" si="27"/>
        <v>0</v>
      </c>
      <c r="Y12" s="37">
        <f t="shared" si="28"/>
        <v>0</v>
      </c>
      <c r="Z12" s="37">
        <f>IF((L12-L11&lt;0), "0",L12-L11)</f>
        <v>0</v>
      </c>
      <c r="AA12" s="37">
        <f t="shared" si="30"/>
        <v>0</v>
      </c>
      <c r="AB12" s="37">
        <f t="shared" si="31"/>
        <v>0</v>
      </c>
      <c r="AC12" s="37">
        <f t="shared" si="32"/>
        <v>0</v>
      </c>
      <c r="AD12" s="35">
        <f t="shared" si="33"/>
        <v>0</v>
      </c>
      <c r="AF12" s="20">
        <f t="shared" si="1"/>
        <v>0</v>
      </c>
      <c r="AG12" s="20">
        <f t="shared" si="2"/>
        <v>0</v>
      </c>
      <c r="AH12" s="20">
        <f t="shared" si="3"/>
        <v>0</v>
      </c>
      <c r="AI12" s="20">
        <f t="shared" si="4"/>
        <v>0</v>
      </c>
      <c r="AJ12" s="20">
        <f t="shared" si="5"/>
        <v>0</v>
      </c>
      <c r="AK12" s="20">
        <f t="shared" si="6"/>
        <v>0</v>
      </c>
      <c r="AL12" s="20">
        <f t="shared" si="7"/>
        <v>0</v>
      </c>
      <c r="AM12" s="20">
        <f t="shared" si="8"/>
        <v>0</v>
      </c>
      <c r="AN12" s="20">
        <f t="shared" si="9"/>
        <v>0</v>
      </c>
      <c r="AO12" s="20">
        <f t="shared" si="10"/>
        <v>0</v>
      </c>
      <c r="AP12" s="20">
        <f t="shared" si="11"/>
        <v>0</v>
      </c>
      <c r="AQ12" s="20">
        <f t="shared" si="12"/>
        <v>0</v>
      </c>
      <c r="AR12" s="20">
        <f t="shared" si="13"/>
        <v>0</v>
      </c>
      <c r="AS12" s="35">
        <f t="shared" si="34"/>
        <v>0</v>
      </c>
      <c r="AT12" s="63"/>
      <c r="AU12" s="65">
        <f t="shared" si="16"/>
        <v>0</v>
      </c>
      <c r="AW12" s="61"/>
      <c r="AX12" s="60">
        <f t="shared" si="17"/>
        <v>0</v>
      </c>
      <c r="AY12" s="54"/>
      <c r="AZ12" s="37">
        <f t="shared" si="18"/>
        <v>0</v>
      </c>
      <c r="BA12" s="37">
        <f t="shared" si="19"/>
        <v>0</v>
      </c>
      <c r="BB12" s="58">
        <f t="shared" si="20"/>
        <v>0</v>
      </c>
    </row>
    <row r="13" spans="1:54" x14ac:dyDescent="0.25">
      <c r="A13" s="23">
        <v>44992</v>
      </c>
      <c r="B13" s="40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Q13" s="37">
        <f t="shared" si="21"/>
        <v>0</v>
      </c>
      <c r="R13" s="37">
        <f t="shared" si="22"/>
        <v>0</v>
      </c>
      <c r="S13" s="37">
        <f t="shared" si="15"/>
        <v>0</v>
      </c>
      <c r="T13" s="37">
        <f t="shared" si="35"/>
        <v>0</v>
      </c>
      <c r="U13" s="37">
        <f t="shared" si="35"/>
        <v>0</v>
      </c>
      <c r="V13" s="37">
        <f t="shared" si="35"/>
        <v>0</v>
      </c>
      <c r="W13" s="37">
        <f t="shared" si="35"/>
        <v>0</v>
      </c>
      <c r="X13" s="37">
        <f t="shared" si="27"/>
        <v>0</v>
      </c>
      <c r="Y13" s="37">
        <f t="shared" si="28"/>
        <v>0</v>
      </c>
      <c r="Z13" s="37">
        <f>IF((L13-L12&lt;0), "0",L13-L12)</f>
        <v>0</v>
      </c>
      <c r="AA13" s="37">
        <f t="shared" si="30"/>
        <v>0</v>
      </c>
      <c r="AB13" s="37">
        <f t="shared" si="31"/>
        <v>0</v>
      </c>
      <c r="AC13" s="37">
        <f t="shared" si="32"/>
        <v>0</v>
      </c>
      <c r="AD13" s="35">
        <f t="shared" si="33"/>
        <v>0</v>
      </c>
      <c r="AF13" s="20">
        <f t="shared" si="1"/>
        <v>0</v>
      </c>
      <c r="AG13" s="20">
        <f t="shared" si="2"/>
        <v>0</v>
      </c>
      <c r="AH13" s="20">
        <f t="shared" si="3"/>
        <v>0</v>
      </c>
      <c r="AI13" s="20">
        <f t="shared" si="4"/>
        <v>0</v>
      </c>
      <c r="AJ13" s="20">
        <f t="shared" si="5"/>
        <v>0</v>
      </c>
      <c r="AK13" s="20">
        <f t="shared" si="6"/>
        <v>0</v>
      </c>
      <c r="AL13" s="20">
        <f t="shared" si="7"/>
        <v>0</v>
      </c>
      <c r="AM13" s="20">
        <f t="shared" si="8"/>
        <v>0</v>
      </c>
      <c r="AN13" s="20">
        <f t="shared" si="9"/>
        <v>0</v>
      </c>
      <c r="AO13" s="20">
        <f t="shared" si="10"/>
        <v>0</v>
      </c>
      <c r="AP13" s="20">
        <f t="shared" si="11"/>
        <v>0</v>
      </c>
      <c r="AQ13" s="20">
        <f t="shared" si="12"/>
        <v>0</v>
      </c>
      <c r="AR13" s="20">
        <f t="shared" si="13"/>
        <v>0</v>
      </c>
      <c r="AS13" s="35">
        <f t="shared" si="34"/>
        <v>0</v>
      </c>
      <c r="AT13" s="63"/>
      <c r="AU13" s="65">
        <f t="shared" si="16"/>
        <v>0</v>
      </c>
      <c r="AW13" s="61"/>
      <c r="AX13" s="60">
        <f t="shared" si="17"/>
        <v>0</v>
      </c>
      <c r="AY13" s="57"/>
      <c r="AZ13" s="37">
        <f t="shared" si="18"/>
        <v>0</v>
      </c>
      <c r="BA13" s="37">
        <f t="shared" si="19"/>
        <v>0</v>
      </c>
      <c r="BB13" s="58">
        <f t="shared" si="20"/>
        <v>0</v>
      </c>
    </row>
    <row r="14" spans="1:54" x14ac:dyDescent="0.25">
      <c r="A14" s="23">
        <v>44993</v>
      </c>
      <c r="B14" s="40"/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49"/>
      <c r="Q14" s="37">
        <f t="shared" si="21"/>
        <v>0</v>
      </c>
      <c r="R14" s="37">
        <f t="shared" si="22"/>
        <v>0</v>
      </c>
      <c r="S14" s="37">
        <f t="shared" si="15"/>
        <v>0</v>
      </c>
      <c r="T14" s="37">
        <f t="shared" si="35"/>
        <v>0</v>
      </c>
      <c r="U14" s="37">
        <f t="shared" si="35"/>
        <v>0</v>
      </c>
      <c r="V14" s="37">
        <f t="shared" si="35"/>
        <v>0</v>
      </c>
      <c r="W14" s="37">
        <f t="shared" si="35"/>
        <v>0</v>
      </c>
      <c r="X14" s="37">
        <f t="shared" si="27"/>
        <v>0</v>
      </c>
      <c r="Y14" s="37">
        <f t="shared" si="28"/>
        <v>0</v>
      </c>
      <c r="Z14" s="37">
        <f>IF((L14-L13&lt;0), "0",L14-L13)</f>
        <v>0</v>
      </c>
      <c r="AA14" s="37">
        <f t="shared" si="30"/>
        <v>0</v>
      </c>
      <c r="AB14" s="37">
        <f t="shared" si="31"/>
        <v>0</v>
      </c>
      <c r="AC14" s="37">
        <f t="shared" si="32"/>
        <v>0</v>
      </c>
      <c r="AD14" s="35">
        <f t="shared" si="33"/>
        <v>0</v>
      </c>
      <c r="AF14" s="20">
        <f t="shared" si="1"/>
        <v>0</v>
      </c>
      <c r="AG14" s="20">
        <f t="shared" si="2"/>
        <v>0</v>
      </c>
      <c r="AH14" s="20">
        <f t="shared" si="3"/>
        <v>0</v>
      </c>
      <c r="AI14" s="20">
        <f t="shared" si="4"/>
        <v>0</v>
      </c>
      <c r="AJ14" s="20">
        <f t="shared" si="5"/>
        <v>0</v>
      </c>
      <c r="AK14" s="20">
        <f t="shared" si="6"/>
        <v>0</v>
      </c>
      <c r="AL14" s="20">
        <f t="shared" si="7"/>
        <v>0</v>
      </c>
      <c r="AM14" s="20">
        <f t="shared" si="8"/>
        <v>0</v>
      </c>
      <c r="AN14" s="20">
        <f t="shared" si="9"/>
        <v>0</v>
      </c>
      <c r="AO14" s="20">
        <f t="shared" si="10"/>
        <v>0</v>
      </c>
      <c r="AP14" s="20">
        <f t="shared" si="11"/>
        <v>0</v>
      </c>
      <c r="AQ14" s="20">
        <f t="shared" si="12"/>
        <v>0</v>
      </c>
      <c r="AR14" s="20">
        <f t="shared" si="13"/>
        <v>0</v>
      </c>
      <c r="AS14" s="35">
        <f t="shared" si="34"/>
        <v>0</v>
      </c>
      <c r="AT14" s="63"/>
      <c r="AU14" s="65">
        <f t="shared" si="16"/>
        <v>0</v>
      </c>
      <c r="AW14" s="61"/>
      <c r="AX14" s="60">
        <f t="shared" si="17"/>
        <v>0</v>
      </c>
      <c r="AY14" s="54"/>
      <c r="AZ14" s="37">
        <f t="shared" si="18"/>
        <v>0</v>
      </c>
      <c r="BA14" s="37">
        <f t="shared" si="19"/>
        <v>0</v>
      </c>
      <c r="BB14" s="58">
        <f t="shared" si="20"/>
        <v>0</v>
      </c>
    </row>
    <row r="15" spans="1:54" x14ac:dyDescent="0.25">
      <c r="A15" s="23">
        <v>44994</v>
      </c>
      <c r="B15" s="40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Q15" s="37">
        <f t="shared" si="21"/>
        <v>0</v>
      </c>
      <c r="R15" s="37">
        <f t="shared" si="22"/>
        <v>0</v>
      </c>
      <c r="S15" s="37">
        <f t="shared" si="15"/>
        <v>0</v>
      </c>
      <c r="T15" s="37">
        <f t="shared" si="23"/>
        <v>0</v>
      </c>
      <c r="U15" s="37">
        <f t="shared" si="24"/>
        <v>0</v>
      </c>
      <c r="V15" s="37">
        <f t="shared" si="25"/>
        <v>0</v>
      </c>
      <c r="W15" s="37">
        <f t="shared" si="26"/>
        <v>0</v>
      </c>
      <c r="X15" s="37">
        <f t="shared" si="27"/>
        <v>0</v>
      </c>
      <c r="Y15" s="37">
        <f t="shared" si="28"/>
        <v>0</v>
      </c>
      <c r="Z15" s="37">
        <f t="shared" si="29"/>
        <v>0</v>
      </c>
      <c r="AA15" s="37">
        <f t="shared" si="30"/>
        <v>0</v>
      </c>
      <c r="AB15" s="37">
        <f t="shared" si="31"/>
        <v>0</v>
      </c>
      <c r="AC15" s="37">
        <f t="shared" si="32"/>
        <v>0</v>
      </c>
      <c r="AD15" s="35">
        <f t="shared" si="33"/>
        <v>0</v>
      </c>
      <c r="AF15" s="20">
        <f t="shared" si="1"/>
        <v>0</v>
      </c>
      <c r="AG15" s="20">
        <f t="shared" si="2"/>
        <v>0</v>
      </c>
      <c r="AH15" s="20">
        <f t="shared" si="3"/>
        <v>0</v>
      </c>
      <c r="AI15" s="20">
        <f t="shared" si="4"/>
        <v>0</v>
      </c>
      <c r="AJ15" s="20">
        <f t="shared" si="5"/>
        <v>0</v>
      </c>
      <c r="AK15" s="20">
        <f t="shared" si="6"/>
        <v>0</v>
      </c>
      <c r="AL15" s="20">
        <f t="shared" si="7"/>
        <v>0</v>
      </c>
      <c r="AM15" s="20">
        <f t="shared" si="8"/>
        <v>0</v>
      </c>
      <c r="AN15" s="20">
        <f t="shared" si="9"/>
        <v>0</v>
      </c>
      <c r="AO15" s="20">
        <f t="shared" si="10"/>
        <v>0</v>
      </c>
      <c r="AP15" s="20">
        <f t="shared" si="11"/>
        <v>0</v>
      </c>
      <c r="AQ15" s="20">
        <f t="shared" si="12"/>
        <v>0</v>
      </c>
      <c r="AR15" s="20">
        <f t="shared" si="13"/>
        <v>0</v>
      </c>
      <c r="AS15" s="35">
        <f t="shared" si="34"/>
        <v>0</v>
      </c>
      <c r="AT15" s="63"/>
      <c r="AU15" s="65">
        <f t="shared" si="16"/>
        <v>0</v>
      </c>
      <c r="AW15" s="61"/>
      <c r="AX15" s="60">
        <f t="shared" si="17"/>
        <v>0</v>
      </c>
      <c r="AY15" s="53"/>
      <c r="AZ15" s="37">
        <f t="shared" si="18"/>
        <v>0</v>
      </c>
      <c r="BA15" s="37">
        <f t="shared" si="19"/>
        <v>0</v>
      </c>
      <c r="BB15" s="58">
        <f t="shared" si="20"/>
        <v>0</v>
      </c>
    </row>
    <row r="16" spans="1:54" x14ac:dyDescent="0.25">
      <c r="A16" s="23">
        <v>44995</v>
      </c>
      <c r="B16" s="40"/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Q16" s="37">
        <f t="shared" si="21"/>
        <v>0</v>
      </c>
      <c r="R16" s="37">
        <f t="shared" si="22"/>
        <v>0</v>
      </c>
      <c r="S16" s="37">
        <f t="shared" si="15"/>
        <v>0</v>
      </c>
      <c r="T16" s="37">
        <f t="shared" si="23"/>
        <v>0</v>
      </c>
      <c r="U16" s="37">
        <f>IF((G16-G15&lt;0), "0",G16-G15)</f>
        <v>0</v>
      </c>
      <c r="V16" s="37">
        <f>IF((H16-H15&lt;0), "0",H16-H15)</f>
        <v>0</v>
      </c>
      <c r="W16" s="37">
        <f t="shared" si="26"/>
        <v>0</v>
      </c>
      <c r="X16" s="37">
        <f t="shared" si="27"/>
        <v>0</v>
      </c>
      <c r="Y16" s="37">
        <f t="shared" si="28"/>
        <v>0</v>
      </c>
      <c r="Z16" s="37">
        <f t="shared" si="29"/>
        <v>0</v>
      </c>
      <c r="AA16" s="37">
        <f t="shared" si="30"/>
        <v>0</v>
      </c>
      <c r="AB16" s="37">
        <f t="shared" si="31"/>
        <v>0</v>
      </c>
      <c r="AC16" s="37">
        <f t="shared" si="32"/>
        <v>0</v>
      </c>
      <c r="AD16" s="35">
        <f t="shared" si="33"/>
        <v>0</v>
      </c>
      <c r="AF16" s="20">
        <f t="shared" si="1"/>
        <v>0</v>
      </c>
      <c r="AG16" s="20">
        <f t="shared" si="2"/>
        <v>0</v>
      </c>
      <c r="AH16" s="20">
        <f t="shared" si="3"/>
        <v>0</v>
      </c>
      <c r="AI16" s="20">
        <f t="shared" si="4"/>
        <v>0</v>
      </c>
      <c r="AJ16" s="20">
        <f t="shared" si="5"/>
        <v>0</v>
      </c>
      <c r="AK16" s="20">
        <f t="shared" si="6"/>
        <v>0</v>
      </c>
      <c r="AL16" s="20">
        <f t="shared" si="7"/>
        <v>0</v>
      </c>
      <c r="AM16" s="20">
        <f t="shared" si="8"/>
        <v>0</v>
      </c>
      <c r="AN16" s="20">
        <f t="shared" si="9"/>
        <v>0</v>
      </c>
      <c r="AO16" s="20">
        <f t="shared" si="10"/>
        <v>0</v>
      </c>
      <c r="AP16" s="20">
        <f t="shared" si="11"/>
        <v>0</v>
      </c>
      <c r="AQ16" s="20">
        <f t="shared" si="12"/>
        <v>0</v>
      </c>
      <c r="AR16" s="20">
        <f t="shared" si="13"/>
        <v>0</v>
      </c>
      <c r="AS16" s="35">
        <f t="shared" si="34"/>
        <v>0</v>
      </c>
      <c r="AT16" s="63"/>
      <c r="AU16" s="65">
        <f t="shared" si="16"/>
        <v>0</v>
      </c>
      <c r="AW16" s="61"/>
      <c r="AX16" s="60">
        <f t="shared" si="17"/>
        <v>0</v>
      </c>
      <c r="AY16" s="54"/>
      <c r="AZ16" s="37">
        <f t="shared" si="18"/>
        <v>0</v>
      </c>
      <c r="BA16" s="37">
        <f t="shared" si="19"/>
        <v>0</v>
      </c>
      <c r="BB16" s="58">
        <f t="shared" si="20"/>
        <v>0</v>
      </c>
    </row>
    <row r="17" spans="1:54" x14ac:dyDescent="0.25">
      <c r="A17" s="23">
        <v>44996</v>
      </c>
      <c r="B17" s="40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Q17" s="37">
        <f t="shared" si="21"/>
        <v>0</v>
      </c>
      <c r="R17" s="37">
        <f t="shared" si="22"/>
        <v>0</v>
      </c>
      <c r="S17" s="37">
        <f t="shared" si="15"/>
        <v>0</v>
      </c>
      <c r="T17" s="37">
        <f t="shared" si="23"/>
        <v>0</v>
      </c>
      <c r="U17" s="37">
        <f>IF((G17-G16&lt;0), "0",G17-G16)</f>
        <v>0</v>
      </c>
      <c r="V17" s="37">
        <f>IF((H17-H16&lt;0), "0",H17-H16)</f>
        <v>0</v>
      </c>
      <c r="W17" s="37">
        <f t="shared" si="26"/>
        <v>0</v>
      </c>
      <c r="X17" s="37">
        <f t="shared" si="27"/>
        <v>0</v>
      </c>
      <c r="Y17" s="37">
        <f t="shared" si="28"/>
        <v>0</v>
      </c>
      <c r="Z17" s="37">
        <f t="shared" si="29"/>
        <v>0</v>
      </c>
      <c r="AA17" s="37">
        <f t="shared" si="30"/>
        <v>0</v>
      </c>
      <c r="AB17" s="37">
        <f t="shared" si="31"/>
        <v>0</v>
      </c>
      <c r="AC17" s="37">
        <f t="shared" si="32"/>
        <v>0</v>
      </c>
      <c r="AD17" s="35">
        <f t="shared" si="33"/>
        <v>0</v>
      </c>
      <c r="AF17" s="20">
        <f t="shared" si="1"/>
        <v>0</v>
      </c>
      <c r="AG17" s="20">
        <f t="shared" si="2"/>
        <v>0</v>
      </c>
      <c r="AH17" s="20">
        <f t="shared" si="3"/>
        <v>0</v>
      </c>
      <c r="AI17" s="20">
        <f t="shared" si="4"/>
        <v>0</v>
      </c>
      <c r="AJ17" s="20">
        <f t="shared" si="5"/>
        <v>0</v>
      </c>
      <c r="AK17" s="20">
        <f t="shared" si="6"/>
        <v>0</v>
      </c>
      <c r="AL17" s="20">
        <f t="shared" si="7"/>
        <v>0</v>
      </c>
      <c r="AM17" s="20">
        <f t="shared" si="8"/>
        <v>0</v>
      </c>
      <c r="AN17" s="20">
        <f t="shared" si="9"/>
        <v>0</v>
      </c>
      <c r="AO17" s="20">
        <f t="shared" si="10"/>
        <v>0</v>
      </c>
      <c r="AP17" s="20">
        <f t="shared" si="11"/>
        <v>0</v>
      </c>
      <c r="AQ17" s="20">
        <f t="shared" si="12"/>
        <v>0</v>
      </c>
      <c r="AR17" s="20">
        <f t="shared" si="13"/>
        <v>0</v>
      </c>
      <c r="AS17" s="35">
        <f t="shared" si="34"/>
        <v>0</v>
      </c>
      <c r="AT17" s="63"/>
      <c r="AU17" s="65">
        <f t="shared" si="16"/>
        <v>0</v>
      </c>
      <c r="AW17" s="61"/>
      <c r="AX17" s="60">
        <f t="shared" si="17"/>
        <v>0</v>
      </c>
      <c r="AY17" s="55"/>
      <c r="AZ17" s="37">
        <f t="shared" si="18"/>
        <v>0</v>
      </c>
      <c r="BA17" s="37">
        <f t="shared" si="19"/>
        <v>0</v>
      </c>
      <c r="BB17" s="58">
        <f t="shared" si="20"/>
        <v>0</v>
      </c>
    </row>
    <row r="18" spans="1:54" x14ac:dyDescent="0.25">
      <c r="A18" s="23">
        <v>44997</v>
      </c>
      <c r="B18" s="40"/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Q18" s="37">
        <f t="shared" si="21"/>
        <v>0</v>
      </c>
      <c r="R18" s="37">
        <f t="shared" si="22"/>
        <v>0</v>
      </c>
      <c r="S18" s="37">
        <f t="shared" si="15"/>
        <v>0</v>
      </c>
      <c r="T18" s="37">
        <f t="shared" si="23"/>
        <v>0</v>
      </c>
      <c r="U18" s="37">
        <f t="shared" si="24"/>
        <v>0</v>
      </c>
      <c r="V18" s="37">
        <f t="shared" si="25"/>
        <v>0</v>
      </c>
      <c r="W18" s="37">
        <f t="shared" si="26"/>
        <v>0</v>
      </c>
      <c r="X18" s="37">
        <f t="shared" si="27"/>
        <v>0</v>
      </c>
      <c r="Y18" s="37">
        <f t="shared" si="28"/>
        <v>0</v>
      </c>
      <c r="Z18" s="37">
        <f t="shared" si="29"/>
        <v>0</v>
      </c>
      <c r="AA18" s="37">
        <f t="shared" si="30"/>
        <v>0</v>
      </c>
      <c r="AB18" s="37">
        <f t="shared" si="31"/>
        <v>0</v>
      </c>
      <c r="AC18" s="37">
        <f t="shared" si="32"/>
        <v>0</v>
      </c>
      <c r="AD18" s="35">
        <f t="shared" si="33"/>
        <v>0</v>
      </c>
      <c r="AF18" s="20">
        <f t="shared" si="1"/>
        <v>0</v>
      </c>
      <c r="AG18" s="20">
        <f t="shared" si="2"/>
        <v>0</v>
      </c>
      <c r="AH18" s="20">
        <f t="shared" si="3"/>
        <v>0</v>
      </c>
      <c r="AI18" s="20">
        <f t="shared" si="4"/>
        <v>0</v>
      </c>
      <c r="AJ18" s="20">
        <f t="shared" si="5"/>
        <v>0</v>
      </c>
      <c r="AK18" s="20">
        <f t="shared" si="6"/>
        <v>0</v>
      </c>
      <c r="AL18" s="20">
        <f t="shared" si="7"/>
        <v>0</v>
      </c>
      <c r="AM18" s="20">
        <f t="shared" si="8"/>
        <v>0</v>
      </c>
      <c r="AN18" s="20">
        <f t="shared" si="9"/>
        <v>0</v>
      </c>
      <c r="AO18" s="20">
        <f t="shared" si="10"/>
        <v>0</v>
      </c>
      <c r="AP18" s="20">
        <f t="shared" si="11"/>
        <v>0</v>
      </c>
      <c r="AQ18" s="20">
        <f t="shared" si="12"/>
        <v>0</v>
      </c>
      <c r="AR18" s="20">
        <f t="shared" si="13"/>
        <v>0</v>
      </c>
      <c r="AS18" s="35">
        <f t="shared" si="34"/>
        <v>0</v>
      </c>
      <c r="AT18" s="63"/>
      <c r="AU18" s="65">
        <f t="shared" si="16"/>
        <v>0</v>
      </c>
      <c r="AW18" s="61"/>
      <c r="AX18" s="60">
        <f t="shared" si="17"/>
        <v>0</v>
      </c>
      <c r="AY18" s="54"/>
      <c r="AZ18" s="37">
        <f t="shared" si="18"/>
        <v>0</v>
      </c>
      <c r="BA18" s="37">
        <f t="shared" si="19"/>
        <v>0</v>
      </c>
      <c r="BB18" s="58">
        <f t="shared" si="20"/>
        <v>0</v>
      </c>
    </row>
    <row r="19" spans="1:54" x14ac:dyDescent="0.25">
      <c r="A19" s="23">
        <v>44998</v>
      </c>
      <c r="B19" s="4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Q19" s="37">
        <f t="shared" si="21"/>
        <v>0</v>
      </c>
      <c r="R19" s="37">
        <f t="shared" si="22"/>
        <v>0</v>
      </c>
      <c r="S19" s="37">
        <f t="shared" si="15"/>
        <v>0</v>
      </c>
      <c r="T19" s="37">
        <f t="shared" si="23"/>
        <v>0</v>
      </c>
      <c r="U19" s="37">
        <f t="shared" si="24"/>
        <v>0</v>
      </c>
      <c r="V19" s="37">
        <f t="shared" si="25"/>
        <v>0</v>
      </c>
      <c r="W19" s="37">
        <f t="shared" si="26"/>
        <v>0</v>
      </c>
      <c r="X19" s="37">
        <f t="shared" si="27"/>
        <v>0</v>
      </c>
      <c r="Y19" s="37">
        <f t="shared" si="28"/>
        <v>0</v>
      </c>
      <c r="Z19" s="37">
        <f t="shared" si="29"/>
        <v>0</v>
      </c>
      <c r="AA19" s="37">
        <f t="shared" si="30"/>
        <v>0</v>
      </c>
      <c r="AB19" s="37">
        <f t="shared" si="31"/>
        <v>0</v>
      </c>
      <c r="AC19" s="37">
        <f t="shared" si="32"/>
        <v>0</v>
      </c>
      <c r="AD19" s="35">
        <f t="shared" si="33"/>
        <v>0</v>
      </c>
      <c r="AF19" s="20">
        <f t="shared" si="1"/>
        <v>0</v>
      </c>
      <c r="AG19" s="20">
        <f t="shared" si="2"/>
        <v>0</v>
      </c>
      <c r="AH19" s="20">
        <f t="shared" si="3"/>
        <v>0</v>
      </c>
      <c r="AI19" s="20">
        <f t="shared" si="4"/>
        <v>0</v>
      </c>
      <c r="AJ19" s="20">
        <f t="shared" si="5"/>
        <v>0</v>
      </c>
      <c r="AK19" s="20">
        <f t="shared" si="6"/>
        <v>0</v>
      </c>
      <c r="AL19" s="20">
        <f t="shared" si="7"/>
        <v>0</v>
      </c>
      <c r="AM19" s="20">
        <f t="shared" si="8"/>
        <v>0</v>
      </c>
      <c r="AN19" s="20">
        <f t="shared" si="9"/>
        <v>0</v>
      </c>
      <c r="AO19" s="20">
        <f t="shared" si="10"/>
        <v>0</v>
      </c>
      <c r="AP19" s="20">
        <f t="shared" si="11"/>
        <v>0</v>
      </c>
      <c r="AQ19" s="20">
        <f t="shared" si="12"/>
        <v>0</v>
      </c>
      <c r="AR19" s="20">
        <f t="shared" si="13"/>
        <v>0</v>
      </c>
      <c r="AS19" s="35">
        <f t="shared" si="34"/>
        <v>0</v>
      </c>
      <c r="AT19" s="63"/>
      <c r="AU19" s="65">
        <f t="shared" si="16"/>
        <v>0</v>
      </c>
      <c r="AW19" s="61"/>
      <c r="AX19" s="60">
        <f t="shared" si="17"/>
        <v>0</v>
      </c>
      <c r="AY19" s="53"/>
      <c r="AZ19" s="37">
        <f t="shared" si="18"/>
        <v>0</v>
      </c>
      <c r="BA19" s="37">
        <f t="shared" si="19"/>
        <v>0</v>
      </c>
      <c r="BB19" s="58">
        <f t="shared" si="20"/>
        <v>0</v>
      </c>
    </row>
    <row r="20" spans="1:54" x14ac:dyDescent="0.25">
      <c r="A20" s="23">
        <v>44999</v>
      </c>
      <c r="B20" s="40"/>
      <c r="C20" s="51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Q20" s="37">
        <f t="shared" si="21"/>
        <v>0</v>
      </c>
      <c r="R20" s="37">
        <f t="shared" si="22"/>
        <v>0</v>
      </c>
      <c r="S20" s="37">
        <f t="shared" si="15"/>
        <v>0</v>
      </c>
      <c r="T20" s="37">
        <f t="shared" si="23"/>
        <v>0</v>
      </c>
      <c r="U20" s="37">
        <f t="shared" si="24"/>
        <v>0</v>
      </c>
      <c r="V20" s="37">
        <f t="shared" si="25"/>
        <v>0</v>
      </c>
      <c r="W20" s="37">
        <f t="shared" si="26"/>
        <v>0</v>
      </c>
      <c r="X20" s="37">
        <f t="shared" si="27"/>
        <v>0</v>
      </c>
      <c r="Y20" s="37">
        <f t="shared" si="28"/>
        <v>0</v>
      </c>
      <c r="Z20" s="37">
        <f t="shared" si="29"/>
        <v>0</v>
      </c>
      <c r="AA20" s="37">
        <f t="shared" si="30"/>
        <v>0</v>
      </c>
      <c r="AB20" s="37">
        <f t="shared" si="31"/>
        <v>0</v>
      </c>
      <c r="AC20" s="37">
        <f t="shared" si="32"/>
        <v>0</v>
      </c>
      <c r="AD20" s="35">
        <f t="shared" si="33"/>
        <v>0</v>
      </c>
      <c r="AF20" s="20">
        <f t="shared" si="1"/>
        <v>0</v>
      </c>
      <c r="AG20" s="20">
        <f t="shared" si="2"/>
        <v>0</v>
      </c>
      <c r="AH20" s="20">
        <f t="shared" si="3"/>
        <v>0</v>
      </c>
      <c r="AI20" s="20">
        <f t="shared" si="4"/>
        <v>0</v>
      </c>
      <c r="AJ20" s="20">
        <f t="shared" si="5"/>
        <v>0</v>
      </c>
      <c r="AK20" s="20">
        <f t="shared" si="6"/>
        <v>0</v>
      </c>
      <c r="AL20" s="20">
        <f t="shared" si="7"/>
        <v>0</v>
      </c>
      <c r="AM20" s="20">
        <f t="shared" si="8"/>
        <v>0</v>
      </c>
      <c r="AN20" s="20">
        <f t="shared" si="9"/>
        <v>0</v>
      </c>
      <c r="AO20" s="20">
        <f t="shared" si="10"/>
        <v>0</v>
      </c>
      <c r="AP20" s="20">
        <f t="shared" si="11"/>
        <v>0</v>
      </c>
      <c r="AQ20" s="20">
        <f t="shared" si="12"/>
        <v>0</v>
      </c>
      <c r="AR20" s="20">
        <f t="shared" si="13"/>
        <v>0</v>
      </c>
      <c r="AS20" s="35">
        <f t="shared" si="34"/>
        <v>0</v>
      </c>
      <c r="AT20" s="63"/>
      <c r="AU20" s="65">
        <f t="shared" si="16"/>
        <v>0</v>
      </c>
      <c r="AW20" s="61"/>
      <c r="AX20" s="60">
        <f t="shared" si="17"/>
        <v>0</v>
      </c>
      <c r="AY20" s="54"/>
      <c r="AZ20" s="37">
        <f t="shared" si="18"/>
        <v>0</v>
      </c>
      <c r="BA20" s="37">
        <f t="shared" si="19"/>
        <v>0</v>
      </c>
      <c r="BB20" s="58">
        <f t="shared" si="20"/>
        <v>0</v>
      </c>
    </row>
    <row r="21" spans="1:54" x14ac:dyDescent="0.25">
      <c r="A21" s="23">
        <v>45000</v>
      </c>
      <c r="B21" s="4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Q21" s="37">
        <f t="shared" si="21"/>
        <v>0</v>
      </c>
      <c r="R21" s="37">
        <f t="shared" si="22"/>
        <v>0</v>
      </c>
      <c r="S21" s="37">
        <f t="shared" si="15"/>
        <v>0</v>
      </c>
      <c r="T21" s="37">
        <f t="shared" si="23"/>
        <v>0</v>
      </c>
      <c r="U21" s="37">
        <f t="shared" si="24"/>
        <v>0</v>
      </c>
      <c r="V21" s="37">
        <f t="shared" si="25"/>
        <v>0</v>
      </c>
      <c r="W21" s="37">
        <f t="shared" si="26"/>
        <v>0</v>
      </c>
      <c r="X21" s="37">
        <f t="shared" si="27"/>
        <v>0</v>
      </c>
      <c r="Y21" s="37">
        <f t="shared" si="28"/>
        <v>0</v>
      </c>
      <c r="Z21" s="37">
        <f t="shared" si="29"/>
        <v>0</v>
      </c>
      <c r="AA21" s="37">
        <f t="shared" si="30"/>
        <v>0</v>
      </c>
      <c r="AB21" s="37">
        <f t="shared" si="31"/>
        <v>0</v>
      </c>
      <c r="AC21" s="37">
        <f t="shared" si="32"/>
        <v>0</v>
      </c>
      <c r="AD21" s="35">
        <f t="shared" si="33"/>
        <v>0</v>
      </c>
      <c r="AF21" s="20">
        <f t="shared" si="1"/>
        <v>0</v>
      </c>
      <c r="AG21" s="20">
        <f t="shared" si="2"/>
        <v>0</v>
      </c>
      <c r="AH21" s="20">
        <f t="shared" si="3"/>
        <v>0</v>
      </c>
      <c r="AI21" s="20">
        <f t="shared" si="4"/>
        <v>0</v>
      </c>
      <c r="AJ21" s="20">
        <f t="shared" si="5"/>
        <v>0</v>
      </c>
      <c r="AK21" s="20">
        <f t="shared" si="6"/>
        <v>0</v>
      </c>
      <c r="AL21" s="20">
        <f t="shared" si="7"/>
        <v>0</v>
      </c>
      <c r="AM21" s="20">
        <f t="shared" si="8"/>
        <v>0</v>
      </c>
      <c r="AN21" s="20">
        <f t="shared" si="9"/>
        <v>0</v>
      </c>
      <c r="AO21" s="20">
        <f t="shared" si="10"/>
        <v>0</v>
      </c>
      <c r="AP21" s="20">
        <f t="shared" si="11"/>
        <v>0</v>
      </c>
      <c r="AQ21" s="20">
        <f t="shared" si="12"/>
        <v>0</v>
      </c>
      <c r="AR21" s="20">
        <f t="shared" si="13"/>
        <v>0</v>
      </c>
      <c r="AS21" s="35">
        <f t="shared" si="34"/>
        <v>0</v>
      </c>
      <c r="AT21" s="63"/>
      <c r="AU21" s="65">
        <f t="shared" si="16"/>
        <v>0</v>
      </c>
      <c r="AW21" s="61"/>
      <c r="AX21" s="60">
        <f t="shared" si="17"/>
        <v>0</v>
      </c>
      <c r="AY21" s="53"/>
      <c r="AZ21" s="37">
        <f t="shared" si="18"/>
        <v>0</v>
      </c>
      <c r="BA21" s="37">
        <f t="shared" si="19"/>
        <v>0</v>
      </c>
      <c r="BB21" s="58">
        <f t="shared" si="20"/>
        <v>0</v>
      </c>
    </row>
    <row r="22" spans="1:54" x14ac:dyDescent="0.25">
      <c r="A22" s="23">
        <v>45001</v>
      </c>
      <c r="B22" s="40"/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Q22" s="37">
        <f t="shared" si="21"/>
        <v>0</v>
      </c>
      <c r="R22" s="37">
        <f t="shared" si="22"/>
        <v>0</v>
      </c>
      <c r="S22" s="37">
        <f t="shared" si="15"/>
        <v>0</v>
      </c>
      <c r="T22" s="37">
        <f t="shared" si="23"/>
        <v>0</v>
      </c>
      <c r="U22" s="37">
        <f t="shared" si="24"/>
        <v>0</v>
      </c>
      <c r="V22" s="37">
        <f t="shared" si="25"/>
        <v>0</v>
      </c>
      <c r="W22" s="37">
        <f t="shared" si="26"/>
        <v>0</v>
      </c>
      <c r="X22" s="37">
        <f t="shared" si="27"/>
        <v>0</v>
      </c>
      <c r="Y22" s="37">
        <f t="shared" si="28"/>
        <v>0</v>
      </c>
      <c r="Z22" s="37">
        <f t="shared" si="29"/>
        <v>0</v>
      </c>
      <c r="AA22" s="37">
        <f t="shared" si="30"/>
        <v>0</v>
      </c>
      <c r="AB22" s="37">
        <f t="shared" si="31"/>
        <v>0</v>
      </c>
      <c r="AC22" s="37">
        <f t="shared" si="32"/>
        <v>0</v>
      </c>
      <c r="AD22" s="35">
        <f t="shared" si="33"/>
        <v>0</v>
      </c>
      <c r="AF22" s="20">
        <f t="shared" si="1"/>
        <v>0</v>
      </c>
      <c r="AG22" s="20">
        <f t="shared" si="2"/>
        <v>0</v>
      </c>
      <c r="AH22" s="20">
        <f t="shared" si="3"/>
        <v>0</v>
      </c>
      <c r="AI22" s="20">
        <f t="shared" si="4"/>
        <v>0</v>
      </c>
      <c r="AJ22" s="20">
        <f t="shared" si="5"/>
        <v>0</v>
      </c>
      <c r="AK22" s="20">
        <f t="shared" si="6"/>
        <v>0</v>
      </c>
      <c r="AL22" s="20">
        <f t="shared" si="7"/>
        <v>0</v>
      </c>
      <c r="AM22" s="20">
        <f t="shared" si="8"/>
        <v>0</v>
      </c>
      <c r="AN22" s="20">
        <f t="shared" si="9"/>
        <v>0</v>
      </c>
      <c r="AO22" s="20">
        <f t="shared" si="10"/>
        <v>0</v>
      </c>
      <c r="AP22" s="20">
        <f t="shared" si="11"/>
        <v>0</v>
      </c>
      <c r="AQ22" s="20">
        <f t="shared" si="12"/>
        <v>0</v>
      </c>
      <c r="AR22" s="20">
        <f t="shared" si="13"/>
        <v>0</v>
      </c>
      <c r="AS22" s="35">
        <f t="shared" si="34"/>
        <v>0</v>
      </c>
      <c r="AT22" s="63"/>
      <c r="AU22" s="65">
        <f t="shared" si="16"/>
        <v>0</v>
      </c>
      <c r="AW22" s="61"/>
      <c r="AX22" s="60">
        <f t="shared" si="17"/>
        <v>0</v>
      </c>
      <c r="AY22" s="54"/>
      <c r="AZ22" s="37">
        <f t="shared" si="18"/>
        <v>0</v>
      </c>
      <c r="BA22" s="37">
        <f t="shared" si="19"/>
        <v>0</v>
      </c>
      <c r="BB22" s="58">
        <f t="shared" si="20"/>
        <v>0</v>
      </c>
    </row>
    <row r="23" spans="1:54" x14ac:dyDescent="0.25">
      <c r="A23" s="23">
        <v>45002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>
        <f t="shared" si="21"/>
        <v>0</v>
      </c>
      <c r="R23" s="37">
        <f t="shared" si="22"/>
        <v>0</v>
      </c>
      <c r="S23" s="37">
        <f t="shared" si="15"/>
        <v>0</v>
      </c>
      <c r="T23" s="37">
        <f t="shared" si="23"/>
        <v>0</v>
      </c>
      <c r="U23" s="37">
        <f t="shared" si="24"/>
        <v>0</v>
      </c>
      <c r="V23" s="37">
        <f t="shared" si="25"/>
        <v>0</v>
      </c>
      <c r="W23" s="37">
        <f t="shared" si="26"/>
        <v>0</v>
      </c>
      <c r="X23" s="37">
        <f t="shared" si="27"/>
        <v>0</v>
      </c>
      <c r="Y23" s="37">
        <f t="shared" si="28"/>
        <v>0</v>
      </c>
      <c r="Z23" s="37">
        <f t="shared" si="29"/>
        <v>0</v>
      </c>
      <c r="AA23" s="37">
        <f t="shared" si="30"/>
        <v>0</v>
      </c>
      <c r="AB23" s="37">
        <f t="shared" si="31"/>
        <v>0</v>
      </c>
      <c r="AC23" s="37">
        <f t="shared" si="32"/>
        <v>0</v>
      </c>
      <c r="AD23" s="35">
        <f t="shared" si="33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34"/>
        <v>0</v>
      </c>
      <c r="AT23" s="63"/>
      <c r="AU23" s="65">
        <f t="shared" si="16"/>
        <v>0</v>
      </c>
      <c r="AW23" s="61"/>
      <c r="AX23" s="60">
        <f t="shared" si="17"/>
        <v>0</v>
      </c>
      <c r="AY23" s="52"/>
      <c r="AZ23" s="37">
        <f t="shared" si="18"/>
        <v>0</v>
      </c>
      <c r="BA23" s="37">
        <f t="shared" si="19"/>
        <v>0</v>
      </c>
      <c r="BB23" s="58">
        <f t="shared" si="20"/>
        <v>0</v>
      </c>
    </row>
    <row r="24" spans="1:54" x14ac:dyDescent="0.25">
      <c r="A24" s="23">
        <v>45003</v>
      </c>
      <c r="B24" s="40"/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Q24" s="37">
        <f t="shared" si="21"/>
        <v>0</v>
      </c>
      <c r="R24" s="37">
        <f t="shared" si="22"/>
        <v>0</v>
      </c>
      <c r="S24" s="37">
        <f t="shared" si="15"/>
        <v>0</v>
      </c>
      <c r="T24" s="37">
        <f t="shared" si="23"/>
        <v>0</v>
      </c>
      <c r="U24" s="37">
        <f t="shared" si="24"/>
        <v>0</v>
      </c>
      <c r="V24" s="37">
        <f t="shared" si="25"/>
        <v>0</v>
      </c>
      <c r="W24" s="37">
        <f t="shared" si="26"/>
        <v>0</v>
      </c>
      <c r="X24" s="37">
        <f t="shared" si="27"/>
        <v>0</v>
      </c>
      <c r="Y24" s="37">
        <f t="shared" si="28"/>
        <v>0</v>
      </c>
      <c r="Z24" s="37">
        <f t="shared" si="29"/>
        <v>0</v>
      </c>
      <c r="AA24" s="37">
        <f t="shared" si="30"/>
        <v>0</v>
      </c>
      <c r="AB24" s="37">
        <f t="shared" si="31"/>
        <v>0</v>
      </c>
      <c r="AC24" s="37">
        <f t="shared" si="32"/>
        <v>0</v>
      </c>
      <c r="AD24" s="35">
        <f t="shared" si="33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34"/>
        <v>0</v>
      </c>
      <c r="AT24" s="63"/>
      <c r="AU24" s="65">
        <f t="shared" si="16"/>
        <v>0</v>
      </c>
      <c r="AW24" s="61"/>
      <c r="AX24" s="60">
        <f t="shared" si="17"/>
        <v>0</v>
      </c>
      <c r="AY24" s="54"/>
      <c r="AZ24" s="37">
        <f t="shared" si="18"/>
        <v>0</v>
      </c>
      <c r="BA24" s="37">
        <f t="shared" si="19"/>
        <v>0</v>
      </c>
      <c r="BB24" s="58">
        <f t="shared" si="20"/>
        <v>0</v>
      </c>
    </row>
    <row r="25" spans="1:54" x14ac:dyDescent="0.25">
      <c r="A25" s="23">
        <v>45004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6">IF((C25-C24&lt;0), "0",C25-C24)</f>
        <v>0</v>
      </c>
      <c r="R25" s="37">
        <f t="shared" si="22"/>
        <v>0</v>
      </c>
      <c r="S25" s="37">
        <f t="shared" si="36"/>
        <v>0</v>
      </c>
      <c r="T25" s="37">
        <f t="shared" si="36"/>
        <v>0</v>
      </c>
      <c r="U25" s="37">
        <f t="shared" si="36"/>
        <v>0</v>
      </c>
      <c r="V25" s="37">
        <f t="shared" si="36"/>
        <v>0</v>
      </c>
      <c r="W25" s="37">
        <f t="shared" si="36"/>
        <v>0</v>
      </c>
      <c r="X25" s="37">
        <f t="shared" si="36"/>
        <v>0</v>
      </c>
      <c r="Y25" s="37">
        <f t="shared" si="36"/>
        <v>0</v>
      </c>
      <c r="Z25" s="37">
        <f t="shared" si="36"/>
        <v>0</v>
      </c>
      <c r="AA25" s="37">
        <f t="shared" si="36"/>
        <v>0</v>
      </c>
      <c r="AB25" s="37">
        <f t="shared" si="36"/>
        <v>0</v>
      </c>
      <c r="AC25" s="37">
        <f t="shared" si="36"/>
        <v>0</v>
      </c>
      <c r="AD25" s="35">
        <f t="shared" si="33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34"/>
        <v>0</v>
      </c>
      <c r="AT25" s="63"/>
      <c r="AU25" s="65">
        <f t="shared" si="16"/>
        <v>0</v>
      </c>
      <c r="AW25" s="61"/>
      <c r="AX25" s="60">
        <f t="shared" si="17"/>
        <v>0</v>
      </c>
      <c r="AY25" s="52"/>
      <c r="AZ25" s="37">
        <f t="shared" si="18"/>
        <v>0</v>
      </c>
      <c r="BA25" s="37">
        <f t="shared" si="19"/>
        <v>0</v>
      </c>
      <c r="BB25" s="58">
        <f t="shared" si="20"/>
        <v>0</v>
      </c>
    </row>
    <row r="26" spans="1:54" x14ac:dyDescent="0.25">
      <c r="A26" s="23">
        <v>45005</v>
      </c>
      <c r="B26" s="40"/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Q26" s="37">
        <f t="shared" si="36"/>
        <v>0</v>
      </c>
      <c r="R26" s="37">
        <f t="shared" si="22"/>
        <v>0</v>
      </c>
      <c r="S26" s="37">
        <f t="shared" si="36"/>
        <v>0</v>
      </c>
      <c r="T26" s="37">
        <f t="shared" si="36"/>
        <v>0</v>
      </c>
      <c r="U26" s="37">
        <f t="shared" si="36"/>
        <v>0</v>
      </c>
      <c r="V26" s="37">
        <f t="shared" si="36"/>
        <v>0</v>
      </c>
      <c r="W26" s="37">
        <f t="shared" si="36"/>
        <v>0</v>
      </c>
      <c r="X26" s="37">
        <f t="shared" si="36"/>
        <v>0</v>
      </c>
      <c r="Y26" s="37">
        <f t="shared" si="36"/>
        <v>0</v>
      </c>
      <c r="Z26" s="37">
        <f t="shared" si="36"/>
        <v>0</v>
      </c>
      <c r="AA26" s="37">
        <f t="shared" si="36"/>
        <v>0</v>
      </c>
      <c r="AB26" s="37">
        <f t="shared" si="36"/>
        <v>0</v>
      </c>
      <c r="AC26" s="37">
        <f t="shared" si="36"/>
        <v>0</v>
      </c>
      <c r="AD26" s="35">
        <f t="shared" si="33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34"/>
        <v>0</v>
      </c>
      <c r="AT26" s="63"/>
      <c r="AU26" s="65">
        <f t="shared" si="16"/>
        <v>0</v>
      </c>
      <c r="AW26" s="61"/>
      <c r="AX26" s="60">
        <f t="shared" si="17"/>
        <v>0</v>
      </c>
      <c r="AY26" s="54"/>
      <c r="AZ26" s="37">
        <f t="shared" si="18"/>
        <v>0</v>
      </c>
      <c r="BA26" s="37">
        <f t="shared" si="19"/>
        <v>0</v>
      </c>
      <c r="BB26" s="58">
        <f t="shared" si="20"/>
        <v>0</v>
      </c>
    </row>
    <row r="27" spans="1:54" x14ac:dyDescent="0.25">
      <c r="A27" s="23">
        <v>45006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6"/>
        <v>0</v>
      </c>
      <c r="R27" s="37">
        <f t="shared" si="22"/>
        <v>0</v>
      </c>
      <c r="S27" s="37">
        <f t="shared" si="36"/>
        <v>0</v>
      </c>
      <c r="T27" s="37">
        <f t="shared" si="36"/>
        <v>0</v>
      </c>
      <c r="U27" s="37">
        <f t="shared" si="36"/>
        <v>0</v>
      </c>
      <c r="V27" s="37">
        <f t="shared" si="36"/>
        <v>0</v>
      </c>
      <c r="W27" s="37">
        <f t="shared" si="36"/>
        <v>0</v>
      </c>
      <c r="X27" s="37">
        <f t="shared" si="36"/>
        <v>0</v>
      </c>
      <c r="Y27" s="37">
        <f t="shared" si="36"/>
        <v>0</v>
      </c>
      <c r="Z27" s="37">
        <f t="shared" si="36"/>
        <v>0</v>
      </c>
      <c r="AA27" s="37">
        <f t="shared" si="36"/>
        <v>0</v>
      </c>
      <c r="AB27" s="37">
        <f t="shared" si="36"/>
        <v>0</v>
      </c>
      <c r="AC27" s="37">
        <f t="shared" si="36"/>
        <v>0</v>
      </c>
      <c r="AD27" s="35">
        <f t="shared" si="33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34"/>
        <v>0</v>
      </c>
      <c r="AT27" s="63"/>
      <c r="AU27" s="65">
        <f t="shared" si="16"/>
        <v>0</v>
      </c>
      <c r="AW27" s="61"/>
      <c r="AX27" s="60">
        <f t="shared" si="17"/>
        <v>0</v>
      </c>
      <c r="AY27" s="52"/>
      <c r="AZ27" s="37">
        <f t="shared" si="18"/>
        <v>0</v>
      </c>
      <c r="BA27" s="37">
        <f t="shared" si="19"/>
        <v>0</v>
      </c>
      <c r="BB27" s="58">
        <f t="shared" si="20"/>
        <v>0</v>
      </c>
    </row>
    <row r="28" spans="1:54" x14ac:dyDescent="0.25">
      <c r="A28" s="23">
        <v>45007</v>
      </c>
      <c r="B28" s="74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Q28" s="72">
        <f t="shared" si="21"/>
        <v>0</v>
      </c>
      <c r="R28" s="37">
        <f t="shared" si="22"/>
        <v>0</v>
      </c>
      <c r="S28" s="37">
        <f t="shared" si="15"/>
        <v>0</v>
      </c>
      <c r="T28" s="37">
        <f t="shared" si="23"/>
        <v>0</v>
      </c>
      <c r="U28" s="37">
        <f t="shared" si="24"/>
        <v>0</v>
      </c>
      <c r="V28" s="37">
        <f t="shared" si="25"/>
        <v>0</v>
      </c>
      <c r="W28" s="37">
        <f t="shared" si="26"/>
        <v>0</v>
      </c>
      <c r="X28" s="37">
        <f t="shared" si="27"/>
        <v>0</v>
      </c>
      <c r="Y28" s="37">
        <f t="shared" si="28"/>
        <v>0</v>
      </c>
      <c r="Z28" s="37">
        <f t="shared" si="29"/>
        <v>0</v>
      </c>
      <c r="AA28" s="37">
        <f t="shared" si="30"/>
        <v>0</v>
      </c>
      <c r="AB28" s="37">
        <f t="shared" si="31"/>
        <v>0</v>
      </c>
      <c r="AC28" s="37">
        <f t="shared" si="32"/>
        <v>0</v>
      </c>
      <c r="AD28" s="35">
        <f t="shared" si="33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34"/>
        <v>0</v>
      </c>
      <c r="AT28" s="63"/>
      <c r="AU28" s="65">
        <f t="shared" si="16"/>
        <v>0</v>
      </c>
      <c r="AW28" s="80"/>
      <c r="AX28" s="60">
        <f t="shared" si="17"/>
        <v>0</v>
      </c>
      <c r="AY28" s="81"/>
      <c r="AZ28" s="72">
        <f t="shared" si="18"/>
        <v>0</v>
      </c>
      <c r="BA28" s="37">
        <f t="shared" si="19"/>
        <v>0</v>
      </c>
      <c r="BB28" s="58">
        <f t="shared" si="20"/>
        <v>0</v>
      </c>
    </row>
    <row r="29" spans="1:54" x14ac:dyDescent="0.25">
      <c r="A29" s="23">
        <v>45008</v>
      </c>
      <c r="B29" s="62"/>
      <c r="C29" s="76"/>
      <c r="D29" s="76"/>
      <c r="E29" s="76"/>
      <c r="F29" s="76"/>
      <c r="G29" s="76"/>
      <c r="H29" s="76"/>
      <c r="I29" s="76"/>
      <c r="J29" s="76"/>
      <c r="K29" s="76"/>
      <c r="L29" s="76"/>
      <c r="M29" s="76"/>
      <c r="N29" s="77"/>
      <c r="O29" s="76"/>
      <c r="P29" s="69">
        <v>441854</v>
      </c>
      <c r="Q29" s="71">
        <f t="shared" si="21"/>
        <v>0</v>
      </c>
      <c r="R29" s="70">
        <f t="shared" si="22"/>
        <v>0</v>
      </c>
      <c r="S29" s="37">
        <f t="shared" si="15"/>
        <v>0</v>
      </c>
      <c r="T29" s="37">
        <f t="shared" si="23"/>
        <v>0</v>
      </c>
      <c r="U29" s="37">
        <f t="shared" si="24"/>
        <v>0</v>
      </c>
      <c r="V29" s="37">
        <f t="shared" si="25"/>
        <v>0</v>
      </c>
      <c r="W29" s="37">
        <f t="shared" si="26"/>
        <v>0</v>
      </c>
      <c r="X29" s="37">
        <f t="shared" si="27"/>
        <v>0</v>
      </c>
      <c r="Y29" s="37">
        <f t="shared" si="28"/>
        <v>0</v>
      </c>
      <c r="Z29" s="37">
        <f t="shared" si="29"/>
        <v>0</v>
      </c>
      <c r="AA29" s="37">
        <f t="shared" si="30"/>
        <v>0</v>
      </c>
      <c r="AB29" s="37">
        <f t="shared" si="31"/>
        <v>0</v>
      </c>
      <c r="AC29" s="37">
        <f t="shared" si="32"/>
        <v>0</v>
      </c>
      <c r="AD29" s="35">
        <f t="shared" si="33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34"/>
        <v>0</v>
      </c>
      <c r="AT29" s="63"/>
      <c r="AU29" s="65">
        <f t="shared" si="16"/>
        <v>0</v>
      </c>
      <c r="AW29" s="85"/>
      <c r="AX29" s="60">
        <f t="shared" si="17"/>
        <v>0</v>
      </c>
      <c r="AY29" s="79"/>
      <c r="AZ29" s="71">
        <f t="shared" si="18"/>
        <v>0</v>
      </c>
      <c r="BA29" s="70">
        <f t="shared" si="19"/>
        <v>0</v>
      </c>
      <c r="BB29" s="58">
        <f t="shared" si="20"/>
        <v>0</v>
      </c>
    </row>
    <row r="30" spans="1:54" x14ac:dyDescent="0.25">
      <c r="A30" s="23">
        <v>45009</v>
      </c>
      <c r="B30" s="62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Q30" s="73">
        <f t="shared" si="21"/>
        <v>0</v>
      </c>
      <c r="R30" s="37">
        <f t="shared" si="22"/>
        <v>0</v>
      </c>
      <c r="S30" s="37">
        <f t="shared" si="15"/>
        <v>0</v>
      </c>
      <c r="T30" s="37">
        <f t="shared" si="23"/>
        <v>0</v>
      </c>
      <c r="U30" s="37">
        <f t="shared" si="24"/>
        <v>0</v>
      </c>
      <c r="V30" s="37">
        <f t="shared" si="25"/>
        <v>0</v>
      </c>
      <c r="W30" s="37">
        <f t="shared" si="26"/>
        <v>0</v>
      </c>
      <c r="X30" s="37">
        <f t="shared" si="27"/>
        <v>0</v>
      </c>
      <c r="Y30" s="37">
        <f t="shared" si="28"/>
        <v>0</v>
      </c>
      <c r="Z30" s="37">
        <f t="shared" si="29"/>
        <v>0</v>
      </c>
      <c r="AA30" s="37">
        <f t="shared" si="30"/>
        <v>0</v>
      </c>
      <c r="AB30" s="37">
        <f t="shared" si="31"/>
        <v>0</v>
      </c>
      <c r="AC30" s="37">
        <f t="shared" si="32"/>
        <v>0</v>
      </c>
      <c r="AD30" s="35">
        <f t="shared" si="33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34"/>
        <v>0</v>
      </c>
      <c r="AT30" s="63"/>
      <c r="AU30" s="65">
        <f t="shared" si="16"/>
        <v>0</v>
      </c>
      <c r="AW30" s="84"/>
      <c r="AX30" s="60">
        <f t="shared" si="17"/>
        <v>0</v>
      </c>
      <c r="AY30" s="86"/>
      <c r="AZ30" s="71">
        <f t="shared" si="18"/>
        <v>0</v>
      </c>
      <c r="BA30" s="70">
        <f t="shared" si="19"/>
        <v>0</v>
      </c>
      <c r="BB30" s="58">
        <f t="shared" si="20"/>
        <v>0</v>
      </c>
    </row>
    <row r="31" spans="1:54" x14ac:dyDescent="0.25">
      <c r="A31" s="23">
        <v>45010</v>
      </c>
      <c r="B31" s="40"/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Q31" s="37">
        <f>IF((C31-C30&lt;0), "0",C31-C30)</f>
        <v>0</v>
      </c>
      <c r="R31" s="37">
        <f t="shared" si="22"/>
        <v>0</v>
      </c>
      <c r="S31" s="37">
        <f t="shared" si="15"/>
        <v>0</v>
      </c>
      <c r="T31" s="37">
        <f t="shared" si="23"/>
        <v>0</v>
      </c>
      <c r="U31" s="37">
        <f t="shared" si="24"/>
        <v>0</v>
      </c>
      <c r="V31" s="37">
        <f t="shared" si="25"/>
        <v>0</v>
      </c>
      <c r="W31" s="37">
        <f t="shared" si="26"/>
        <v>0</v>
      </c>
      <c r="X31" s="37">
        <f t="shared" si="27"/>
        <v>0</v>
      </c>
      <c r="Y31" s="37">
        <f t="shared" si="28"/>
        <v>0</v>
      </c>
      <c r="Z31" s="37">
        <f t="shared" si="29"/>
        <v>0</v>
      </c>
      <c r="AA31" s="37">
        <f t="shared" si="30"/>
        <v>0</v>
      </c>
      <c r="AB31" s="37">
        <f t="shared" si="31"/>
        <v>0</v>
      </c>
      <c r="AC31" s="37">
        <f t="shared" si="32"/>
        <v>0</v>
      </c>
      <c r="AD31" s="35">
        <f t="shared" si="33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34"/>
        <v>0</v>
      </c>
      <c r="AT31" s="63"/>
      <c r="AU31" s="65">
        <f t="shared" si="16"/>
        <v>0</v>
      </c>
      <c r="AW31" s="82"/>
      <c r="AX31" s="60">
        <f t="shared" si="17"/>
        <v>0</v>
      </c>
      <c r="AY31" s="83"/>
      <c r="AZ31" s="73">
        <f t="shared" si="18"/>
        <v>0</v>
      </c>
      <c r="BA31" s="37">
        <f t="shared" si="19"/>
        <v>0</v>
      </c>
      <c r="BB31" s="58">
        <f t="shared" si="20"/>
        <v>0</v>
      </c>
    </row>
    <row r="32" spans="1:54" x14ac:dyDescent="0.25">
      <c r="A32" s="23">
        <v>45011</v>
      </c>
      <c r="B32" s="40"/>
      <c r="C32" s="24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Q32" s="37">
        <f>IF((C32-C31&lt;0), "0",C32-C31)</f>
        <v>0</v>
      </c>
      <c r="R32" s="37">
        <f t="shared" si="22"/>
        <v>0</v>
      </c>
      <c r="S32" s="37">
        <f t="shared" si="15"/>
        <v>0</v>
      </c>
      <c r="T32" s="37">
        <f t="shared" si="23"/>
        <v>0</v>
      </c>
      <c r="U32" s="37">
        <f t="shared" si="24"/>
        <v>0</v>
      </c>
      <c r="V32" s="37">
        <f t="shared" si="25"/>
        <v>0</v>
      </c>
      <c r="W32" s="37">
        <f t="shared" si="26"/>
        <v>0</v>
      </c>
      <c r="X32" s="37">
        <f t="shared" si="27"/>
        <v>0</v>
      </c>
      <c r="Y32" s="37">
        <f t="shared" si="28"/>
        <v>0</v>
      </c>
      <c r="Z32" s="37">
        <f t="shared" si="29"/>
        <v>0</v>
      </c>
      <c r="AA32" s="37">
        <f t="shared" si="30"/>
        <v>0</v>
      </c>
      <c r="AB32" s="37">
        <f t="shared" si="31"/>
        <v>0</v>
      </c>
      <c r="AC32" s="37">
        <f t="shared" si="32"/>
        <v>0</v>
      </c>
      <c r="AD32" s="35">
        <f t="shared" si="33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34"/>
        <v>0</v>
      </c>
      <c r="AT32" s="63"/>
      <c r="AU32" s="65">
        <f t="shared" si="16"/>
        <v>0</v>
      </c>
      <c r="AW32" s="61"/>
      <c r="AX32" s="60">
        <f t="shared" si="17"/>
        <v>0</v>
      </c>
      <c r="AY32" s="54"/>
      <c r="AZ32" s="37">
        <f t="shared" si="18"/>
        <v>0</v>
      </c>
      <c r="BA32" s="37">
        <f t="shared" si="19"/>
        <v>0</v>
      </c>
      <c r="BB32" s="58">
        <f t="shared" si="20"/>
        <v>0</v>
      </c>
    </row>
    <row r="33" spans="1:54" x14ac:dyDescent="0.25">
      <c r="A33" s="23">
        <v>45012</v>
      </c>
      <c r="B33" s="40"/>
      <c r="C33" s="24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Q33" s="37">
        <f>IF((C33-C32&lt;0), "0",C33-C32)</f>
        <v>0</v>
      </c>
      <c r="R33" s="37">
        <f t="shared" si="22"/>
        <v>0</v>
      </c>
      <c r="S33" s="37">
        <f t="shared" si="15"/>
        <v>0</v>
      </c>
      <c r="T33" s="37">
        <f t="shared" si="23"/>
        <v>0</v>
      </c>
      <c r="U33" s="37">
        <f t="shared" si="24"/>
        <v>0</v>
      </c>
      <c r="V33" s="37">
        <f t="shared" si="25"/>
        <v>0</v>
      </c>
      <c r="W33" s="37">
        <f t="shared" si="26"/>
        <v>0</v>
      </c>
      <c r="X33" s="37">
        <f t="shared" si="27"/>
        <v>0</v>
      </c>
      <c r="Y33" s="37">
        <f t="shared" si="28"/>
        <v>0</v>
      </c>
      <c r="Z33" s="37">
        <f t="shared" si="29"/>
        <v>0</v>
      </c>
      <c r="AA33" s="37">
        <f t="shared" si="30"/>
        <v>0</v>
      </c>
      <c r="AB33" s="37">
        <f t="shared" si="31"/>
        <v>0</v>
      </c>
      <c r="AC33" s="37">
        <f t="shared" si="32"/>
        <v>0</v>
      </c>
      <c r="AD33" s="35">
        <f t="shared" si="33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34"/>
        <v>0</v>
      </c>
      <c r="AT33" s="63"/>
      <c r="AU33" s="65">
        <f t="shared" si="16"/>
        <v>0</v>
      </c>
      <c r="AW33" s="61"/>
      <c r="AX33" s="60">
        <f t="shared" si="17"/>
        <v>0</v>
      </c>
      <c r="AY33" s="53"/>
      <c r="AZ33" s="37">
        <f t="shared" si="18"/>
        <v>0</v>
      </c>
      <c r="BA33" s="37">
        <f t="shared" si="19"/>
        <v>0</v>
      </c>
      <c r="BB33" s="58">
        <f t="shared" si="20"/>
        <v>0</v>
      </c>
    </row>
    <row r="34" spans="1:54" x14ac:dyDescent="0.25">
      <c r="A34" s="23">
        <v>45013</v>
      </c>
      <c r="B34" s="48"/>
      <c r="C34" s="47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Q34" s="37">
        <f>IF((C34-C33&lt;0), "0",C34-C33)</f>
        <v>0</v>
      </c>
      <c r="R34" s="37">
        <f t="shared" si="22"/>
        <v>0</v>
      </c>
      <c r="S34" s="37">
        <f t="shared" si="15"/>
        <v>0</v>
      </c>
      <c r="T34" s="37">
        <f t="shared" si="23"/>
        <v>0</v>
      </c>
      <c r="U34" s="37">
        <f t="shared" si="24"/>
        <v>0</v>
      </c>
      <c r="V34" s="37">
        <f t="shared" si="25"/>
        <v>0</v>
      </c>
      <c r="W34" s="37">
        <f t="shared" si="26"/>
        <v>0</v>
      </c>
      <c r="X34" s="37">
        <f t="shared" si="27"/>
        <v>0</v>
      </c>
      <c r="Y34" s="37">
        <f t="shared" si="28"/>
        <v>0</v>
      </c>
      <c r="Z34" s="37">
        <f t="shared" si="29"/>
        <v>0</v>
      </c>
      <c r="AA34" s="37">
        <f t="shared" si="30"/>
        <v>0</v>
      </c>
      <c r="AB34" s="37">
        <f t="shared" si="31"/>
        <v>0</v>
      </c>
      <c r="AC34" s="37">
        <f t="shared" si="32"/>
        <v>0</v>
      </c>
      <c r="AD34" s="35">
        <f t="shared" si="33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T34" s="63"/>
      <c r="AU34" s="65">
        <f t="shared" si="16"/>
        <v>0</v>
      </c>
      <c r="AW34" s="61"/>
      <c r="AX34" s="60">
        <f t="shared" si="17"/>
        <v>0</v>
      </c>
      <c r="AY34" s="54"/>
      <c r="AZ34" s="37">
        <f t="shared" si="18"/>
        <v>0</v>
      </c>
      <c r="BA34" s="37">
        <f t="shared" si="19"/>
        <v>0</v>
      </c>
      <c r="BB34" s="58">
        <f t="shared" si="20"/>
        <v>0</v>
      </c>
    </row>
    <row r="35" spans="1:54" x14ac:dyDescent="0.25">
      <c r="A35" s="23">
        <v>45014</v>
      </c>
      <c r="B35" s="40"/>
      <c r="C35" s="56"/>
      <c r="D35" s="56"/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56"/>
      <c r="Q35" s="37">
        <f>IF((C35-C34&lt;0), "0",C35-C34)</f>
        <v>0</v>
      </c>
      <c r="R35" s="37">
        <f t="shared" si="22"/>
        <v>0</v>
      </c>
      <c r="S35" s="37">
        <f t="shared" si="15"/>
        <v>0</v>
      </c>
      <c r="T35" s="37">
        <f t="shared" si="23"/>
        <v>0</v>
      </c>
      <c r="U35" s="37">
        <f t="shared" si="24"/>
        <v>0</v>
      </c>
      <c r="V35" s="37">
        <f t="shared" si="25"/>
        <v>0</v>
      </c>
      <c r="W35" s="37">
        <f t="shared" si="26"/>
        <v>0</v>
      </c>
      <c r="X35" s="37">
        <f t="shared" si="27"/>
        <v>0</v>
      </c>
      <c r="Y35" s="37">
        <f t="shared" si="28"/>
        <v>0</v>
      </c>
      <c r="Z35" s="37">
        <f t="shared" si="29"/>
        <v>0</v>
      </c>
      <c r="AA35" s="37">
        <f t="shared" si="30"/>
        <v>0</v>
      </c>
      <c r="AB35" s="37">
        <f t="shared" si="31"/>
        <v>0</v>
      </c>
      <c r="AC35" s="37">
        <f t="shared" si="32"/>
        <v>0</v>
      </c>
      <c r="AD35" s="35">
        <f t="shared" si="33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T35" s="63"/>
      <c r="AU35" s="65">
        <f t="shared" si="16"/>
        <v>0</v>
      </c>
      <c r="AW35" s="61">
        <v>0</v>
      </c>
      <c r="AX35" s="60">
        <f t="shared" si="17"/>
        <v>0</v>
      </c>
      <c r="AY35" s="57"/>
      <c r="AZ35" s="37">
        <f t="shared" si="18"/>
        <v>0</v>
      </c>
      <c r="BA35" s="37">
        <f t="shared" si="19"/>
        <v>0</v>
      </c>
      <c r="BB35" s="58">
        <f t="shared" si="20"/>
        <v>0</v>
      </c>
    </row>
    <row r="36" spans="1:54" x14ac:dyDescent="0.25">
      <c r="A36" s="23">
        <v>45015</v>
      </c>
      <c r="B36" s="40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Q36" s="37">
        <f t="shared" ref="Q36:AA36" si="37">IF((C36-C35&lt;0), "0",C36-C35)</f>
        <v>0</v>
      </c>
      <c r="R36" s="37">
        <f t="shared" si="22"/>
        <v>0</v>
      </c>
      <c r="S36" s="37">
        <f t="shared" si="37"/>
        <v>0</v>
      </c>
      <c r="T36" s="37">
        <f t="shared" si="37"/>
        <v>0</v>
      </c>
      <c r="U36" s="37">
        <f t="shared" si="37"/>
        <v>0</v>
      </c>
      <c r="V36" s="37">
        <f t="shared" si="37"/>
        <v>0</v>
      </c>
      <c r="W36" s="37">
        <f t="shared" si="37"/>
        <v>0</v>
      </c>
      <c r="X36" s="37">
        <f t="shared" si="27"/>
        <v>0</v>
      </c>
      <c r="Y36" s="37">
        <f t="shared" si="37"/>
        <v>0</v>
      </c>
      <c r="Z36" s="37">
        <f t="shared" si="37"/>
        <v>0</v>
      </c>
      <c r="AA36" s="37">
        <f t="shared" si="37"/>
        <v>0</v>
      </c>
      <c r="AB36" s="37">
        <f t="shared" si="31"/>
        <v>0</v>
      </c>
      <c r="AC36" s="37">
        <f t="shared" si="32"/>
        <v>0</v>
      </c>
      <c r="AD36" s="35">
        <f t="shared" si="33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T36" s="63"/>
      <c r="AU36" s="65">
        <f t="shared" si="16"/>
        <v>0</v>
      </c>
      <c r="AW36" s="61">
        <v>0</v>
      </c>
      <c r="AX36" s="60">
        <f t="shared" si="17"/>
        <v>0</v>
      </c>
      <c r="AY36" s="55"/>
      <c r="AZ36" s="37">
        <f t="shared" si="18"/>
        <v>0</v>
      </c>
      <c r="BA36" s="37">
        <f t="shared" si="19"/>
        <v>0</v>
      </c>
      <c r="BB36" s="58">
        <f t="shared" si="20"/>
        <v>0</v>
      </c>
    </row>
    <row r="37" spans="1:54" x14ac:dyDescent="0.25">
      <c r="A37" s="23">
        <v>45016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si="22"/>
        <v>0</v>
      </c>
      <c r="S37" s="37">
        <f t="shared" ref="S37" si="39">IF((E37-E36&lt;0), "0",E37-E36)</f>
        <v>0</v>
      </c>
      <c r="T37" s="37">
        <f t="shared" ref="T37" si="40">IF((F37-F36&lt;0), "0",F37-F36)</f>
        <v>0</v>
      </c>
      <c r="U37" s="37">
        <f t="shared" ref="U37" si="41">IF((G37-G36&lt;0), "0",G37-G36)</f>
        <v>0</v>
      </c>
      <c r="V37" s="37">
        <f t="shared" ref="V37" si="42">IF((H37-H36&lt;0), "0",H37-H36)</f>
        <v>0</v>
      </c>
      <c r="W37" s="37">
        <f t="shared" ref="W37" si="43">IF((I37-I36&lt;0), "0",I37-I36)</f>
        <v>0</v>
      </c>
      <c r="X37" s="37">
        <f t="shared" si="27"/>
        <v>0</v>
      </c>
      <c r="Y37" s="37">
        <f t="shared" ref="Y37" si="44">IF((K37-K36&lt;0), "0",K37-K36)</f>
        <v>0</v>
      </c>
      <c r="Z37" s="37">
        <f t="shared" ref="Z37" si="45">IF((L37-L36&lt;0), "0",L37-L36)</f>
        <v>0</v>
      </c>
      <c r="AA37" s="37">
        <f t="shared" ref="AA37" si="46">IF((M37-M36&lt;0), "0",M37-M36)</f>
        <v>0</v>
      </c>
      <c r="AB37" s="37">
        <f t="shared" si="31"/>
        <v>0</v>
      </c>
      <c r="AC37" s="37">
        <f t="shared" si="32"/>
        <v>0</v>
      </c>
      <c r="AD37" s="35">
        <f t="shared" si="33"/>
        <v>0</v>
      </c>
      <c r="AF37" s="20">
        <f t="shared" ref="AF37" si="47">Q37*$D$39</f>
        <v>0</v>
      </c>
      <c r="AG37" s="20">
        <f t="shared" ref="AG37" si="48">R37*$D$39</f>
        <v>0</v>
      </c>
      <c r="AH37" s="20">
        <f t="shared" ref="AH37" si="49">S37*$D$39</f>
        <v>0</v>
      </c>
      <c r="AI37" s="20">
        <f t="shared" ref="AI37" si="50">T37*$D$39</f>
        <v>0</v>
      </c>
      <c r="AJ37" s="20">
        <f t="shared" ref="AJ37" si="51">U37*$D$39</f>
        <v>0</v>
      </c>
      <c r="AK37" s="20">
        <f t="shared" ref="AK37" si="52">V37*$D$39</f>
        <v>0</v>
      </c>
      <c r="AL37" s="20">
        <f t="shared" ref="AL37" si="53">W37*$D$39</f>
        <v>0</v>
      </c>
      <c r="AM37" s="20">
        <f t="shared" ref="AM37" si="54">X37*$D$39</f>
        <v>0</v>
      </c>
      <c r="AN37" s="20">
        <f t="shared" ref="AN37" si="55">Y37*$D$39</f>
        <v>0</v>
      </c>
      <c r="AO37" s="20">
        <f t="shared" ref="AO37" si="56">Z37*$D$39</f>
        <v>0</v>
      </c>
      <c r="AP37" s="20">
        <f t="shared" ref="AP37" si="57">AA37*$D$39</f>
        <v>0</v>
      </c>
      <c r="AQ37" s="20">
        <f t="shared" ref="AQ37" si="58">AB37*$D$39</f>
        <v>0</v>
      </c>
      <c r="AR37" s="20">
        <f t="shared" ref="AR37" si="59">AC37*$D$39</f>
        <v>0</v>
      </c>
      <c r="AS37" s="35">
        <f>SUM(AF37:AR37)</f>
        <v>0</v>
      </c>
      <c r="AT37" s="63"/>
      <c r="AU37" s="65">
        <f t="shared" si="16"/>
        <v>0</v>
      </c>
      <c r="AW37" s="61">
        <v>0</v>
      </c>
      <c r="AX37" s="60">
        <f t="shared" si="17"/>
        <v>0</v>
      </c>
      <c r="AY37" s="52"/>
      <c r="AZ37" s="37">
        <f t="shared" si="18"/>
        <v>0</v>
      </c>
      <c r="BA37" s="37">
        <f t="shared" si="19"/>
        <v>0</v>
      </c>
      <c r="BB37" s="58">
        <f t="shared" si="20"/>
        <v>0</v>
      </c>
    </row>
    <row r="38" spans="1:54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2180</v>
      </c>
      <c r="R38" s="38">
        <f t="shared" ref="R38:AD38" si="60">SUM(R7:R37)</f>
        <v>7350</v>
      </c>
      <c r="S38" s="38">
        <f t="shared" si="60"/>
        <v>12830</v>
      </c>
      <c r="T38" s="38">
        <f t="shared" si="60"/>
        <v>3810</v>
      </c>
      <c r="U38" s="38">
        <f t="shared" si="60"/>
        <v>24480</v>
      </c>
      <c r="V38" s="38">
        <f t="shared" si="60"/>
        <v>16700</v>
      </c>
      <c r="W38" s="38">
        <f t="shared" si="60"/>
        <v>12300</v>
      </c>
      <c r="X38" s="38">
        <f t="shared" si="60"/>
        <v>16650</v>
      </c>
      <c r="Y38" s="38">
        <f t="shared" si="60"/>
        <v>23230</v>
      </c>
      <c r="Z38" s="38">
        <f t="shared" si="60"/>
        <v>10100</v>
      </c>
      <c r="AA38" s="38">
        <f t="shared" si="60"/>
        <v>12670</v>
      </c>
      <c r="AB38" s="38">
        <f t="shared" si="60"/>
        <v>29250</v>
      </c>
      <c r="AC38" s="38">
        <f t="shared" si="60"/>
        <v>51880</v>
      </c>
      <c r="AD38" s="38">
        <f t="shared" si="60"/>
        <v>223430</v>
      </c>
      <c r="AF38" s="35">
        <f>SUM(AF7:AF37)</f>
        <v>10.900000000000002</v>
      </c>
      <c r="AG38" s="35">
        <f t="shared" ref="AG38:AU38" si="61">SUM(AG7:AG37)</f>
        <v>36.75</v>
      </c>
      <c r="AH38" s="35">
        <f t="shared" si="61"/>
        <v>64.150000000000006</v>
      </c>
      <c r="AI38" s="35">
        <f t="shared" si="61"/>
        <v>19.05</v>
      </c>
      <c r="AJ38" s="35">
        <f t="shared" si="61"/>
        <v>122.4</v>
      </c>
      <c r="AK38" s="35">
        <f t="shared" si="61"/>
        <v>83.5</v>
      </c>
      <c r="AL38" s="35">
        <f t="shared" si="61"/>
        <v>61.5</v>
      </c>
      <c r="AM38" s="35">
        <f t="shared" si="61"/>
        <v>83.25</v>
      </c>
      <c r="AN38" s="35">
        <f t="shared" si="61"/>
        <v>116.15</v>
      </c>
      <c r="AO38" s="35">
        <f t="shared" si="61"/>
        <v>50.5</v>
      </c>
      <c r="AP38" s="35">
        <f t="shared" si="61"/>
        <v>63.350000000000009</v>
      </c>
      <c r="AQ38" s="35">
        <f t="shared" si="61"/>
        <v>146.25</v>
      </c>
      <c r="AR38" s="35">
        <f t="shared" si="61"/>
        <v>259.39999999999998</v>
      </c>
      <c r="AS38" s="35">
        <f t="shared" si="61"/>
        <v>1117.1500000000001</v>
      </c>
      <c r="AT38" s="63"/>
      <c r="AU38" s="66">
        <f t="shared" si="61"/>
        <v>1318.125</v>
      </c>
      <c r="AW38" s="61">
        <v>0</v>
      </c>
      <c r="AX38" s="60">
        <f t="shared" si="17"/>
        <v>0</v>
      </c>
      <c r="AY38" s="46"/>
      <c r="AZ38" s="37">
        <f t="shared" si="18"/>
        <v>0</v>
      </c>
      <c r="BA38" s="37">
        <f>SUM(BA7:BA37)</f>
        <v>1633.3589999999999</v>
      </c>
      <c r="BB38" s="58">
        <f t="shared" si="20"/>
        <v>725.86473960000001</v>
      </c>
    </row>
    <row r="39" spans="1:54" x14ac:dyDescent="0.25">
      <c r="B39" s="39">
        <f>SUM(B7:B37)</f>
        <v>493</v>
      </c>
      <c r="D39">
        <v>5.0000000000000001E-3</v>
      </c>
      <c r="AW39" s="61">
        <v>0</v>
      </c>
      <c r="AX39" s="60">
        <f t="shared" si="17"/>
        <v>0</v>
      </c>
      <c r="AZ39" s="36"/>
      <c r="BA39" s="37">
        <f t="shared" si="19"/>
        <v>0</v>
      </c>
    </row>
    <row r="40" spans="1:54" x14ac:dyDescent="0.25">
      <c r="D40">
        <v>2E-3</v>
      </c>
    </row>
    <row r="41" spans="1:54" x14ac:dyDescent="0.25">
      <c r="BB41" t="s">
        <v>57</v>
      </c>
    </row>
    <row r="43" spans="1:54" x14ac:dyDescent="0.25">
      <c r="AU43" s="64">
        <v>178.125</v>
      </c>
    </row>
    <row r="44" spans="1:54" x14ac:dyDescent="0.25">
      <c r="AW44" s="59">
        <v>0.52800000000000002</v>
      </c>
      <c r="AY44" s="45">
        <v>0.52800000000000002</v>
      </c>
      <c r="AZ44">
        <v>4.5500000000000002E-3</v>
      </c>
    </row>
    <row r="46" spans="1:54" x14ac:dyDescent="0.25">
      <c r="AZ46">
        <f>0.002/4.5</f>
        <v>4.4444444444444447E-4</v>
      </c>
    </row>
    <row r="47" spans="1:54" x14ac:dyDescent="0.25">
      <c r="AZ47">
        <f>AZ46*1000</f>
        <v>0.44444444444444448</v>
      </c>
    </row>
  </sheetData>
  <mergeCells count="11">
    <mergeCell ref="AY4:AY5"/>
    <mergeCell ref="AZ4:AZ5"/>
    <mergeCell ref="BB4:BB5"/>
    <mergeCell ref="D4:O4"/>
    <mergeCell ref="Q4:AC4"/>
    <mergeCell ref="AF4:AR4"/>
    <mergeCell ref="BA4:BA5"/>
    <mergeCell ref="AU4:AU5"/>
    <mergeCell ref="AW4:AW5"/>
    <mergeCell ref="AX4:AX5"/>
    <mergeCell ref="AT4:AT5"/>
  </mergeCells>
  <dataValidations count="1">
    <dataValidation type="decimal" errorStyle="warning" allowBlank="1" showErrorMessage="1" errorTitle="SU KONTURU BİTİYOR" error="ACİL SU KONTURU ALINMASI LAZIM" promptTitle="SU KONTURU BİTİYOR" sqref="F12:F13 E3:E7 E10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DD80A4D165494396A8FE06BFCB2637" ma:contentTypeVersion="14" ma:contentTypeDescription="Create a new document." ma:contentTypeScope="" ma:versionID="44d79bad1a4559d173980bca029fe8f4">
  <xsd:schema xmlns:xsd="http://www.w3.org/2001/XMLSchema" xmlns:xs="http://www.w3.org/2001/XMLSchema" xmlns:p="http://schemas.microsoft.com/office/2006/metadata/properties" xmlns:ns2="e419f9df-0dd9-45a2-9af2-6e1ea94d9c6f" xmlns:ns3="8128c44d-ca75-4405-bcc1-fb925f2af39c" targetNamespace="http://schemas.microsoft.com/office/2006/metadata/properties" ma:root="true" ma:fieldsID="674115f805a202c6a8e3959e38cf1acd" ns2:_="" ns3:_="">
    <xsd:import namespace="e419f9df-0dd9-45a2-9af2-6e1ea94d9c6f"/>
    <xsd:import namespace="8128c44d-ca75-4405-bcc1-fb925f2af39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19f9df-0dd9-45a2-9af2-6e1ea94d9c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28c44d-ca75-4405-bcc1-fb925f2af39c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a8e4ae7e-4cf7-4068-bd3f-a9323f74dc14}" ma:internalName="TaxCatchAll" ma:showField="CatchAllData" ma:web="8128c44d-ca75-4405-bcc1-fb925f2af39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128c44d-ca75-4405-bcc1-fb925f2af39c" xsi:nil="true"/>
    <lcf76f155ced4ddcb4097134ff3c332f xmlns="e419f9df-0dd9-45a2-9af2-6e1ea94d9c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D94BD37-345B-44E8-86DD-968EF536A64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419f9df-0dd9-45a2-9af2-6e1ea94d9c6f"/>
    <ds:schemaRef ds:uri="8128c44d-ca75-4405-bcc1-fb925f2af39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FF55A10-C69C-46E2-AF26-76DB1BB7322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77D1F6B-A7C1-4B05-BDE7-70036B260CA0}">
  <ds:schemaRefs>
    <ds:schemaRef ds:uri="http://schemas.microsoft.com/office/2006/metadata/properties"/>
    <ds:schemaRef ds:uri="http://schemas.microsoft.com/office/infopath/2007/PartnerControls"/>
    <ds:schemaRef ds:uri="8128c44d-ca75-4405-bcc1-fb925f2af39c"/>
    <ds:schemaRef ds:uri="e419f9df-0dd9-45a2-9af2-6e1ea94d9c6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Barbara Laudato</dc:creator>
  <cp:keywords/>
  <dc:description/>
  <cp:lastModifiedBy>Choki Zangmo</cp:lastModifiedBy>
  <cp:revision/>
  <dcterms:created xsi:type="dcterms:W3CDTF">2017-05-22T13:08:25Z</dcterms:created>
  <dcterms:modified xsi:type="dcterms:W3CDTF">2023-03-05T06:37:46Z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0x010100FEDD80A4D165494396A8FE06BFCB2637</vt:lpwstr>
  </property>
  <property fmtid="{D5CDD505-2E9C-101B-9397-08002B2CF9AE}" pid="3" name="Order">
    <vt:r8>203600</vt:r8>
  </property>
  <property fmtid="{D5CDD505-2E9C-101B-9397-08002B2CF9AE}" pid="4" name="MediaServiceImageTags">
    <vt:lpwstr/>
  </property>
</Properties>
</file>